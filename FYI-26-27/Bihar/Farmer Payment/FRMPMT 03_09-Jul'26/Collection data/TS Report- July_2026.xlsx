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Collection data\"/>
    </mc:Choice>
  </mc:AlternateContent>
  <xr:revisionPtr revIDLastSave="0" documentId="13_ncr:1_{333E727A-FF08-4561-9D87-01726315A9C4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umarry" sheetId="1" r:id="rId1"/>
    <sheet name="Manjhaul" sheetId="2" r:id="rId2"/>
    <sheet name="Hasanpur" sheetId="22" r:id="rId3"/>
    <sheet name="Singhia " sheetId="28" r:id="rId4"/>
    <sheet name="Sahibpur Kamal" sheetId="3" r:id="rId5"/>
    <sheet name="Matihani" sheetId="20" r:id="rId6"/>
    <sheet name="Daily Losses" sheetId="16" state="veryHidden" r:id="rId7"/>
    <sheet name="Bachhwara" sheetId="30" r:id="rId8"/>
    <sheet name="Alauli" sheetId="18" r:id="rId9"/>
    <sheet name="Dalsingsarai" sheetId="5" r:id="rId10"/>
    <sheet name="Musrigharari" sheetId="4" r:id="rId11"/>
    <sheet name="Mahua" sheetId="29" r:id="rId12"/>
    <sheet name="Warisnagar" sheetId="21" r:id="rId13"/>
    <sheet name="Rosera" sheetId="32" r:id="rId14"/>
    <sheet name="Kalyanpur" sheetId="17" r:id="rId15"/>
    <sheet name="Gaighat" sheetId="31" r:id="rId16"/>
    <sheet name="Buxar" sheetId="7" r:id="rId17"/>
    <sheet name="Asarganj" sheetId="9" r:id="rId18"/>
    <sheet name="Laldiyara" sheetId="8" r:id="rId19"/>
    <sheet name="Parbatta" sheetId="27" r:id="rId20"/>
    <sheet name="Gopalpur" sheetId="26" r:id="rId21"/>
    <sheet name="Sonvarsha" sheetId="11" r:id="rId22"/>
    <sheet name="Madhatpur" sheetId="10" r:id="rId23"/>
    <sheet name="Araiya" sheetId="12" r:id="rId24"/>
    <sheet name="Chautham" sheetId="19" r:id="rId25"/>
    <sheet name="Teghra" sheetId="13" r:id="rId26"/>
    <sheet name="Halsi" sheetId="14" r:id="rId27"/>
  </sheets>
  <definedNames>
    <definedName name="_xlnm._FilterDatabase" localSheetId="14" hidden="1">Kalyanpur!$A$1:$AR$66</definedName>
    <definedName name="_xlnm._FilterDatabase" localSheetId="1" hidden="1">Manjhaul!$D$3:$AQ$66</definedName>
    <definedName name="_xlnm._FilterDatabase" localSheetId="4" hidden="1">'Sahibpur Kamal'!$D$3:$AQ$66</definedName>
    <definedName name="_xlnm.Print_Area" localSheetId="0">Sumarry!$C$2:$P$59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1" i="19" l="1"/>
  <c r="AS21" i="13"/>
  <c r="AS63" i="13" l="1"/>
  <c r="R54" i="19" l="1"/>
  <c r="R55" i="19"/>
  <c r="R56" i="19"/>
  <c r="R57" i="19"/>
  <c r="R58" i="19"/>
  <c r="R59" i="19"/>
  <c r="R60" i="19"/>
  <c r="R61" i="19"/>
  <c r="R62" i="19"/>
  <c r="R63" i="19"/>
  <c r="AS63" i="19" l="1"/>
  <c r="AS53" i="13" l="1"/>
  <c r="AS53" i="19" l="1"/>
  <c r="AS39" i="14" l="1"/>
  <c r="AS39" i="19" l="1"/>
  <c r="AS39" i="13"/>
  <c r="V71" i="32" l="1"/>
  <c r="Z70" i="32"/>
  <c r="Y70" i="32"/>
  <c r="Z69" i="32"/>
  <c r="Y69" i="32"/>
  <c r="J66" i="32"/>
  <c r="G15" i="1" s="1"/>
  <c r="AR65" i="32"/>
  <c r="AL65" i="32"/>
  <c r="AK65" i="32"/>
  <c r="AG65" i="32"/>
  <c r="AF65" i="32"/>
  <c r="AB65" i="32"/>
  <c r="AA65" i="32"/>
  <c r="T65" i="32"/>
  <c r="S65" i="32"/>
  <c r="R65" i="32"/>
  <c r="AM65" i="32" s="1"/>
  <c r="H65" i="32"/>
  <c r="G65" i="32"/>
  <c r="AR64" i="32"/>
  <c r="AL64" i="32"/>
  <c r="AK64" i="32"/>
  <c r="AG64" i="32"/>
  <c r="AF64" i="32"/>
  <c r="AB64" i="32"/>
  <c r="AA64" i="32"/>
  <c r="T64" i="32"/>
  <c r="S64" i="32"/>
  <c r="R64" i="32"/>
  <c r="AM64" i="32" s="1"/>
  <c r="H64" i="32"/>
  <c r="G64" i="32"/>
  <c r="AL63" i="32"/>
  <c r="AK63" i="32"/>
  <c r="AG63" i="32"/>
  <c r="AF63" i="32"/>
  <c r="AB63" i="32"/>
  <c r="AA63" i="32"/>
  <c r="T63" i="32"/>
  <c r="S63" i="32"/>
  <c r="R63" i="32"/>
  <c r="AM63" i="32" s="1"/>
  <c r="H63" i="32"/>
  <c r="G63" i="32"/>
  <c r="AR62" i="32"/>
  <c r="AL62" i="32"/>
  <c r="AK62" i="32"/>
  <c r="AG62" i="32"/>
  <c r="AF62" i="32"/>
  <c r="AB62" i="32"/>
  <c r="AA62" i="32"/>
  <c r="T62" i="32"/>
  <c r="S62" i="32"/>
  <c r="R62" i="32"/>
  <c r="AM62" i="32" s="1"/>
  <c r="H62" i="32"/>
  <c r="G62" i="32"/>
  <c r="AR61" i="32"/>
  <c r="AL61" i="32"/>
  <c r="AK61" i="32"/>
  <c r="AG61" i="32"/>
  <c r="AF61" i="32"/>
  <c r="AB61" i="32"/>
  <c r="AA61" i="32"/>
  <c r="T61" i="32"/>
  <c r="S61" i="32"/>
  <c r="R61" i="32"/>
  <c r="AM61" i="32" s="1"/>
  <c r="H61" i="32"/>
  <c r="G61" i="32"/>
  <c r="AR60" i="32"/>
  <c r="AL60" i="32"/>
  <c r="AK60" i="32"/>
  <c r="AG60" i="32"/>
  <c r="AF60" i="32"/>
  <c r="AB60" i="32"/>
  <c r="AA60" i="32"/>
  <c r="T60" i="32"/>
  <c r="S60" i="32"/>
  <c r="R60" i="32"/>
  <c r="AM60" i="32" s="1"/>
  <c r="H60" i="32"/>
  <c r="G60" i="32"/>
  <c r="AR59" i="32"/>
  <c r="AL59" i="32"/>
  <c r="AK59" i="32"/>
  <c r="AG59" i="32"/>
  <c r="AF59" i="32"/>
  <c r="AB59" i="32"/>
  <c r="AA59" i="32"/>
  <c r="T59" i="32"/>
  <c r="S59" i="32"/>
  <c r="R59" i="32"/>
  <c r="AM59" i="32" s="1"/>
  <c r="H59" i="32"/>
  <c r="G59" i="32"/>
  <c r="AR58" i="32"/>
  <c r="AL58" i="32"/>
  <c r="AK58" i="32"/>
  <c r="AG58" i="32"/>
  <c r="AF58" i="32"/>
  <c r="AB58" i="32"/>
  <c r="AA58" i="32"/>
  <c r="T58" i="32"/>
  <c r="S58" i="32"/>
  <c r="R58" i="32"/>
  <c r="AM58" i="32" s="1"/>
  <c r="H58" i="32"/>
  <c r="G58" i="32"/>
  <c r="AR57" i="32"/>
  <c r="AL57" i="32"/>
  <c r="AK57" i="32"/>
  <c r="AG57" i="32"/>
  <c r="AF57" i="32"/>
  <c r="AB57" i="32"/>
  <c r="AA57" i="32"/>
  <c r="T57" i="32"/>
  <c r="S57" i="32"/>
  <c r="R57" i="32"/>
  <c r="AM57" i="32" s="1"/>
  <c r="H57" i="32"/>
  <c r="G57" i="32"/>
  <c r="AR56" i="32"/>
  <c r="AL56" i="32"/>
  <c r="AK56" i="32"/>
  <c r="AG56" i="32"/>
  <c r="AF56" i="32"/>
  <c r="AB56" i="32"/>
  <c r="AA56" i="32"/>
  <c r="T56" i="32"/>
  <c r="S56" i="32"/>
  <c r="R56" i="32"/>
  <c r="AM56" i="32" s="1"/>
  <c r="H56" i="32"/>
  <c r="G56" i="32"/>
  <c r="AR55" i="32"/>
  <c r="AL55" i="32"/>
  <c r="AK55" i="32"/>
  <c r="AG55" i="32"/>
  <c r="AF55" i="32"/>
  <c r="AB55" i="32"/>
  <c r="AA55" i="32"/>
  <c r="T55" i="32"/>
  <c r="S55" i="32"/>
  <c r="R55" i="32"/>
  <c r="AM55" i="32" s="1"/>
  <c r="H55" i="32"/>
  <c r="G55" i="32"/>
  <c r="AR54" i="32"/>
  <c r="AL54" i="32"/>
  <c r="AK54" i="32"/>
  <c r="AG54" i="32"/>
  <c r="AF54" i="32"/>
  <c r="AB54" i="32"/>
  <c r="AA54" i="32"/>
  <c r="T54" i="32"/>
  <c r="S54" i="32"/>
  <c r="R54" i="32"/>
  <c r="AM54" i="32" s="1"/>
  <c r="H54" i="32"/>
  <c r="G54" i="32"/>
  <c r="AR53" i="32"/>
  <c r="AL53" i="32"/>
  <c r="AK53" i="32"/>
  <c r="AG53" i="32"/>
  <c r="AF53" i="32"/>
  <c r="AB53" i="32"/>
  <c r="AA53" i="32"/>
  <c r="T53" i="32"/>
  <c r="S53" i="32"/>
  <c r="R53" i="32"/>
  <c r="AM53" i="32" s="1"/>
  <c r="H53" i="32"/>
  <c r="G53" i="32"/>
  <c r="AR52" i="32"/>
  <c r="AL52" i="32"/>
  <c r="AK52" i="32"/>
  <c r="AG52" i="32"/>
  <c r="AF52" i="32"/>
  <c r="AB52" i="32"/>
  <c r="AA52" i="32"/>
  <c r="T52" i="32"/>
  <c r="S52" i="32"/>
  <c r="R52" i="32"/>
  <c r="AM52" i="32" s="1"/>
  <c r="H52" i="32"/>
  <c r="G52" i="32"/>
  <c r="AR51" i="32"/>
  <c r="AL51" i="32"/>
  <c r="AK51" i="32"/>
  <c r="AG51" i="32"/>
  <c r="AF51" i="32"/>
  <c r="AB51" i="32"/>
  <c r="AA51" i="32"/>
  <c r="T51" i="32"/>
  <c r="S51" i="32"/>
  <c r="R51" i="32"/>
  <c r="AM51" i="32" s="1"/>
  <c r="H51" i="32"/>
  <c r="G51" i="32"/>
  <c r="AR50" i="32"/>
  <c r="AL50" i="32"/>
  <c r="AK50" i="32"/>
  <c r="AG50" i="32"/>
  <c r="AF50" i="32"/>
  <c r="AB50" i="32"/>
  <c r="AA50" i="32"/>
  <c r="T50" i="32"/>
  <c r="S50" i="32"/>
  <c r="R50" i="32"/>
  <c r="AM50" i="32" s="1"/>
  <c r="H50" i="32"/>
  <c r="G50" i="32"/>
  <c r="AR49" i="32"/>
  <c r="AL49" i="32"/>
  <c r="AK49" i="32"/>
  <c r="AG49" i="32"/>
  <c r="AF49" i="32"/>
  <c r="AB49" i="32"/>
  <c r="AA49" i="32"/>
  <c r="T49" i="32"/>
  <c r="S49" i="32"/>
  <c r="R49" i="32"/>
  <c r="AM49" i="32" s="1"/>
  <c r="H49" i="32"/>
  <c r="G49" i="32"/>
  <c r="AR48" i="32"/>
  <c r="AL48" i="32"/>
  <c r="AK48" i="32"/>
  <c r="AG48" i="32"/>
  <c r="AF48" i="32"/>
  <c r="AB48" i="32"/>
  <c r="AA48" i="32"/>
  <c r="T48" i="32"/>
  <c r="S48" i="32"/>
  <c r="R48" i="32"/>
  <c r="AM48" i="32" s="1"/>
  <c r="H48" i="32"/>
  <c r="G48" i="32"/>
  <c r="AR47" i="32"/>
  <c r="AL47" i="32"/>
  <c r="AK47" i="32"/>
  <c r="AG47" i="32"/>
  <c r="AF47" i="32"/>
  <c r="AB47" i="32"/>
  <c r="AA47" i="32"/>
  <c r="T47" i="32"/>
  <c r="S47" i="32"/>
  <c r="R47" i="32"/>
  <c r="AM47" i="32" s="1"/>
  <c r="H47" i="32"/>
  <c r="G47" i="32"/>
  <c r="AR46" i="32"/>
  <c r="AL46" i="32"/>
  <c r="AK46" i="32"/>
  <c r="AG46" i="32"/>
  <c r="AF46" i="32"/>
  <c r="AB46" i="32"/>
  <c r="AA46" i="32"/>
  <c r="T46" i="32"/>
  <c r="S46" i="32"/>
  <c r="R46" i="32"/>
  <c r="AM46" i="32" s="1"/>
  <c r="H46" i="32"/>
  <c r="G46" i="32"/>
  <c r="AR45" i="32"/>
  <c r="AL45" i="32"/>
  <c r="AK45" i="32"/>
  <c r="AG45" i="32"/>
  <c r="AF45" i="32"/>
  <c r="AB45" i="32"/>
  <c r="AA45" i="32"/>
  <c r="T45" i="32"/>
  <c r="S45" i="32"/>
  <c r="R45" i="32"/>
  <c r="AM45" i="32" s="1"/>
  <c r="H45" i="32"/>
  <c r="G45" i="32"/>
  <c r="AR44" i="32"/>
  <c r="AL44" i="32"/>
  <c r="AK44" i="32"/>
  <c r="AG44" i="32"/>
  <c r="AF44" i="32"/>
  <c r="AB44" i="32"/>
  <c r="AA44" i="32"/>
  <c r="T44" i="32"/>
  <c r="S44" i="32"/>
  <c r="R44" i="32"/>
  <c r="AM44" i="32" s="1"/>
  <c r="H44" i="32"/>
  <c r="G44" i="32"/>
  <c r="AR43" i="32"/>
  <c r="AL43" i="32"/>
  <c r="AK43" i="32"/>
  <c r="AG43" i="32"/>
  <c r="AF43" i="32"/>
  <c r="AB43" i="32"/>
  <c r="AA43" i="32"/>
  <c r="T43" i="32"/>
  <c r="S43" i="32"/>
  <c r="R43" i="32"/>
  <c r="AM43" i="32" s="1"/>
  <c r="H43" i="32"/>
  <c r="G43" i="32"/>
  <c r="AR42" i="32"/>
  <c r="AL42" i="32"/>
  <c r="AK42" i="32"/>
  <c r="AG42" i="32"/>
  <c r="AF42" i="32"/>
  <c r="AB42" i="32"/>
  <c r="AA42" i="32"/>
  <c r="T42" i="32"/>
  <c r="S42" i="32"/>
  <c r="R42" i="32"/>
  <c r="AM42" i="32" s="1"/>
  <c r="H42" i="32"/>
  <c r="G42" i="32"/>
  <c r="AR41" i="32"/>
  <c r="AL41" i="32"/>
  <c r="AK41" i="32"/>
  <c r="AG41" i="32"/>
  <c r="AF41" i="32"/>
  <c r="AB41" i="32"/>
  <c r="AA41" i="32"/>
  <c r="T41" i="32"/>
  <c r="S41" i="32"/>
  <c r="R41" i="32"/>
  <c r="AM41" i="32" s="1"/>
  <c r="H41" i="32"/>
  <c r="G41" i="32"/>
  <c r="AR40" i="32"/>
  <c r="AL40" i="32"/>
  <c r="AK40" i="32"/>
  <c r="AG40" i="32"/>
  <c r="AF40" i="32"/>
  <c r="AB40" i="32"/>
  <c r="AA40" i="32"/>
  <c r="T40" i="32"/>
  <c r="S40" i="32"/>
  <c r="R40" i="32"/>
  <c r="AM40" i="32" s="1"/>
  <c r="H40" i="32"/>
  <c r="G40" i="32"/>
  <c r="AR39" i="32"/>
  <c r="AL39" i="32"/>
  <c r="AK39" i="32"/>
  <c r="AG39" i="32"/>
  <c r="AF39" i="32"/>
  <c r="AB39" i="32"/>
  <c r="AA39" i="32"/>
  <c r="T39" i="32"/>
  <c r="S39" i="32"/>
  <c r="R39" i="32"/>
  <c r="AM39" i="32" s="1"/>
  <c r="H39" i="32"/>
  <c r="G39" i="32"/>
  <c r="AR38" i="32"/>
  <c r="AL38" i="32"/>
  <c r="AK38" i="32"/>
  <c r="AG38" i="32"/>
  <c r="AF38" i="32"/>
  <c r="AB38" i="32"/>
  <c r="AA38" i="32"/>
  <c r="T38" i="32"/>
  <c r="S38" i="32"/>
  <c r="R38" i="32"/>
  <c r="AM38" i="32" s="1"/>
  <c r="H38" i="32"/>
  <c r="G38" i="32"/>
  <c r="AR37" i="32"/>
  <c r="AL37" i="32"/>
  <c r="AK37" i="32"/>
  <c r="AG37" i="32"/>
  <c r="AF37" i="32"/>
  <c r="AB37" i="32"/>
  <c r="AA37" i="32"/>
  <c r="T37" i="32"/>
  <c r="S37" i="32"/>
  <c r="R37" i="32"/>
  <c r="AM37" i="32" s="1"/>
  <c r="H37" i="32"/>
  <c r="G37" i="32"/>
  <c r="AR36" i="32"/>
  <c r="AL36" i="32"/>
  <c r="AK36" i="32"/>
  <c r="AG36" i="32"/>
  <c r="AF36" i="32"/>
  <c r="AB36" i="32"/>
  <c r="AA36" i="32"/>
  <c r="T36" i="32"/>
  <c r="S36" i="32"/>
  <c r="R36" i="32"/>
  <c r="AM36" i="32" s="1"/>
  <c r="H36" i="32"/>
  <c r="G36" i="32"/>
  <c r="AR35" i="32"/>
  <c r="AL35" i="32"/>
  <c r="AK35" i="32"/>
  <c r="AG35" i="32"/>
  <c r="AF35" i="32"/>
  <c r="AB35" i="32"/>
  <c r="AA35" i="32"/>
  <c r="T35" i="32"/>
  <c r="S35" i="32"/>
  <c r="R35" i="32"/>
  <c r="AM35" i="32" s="1"/>
  <c r="H35" i="32"/>
  <c r="G35" i="32"/>
  <c r="AR34" i="32"/>
  <c r="AL34" i="32"/>
  <c r="AK34" i="32"/>
  <c r="AG34" i="32"/>
  <c r="AF34" i="32"/>
  <c r="AB34" i="32"/>
  <c r="AA34" i="32"/>
  <c r="T34" i="32"/>
  <c r="S34" i="32"/>
  <c r="R34" i="32"/>
  <c r="AM34" i="32" s="1"/>
  <c r="H34" i="32"/>
  <c r="G34" i="32"/>
  <c r="AR33" i="32"/>
  <c r="AL33" i="32"/>
  <c r="AK33" i="32"/>
  <c r="AG33" i="32"/>
  <c r="AF33" i="32"/>
  <c r="AB33" i="32"/>
  <c r="AA33" i="32"/>
  <c r="T33" i="32"/>
  <c r="S33" i="32"/>
  <c r="R33" i="32"/>
  <c r="AM33" i="32" s="1"/>
  <c r="H33" i="32"/>
  <c r="G33" i="32"/>
  <c r="AR32" i="32"/>
  <c r="AL32" i="32"/>
  <c r="AK32" i="32"/>
  <c r="AG32" i="32"/>
  <c r="AF32" i="32"/>
  <c r="AB32" i="32"/>
  <c r="AA32" i="32"/>
  <c r="T32" i="32"/>
  <c r="S32" i="32"/>
  <c r="R32" i="32"/>
  <c r="AM32" i="32" s="1"/>
  <c r="H32" i="32"/>
  <c r="G32" i="32"/>
  <c r="AR31" i="32"/>
  <c r="AL31" i="32"/>
  <c r="AK31" i="32"/>
  <c r="AG31" i="32"/>
  <c r="AF31" i="32"/>
  <c r="AB31" i="32"/>
  <c r="AA31" i="32"/>
  <c r="T31" i="32"/>
  <c r="S31" i="32"/>
  <c r="R31" i="32"/>
  <c r="AM31" i="32" s="1"/>
  <c r="H31" i="32"/>
  <c r="G31" i="32"/>
  <c r="AR30" i="32"/>
  <c r="AL30" i="32"/>
  <c r="AK30" i="32"/>
  <c r="AG30" i="32"/>
  <c r="AF30" i="32"/>
  <c r="AB30" i="32"/>
  <c r="AA30" i="32"/>
  <c r="T30" i="32"/>
  <c r="S30" i="32"/>
  <c r="R30" i="32"/>
  <c r="AM30" i="32" s="1"/>
  <c r="H30" i="32"/>
  <c r="G30" i="32"/>
  <c r="AR29" i="32"/>
  <c r="AL29" i="32"/>
  <c r="AK29" i="32"/>
  <c r="AG29" i="32"/>
  <c r="AF29" i="32"/>
  <c r="AB29" i="32"/>
  <c r="AA29" i="32"/>
  <c r="T29" i="32"/>
  <c r="S29" i="32"/>
  <c r="R29" i="32"/>
  <c r="AM29" i="32" s="1"/>
  <c r="H29" i="32"/>
  <c r="G29" i="32"/>
  <c r="AR28" i="32"/>
  <c r="AL28" i="32"/>
  <c r="AK28" i="32"/>
  <c r="AG28" i="32"/>
  <c r="AF28" i="32"/>
  <c r="AB28" i="32"/>
  <c r="AA28" i="32"/>
  <c r="T28" i="32"/>
  <c r="S28" i="32"/>
  <c r="R28" i="32"/>
  <c r="AM28" i="32" s="1"/>
  <c r="H28" i="32"/>
  <c r="G28" i="32"/>
  <c r="AR27" i="32"/>
  <c r="AL27" i="32"/>
  <c r="AK27" i="32"/>
  <c r="AG27" i="32"/>
  <c r="AF27" i="32"/>
  <c r="AB27" i="32"/>
  <c r="AA27" i="32"/>
  <c r="T27" i="32"/>
  <c r="S27" i="32"/>
  <c r="R27" i="32"/>
  <c r="AM27" i="32" s="1"/>
  <c r="H27" i="32"/>
  <c r="G27" i="32"/>
  <c r="AR26" i="32"/>
  <c r="AL26" i="32"/>
  <c r="AK26" i="32"/>
  <c r="AG26" i="32"/>
  <c r="AF26" i="32"/>
  <c r="AB26" i="32"/>
  <c r="AA26" i="32"/>
  <c r="T26" i="32"/>
  <c r="S26" i="32"/>
  <c r="R26" i="32"/>
  <c r="AM26" i="32" s="1"/>
  <c r="H26" i="32"/>
  <c r="G26" i="32"/>
  <c r="AR25" i="32"/>
  <c r="AL25" i="32"/>
  <c r="AK25" i="32"/>
  <c r="AG25" i="32"/>
  <c r="AF25" i="32"/>
  <c r="AB25" i="32"/>
  <c r="AA25" i="32"/>
  <c r="T25" i="32"/>
  <c r="S25" i="32"/>
  <c r="R25" i="32"/>
  <c r="AM25" i="32" s="1"/>
  <c r="H25" i="32"/>
  <c r="G25" i="32"/>
  <c r="AR24" i="32"/>
  <c r="AL24" i="32"/>
  <c r="AK24" i="32"/>
  <c r="AG24" i="32"/>
  <c r="AF24" i="32"/>
  <c r="AB24" i="32"/>
  <c r="AA24" i="32"/>
  <c r="T24" i="32"/>
  <c r="S24" i="32"/>
  <c r="R24" i="32"/>
  <c r="AM24" i="32" s="1"/>
  <c r="H24" i="32"/>
  <c r="G24" i="32"/>
  <c r="AR23" i="32"/>
  <c r="AL23" i="32"/>
  <c r="AK23" i="32"/>
  <c r="AG23" i="32"/>
  <c r="AF23" i="32"/>
  <c r="AB23" i="32"/>
  <c r="AA23" i="32"/>
  <c r="T23" i="32"/>
  <c r="S23" i="32"/>
  <c r="R23" i="32"/>
  <c r="AM23" i="32" s="1"/>
  <c r="H23" i="32"/>
  <c r="G23" i="32"/>
  <c r="AR22" i="32"/>
  <c r="AL22" i="32"/>
  <c r="AK22" i="32"/>
  <c r="AG22" i="32"/>
  <c r="AF22" i="32"/>
  <c r="AB22" i="32"/>
  <c r="AA22" i="32"/>
  <c r="T22" i="32"/>
  <c r="S22" i="32"/>
  <c r="R22" i="32"/>
  <c r="AM22" i="32" s="1"/>
  <c r="H22" i="32"/>
  <c r="G22" i="32"/>
  <c r="AR21" i="32"/>
  <c r="AL21" i="32"/>
  <c r="AK21" i="32"/>
  <c r="AG21" i="32"/>
  <c r="AF21" i="32"/>
  <c r="AB21" i="32"/>
  <c r="AA21" i="32"/>
  <c r="T21" i="32"/>
  <c r="S21" i="32"/>
  <c r="R21" i="32"/>
  <c r="AM21" i="32" s="1"/>
  <c r="H21" i="32"/>
  <c r="G21" i="32"/>
  <c r="AR20" i="32"/>
  <c r="AL20" i="32"/>
  <c r="AK20" i="32"/>
  <c r="AG20" i="32"/>
  <c r="AF20" i="32"/>
  <c r="AB20" i="32"/>
  <c r="AA20" i="32"/>
  <c r="T20" i="32"/>
  <c r="S20" i="32"/>
  <c r="R20" i="32"/>
  <c r="AM20" i="32" s="1"/>
  <c r="H20" i="32"/>
  <c r="G20" i="32"/>
  <c r="AR19" i="32"/>
  <c r="AL19" i="32"/>
  <c r="AK19" i="32"/>
  <c r="AG19" i="32"/>
  <c r="AF19" i="32"/>
  <c r="AB19" i="32"/>
  <c r="AA19" i="32"/>
  <c r="T19" i="32"/>
  <c r="S19" i="32"/>
  <c r="R19" i="32"/>
  <c r="AM19" i="32" s="1"/>
  <c r="H19" i="32"/>
  <c r="G19" i="32"/>
  <c r="AR18" i="32"/>
  <c r="AL18" i="32"/>
  <c r="AK18" i="32"/>
  <c r="AG18" i="32"/>
  <c r="AF18" i="32"/>
  <c r="AB18" i="32"/>
  <c r="AA18" i="32"/>
  <c r="T18" i="32"/>
  <c r="S18" i="32"/>
  <c r="R18" i="32"/>
  <c r="AM18" i="32" s="1"/>
  <c r="H18" i="32"/>
  <c r="G18" i="32"/>
  <c r="AR17" i="32"/>
  <c r="AL17" i="32"/>
  <c r="AK17" i="32"/>
  <c r="AG17" i="32"/>
  <c r="AF17" i="32"/>
  <c r="AB17" i="32"/>
  <c r="AA17" i="32"/>
  <c r="T17" i="32"/>
  <c r="S17" i="32"/>
  <c r="R17" i="32"/>
  <c r="AM17" i="32" s="1"/>
  <c r="H17" i="32"/>
  <c r="G17" i="32"/>
  <c r="AR16" i="32"/>
  <c r="AL16" i="32"/>
  <c r="AK16" i="32"/>
  <c r="AG16" i="32"/>
  <c r="AF16" i="32"/>
  <c r="AB16" i="32"/>
  <c r="AA16" i="32"/>
  <c r="T16" i="32"/>
  <c r="S16" i="32"/>
  <c r="R16" i="32"/>
  <c r="AM16" i="32" s="1"/>
  <c r="H16" i="32"/>
  <c r="G16" i="32"/>
  <c r="AR15" i="32"/>
  <c r="AL15" i="32"/>
  <c r="AK15" i="32"/>
  <c r="AG15" i="32"/>
  <c r="AF15" i="32"/>
  <c r="AB15" i="32"/>
  <c r="AA15" i="32"/>
  <c r="T15" i="32"/>
  <c r="S15" i="32"/>
  <c r="R15" i="32"/>
  <c r="AM15" i="32" s="1"/>
  <c r="H15" i="32"/>
  <c r="G15" i="32"/>
  <c r="AR14" i="32"/>
  <c r="AL14" i="32"/>
  <c r="AK14" i="32"/>
  <c r="AG14" i="32"/>
  <c r="AF14" i="32"/>
  <c r="AB14" i="32"/>
  <c r="AA14" i="32"/>
  <c r="T14" i="32"/>
  <c r="S14" i="32"/>
  <c r="R14" i="32"/>
  <c r="AM14" i="32" s="1"/>
  <c r="H14" i="32"/>
  <c r="G14" i="32"/>
  <c r="AR13" i="32"/>
  <c r="AL13" i="32"/>
  <c r="AK13" i="32"/>
  <c r="AG13" i="32"/>
  <c r="AF13" i="32"/>
  <c r="AB13" i="32"/>
  <c r="AA13" i="32"/>
  <c r="T13" i="32"/>
  <c r="S13" i="32"/>
  <c r="R13" i="32"/>
  <c r="AM13" i="32" s="1"/>
  <c r="H13" i="32"/>
  <c r="G13" i="32"/>
  <c r="AR12" i="32"/>
  <c r="AL12" i="32"/>
  <c r="AK12" i="32"/>
  <c r="AG12" i="32"/>
  <c r="AF12" i="32"/>
  <c r="AB12" i="32"/>
  <c r="AA12" i="32"/>
  <c r="T12" i="32"/>
  <c r="S12" i="32"/>
  <c r="R12" i="32"/>
  <c r="AM12" i="32" s="1"/>
  <c r="H12" i="32"/>
  <c r="G12" i="32"/>
  <c r="AR11" i="32"/>
  <c r="AL11" i="32"/>
  <c r="AK11" i="32"/>
  <c r="AG11" i="32"/>
  <c r="AF11" i="32"/>
  <c r="AB11" i="32"/>
  <c r="AA11" i="32"/>
  <c r="T11" i="32"/>
  <c r="S11" i="32"/>
  <c r="R11" i="32"/>
  <c r="AM11" i="32" s="1"/>
  <c r="H11" i="32"/>
  <c r="G11" i="32"/>
  <c r="AR10" i="32"/>
  <c r="AL10" i="32"/>
  <c r="AK10" i="32"/>
  <c r="AG10" i="32"/>
  <c r="AF10" i="32"/>
  <c r="AB10" i="32"/>
  <c r="AA10" i="32"/>
  <c r="T10" i="32"/>
  <c r="S10" i="32"/>
  <c r="R10" i="32"/>
  <c r="AM10" i="32" s="1"/>
  <c r="H10" i="32"/>
  <c r="G10" i="32"/>
  <c r="AR9" i="32"/>
  <c r="AL9" i="32"/>
  <c r="AK9" i="32"/>
  <c r="AG9" i="32"/>
  <c r="AF9" i="32"/>
  <c r="AB9" i="32"/>
  <c r="AA9" i="32"/>
  <c r="T9" i="32"/>
  <c r="S9" i="32"/>
  <c r="R9" i="32"/>
  <c r="AM9" i="32" s="1"/>
  <c r="H9" i="32"/>
  <c r="G9" i="32"/>
  <c r="AR8" i="32"/>
  <c r="AL8" i="32"/>
  <c r="AK8" i="32"/>
  <c r="AG8" i="32"/>
  <c r="AF8" i="32"/>
  <c r="AB8" i="32"/>
  <c r="AA8" i="32"/>
  <c r="T8" i="32"/>
  <c r="S8" i="32"/>
  <c r="R8" i="32"/>
  <c r="AM8" i="32" s="1"/>
  <c r="H8" i="32"/>
  <c r="G8" i="32"/>
  <c r="AR7" i="32"/>
  <c r="AL7" i="32"/>
  <c r="AK7" i="32"/>
  <c r="AG7" i="32"/>
  <c r="AF7" i="32"/>
  <c r="AB7" i="32"/>
  <c r="AA7" i="32"/>
  <c r="T7" i="32"/>
  <c r="S7" i="32"/>
  <c r="R7" i="32"/>
  <c r="AM7" i="32" s="1"/>
  <c r="H7" i="32"/>
  <c r="G7" i="32"/>
  <c r="AR6" i="32"/>
  <c r="AL6" i="32"/>
  <c r="AK6" i="32"/>
  <c r="AG6" i="32"/>
  <c r="AF6" i="32"/>
  <c r="AB6" i="32"/>
  <c r="AA6" i="32"/>
  <c r="T6" i="32"/>
  <c r="S6" i="32"/>
  <c r="R6" i="32"/>
  <c r="AM6" i="32" s="1"/>
  <c r="H6" i="32"/>
  <c r="G6" i="32"/>
  <c r="B6" i="32"/>
  <c r="B8" i="32" s="1"/>
  <c r="AR5" i="32"/>
  <c r="AL5" i="32"/>
  <c r="AK5" i="32"/>
  <c r="AG5" i="32"/>
  <c r="AF5" i="32"/>
  <c r="AB5" i="32"/>
  <c r="AA5" i="32"/>
  <c r="T5" i="32"/>
  <c r="S5" i="32"/>
  <c r="R5" i="32"/>
  <c r="AM5" i="32" s="1"/>
  <c r="H5" i="32"/>
  <c r="G5" i="32"/>
  <c r="B5" i="32"/>
  <c r="B7" i="32" s="1"/>
  <c r="A5" i="32"/>
  <c r="AR4" i="32"/>
  <c r="AL4" i="32"/>
  <c r="AK4" i="32"/>
  <c r="AG4" i="32"/>
  <c r="AF4" i="32"/>
  <c r="AB4" i="32"/>
  <c r="AA4" i="32"/>
  <c r="T4" i="32"/>
  <c r="S4" i="32"/>
  <c r="R4" i="32"/>
  <c r="H4" i="32"/>
  <c r="G4" i="32"/>
  <c r="A4" i="32"/>
  <c r="AP1" i="32"/>
  <c r="Z71" i="32" l="1"/>
  <c r="X71" i="32" s="1"/>
  <c r="AN15" i="32"/>
  <c r="AO13" i="32"/>
  <c r="AN36" i="32"/>
  <c r="AN39" i="32"/>
  <c r="AO64" i="32"/>
  <c r="AN38" i="32"/>
  <c r="AO25" i="32"/>
  <c r="AO33" i="32"/>
  <c r="AN57" i="32"/>
  <c r="AN56" i="32"/>
  <c r="AP56" i="32" s="1"/>
  <c r="AN58" i="32"/>
  <c r="AO56" i="32"/>
  <c r="AO57" i="32"/>
  <c r="AN59" i="32"/>
  <c r="AN54" i="32"/>
  <c r="AN55" i="32"/>
  <c r="AN62" i="32"/>
  <c r="AN63" i="32"/>
  <c r="AO55" i="32"/>
  <c r="AO60" i="32"/>
  <c r="AO61" i="32"/>
  <c r="AO63" i="32"/>
  <c r="AN52" i="32"/>
  <c r="AO52" i="32"/>
  <c r="AN51" i="32"/>
  <c r="AO47" i="32"/>
  <c r="AO49" i="32"/>
  <c r="AN50" i="32"/>
  <c r="AO48" i="32"/>
  <c r="AN40" i="32"/>
  <c r="AN48" i="32"/>
  <c r="AN42" i="32"/>
  <c r="AN44" i="32"/>
  <c r="AN47" i="32"/>
  <c r="AP47" i="32" s="1"/>
  <c r="AN49" i="32"/>
  <c r="AP49" i="32" s="1"/>
  <c r="AN46" i="32"/>
  <c r="AO44" i="32"/>
  <c r="AO45" i="32"/>
  <c r="AO40" i="32"/>
  <c r="AN41" i="32"/>
  <c r="AO41" i="32"/>
  <c r="AN43" i="32"/>
  <c r="AO39" i="32"/>
  <c r="AN13" i="32"/>
  <c r="AP13" i="32" s="1"/>
  <c r="AN19" i="32"/>
  <c r="AN20" i="32"/>
  <c r="AN22" i="32"/>
  <c r="AN23" i="32"/>
  <c r="AO18" i="32"/>
  <c r="AO5" i="32"/>
  <c r="AN27" i="32"/>
  <c r="AN30" i="32"/>
  <c r="AN31" i="32"/>
  <c r="AN4" i="32"/>
  <c r="AN7" i="32"/>
  <c r="AN8" i="32"/>
  <c r="AO14" i="32"/>
  <c r="AN16" i="32"/>
  <c r="AO20" i="32"/>
  <c r="AO23" i="32"/>
  <c r="AN24" i="32"/>
  <c r="AN25" i="32"/>
  <c r="AO28" i="32"/>
  <c r="AO29" i="32"/>
  <c r="AO31" i="32"/>
  <c r="AN32" i="32"/>
  <c r="AN33" i="32"/>
  <c r="AP33" i="32" s="1"/>
  <c r="AO36" i="32"/>
  <c r="AP36" i="32" s="1"/>
  <c r="AO37" i="32"/>
  <c r="AO4" i="32"/>
  <c r="AO7" i="32"/>
  <c r="AO8" i="32"/>
  <c r="AN9" i="32"/>
  <c r="AN11" i="32"/>
  <c r="AN12" i="32"/>
  <c r="AO16" i="32"/>
  <c r="AN17" i="32"/>
  <c r="AO24" i="32"/>
  <c r="AN26" i="32"/>
  <c r="AO32" i="32"/>
  <c r="AN34" i="32"/>
  <c r="AN5" i="32"/>
  <c r="AO12" i="32"/>
  <c r="AO17" i="32"/>
  <c r="AN35" i="32"/>
  <c r="AO6" i="32"/>
  <c r="AO10" i="32"/>
  <c r="AO9" i="32"/>
  <c r="A8" i="32"/>
  <c r="B10" i="32"/>
  <c r="B9" i="32"/>
  <c r="A7" i="32"/>
  <c r="AO11" i="32"/>
  <c r="R66" i="32"/>
  <c r="AN6" i="32"/>
  <c r="S66" i="32"/>
  <c r="AM4" i="32"/>
  <c r="AM66" i="32" s="1"/>
  <c r="H15" i="1" s="1"/>
  <c r="AN10" i="32"/>
  <c r="AO15" i="32"/>
  <c r="AN18" i="32"/>
  <c r="T66" i="32"/>
  <c r="A6" i="32"/>
  <c r="AN14" i="32"/>
  <c r="AO21" i="32"/>
  <c r="AN28" i="32"/>
  <c r="AO53" i="32"/>
  <c r="AN60" i="32"/>
  <c r="AO19" i="32"/>
  <c r="AO26" i="32"/>
  <c r="AO27" i="32"/>
  <c r="AO34" i="32"/>
  <c r="AO35" i="32"/>
  <c r="AO42" i="32"/>
  <c r="AO43" i="32"/>
  <c r="AO50" i="32"/>
  <c r="AO51" i="32"/>
  <c r="AP51" i="32" s="1"/>
  <c r="AO58" i="32"/>
  <c r="AO59" i="32"/>
  <c r="AN64" i="32"/>
  <c r="AP64" i="32" s="1"/>
  <c r="AN65" i="32"/>
  <c r="Y71" i="32"/>
  <c r="W71" i="32" s="1"/>
  <c r="AN21" i="32"/>
  <c r="AN29" i="32"/>
  <c r="AN37" i="32"/>
  <c r="AN45" i="32"/>
  <c r="AN53" i="32"/>
  <c r="AN61" i="32"/>
  <c r="AO65" i="32"/>
  <c r="AO22" i="32"/>
  <c r="AO30" i="32"/>
  <c r="AP30" i="32" s="1"/>
  <c r="AO38" i="32"/>
  <c r="AO46" i="32"/>
  <c r="AO54" i="32"/>
  <c r="AO62" i="32"/>
  <c r="AS25" i="13"/>
  <c r="AP58" i="32" l="1"/>
  <c r="AP25" i="32"/>
  <c r="AP44" i="32"/>
  <c r="AP57" i="32"/>
  <c r="AP8" i="32"/>
  <c r="AP15" i="32"/>
  <c r="AP18" i="32"/>
  <c r="AP19" i="32"/>
  <c r="AP11" i="32"/>
  <c r="AP23" i="32"/>
  <c r="AP31" i="32"/>
  <c r="AP38" i="32"/>
  <c r="AP39" i="32"/>
  <c r="AP21" i="32"/>
  <c r="AP59" i="32"/>
  <c r="AP4" i="32"/>
  <c r="AP61" i="32"/>
  <c r="AP62" i="32"/>
  <c r="AP55" i="32"/>
  <c r="AP60" i="32"/>
  <c r="AP63" i="32"/>
  <c r="AP52" i="32"/>
  <c r="AP53" i="32"/>
  <c r="AP40" i="32"/>
  <c r="AP48" i="32"/>
  <c r="AP50" i="32"/>
  <c r="AP46" i="32"/>
  <c r="AP45" i="32"/>
  <c r="AP41" i="32"/>
  <c r="AP43" i="32"/>
  <c r="AP37" i="32"/>
  <c r="AP29" i="32"/>
  <c r="AP5" i="32"/>
  <c r="AP7" i="32"/>
  <c r="AP20" i="32"/>
  <c r="AP16" i="32"/>
  <c r="AP35" i="32"/>
  <c r="AP28" i="32"/>
  <c r="AP34" i="32"/>
  <c r="AP9" i="32"/>
  <c r="AP24" i="32"/>
  <c r="AP6" i="32"/>
  <c r="AP12" i="32"/>
  <c r="AP14" i="32"/>
  <c r="AP17" i="32"/>
  <c r="AP32" i="32"/>
  <c r="AP10" i="32"/>
  <c r="AP26" i="32"/>
  <c r="B12" i="32"/>
  <c r="A10" i="32"/>
  <c r="AP54" i="32"/>
  <c r="AP22" i="32"/>
  <c r="AP42" i="32"/>
  <c r="B11" i="32"/>
  <c r="A9" i="32"/>
  <c r="AP27" i="32"/>
  <c r="AP65" i="32"/>
  <c r="AO66" i="32"/>
  <c r="J15" i="1" s="1"/>
  <c r="AN66" i="32"/>
  <c r="I15" i="1" s="1"/>
  <c r="J69" i="13"/>
  <c r="I67" i="13"/>
  <c r="O68" i="13"/>
  <c r="M15" i="1" l="1"/>
  <c r="N15" i="1" s="1"/>
  <c r="A12" i="32"/>
  <c r="B14" i="32"/>
  <c r="B13" i="32"/>
  <c r="A11" i="32"/>
  <c r="Q68" i="2"/>
  <c r="Q67" i="2"/>
  <c r="A13" i="32" l="1"/>
  <c r="B15" i="32"/>
  <c r="B16" i="32"/>
  <c r="A14" i="32"/>
  <c r="A16" i="32" l="1"/>
  <c r="B18" i="32"/>
  <c r="B17" i="32"/>
  <c r="A15" i="32"/>
  <c r="B19" i="32" l="1"/>
  <c r="A17" i="32"/>
  <c r="B20" i="32"/>
  <c r="A18" i="32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A20" i="32" l="1"/>
  <c r="B22" i="32"/>
  <c r="B21" i="32"/>
  <c r="A19" i="32"/>
  <c r="B23" i="32" l="1"/>
  <c r="A21" i="32"/>
  <c r="B24" i="32"/>
  <c r="A22" i="32"/>
  <c r="AS31" i="12"/>
  <c r="A24" i="32" l="1"/>
  <c r="B26" i="32"/>
  <c r="A23" i="32"/>
  <c r="B25" i="32"/>
  <c r="M56" i="1"/>
  <c r="N56" i="1" s="1"/>
  <c r="B27" i="32" l="1"/>
  <c r="A25" i="32"/>
  <c r="B28" i="32"/>
  <c r="A26" i="32"/>
  <c r="A28" i="32" l="1"/>
  <c r="B30" i="32"/>
  <c r="A27" i="32"/>
  <c r="B29" i="32"/>
  <c r="AS17" i="14"/>
  <c r="AS17" i="9"/>
  <c r="B31" i="32" l="1"/>
  <c r="A29" i="32"/>
  <c r="B32" i="32"/>
  <c r="A30" i="32"/>
  <c r="A31" i="32" l="1"/>
  <c r="B33" i="32"/>
  <c r="A32" i="32"/>
  <c r="B34" i="32"/>
  <c r="AS17" i="8"/>
  <c r="B35" i="32" l="1"/>
  <c r="A33" i="32"/>
  <c r="B36" i="32"/>
  <c r="A34" i="32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36" i="32" l="1"/>
  <c r="B38" i="32"/>
  <c r="A35" i="32"/>
  <c r="B37" i="32"/>
  <c r="AK5" i="19"/>
  <c r="AL5" i="19"/>
  <c r="AK6" i="19"/>
  <c r="AL6" i="19"/>
  <c r="AK7" i="19"/>
  <c r="AL7" i="19"/>
  <c r="AK8" i="19"/>
  <c r="AL8" i="19"/>
  <c r="AK9" i="19"/>
  <c r="AL9" i="19"/>
  <c r="AK10" i="19"/>
  <c r="AL10" i="19"/>
  <c r="AK11" i="19"/>
  <c r="AL11" i="19"/>
  <c r="AK12" i="19"/>
  <c r="AL12" i="19"/>
  <c r="AK13" i="19"/>
  <c r="AL13" i="19"/>
  <c r="AK14" i="19"/>
  <c r="AL14" i="19"/>
  <c r="AK15" i="19"/>
  <c r="AL15" i="19"/>
  <c r="AK16" i="19"/>
  <c r="AL16" i="19"/>
  <c r="AK17" i="19"/>
  <c r="AL17" i="19"/>
  <c r="AK18" i="19"/>
  <c r="AL18" i="19"/>
  <c r="AK19" i="19"/>
  <c r="AL19" i="19"/>
  <c r="AK20" i="19"/>
  <c r="AL20" i="19"/>
  <c r="AK21" i="19"/>
  <c r="AL21" i="19"/>
  <c r="AK22" i="19"/>
  <c r="AL22" i="19"/>
  <c r="AK23" i="19"/>
  <c r="AL23" i="19"/>
  <c r="AK24" i="19"/>
  <c r="AL24" i="19"/>
  <c r="AK25" i="19"/>
  <c r="AL25" i="19"/>
  <c r="AK26" i="19"/>
  <c r="AL26" i="19"/>
  <c r="AK27" i="19"/>
  <c r="AL27" i="19"/>
  <c r="AK28" i="19"/>
  <c r="AL28" i="19"/>
  <c r="AK29" i="19"/>
  <c r="AL29" i="19"/>
  <c r="AK30" i="19"/>
  <c r="AL30" i="19"/>
  <c r="AK31" i="19"/>
  <c r="AL31" i="19"/>
  <c r="AK32" i="19"/>
  <c r="AL32" i="19"/>
  <c r="AK33" i="19"/>
  <c r="AL33" i="19"/>
  <c r="AK34" i="19"/>
  <c r="AL34" i="19"/>
  <c r="AK35" i="19"/>
  <c r="AL35" i="19"/>
  <c r="AK36" i="19"/>
  <c r="AL36" i="19"/>
  <c r="AK37" i="19"/>
  <c r="AL37" i="19"/>
  <c r="AK38" i="19"/>
  <c r="AL38" i="19"/>
  <c r="AK39" i="19"/>
  <c r="AL39" i="19"/>
  <c r="AK40" i="19"/>
  <c r="AL40" i="19"/>
  <c r="AK41" i="19"/>
  <c r="AL41" i="19"/>
  <c r="AK42" i="19"/>
  <c r="AL42" i="19"/>
  <c r="AK43" i="19"/>
  <c r="AL43" i="19"/>
  <c r="AK44" i="19"/>
  <c r="AL44" i="19"/>
  <c r="AK45" i="19"/>
  <c r="AL45" i="19"/>
  <c r="AK46" i="19"/>
  <c r="AL46" i="19"/>
  <c r="AK47" i="19"/>
  <c r="AL47" i="19"/>
  <c r="AK48" i="19"/>
  <c r="AL48" i="19"/>
  <c r="AK49" i="19"/>
  <c r="AL49" i="19"/>
  <c r="AK50" i="19"/>
  <c r="AL50" i="19"/>
  <c r="AK51" i="19"/>
  <c r="AL51" i="19"/>
  <c r="AK52" i="19"/>
  <c r="AL52" i="19"/>
  <c r="AK53" i="19"/>
  <c r="AL53" i="19"/>
  <c r="AK54" i="19"/>
  <c r="AL54" i="19"/>
  <c r="AK55" i="19"/>
  <c r="AL55" i="19"/>
  <c r="AK56" i="19"/>
  <c r="AL56" i="19"/>
  <c r="AK57" i="19"/>
  <c r="AL57" i="19"/>
  <c r="AK58" i="19"/>
  <c r="AL58" i="19"/>
  <c r="AK59" i="19"/>
  <c r="AL59" i="19"/>
  <c r="AK60" i="19"/>
  <c r="AL60" i="19"/>
  <c r="AK61" i="19"/>
  <c r="AL61" i="19"/>
  <c r="AK62" i="19"/>
  <c r="AL62" i="19"/>
  <c r="AK63" i="19"/>
  <c r="AL63" i="19"/>
  <c r="AK64" i="19"/>
  <c r="AL64" i="19"/>
  <c r="AK65" i="19"/>
  <c r="AL65" i="19"/>
  <c r="AF5" i="19"/>
  <c r="AG5" i="19"/>
  <c r="AF6" i="19"/>
  <c r="AG6" i="19"/>
  <c r="AF7" i="19"/>
  <c r="AG7" i="19"/>
  <c r="AF8" i="19"/>
  <c r="AG8" i="19"/>
  <c r="AF9" i="19"/>
  <c r="AG9" i="19"/>
  <c r="AF10" i="19"/>
  <c r="AG10" i="19"/>
  <c r="AF11" i="19"/>
  <c r="AG11" i="19"/>
  <c r="AF12" i="19"/>
  <c r="AG12" i="19"/>
  <c r="AF13" i="19"/>
  <c r="AG13" i="19"/>
  <c r="AF14" i="19"/>
  <c r="AG14" i="19"/>
  <c r="AF15" i="19"/>
  <c r="AG15" i="19"/>
  <c r="AF16" i="19"/>
  <c r="AG16" i="19"/>
  <c r="AF17" i="19"/>
  <c r="AG17" i="19"/>
  <c r="AF18" i="19"/>
  <c r="AG18" i="19"/>
  <c r="AF19" i="19"/>
  <c r="AG19" i="19"/>
  <c r="AF20" i="19"/>
  <c r="AG20" i="19"/>
  <c r="AF21" i="19"/>
  <c r="AG21" i="19"/>
  <c r="AF22" i="19"/>
  <c r="AG22" i="19"/>
  <c r="AF23" i="19"/>
  <c r="AG23" i="19"/>
  <c r="AF24" i="19"/>
  <c r="AG24" i="19"/>
  <c r="AF25" i="19"/>
  <c r="AG25" i="19"/>
  <c r="AF26" i="19"/>
  <c r="AG26" i="19"/>
  <c r="AF27" i="19"/>
  <c r="AG27" i="19"/>
  <c r="AF28" i="19"/>
  <c r="AG28" i="19"/>
  <c r="AF29" i="19"/>
  <c r="AG29" i="19"/>
  <c r="AF30" i="19"/>
  <c r="AG30" i="19"/>
  <c r="AF31" i="19"/>
  <c r="AG31" i="19"/>
  <c r="AF32" i="19"/>
  <c r="AG32" i="19"/>
  <c r="AF33" i="19"/>
  <c r="AG33" i="19"/>
  <c r="AF34" i="19"/>
  <c r="AG34" i="19"/>
  <c r="AF35" i="19"/>
  <c r="AG35" i="19"/>
  <c r="AF36" i="19"/>
  <c r="AG36" i="19"/>
  <c r="AF37" i="19"/>
  <c r="AG37" i="19"/>
  <c r="AF38" i="19"/>
  <c r="AG38" i="19"/>
  <c r="AF39" i="19"/>
  <c r="AG39" i="19"/>
  <c r="AF40" i="19"/>
  <c r="AG40" i="19"/>
  <c r="AF41" i="19"/>
  <c r="AG41" i="19"/>
  <c r="AF42" i="19"/>
  <c r="AG42" i="19"/>
  <c r="AF43" i="19"/>
  <c r="AG43" i="19"/>
  <c r="AF44" i="19"/>
  <c r="AG44" i="19"/>
  <c r="AF45" i="19"/>
  <c r="AG45" i="19"/>
  <c r="AF46" i="19"/>
  <c r="AG46" i="19"/>
  <c r="AF47" i="19"/>
  <c r="AG47" i="19"/>
  <c r="AF48" i="19"/>
  <c r="AG48" i="19"/>
  <c r="AF49" i="19"/>
  <c r="AG49" i="19"/>
  <c r="AF50" i="19"/>
  <c r="AG50" i="19"/>
  <c r="AF51" i="19"/>
  <c r="AG51" i="19"/>
  <c r="AF52" i="19"/>
  <c r="AG52" i="19"/>
  <c r="AF53" i="19"/>
  <c r="AG53" i="19"/>
  <c r="AF54" i="19"/>
  <c r="AG54" i="19"/>
  <c r="AF55" i="19"/>
  <c r="AG55" i="19"/>
  <c r="AF56" i="19"/>
  <c r="AG56" i="19"/>
  <c r="AF57" i="19"/>
  <c r="AG57" i="19"/>
  <c r="AF58" i="19"/>
  <c r="AG58" i="19"/>
  <c r="AF59" i="19"/>
  <c r="AG59" i="19"/>
  <c r="AF60" i="19"/>
  <c r="AG60" i="19"/>
  <c r="AF61" i="19"/>
  <c r="AG61" i="19"/>
  <c r="AF62" i="19"/>
  <c r="AG62" i="19"/>
  <c r="AF63" i="19"/>
  <c r="AG63" i="19"/>
  <c r="AF64" i="19"/>
  <c r="AG64" i="19"/>
  <c r="AF65" i="19"/>
  <c r="AG65" i="19"/>
  <c r="AA5" i="19"/>
  <c r="AB5" i="19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12" i="19"/>
  <c r="AB12" i="19"/>
  <c r="AA13" i="19"/>
  <c r="AB13" i="19"/>
  <c r="AA14" i="19"/>
  <c r="AB14" i="19"/>
  <c r="AA15" i="19"/>
  <c r="AB15" i="19"/>
  <c r="AA16" i="19"/>
  <c r="AB16" i="19"/>
  <c r="AA17" i="19"/>
  <c r="AB17" i="19"/>
  <c r="AA18" i="19"/>
  <c r="AB18" i="19"/>
  <c r="AA19" i="19"/>
  <c r="AB19" i="19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R5" i="19"/>
  <c r="S5" i="19"/>
  <c r="T5" i="19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19"/>
  <c r="S18" i="19"/>
  <c r="T18" i="19"/>
  <c r="R19" i="19"/>
  <c r="S19" i="19"/>
  <c r="T19" i="19"/>
  <c r="R20" i="19"/>
  <c r="S20" i="19"/>
  <c r="T20" i="19"/>
  <c r="R21" i="19"/>
  <c r="S21" i="19"/>
  <c r="T21" i="19"/>
  <c r="R22" i="19"/>
  <c r="S22" i="19"/>
  <c r="T22" i="19"/>
  <c r="R23" i="19"/>
  <c r="S23" i="19"/>
  <c r="T23" i="19"/>
  <c r="R24" i="19"/>
  <c r="S24" i="19"/>
  <c r="T24" i="19"/>
  <c r="R25" i="19"/>
  <c r="S25" i="19"/>
  <c r="T25" i="19"/>
  <c r="R26" i="19"/>
  <c r="S26" i="19"/>
  <c r="T26" i="19"/>
  <c r="R27" i="19"/>
  <c r="S27" i="19"/>
  <c r="T27" i="19"/>
  <c r="R28" i="19"/>
  <c r="S28" i="19"/>
  <c r="T28" i="19"/>
  <c r="R29" i="19"/>
  <c r="S29" i="19"/>
  <c r="T29" i="19"/>
  <c r="R30" i="19"/>
  <c r="S30" i="19"/>
  <c r="T30" i="19"/>
  <c r="R31" i="19"/>
  <c r="S31" i="19"/>
  <c r="T31" i="19"/>
  <c r="R32" i="19"/>
  <c r="S32" i="19"/>
  <c r="T32" i="19"/>
  <c r="R33" i="19"/>
  <c r="S33" i="19"/>
  <c r="T33" i="19"/>
  <c r="R34" i="19"/>
  <c r="S34" i="19"/>
  <c r="T34" i="19"/>
  <c r="R35" i="19"/>
  <c r="S35" i="19"/>
  <c r="T35" i="19"/>
  <c r="R36" i="19"/>
  <c r="S36" i="19"/>
  <c r="T36" i="19"/>
  <c r="R37" i="19"/>
  <c r="S37" i="19"/>
  <c r="T37" i="19"/>
  <c r="R38" i="19"/>
  <c r="S38" i="19"/>
  <c r="T38" i="19"/>
  <c r="R39" i="19"/>
  <c r="S39" i="19"/>
  <c r="T39" i="19"/>
  <c r="R40" i="19"/>
  <c r="S40" i="19"/>
  <c r="T40" i="19"/>
  <c r="R41" i="19"/>
  <c r="S41" i="19"/>
  <c r="T41" i="19"/>
  <c r="R42" i="19"/>
  <c r="S42" i="19"/>
  <c r="T42" i="19"/>
  <c r="R43" i="19"/>
  <c r="S43" i="19"/>
  <c r="T43" i="19"/>
  <c r="R44" i="19"/>
  <c r="S44" i="19"/>
  <c r="T44" i="19"/>
  <c r="R45" i="19"/>
  <c r="S45" i="19"/>
  <c r="T45" i="19"/>
  <c r="R46" i="19"/>
  <c r="S46" i="19"/>
  <c r="T46" i="19"/>
  <c r="R47" i="19"/>
  <c r="S47" i="19"/>
  <c r="T47" i="19"/>
  <c r="R48" i="19"/>
  <c r="S48" i="19"/>
  <c r="T48" i="19"/>
  <c r="R49" i="19"/>
  <c r="S49" i="19"/>
  <c r="T49" i="19"/>
  <c r="R50" i="19"/>
  <c r="S50" i="19"/>
  <c r="T50" i="19"/>
  <c r="R51" i="19"/>
  <c r="S51" i="19"/>
  <c r="T51" i="19"/>
  <c r="R52" i="19"/>
  <c r="S52" i="19"/>
  <c r="T52" i="19"/>
  <c r="R53" i="19"/>
  <c r="S53" i="19"/>
  <c r="T53" i="19"/>
  <c r="S54" i="19"/>
  <c r="T54" i="19"/>
  <c r="S55" i="19"/>
  <c r="T55" i="19"/>
  <c r="S56" i="19"/>
  <c r="T56" i="19"/>
  <c r="S57" i="19"/>
  <c r="T57" i="19"/>
  <c r="S58" i="19"/>
  <c r="T58" i="19"/>
  <c r="S59" i="19"/>
  <c r="T59" i="19"/>
  <c r="S60" i="19"/>
  <c r="T60" i="19"/>
  <c r="S61" i="19"/>
  <c r="T61" i="19"/>
  <c r="S62" i="19"/>
  <c r="T62" i="19"/>
  <c r="S63" i="19"/>
  <c r="T63" i="19"/>
  <c r="R64" i="19"/>
  <c r="S64" i="19"/>
  <c r="T64" i="19"/>
  <c r="R65" i="19"/>
  <c r="S65" i="19"/>
  <c r="T65" i="19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H42" i="19"/>
  <c r="G43" i="19"/>
  <c r="H43" i="19"/>
  <c r="G44" i="19"/>
  <c r="H44" i="19"/>
  <c r="G45" i="19"/>
  <c r="H45" i="19"/>
  <c r="G46" i="19"/>
  <c r="H46" i="19"/>
  <c r="G47" i="19"/>
  <c r="H47" i="19"/>
  <c r="G48" i="19"/>
  <c r="H48" i="19"/>
  <c r="G49" i="19"/>
  <c r="H49" i="19"/>
  <c r="G50" i="19"/>
  <c r="H50" i="19"/>
  <c r="G51" i="19"/>
  <c r="H51" i="19"/>
  <c r="G52" i="19"/>
  <c r="H52" i="19"/>
  <c r="G53" i="19"/>
  <c r="H53" i="19"/>
  <c r="G54" i="19"/>
  <c r="H54" i="19"/>
  <c r="G55" i="19"/>
  <c r="H55" i="19"/>
  <c r="G56" i="19"/>
  <c r="H56" i="19"/>
  <c r="G57" i="19"/>
  <c r="H57" i="19"/>
  <c r="G58" i="19"/>
  <c r="H58" i="19"/>
  <c r="G59" i="19"/>
  <c r="H59" i="19"/>
  <c r="G60" i="19"/>
  <c r="H60" i="19"/>
  <c r="G61" i="19"/>
  <c r="H61" i="19"/>
  <c r="G62" i="19"/>
  <c r="H62" i="19"/>
  <c r="G63" i="19"/>
  <c r="H63" i="19"/>
  <c r="G64" i="19"/>
  <c r="H64" i="19"/>
  <c r="G65" i="19"/>
  <c r="H65" i="19"/>
  <c r="B39" i="32" l="1"/>
  <c r="A37" i="32"/>
  <c r="B40" i="32"/>
  <c r="A38" i="32"/>
  <c r="AS63" i="11"/>
  <c r="AS49" i="11"/>
  <c r="A40" i="32" l="1"/>
  <c r="B42" i="32"/>
  <c r="A39" i="32"/>
  <c r="B41" i="32"/>
  <c r="AP1" i="17"/>
  <c r="T65" i="17"/>
  <c r="S65" i="17"/>
  <c r="R65" i="17"/>
  <c r="AM65" i="17" s="1"/>
  <c r="T64" i="17"/>
  <c r="S64" i="17"/>
  <c r="R64" i="17"/>
  <c r="AM64" i="17" s="1"/>
  <c r="T63" i="17"/>
  <c r="S63" i="17"/>
  <c r="R63" i="17"/>
  <c r="T62" i="17"/>
  <c r="S62" i="17"/>
  <c r="R62" i="17"/>
  <c r="AM62" i="17" s="1"/>
  <c r="T61" i="17"/>
  <c r="S61" i="17"/>
  <c r="R61" i="17"/>
  <c r="AM61" i="17" s="1"/>
  <c r="T60" i="17"/>
  <c r="S60" i="17"/>
  <c r="R60" i="17"/>
  <c r="AM60" i="17" s="1"/>
  <c r="T59" i="17"/>
  <c r="S59" i="17"/>
  <c r="R59" i="17"/>
  <c r="AM59" i="17" s="1"/>
  <c r="T58" i="17"/>
  <c r="S58" i="17"/>
  <c r="R58" i="17"/>
  <c r="AM58" i="17" s="1"/>
  <c r="T57" i="17"/>
  <c r="S57" i="17"/>
  <c r="R57" i="17"/>
  <c r="AM57" i="17" s="1"/>
  <c r="T56" i="17"/>
  <c r="S56" i="17"/>
  <c r="R56" i="17"/>
  <c r="AM56" i="17" s="1"/>
  <c r="T55" i="17"/>
  <c r="S55" i="17"/>
  <c r="R55" i="17"/>
  <c r="AM55" i="17" s="1"/>
  <c r="T54" i="17"/>
  <c r="S54" i="17"/>
  <c r="R54" i="17"/>
  <c r="AM54" i="17" s="1"/>
  <c r="T53" i="17"/>
  <c r="S53" i="17"/>
  <c r="R53" i="17"/>
  <c r="AM53" i="17" s="1"/>
  <c r="T52" i="17"/>
  <c r="S52" i="17"/>
  <c r="R52" i="17"/>
  <c r="AM52" i="17" s="1"/>
  <c r="T51" i="17"/>
  <c r="S51" i="17"/>
  <c r="R51" i="17"/>
  <c r="AM51" i="17" s="1"/>
  <c r="T50" i="17"/>
  <c r="S50" i="17"/>
  <c r="R50" i="17"/>
  <c r="AM50" i="17" s="1"/>
  <c r="T49" i="17"/>
  <c r="S49" i="17"/>
  <c r="R49" i="17"/>
  <c r="AM49" i="17" s="1"/>
  <c r="T48" i="17"/>
  <c r="S48" i="17"/>
  <c r="R48" i="17"/>
  <c r="AM48" i="17" s="1"/>
  <c r="T47" i="17"/>
  <c r="S47" i="17"/>
  <c r="R47" i="17"/>
  <c r="AM47" i="17" s="1"/>
  <c r="T46" i="17"/>
  <c r="S46" i="17"/>
  <c r="R46" i="17"/>
  <c r="AM46" i="17" s="1"/>
  <c r="T45" i="17"/>
  <c r="S45" i="17"/>
  <c r="R45" i="17"/>
  <c r="AM45" i="17" s="1"/>
  <c r="T44" i="17"/>
  <c r="S44" i="17"/>
  <c r="R44" i="17"/>
  <c r="AM44" i="17" s="1"/>
  <c r="T43" i="17"/>
  <c r="S43" i="17"/>
  <c r="R43" i="17"/>
  <c r="AM43" i="17" s="1"/>
  <c r="T42" i="17"/>
  <c r="S42" i="17"/>
  <c r="R42" i="17"/>
  <c r="AM42" i="17" s="1"/>
  <c r="T41" i="17"/>
  <c r="S41" i="17"/>
  <c r="R41" i="17"/>
  <c r="AM41" i="17" s="1"/>
  <c r="T40" i="17"/>
  <c r="S40" i="17"/>
  <c r="R40" i="17"/>
  <c r="AM40" i="17" s="1"/>
  <c r="T39" i="17"/>
  <c r="S39" i="17"/>
  <c r="R39" i="17"/>
  <c r="AM39" i="17" s="1"/>
  <c r="T38" i="17"/>
  <c r="S38" i="17"/>
  <c r="R38" i="17"/>
  <c r="AM38" i="17" s="1"/>
  <c r="T37" i="17"/>
  <c r="S37" i="17"/>
  <c r="R37" i="17"/>
  <c r="AM37" i="17" s="1"/>
  <c r="T36" i="17"/>
  <c r="S36" i="17"/>
  <c r="R36" i="17"/>
  <c r="AM36" i="17" s="1"/>
  <c r="T35" i="17"/>
  <c r="S35" i="17"/>
  <c r="R35" i="17"/>
  <c r="AM35" i="17" s="1"/>
  <c r="T34" i="17"/>
  <c r="S34" i="17"/>
  <c r="R34" i="17"/>
  <c r="AM34" i="17" s="1"/>
  <c r="T33" i="17"/>
  <c r="S33" i="17"/>
  <c r="R33" i="17"/>
  <c r="AM33" i="17" s="1"/>
  <c r="T32" i="17"/>
  <c r="S32" i="17"/>
  <c r="R32" i="17"/>
  <c r="AM32" i="17" s="1"/>
  <c r="T31" i="17"/>
  <c r="S31" i="17"/>
  <c r="R31" i="17"/>
  <c r="AM31" i="17" s="1"/>
  <c r="T30" i="17"/>
  <c r="S30" i="17"/>
  <c r="R30" i="17"/>
  <c r="AM30" i="17" s="1"/>
  <c r="T29" i="17"/>
  <c r="S29" i="17"/>
  <c r="R29" i="17"/>
  <c r="AM29" i="17" s="1"/>
  <c r="T28" i="17"/>
  <c r="S28" i="17"/>
  <c r="R28" i="17"/>
  <c r="AM28" i="17" s="1"/>
  <c r="T27" i="17"/>
  <c r="S27" i="17"/>
  <c r="R27" i="17"/>
  <c r="AM27" i="17" s="1"/>
  <c r="T26" i="17"/>
  <c r="S26" i="17"/>
  <c r="R26" i="17"/>
  <c r="AM26" i="17" s="1"/>
  <c r="T25" i="17"/>
  <c r="S25" i="17"/>
  <c r="R25" i="17"/>
  <c r="AM25" i="17" s="1"/>
  <c r="T24" i="17"/>
  <c r="S24" i="17"/>
  <c r="R24" i="17"/>
  <c r="AM24" i="17" s="1"/>
  <c r="T23" i="17"/>
  <c r="S23" i="17"/>
  <c r="R23" i="17"/>
  <c r="T22" i="17"/>
  <c r="S22" i="17"/>
  <c r="R22" i="17"/>
  <c r="AM22" i="17" s="1"/>
  <c r="T21" i="17"/>
  <c r="S21" i="17"/>
  <c r="R21" i="17"/>
  <c r="AM21" i="17" s="1"/>
  <c r="T20" i="17"/>
  <c r="S20" i="17"/>
  <c r="R20" i="17"/>
  <c r="AM20" i="17" s="1"/>
  <c r="T19" i="17"/>
  <c r="S19" i="17"/>
  <c r="R19" i="17"/>
  <c r="AM19" i="17" s="1"/>
  <c r="T18" i="17"/>
  <c r="S18" i="17"/>
  <c r="R18" i="17"/>
  <c r="AM18" i="17" s="1"/>
  <c r="T17" i="17"/>
  <c r="S17" i="17"/>
  <c r="R17" i="17"/>
  <c r="AM17" i="17" s="1"/>
  <c r="T16" i="17"/>
  <c r="S16" i="17"/>
  <c r="R16" i="17"/>
  <c r="T15" i="17"/>
  <c r="S15" i="17"/>
  <c r="R15" i="17"/>
  <c r="AM15" i="17" s="1"/>
  <c r="T14" i="17"/>
  <c r="S14" i="17"/>
  <c r="R14" i="17"/>
  <c r="AM14" i="17" s="1"/>
  <c r="T13" i="17"/>
  <c r="S13" i="17"/>
  <c r="R13" i="17"/>
  <c r="AM13" i="17" s="1"/>
  <c r="T12" i="17"/>
  <c r="S12" i="17"/>
  <c r="R12" i="17"/>
  <c r="AM12" i="17" s="1"/>
  <c r="T11" i="17"/>
  <c r="S11" i="17"/>
  <c r="R11" i="17"/>
  <c r="AM11" i="17" s="1"/>
  <c r="T10" i="17"/>
  <c r="S10" i="17"/>
  <c r="R10" i="17"/>
  <c r="AM10" i="17" s="1"/>
  <c r="T9" i="17"/>
  <c r="S9" i="17"/>
  <c r="R9" i="17"/>
  <c r="AM9" i="17" s="1"/>
  <c r="T8" i="17"/>
  <c r="S8" i="17"/>
  <c r="R8" i="17"/>
  <c r="AM8" i="17" s="1"/>
  <c r="T7" i="17"/>
  <c r="S7" i="17"/>
  <c r="R7" i="17"/>
  <c r="AM7" i="17" s="1"/>
  <c r="T6" i="17"/>
  <c r="S6" i="17"/>
  <c r="R6" i="17"/>
  <c r="AM6" i="17" s="1"/>
  <c r="T5" i="17"/>
  <c r="S5" i="17"/>
  <c r="R5" i="17"/>
  <c r="AM63" i="17"/>
  <c r="AM23" i="17"/>
  <c r="AM16" i="17"/>
  <c r="AL65" i="17"/>
  <c r="AK65" i="17"/>
  <c r="AL64" i="17"/>
  <c r="AK64" i="17"/>
  <c r="AL63" i="17"/>
  <c r="AK63" i="17"/>
  <c r="AL62" i="17"/>
  <c r="AK62" i="17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G65" i="17"/>
  <c r="AF65" i="17"/>
  <c r="AG64" i="17"/>
  <c r="AF64" i="17"/>
  <c r="AG63" i="17"/>
  <c r="AF63" i="17"/>
  <c r="AG62" i="17"/>
  <c r="AF62" i="17"/>
  <c r="AG61" i="17"/>
  <c r="AF61" i="17"/>
  <c r="AG60" i="17"/>
  <c r="AF60" i="17"/>
  <c r="AG59" i="17"/>
  <c r="AF59" i="17"/>
  <c r="AG58" i="17"/>
  <c r="AF58" i="17"/>
  <c r="AG57" i="17"/>
  <c r="AF57" i="17"/>
  <c r="AG56" i="17"/>
  <c r="AF56" i="17"/>
  <c r="AG55" i="17"/>
  <c r="AF55" i="17"/>
  <c r="AG54" i="17"/>
  <c r="AF54" i="17"/>
  <c r="AG53" i="17"/>
  <c r="AF53" i="17"/>
  <c r="AG52" i="17"/>
  <c r="AF52" i="17"/>
  <c r="AG51" i="17"/>
  <c r="AF51" i="17"/>
  <c r="AG50" i="17"/>
  <c r="AF50" i="17"/>
  <c r="AG49" i="17"/>
  <c r="AF49" i="17"/>
  <c r="AG48" i="17"/>
  <c r="AF48" i="17"/>
  <c r="AG47" i="17"/>
  <c r="AF47" i="17"/>
  <c r="AG46" i="17"/>
  <c r="AF46" i="17"/>
  <c r="AG45" i="17"/>
  <c r="AF45" i="17"/>
  <c r="AG44" i="17"/>
  <c r="AF44" i="17"/>
  <c r="AG43" i="17"/>
  <c r="AF43" i="17"/>
  <c r="AG42" i="17"/>
  <c r="AF42" i="17"/>
  <c r="AG41" i="17"/>
  <c r="AF41" i="17"/>
  <c r="AG40" i="17"/>
  <c r="AF40" i="17"/>
  <c r="AG39" i="17"/>
  <c r="AF39" i="17"/>
  <c r="AG38" i="17"/>
  <c r="AF38" i="17"/>
  <c r="AG37" i="17"/>
  <c r="AF37" i="17"/>
  <c r="AG36" i="17"/>
  <c r="AF36" i="17"/>
  <c r="AG35" i="17"/>
  <c r="AF35" i="17"/>
  <c r="AG34" i="17"/>
  <c r="AF34" i="17"/>
  <c r="AG33" i="17"/>
  <c r="AF33" i="17"/>
  <c r="AG32" i="17"/>
  <c r="AF32" i="17"/>
  <c r="AG31" i="17"/>
  <c r="AF31" i="17"/>
  <c r="AG30" i="17"/>
  <c r="AF30" i="17"/>
  <c r="AG29" i="17"/>
  <c r="AF29" i="17"/>
  <c r="AG28" i="17"/>
  <c r="AF28" i="17"/>
  <c r="AG27" i="17"/>
  <c r="AF27" i="17"/>
  <c r="AG26" i="17"/>
  <c r="AF26" i="17"/>
  <c r="AG25" i="17"/>
  <c r="AF25" i="17"/>
  <c r="AG24" i="17"/>
  <c r="AF24" i="17"/>
  <c r="AG23" i="17"/>
  <c r="AF23" i="17"/>
  <c r="AG22" i="17"/>
  <c r="AF22" i="17"/>
  <c r="AG21" i="17"/>
  <c r="AF21" i="17"/>
  <c r="AG20" i="17"/>
  <c r="AF20" i="17"/>
  <c r="AG19" i="17"/>
  <c r="AF19" i="17"/>
  <c r="AG18" i="17"/>
  <c r="AF18" i="17"/>
  <c r="AG17" i="17"/>
  <c r="AF17" i="17"/>
  <c r="AG16" i="17"/>
  <c r="AF16" i="17"/>
  <c r="AG15" i="17"/>
  <c r="AF15" i="17"/>
  <c r="AG14" i="17"/>
  <c r="AF14" i="17"/>
  <c r="AG13" i="17"/>
  <c r="AF13" i="17"/>
  <c r="AG12" i="17"/>
  <c r="AF12" i="17"/>
  <c r="AG11" i="17"/>
  <c r="AF11" i="17"/>
  <c r="AG10" i="17"/>
  <c r="AF10" i="17"/>
  <c r="AG9" i="17"/>
  <c r="AF9" i="17"/>
  <c r="AG8" i="17"/>
  <c r="AF8" i="17"/>
  <c r="AG7" i="17"/>
  <c r="AF7" i="17"/>
  <c r="AG6" i="17"/>
  <c r="AF6" i="17"/>
  <c r="AG5" i="17"/>
  <c r="AF5" i="17"/>
  <c r="AS21" i="27"/>
  <c r="B43" i="32" l="1"/>
  <c r="A41" i="32"/>
  <c r="B44" i="32"/>
  <c r="A42" i="32"/>
  <c r="AS35" i="27"/>
  <c r="A44" i="32" l="1"/>
  <c r="B46" i="32"/>
  <c r="A43" i="32"/>
  <c r="B45" i="32"/>
  <c r="AS35" i="9"/>
  <c r="B47" i="32" l="1"/>
  <c r="A45" i="32"/>
  <c r="B48" i="32"/>
  <c r="A46" i="32"/>
  <c r="AS21" i="8"/>
  <c r="A47" i="32" l="1"/>
  <c r="B49" i="32"/>
  <c r="A48" i="32"/>
  <c r="B50" i="32"/>
  <c r="AF20" i="13"/>
  <c r="B52" i="32" l="1"/>
  <c r="A50" i="32"/>
  <c r="B51" i="32"/>
  <c r="A49" i="32"/>
  <c r="AA4" i="22"/>
  <c r="AB4" i="22"/>
  <c r="AA5" i="22"/>
  <c r="AB5" i="22"/>
  <c r="AA6" i="22"/>
  <c r="AB6" i="22"/>
  <c r="AA7" i="22"/>
  <c r="AB7" i="22"/>
  <c r="AA8" i="22"/>
  <c r="AB8" i="22"/>
  <c r="AA9" i="22"/>
  <c r="AB9" i="22"/>
  <c r="AA10" i="22"/>
  <c r="AB10" i="22"/>
  <c r="AA11" i="22"/>
  <c r="AB11" i="22"/>
  <c r="AA12" i="22"/>
  <c r="AB12" i="22"/>
  <c r="AA13" i="22"/>
  <c r="AB13" i="22"/>
  <c r="AA14" i="22"/>
  <c r="AB14" i="22"/>
  <c r="AA15" i="22"/>
  <c r="AB15" i="22"/>
  <c r="AA16" i="22"/>
  <c r="AB16" i="22"/>
  <c r="AA17" i="22"/>
  <c r="AB17" i="22"/>
  <c r="AA18" i="22"/>
  <c r="AB18" i="22"/>
  <c r="AA19" i="22"/>
  <c r="AB19" i="22"/>
  <c r="AA20" i="22"/>
  <c r="AB20" i="22"/>
  <c r="AA21" i="22"/>
  <c r="AB21" i="22"/>
  <c r="AA22" i="22"/>
  <c r="AB22" i="22"/>
  <c r="AA23" i="22"/>
  <c r="AB23" i="22"/>
  <c r="AA24" i="22"/>
  <c r="AB24" i="22"/>
  <c r="AA25" i="22"/>
  <c r="AB25" i="22"/>
  <c r="AA26" i="22"/>
  <c r="AB26" i="22"/>
  <c r="AA27" i="22"/>
  <c r="AB27" i="22"/>
  <c r="AA28" i="22"/>
  <c r="AB28" i="22"/>
  <c r="AA29" i="22"/>
  <c r="AB29" i="22"/>
  <c r="AA30" i="22"/>
  <c r="AB30" i="22"/>
  <c r="AA31" i="22"/>
  <c r="AB31" i="22"/>
  <c r="AA32" i="22"/>
  <c r="AB32" i="22"/>
  <c r="AA33" i="22"/>
  <c r="AB33" i="22"/>
  <c r="AA34" i="22"/>
  <c r="AB34" i="22"/>
  <c r="AA35" i="22"/>
  <c r="AB35" i="22"/>
  <c r="AA36" i="22"/>
  <c r="AB36" i="22"/>
  <c r="AA37" i="22"/>
  <c r="AB37" i="22"/>
  <c r="AA38" i="22"/>
  <c r="AB38" i="22"/>
  <c r="AA39" i="22"/>
  <c r="AB39" i="22"/>
  <c r="AA40" i="22"/>
  <c r="AB40" i="22"/>
  <c r="AA41" i="22"/>
  <c r="AB41" i="22"/>
  <c r="AA42" i="22"/>
  <c r="AB42" i="22"/>
  <c r="AA43" i="22"/>
  <c r="AB43" i="22"/>
  <c r="AA44" i="22"/>
  <c r="AB44" i="22"/>
  <c r="AA45" i="22"/>
  <c r="AB45" i="22"/>
  <c r="AA46" i="22"/>
  <c r="AB46" i="22"/>
  <c r="AA47" i="22"/>
  <c r="AB47" i="22"/>
  <c r="AA48" i="22"/>
  <c r="AB48" i="22"/>
  <c r="AA49" i="22"/>
  <c r="AB49" i="22"/>
  <c r="AA50" i="22"/>
  <c r="AB50" i="22"/>
  <c r="AA51" i="22"/>
  <c r="AB51" i="22"/>
  <c r="AA52" i="22"/>
  <c r="AB52" i="22"/>
  <c r="AA53" i="22"/>
  <c r="AB53" i="22"/>
  <c r="AA54" i="22"/>
  <c r="AB54" i="22"/>
  <c r="AA55" i="22"/>
  <c r="AB55" i="22"/>
  <c r="AA56" i="22"/>
  <c r="AB56" i="22"/>
  <c r="AA57" i="22"/>
  <c r="AB57" i="22"/>
  <c r="AA58" i="22"/>
  <c r="AB58" i="22"/>
  <c r="AA59" i="22"/>
  <c r="AB59" i="22"/>
  <c r="AA60" i="22"/>
  <c r="AB60" i="22"/>
  <c r="AA61" i="22"/>
  <c r="AB61" i="22"/>
  <c r="AA62" i="22"/>
  <c r="AB62" i="22"/>
  <c r="AA63" i="22"/>
  <c r="AB63" i="22"/>
  <c r="AA64" i="22"/>
  <c r="AB64" i="22"/>
  <c r="AA65" i="22"/>
  <c r="AB65" i="22"/>
  <c r="A51" i="32" l="1"/>
  <c r="B53" i="32"/>
  <c r="A52" i="32"/>
  <c r="B54" i="32"/>
  <c r="J66" i="31"/>
  <c r="G14" i="1" s="1"/>
  <c r="AR65" i="31"/>
  <c r="AL65" i="31"/>
  <c r="AK65" i="31"/>
  <c r="AG65" i="31"/>
  <c r="AF65" i="31"/>
  <c r="AB65" i="31"/>
  <c r="AA65" i="31"/>
  <c r="T65" i="31"/>
  <c r="S65" i="31"/>
  <c r="R65" i="31"/>
  <c r="AM65" i="31" s="1"/>
  <c r="H65" i="31"/>
  <c r="G65" i="31"/>
  <c r="AR64" i="31"/>
  <c r="AL64" i="31"/>
  <c r="AK64" i="31"/>
  <c r="AG64" i="31"/>
  <c r="AF64" i="31"/>
  <c r="AB64" i="31"/>
  <c r="AA64" i="31"/>
  <c r="T64" i="31"/>
  <c r="S64" i="31"/>
  <c r="R64" i="31"/>
  <c r="AM64" i="31" s="1"/>
  <c r="H64" i="31"/>
  <c r="G64" i="31"/>
  <c r="AR63" i="31"/>
  <c r="AL63" i="31"/>
  <c r="AK63" i="31"/>
  <c r="AG63" i="31"/>
  <c r="AF63" i="31"/>
  <c r="AB63" i="31"/>
  <c r="AA63" i="31"/>
  <c r="T63" i="31"/>
  <c r="S63" i="31"/>
  <c r="R63" i="31"/>
  <c r="AM63" i="31" s="1"/>
  <c r="H63" i="31"/>
  <c r="G63" i="31"/>
  <c r="AR62" i="31"/>
  <c r="AL62" i="31"/>
  <c r="AK62" i="31"/>
  <c r="AG62" i="31"/>
  <c r="AF62" i="31"/>
  <c r="AB62" i="31"/>
  <c r="AA62" i="31"/>
  <c r="T62" i="31"/>
  <c r="S62" i="31"/>
  <c r="R62" i="31"/>
  <c r="AM62" i="31" s="1"/>
  <c r="H62" i="31"/>
  <c r="G62" i="31"/>
  <c r="AR61" i="31"/>
  <c r="AL61" i="31"/>
  <c r="AK61" i="31"/>
  <c r="AG61" i="31"/>
  <c r="AF61" i="31"/>
  <c r="AB61" i="31"/>
  <c r="AA61" i="31"/>
  <c r="T61" i="31"/>
  <c r="S61" i="31"/>
  <c r="R61" i="31"/>
  <c r="AM61" i="31" s="1"/>
  <c r="H61" i="31"/>
  <c r="G61" i="31"/>
  <c r="AR60" i="31"/>
  <c r="AL60" i="31"/>
  <c r="AK60" i="31"/>
  <c r="AG60" i="31"/>
  <c r="AF60" i="31"/>
  <c r="AB60" i="31"/>
  <c r="AA60" i="31"/>
  <c r="T60" i="31"/>
  <c r="S60" i="31"/>
  <c r="R60" i="31"/>
  <c r="AM60" i="31" s="1"/>
  <c r="H60" i="31"/>
  <c r="G60" i="31"/>
  <c r="AR59" i="31"/>
  <c r="AL59" i="31"/>
  <c r="AK59" i="31"/>
  <c r="AG59" i="31"/>
  <c r="AF59" i="31"/>
  <c r="AB59" i="31"/>
  <c r="AA59" i="31"/>
  <c r="T59" i="31"/>
  <c r="S59" i="31"/>
  <c r="R59" i="31"/>
  <c r="AM59" i="31" s="1"/>
  <c r="H59" i="31"/>
  <c r="G59" i="31"/>
  <c r="AR58" i="31"/>
  <c r="AL58" i="31"/>
  <c r="AK58" i="31"/>
  <c r="AG58" i="31"/>
  <c r="AF58" i="31"/>
  <c r="AB58" i="31"/>
  <c r="AA58" i="31"/>
  <c r="T58" i="31"/>
  <c r="S58" i="31"/>
  <c r="R58" i="31"/>
  <c r="AM58" i="31" s="1"/>
  <c r="H58" i="31"/>
  <c r="G58" i="31"/>
  <c r="AR57" i="31"/>
  <c r="AL57" i="31"/>
  <c r="AK57" i="31"/>
  <c r="AG57" i="31"/>
  <c r="AF57" i="31"/>
  <c r="T57" i="31"/>
  <c r="S57" i="31"/>
  <c r="R57" i="31"/>
  <c r="AM57" i="31" s="1"/>
  <c r="H57" i="31"/>
  <c r="G57" i="31"/>
  <c r="AR56" i="31"/>
  <c r="AL56" i="31"/>
  <c r="AK56" i="31"/>
  <c r="AG56" i="31"/>
  <c r="AF56" i="31"/>
  <c r="AB56" i="31"/>
  <c r="AA56" i="31"/>
  <c r="T56" i="31"/>
  <c r="S56" i="31"/>
  <c r="R56" i="31"/>
  <c r="AM56" i="31" s="1"/>
  <c r="H56" i="31"/>
  <c r="G56" i="31"/>
  <c r="AR55" i="31"/>
  <c r="AL55" i="31"/>
  <c r="AK55" i="31"/>
  <c r="AG55" i="31"/>
  <c r="AF55" i="31"/>
  <c r="AB55" i="31"/>
  <c r="AA55" i="31"/>
  <c r="T55" i="31"/>
  <c r="S55" i="31"/>
  <c r="R55" i="31"/>
  <c r="AM55" i="31" s="1"/>
  <c r="H55" i="31"/>
  <c r="G55" i="31"/>
  <c r="AR54" i="31"/>
  <c r="AL54" i="31"/>
  <c r="AK54" i="31"/>
  <c r="AG54" i="31"/>
  <c r="AF54" i="31"/>
  <c r="AB54" i="31"/>
  <c r="AA54" i="31"/>
  <c r="T54" i="31"/>
  <c r="S54" i="31"/>
  <c r="R54" i="31"/>
  <c r="AM54" i="31" s="1"/>
  <c r="H54" i="31"/>
  <c r="G54" i="31"/>
  <c r="AR53" i="31"/>
  <c r="AL53" i="31"/>
  <c r="AK53" i="31"/>
  <c r="AG53" i="31"/>
  <c r="AF53" i="31"/>
  <c r="AB53" i="31"/>
  <c r="AA53" i="31"/>
  <c r="T53" i="31"/>
  <c r="S53" i="31"/>
  <c r="R53" i="31"/>
  <c r="AM53" i="31" s="1"/>
  <c r="H53" i="31"/>
  <c r="G53" i="31"/>
  <c r="AR52" i="31"/>
  <c r="AL52" i="31"/>
  <c r="AK52" i="31"/>
  <c r="AG52" i="31"/>
  <c r="AF52" i="31"/>
  <c r="AB52" i="31"/>
  <c r="AA52" i="31"/>
  <c r="T52" i="31"/>
  <c r="S52" i="31"/>
  <c r="R52" i="31"/>
  <c r="AM52" i="31" s="1"/>
  <c r="H52" i="31"/>
  <c r="G52" i="31"/>
  <c r="AR51" i="31"/>
  <c r="AL51" i="31"/>
  <c r="AK51" i="31"/>
  <c r="AG51" i="31"/>
  <c r="AF51" i="31"/>
  <c r="AB51" i="31"/>
  <c r="AA51" i="31"/>
  <c r="T51" i="31"/>
  <c r="S51" i="31"/>
  <c r="R51" i="31"/>
  <c r="AM51" i="31" s="1"/>
  <c r="H51" i="31"/>
  <c r="G51" i="31"/>
  <c r="AR50" i="31"/>
  <c r="AL50" i="31"/>
  <c r="AK50" i="31"/>
  <c r="AG50" i="31"/>
  <c r="AF50" i="31"/>
  <c r="AB50" i="31"/>
  <c r="AA50" i="31"/>
  <c r="T50" i="31"/>
  <c r="S50" i="31"/>
  <c r="R50" i="31"/>
  <c r="AM50" i="31" s="1"/>
  <c r="H50" i="31"/>
  <c r="G50" i="31"/>
  <c r="AR49" i="31"/>
  <c r="AL49" i="31"/>
  <c r="AK49" i="31"/>
  <c r="AG49" i="31"/>
  <c r="AF49" i="31"/>
  <c r="AB49" i="31"/>
  <c r="AA49" i="31"/>
  <c r="T49" i="31"/>
  <c r="S49" i="31"/>
  <c r="R49" i="31"/>
  <c r="AM49" i="31" s="1"/>
  <c r="H49" i="31"/>
  <c r="G49" i="31"/>
  <c r="AR48" i="31"/>
  <c r="AL48" i="31"/>
  <c r="AK48" i="31"/>
  <c r="AG48" i="31"/>
  <c r="AF48" i="31"/>
  <c r="AB48" i="31"/>
  <c r="AA48" i="31"/>
  <c r="T48" i="31"/>
  <c r="S48" i="31"/>
  <c r="R48" i="31"/>
  <c r="AM48" i="31" s="1"/>
  <c r="H48" i="31"/>
  <c r="G48" i="31"/>
  <c r="AR47" i="31"/>
  <c r="AL47" i="31"/>
  <c r="AK47" i="31"/>
  <c r="AG47" i="31"/>
  <c r="AF47" i="31"/>
  <c r="AB47" i="31"/>
  <c r="AA47" i="31"/>
  <c r="T47" i="31"/>
  <c r="S47" i="31"/>
  <c r="R47" i="31"/>
  <c r="AM47" i="31" s="1"/>
  <c r="H47" i="31"/>
  <c r="G47" i="31"/>
  <c r="AR46" i="31"/>
  <c r="AL46" i="31"/>
  <c r="AK46" i="31"/>
  <c r="AG46" i="31"/>
  <c r="AF46" i="31"/>
  <c r="AB46" i="31"/>
  <c r="AA46" i="31"/>
  <c r="T46" i="31"/>
  <c r="S46" i="31"/>
  <c r="R46" i="31"/>
  <c r="AM46" i="31" s="1"/>
  <c r="H46" i="31"/>
  <c r="G46" i="31"/>
  <c r="AR45" i="31"/>
  <c r="AL45" i="31"/>
  <c r="AK45" i="31"/>
  <c r="AG45" i="31"/>
  <c r="AF45" i="31"/>
  <c r="AB45" i="31"/>
  <c r="AA45" i="31"/>
  <c r="T45" i="31"/>
  <c r="S45" i="31"/>
  <c r="R45" i="31"/>
  <c r="AM45" i="31" s="1"/>
  <c r="H45" i="31"/>
  <c r="G45" i="31"/>
  <c r="AR44" i="31"/>
  <c r="AL44" i="31"/>
  <c r="AK44" i="31"/>
  <c r="AG44" i="31"/>
  <c r="AF44" i="31"/>
  <c r="AB44" i="31"/>
  <c r="AA44" i="31"/>
  <c r="T44" i="31"/>
  <c r="S44" i="31"/>
  <c r="R44" i="31"/>
  <c r="AM44" i="31" s="1"/>
  <c r="H44" i="31"/>
  <c r="G44" i="31"/>
  <c r="AR43" i="31"/>
  <c r="AL43" i="31"/>
  <c r="AK43" i="31"/>
  <c r="AG43" i="31"/>
  <c r="AF43" i="31"/>
  <c r="AB43" i="31"/>
  <c r="AA43" i="31"/>
  <c r="T43" i="31"/>
  <c r="S43" i="31"/>
  <c r="R43" i="31"/>
  <c r="AM43" i="31" s="1"/>
  <c r="H43" i="31"/>
  <c r="G43" i="31"/>
  <c r="AR42" i="31"/>
  <c r="AL42" i="31"/>
  <c r="AK42" i="31"/>
  <c r="AG42" i="31"/>
  <c r="AF42" i="31"/>
  <c r="AB42" i="31"/>
  <c r="AA42" i="31"/>
  <c r="T42" i="31"/>
  <c r="S42" i="31"/>
  <c r="R42" i="31"/>
  <c r="AM42" i="31" s="1"/>
  <c r="H42" i="31"/>
  <c r="G42" i="31"/>
  <c r="AR41" i="31"/>
  <c r="AL41" i="31"/>
  <c r="AK41" i="31"/>
  <c r="AG41" i="31"/>
  <c r="AF41" i="31"/>
  <c r="AB41" i="31"/>
  <c r="AA41" i="31"/>
  <c r="T41" i="31"/>
  <c r="S41" i="31"/>
  <c r="R41" i="31"/>
  <c r="AM41" i="31" s="1"/>
  <c r="H41" i="31"/>
  <c r="G41" i="31"/>
  <c r="AR40" i="31"/>
  <c r="AL40" i="31"/>
  <c r="AK40" i="31"/>
  <c r="AG40" i="31"/>
  <c r="AF40" i="31"/>
  <c r="AB40" i="31"/>
  <c r="AA40" i="31"/>
  <c r="T40" i="31"/>
  <c r="S40" i="31"/>
  <c r="R40" i="31"/>
  <c r="AM40" i="31" s="1"/>
  <c r="H40" i="31"/>
  <c r="G40" i="31"/>
  <c r="AR39" i="31"/>
  <c r="AL39" i="31"/>
  <c r="AK39" i="31"/>
  <c r="AG39" i="31"/>
  <c r="AF39" i="31"/>
  <c r="AB39" i="31"/>
  <c r="AA39" i="31"/>
  <c r="T39" i="31"/>
  <c r="S39" i="31"/>
  <c r="R39" i="31"/>
  <c r="AM39" i="31" s="1"/>
  <c r="H39" i="31"/>
  <c r="G39" i="31"/>
  <c r="AR38" i="31"/>
  <c r="AL38" i="31"/>
  <c r="AK38" i="31"/>
  <c r="AG38" i="31"/>
  <c r="AF38" i="31"/>
  <c r="AB38" i="31"/>
  <c r="AA38" i="31"/>
  <c r="T38" i="31"/>
  <c r="S38" i="31"/>
  <c r="R38" i="31"/>
  <c r="AM38" i="31" s="1"/>
  <c r="H38" i="31"/>
  <c r="G38" i="31"/>
  <c r="AR37" i="31"/>
  <c r="AL37" i="31"/>
  <c r="AK37" i="31"/>
  <c r="AG37" i="31"/>
  <c r="AF37" i="31"/>
  <c r="AB37" i="31"/>
  <c r="AA37" i="31"/>
  <c r="T37" i="31"/>
  <c r="S37" i="31"/>
  <c r="R37" i="31"/>
  <c r="AM37" i="31" s="1"/>
  <c r="H37" i="31"/>
  <c r="G37" i="31"/>
  <c r="AR36" i="31"/>
  <c r="AL36" i="31"/>
  <c r="AK36" i="31"/>
  <c r="AG36" i="31"/>
  <c r="AF36" i="31"/>
  <c r="AB36" i="31"/>
  <c r="AA36" i="31"/>
  <c r="T36" i="31"/>
  <c r="S36" i="31"/>
  <c r="R36" i="31"/>
  <c r="AM36" i="31" s="1"/>
  <c r="H36" i="31"/>
  <c r="G36" i="31"/>
  <c r="AR35" i="31"/>
  <c r="AL35" i="31"/>
  <c r="AK35" i="31"/>
  <c r="AG35" i="31"/>
  <c r="AF35" i="31"/>
  <c r="AB35" i="31"/>
  <c r="AA35" i="31"/>
  <c r="T35" i="31"/>
  <c r="S35" i="31"/>
  <c r="R35" i="31"/>
  <c r="AM35" i="31" s="1"/>
  <c r="H35" i="31"/>
  <c r="G35" i="31"/>
  <c r="AR34" i="31"/>
  <c r="AL34" i="31"/>
  <c r="AK34" i="31"/>
  <c r="AG34" i="31"/>
  <c r="AF34" i="31"/>
  <c r="AB34" i="31"/>
  <c r="AA34" i="31"/>
  <c r="T34" i="31"/>
  <c r="S34" i="31"/>
  <c r="R34" i="31"/>
  <c r="AM34" i="31" s="1"/>
  <c r="H34" i="31"/>
  <c r="G34" i="31"/>
  <c r="AR33" i="31"/>
  <c r="AL33" i="31"/>
  <c r="AK33" i="31"/>
  <c r="AG33" i="31"/>
  <c r="AF33" i="31"/>
  <c r="AB33" i="31"/>
  <c r="AA33" i="31"/>
  <c r="T33" i="31"/>
  <c r="S33" i="31"/>
  <c r="R33" i="31"/>
  <c r="AM33" i="31" s="1"/>
  <c r="H33" i="31"/>
  <c r="G33" i="31"/>
  <c r="AR32" i="31"/>
  <c r="AL32" i="31"/>
  <c r="AK32" i="31"/>
  <c r="AG32" i="31"/>
  <c r="AF32" i="31"/>
  <c r="AB32" i="31"/>
  <c r="AA32" i="31"/>
  <c r="T32" i="31"/>
  <c r="S32" i="31"/>
  <c r="R32" i="31"/>
  <c r="AM32" i="31" s="1"/>
  <c r="H32" i="31"/>
  <c r="G32" i="31"/>
  <c r="AR31" i="31"/>
  <c r="AL31" i="31"/>
  <c r="AK31" i="31"/>
  <c r="AG31" i="31"/>
  <c r="AF31" i="31"/>
  <c r="AB31" i="31"/>
  <c r="AA31" i="31"/>
  <c r="T31" i="31"/>
  <c r="S31" i="31"/>
  <c r="R31" i="31"/>
  <c r="AM31" i="31" s="1"/>
  <c r="H31" i="31"/>
  <c r="G31" i="31"/>
  <c r="AR30" i="31"/>
  <c r="AL30" i="31"/>
  <c r="AK30" i="31"/>
  <c r="AG30" i="31"/>
  <c r="AF30" i="31"/>
  <c r="AB30" i="31"/>
  <c r="AA30" i="31"/>
  <c r="T30" i="31"/>
  <c r="S30" i="31"/>
  <c r="R30" i="31"/>
  <c r="AM30" i="31" s="1"/>
  <c r="H30" i="31"/>
  <c r="G30" i="31"/>
  <c r="AR29" i="31"/>
  <c r="AL29" i="31"/>
  <c r="AK29" i="31"/>
  <c r="AG29" i="31"/>
  <c r="AF29" i="31"/>
  <c r="AB29" i="31"/>
  <c r="AA29" i="31"/>
  <c r="T29" i="31"/>
  <c r="S29" i="31"/>
  <c r="R29" i="31"/>
  <c r="AM29" i="31" s="1"/>
  <c r="H29" i="31"/>
  <c r="G29" i="31"/>
  <c r="AR28" i="31"/>
  <c r="AL28" i="31"/>
  <c r="AK28" i="31"/>
  <c r="AG28" i="31"/>
  <c r="AF28" i="31"/>
  <c r="AB28" i="31"/>
  <c r="AA28" i="31"/>
  <c r="T28" i="31"/>
  <c r="S28" i="31"/>
  <c r="R28" i="31"/>
  <c r="AM28" i="31" s="1"/>
  <c r="H28" i="31"/>
  <c r="G28" i="31"/>
  <c r="AR27" i="31"/>
  <c r="AL27" i="31"/>
  <c r="AK27" i="31"/>
  <c r="AG27" i="31"/>
  <c r="AF27" i="31"/>
  <c r="AB27" i="31"/>
  <c r="AA27" i="31"/>
  <c r="T27" i="31"/>
  <c r="S27" i="31"/>
  <c r="R27" i="31"/>
  <c r="AM27" i="31" s="1"/>
  <c r="H27" i="31"/>
  <c r="G27" i="31"/>
  <c r="AR26" i="31"/>
  <c r="AL26" i="31"/>
  <c r="AK26" i="31"/>
  <c r="AG26" i="31"/>
  <c r="AF26" i="31"/>
  <c r="AB26" i="31"/>
  <c r="AA26" i="31"/>
  <c r="T26" i="31"/>
  <c r="S26" i="31"/>
  <c r="R26" i="31"/>
  <c r="AM26" i="31" s="1"/>
  <c r="H26" i="31"/>
  <c r="G26" i="31"/>
  <c r="AR25" i="31"/>
  <c r="AL25" i="31"/>
  <c r="AK25" i="31"/>
  <c r="AG25" i="31"/>
  <c r="AF25" i="31"/>
  <c r="AB25" i="31"/>
  <c r="AA25" i="31"/>
  <c r="T25" i="31"/>
  <c r="S25" i="31"/>
  <c r="R25" i="31"/>
  <c r="AM25" i="31" s="1"/>
  <c r="H25" i="31"/>
  <c r="G25" i="31"/>
  <c r="AR24" i="31"/>
  <c r="AL24" i="31"/>
  <c r="AK24" i="31"/>
  <c r="AG24" i="31"/>
  <c r="AF24" i="31"/>
  <c r="AB24" i="31"/>
  <c r="AA24" i="31"/>
  <c r="T24" i="31"/>
  <c r="S24" i="31"/>
  <c r="R24" i="31"/>
  <c r="AM24" i="31" s="1"/>
  <c r="H24" i="31"/>
  <c r="G24" i="31"/>
  <c r="AR23" i="31"/>
  <c r="AL23" i="31"/>
  <c r="AK23" i="31"/>
  <c r="AG23" i="31"/>
  <c r="AF23" i="31"/>
  <c r="AB23" i="31"/>
  <c r="AA23" i="31"/>
  <c r="T23" i="31"/>
  <c r="S23" i="31"/>
  <c r="R23" i="31"/>
  <c r="AM23" i="31" s="1"/>
  <c r="H23" i="31"/>
  <c r="G23" i="31"/>
  <c r="AR22" i="31"/>
  <c r="AL22" i="31"/>
  <c r="AK22" i="31"/>
  <c r="AG22" i="31"/>
  <c r="AF22" i="31"/>
  <c r="AB22" i="31"/>
  <c r="AA22" i="31"/>
  <c r="T22" i="31"/>
  <c r="S22" i="31"/>
  <c r="R22" i="31"/>
  <c r="AM22" i="31" s="1"/>
  <c r="H22" i="31"/>
  <c r="G22" i="31"/>
  <c r="AR21" i="31"/>
  <c r="AL21" i="31"/>
  <c r="AK21" i="31"/>
  <c r="AG21" i="31"/>
  <c r="AF21" i="31"/>
  <c r="AB21" i="31"/>
  <c r="AA21" i="31"/>
  <c r="T21" i="31"/>
  <c r="S21" i="31"/>
  <c r="R21" i="31"/>
  <c r="AM21" i="31" s="1"/>
  <c r="H21" i="31"/>
  <c r="G21" i="31"/>
  <c r="AR20" i="31"/>
  <c r="AL20" i="31"/>
  <c r="AK20" i="31"/>
  <c r="AG20" i="31"/>
  <c r="AF20" i="31"/>
  <c r="AB20" i="31"/>
  <c r="AA20" i="31"/>
  <c r="T20" i="31"/>
  <c r="S20" i="31"/>
  <c r="R20" i="31"/>
  <c r="AM20" i="31" s="1"/>
  <c r="H20" i="31"/>
  <c r="G20" i="31"/>
  <c r="AR19" i="31"/>
  <c r="AL19" i="31"/>
  <c r="AK19" i="31"/>
  <c r="AG19" i="31"/>
  <c r="AF19" i="31"/>
  <c r="AB19" i="31"/>
  <c r="AA19" i="31"/>
  <c r="T19" i="31"/>
  <c r="S19" i="31"/>
  <c r="R19" i="31"/>
  <c r="AM19" i="31" s="1"/>
  <c r="H19" i="31"/>
  <c r="G19" i="31"/>
  <c r="AR18" i="31"/>
  <c r="AL18" i="31"/>
  <c r="AK18" i="31"/>
  <c r="AG18" i="31"/>
  <c r="AF18" i="31"/>
  <c r="AB18" i="31"/>
  <c r="AA18" i="31"/>
  <c r="T18" i="31"/>
  <c r="S18" i="31"/>
  <c r="R18" i="31"/>
  <c r="AM18" i="31" s="1"/>
  <c r="H18" i="31"/>
  <c r="G18" i="31"/>
  <c r="AR17" i="31"/>
  <c r="AL17" i="31"/>
  <c r="AK17" i="31"/>
  <c r="AG17" i="31"/>
  <c r="AF17" i="31"/>
  <c r="AB17" i="31"/>
  <c r="AA17" i="31"/>
  <c r="T17" i="31"/>
  <c r="S17" i="31"/>
  <c r="R17" i="31"/>
  <c r="AM17" i="31" s="1"/>
  <c r="H17" i="31"/>
  <c r="G17" i="31"/>
  <c r="AR16" i="31"/>
  <c r="AL16" i="31"/>
  <c r="AK16" i="31"/>
  <c r="AG16" i="31"/>
  <c r="AF16" i="31"/>
  <c r="AB16" i="31"/>
  <c r="AA16" i="31"/>
  <c r="T16" i="31"/>
  <c r="S16" i="31"/>
  <c r="R16" i="31"/>
  <c r="AM16" i="31" s="1"/>
  <c r="H16" i="31"/>
  <c r="G16" i="31"/>
  <c r="AR15" i="31"/>
  <c r="AL15" i="31"/>
  <c r="AK15" i="31"/>
  <c r="AG15" i="31"/>
  <c r="AF15" i="31"/>
  <c r="AB15" i="31"/>
  <c r="AA15" i="31"/>
  <c r="T15" i="31"/>
  <c r="S15" i="31"/>
  <c r="R15" i="31"/>
  <c r="AM15" i="31" s="1"/>
  <c r="H15" i="31"/>
  <c r="G15" i="31"/>
  <c r="AR14" i="31"/>
  <c r="AL14" i="31"/>
  <c r="AK14" i="31"/>
  <c r="AG14" i="31"/>
  <c r="AF14" i="31"/>
  <c r="AB14" i="31"/>
  <c r="AA14" i="31"/>
  <c r="T14" i="31"/>
  <c r="S14" i="31"/>
  <c r="R14" i="31"/>
  <c r="AM14" i="31" s="1"/>
  <c r="H14" i="31"/>
  <c r="G14" i="31"/>
  <c r="AR13" i="31"/>
  <c r="AL13" i="31"/>
  <c r="AK13" i="31"/>
  <c r="AG13" i="31"/>
  <c r="AF13" i="31"/>
  <c r="AB13" i="31"/>
  <c r="AA13" i="31"/>
  <c r="T13" i="31"/>
  <c r="S13" i="31"/>
  <c r="R13" i="31"/>
  <c r="AM13" i="31" s="1"/>
  <c r="H13" i="31"/>
  <c r="G13" i="31"/>
  <c r="AR12" i="31"/>
  <c r="AL12" i="31"/>
  <c r="AK12" i="31"/>
  <c r="AG12" i="31"/>
  <c r="AF12" i="31"/>
  <c r="AB12" i="31"/>
  <c r="AA12" i="31"/>
  <c r="T12" i="31"/>
  <c r="S12" i="31"/>
  <c r="R12" i="31"/>
  <c r="AM12" i="31" s="1"/>
  <c r="H12" i="31"/>
  <c r="G12" i="31"/>
  <c r="AR11" i="31"/>
  <c r="AL11" i="31"/>
  <c r="AK11" i="31"/>
  <c r="AG11" i="31"/>
  <c r="AF11" i="31"/>
  <c r="AB11" i="31"/>
  <c r="AA11" i="31"/>
  <c r="T11" i="31"/>
  <c r="S11" i="31"/>
  <c r="R11" i="31"/>
  <c r="AM11" i="31" s="1"/>
  <c r="H11" i="31"/>
  <c r="G11" i="31"/>
  <c r="AR10" i="31"/>
  <c r="AL10" i="31"/>
  <c r="AK10" i="31"/>
  <c r="AG10" i="31"/>
  <c r="AF10" i="31"/>
  <c r="AB10" i="31"/>
  <c r="AA10" i="31"/>
  <c r="T10" i="31"/>
  <c r="S10" i="31"/>
  <c r="R10" i="31"/>
  <c r="AM10" i="31" s="1"/>
  <c r="H10" i="31"/>
  <c r="G10" i="31"/>
  <c r="AR9" i="31"/>
  <c r="AL9" i="31"/>
  <c r="AK9" i="31"/>
  <c r="AG9" i="31"/>
  <c r="AF9" i="31"/>
  <c r="AB9" i="31"/>
  <c r="AA9" i="31"/>
  <c r="T9" i="31"/>
  <c r="S9" i="31"/>
  <c r="R9" i="31"/>
  <c r="AM9" i="31" s="1"/>
  <c r="H9" i="31"/>
  <c r="G9" i="31"/>
  <c r="AR8" i="31"/>
  <c r="AL8" i="31"/>
  <c r="AK8" i="31"/>
  <c r="AG8" i="31"/>
  <c r="AF8" i="31"/>
  <c r="AB8" i="31"/>
  <c r="AA8" i="31"/>
  <c r="T8" i="31"/>
  <c r="S8" i="31"/>
  <c r="R8" i="31"/>
  <c r="AM8" i="31" s="1"/>
  <c r="H8" i="31"/>
  <c r="G8" i="31"/>
  <c r="AR7" i="31"/>
  <c r="AL7" i="31"/>
  <c r="AK7" i="31"/>
  <c r="AG7" i="31"/>
  <c r="AF7" i="31"/>
  <c r="AB7" i="31"/>
  <c r="AA7" i="31"/>
  <c r="T7" i="31"/>
  <c r="S7" i="31"/>
  <c r="R7" i="31"/>
  <c r="AM7" i="31" s="1"/>
  <c r="H7" i="31"/>
  <c r="G7" i="31"/>
  <c r="AR6" i="31"/>
  <c r="AL6" i="31"/>
  <c r="AK6" i="31"/>
  <c r="AG6" i="31"/>
  <c r="AF6" i="31"/>
  <c r="AB6" i="31"/>
  <c r="AA6" i="31"/>
  <c r="T6" i="31"/>
  <c r="S6" i="31"/>
  <c r="R6" i="31"/>
  <c r="AM6" i="31" s="1"/>
  <c r="H6" i="31"/>
  <c r="G6" i="31"/>
  <c r="B6" i="31"/>
  <c r="A6" i="31" s="1"/>
  <c r="AR5" i="31"/>
  <c r="AL5" i="31"/>
  <c r="AK5" i="31"/>
  <c r="AG5" i="31"/>
  <c r="AF5" i="31"/>
  <c r="AB5" i="31"/>
  <c r="AA5" i="31"/>
  <c r="T5" i="31"/>
  <c r="S5" i="31"/>
  <c r="R5" i="31"/>
  <c r="AM5" i="31" s="1"/>
  <c r="H5" i="31"/>
  <c r="G5" i="31"/>
  <c r="B5" i="31"/>
  <c r="B7" i="31" s="1"/>
  <c r="AR4" i="31"/>
  <c r="AL4" i="31"/>
  <c r="AK4" i="31"/>
  <c r="AG4" i="31"/>
  <c r="AF4" i="31"/>
  <c r="AB4" i="31"/>
  <c r="AA4" i="31"/>
  <c r="T4" i="31"/>
  <c r="S4" i="31"/>
  <c r="R4" i="31"/>
  <c r="AM4" i="31" s="1"/>
  <c r="H4" i="31"/>
  <c r="G4" i="31"/>
  <c r="A4" i="31"/>
  <c r="AP1" i="31"/>
  <c r="B56" i="32" l="1"/>
  <c r="A54" i="32"/>
  <c r="B55" i="32"/>
  <c r="A53" i="32"/>
  <c r="AO64" i="31"/>
  <c r="AO65" i="31"/>
  <c r="AN64" i="31"/>
  <c r="AN65" i="31"/>
  <c r="AP65" i="31" s="1"/>
  <c r="AO56" i="31"/>
  <c r="AO57" i="31"/>
  <c r="AO12" i="31"/>
  <c r="A5" i="31"/>
  <c r="AN17" i="31"/>
  <c r="AN19" i="31"/>
  <c r="AN28" i="31"/>
  <c r="AN35" i="31"/>
  <c r="AN29" i="31"/>
  <c r="AN30" i="31"/>
  <c r="AN31" i="31"/>
  <c r="AN32" i="31"/>
  <c r="AN33" i="31"/>
  <c r="AN34" i="31"/>
  <c r="AO63" i="31"/>
  <c r="AO5" i="31"/>
  <c r="AN6" i="31"/>
  <c r="AN7" i="31"/>
  <c r="AN8" i="31"/>
  <c r="AN9" i="31"/>
  <c r="AN10" i="31"/>
  <c r="AO28" i="31"/>
  <c r="AO29" i="31"/>
  <c r="AO30" i="31"/>
  <c r="AO31" i="31"/>
  <c r="AN44" i="31"/>
  <c r="AN45" i="31"/>
  <c r="AN46" i="31"/>
  <c r="AN47" i="31"/>
  <c r="AN48" i="31"/>
  <c r="AN49" i="31"/>
  <c r="AN50" i="31"/>
  <c r="AN51" i="31"/>
  <c r="AN4" i="31"/>
  <c r="AO6" i="31"/>
  <c r="AO44" i="31"/>
  <c r="AO45" i="31"/>
  <c r="AO46" i="31"/>
  <c r="AO47" i="31"/>
  <c r="AO16" i="31"/>
  <c r="AO4" i="31"/>
  <c r="AO7" i="31"/>
  <c r="AO8" i="31"/>
  <c r="AP8" i="31" s="1"/>
  <c r="AO9" i="31"/>
  <c r="AO10" i="31"/>
  <c r="AN11" i="31"/>
  <c r="AN12" i="31"/>
  <c r="AO17" i="31"/>
  <c r="AO18" i="31"/>
  <c r="AO19" i="31"/>
  <c r="AN20" i="31"/>
  <c r="AN21" i="31"/>
  <c r="AN22" i="31"/>
  <c r="AN23" i="31"/>
  <c r="AO32" i="31"/>
  <c r="AO33" i="31"/>
  <c r="AO34" i="31"/>
  <c r="AO35" i="31"/>
  <c r="AN36" i="31"/>
  <c r="AN37" i="31"/>
  <c r="AN38" i="31"/>
  <c r="AN39" i="31"/>
  <c r="AO48" i="31"/>
  <c r="AO49" i="31"/>
  <c r="AO50" i="31"/>
  <c r="AO51" i="31"/>
  <c r="AN52" i="31"/>
  <c r="AN53" i="31"/>
  <c r="AN54" i="31"/>
  <c r="AN55" i="31"/>
  <c r="AN58" i="31"/>
  <c r="AN59" i="31"/>
  <c r="AN60" i="31"/>
  <c r="AN61" i="31"/>
  <c r="AN5" i="31"/>
  <c r="AO11" i="31"/>
  <c r="AN13" i="31"/>
  <c r="AN14" i="31"/>
  <c r="AO20" i="31"/>
  <c r="AO21" i="31"/>
  <c r="AO22" i="31"/>
  <c r="AO23" i="31"/>
  <c r="AN24" i="31"/>
  <c r="AN25" i="31"/>
  <c r="AN26" i="31"/>
  <c r="AN27" i="31"/>
  <c r="AO36" i="31"/>
  <c r="AP36" i="31" s="1"/>
  <c r="AO37" i="31"/>
  <c r="AO38" i="31"/>
  <c r="AO39" i="31"/>
  <c r="AN40" i="31"/>
  <c r="AN41" i="31"/>
  <c r="AN42" i="31"/>
  <c r="AN43" i="31"/>
  <c r="AO52" i="31"/>
  <c r="AP52" i="31" s="1"/>
  <c r="AO53" i="31"/>
  <c r="AO54" i="31"/>
  <c r="AO55" i="31"/>
  <c r="AN56" i="31"/>
  <c r="AO58" i="31"/>
  <c r="AO59" i="31"/>
  <c r="AO60" i="31"/>
  <c r="AO61" i="31"/>
  <c r="AN62" i="31"/>
  <c r="AN63" i="31"/>
  <c r="AO14" i="31"/>
  <c r="AP14" i="31" s="1"/>
  <c r="AN15" i="31"/>
  <c r="AO24" i="31"/>
  <c r="AO25" i="31"/>
  <c r="AO26" i="31"/>
  <c r="AO27" i="31"/>
  <c r="AO40" i="31"/>
  <c r="AO41" i="31"/>
  <c r="AO42" i="31"/>
  <c r="AO43" i="31"/>
  <c r="AO62" i="31"/>
  <c r="AM66" i="31"/>
  <c r="H14" i="1" s="1"/>
  <c r="AO15" i="31"/>
  <c r="AN57" i="31"/>
  <c r="B9" i="31"/>
  <c r="A7" i="31"/>
  <c r="B8" i="31"/>
  <c r="AN18" i="31"/>
  <c r="AO13" i="31"/>
  <c r="AN16" i="31"/>
  <c r="AP12" i="31" l="1"/>
  <c r="AP63" i="31"/>
  <c r="AP20" i="31"/>
  <c r="AP18" i="31"/>
  <c r="A55" i="32"/>
  <c r="B57" i="32"/>
  <c r="A56" i="32"/>
  <c r="B58" i="32"/>
  <c r="AP6" i="31"/>
  <c r="AP31" i="31"/>
  <c r="AP64" i="31"/>
  <c r="AP26" i="31"/>
  <c r="AP60" i="31"/>
  <c r="AP28" i="31"/>
  <c r="AP56" i="31"/>
  <c r="AP51" i="31"/>
  <c r="AP54" i="31"/>
  <c r="AP34" i="31"/>
  <c r="AP19" i="31"/>
  <c r="AP22" i="31"/>
  <c r="AP48" i="31"/>
  <c r="AP47" i="31"/>
  <c r="AP44" i="31"/>
  <c r="AP46" i="31"/>
  <c r="AP38" i="31"/>
  <c r="AP41" i="31"/>
  <c r="AP42" i="31"/>
  <c r="AP29" i="31"/>
  <c r="AP30" i="31"/>
  <c r="AP32" i="31"/>
  <c r="AP10" i="31"/>
  <c r="AP25" i="31"/>
  <c r="AP13" i="31"/>
  <c r="AP7" i="31"/>
  <c r="AP53" i="31"/>
  <c r="AP21" i="31"/>
  <c r="AP37" i="31"/>
  <c r="AP49" i="31"/>
  <c r="AP45" i="31"/>
  <c r="AP4" i="31"/>
  <c r="AP57" i="31"/>
  <c r="AP59" i="31"/>
  <c r="AP35" i="31"/>
  <c r="AP40" i="31"/>
  <c r="AP24" i="31"/>
  <c r="AP16" i="31"/>
  <c r="AP58" i="31"/>
  <c r="AP50" i="31"/>
  <c r="AP33" i="31"/>
  <c r="AP43" i="31"/>
  <c r="AP27" i="31"/>
  <c r="AP9" i="31"/>
  <c r="AP5" i="31"/>
  <c r="AP17" i="31"/>
  <c r="AP61" i="31"/>
  <c r="AP55" i="31"/>
  <c r="AP39" i="31"/>
  <c r="AP23" i="31"/>
  <c r="AP15" i="31"/>
  <c r="AP11" i="31"/>
  <c r="AP62" i="31"/>
  <c r="B11" i="31"/>
  <c r="A9" i="31"/>
  <c r="AN66" i="31"/>
  <c r="I14" i="1" s="1"/>
  <c r="AO66" i="31"/>
  <c r="J14" i="1" s="1"/>
  <c r="A8" i="31"/>
  <c r="B10" i="31"/>
  <c r="B60" i="32" l="1"/>
  <c r="A58" i="32"/>
  <c r="B59" i="32"/>
  <c r="A57" i="32"/>
  <c r="M14" i="1"/>
  <c r="N14" i="1" s="1"/>
  <c r="B12" i="31"/>
  <c r="A10" i="31"/>
  <c r="B13" i="31"/>
  <c r="A11" i="31"/>
  <c r="A59" i="32" l="1"/>
  <c r="B61" i="32"/>
  <c r="A60" i="32"/>
  <c r="B62" i="32"/>
  <c r="B15" i="31"/>
  <c r="A13" i="31"/>
  <c r="B14" i="31"/>
  <c r="A12" i="31"/>
  <c r="B64" i="32" l="1"/>
  <c r="A64" i="32" s="1"/>
  <c r="A62" i="32"/>
  <c r="B63" i="32"/>
  <c r="A61" i="32"/>
  <c r="A14" i="31"/>
  <c r="B16" i="31"/>
  <c r="A15" i="31"/>
  <c r="B17" i="31"/>
  <c r="A63" i="32" l="1"/>
  <c r="B65" i="32"/>
  <c r="A65" i="32" s="1"/>
  <c r="B19" i="31"/>
  <c r="A17" i="31"/>
  <c r="B18" i="31"/>
  <c r="A16" i="31"/>
  <c r="A18" i="31" l="1"/>
  <c r="B20" i="31"/>
  <c r="B21" i="31"/>
  <c r="A19" i="31"/>
  <c r="A21" i="31" l="1"/>
  <c r="B23" i="31"/>
  <c r="A20" i="31"/>
  <c r="B22" i="31"/>
  <c r="A22" i="31" l="1"/>
  <c r="B24" i="31"/>
  <c r="B25" i="31"/>
  <c r="A23" i="31"/>
  <c r="A25" i="31" l="1"/>
  <c r="B27" i="31"/>
  <c r="A24" i="31"/>
  <c r="B26" i="31"/>
  <c r="A26" i="31" l="1"/>
  <c r="B28" i="31"/>
  <c r="B29" i="31"/>
  <c r="A27" i="31"/>
  <c r="A29" i="31" l="1"/>
  <c r="B31" i="31"/>
  <c r="A28" i="31"/>
  <c r="B30" i="31"/>
  <c r="A30" i="31" l="1"/>
  <c r="B32" i="31"/>
  <c r="B33" i="31"/>
  <c r="A31" i="31"/>
  <c r="A33" i="31" l="1"/>
  <c r="B35" i="31"/>
  <c r="A32" i="31"/>
  <c r="B34" i="31"/>
  <c r="A34" i="31" l="1"/>
  <c r="B36" i="31"/>
  <c r="B37" i="31"/>
  <c r="A35" i="31"/>
  <c r="A37" i="31" l="1"/>
  <c r="B39" i="31"/>
  <c r="A36" i="31"/>
  <c r="B38" i="31"/>
  <c r="B41" i="31" l="1"/>
  <c r="A39" i="31"/>
  <c r="A38" i="31"/>
  <c r="B40" i="31"/>
  <c r="A40" i="31" l="1"/>
  <c r="B42" i="31"/>
  <c r="A41" i="31"/>
  <c r="B43" i="31"/>
  <c r="B45" i="31" l="1"/>
  <c r="A43" i="31"/>
  <c r="A42" i="31"/>
  <c r="B44" i="31"/>
  <c r="A44" i="31" l="1"/>
  <c r="B46" i="31"/>
  <c r="A45" i="31"/>
  <c r="B47" i="31"/>
  <c r="A46" i="31" l="1"/>
  <c r="B48" i="31"/>
  <c r="B49" i="31"/>
  <c r="A47" i="31"/>
  <c r="A49" i="31" l="1"/>
  <c r="B51" i="31"/>
  <c r="A48" i="31"/>
  <c r="B50" i="31"/>
  <c r="A50" i="31" l="1"/>
  <c r="B52" i="31"/>
  <c r="B53" i="31"/>
  <c r="A51" i="31"/>
  <c r="A53" i="31" l="1"/>
  <c r="B55" i="31"/>
  <c r="A52" i="31"/>
  <c r="B54" i="31"/>
  <c r="A54" i="31" l="1"/>
  <c r="B56" i="31"/>
  <c r="B57" i="31"/>
  <c r="A55" i="31"/>
  <c r="B59" i="31" l="1"/>
  <c r="A57" i="31"/>
  <c r="A56" i="31"/>
  <c r="B58" i="31"/>
  <c r="A58" i="31" l="1"/>
  <c r="B60" i="31"/>
  <c r="A59" i="31"/>
  <c r="B61" i="31"/>
  <c r="A60" i="31" l="1"/>
  <c r="B62" i="31"/>
  <c r="B63" i="31"/>
  <c r="A61" i="31"/>
  <c r="A63" i="31" l="1"/>
  <c r="B65" i="31"/>
  <c r="A65" i="31" s="1"/>
  <c r="A62" i="31"/>
  <c r="B64" i="31"/>
  <c r="A64" i="31" s="1"/>
  <c r="AS55" i="12" l="1"/>
  <c r="AS41" i="8" l="1"/>
  <c r="J66" i="22" l="1"/>
  <c r="AL40" i="22"/>
  <c r="J66" i="30" l="1"/>
  <c r="G7" i="1" s="1"/>
  <c r="AR65" i="30"/>
  <c r="AL65" i="30"/>
  <c r="AK65" i="30"/>
  <c r="AG65" i="30"/>
  <c r="AF65" i="30"/>
  <c r="AB65" i="30"/>
  <c r="AA65" i="30"/>
  <c r="T65" i="30"/>
  <c r="S65" i="30"/>
  <c r="R65" i="30"/>
  <c r="AM65" i="30" s="1"/>
  <c r="H65" i="30"/>
  <c r="G65" i="30"/>
  <c r="AR64" i="30"/>
  <c r="AL64" i="30"/>
  <c r="AK64" i="30"/>
  <c r="AG64" i="30"/>
  <c r="AF64" i="30"/>
  <c r="AB64" i="30"/>
  <c r="AA64" i="30"/>
  <c r="T64" i="30"/>
  <c r="S64" i="30"/>
  <c r="R64" i="30"/>
  <c r="AM64" i="30" s="1"/>
  <c r="H64" i="30"/>
  <c r="G64" i="30"/>
  <c r="AR63" i="30"/>
  <c r="AL63" i="30"/>
  <c r="AK63" i="30"/>
  <c r="AG63" i="30"/>
  <c r="AF63" i="30"/>
  <c r="AB63" i="30"/>
  <c r="AA63" i="30"/>
  <c r="T63" i="30"/>
  <c r="S63" i="30"/>
  <c r="R63" i="30"/>
  <c r="AM63" i="30" s="1"/>
  <c r="H63" i="30"/>
  <c r="G63" i="30"/>
  <c r="AR62" i="30"/>
  <c r="AL62" i="30"/>
  <c r="AK62" i="30"/>
  <c r="AG62" i="30"/>
  <c r="AF62" i="30"/>
  <c r="AB62" i="30"/>
  <c r="AA62" i="30"/>
  <c r="T62" i="30"/>
  <c r="S62" i="30"/>
  <c r="R62" i="30"/>
  <c r="AM62" i="30" s="1"/>
  <c r="H62" i="30"/>
  <c r="G62" i="30"/>
  <c r="AR61" i="30"/>
  <c r="AL61" i="30"/>
  <c r="AK61" i="30"/>
  <c r="AG61" i="30"/>
  <c r="AF61" i="30"/>
  <c r="AB61" i="30"/>
  <c r="AA61" i="30"/>
  <c r="T61" i="30"/>
  <c r="S61" i="30"/>
  <c r="R61" i="30"/>
  <c r="AM61" i="30" s="1"/>
  <c r="H61" i="30"/>
  <c r="G61" i="30"/>
  <c r="AR60" i="30"/>
  <c r="AL60" i="30"/>
  <c r="AK60" i="30"/>
  <c r="AG60" i="30"/>
  <c r="AF60" i="30"/>
  <c r="AB60" i="30"/>
  <c r="AA60" i="30"/>
  <c r="T60" i="30"/>
  <c r="S60" i="30"/>
  <c r="R60" i="30"/>
  <c r="AM60" i="30" s="1"/>
  <c r="H60" i="30"/>
  <c r="G60" i="30"/>
  <c r="AR59" i="30"/>
  <c r="AL59" i="30"/>
  <c r="AK59" i="30"/>
  <c r="AG59" i="30"/>
  <c r="AF59" i="30"/>
  <c r="AB59" i="30"/>
  <c r="AA59" i="30"/>
  <c r="T59" i="30"/>
  <c r="S59" i="30"/>
  <c r="R59" i="30"/>
  <c r="AM59" i="30" s="1"/>
  <c r="H59" i="30"/>
  <c r="G59" i="30"/>
  <c r="AR58" i="30"/>
  <c r="AL58" i="30"/>
  <c r="AK58" i="30"/>
  <c r="AG58" i="30"/>
  <c r="AF58" i="30"/>
  <c r="AB58" i="30"/>
  <c r="AA58" i="30"/>
  <c r="T58" i="30"/>
  <c r="S58" i="30"/>
  <c r="R58" i="30"/>
  <c r="AM58" i="30" s="1"/>
  <c r="H58" i="30"/>
  <c r="G58" i="30"/>
  <c r="AR57" i="30"/>
  <c r="AL57" i="30"/>
  <c r="AK57" i="30"/>
  <c r="AG57" i="30"/>
  <c r="AF57" i="30"/>
  <c r="AB57" i="30"/>
  <c r="AA57" i="30"/>
  <c r="T57" i="30"/>
  <c r="S57" i="30"/>
  <c r="R57" i="30"/>
  <c r="AM57" i="30" s="1"/>
  <c r="H57" i="30"/>
  <c r="G57" i="30"/>
  <c r="AR56" i="30"/>
  <c r="AL56" i="30"/>
  <c r="AK56" i="30"/>
  <c r="AG56" i="30"/>
  <c r="AF56" i="30"/>
  <c r="AB56" i="30"/>
  <c r="AA56" i="30"/>
  <c r="T56" i="30"/>
  <c r="S56" i="30"/>
  <c r="R56" i="30"/>
  <c r="AM56" i="30" s="1"/>
  <c r="H56" i="30"/>
  <c r="G56" i="30"/>
  <c r="AR55" i="30"/>
  <c r="AL55" i="30"/>
  <c r="AK55" i="30"/>
  <c r="AG55" i="30"/>
  <c r="AF55" i="30"/>
  <c r="AB55" i="30"/>
  <c r="AA55" i="30"/>
  <c r="T55" i="30"/>
  <c r="S55" i="30"/>
  <c r="R55" i="30"/>
  <c r="AM55" i="30" s="1"/>
  <c r="H55" i="30"/>
  <c r="G55" i="30"/>
  <c r="AR54" i="30"/>
  <c r="AL54" i="30"/>
  <c r="AK54" i="30"/>
  <c r="AG54" i="30"/>
  <c r="AF54" i="30"/>
  <c r="AB54" i="30"/>
  <c r="AA54" i="30"/>
  <c r="T54" i="30"/>
  <c r="S54" i="30"/>
  <c r="R54" i="30"/>
  <c r="AM54" i="30" s="1"/>
  <c r="H54" i="30"/>
  <c r="G54" i="30"/>
  <c r="AR53" i="30"/>
  <c r="AL53" i="30"/>
  <c r="AK53" i="30"/>
  <c r="AG53" i="30"/>
  <c r="AF53" i="30"/>
  <c r="AB53" i="30"/>
  <c r="AA53" i="30"/>
  <c r="T53" i="30"/>
  <c r="S53" i="30"/>
  <c r="R53" i="30"/>
  <c r="AM53" i="30" s="1"/>
  <c r="H53" i="30"/>
  <c r="G53" i="30"/>
  <c r="AR52" i="30"/>
  <c r="AL52" i="30"/>
  <c r="AK52" i="30"/>
  <c r="AG52" i="30"/>
  <c r="AF52" i="30"/>
  <c r="AB52" i="30"/>
  <c r="AA52" i="30"/>
  <c r="T52" i="30"/>
  <c r="S52" i="30"/>
  <c r="R52" i="30"/>
  <c r="AM52" i="30" s="1"/>
  <c r="H52" i="30"/>
  <c r="G52" i="30"/>
  <c r="AR51" i="30"/>
  <c r="AL51" i="30"/>
  <c r="AK51" i="30"/>
  <c r="AG51" i="30"/>
  <c r="AF51" i="30"/>
  <c r="AB51" i="30"/>
  <c r="AA51" i="30"/>
  <c r="T51" i="30"/>
  <c r="S51" i="30"/>
  <c r="R51" i="30"/>
  <c r="AM51" i="30" s="1"/>
  <c r="H51" i="30"/>
  <c r="G51" i="30"/>
  <c r="AR50" i="30"/>
  <c r="AL50" i="30"/>
  <c r="AK50" i="30"/>
  <c r="AG50" i="30"/>
  <c r="AF50" i="30"/>
  <c r="AB50" i="30"/>
  <c r="AA50" i="30"/>
  <c r="T50" i="30"/>
  <c r="S50" i="30"/>
  <c r="R50" i="30"/>
  <c r="AM50" i="30" s="1"/>
  <c r="H50" i="30"/>
  <c r="G50" i="30"/>
  <c r="AR49" i="30"/>
  <c r="AL49" i="30"/>
  <c r="AK49" i="30"/>
  <c r="AG49" i="30"/>
  <c r="AF49" i="30"/>
  <c r="AB49" i="30"/>
  <c r="AA49" i="30"/>
  <c r="T49" i="30"/>
  <c r="S49" i="30"/>
  <c r="R49" i="30"/>
  <c r="AM49" i="30" s="1"/>
  <c r="H49" i="30"/>
  <c r="G49" i="30"/>
  <c r="AR48" i="30"/>
  <c r="AL48" i="30"/>
  <c r="AK48" i="30"/>
  <c r="AG48" i="30"/>
  <c r="AF48" i="30"/>
  <c r="AB48" i="30"/>
  <c r="AA48" i="30"/>
  <c r="T48" i="30"/>
  <c r="S48" i="30"/>
  <c r="R48" i="30"/>
  <c r="AM48" i="30" s="1"/>
  <c r="H48" i="30"/>
  <c r="G48" i="30"/>
  <c r="AR47" i="30"/>
  <c r="AL47" i="30"/>
  <c r="AK47" i="30"/>
  <c r="AG47" i="30"/>
  <c r="AF47" i="30"/>
  <c r="AB47" i="30"/>
  <c r="AA47" i="30"/>
  <c r="T47" i="30"/>
  <c r="S47" i="30"/>
  <c r="R47" i="30"/>
  <c r="AM47" i="30" s="1"/>
  <c r="H47" i="30"/>
  <c r="G47" i="30"/>
  <c r="AR46" i="30"/>
  <c r="AL46" i="30"/>
  <c r="AK46" i="30"/>
  <c r="AG46" i="30"/>
  <c r="AF46" i="30"/>
  <c r="AB46" i="30"/>
  <c r="AA46" i="30"/>
  <c r="T46" i="30"/>
  <c r="S46" i="30"/>
  <c r="R46" i="30"/>
  <c r="AM46" i="30" s="1"/>
  <c r="H46" i="30"/>
  <c r="G46" i="30"/>
  <c r="AR45" i="30"/>
  <c r="AL45" i="30"/>
  <c r="AK45" i="30"/>
  <c r="AG45" i="30"/>
  <c r="AF45" i="30"/>
  <c r="AB45" i="30"/>
  <c r="AA45" i="30"/>
  <c r="T45" i="30"/>
  <c r="S45" i="30"/>
  <c r="R45" i="30"/>
  <c r="AM45" i="30" s="1"/>
  <c r="H45" i="30"/>
  <c r="G45" i="30"/>
  <c r="AR44" i="30"/>
  <c r="AL44" i="30"/>
  <c r="AK44" i="30"/>
  <c r="AG44" i="30"/>
  <c r="AF44" i="30"/>
  <c r="AB44" i="30"/>
  <c r="AA44" i="30"/>
  <c r="T44" i="30"/>
  <c r="S44" i="30"/>
  <c r="R44" i="30"/>
  <c r="AM44" i="30" s="1"/>
  <c r="H44" i="30"/>
  <c r="G44" i="30"/>
  <c r="AR43" i="30"/>
  <c r="AL43" i="30"/>
  <c r="AK43" i="30"/>
  <c r="AG43" i="30"/>
  <c r="AF43" i="30"/>
  <c r="AB43" i="30"/>
  <c r="AA43" i="30"/>
  <c r="T43" i="30"/>
  <c r="S43" i="30"/>
  <c r="R43" i="30"/>
  <c r="AM43" i="30" s="1"/>
  <c r="H43" i="30"/>
  <c r="G43" i="30"/>
  <c r="AR42" i="30"/>
  <c r="AL42" i="30"/>
  <c r="AK42" i="30"/>
  <c r="AG42" i="30"/>
  <c r="AF42" i="30"/>
  <c r="AB42" i="30"/>
  <c r="AA42" i="30"/>
  <c r="T42" i="30"/>
  <c r="S42" i="30"/>
  <c r="R42" i="30"/>
  <c r="AM42" i="30" s="1"/>
  <c r="H42" i="30"/>
  <c r="G42" i="30"/>
  <c r="AR41" i="30"/>
  <c r="AL41" i="30"/>
  <c r="AK41" i="30"/>
  <c r="AG41" i="30"/>
  <c r="AF41" i="30"/>
  <c r="AB41" i="30"/>
  <c r="AA41" i="30"/>
  <c r="T41" i="30"/>
  <c r="S41" i="30"/>
  <c r="R41" i="30"/>
  <c r="AM41" i="30" s="1"/>
  <c r="H41" i="30"/>
  <c r="G41" i="30"/>
  <c r="AR40" i="30"/>
  <c r="AL40" i="30"/>
  <c r="AK40" i="30"/>
  <c r="AG40" i="30"/>
  <c r="AF40" i="30"/>
  <c r="AB40" i="30"/>
  <c r="AA40" i="30"/>
  <c r="T40" i="30"/>
  <c r="S40" i="30"/>
  <c r="R40" i="30"/>
  <c r="AM40" i="30" s="1"/>
  <c r="H40" i="30"/>
  <c r="G40" i="30"/>
  <c r="AR39" i="30"/>
  <c r="AL39" i="30"/>
  <c r="AK39" i="30"/>
  <c r="AG39" i="30"/>
  <c r="AF39" i="30"/>
  <c r="AB39" i="30"/>
  <c r="AA39" i="30"/>
  <c r="T39" i="30"/>
  <c r="S39" i="30"/>
  <c r="R39" i="30"/>
  <c r="AM39" i="30" s="1"/>
  <c r="H39" i="30"/>
  <c r="G39" i="30"/>
  <c r="AR38" i="30"/>
  <c r="AL38" i="30"/>
  <c r="AK38" i="30"/>
  <c r="AG38" i="30"/>
  <c r="AF38" i="30"/>
  <c r="AB38" i="30"/>
  <c r="AA38" i="30"/>
  <c r="T38" i="30"/>
  <c r="S38" i="30"/>
  <c r="R38" i="30"/>
  <c r="AM38" i="30" s="1"/>
  <c r="H38" i="30"/>
  <c r="G38" i="30"/>
  <c r="AR37" i="30"/>
  <c r="AL37" i="30"/>
  <c r="AK37" i="30"/>
  <c r="AG37" i="30"/>
  <c r="AF37" i="30"/>
  <c r="AB37" i="30"/>
  <c r="AA37" i="30"/>
  <c r="T37" i="30"/>
  <c r="S37" i="30"/>
  <c r="R37" i="30"/>
  <c r="AM37" i="30" s="1"/>
  <c r="H37" i="30"/>
  <c r="G37" i="30"/>
  <c r="AR36" i="30"/>
  <c r="AL36" i="30"/>
  <c r="AK36" i="30"/>
  <c r="AG36" i="30"/>
  <c r="AF36" i="30"/>
  <c r="AB36" i="30"/>
  <c r="AA36" i="30"/>
  <c r="T36" i="30"/>
  <c r="S36" i="30"/>
  <c r="R36" i="30"/>
  <c r="AM36" i="30" s="1"/>
  <c r="H36" i="30"/>
  <c r="G36" i="30"/>
  <c r="AR35" i="30"/>
  <c r="AL35" i="30"/>
  <c r="AK35" i="30"/>
  <c r="AG35" i="30"/>
  <c r="AF35" i="30"/>
  <c r="AB35" i="30"/>
  <c r="AA35" i="30"/>
  <c r="T35" i="30"/>
  <c r="S35" i="30"/>
  <c r="R35" i="30"/>
  <c r="AM35" i="30" s="1"/>
  <c r="H35" i="30"/>
  <c r="G35" i="30"/>
  <c r="AR34" i="30"/>
  <c r="AL34" i="30"/>
  <c r="AK34" i="30"/>
  <c r="AG34" i="30"/>
  <c r="AF34" i="30"/>
  <c r="AB34" i="30"/>
  <c r="AA34" i="30"/>
  <c r="T34" i="30"/>
  <c r="S34" i="30"/>
  <c r="R34" i="30"/>
  <c r="AM34" i="30" s="1"/>
  <c r="H34" i="30"/>
  <c r="G34" i="30"/>
  <c r="AR33" i="30"/>
  <c r="AL33" i="30"/>
  <c r="AK33" i="30"/>
  <c r="AG33" i="30"/>
  <c r="AF33" i="30"/>
  <c r="AB33" i="30"/>
  <c r="AA33" i="30"/>
  <c r="T33" i="30"/>
  <c r="S33" i="30"/>
  <c r="R33" i="30"/>
  <c r="AM33" i="30" s="1"/>
  <c r="H33" i="30"/>
  <c r="G33" i="30"/>
  <c r="AR32" i="30"/>
  <c r="AL32" i="30"/>
  <c r="AK32" i="30"/>
  <c r="AG32" i="30"/>
  <c r="AF32" i="30"/>
  <c r="AB32" i="30"/>
  <c r="AA32" i="30"/>
  <c r="T32" i="30"/>
  <c r="S32" i="30"/>
  <c r="R32" i="30"/>
  <c r="AM32" i="30" s="1"/>
  <c r="H32" i="30"/>
  <c r="G32" i="30"/>
  <c r="AR31" i="30"/>
  <c r="AL31" i="30"/>
  <c r="AK31" i="30"/>
  <c r="AG31" i="30"/>
  <c r="AF31" i="30"/>
  <c r="AB31" i="30"/>
  <c r="AA31" i="30"/>
  <c r="T31" i="30"/>
  <c r="S31" i="30"/>
  <c r="R31" i="30"/>
  <c r="AM31" i="30" s="1"/>
  <c r="H31" i="30"/>
  <c r="G31" i="30"/>
  <c r="AR30" i="30"/>
  <c r="AL30" i="30"/>
  <c r="AK30" i="30"/>
  <c r="AG30" i="30"/>
  <c r="AF30" i="30"/>
  <c r="AB30" i="30"/>
  <c r="AA30" i="30"/>
  <c r="T30" i="30"/>
  <c r="S30" i="30"/>
  <c r="R30" i="30"/>
  <c r="AM30" i="30" s="1"/>
  <c r="H30" i="30"/>
  <c r="G30" i="30"/>
  <c r="AR29" i="30"/>
  <c r="AL29" i="30"/>
  <c r="AK29" i="30"/>
  <c r="AG29" i="30"/>
  <c r="AF29" i="30"/>
  <c r="AB29" i="30"/>
  <c r="AA29" i="30"/>
  <c r="T29" i="30"/>
  <c r="S29" i="30"/>
  <c r="R29" i="30"/>
  <c r="AM29" i="30" s="1"/>
  <c r="H29" i="30"/>
  <c r="G29" i="30"/>
  <c r="AR28" i="30"/>
  <c r="AL28" i="30"/>
  <c r="AK28" i="30"/>
  <c r="AG28" i="30"/>
  <c r="AF28" i="30"/>
  <c r="AB28" i="30"/>
  <c r="AA28" i="30"/>
  <c r="T28" i="30"/>
  <c r="S28" i="30"/>
  <c r="R28" i="30"/>
  <c r="AM28" i="30" s="1"/>
  <c r="H28" i="30"/>
  <c r="G28" i="30"/>
  <c r="AR27" i="30"/>
  <c r="AL27" i="30"/>
  <c r="AK27" i="30"/>
  <c r="AG27" i="30"/>
  <c r="AF27" i="30"/>
  <c r="AB27" i="30"/>
  <c r="AA27" i="30"/>
  <c r="T27" i="30"/>
  <c r="S27" i="30"/>
  <c r="R27" i="30"/>
  <c r="AM27" i="30" s="1"/>
  <c r="H27" i="30"/>
  <c r="G27" i="30"/>
  <c r="AR26" i="30"/>
  <c r="AL26" i="30"/>
  <c r="AK26" i="30"/>
  <c r="AG26" i="30"/>
  <c r="AF26" i="30"/>
  <c r="AB26" i="30"/>
  <c r="AA26" i="30"/>
  <c r="T26" i="30"/>
  <c r="S26" i="30"/>
  <c r="R26" i="30"/>
  <c r="AM26" i="30" s="1"/>
  <c r="H26" i="30"/>
  <c r="G26" i="30"/>
  <c r="AR25" i="30"/>
  <c r="AL25" i="30"/>
  <c r="AK25" i="30"/>
  <c r="AG25" i="30"/>
  <c r="AF25" i="30"/>
  <c r="AB25" i="30"/>
  <c r="AA25" i="30"/>
  <c r="T25" i="30"/>
  <c r="S25" i="30"/>
  <c r="R25" i="30"/>
  <c r="AM25" i="30" s="1"/>
  <c r="H25" i="30"/>
  <c r="G25" i="30"/>
  <c r="AR24" i="30"/>
  <c r="AL24" i="30"/>
  <c r="AK24" i="30"/>
  <c r="AG24" i="30"/>
  <c r="AF24" i="30"/>
  <c r="AB24" i="30"/>
  <c r="AA24" i="30"/>
  <c r="T24" i="30"/>
  <c r="S24" i="30"/>
  <c r="R24" i="30"/>
  <c r="AM24" i="30" s="1"/>
  <c r="H24" i="30"/>
  <c r="G24" i="30"/>
  <c r="AR23" i="30"/>
  <c r="AL23" i="30"/>
  <c r="AK23" i="30"/>
  <c r="AG23" i="30"/>
  <c r="AF23" i="30"/>
  <c r="AB23" i="30"/>
  <c r="AA23" i="30"/>
  <c r="T23" i="30"/>
  <c r="S23" i="30"/>
  <c r="R23" i="30"/>
  <c r="AM23" i="30" s="1"/>
  <c r="H23" i="30"/>
  <c r="G23" i="30"/>
  <c r="AR22" i="30"/>
  <c r="AL22" i="30"/>
  <c r="AK22" i="30"/>
  <c r="AG22" i="30"/>
  <c r="AF22" i="30"/>
  <c r="AB22" i="30"/>
  <c r="AA22" i="30"/>
  <c r="T22" i="30"/>
  <c r="S22" i="30"/>
  <c r="R22" i="30"/>
  <c r="AM22" i="30" s="1"/>
  <c r="H22" i="30"/>
  <c r="G22" i="30"/>
  <c r="AR21" i="30"/>
  <c r="AL21" i="30"/>
  <c r="AK21" i="30"/>
  <c r="AG21" i="30"/>
  <c r="AF21" i="30"/>
  <c r="AB21" i="30"/>
  <c r="AA21" i="30"/>
  <c r="T21" i="30"/>
  <c r="S21" i="30"/>
  <c r="R21" i="30"/>
  <c r="AM21" i="30" s="1"/>
  <c r="H21" i="30"/>
  <c r="G21" i="30"/>
  <c r="AR20" i="30"/>
  <c r="AL20" i="30"/>
  <c r="AK20" i="30"/>
  <c r="AG20" i="30"/>
  <c r="AF20" i="30"/>
  <c r="AB20" i="30"/>
  <c r="AA20" i="30"/>
  <c r="T20" i="30"/>
  <c r="S20" i="30"/>
  <c r="R20" i="30"/>
  <c r="AM20" i="30" s="1"/>
  <c r="H20" i="30"/>
  <c r="G20" i="30"/>
  <c r="AR19" i="30"/>
  <c r="AL19" i="30"/>
  <c r="AK19" i="30"/>
  <c r="AG19" i="30"/>
  <c r="AF19" i="30"/>
  <c r="AB19" i="30"/>
  <c r="AA19" i="30"/>
  <c r="T19" i="30"/>
  <c r="S19" i="30"/>
  <c r="R19" i="30"/>
  <c r="AM19" i="30" s="1"/>
  <c r="H19" i="30"/>
  <c r="G19" i="30"/>
  <c r="AR18" i="30"/>
  <c r="AL18" i="30"/>
  <c r="AK18" i="30"/>
  <c r="AG18" i="30"/>
  <c r="AF18" i="30"/>
  <c r="AB18" i="30"/>
  <c r="AA18" i="30"/>
  <c r="T18" i="30"/>
  <c r="S18" i="30"/>
  <c r="R18" i="30"/>
  <c r="AM18" i="30" s="1"/>
  <c r="H18" i="30"/>
  <c r="G18" i="30"/>
  <c r="AR17" i="30"/>
  <c r="AL17" i="30"/>
  <c r="AK17" i="30"/>
  <c r="AG17" i="30"/>
  <c r="AF17" i="30"/>
  <c r="AB17" i="30"/>
  <c r="AA17" i="30"/>
  <c r="T17" i="30"/>
  <c r="S17" i="30"/>
  <c r="R17" i="30"/>
  <c r="AM17" i="30" s="1"/>
  <c r="H17" i="30"/>
  <c r="G17" i="30"/>
  <c r="AR16" i="30"/>
  <c r="AL16" i="30"/>
  <c r="AK16" i="30"/>
  <c r="AG16" i="30"/>
  <c r="AF16" i="30"/>
  <c r="AB16" i="30"/>
  <c r="AA16" i="30"/>
  <c r="T16" i="30"/>
  <c r="S16" i="30"/>
  <c r="R16" i="30"/>
  <c r="AM16" i="30" s="1"/>
  <c r="H16" i="30"/>
  <c r="G16" i="30"/>
  <c r="AR15" i="30"/>
  <c r="AL15" i="30"/>
  <c r="AK15" i="30"/>
  <c r="AG15" i="30"/>
  <c r="AF15" i="30"/>
  <c r="AB15" i="30"/>
  <c r="AA15" i="30"/>
  <c r="T15" i="30"/>
  <c r="S15" i="30"/>
  <c r="R15" i="30"/>
  <c r="AM15" i="30" s="1"/>
  <c r="H15" i="30"/>
  <c r="G15" i="30"/>
  <c r="AR14" i="30"/>
  <c r="AL14" i="30"/>
  <c r="AK14" i="30"/>
  <c r="AG14" i="30"/>
  <c r="AF14" i="30"/>
  <c r="AB14" i="30"/>
  <c r="AA14" i="30"/>
  <c r="T14" i="30"/>
  <c r="S14" i="30"/>
  <c r="R14" i="30"/>
  <c r="AM14" i="30" s="1"/>
  <c r="H14" i="30"/>
  <c r="G14" i="30"/>
  <c r="AR13" i="30"/>
  <c r="AL13" i="30"/>
  <c r="AK13" i="30"/>
  <c r="AG13" i="30"/>
  <c r="AF13" i="30"/>
  <c r="AB13" i="30"/>
  <c r="AA13" i="30"/>
  <c r="T13" i="30"/>
  <c r="S13" i="30"/>
  <c r="R13" i="30"/>
  <c r="AM13" i="30" s="1"/>
  <c r="H13" i="30"/>
  <c r="G13" i="30"/>
  <c r="AR12" i="30"/>
  <c r="AL12" i="30"/>
  <c r="AK12" i="30"/>
  <c r="AG12" i="30"/>
  <c r="AF12" i="30"/>
  <c r="AB12" i="30"/>
  <c r="AA12" i="30"/>
  <c r="T12" i="30"/>
  <c r="S12" i="30"/>
  <c r="R12" i="30"/>
  <c r="AM12" i="30" s="1"/>
  <c r="H12" i="30"/>
  <c r="G12" i="30"/>
  <c r="AR11" i="30"/>
  <c r="AL11" i="30"/>
  <c r="AK11" i="30"/>
  <c r="AG11" i="30"/>
  <c r="AF11" i="30"/>
  <c r="AB11" i="30"/>
  <c r="AA11" i="30"/>
  <c r="T11" i="30"/>
  <c r="S11" i="30"/>
  <c r="R11" i="30"/>
  <c r="AM11" i="30" s="1"/>
  <c r="H11" i="30"/>
  <c r="G11" i="30"/>
  <c r="AR10" i="30"/>
  <c r="AL10" i="30"/>
  <c r="AK10" i="30"/>
  <c r="AG10" i="30"/>
  <c r="AF10" i="30"/>
  <c r="AB10" i="30"/>
  <c r="AA10" i="30"/>
  <c r="T10" i="30"/>
  <c r="S10" i="30"/>
  <c r="R10" i="30"/>
  <c r="AM10" i="30" s="1"/>
  <c r="H10" i="30"/>
  <c r="G10" i="30"/>
  <c r="AR9" i="30"/>
  <c r="AL9" i="30"/>
  <c r="AK9" i="30"/>
  <c r="AG9" i="30"/>
  <c r="AF9" i="30"/>
  <c r="AB9" i="30"/>
  <c r="AA9" i="30"/>
  <c r="T9" i="30"/>
  <c r="S9" i="30"/>
  <c r="R9" i="30"/>
  <c r="AM9" i="30" s="1"/>
  <c r="H9" i="30"/>
  <c r="G9" i="30"/>
  <c r="AR8" i="30"/>
  <c r="AL8" i="30"/>
  <c r="AK8" i="30"/>
  <c r="AG8" i="30"/>
  <c r="AF8" i="30"/>
  <c r="AB8" i="30"/>
  <c r="AA8" i="30"/>
  <c r="T8" i="30"/>
  <c r="S8" i="30"/>
  <c r="R8" i="30"/>
  <c r="AM8" i="30" s="1"/>
  <c r="H8" i="30"/>
  <c r="G8" i="30"/>
  <c r="AR7" i="30"/>
  <c r="AL7" i="30"/>
  <c r="AK7" i="30"/>
  <c r="AG7" i="30"/>
  <c r="AF7" i="30"/>
  <c r="AB7" i="30"/>
  <c r="AA7" i="30"/>
  <c r="T7" i="30"/>
  <c r="S7" i="30"/>
  <c r="R7" i="30"/>
  <c r="AM7" i="30" s="1"/>
  <c r="H7" i="30"/>
  <c r="G7" i="30"/>
  <c r="AR6" i="30"/>
  <c r="AL6" i="30"/>
  <c r="AK6" i="30"/>
  <c r="AG6" i="30"/>
  <c r="AF6" i="30"/>
  <c r="AB6" i="30"/>
  <c r="AA6" i="30"/>
  <c r="T6" i="30"/>
  <c r="S6" i="30"/>
  <c r="R6" i="30"/>
  <c r="AM6" i="30" s="1"/>
  <c r="H6" i="30"/>
  <c r="G6" i="30"/>
  <c r="B6" i="30"/>
  <c r="A6" i="30" s="1"/>
  <c r="AR5" i="30"/>
  <c r="AL5" i="30"/>
  <c r="AK5" i="30"/>
  <c r="AG5" i="30"/>
  <c r="AF5" i="30"/>
  <c r="AB5" i="30"/>
  <c r="AA5" i="30"/>
  <c r="T5" i="30"/>
  <c r="S5" i="30"/>
  <c r="R5" i="30"/>
  <c r="AM5" i="30" s="1"/>
  <c r="H5" i="30"/>
  <c r="G5" i="30"/>
  <c r="B5" i="30"/>
  <c r="B7" i="30" s="1"/>
  <c r="A7" i="30" s="1"/>
  <c r="AR4" i="30"/>
  <c r="AL4" i="30"/>
  <c r="AK4" i="30"/>
  <c r="AG4" i="30"/>
  <c r="AF4" i="30"/>
  <c r="AB4" i="30"/>
  <c r="AA4" i="30"/>
  <c r="T4" i="30"/>
  <c r="S4" i="30"/>
  <c r="R4" i="30"/>
  <c r="AM4" i="30" s="1"/>
  <c r="H4" i="30"/>
  <c r="G4" i="30"/>
  <c r="A4" i="30"/>
  <c r="AP1" i="30"/>
  <c r="AB33" i="29"/>
  <c r="AA33" i="29"/>
  <c r="AB32" i="29"/>
  <c r="AA32" i="29"/>
  <c r="AB31" i="29"/>
  <c r="AA31" i="29"/>
  <c r="AB30" i="29"/>
  <c r="AA30" i="29"/>
  <c r="AB29" i="29"/>
  <c r="AA29" i="29"/>
  <c r="AB28" i="29"/>
  <c r="AA28" i="29"/>
  <c r="AB27" i="29"/>
  <c r="AA27" i="29"/>
  <c r="AB26" i="29"/>
  <c r="AA26" i="29"/>
  <c r="AB25" i="29"/>
  <c r="AA25" i="29"/>
  <c r="AB24" i="29"/>
  <c r="AA24" i="29"/>
  <c r="AB23" i="29"/>
  <c r="AA23" i="29"/>
  <c r="AB22" i="29"/>
  <c r="AA22" i="29"/>
  <c r="AB21" i="29"/>
  <c r="AA21" i="29"/>
  <c r="AB20" i="29"/>
  <c r="AA20" i="29"/>
  <c r="AB19" i="29"/>
  <c r="AA19" i="29"/>
  <c r="AB18" i="29"/>
  <c r="AA18" i="29"/>
  <c r="AB17" i="29"/>
  <c r="AA17" i="29"/>
  <c r="AB16" i="29"/>
  <c r="AA16" i="29"/>
  <c r="AB15" i="29"/>
  <c r="AA15" i="29"/>
  <c r="AB14" i="29"/>
  <c r="AA14" i="29"/>
  <c r="AB13" i="29"/>
  <c r="AA13" i="29"/>
  <c r="AB12" i="29"/>
  <c r="AA12" i="29"/>
  <c r="AB11" i="29"/>
  <c r="AA11" i="29"/>
  <c r="AB10" i="29"/>
  <c r="AA10" i="29"/>
  <c r="AB9" i="29"/>
  <c r="AA9" i="29"/>
  <c r="AB8" i="29"/>
  <c r="AA8" i="29"/>
  <c r="AB7" i="29"/>
  <c r="AA7" i="29"/>
  <c r="AB6" i="29"/>
  <c r="AA6" i="29"/>
  <c r="AB5" i="29"/>
  <c r="AA5" i="29"/>
  <c r="AB4" i="29"/>
  <c r="AA4" i="29"/>
  <c r="AG66" i="29"/>
  <c r="AF66" i="29"/>
  <c r="AB66" i="29"/>
  <c r="AA66" i="29"/>
  <c r="J66" i="29"/>
  <c r="AR65" i="29"/>
  <c r="AL65" i="29"/>
  <c r="AK65" i="29"/>
  <c r="AG65" i="29"/>
  <c r="AF65" i="29"/>
  <c r="AB65" i="29"/>
  <c r="AA65" i="29"/>
  <c r="T65" i="29"/>
  <c r="S65" i="29"/>
  <c r="R65" i="29"/>
  <c r="AM65" i="29" s="1"/>
  <c r="H65" i="29"/>
  <c r="G65" i="29"/>
  <c r="AR64" i="29"/>
  <c r="AL64" i="29"/>
  <c r="AK64" i="29"/>
  <c r="AG64" i="29"/>
  <c r="AF64" i="29"/>
  <c r="AB64" i="29"/>
  <c r="AA64" i="29"/>
  <c r="T64" i="29"/>
  <c r="S64" i="29"/>
  <c r="R64" i="29"/>
  <c r="AM64" i="29" s="1"/>
  <c r="H64" i="29"/>
  <c r="G64" i="29"/>
  <c r="AR63" i="29"/>
  <c r="AL63" i="29"/>
  <c r="AK63" i="29"/>
  <c r="AG63" i="29"/>
  <c r="AF63" i="29"/>
  <c r="AB63" i="29"/>
  <c r="AA63" i="29"/>
  <c r="T63" i="29"/>
  <c r="S63" i="29"/>
  <c r="R63" i="29"/>
  <c r="AM63" i="29" s="1"/>
  <c r="H63" i="29"/>
  <c r="G63" i="29"/>
  <c r="AR62" i="29"/>
  <c r="AL62" i="29"/>
  <c r="AK62" i="29"/>
  <c r="AG62" i="29"/>
  <c r="AF62" i="29"/>
  <c r="AB62" i="29"/>
  <c r="AA62" i="29"/>
  <c r="T62" i="29"/>
  <c r="S62" i="29"/>
  <c r="R62" i="29"/>
  <c r="AM62" i="29" s="1"/>
  <c r="H62" i="29"/>
  <c r="G62" i="29"/>
  <c r="AR61" i="29"/>
  <c r="AL61" i="29"/>
  <c r="AK61" i="29"/>
  <c r="AG61" i="29"/>
  <c r="AF61" i="29"/>
  <c r="AB61" i="29"/>
  <c r="AA61" i="29"/>
  <c r="T61" i="29"/>
  <c r="S61" i="29"/>
  <c r="R61" i="29"/>
  <c r="AM61" i="29" s="1"/>
  <c r="H61" i="29"/>
  <c r="G61" i="29"/>
  <c r="AR60" i="29"/>
  <c r="AL60" i="29"/>
  <c r="AK60" i="29"/>
  <c r="AG60" i="29"/>
  <c r="AF60" i="29"/>
  <c r="AB60" i="29"/>
  <c r="AA60" i="29"/>
  <c r="T60" i="29"/>
  <c r="S60" i="29"/>
  <c r="R60" i="29"/>
  <c r="AM60" i="29" s="1"/>
  <c r="H60" i="29"/>
  <c r="G60" i="29"/>
  <c r="AR59" i="29"/>
  <c r="AL59" i="29"/>
  <c r="AK59" i="29"/>
  <c r="AG59" i="29"/>
  <c r="AF59" i="29"/>
  <c r="AB59" i="29"/>
  <c r="AA59" i="29"/>
  <c r="T59" i="29"/>
  <c r="S59" i="29"/>
  <c r="R59" i="29"/>
  <c r="AM59" i="29" s="1"/>
  <c r="H59" i="29"/>
  <c r="G59" i="29"/>
  <c r="AR58" i="29"/>
  <c r="AL58" i="29"/>
  <c r="AK58" i="29"/>
  <c r="AG58" i="29"/>
  <c r="AF58" i="29"/>
  <c r="AB58" i="29"/>
  <c r="AA58" i="29"/>
  <c r="T58" i="29"/>
  <c r="S58" i="29"/>
  <c r="R58" i="29"/>
  <c r="AM58" i="29" s="1"/>
  <c r="H58" i="29"/>
  <c r="G58" i="29"/>
  <c r="AR57" i="29"/>
  <c r="AL57" i="29"/>
  <c r="AK57" i="29"/>
  <c r="AG57" i="29"/>
  <c r="AF57" i="29"/>
  <c r="AB57" i="29"/>
  <c r="AA57" i="29"/>
  <c r="T57" i="29"/>
  <c r="S57" i="29"/>
  <c r="R57" i="29"/>
  <c r="AM57" i="29" s="1"/>
  <c r="H57" i="29"/>
  <c r="G57" i="29"/>
  <c r="AR56" i="29"/>
  <c r="AL56" i="29"/>
  <c r="AK56" i="29"/>
  <c r="AG56" i="29"/>
  <c r="AF56" i="29"/>
  <c r="AB56" i="29"/>
  <c r="AA56" i="29"/>
  <c r="T56" i="29"/>
  <c r="S56" i="29"/>
  <c r="R56" i="29"/>
  <c r="AM56" i="29" s="1"/>
  <c r="H56" i="29"/>
  <c r="G56" i="29"/>
  <c r="AR55" i="29"/>
  <c r="AL55" i="29"/>
  <c r="AK55" i="29"/>
  <c r="AG55" i="29"/>
  <c r="AF55" i="29"/>
  <c r="AB55" i="29"/>
  <c r="AA55" i="29"/>
  <c r="T55" i="29"/>
  <c r="S55" i="29"/>
  <c r="R55" i="29"/>
  <c r="AM55" i="29" s="1"/>
  <c r="H55" i="29"/>
  <c r="G55" i="29"/>
  <c r="AR54" i="29"/>
  <c r="AL54" i="29"/>
  <c r="AK54" i="29"/>
  <c r="AG54" i="29"/>
  <c r="AF54" i="29"/>
  <c r="AB54" i="29"/>
  <c r="AA54" i="29"/>
  <c r="T54" i="29"/>
  <c r="S54" i="29"/>
  <c r="R54" i="29"/>
  <c r="AM54" i="29" s="1"/>
  <c r="H54" i="29"/>
  <c r="G54" i="29"/>
  <c r="AR53" i="29"/>
  <c r="AL53" i="29"/>
  <c r="AK53" i="29"/>
  <c r="AG53" i="29"/>
  <c r="AF53" i="29"/>
  <c r="AB53" i="29"/>
  <c r="AA53" i="29"/>
  <c r="T53" i="29"/>
  <c r="S53" i="29"/>
  <c r="R53" i="29"/>
  <c r="AM53" i="29" s="1"/>
  <c r="H53" i="29"/>
  <c r="G53" i="29"/>
  <c r="AR52" i="29"/>
  <c r="AL52" i="29"/>
  <c r="AK52" i="29"/>
  <c r="AG52" i="29"/>
  <c r="AF52" i="29"/>
  <c r="AB52" i="29"/>
  <c r="AA52" i="29"/>
  <c r="T52" i="29"/>
  <c r="S52" i="29"/>
  <c r="R52" i="29"/>
  <c r="AM52" i="29" s="1"/>
  <c r="H52" i="29"/>
  <c r="G52" i="29"/>
  <c r="AR51" i="29"/>
  <c r="AL51" i="29"/>
  <c r="AK51" i="29"/>
  <c r="AG51" i="29"/>
  <c r="AF51" i="29"/>
  <c r="AB51" i="29"/>
  <c r="AA51" i="29"/>
  <c r="T51" i="29"/>
  <c r="S51" i="29"/>
  <c r="R51" i="29"/>
  <c r="AM51" i="29" s="1"/>
  <c r="H51" i="29"/>
  <c r="G51" i="29"/>
  <c r="AR50" i="29"/>
  <c r="AL50" i="29"/>
  <c r="AK50" i="29"/>
  <c r="AG50" i="29"/>
  <c r="AF50" i="29"/>
  <c r="AB50" i="29"/>
  <c r="AA50" i="29"/>
  <c r="T50" i="29"/>
  <c r="S50" i="29"/>
  <c r="R50" i="29"/>
  <c r="AM50" i="29" s="1"/>
  <c r="H50" i="29"/>
  <c r="G50" i="29"/>
  <c r="AR49" i="29"/>
  <c r="AL49" i="29"/>
  <c r="AK49" i="29"/>
  <c r="AG49" i="29"/>
  <c r="AF49" i="29"/>
  <c r="AB49" i="29"/>
  <c r="AA49" i="29"/>
  <c r="T49" i="29"/>
  <c r="S49" i="29"/>
  <c r="R49" i="29"/>
  <c r="AM49" i="29" s="1"/>
  <c r="H49" i="29"/>
  <c r="G49" i="29"/>
  <c r="AR48" i="29"/>
  <c r="AL48" i="29"/>
  <c r="AK48" i="29"/>
  <c r="AG48" i="29"/>
  <c r="AF48" i="29"/>
  <c r="AB48" i="29"/>
  <c r="AA48" i="29"/>
  <c r="T48" i="29"/>
  <c r="S48" i="29"/>
  <c r="R48" i="29"/>
  <c r="AM48" i="29" s="1"/>
  <c r="H48" i="29"/>
  <c r="G48" i="29"/>
  <c r="AR47" i="29"/>
  <c r="AL47" i="29"/>
  <c r="AK47" i="29"/>
  <c r="AG47" i="29"/>
  <c r="AF47" i="29"/>
  <c r="AB47" i="29"/>
  <c r="AA47" i="29"/>
  <c r="T47" i="29"/>
  <c r="S47" i="29"/>
  <c r="R47" i="29"/>
  <c r="AM47" i="29" s="1"/>
  <c r="H47" i="29"/>
  <c r="G47" i="29"/>
  <c r="AR46" i="29"/>
  <c r="AL46" i="29"/>
  <c r="AK46" i="29"/>
  <c r="AG46" i="29"/>
  <c r="AF46" i="29"/>
  <c r="AB46" i="29"/>
  <c r="AA46" i="29"/>
  <c r="T46" i="29"/>
  <c r="S46" i="29"/>
  <c r="R46" i="29"/>
  <c r="AM46" i="29" s="1"/>
  <c r="H46" i="29"/>
  <c r="G46" i="29"/>
  <c r="AR45" i="29"/>
  <c r="AL45" i="29"/>
  <c r="AK45" i="29"/>
  <c r="AG45" i="29"/>
  <c r="AF45" i="29"/>
  <c r="AB45" i="29"/>
  <c r="AA45" i="29"/>
  <c r="T45" i="29"/>
  <c r="S45" i="29"/>
  <c r="R45" i="29"/>
  <c r="AM45" i="29" s="1"/>
  <c r="H45" i="29"/>
  <c r="G45" i="29"/>
  <c r="AR44" i="29"/>
  <c r="AL44" i="29"/>
  <c r="AK44" i="29"/>
  <c r="AG44" i="29"/>
  <c r="AF44" i="29"/>
  <c r="AB44" i="29"/>
  <c r="AA44" i="29"/>
  <c r="T44" i="29"/>
  <c r="S44" i="29"/>
  <c r="R44" i="29"/>
  <c r="AM44" i="29" s="1"/>
  <c r="H44" i="29"/>
  <c r="G44" i="29"/>
  <c r="AR43" i="29"/>
  <c r="AL43" i="29"/>
  <c r="AK43" i="29"/>
  <c r="AG43" i="29"/>
  <c r="AF43" i="29"/>
  <c r="AB43" i="29"/>
  <c r="AA43" i="29"/>
  <c r="T43" i="29"/>
  <c r="S43" i="29"/>
  <c r="R43" i="29"/>
  <c r="AM43" i="29" s="1"/>
  <c r="H43" i="29"/>
  <c r="G43" i="29"/>
  <c r="AR42" i="29"/>
  <c r="AL42" i="29"/>
  <c r="AK42" i="29"/>
  <c r="AG42" i="29"/>
  <c r="AF42" i="29"/>
  <c r="AB42" i="29"/>
  <c r="AA42" i="29"/>
  <c r="T42" i="29"/>
  <c r="S42" i="29"/>
  <c r="R42" i="29"/>
  <c r="AM42" i="29" s="1"/>
  <c r="H42" i="29"/>
  <c r="G42" i="29"/>
  <c r="AR41" i="29"/>
  <c r="AL41" i="29"/>
  <c r="AK41" i="29"/>
  <c r="AG41" i="29"/>
  <c r="AF41" i="29"/>
  <c r="AB41" i="29"/>
  <c r="AA41" i="29"/>
  <c r="T41" i="29"/>
  <c r="S41" i="29"/>
  <c r="R41" i="29"/>
  <c r="AM41" i="29" s="1"/>
  <c r="H41" i="29"/>
  <c r="G41" i="29"/>
  <c r="AR40" i="29"/>
  <c r="AL40" i="29"/>
  <c r="AK40" i="29"/>
  <c r="AG40" i="29"/>
  <c r="AF40" i="29"/>
  <c r="AB40" i="29"/>
  <c r="AA40" i="29"/>
  <c r="T40" i="29"/>
  <c r="S40" i="29"/>
  <c r="R40" i="29"/>
  <c r="AM40" i="29" s="1"/>
  <c r="H40" i="29"/>
  <c r="G40" i="29"/>
  <c r="AR39" i="29"/>
  <c r="AL39" i="29"/>
  <c r="AK39" i="29"/>
  <c r="AG39" i="29"/>
  <c r="AF39" i="29"/>
  <c r="AB39" i="29"/>
  <c r="AA39" i="29"/>
  <c r="T39" i="29"/>
  <c r="S39" i="29"/>
  <c r="R39" i="29"/>
  <c r="AM39" i="29" s="1"/>
  <c r="H39" i="29"/>
  <c r="G39" i="29"/>
  <c r="AR38" i="29"/>
  <c r="AL38" i="29"/>
  <c r="AK38" i="29"/>
  <c r="AG38" i="29"/>
  <c r="AF38" i="29"/>
  <c r="AB38" i="29"/>
  <c r="AA38" i="29"/>
  <c r="T38" i="29"/>
  <c r="S38" i="29"/>
  <c r="R38" i="29"/>
  <c r="AM38" i="29" s="1"/>
  <c r="H38" i="29"/>
  <c r="G38" i="29"/>
  <c r="AR37" i="29"/>
  <c r="AL37" i="29"/>
  <c r="AK37" i="29"/>
  <c r="AG37" i="29"/>
  <c r="AF37" i="29"/>
  <c r="AB37" i="29"/>
  <c r="AA37" i="29"/>
  <c r="T37" i="29"/>
  <c r="S37" i="29"/>
  <c r="R37" i="29"/>
  <c r="AM37" i="29" s="1"/>
  <c r="H37" i="29"/>
  <c r="G37" i="29"/>
  <c r="AR36" i="29"/>
  <c r="AL36" i="29"/>
  <c r="AK36" i="29"/>
  <c r="AG36" i="29"/>
  <c r="AF36" i="29"/>
  <c r="AB36" i="29"/>
  <c r="AA36" i="29"/>
  <c r="T36" i="29"/>
  <c r="S36" i="29"/>
  <c r="R36" i="29"/>
  <c r="AM36" i="29" s="1"/>
  <c r="H36" i="29"/>
  <c r="G36" i="29"/>
  <c r="AR35" i="29"/>
  <c r="AL35" i="29"/>
  <c r="AK35" i="29"/>
  <c r="AG35" i="29"/>
  <c r="AF35" i="29"/>
  <c r="AB35" i="29"/>
  <c r="AA35" i="29"/>
  <c r="T35" i="29"/>
  <c r="S35" i="29"/>
  <c r="R35" i="29"/>
  <c r="AM35" i="29" s="1"/>
  <c r="H35" i="29"/>
  <c r="G35" i="29"/>
  <c r="AR34" i="29"/>
  <c r="AL34" i="29"/>
  <c r="AK34" i="29"/>
  <c r="AG34" i="29"/>
  <c r="AF34" i="29"/>
  <c r="AB34" i="29"/>
  <c r="AA34" i="29"/>
  <c r="T34" i="29"/>
  <c r="S34" i="29"/>
  <c r="R34" i="29"/>
  <c r="AM34" i="29" s="1"/>
  <c r="H34" i="29"/>
  <c r="G34" i="29"/>
  <c r="AR33" i="29"/>
  <c r="AL33" i="29"/>
  <c r="AK33" i="29"/>
  <c r="AG33" i="29"/>
  <c r="AF33" i="29"/>
  <c r="T33" i="29"/>
  <c r="S33" i="29"/>
  <c r="R33" i="29"/>
  <c r="AM33" i="29" s="1"/>
  <c r="H33" i="29"/>
  <c r="G33" i="29"/>
  <c r="AR32" i="29"/>
  <c r="AL32" i="29"/>
  <c r="AK32" i="29"/>
  <c r="AG32" i="29"/>
  <c r="AF32" i="29"/>
  <c r="T32" i="29"/>
  <c r="S32" i="29"/>
  <c r="R32" i="29"/>
  <c r="AM32" i="29" s="1"/>
  <c r="H32" i="29"/>
  <c r="G32" i="29"/>
  <c r="AR31" i="29"/>
  <c r="AL31" i="29"/>
  <c r="AK31" i="29"/>
  <c r="AG31" i="29"/>
  <c r="AF31" i="29"/>
  <c r="T31" i="29"/>
  <c r="S31" i="29"/>
  <c r="R31" i="29"/>
  <c r="AM31" i="29" s="1"/>
  <c r="H31" i="29"/>
  <c r="G31" i="29"/>
  <c r="AR30" i="29"/>
  <c r="AL30" i="29"/>
  <c r="AK30" i="29"/>
  <c r="AG30" i="29"/>
  <c r="AF30" i="29"/>
  <c r="T30" i="29"/>
  <c r="S30" i="29"/>
  <c r="R30" i="29"/>
  <c r="AM30" i="29" s="1"/>
  <c r="H30" i="29"/>
  <c r="G30" i="29"/>
  <c r="AR29" i="29"/>
  <c r="AL29" i="29"/>
  <c r="AK29" i="29"/>
  <c r="AG29" i="29"/>
  <c r="AF29" i="29"/>
  <c r="T29" i="29"/>
  <c r="S29" i="29"/>
  <c r="R29" i="29"/>
  <c r="AM29" i="29" s="1"/>
  <c r="H29" i="29"/>
  <c r="G29" i="29"/>
  <c r="AR28" i="29"/>
  <c r="AL28" i="29"/>
  <c r="AK28" i="29"/>
  <c r="AG28" i="29"/>
  <c r="AF28" i="29"/>
  <c r="T28" i="29"/>
  <c r="S28" i="29"/>
  <c r="R28" i="29"/>
  <c r="AM28" i="29" s="1"/>
  <c r="H28" i="29"/>
  <c r="G28" i="29"/>
  <c r="AR27" i="29"/>
  <c r="AL27" i="29"/>
  <c r="AK27" i="29"/>
  <c r="AG27" i="29"/>
  <c r="AF27" i="29"/>
  <c r="T27" i="29"/>
  <c r="S27" i="29"/>
  <c r="R27" i="29"/>
  <c r="AM27" i="29" s="1"/>
  <c r="H27" i="29"/>
  <c r="G27" i="29"/>
  <c r="AR26" i="29"/>
  <c r="AL26" i="29"/>
  <c r="AK26" i="29"/>
  <c r="AG26" i="29"/>
  <c r="AF26" i="29"/>
  <c r="T26" i="29"/>
  <c r="S26" i="29"/>
  <c r="R26" i="29"/>
  <c r="AM26" i="29" s="1"/>
  <c r="H26" i="29"/>
  <c r="G26" i="29"/>
  <c r="AR25" i="29"/>
  <c r="AL25" i="29"/>
  <c r="AK25" i="29"/>
  <c r="AG25" i="29"/>
  <c r="AF25" i="29"/>
  <c r="T25" i="29"/>
  <c r="S25" i="29"/>
  <c r="R25" i="29"/>
  <c r="AM25" i="29" s="1"/>
  <c r="H25" i="29"/>
  <c r="G25" i="29"/>
  <c r="AR24" i="29"/>
  <c r="AL24" i="29"/>
  <c r="AK24" i="29"/>
  <c r="AG24" i="29"/>
  <c r="AF24" i="29"/>
  <c r="T24" i="29"/>
  <c r="S24" i="29"/>
  <c r="R24" i="29"/>
  <c r="AM24" i="29" s="1"/>
  <c r="H24" i="29"/>
  <c r="G24" i="29"/>
  <c r="AW23" i="29"/>
  <c r="AR23" i="29"/>
  <c r="AL23" i="29"/>
  <c r="AK23" i="29"/>
  <c r="AG23" i="29"/>
  <c r="AF23" i="29"/>
  <c r="T23" i="29"/>
  <c r="S23" i="29"/>
  <c r="R23" i="29"/>
  <c r="AM23" i="29" s="1"/>
  <c r="H23" i="29"/>
  <c r="G23" i="29"/>
  <c r="AW22" i="29"/>
  <c r="AR22" i="29"/>
  <c r="AL22" i="29"/>
  <c r="AK22" i="29"/>
  <c r="AG22" i="29"/>
  <c r="AF22" i="29"/>
  <c r="T22" i="29"/>
  <c r="S22" i="29"/>
  <c r="R22" i="29"/>
  <c r="AM22" i="29" s="1"/>
  <c r="H22" i="29"/>
  <c r="G22" i="29"/>
  <c r="AR21" i="29"/>
  <c r="AL21" i="29"/>
  <c r="AK21" i="29"/>
  <c r="AG21" i="29"/>
  <c r="AF21" i="29"/>
  <c r="T21" i="29"/>
  <c r="S21" i="29"/>
  <c r="R21" i="29"/>
  <c r="AM21" i="29" s="1"/>
  <c r="H21" i="29"/>
  <c r="G21" i="29"/>
  <c r="AR20" i="29"/>
  <c r="AL20" i="29"/>
  <c r="AK20" i="29"/>
  <c r="AG20" i="29"/>
  <c r="AF20" i="29"/>
  <c r="T20" i="29"/>
  <c r="S20" i="29"/>
  <c r="R20" i="29"/>
  <c r="AM20" i="29" s="1"/>
  <c r="H20" i="29"/>
  <c r="G20" i="29"/>
  <c r="AR19" i="29"/>
  <c r="AL19" i="29"/>
  <c r="AK19" i="29"/>
  <c r="AG19" i="29"/>
  <c r="AF19" i="29"/>
  <c r="T19" i="29"/>
  <c r="S19" i="29"/>
  <c r="R19" i="29"/>
  <c r="AM19" i="29" s="1"/>
  <c r="H19" i="29"/>
  <c r="G19" i="29"/>
  <c r="AR18" i="29"/>
  <c r="AL18" i="29"/>
  <c r="AK18" i="29"/>
  <c r="AG18" i="29"/>
  <c r="AF18" i="29"/>
  <c r="T18" i="29"/>
  <c r="S18" i="29"/>
  <c r="R18" i="29"/>
  <c r="AM18" i="29" s="1"/>
  <c r="H18" i="29"/>
  <c r="G18" i="29"/>
  <c r="AR17" i="29"/>
  <c r="AL17" i="29"/>
  <c r="AK17" i="29"/>
  <c r="AG17" i="29"/>
  <c r="AF17" i="29"/>
  <c r="T17" i="29"/>
  <c r="S17" i="29"/>
  <c r="R17" i="29"/>
  <c r="AM17" i="29" s="1"/>
  <c r="H17" i="29"/>
  <c r="G17" i="29"/>
  <c r="AR16" i="29"/>
  <c r="AL16" i="29"/>
  <c r="AK16" i="29"/>
  <c r="AG16" i="29"/>
  <c r="AF16" i="29"/>
  <c r="T16" i="29"/>
  <c r="S16" i="29"/>
  <c r="R16" i="29"/>
  <c r="AM16" i="29" s="1"/>
  <c r="H16" i="29"/>
  <c r="G16" i="29"/>
  <c r="AR15" i="29"/>
  <c r="AL15" i="29"/>
  <c r="AK15" i="29"/>
  <c r="AG15" i="29"/>
  <c r="AF15" i="29"/>
  <c r="T15" i="29"/>
  <c r="S15" i="29"/>
  <c r="R15" i="29"/>
  <c r="AM15" i="29" s="1"/>
  <c r="H15" i="29"/>
  <c r="G15" i="29"/>
  <c r="AR14" i="29"/>
  <c r="AL14" i="29"/>
  <c r="AK14" i="29"/>
  <c r="AG14" i="29"/>
  <c r="AF14" i="29"/>
  <c r="T14" i="29"/>
  <c r="S14" i="29"/>
  <c r="R14" i="29"/>
  <c r="AM14" i="29" s="1"/>
  <c r="H14" i="29"/>
  <c r="G14" i="29"/>
  <c r="AR13" i="29"/>
  <c r="AL13" i="29"/>
  <c r="AK13" i="29"/>
  <c r="AG13" i="29"/>
  <c r="AF13" i="29"/>
  <c r="T13" i="29"/>
  <c r="S13" i="29"/>
  <c r="R13" i="29"/>
  <c r="AM13" i="29" s="1"/>
  <c r="H13" i="29"/>
  <c r="G13" i="29"/>
  <c r="AR12" i="29"/>
  <c r="AL12" i="29"/>
  <c r="AK12" i="29"/>
  <c r="AG12" i="29"/>
  <c r="AF12" i="29"/>
  <c r="T12" i="29"/>
  <c r="S12" i="29"/>
  <c r="R12" i="29"/>
  <c r="AM12" i="29" s="1"/>
  <c r="H12" i="29"/>
  <c r="G12" i="29"/>
  <c r="AR11" i="29"/>
  <c r="AL11" i="29"/>
  <c r="AK11" i="29"/>
  <c r="AG11" i="29"/>
  <c r="AF11" i="29"/>
  <c r="T11" i="29"/>
  <c r="S11" i="29"/>
  <c r="R11" i="29"/>
  <c r="AM11" i="29" s="1"/>
  <c r="H11" i="29"/>
  <c r="G11" i="29"/>
  <c r="AR10" i="29"/>
  <c r="AL10" i="29"/>
  <c r="AK10" i="29"/>
  <c r="AG10" i="29"/>
  <c r="AF10" i="29"/>
  <c r="T10" i="29"/>
  <c r="S10" i="29"/>
  <c r="R10" i="29"/>
  <c r="AM10" i="29" s="1"/>
  <c r="H10" i="29"/>
  <c r="G10" i="29"/>
  <c r="AR9" i="29"/>
  <c r="AL9" i="29"/>
  <c r="AK9" i="29"/>
  <c r="AG9" i="29"/>
  <c r="AF9" i="29"/>
  <c r="T9" i="29"/>
  <c r="S9" i="29"/>
  <c r="R9" i="29"/>
  <c r="AM9" i="29" s="1"/>
  <c r="H9" i="29"/>
  <c r="G9" i="29"/>
  <c r="AR8" i="29"/>
  <c r="AL8" i="29"/>
  <c r="AK8" i="29"/>
  <c r="AG8" i="29"/>
  <c r="AF8" i="29"/>
  <c r="T8" i="29"/>
  <c r="S8" i="29"/>
  <c r="R8" i="29"/>
  <c r="AM8" i="29" s="1"/>
  <c r="H8" i="29"/>
  <c r="G8" i="29"/>
  <c r="AR7" i="29"/>
  <c r="AL7" i="29"/>
  <c r="AK7" i="29"/>
  <c r="AG7" i="29"/>
  <c r="AF7" i="29"/>
  <c r="T7" i="29"/>
  <c r="S7" i="29"/>
  <c r="R7" i="29"/>
  <c r="AM7" i="29" s="1"/>
  <c r="H7" i="29"/>
  <c r="G7" i="29"/>
  <c r="AR6" i="29"/>
  <c r="AL6" i="29"/>
  <c r="AK6" i="29"/>
  <c r="AG6" i="29"/>
  <c r="AF6" i="29"/>
  <c r="T6" i="29"/>
  <c r="S6" i="29"/>
  <c r="R6" i="29"/>
  <c r="AM6" i="29" s="1"/>
  <c r="H6" i="29"/>
  <c r="G6" i="29"/>
  <c r="B6" i="29"/>
  <c r="B8" i="29" s="1"/>
  <c r="AR5" i="29"/>
  <c r="AL5" i="29"/>
  <c r="AK5" i="29"/>
  <c r="AG5" i="29"/>
  <c r="AF5" i="29"/>
  <c r="T5" i="29"/>
  <c r="S5" i="29"/>
  <c r="R5" i="29"/>
  <c r="AM5" i="29" s="1"/>
  <c r="H5" i="29"/>
  <c r="G5" i="29"/>
  <c r="B5" i="29"/>
  <c r="B7" i="29" s="1"/>
  <c r="A7" i="29" s="1"/>
  <c r="AR4" i="29"/>
  <c r="AL4" i="29"/>
  <c r="AK4" i="29"/>
  <c r="AG4" i="29"/>
  <c r="AF4" i="29"/>
  <c r="T4" i="29"/>
  <c r="S4" i="29"/>
  <c r="R4" i="29"/>
  <c r="AM4" i="29" s="1"/>
  <c r="H4" i="29"/>
  <c r="G4" i="29"/>
  <c r="A4" i="29"/>
  <c r="AP1" i="29"/>
  <c r="AW24" i="29" l="1"/>
  <c r="A5" i="29"/>
  <c r="A6" i="29"/>
  <c r="B8" i="30"/>
  <c r="A8" i="30" s="1"/>
  <c r="AN64" i="30"/>
  <c r="AO62" i="30"/>
  <c r="AO63" i="30"/>
  <c r="AN62" i="30"/>
  <c r="AN63" i="30"/>
  <c r="AN14" i="30"/>
  <c r="AN15" i="30"/>
  <c r="AO13" i="29"/>
  <c r="AO15" i="29"/>
  <c r="AO5" i="30"/>
  <c r="AO8" i="30"/>
  <c r="AO22" i="29"/>
  <c r="AO57" i="29"/>
  <c r="AN25" i="29"/>
  <c r="AN27" i="29"/>
  <c r="AO54" i="29"/>
  <c r="AO55" i="29"/>
  <c r="AN57" i="29"/>
  <c r="AN58" i="29"/>
  <c r="AN60" i="29"/>
  <c r="AO58" i="29"/>
  <c r="AO64" i="30"/>
  <c r="AO65" i="30"/>
  <c r="AO19" i="30"/>
  <c r="AN32" i="30"/>
  <c r="AN33" i="30"/>
  <c r="AO13" i="30"/>
  <c r="AN9" i="30"/>
  <c r="AO30" i="30"/>
  <c r="AO31" i="30"/>
  <c r="AN4" i="30"/>
  <c r="AN6" i="30"/>
  <c r="AO9" i="30"/>
  <c r="AN11" i="30"/>
  <c r="AO14" i="30"/>
  <c r="AO15" i="30"/>
  <c r="AN56" i="30"/>
  <c r="AO4" i="30"/>
  <c r="AO6" i="30"/>
  <c r="AO7" i="30"/>
  <c r="AO10" i="30"/>
  <c r="AO11" i="30"/>
  <c r="AN12" i="30"/>
  <c r="AO16" i="30"/>
  <c r="AN17" i="30"/>
  <c r="AO26" i="30"/>
  <c r="AO27" i="30"/>
  <c r="AN28" i="30"/>
  <c r="AN29" i="30"/>
  <c r="AN7" i="30"/>
  <c r="AN10" i="30"/>
  <c r="AN16" i="30"/>
  <c r="AO33" i="30"/>
  <c r="AN5" i="30"/>
  <c r="AP5" i="30" s="1"/>
  <c r="AN8" i="30"/>
  <c r="AO12" i="30"/>
  <c r="AN13" i="30"/>
  <c r="AO17" i="30"/>
  <c r="AN18" i="30"/>
  <c r="AO29" i="30"/>
  <c r="AN30" i="30"/>
  <c r="AN20" i="30"/>
  <c r="A5" i="30"/>
  <c r="AO65" i="29"/>
  <c r="AN64" i="29"/>
  <c r="AO64" i="29"/>
  <c r="AN65" i="29"/>
  <c r="AO59" i="29"/>
  <c r="AN56" i="29"/>
  <c r="AO60" i="29"/>
  <c r="AN61" i="29"/>
  <c r="AN62" i="29"/>
  <c r="AO56" i="29"/>
  <c r="AO61" i="29"/>
  <c r="AO62" i="29"/>
  <c r="AO63" i="29"/>
  <c r="AO58" i="30"/>
  <c r="AO59" i="30"/>
  <c r="AN60" i="30"/>
  <c r="AO56" i="30"/>
  <c r="AO57" i="30"/>
  <c r="AN58" i="30"/>
  <c r="AN59" i="30"/>
  <c r="AO60" i="30"/>
  <c r="AO61" i="30"/>
  <c r="AN54" i="30"/>
  <c r="AO53" i="29"/>
  <c r="AN52" i="29"/>
  <c r="AO51" i="29"/>
  <c r="AO52" i="29"/>
  <c r="AN53" i="29"/>
  <c r="AN50" i="29"/>
  <c r="AN51" i="29"/>
  <c r="AN54" i="29"/>
  <c r="AN55" i="30"/>
  <c r="AO46" i="30"/>
  <c r="AO47" i="30"/>
  <c r="AO54" i="30"/>
  <c r="AO55" i="30"/>
  <c r="AN47" i="30"/>
  <c r="AN48" i="30"/>
  <c r="AO48" i="30"/>
  <c r="AO49" i="30"/>
  <c r="AN50" i="30"/>
  <c r="AN51" i="30"/>
  <c r="AO50" i="30"/>
  <c r="AO51" i="30"/>
  <c r="AN52" i="30"/>
  <c r="AN46" i="30"/>
  <c r="AO52" i="30"/>
  <c r="AO53" i="30"/>
  <c r="AN44" i="29"/>
  <c r="AO42" i="29"/>
  <c r="AO43" i="29"/>
  <c r="AO49" i="29"/>
  <c r="AO45" i="29"/>
  <c r="AN46" i="29"/>
  <c r="AN47" i="29"/>
  <c r="AN42" i="29"/>
  <c r="AO47" i="29"/>
  <c r="AN48" i="29"/>
  <c r="AN34" i="30"/>
  <c r="AN42" i="30"/>
  <c r="AO42" i="30"/>
  <c r="AO43" i="30"/>
  <c r="AN44" i="30"/>
  <c r="AO44" i="30"/>
  <c r="AO45" i="30"/>
  <c r="AN37" i="29"/>
  <c r="AN40" i="29"/>
  <c r="AN41" i="29"/>
  <c r="AO40" i="29"/>
  <c r="AO41" i="29"/>
  <c r="AO40" i="30"/>
  <c r="AO37" i="30"/>
  <c r="AN38" i="30"/>
  <c r="AO41" i="30"/>
  <c r="AO34" i="30"/>
  <c r="AO35" i="30"/>
  <c r="AN36" i="30"/>
  <c r="AN37" i="30"/>
  <c r="AO38" i="30"/>
  <c r="AO39" i="30"/>
  <c r="AN40" i="30"/>
  <c r="AN38" i="29"/>
  <c r="AO36" i="29"/>
  <c r="AO37" i="29"/>
  <c r="AN35" i="29"/>
  <c r="AO38" i="29"/>
  <c r="AO39" i="29"/>
  <c r="AO35" i="29"/>
  <c r="AN36" i="29"/>
  <c r="AN21" i="30"/>
  <c r="AO23" i="30"/>
  <c r="AN24" i="30"/>
  <c r="AN25" i="30"/>
  <c r="AO21" i="30"/>
  <c r="AN22" i="30"/>
  <c r="AO25" i="30"/>
  <c r="AN26" i="30"/>
  <c r="AN41" i="30"/>
  <c r="AN45" i="30"/>
  <c r="AN49" i="30"/>
  <c r="AN53" i="30"/>
  <c r="AN57" i="30"/>
  <c r="AN61" i="30"/>
  <c r="AN65" i="30"/>
  <c r="AP65" i="30" s="1"/>
  <c r="B10" i="30"/>
  <c r="AN19" i="30"/>
  <c r="AO22" i="30"/>
  <c r="B9" i="30"/>
  <c r="AO20" i="30"/>
  <c r="AM66" i="30"/>
  <c r="H7" i="1" s="1"/>
  <c r="AO18" i="30"/>
  <c r="AN23" i="30"/>
  <c r="AO24" i="30"/>
  <c r="AN27" i="30"/>
  <c r="AO28" i="30"/>
  <c r="AN31" i="30"/>
  <c r="AO32" i="30"/>
  <c r="AN35" i="30"/>
  <c r="AO36" i="30"/>
  <c r="AN39" i="30"/>
  <c r="AN43" i="30"/>
  <c r="AN7" i="29"/>
  <c r="AN14" i="29"/>
  <c r="AN16" i="29"/>
  <c r="AO25" i="29"/>
  <c r="AO30" i="29"/>
  <c r="AO32" i="29"/>
  <c r="AN5" i="29"/>
  <c r="AO7" i="29"/>
  <c r="AO12" i="29"/>
  <c r="AO14" i="29"/>
  <c r="AO21" i="29"/>
  <c r="AN23" i="29"/>
  <c r="AN26" i="29"/>
  <c r="AN33" i="29"/>
  <c r="AO6" i="29"/>
  <c r="AN8" i="29"/>
  <c r="AN13" i="29"/>
  <c r="AN15" i="29"/>
  <c r="AO24" i="29"/>
  <c r="AO31" i="29"/>
  <c r="AO33" i="29"/>
  <c r="AN4" i="29"/>
  <c r="AO4" i="29"/>
  <c r="AN6" i="29"/>
  <c r="AO9" i="29"/>
  <c r="AO10" i="29"/>
  <c r="AO11" i="29"/>
  <c r="AN12" i="29"/>
  <c r="AO17" i="29"/>
  <c r="AO18" i="29"/>
  <c r="AO20" i="29"/>
  <c r="AN21" i="29"/>
  <c r="AN22" i="29"/>
  <c r="AN24" i="29"/>
  <c r="AO29" i="29"/>
  <c r="AN31" i="29"/>
  <c r="AP31" i="29" s="1"/>
  <c r="AN32" i="29"/>
  <c r="AO5" i="29"/>
  <c r="AO8" i="29"/>
  <c r="AN9" i="29"/>
  <c r="AN10" i="29"/>
  <c r="AN11" i="29"/>
  <c r="AO16" i="29"/>
  <c r="AN17" i="29"/>
  <c r="AN18" i="29"/>
  <c r="AN19" i="29"/>
  <c r="AO23" i="29"/>
  <c r="AO26" i="29"/>
  <c r="AO27" i="29"/>
  <c r="AN28" i="29"/>
  <c r="AN29" i="29"/>
  <c r="AO19" i="29"/>
  <c r="AM66" i="29"/>
  <c r="H12" i="1" s="1"/>
  <c r="A8" i="29"/>
  <c r="B10" i="29"/>
  <c r="AN20" i="29"/>
  <c r="AN39" i="29"/>
  <c r="AO44" i="29"/>
  <c r="AN55" i="29"/>
  <c r="AN59" i="29"/>
  <c r="AN63" i="29"/>
  <c r="B9" i="29"/>
  <c r="AN34" i="29"/>
  <c r="AN43" i="29"/>
  <c r="AN45" i="29"/>
  <c r="AO46" i="29"/>
  <c r="AO48" i="29"/>
  <c r="T66" i="29"/>
  <c r="S66" i="29"/>
  <c r="R66" i="29"/>
  <c r="G12" i="1" s="1"/>
  <c r="AO28" i="29"/>
  <c r="AN30" i="29"/>
  <c r="AO34" i="29"/>
  <c r="AN49" i="29"/>
  <c r="AO50" i="29"/>
  <c r="AP51" i="29" l="1"/>
  <c r="AP63" i="30"/>
  <c r="AP16" i="30"/>
  <c r="AP64" i="29"/>
  <c r="AP14" i="30"/>
  <c r="AP33" i="30"/>
  <c r="AP61" i="30"/>
  <c r="AP64" i="30"/>
  <c r="AP15" i="30"/>
  <c r="AP62" i="30"/>
  <c r="AP65" i="29"/>
  <c r="AP58" i="29"/>
  <c r="AP21" i="30"/>
  <c r="AP53" i="29"/>
  <c r="AP54" i="29"/>
  <c r="AP57" i="29"/>
  <c r="AP18" i="30"/>
  <c r="AP4" i="30"/>
  <c r="AP56" i="30"/>
  <c r="AP25" i="29"/>
  <c r="AP29" i="29"/>
  <c r="AP26" i="29"/>
  <c r="AP27" i="29"/>
  <c r="AP31" i="30"/>
  <c r="AP26" i="30"/>
  <c r="AP23" i="30"/>
  <c r="AP17" i="29"/>
  <c r="AP14" i="29"/>
  <c r="AP13" i="29"/>
  <c r="AP12" i="30"/>
  <c r="AP15" i="29"/>
  <c r="AP7" i="29"/>
  <c r="AP8" i="30"/>
  <c r="AP6" i="30"/>
  <c r="AP7" i="30"/>
  <c r="AP11" i="30"/>
  <c r="AP61" i="29"/>
  <c r="AP60" i="29"/>
  <c r="AP30" i="29"/>
  <c r="AP43" i="29"/>
  <c r="AP23" i="29"/>
  <c r="AP16" i="29"/>
  <c r="AP50" i="29"/>
  <c r="AP20" i="29"/>
  <c r="AP55" i="29"/>
  <c r="AP59" i="29"/>
  <c r="AP4" i="29"/>
  <c r="AP33" i="29"/>
  <c r="AP37" i="29"/>
  <c r="AP22" i="30"/>
  <c r="AP27" i="30"/>
  <c r="AP57" i="30"/>
  <c r="AP54" i="30"/>
  <c r="AP28" i="30"/>
  <c r="AP19" i="30"/>
  <c r="AP47" i="30"/>
  <c r="AP32" i="30"/>
  <c r="AP13" i="30"/>
  <c r="AP9" i="30"/>
  <c r="AP55" i="30"/>
  <c r="AP30" i="30"/>
  <c r="AP29" i="30"/>
  <c r="AP17" i="30"/>
  <c r="AP10" i="30"/>
  <c r="AP59" i="30"/>
  <c r="AP24" i="30"/>
  <c r="AP46" i="30"/>
  <c r="AP58" i="30"/>
  <c r="AP62" i="29"/>
  <c r="AP63" i="29"/>
  <c r="AP56" i="29"/>
  <c r="AP60" i="30"/>
  <c r="AP51" i="30"/>
  <c r="AP50" i="30"/>
  <c r="AP52" i="29"/>
  <c r="AP46" i="29"/>
  <c r="AP45" i="29"/>
  <c r="AP48" i="30"/>
  <c r="AP52" i="30"/>
  <c r="AP53" i="30"/>
  <c r="AP49" i="30"/>
  <c r="AP44" i="30"/>
  <c r="AP42" i="29"/>
  <c r="AP38" i="29"/>
  <c r="AP49" i="29"/>
  <c r="AP48" i="29"/>
  <c r="AP44" i="29"/>
  <c r="AP47" i="29"/>
  <c r="AP41" i="29"/>
  <c r="AP35" i="29"/>
  <c r="AP40" i="29"/>
  <c r="AP43" i="30"/>
  <c r="AP34" i="30"/>
  <c r="AP45" i="30"/>
  <c r="AP42" i="30"/>
  <c r="AP40" i="30"/>
  <c r="AP38" i="30"/>
  <c r="AP36" i="30"/>
  <c r="AP41" i="30"/>
  <c r="AP35" i="30"/>
  <c r="AP37" i="30"/>
  <c r="AP39" i="29"/>
  <c r="AP36" i="29"/>
  <c r="AP39" i="30"/>
  <c r="AP25" i="30"/>
  <c r="B12" i="30"/>
  <c r="A10" i="30"/>
  <c r="AP20" i="30"/>
  <c r="A9" i="30"/>
  <c r="B11" i="30"/>
  <c r="AO66" i="30"/>
  <c r="J7" i="1" s="1"/>
  <c r="AN66" i="30"/>
  <c r="I7" i="1" s="1"/>
  <c r="AP8" i="29"/>
  <c r="AP5" i="29"/>
  <c r="AP24" i="29"/>
  <c r="AP32" i="29"/>
  <c r="AP11" i="29"/>
  <c r="AP21" i="29"/>
  <c r="AP12" i="29"/>
  <c r="AP6" i="29"/>
  <c r="AP18" i="29"/>
  <c r="AP19" i="29"/>
  <c r="AP9" i="29"/>
  <c r="AO66" i="29"/>
  <c r="J12" i="1" s="1"/>
  <c r="AP10" i="29"/>
  <c r="AP22" i="29"/>
  <c r="A9" i="29"/>
  <c r="B11" i="29"/>
  <c r="AP34" i="29"/>
  <c r="AN66" i="29"/>
  <c r="I12" i="1" s="1"/>
  <c r="B12" i="29"/>
  <c r="A10" i="29"/>
  <c r="AP28" i="29"/>
  <c r="J66" i="28"/>
  <c r="G20" i="1" s="1"/>
  <c r="AR65" i="28"/>
  <c r="AL65" i="28"/>
  <c r="AK65" i="28"/>
  <c r="AG65" i="28"/>
  <c r="AF65" i="28"/>
  <c r="AB65" i="28"/>
  <c r="AA65" i="28"/>
  <c r="T65" i="28"/>
  <c r="S65" i="28"/>
  <c r="R65" i="28"/>
  <c r="AM65" i="28" s="1"/>
  <c r="H65" i="28"/>
  <c r="G65" i="28"/>
  <c r="AR64" i="28"/>
  <c r="AL64" i="28"/>
  <c r="AK64" i="28"/>
  <c r="AG64" i="28"/>
  <c r="AF64" i="28"/>
  <c r="AB64" i="28"/>
  <c r="AA64" i="28"/>
  <c r="T64" i="28"/>
  <c r="S64" i="28"/>
  <c r="R64" i="28"/>
  <c r="AM64" i="28" s="1"/>
  <c r="H64" i="28"/>
  <c r="G64" i="28"/>
  <c r="AR63" i="28"/>
  <c r="AL63" i="28"/>
  <c r="AK63" i="28"/>
  <c r="AG63" i="28"/>
  <c r="AF63" i="28"/>
  <c r="AB63" i="28"/>
  <c r="AA63" i="28"/>
  <c r="T63" i="28"/>
  <c r="S63" i="28"/>
  <c r="R63" i="28"/>
  <c r="AM63" i="28" s="1"/>
  <c r="H63" i="28"/>
  <c r="G63" i="28"/>
  <c r="AR62" i="28"/>
  <c r="AL62" i="28"/>
  <c r="AK62" i="28"/>
  <c r="AG62" i="28"/>
  <c r="AF62" i="28"/>
  <c r="AB62" i="28"/>
  <c r="AA62" i="28"/>
  <c r="T62" i="28"/>
  <c r="S62" i="28"/>
  <c r="R62" i="28"/>
  <c r="AM62" i="28" s="1"/>
  <c r="H62" i="28"/>
  <c r="G62" i="28"/>
  <c r="AR61" i="28"/>
  <c r="AL61" i="28"/>
  <c r="AK61" i="28"/>
  <c r="AG61" i="28"/>
  <c r="AF61" i="28"/>
  <c r="AB61" i="28"/>
  <c r="AA61" i="28"/>
  <c r="T61" i="28"/>
  <c r="S61" i="28"/>
  <c r="R61" i="28"/>
  <c r="AM61" i="28" s="1"/>
  <c r="H61" i="28"/>
  <c r="G61" i="28"/>
  <c r="AR60" i="28"/>
  <c r="AL60" i="28"/>
  <c r="AK60" i="28"/>
  <c r="AG60" i="28"/>
  <c r="AF60" i="28"/>
  <c r="AB60" i="28"/>
  <c r="AA60" i="28"/>
  <c r="T60" i="28"/>
  <c r="S60" i="28"/>
  <c r="R60" i="28"/>
  <c r="AM60" i="28" s="1"/>
  <c r="H60" i="28"/>
  <c r="G60" i="28"/>
  <c r="AR59" i="28"/>
  <c r="AL59" i="28"/>
  <c r="AK59" i="28"/>
  <c r="AG59" i="28"/>
  <c r="AF59" i="28"/>
  <c r="AB59" i="28"/>
  <c r="AA59" i="28"/>
  <c r="T59" i="28"/>
  <c r="S59" i="28"/>
  <c r="R59" i="28"/>
  <c r="AM59" i="28" s="1"/>
  <c r="H59" i="28"/>
  <c r="G59" i="28"/>
  <c r="AR58" i="28"/>
  <c r="AL58" i="28"/>
  <c r="AK58" i="28"/>
  <c r="AG58" i="28"/>
  <c r="AF58" i="28"/>
  <c r="AB58" i="28"/>
  <c r="AA58" i="28"/>
  <c r="T58" i="28"/>
  <c r="S58" i="28"/>
  <c r="R58" i="28"/>
  <c r="AM58" i="28" s="1"/>
  <c r="H58" i="28"/>
  <c r="G58" i="28"/>
  <c r="AR57" i="28"/>
  <c r="AL57" i="28"/>
  <c r="AK57" i="28"/>
  <c r="AG57" i="28"/>
  <c r="AF57" i="28"/>
  <c r="AB57" i="28"/>
  <c r="AA57" i="28"/>
  <c r="T57" i="28"/>
  <c r="S57" i="28"/>
  <c r="R57" i="28"/>
  <c r="AM57" i="28" s="1"/>
  <c r="H57" i="28"/>
  <c r="G57" i="28"/>
  <c r="AR56" i="28"/>
  <c r="AL56" i="28"/>
  <c r="AK56" i="28"/>
  <c r="AG56" i="28"/>
  <c r="AF56" i="28"/>
  <c r="AB56" i="28"/>
  <c r="AA56" i="28"/>
  <c r="T56" i="28"/>
  <c r="S56" i="28"/>
  <c r="R56" i="28"/>
  <c r="AM56" i="28" s="1"/>
  <c r="H56" i="28"/>
  <c r="G56" i="28"/>
  <c r="AR55" i="28"/>
  <c r="AL55" i="28"/>
  <c r="AK55" i="28"/>
  <c r="AG55" i="28"/>
  <c r="AF55" i="28"/>
  <c r="AB55" i="28"/>
  <c r="AA55" i="28"/>
  <c r="T55" i="28"/>
  <c r="S55" i="28"/>
  <c r="R55" i="28"/>
  <c r="AM55" i="28" s="1"/>
  <c r="H55" i="28"/>
  <c r="G55" i="28"/>
  <c r="AR54" i="28"/>
  <c r="AL54" i="28"/>
  <c r="AK54" i="28"/>
  <c r="AG54" i="28"/>
  <c r="AF54" i="28"/>
  <c r="AB54" i="28"/>
  <c r="AA54" i="28"/>
  <c r="T54" i="28"/>
  <c r="S54" i="28"/>
  <c r="R54" i="28"/>
  <c r="AM54" i="28" s="1"/>
  <c r="H54" i="28"/>
  <c r="G54" i="28"/>
  <c r="AR53" i="28"/>
  <c r="AL53" i="28"/>
  <c r="AK53" i="28"/>
  <c r="AG53" i="28"/>
  <c r="AF53" i="28"/>
  <c r="AB53" i="28"/>
  <c r="AA53" i="28"/>
  <c r="T53" i="28"/>
  <c r="S53" i="28"/>
  <c r="R53" i="28"/>
  <c r="AM53" i="28" s="1"/>
  <c r="H53" i="28"/>
  <c r="G53" i="28"/>
  <c r="AR52" i="28"/>
  <c r="AL52" i="28"/>
  <c r="AK52" i="28"/>
  <c r="AG52" i="28"/>
  <c r="AF52" i="28"/>
  <c r="AB52" i="28"/>
  <c r="AA52" i="28"/>
  <c r="T52" i="28"/>
  <c r="S52" i="28"/>
  <c r="R52" i="28"/>
  <c r="AM52" i="28" s="1"/>
  <c r="H52" i="28"/>
  <c r="G52" i="28"/>
  <c r="AR51" i="28"/>
  <c r="AL51" i="28"/>
  <c r="AK51" i="28"/>
  <c r="AG51" i="28"/>
  <c r="AF51" i="28"/>
  <c r="AB51" i="28"/>
  <c r="AA51" i="28"/>
  <c r="T51" i="28"/>
  <c r="S51" i="28"/>
  <c r="R51" i="28"/>
  <c r="AM51" i="28" s="1"/>
  <c r="H51" i="28"/>
  <c r="G51" i="28"/>
  <c r="AR50" i="28"/>
  <c r="AL50" i="28"/>
  <c r="AK50" i="28"/>
  <c r="AG50" i="28"/>
  <c r="AF50" i="28"/>
  <c r="AB50" i="28"/>
  <c r="AA50" i="28"/>
  <c r="T50" i="28"/>
  <c r="S50" i="28"/>
  <c r="R50" i="28"/>
  <c r="AM50" i="28" s="1"/>
  <c r="H50" i="28"/>
  <c r="G50" i="28"/>
  <c r="AR49" i="28"/>
  <c r="AL49" i="28"/>
  <c r="AK49" i="28"/>
  <c r="AG49" i="28"/>
  <c r="AF49" i="28"/>
  <c r="AB49" i="28"/>
  <c r="AA49" i="28"/>
  <c r="T49" i="28"/>
  <c r="S49" i="28"/>
  <c r="R49" i="28"/>
  <c r="AM49" i="28" s="1"/>
  <c r="H49" i="28"/>
  <c r="G49" i="28"/>
  <c r="AR48" i="28"/>
  <c r="AL48" i="28"/>
  <c r="AK48" i="28"/>
  <c r="AG48" i="28"/>
  <c r="AF48" i="28"/>
  <c r="AB48" i="28"/>
  <c r="AA48" i="28"/>
  <c r="T48" i="28"/>
  <c r="S48" i="28"/>
  <c r="R48" i="28"/>
  <c r="AM48" i="28" s="1"/>
  <c r="H48" i="28"/>
  <c r="G48" i="28"/>
  <c r="AR47" i="28"/>
  <c r="AL47" i="28"/>
  <c r="AK47" i="28"/>
  <c r="AG47" i="28"/>
  <c r="AF47" i="28"/>
  <c r="AB47" i="28"/>
  <c r="AA47" i="28"/>
  <c r="T47" i="28"/>
  <c r="S47" i="28"/>
  <c r="R47" i="28"/>
  <c r="AM47" i="28" s="1"/>
  <c r="H47" i="28"/>
  <c r="G47" i="28"/>
  <c r="AR46" i="28"/>
  <c r="AL46" i="28"/>
  <c r="AK46" i="28"/>
  <c r="AG46" i="28"/>
  <c r="AF46" i="28"/>
  <c r="AB46" i="28"/>
  <c r="AA46" i="28"/>
  <c r="T46" i="28"/>
  <c r="S46" i="28"/>
  <c r="R46" i="28"/>
  <c r="AM46" i="28" s="1"/>
  <c r="H46" i="28"/>
  <c r="G46" i="28"/>
  <c r="AR45" i="28"/>
  <c r="AL45" i="28"/>
  <c r="AK45" i="28"/>
  <c r="AG45" i="28"/>
  <c r="AF45" i="28"/>
  <c r="AB45" i="28"/>
  <c r="AA45" i="28"/>
  <c r="T45" i="28"/>
  <c r="S45" i="28"/>
  <c r="R45" i="28"/>
  <c r="AM45" i="28" s="1"/>
  <c r="H45" i="28"/>
  <c r="G45" i="28"/>
  <c r="AR44" i="28"/>
  <c r="AL44" i="28"/>
  <c r="AK44" i="28"/>
  <c r="AG44" i="28"/>
  <c r="AF44" i="28"/>
  <c r="AB44" i="28"/>
  <c r="AA44" i="28"/>
  <c r="T44" i="28"/>
  <c r="S44" i="28"/>
  <c r="R44" i="28"/>
  <c r="AM44" i="28" s="1"/>
  <c r="H44" i="28"/>
  <c r="G44" i="28"/>
  <c r="AR43" i="28"/>
  <c r="AL43" i="28"/>
  <c r="AK43" i="28"/>
  <c r="AG43" i="28"/>
  <c r="AF43" i="28"/>
  <c r="AB43" i="28"/>
  <c r="AA43" i="28"/>
  <c r="T43" i="28"/>
  <c r="S43" i="28"/>
  <c r="R43" i="28"/>
  <c r="AM43" i="28" s="1"/>
  <c r="H43" i="28"/>
  <c r="G43" i="28"/>
  <c r="AR42" i="28"/>
  <c r="AL42" i="28"/>
  <c r="AK42" i="28"/>
  <c r="AG42" i="28"/>
  <c r="AF42" i="28"/>
  <c r="AB42" i="28"/>
  <c r="AA42" i="28"/>
  <c r="T42" i="28"/>
  <c r="S42" i="28"/>
  <c r="R42" i="28"/>
  <c r="AM42" i="28" s="1"/>
  <c r="H42" i="28"/>
  <c r="G42" i="28"/>
  <c r="AR41" i="28"/>
  <c r="AL41" i="28"/>
  <c r="AK41" i="28"/>
  <c r="AG41" i="28"/>
  <c r="AF41" i="28"/>
  <c r="AB41" i="28"/>
  <c r="AA41" i="28"/>
  <c r="T41" i="28"/>
  <c r="S41" i="28"/>
  <c r="R41" i="28"/>
  <c r="AM41" i="28" s="1"/>
  <c r="H41" i="28"/>
  <c r="G41" i="28"/>
  <c r="AR40" i="28"/>
  <c r="AL40" i="28"/>
  <c r="AK40" i="28"/>
  <c r="AG40" i="28"/>
  <c r="AF40" i="28"/>
  <c r="AB40" i="28"/>
  <c r="AA40" i="28"/>
  <c r="T40" i="28"/>
  <c r="S40" i="28"/>
  <c r="R40" i="28"/>
  <c r="AM40" i="28" s="1"/>
  <c r="H40" i="28"/>
  <c r="G40" i="28"/>
  <c r="AR39" i="28"/>
  <c r="AL39" i="28"/>
  <c r="AK39" i="28"/>
  <c r="AG39" i="28"/>
  <c r="AF39" i="28"/>
  <c r="AB39" i="28"/>
  <c r="AA39" i="28"/>
  <c r="T39" i="28"/>
  <c r="S39" i="28"/>
  <c r="R39" i="28"/>
  <c r="AM39" i="28" s="1"/>
  <c r="H39" i="28"/>
  <c r="G39" i="28"/>
  <c r="AR38" i="28"/>
  <c r="AL38" i="28"/>
  <c r="AK38" i="28"/>
  <c r="AG38" i="28"/>
  <c r="AF38" i="28"/>
  <c r="AB38" i="28"/>
  <c r="AA38" i="28"/>
  <c r="T38" i="28"/>
  <c r="S38" i="28"/>
  <c r="R38" i="28"/>
  <c r="AM38" i="28" s="1"/>
  <c r="H38" i="28"/>
  <c r="G38" i="28"/>
  <c r="AR37" i="28"/>
  <c r="AL37" i="28"/>
  <c r="AK37" i="28"/>
  <c r="AG37" i="28"/>
  <c r="AF37" i="28"/>
  <c r="AB37" i="28"/>
  <c r="AA37" i="28"/>
  <c r="T37" i="28"/>
  <c r="S37" i="28"/>
  <c r="R37" i="28"/>
  <c r="AM37" i="28" s="1"/>
  <c r="H37" i="28"/>
  <c r="G37" i="28"/>
  <c r="AR36" i="28"/>
  <c r="AL36" i="28"/>
  <c r="AK36" i="28"/>
  <c r="AG36" i="28"/>
  <c r="AF36" i="28"/>
  <c r="AB36" i="28"/>
  <c r="AA36" i="28"/>
  <c r="T36" i="28"/>
  <c r="S36" i="28"/>
  <c r="R36" i="28"/>
  <c r="AM36" i="28" s="1"/>
  <c r="H36" i="28"/>
  <c r="G36" i="28"/>
  <c r="AR35" i="28"/>
  <c r="AL35" i="28"/>
  <c r="AK35" i="28"/>
  <c r="AG35" i="28"/>
  <c r="AF35" i="28"/>
  <c r="AB35" i="28"/>
  <c r="AA35" i="28"/>
  <c r="T35" i="28"/>
  <c r="S35" i="28"/>
  <c r="R35" i="28"/>
  <c r="AM35" i="28" s="1"/>
  <c r="H35" i="28"/>
  <c r="G35" i="28"/>
  <c r="AR34" i="28"/>
  <c r="AL34" i="28"/>
  <c r="AK34" i="28"/>
  <c r="AG34" i="28"/>
  <c r="AF34" i="28"/>
  <c r="AB34" i="28"/>
  <c r="AA34" i="28"/>
  <c r="T34" i="28"/>
  <c r="S34" i="28"/>
  <c r="R34" i="28"/>
  <c r="AM34" i="28" s="1"/>
  <c r="H34" i="28"/>
  <c r="G34" i="28"/>
  <c r="AR33" i="28"/>
  <c r="AL33" i="28"/>
  <c r="AK33" i="28"/>
  <c r="AG33" i="28"/>
  <c r="AF33" i="28"/>
  <c r="AB33" i="28"/>
  <c r="AA33" i="28"/>
  <c r="T33" i="28"/>
  <c r="S33" i="28"/>
  <c r="R33" i="28"/>
  <c r="AM33" i="28" s="1"/>
  <c r="H33" i="28"/>
  <c r="G33" i="28"/>
  <c r="AR32" i="28"/>
  <c r="AL32" i="28"/>
  <c r="AK32" i="28"/>
  <c r="AG32" i="28"/>
  <c r="AF32" i="28"/>
  <c r="AB32" i="28"/>
  <c r="AA32" i="28"/>
  <c r="T32" i="28"/>
  <c r="S32" i="28"/>
  <c r="R32" i="28"/>
  <c r="AM32" i="28" s="1"/>
  <c r="H32" i="28"/>
  <c r="G32" i="28"/>
  <c r="AR31" i="28"/>
  <c r="AL31" i="28"/>
  <c r="AK31" i="28"/>
  <c r="AG31" i="28"/>
  <c r="AF31" i="28"/>
  <c r="AB31" i="28"/>
  <c r="AA31" i="28"/>
  <c r="T31" i="28"/>
  <c r="S31" i="28"/>
  <c r="R31" i="28"/>
  <c r="AM31" i="28" s="1"/>
  <c r="H31" i="28"/>
  <c r="G31" i="28"/>
  <c r="AR30" i="28"/>
  <c r="AL30" i="28"/>
  <c r="AK30" i="28"/>
  <c r="AG30" i="28"/>
  <c r="AF30" i="28"/>
  <c r="AB30" i="28"/>
  <c r="AA30" i="28"/>
  <c r="T30" i="28"/>
  <c r="S30" i="28"/>
  <c r="R30" i="28"/>
  <c r="AM30" i="28" s="1"/>
  <c r="H30" i="28"/>
  <c r="G30" i="28"/>
  <c r="AR29" i="28"/>
  <c r="AL29" i="28"/>
  <c r="AK29" i="28"/>
  <c r="AG29" i="28"/>
  <c r="AF29" i="28"/>
  <c r="AB29" i="28"/>
  <c r="AA29" i="28"/>
  <c r="T29" i="28"/>
  <c r="S29" i="28"/>
  <c r="R29" i="28"/>
  <c r="AM29" i="28" s="1"/>
  <c r="H29" i="28"/>
  <c r="G29" i="28"/>
  <c r="AR28" i="28"/>
  <c r="AL28" i="28"/>
  <c r="AK28" i="28"/>
  <c r="AG28" i="28"/>
  <c r="AF28" i="28"/>
  <c r="AB28" i="28"/>
  <c r="AA28" i="28"/>
  <c r="T28" i="28"/>
  <c r="S28" i="28"/>
  <c r="R28" i="28"/>
  <c r="AM28" i="28" s="1"/>
  <c r="H28" i="28"/>
  <c r="G28" i="28"/>
  <c r="AR27" i="28"/>
  <c r="AL27" i="28"/>
  <c r="AK27" i="28"/>
  <c r="AG27" i="28"/>
  <c r="AF27" i="28"/>
  <c r="AB27" i="28"/>
  <c r="AA27" i="28"/>
  <c r="T27" i="28"/>
  <c r="S27" i="28"/>
  <c r="R27" i="28"/>
  <c r="AM27" i="28" s="1"/>
  <c r="H27" i="28"/>
  <c r="G27" i="28"/>
  <c r="AR26" i="28"/>
  <c r="AL26" i="28"/>
  <c r="AK26" i="28"/>
  <c r="AG26" i="28"/>
  <c r="AF26" i="28"/>
  <c r="AB26" i="28"/>
  <c r="AA26" i="28"/>
  <c r="T26" i="28"/>
  <c r="S26" i="28"/>
  <c r="R26" i="28"/>
  <c r="AM26" i="28" s="1"/>
  <c r="H26" i="28"/>
  <c r="G26" i="28"/>
  <c r="AR25" i="28"/>
  <c r="AL25" i="28"/>
  <c r="AK25" i="28"/>
  <c r="AG25" i="28"/>
  <c r="AF25" i="28"/>
  <c r="AB25" i="28"/>
  <c r="AA25" i="28"/>
  <c r="T25" i="28"/>
  <c r="S25" i="28"/>
  <c r="R25" i="28"/>
  <c r="AM25" i="28" s="1"/>
  <c r="H25" i="28"/>
  <c r="G25" i="28"/>
  <c r="AR24" i="28"/>
  <c r="AL24" i="28"/>
  <c r="AK24" i="28"/>
  <c r="AG24" i="28"/>
  <c r="AF24" i="28"/>
  <c r="AB24" i="28"/>
  <c r="AA24" i="28"/>
  <c r="T24" i="28"/>
  <c r="S24" i="28"/>
  <c r="R24" i="28"/>
  <c r="AM24" i="28" s="1"/>
  <c r="H24" i="28"/>
  <c r="G24" i="28"/>
  <c r="AR23" i="28"/>
  <c r="AL23" i="28"/>
  <c r="AK23" i="28"/>
  <c r="AG23" i="28"/>
  <c r="AF23" i="28"/>
  <c r="AB23" i="28"/>
  <c r="AA23" i="28"/>
  <c r="T23" i="28"/>
  <c r="S23" i="28"/>
  <c r="R23" i="28"/>
  <c r="AM23" i="28" s="1"/>
  <c r="H23" i="28"/>
  <c r="G23" i="28"/>
  <c r="AR22" i="28"/>
  <c r="AL22" i="28"/>
  <c r="AK22" i="28"/>
  <c r="AG22" i="28"/>
  <c r="AF22" i="28"/>
  <c r="AB22" i="28"/>
  <c r="AA22" i="28"/>
  <c r="T22" i="28"/>
  <c r="S22" i="28"/>
  <c r="R22" i="28"/>
  <c r="AM22" i="28" s="1"/>
  <c r="H22" i="28"/>
  <c r="G22" i="28"/>
  <c r="AR21" i="28"/>
  <c r="AL21" i="28"/>
  <c r="AK21" i="28"/>
  <c r="AG21" i="28"/>
  <c r="AF21" i="28"/>
  <c r="AB21" i="28"/>
  <c r="AA21" i="28"/>
  <c r="T21" i="28"/>
  <c r="S21" i="28"/>
  <c r="R21" i="28"/>
  <c r="AM21" i="28" s="1"/>
  <c r="H21" i="28"/>
  <c r="G21" i="28"/>
  <c r="AR20" i="28"/>
  <c r="AL20" i="28"/>
  <c r="AK20" i="28"/>
  <c r="AG20" i="28"/>
  <c r="AF20" i="28"/>
  <c r="AB20" i="28"/>
  <c r="AA20" i="28"/>
  <c r="T20" i="28"/>
  <c r="S20" i="28"/>
  <c r="R20" i="28"/>
  <c r="AM20" i="28" s="1"/>
  <c r="H20" i="28"/>
  <c r="G20" i="28"/>
  <c r="AR19" i="28"/>
  <c r="AL19" i="28"/>
  <c r="AK19" i="28"/>
  <c r="AG19" i="28"/>
  <c r="AF19" i="28"/>
  <c r="AB19" i="28"/>
  <c r="AA19" i="28"/>
  <c r="T19" i="28"/>
  <c r="S19" i="28"/>
  <c r="R19" i="28"/>
  <c r="AM19" i="28" s="1"/>
  <c r="H19" i="28"/>
  <c r="G19" i="28"/>
  <c r="AR18" i="28"/>
  <c r="AL18" i="28"/>
  <c r="AK18" i="28"/>
  <c r="AG18" i="28"/>
  <c r="AF18" i="28"/>
  <c r="AB18" i="28"/>
  <c r="AA18" i="28"/>
  <c r="T18" i="28"/>
  <c r="S18" i="28"/>
  <c r="R18" i="28"/>
  <c r="AM18" i="28" s="1"/>
  <c r="H18" i="28"/>
  <c r="G18" i="28"/>
  <c r="AR17" i="28"/>
  <c r="AL17" i="28"/>
  <c r="AK17" i="28"/>
  <c r="AG17" i="28"/>
  <c r="AF17" i="28"/>
  <c r="AB17" i="28"/>
  <c r="AA17" i="28"/>
  <c r="T17" i="28"/>
  <c r="S17" i="28"/>
  <c r="R17" i="28"/>
  <c r="AM17" i="28" s="1"/>
  <c r="H17" i="28"/>
  <c r="G17" i="28"/>
  <c r="AR16" i="28"/>
  <c r="AL16" i="28"/>
  <c r="AK16" i="28"/>
  <c r="AG16" i="28"/>
  <c r="AF16" i="28"/>
  <c r="AB16" i="28"/>
  <c r="AA16" i="28"/>
  <c r="T16" i="28"/>
  <c r="S16" i="28"/>
  <c r="R16" i="28"/>
  <c r="AM16" i="28" s="1"/>
  <c r="H16" i="28"/>
  <c r="G16" i="28"/>
  <c r="AR15" i="28"/>
  <c r="AL15" i="28"/>
  <c r="AK15" i="28"/>
  <c r="AG15" i="28"/>
  <c r="AF15" i="28"/>
  <c r="AB15" i="28"/>
  <c r="AA15" i="28"/>
  <c r="T15" i="28"/>
  <c r="S15" i="28"/>
  <c r="R15" i="28"/>
  <c r="AM15" i="28" s="1"/>
  <c r="H15" i="28"/>
  <c r="G15" i="28"/>
  <c r="AR14" i="28"/>
  <c r="AL14" i="28"/>
  <c r="AK14" i="28"/>
  <c r="AG14" i="28"/>
  <c r="AF14" i="28"/>
  <c r="AB14" i="28"/>
  <c r="AA14" i="28"/>
  <c r="T14" i="28"/>
  <c r="S14" i="28"/>
  <c r="R14" i="28"/>
  <c r="AM14" i="28" s="1"/>
  <c r="H14" i="28"/>
  <c r="G14" i="28"/>
  <c r="AR13" i="28"/>
  <c r="AL13" i="28"/>
  <c r="AK13" i="28"/>
  <c r="AG13" i="28"/>
  <c r="AF13" i="28"/>
  <c r="AB13" i="28"/>
  <c r="AA13" i="28"/>
  <c r="T13" i="28"/>
  <c r="S13" i="28"/>
  <c r="R13" i="28"/>
  <c r="AM13" i="28" s="1"/>
  <c r="H13" i="28"/>
  <c r="G13" i="28"/>
  <c r="AR12" i="28"/>
  <c r="AL12" i="28"/>
  <c r="AK12" i="28"/>
  <c r="AG12" i="28"/>
  <c r="AF12" i="28"/>
  <c r="AB12" i="28"/>
  <c r="AA12" i="28"/>
  <c r="T12" i="28"/>
  <c r="S12" i="28"/>
  <c r="R12" i="28"/>
  <c r="AM12" i="28" s="1"/>
  <c r="H12" i="28"/>
  <c r="G12" i="28"/>
  <c r="AR11" i="28"/>
  <c r="AL11" i="28"/>
  <c r="AK11" i="28"/>
  <c r="AG11" i="28"/>
  <c r="AF11" i="28"/>
  <c r="AB11" i="28"/>
  <c r="AA11" i="28"/>
  <c r="T11" i="28"/>
  <c r="S11" i="28"/>
  <c r="R11" i="28"/>
  <c r="AM11" i="28" s="1"/>
  <c r="H11" i="28"/>
  <c r="G11" i="28"/>
  <c r="AR10" i="28"/>
  <c r="AL10" i="28"/>
  <c r="AK10" i="28"/>
  <c r="AG10" i="28"/>
  <c r="AF10" i="28"/>
  <c r="AB10" i="28"/>
  <c r="AA10" i="28"/>
  <c r="T10" i="28"/>
  <c r="S10" i="28"/>
  <c r="R10" i="28"/>
  <c r="AM10" i="28" s="1"/>
  <c r="H10" i="28"/>
  <c r="G10" i="28"/>
  <c r="AR9" i="28"/>
  <c r="AL9" i="28"/>
  <c r="AK9" i="28"/>
  <c r="AG9" i="28"/>
  <c r="AF9" i="28"/>
  <c r="AB9" i="28"/>
  <c r="AA9" i="28"/>
  <c r="T9" i="28"/>
  <c r="S9" i="28"/>
  <c r="R9" i="28"/>
  <c r="AM9" i="28" s="1"/>
  <c r="H9" i="28"/>
  <c r="G9" i="28"/>
  <c r="AR8" i="28"/>
  <c r="AL8" i="28"/>
  <c r="AK8" i="28"/>
  <c r="AG8" i="28"/>
  <c r="AF8" i="28"/>
  <c r="AB8" i="28"/>
  <c r="AA8" i="28"/>
  <c r="T8" i="28"/>
  <c r="S8" i="28"/>
  <c r="R8" i="28"/>
  <c r="AM8" i="28" s="1"/>
  <c r="H8" i="28"/>
  <c r="G8" i="28"/>
  <c r="AR7" i="28"/>
  <c r="AL7" i="28"/>
  <c r="AK7" i="28"/>
  <c r="AG7" i="28"/>
  <c r="AF7" i="28"/>
  <c r="AB7" i="28"/>
  <c r="AA7" i="28"/>
  <c r="T7" i="28"/>
  <c r="S7" i="28"/>
  <c r="R7" i="28"/>
  <c r="AM7" i="28" s="1"/>
  <c r="H7" i="28"/>
  <c r="G7" i="28"/>
  <c r="AR6" i="28"/>
  <c r="AL6" i="28"/>
  <c r="AK6" i="28"/>
  <c r="AG6" i="28"/>
  <c r="AF6" i="28"/>
  <c r="AB6" i="28"/>
  <c r="AA6" i="28"/>
  <c r="T6" i="28"/>
  <c r="S6" i="28"/>
  <c r="R6" i="28"/>
  <c r="AM6" i="28" s="1"/>
  <c r="H6" i="28"/>
  <c r="G6" i="28"/>
  <c r="B6" i="28"/>
  <c r="B8" i="28" s="1"/>
  <c r="AR5" i="28"/>
  <c r="AL5" i="28"/>
  <c r="AK5" i="28"/>
  <c r="AG5" i="28"/>
  <c r="AF5" i="28"/>
  <c r="AB5" i="28"/>
  <c r="AA5" i="28"/>
  <c r="T5" i="28"/>
  <c r="S5" i="28"/>
  <c r="R5" i="28"/>
  <c r="AM5" i="28" s="1"/>
  <c r="H5" i="28"/>
  <c r="G5" i="28"/>
  <c r="B5" i="28"/>
  <c r="A5" i="28" s="1"/>
  <c r="AR4" i="28"/>
  <c r="AL4" i="28"/>
  <c r="AK4" i="28"/>
  <c r="AG4" i="28"/>
  <c r="AF4" i="28"/>
  <c r="AB4" i="28"/>
  <c r="AA4" i="28"/>
  <c r="T4" i="28"/>
  <c r="S4" i="28"/>
  <c r="R4" i="28"/>
  <c r="AM4" i="28" s="1"/>
  <c r="H4" i="28"/>
  <c r="G4" i="28"/>
  <c r="A4" i="28"/>
  <c r="AP1" i="28"/>
  <c r="A6" i="28" l="1"/>
  <c r="AN64" i="28"/>
  <c r="M12" i="1"/>
  <c r="N12" i="1" s="1"/>
  <c r="M7" i="1"/>
  <c r="N7" i="1" s="1"/>
  <c r="AN8" i="28"/>
  <c r="AN9" i="28"/>
  <c r="AP66" i="30"/>
  <c r="AO5" i="28"/>
  <c r="AN5" i="28"/>
  <c r="B10" i="28"/>
  <c r="B12" i="28" s="1"/>
  <c r="A8" i="28"/>
  <c r="AO56" i="28"/>
  <c r="AO57" i="28"/>
  <c r="AO59" i="28"/>
  <c r="AN60" i="28"/>
  <c r="AN62" i="28"/>
  <c r="AN63" i="28"/>
  <c r="AO64" i="28"/>
  <c r="AP64" i="28" s="1"/>
  <c r="AO60" i="28"/>
  <c r="AO61" i="28"/>
  <c r="AO63" i="28"/>
  <c r="AN56" i="28"/>
  <c r="AN57" i="28"/>
  <c r="AN58" i="28"/>
  <c r="AN59" i="28"/>
  <c r="AO65" i="28"/>
  <c r="AN42" i="28"/>
  <c r="AO53" i="28"/>
  <c r="AO54" i="28"/>
  <c r="AO55" i="28"/>
  <c r="AN43" i="28"/>
  <c r="AO43" i="28"/>
  <c r="AN44" i="28"/>
  <c r="AN46" i="28"/>
  <c r="AO45" i="28"/>
  <c r="AO46" i="28"/>
  <c r="AO47" i="28"/>
  <c r="AN48" i="28"/>
  <c r="AN50" i="28"/>
  <c r="AN51" i="28"/>
  <c r="AO48" i="28"/>
  <c r="AO49" i="28"/>
  <c r="AO51" i="28"/>
  <c r="AN52" i="28"/>
  <c r="AN54" i="28"/>
  <c r="AP54" i="28" s="1"/>
  <c r="AO41" i="28"/>
  <c r="AO35" i="28"/>
  <c r="AN40" i="28"/>
  <c r="AN36" i="28"/>
  <c r="AN38" i="28"/>
  <c r="AO28" i="28"/>
  <c r="AO29" i="28"/>
  <c r="AO40" i="28"/>
  <c r="AN41" i="28"/>
  <c r="AO33" i="28"/>
  <c r="AN32" i="28"/>
  <c r="AN29" i="28"/>
  <c r="AN30" i="28"/>
  <c r="AN31" i="28"/>
  <c r="AO37" i="28"/>
  <c r="AO38" i="28"/>
  <c r="AO39" i="28"/>
  <c r="AO32" i="28"/>
  <c r="AN33" i="28"/>
  <c r="AN34" i="28"/>
  <c r="AN35" i="28"/>
  <c r="AN28" i="28"/>
  <c r="A11" i="30"/>
  <c r="B13" i="30"/>
  <c r="A12" i="30"/>
  <c r="B14" i="30"/>
  <c r="A12" i="29"/>
  <c r="B14" i="29"/>
  <c r="A11" i="29"/>
  <c r="B13" i="29"/>
  <c r="AO22" i="28"/>
  <c r="AN23" i="28"/>
  <c r="AO21" i="28"/>
  <c r="AN25" i="28"/>
  <c r="AN26" i="28"/>
  <c r="AN27" i="28"/>
  <c r="AN4" i="28"/>
  <c r="AO10" i="28"/>
  <c r="AN12" i="28"/>
  <c r="AN13" i="28"/>
  <c r="AN6" i="28"/>
  <c r="AN7" i="28"/>
  <c r="AO14" i="28"/>
  <c r="AO15" i="28"/>
  <c r="AN16" i="28"/>
  <c r="AN17" i="28"/>
  <c r="AO11" i="28"/>
  <c r="AO24" i="28"/>
  <c r="AO20" i="28"/>
  <c r="AO12" i="28"/>
  <c r="AO13" i="28"/>
  <c r="AN14" i="28"/>
  <c r="AN15" i="28"/>
  <c r="AO7" i="28"/>
  <c r="AO9" i="28"/>
  <c r="AN10" i="28"/>
  <c r="AN11" i="28"/>
  <c r="AO16" i="28"/>
  <c r="AO17" i="28"/>
  <c r="AN18" i="28"/>
  <c r="AN19" i="28"/>
  <c r="AN20" i="28"/>
  <c r="AO23" i="28"/>
  <c r="AN24" i="28"/>
  <c r="AO25" i="28"/>
  <c r="AO18" i="28"/>
  <c r="AO4" i="28"/>
  <c r="AO6" i="28"/>
  <c r="AO8" i="28"/>
  <c r="AM66" i="28"/>
  <c r="H20" i="1" s="1"/>
  <c r="B7" i="28"/>
  <c r="AO19" i="28"/>
  <c r="AN21" i="28"/>
  <c r="AN22" i="28"/>
  <c r="AO26" i="28"/>
  <c r="AO27" i="28"/>
  <c r="AO34" i="28"/>
  <c r="AO36" i="28"/>
  <c r="AN37" i="28"/>
  <c r="AN39" i="28"/>
  <c r="AO50" i="28"/>
  <c r="AO52" i="28"/>
  <c r="AN53" i="28"/>
  <c r="AN55" i="28"/>
  <c r="AN49" i="28"/>
  <c r="AO62" i="28"/>
  <c r="AN65" i="28"/>
  <c r="AO30" i="28"/>
  <c r="AO31" i="28"/>
  <c r="AO42" i="28"/>
  <c r="AP42" i="28" s="1"/>
  <c r="AO44" i="28"/>
  <c r="AN45" i="28"/>
  <c r="AN47" i="28"/>
  <c r="AO58" i="28"/>
  <c r="AN61" i="28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R50" i="2"/>
  <c r="S50" i="2"/>
  <c r="T50" i="2"/>
  <c r="R51" i="2"/>
  <c r="S51" i="2"/>
  <c r="T51" i="2"/>
  <c r="R52" i="2"/>
  <c r="S52" i="2"/>
  <c r="T52" i="2"/>
  <c r="R53" i="2"/>
  <c r="S53" i="2"/>
  <c r="T53" i="2"/>
  <c r="R54" i="2"/>
  <c r="S54" i="2"/>
  <c r="T54" i="2"/>
  <c r="R55" i="2"/>
  <c r="S55" i="2"/>
  <c r="T55" i="2"/>
  <c r="R56" i="2"/>
  <c r="S56" i="2"/>
  <c r="T56" i="2"/>
  <c r="R57" i="2"/>
  <c r="S57" i="2"/>
  <c r="T57" i="2"/>
  <c r="R58" i="2"/>
  <c r="S58" i="2"/>
  <c r="T58" i="2"/>
  <c r="R59" i="2"/>
  <c r="S59" i="2"/>
  <c r="T59" i="2"/>
  <c r="R60" i="2"/>
  <c r="S60" i="2"/>
  <c r="T60" i="2"/>
  <c r="R61" i="2"/>
  <c r="S61" i="2"/>
  <c r="T61" i="2"/>
  <c r="R62" i="2"/>
  <c r="S62" i="2"/>
  <c r="T62" i="2"/>
  <c r="R63" i="2"/>
  <c r="S63" i="2"/>
  <c r="T63" i="2"/>
  <c r="R64" i="2"/>
  <c r="S64" i="2"/>
  <c r="T64" i="2"/>
  <c r="R65" i="2"/>
  <c r="S65" i="2"/>
  <c r="T65" i="2"/>
  <c r="AS55" i="14"/>
  <c r="AP19" i="28" l="1"/>
  <c r="AP35" i="28"/>
  <c r="A10" i="28"/>
  <c r="AP59" i="28"/>
  <c r="AP38" i="28"/>
  <c r="AP5" i="28"/>
  <c r="AP23" i="28"/>
  <c r="AP8" i="28"/>
  <c r="AP12" i="28"/>
  <c r="AP50" i="28"/>
  <c r="AP45" i="28"/>
  <c r="AP57" i="28"/>
  <c r="AP51" i="28"/>
  <c r="AP43" i="28"/>
  <c r="AP58" i="28"/>
  <c r="AP62" i="28"/>
  <c r="AP63" i="28"/>
  <c r="AP10" i="28"/>
  <c r="AP60" i="28"/>
  <c r="AP7" i="28"/>
  <c r="AP21" i="28"/>
  <c r="AP18" i="28"/>
  <c r="AP56" i="28"/>
  <c r="AP61" i="28"/>
  <c r="AP37" i="28"/>
  <c r="AP4" i="28"/>
  <c r="AP65" i="28"/>
  <c r="AP55" i="28"/>
  <c r="AP44" i="28"/>
  <c r="AP53" i="28"/>
  <c r="AP47" i="28"/>
  <c r="AP48" i="28"/>
  <c r="AP46" i="28"/>
  <c r="AP49" i="28"/>
  <c r="AP41" i="28"/>
  <c r="AP33" i="28"/>
  <c r="AP40" i="28"/>
  <c r="AP36" i="28"/>
  <c r="AP28" i="28"/>
  <c r="AP29" i="28"/>
  <c r="AP32" i="28"/>
  <c r="AP39" i="28"/>
  <c r="AP30" i="28"/>
  <c r="AP31" i="28"/>
  <c r="B16" i="30"/>
  <c r="A14" i="30"/>
  <c r="A13" i="30"/>
  <c r="B15" i="30"/>
  <c r="A13" i="29"/>
  <c r="B15" i="29"/>
  <c r="B16" i="29"/>
  <c r="A14" i="29"/>
  <c r="AP25" i="28"/>
  <c r="AP14" i="28"/>
  <c r="AP20" i="28"/>
  <c r="AP16" i="28"/>
  <c r="AP15" i="28"/>
  <c r="AP13" i="28"/>
  <c r="AP6" i="28"/>
  <c r="AP11" i="28"/>
  <c r="AP9" i="28"/>
  <c r="AP17" i="28"/>
  <c r="AP24" i="28"/>
  <c r="AP27" i="28"/>
  <c r="AP22" i="28"/>
  <c r="AP34" i="28"/>
  <c r="A7" i="28"/>
  <c r="B9" i="28"/>
  <c r="AP52" i="28"/>
  <c r="AP26" i="28"/>
  <c r="A12" i="28"/>
  <c r="B14" i="28"/>
  <c r="AO66" i="28"/>
  <c r="J20" i="1" s="1"/>
  <c r="AN66" i="28"/>
  <c r="I20" i="1" s="1"/>
  <c r="M20" i="1" l="1"/>
  <c r="N20" i="1" s="1"/>
  <c r="A16" i="30"/>
  <c r="B18" i="30"/>
  <c r="A15" i="30"/>
  <c r="B17" i="30"/>
  <c r="A15" i="29"/>
  <c r="B17" i="29"/>
  <c r="A16" i="29"/>
  <c r="B18" i="29"/>
  <c r="AP66" i="28"/>
  <c r="B16" i="28"/>
  <c r="A14" i="28"/>
  <c r="A9" i="28"/>
  <c r="B11" i="28"/>
  <c r="A17" i="30" l="1"/>
  <c r="B19" i="30"/>
  <c r="B20" i="30"/>
  <c r="A18" i="30"/>
  <c r="B20" i="29"/>
  <c r="A18" i="29"/>
  <c r="B19" i="29"/>
  <c r="A17" i="29"/>
  <c r="A11" i="28"/>
  <c r="B13" i="28"/>
  <c r="A16" i="28"/>
  <c r="B18" i="28"/>
  <c r="AS27" i="14"/>
  <c r="B22" i="30" l="1"/>
  <c r="A20" i="30"/>
  <c r="A19" i="30"/>
  <c r="B21" i="30"/>
  <c r="B22" i="29"/>
  <c r="A20" i="29"/>
  <c r="A19" i="29"/>
  <c r="B21" i="29"/>
  <c r="A18" i="28"/>
  <c r="B20" i="28"/>
  <c r="A13" i="28"/>
  <c r="B15" i="28"/>
  <c r="AS41" i="11"/>
  <c r="AS41" i="12"/>
  <c r="A21" i="30" l="1"/>
  <c r="B23" i="30"/>
  <c r="B24" i="30"/>
  <c r="A22" i="30"/>
  <c r="A22" i="29"/>
  <c r="B24" i="29"/>
  <c r="B23" i="29"/>
  <c r="A21" i="29"/>
  <c r="A20" i="28"/>
  <c r="B22" i="28"/>
  <c r="A15" i="28"/>
  <c r="B17" i="28"/>
  <c r="B26" i="30" l="1"/>
  <c r="A24" i="30"/>
  <c r="A23" i="30"/>
  <c r="B25" i="30"/>
  <c r="A23" i="29"/>
  <c r="B25" i="29"/>
  <c r="B26" i="29"/>
  <c r="A24" i="29"/>
  <c r="B19" i="28"/>
  <c r="A17" i="28"/>
  <c r="B24" i="28"/>
  <c r="A22" i="28"/>
  <c r="A25" i="30" l="1"/>
  <c r="B27" i="30"/>
  <c r="A26" i="30"/>
  <c r="B28" i="30"/>
  <c r="A25" i="29"/>
  <c r="B27" i="29"/>
  <c r="A26" i="29"/>
  <c r="B28" i="29"/>
  <c r="A24" i="28"/>
  <c r="B26" i="28"/>
  <c r="B21" i="28"/>
  <c r="A19" i="28"/>
  <c r="G28" i="21"/>
  <c r="H28" i="21"/>
  <c r="G29" i="21"/>
  <c r="H29" i="21"/>
  <c r="G30" i="21"/>
  <c r="H30" i="21"/>
  <c r="G31" i="21"/>
  <c r="H31" i="21"/>
  <c r="G32" i="21"/>
  <c r="H32" i="21"/>
  <c r="G33" i="21"/>
  <c r="H33" i="21"/>
  <c r="G34" i="21"/>
  <c r="H34" i="21"/>
  <c r="G35" i="21"/>
  <c r="H35" i="21"/>
  <c r="G36" i="21"/>
  <c r="H36" i="21"/>
  <c r="G37" i="21"/>
  <c r="H37" i="21"/>
  <c r="B30" i="30" l="1"/>
  <c r="A28" i="30"/>
  <c r="A27" i="30"/>
  <c r="B29" i="30"/>
  <c r="B30" i="29"/>
  <c r="A28" i="29"/>
  <c r="B29" i="29"/>
  <c r="A27" i="29"/>
  <c r="B23" i="28"/>
  <c r="A21" i="28"/>
  <c r="B28" i="28"/>
  <c r="A26" i="28"/>
  <c r="A29" i="30" l="1"/>
  <c r="B31" i="30"/>
  <c r="A30" i="30"/>
  <c r="B32" i="30"/>
  <c r="A29" i="29"/>
  <c r="B31" i="29"/>
  <c r="B32" i="29"/>
  <c r="A30" i="29"/>
  <c r="A23" i="28"/>
  <c r="B25" i="28"/>
  <c r="A28" i="28"/>
  <c r="B30" i="28"/>
  <c r="B34" i="30" l="1"/>
  <c r="A32" i="30"/>
  <c r="A31" i="30"/>
  <c r="B33" i="30"/>
  <c r="B33" i="29"/>
  <c r="A31" i="29"/>
  <c r="A32" i="29"/>
  <c r="B34" i="29"/>
  <c r="B32" i="28"/>
  <c r="A30" i="28"/>
  <c r="B27" i="28"/>
  <c r="A25" i="28"/>
  <c r="AS27" i="11"/>
  <c r="A33" i="30" l="1"/>
  <c r="B35" i="30"/>
  <c r="A34" i="30"/>
  <c r="B36" i="30"/>
  <c r="A33" i="29"/>
  <c r="B35" i="29"/>
  <c r="B36" i="29"/>
  <c r="A34" i="29"/>
  <c r="A27" i="28"/>
  <c r="B29" i="28"/>
  <c r="B34" i="28"/>
  <c r="A32" i="28"/>
  <c r="R4" i="13"/>
  <c r="R5" i="13"/>
  <c r="R6" i="13"/>
  <c r="R7" i="13"/>
  <c r="R8" i="13"/>
  <c r="R9" i="13"/>
  <c r="R10" i="13"/>
  <c r="R11" i="13"/>
  <c r="R12" i="13"/>
  <c r="R13" i="13"/>
  <c r="B38" i="30" l="1"/>
  <c r="A36" i="30"/>
  <c r="A35" i="30"/>
  <c r="B37" i="30"/>
  <c r="A36" i="29"/>
  <c r="B38" i="29"/>
  <c r="A35" i="29"/>
  <c r="B37" i="29"/>
  <c r="B31" i="28"/>
  <c r="A29" i="28"/>
  <c r="B36" i="28"/>
  <c r="A34" i="28"/>
  <c r="M49" i="1"/>
  <c r="N49" i="1" s="1"/>
  <c r="A37" i="30" l="1"/>
  <c r="B39" i="30"/>
  <c r="A38" i="30"/>
  <c r="B40" i="30"/>
  <c r="A37" i="29"/>
  <c r="B39" i="29"/>
  <c r="B40" i="29"/>
  <c r="A38" i="29"/>
  <c r="B38" i="28"/>
  <c r="A36" i="28"/>
  <c r="A31" i="28"/>
  <c r="B33" i="28"/>
  <c r="R5" i="26"/>
  <c r="S5" i="26"/>
  <c r="T5" i="26"/>
  <c r="AA5" i="26"/>
  <c r="AB5" i="26"/>
  <c r="AF5" i="26"/>
  <c r="AG5" i="26"/>
  <c r="R6" i="26"/>
  <c r="S6" i="26"/>
  <c r="T6" i="26"/>
  <c r="AA6" i="26"/>
  <c r="AB6" i="26"/>
  <c r="AF6" i="26"/>
  <c r="AG6" i="26"/>
  <c r="R7" i="26"/>
  <c r="S7" i="26"/>
  <c r="T7" i="26"/>
  <c r="AA7" i="26"/>
  <c r="AB7" i="26"/>
  <c r="AF7" i="26"/>
  <c r="AG7" i="26"/>
  <c r="R8" i="26"/>
  <c r="S8" i="26"/>
  <c r="T8" i="26"/>
  <c r="AA8" i="26"/>
  <c r="AB8" i="26"/>
  <c r="AF8" i="26"/>
  <c r="AG8" i="26"/>
  <c r="R9" i="26"/>
  <c r="S9" i="26"/>
  <c r="T9" i="26"/>
  <c r="AA9" i="26"/>
  <c r="AB9" i="26"/>
  <c r="AF9" i="26"/>
  <c r="AG9" i="26"/>
  <c r="R10" i="26"/>
  <c r="S10" i="26"/>
  <c r="T10" i="26"/>
  <c r="AA10" i="26"/>
  <c r="AB10" i="26"/>
  <c r="AF10" i="26"/>
  <c r="AG10" i="26"/>
  <c r="R11" i="26"/>
  <c r="S11" i="26"/>
  <c r="T11" i="26"/>
  <c r="AA11" i="26"/>
  <c r="AB11" i="26"/>
  <c r="AF11" i="26"/>
  <c r="AG11" i="26"/>
  <c r="R12" i="26"/>
  <c r="S12" i="26"/>
  <c r="T12" i="26"/>
  <c r="AA12" i="26"/>
  <c r="AB12" i="26"/>
  <c r="AF12" i="26"/>
  <c r="AG12" i="26"/>
  <c r="R13" i="26"/>
  <c r="S13" i="26"/>
  <c r="T13" i="26"/>
  <c r="AA13" i="26"/>
  <c r="AB13" i="26"/>
  <c r="AF13" i="26"/>
  <c r="AG13" i="26"/>
  <c r="R14" i="26"/>
  <c r="S14" i="26"/>
  <c r="T14" i="26"/>
  <c r="AA14" i="26"/>
  <c r="AB14" i="26"/>
  <c r="AF14" i="26"/>
  <c r="AG14" i="26"/>
  <c r="R15" i="26"/>
  <c r="S15" i="26"/>
  <c r="T15" i="26"/>
  <c r="AA15" i="26"/>
  <c r="AB15" i="26"/>
  <c r="AF15" i="26"/>
  <c r="AG15" i="26"/>
  <c r="R16" i="26"/>
  <c r="S16" i="26"/>
  <c r="T16" i="26"/>
  <c r="AA16" i="26"/>
  <c r="AB16" i="26"/>
  <c r="AF16" i="26"/>
  <c r="AG16" i="26"/>
  <c r="R17" i="26"/>
  <c r="S17" i="26"/>
  <c r="T17" i="26"/>
  <c r="AA17" i="26"/>
  <c r="AB17" i="26"/>
  <c r="AF17" i="26"/>
  <c r="AG17" i="26"/>
  <c r="R18" i="26"/>
  <c r="S18" i="26"/>
  <c r="T18" i="26"/>
  <c r="AA18" i="26"/>
  <c r="AB18" i="26"/>
  <c r="AF18" i="26"/>
  <c r="AG18" i="26"/>
  <c r="R19" i="26"/>
  <c r="S19" i="26"/>
  <c r="T19" i="26"/>
  <c r="AA19" i="26"/>
  <c r="AB19" i="26"/>
  <c r="AF19" i="26"/>
  <c r="AG19" i="26"/>
  <c r="R20" i="26"/>
  <c r="S20" i="26"/>
  <c r="T20" i="26"/>
  <c r="AA20" i="26"/>
  <c r="AB20" i="26"/>
  <c r="AF20" i="26"/>
  <c r="AG20" i="26"/>
  <c r="R21" i="26"/>
  <c r="S21" i="26"/>
  <c r="T21" i="26"/>
  <c r="AA21" i="26"/>
  <c r="AB21" i="26"/>
  <c r="AF21" i="26"/>
  <c r="AG21" i="26"/>
  <c r="R22" i="26"/>
  <c r="S22" i="26"/>
  <c r="T22" i="26"/>
  <c r="AA22" i="26"/>
  <c r="AB22" i="26"/>
  <c r="AF22" i="26"/>
  <c r="AG22" i="26"/>
  <c r="R23" i="26"/>
  <c r="S23" i="26"/>
  <c r="T23" i="26"/>
  <c r="AA23" i="26"/>
  <c r="AB23" i="26"/>
  <c r="AF23" i="26"/>
  <c r="AG23" i="26"/>
  <c r="R24" i="26"/>
  <c r="S24" i="26"/>
  <c r="T24" i="26"/>
  <c r="AA24" i="26"/>
  <c r="AB24" i="26"/>
  <c r="AF24" i="26"/>
  <c r="AG24" i="26"/>
  <c r="R25" i="26"/>
  <c r="S25" i="26"/>
  <c r="T25" i="26"/>
  <c r="AA25" i="26"/>
  <c r="AB25" i="26"/>
  <c r="AF25" i="26"/>
  <c r="AG25" i="26"/>
  <c r="R26" i="26"/>
  <c r="S26" i="26"/>
  <c r="T26" i="26"/>
  <c r="AA26" i="26"/>
  <c r="AB26" i="26"/>
  <c r="AF26" i="26"/>
  <c r="AG26" i="26"/>
  <c r="R27" i="26"/>
  <c r="S27" i="26"/>
  <c r="T27" i="26"/>
  <c r="AA27" i="26"/>
  <c r="AB27" i="26"/>
  <c r="AF27" i="26"/>
  <c r="AG27" i="26"/>
  <c r="R28" i="26"/>
  <c r="S28" i="26"/>
  <c r="T28" i="26"/>
  <c r="AA28" i="26"/>
  <c r="AB28" i="26"/>
  <c r="AF28" i="26"/>
  <c r="AG28" i="26"/>
  <c r="R29" i="26"/>
  <c r="S29" i="26"/>
  <c r="T29" i="26"/>
  <c r="AA29" i="26"/>
  <c r="AB29" i="26"/>
  <c r="AF29" i="26"/>
  <c r="AG29" i="26"/>
  <c r="R30" i="26"/>
  <c r="S30" i="26"/>
  <c r="T30" i="26"/>
  <c r="AA30" i="26"/>
  <c r="AB30" i="26"/>
  <c r="AF30" i="26"/>
  <c r="AG30" i="26"/>
  <c r="R31" i="26"/>
  <c r="S31" i="26"/>
  <c r="T31" i="26"/>
  <c r="AA31" i="26"/>
  <c r="AB31" i="26"/>
  <c r="AF31" i="26"/>
  <c r="AG31" i="26"/>
  <c r="R32" i="26"/>
  <c r="S32" i="26"/>
  <c r="T32" i="26"/>
  <c r="AA32" i="26"/>
  <c r="AB32" i="26"/>
  <c r="AF32" i="26"/>
  <c r="AG32" i="26"/>
  <c r="R33" i="26"/>
  <c r="S33" i="26"/>
  <c r="T33" i="26"/>
  <c r="AA33" i="26"/>
  <c r="AB33" i="26"/>
  <c r="AF33" i="26"/>
  <c r="AG33" i="26"/>
  <c r="R34" i="26"/>
  <c r="S34" i="26"/>
  <c r="T34" i="26"/>
  <c r="AA34" i="26"/>
  <c r="AB34" i="26"/>
  <c r="AF34" i="26"/>
  <c r="AG34" i="26"/>
  <c r="R35" i="26"/>
  <c r="S35" i="26"/>
  <c r="T35" i="26"/>
  <c r="AA35" i="26"/>
  <c r="AB35" i="26"/>
  <c r="AF35" i="26"/>
  <c r="AG35" i="26"/>
  <c r="R36" i="26"/>
  <c r="S36" i="26"/>
  <c r="T36" i="26"/>
  <c r="AA36" i="26"/>
  <c r="AB36" i="26"/>
  <c r="AF36" i="26"/>
  <c r="AG36" i="26"/>
  <c r="R37" i="26"/>
  <c r="S37" i="26"/>
  <c r="T37" i="26"/>
  <c r="AA37" i="26"/>
  <c r="AB37" i="26"/>
  <c r="AF37" i="26"/>
  <c r="AG37" i="26"/>
  <c r="R38" i="26"/>
  <c r="S38" i="26"/>
  <c r="T38" i="26"/>
  <c r="AA38" i="26"/>
  <c r="AB38" i="26"/>
  <c r="AF38" i="26"/>
  <c r="AG38" i="26"/>
  <c r="R39" i="26"/>
  <c r="S39" i="26"/>
  <c r="T39" i="26"/>
  <c r="AA39" i="26"/>
  <c r="AB39" i="26"/>
  <c r="AF39" i="26"/>
  <c r="AG39" i="26"/>
  <c r="R40" i="26"/>
  <c r="S40" i="26"/>
  <c r="T40" i="26"/>
  <c r="AA40" i="26"/>
  <c r="AB40" i="26"/>
  <c r="AF40" i="26"/>
  <c r="AG40" i="26"/>
  <c r="R41" i="26"/>
  <c r="S41" i="26"/>
  <c r="T41" i="26"/>
  <c r="AA41" i="26"/>
  <c r="AB41" i="26"/>
  <c r="AF41" i="26"/>
  <c r="AG41" i="26"/>
  <c r="R42" i="26"/>
  <c r="S42" i="26"/>
  <c r="T42" i="26"/>
  <c r="AA42" i="26"/>
  <c r="AB42" i="26"/>
  <c r="AF42" i="26"/>
  <c r="AG42" i="26"/>
  <c r="R43" i="26"/>
  <c r="S43" i="26"/>
  <c r="T43" i="26"/>
  <c r="AA43" i="26"/>
  <c r="AB43" i="26"/>
  <c r="AF43" i="26"/>
  <c r="AG43" i="26"/>
  <c r="R44" i="26"/>
  <c r="S44" i="26"/>
  <c r="T44" i="26"/>
  <c r="AA44" i="26"/>
  <c r="AB44" i="26"/>
  <c r="AF44" i="26"/>
  <c r="AG44" i="26"/>
  <c r="R45" i="26"/>
  <c r="S45" i="26"/>
  <c r="T45" i="26"/>
  <c r="AA45" i="26"/>
  <c r="AB45" i="26"/>
  <c r="AF45" i="26"/>
  <c r="AG45" i="26"/>
  <c r="R46" i="26"/>
  <c r="S46" i="26"/>
  <c r="T46" i="26"/>
  <c r="AA46" i="26"/>
  <c r="AB46" i="26"/>
  <c r="AF46" i="26"/>
  <c r="AG46" i="26"/>
  <c r="R47" i="26"/>
  <c r="S47" i="26"/>
  <c r="T47" i="26"/>
  <c r="AA47" i="26"/>
  <c r="AB47" i="26"/>
  <c r="AF47" i="26"/>
  <c r="AG47" i="26"/>
  <c r="R48" i="26"/>
  <c r="S48" i="26"/>
  <c r="T48" i="26"/>
  <c r="AA48" i="26"/>
  <c r="AB48" i="26"/>
  <c r="AF48" i="26"/>
  <c r="AG48" i="26"/>
  <c r="R49" i="26"/>
  <c r="S49" i="26"/>
  <c r="T49" i="26"/>
  <c r="AA49" i="26"/>
  <c r="AB49" i="26"/>
  <c r="AF49" i="26"/>
  <c r="AG49" i="26"/>
  <c r="R50" i="26"/>
  <c r="S50" i="26"/>
  <c r="T50" i="26"/>
  <c r="AA50" i="26"/>
  <c r="AB50" i="26"/>
  <c r="AF50" i="26"/>
  <c r="AG50" i="26"/>
  <c r="R51" i="26"/>
  <c r="S51" i="26"/>
  <c r="T51" i="26"/>
  <c r="AA51" i="26"/>
  <c r="AB51" i="26"/>
  <c r="AF51" i="26"/>
  <c r="AG51" i="26"/>
  <c r="R52" i="26"/>
  <c r="S52" i="26"/>
  <c r="T52" i="26"/>
  <c r="AA52" i="26"/>
  <c r="AB52" i="26"/>
  <c r="AF52" i="26"/>
  <c r="AG52" i="26"/>
  <c r="R53" i="26"/>
  <c r="S53" i="26"/>
  <c r="T53" i="26"/>
  <c r="AA53" i="26"/>
  <c r="AB53" i="26"/>
  <c r="AF53" i="26"/>
  <c r="AG53" i="26"/>
  <c r="R54" i="26"/>
  <c r="S54" i="26"/>
  <c r="T54" i="26"/>
  <c r="AA54" i="26"/>
  <c r="AB54" i="26"/>
  <c r="AF54" i="26"/>
  <c r="AG54" i="26"/>
  <c r="R55" i="26"/>
  <c r="S55" i="26"/>
  <c r="T55" i="26"/>
  <c r="AA55" i="26"/>
  <c r="AB55" i="26"/>
  <c r="AF55" i="26"/>
  <c r="AG55" i="26"/>
  <c r="R56" i="26"/>
  <c r="S56" i="26"/>
  <c r="T56" i="26"/>
  <c r="AA56" i="26"/>
  <c r="AB56" i="26"/>
  <c r="AF56" i="26"/>
  <c r="AG56" i="26"/>
  <c r="R57" i="26"/>
  <c r="S57" i="26"/>
  <c r="T57" i="26"/>
  <c r="AA57" i="26"/>
  <c r="AB57" i="26"/>
  <c r="AF57" i="26"/>
  <c r="AG57" i="26"/>
  <c r="R58" i="26"/>
  <c r="S58" i="26"/>
  <c r="T58" i="26"/>
  <c r="AA58" i="26"/>
  <c r="AB58" i="26"/>
  <c r="AF58" i="26"/>
  <c r="AG58" i="26"/>
  <c r="R59" i="26"/>
  <c r="S59" i="26"/>
  <c r="T59" i="26"/>
  <c r="AA59" i="26"/>
  <c r="AB59" i="26"/>
  <c r="AF59" i="26"/>
  <c r="AG59" i="26"/>
  <c r="R60" i="26"/>
  <c r="S60" i="26"/>
  <c r="T60" i="26"/>
  <c r="AA60" i="26"/>
  <c r="AB60" i="26"/>
  <c r="AF60" i="26"/>
  <c r="AG60" i="26"/>
  <c r="R61" i="26"/>
  <c r="S61" i="26"/>
  <c r="T61" i="26"/>
  <c r="AA61" i="26"/>
  <c r="AB61" i="26"/>
  <c r="AF61" i="26"/>
  <c r="AG61" i="26"/>
  <c r="R62" i="26"/>
  <c r="S62" i="26"/>
  <c r="T62" i="26"/>
  <c r="AA62" i="26"/>
  <c r="AB62" i="26"/>
  <c r="AF62" i="26"/>
  <c r="AG62" i="26"/>
  <c r="R63" i="26"/>
  <c r="S63" i="26"/>
  <c r="T63" i="26"/>
  <c r="AA63" i="26"/>
  <c r="AB63" i="26"/>
  <c r="AF63" i="26"/>
  <c r="AG63" i="26"/>
  <c r="R64" i="26"/>
  <c r="S64" i="26"/>
  <c r="T64" i="26"/>
  <c r="AA64" i="26"/>
  <c r="AB64" i="26"/>
  <c r="AF64" i="26"/>
  <c r="AG64" i="26"/>
  <c r="R65" i="26"/>
  <c r="S65" i="26"/>
  <c r="T65" i="26"/>
  <c r="AA65" i="26"/>
  <c r="AB65" i="26"/>
  <c r="AF65" i="26"/>
  <c r="AG65" i="26"/>
  <c r="AS65" i="26"/>
  <c r="AS65" i="11"/>
  <c r="A39" i="30" l="1"/>
  <c r="B41" i="30"/>
  <c r="B42" i="30"/>
  <c r="A40" i="30"/>
  <c r="A40" i="29"/>
  <c r="B42" i="29"/>
  <c r="A39" i="29"/>
  <c r="B41" i="29"/>
  <c r="A33" i="28"/>
  <c r="B35" i="28"/>
  <c r="B40" i="28"/>
  <c r="A38" i="28"/>
  <c r="AS61" i="14"/>
  <c r="A42" i="30" l="1"/>
  <c r="B44" i="30"/>
  <c r="A41" i="30"/>
  <c r="B43" i="30"/>
  <c r="A41" i="29"/>
  <c r="B43" i="29"/>
  <c r="B44" i="29"/>
  <c r="A42" i="29"/>
  <c r="B42" i="28"/>
  <c r="A40" i="28"/>
  <c r="A35" i="28"/>
  <c r="B37" i="28"/>
  <c r="A43" i="30" l="1"/>
  <c r="B45" i="30"/>
  <c r="B46" i="30"/>
  <c r="A44" i="30"/>
  <c r="A44" i="29"/>
  <c r="B46" i="29"/>
  <c r="A43" i="29"/>
  <c r="B45" i="29"/>
  <c r="B44" i="28"/>
  <c r="A42" i="28"/>
  <c r="A37" i="28"/>
  <c r="B39" i="28"/>
  <c r="A46" i="30" l="1"/>
  <c r="B48" i="30"/>
  <c r="A45" i="30"/>
  <c r="B47" i="30"/>
  <c r="B48" i="29"/>
  <c r="A46" i="29"/>
  <c r="A45" i="29"/>
  <c r="B47" i="29"/>
  <c r="B46" i="28"/>
  <c r="A44" i="28"/>
  <c r="A39" i="28"/>
  <c r="B41" i="28"/>
  <c r="AS47" i="26"/>
  <c r="B50" i="30" l="1"/>
  <c r="A48" i="30"/>
  <c r="A47" i="30"/>
  <c r="B49" i="30"/>
  <c r="A47" i="29"/>
  <c r="B49" i="29"/>
  <c r="A48" i="29"/>
  <c r="B50" i="29"/>
  <c r="A41" i="28"/>
  <c r="B43" i="28"/>
  <c r="B48" i="28"/>
  <c r="A46" i="28"/>
  <c r="J66" i="26"/>
  <c r="G27" i="1" s="1"/>
  <c r="AR65" i="26"/>
  <c r="AL65" i="26"/>
  <c r="AK65" i="26"/>
  <c r="AM65" i="26"/>
  <c r="H65" i="26"/>
  <c r="G65" i="26"/>
  <c r="AR64" i="26"/>
  <c r="AL64" i="26"/>
  <c r="AK64" i="26"/>
  <c r="AM64" i="26"/>
  <c r="H64" i="26"/>
  <c r="G64" i="26"/>
  <c r="AR63" i="26"/>
  <c r="AL63" i="26"/>
  <c r="AK63" i="26"/>
  <c r="AM63" i="26"/>
  <c r="H63" i="26"/>
  <c r="G63" i="26"/>
  <c r="AR62" i="26"/>
  <c r="AM62" i="26"/>
  <c r="AL62" i="26"/>
  <c r="AK62" i="26"/>
  <c r="H62" i="26"/>
  <c r="G62" i="26"/>
  <c r="AS61" i="26"/>
  <c r="AR61" i="26"/>
  <c r="AL61" i="26"/>
  <c r="AK61" i="26"/>
  <c r="AM61" i="26"/>
  <c r="H61" i="26"/>
  <c r="G61" i="26"/>
  <c r="AR60" i="26"/>
  <c r="AL60" i="26"/>
  <c r="AK60" i="26"/>
  <c r="AM60" i="26"/>
  <c r="H60" i="26"/>
  <c r="G60" i="26"/>
  <c r="AR59" i="26"/>
  <c r="AL59" i="26"/>
  <c r="AK59" i="26"/>
  <c r="AM59" i="26"/>
  <c r="H59" i="26"/>
  <c r="G59" i="26"/>
  <c r="AR58" i="26"/>
  <c r="AL58" i="26"/>
  <c r="AK58" i="26"/>
  <c r="AM58" i="26"/>
  <c r="H58" i="26"/>
  <c r="G58" i="26"/>
  <c r="AR57" i="26"/>
  <c r="AL57" i="26"/>
  <c r="AK57" i="26"/>
  <c r="AM57" i="26"/>
  <c r="H57" i="26"/>
  <c r="G57" i="26"/>
  <c r="AR56" i="26"/>
  <c r="AL56" i="26"/>
  <c r="AK56" i="26"/>
  <c r="AM56" i="26"/>
  <c r="H56" i="26"/>
  <c r="G56" i="26"/>
  <c r="AR55" i="26"/>
  <c r="AL55" i="26"/>
  <c r="AK55" i="26"/>
  <c r="AM55" i="26"/>
  <c r="H55" i="26"/>
  <c r="G55" i="26"/>
  <c r="AR54" i="26"/>
  <c r="AL54" i="26"/>
  <c r="AK54" i="26"/>
  <c r="AM54" i="26"/>
  <c r="H54" i="26"/>
  <c r="G54" i="26"/>
  <c r="AS53" i="26"/>
  <c r="AR53" i="26"/>
  <c r="AL53" i="26"/>
  <c r="AK53" i="26"/>
  <c r="AM53" i="26"/>
  <c r="H53" i="26"/>
  <c r="G53" i="26"/>
  <c r="AR52" i="26"/>
  <c r="AL52" i="26"/>
  <c r="AK52" i="26"/>
  <c r="AM52" i="26"/>
  <c r="H52" i="26"/>
  <c r="G52" i="26"/>
  <c r="AR51" i="26"/>
  <c r="AL51" i="26"/>
  <c r="AK51" i="26"/>
  <c r="AM51" i="26"/>
  <c r="H51" i="26"/>
  <c r="G51" i="26"/>
  <c r="AR50" i="26"/>
  <c r="AL50" i="26"/>
  <c r="AK50" i="26"/>
  <c r="AM50" i="26"/>
  <c r="H50" i="26"/>
  <c r="G50" i="26"/>
  <c r="AS49" i="26"/>
  <c r="AR49" i="26"/>
  <c r="AL49" i="26"/>
  <c r="AK49" i="26"/>
  <c r="AM49" i="26"/>
  <c r="H49" i="26"/>
  <c r="G49" i="26"/>
  <c r="AR48" i="26"/>
  <c r="AL48" i="26"/>
  <c r="AK48" i="26"/>
  <c r="AM48" i="26"/>
  <c r="H48" i="26"/>
  <c r="G48" i="26"/>
  <c r="AR47" i="26"/>
  <c r="AL47" i="26"/>
  <c r="AK47" i="26"/>
  <c r="AM47" i="26"/>
  <c r="H47" i="26"/>
  <c r="G47" i="26"/>
  <c r="AR46" i="26"/>
  <c r="AL46" i="26"/>
  <c r="AK46" i="26"/>
  <c r="AM46" i="26"/>
  <c r="H46" i="26"/>
  <c r="G46" i="26"/>
  <c r="AR45" i="26"/>
  <c r="AL45" i="26"/>
  <c r="AK45" i="26"/>
  <c r="AM45" i="26"/>
  <c r="H45" i="26"/>
  <c r="G45" i="26"/>
  <c r="AR44" i="26"/>
  <c r="AL44" i="26"/>
  <c r="AK44" i="26"/>
  <c r="AM44" i="26"/>
  <c r="H44" i="26"/>
  <c r="G44" i="26"/>
  <c r="AR43" i="26"/>
  <c r="AL43" i="26"/>
  <c r="AK43" i="26"/>
  <c r="AM43" i="26"/>
  <c r="H43" i="26"/>
  <c r="G43" i="26"/>
  <c r="AR42" i="26"/>
  <c r="AL42" i="26"/>
  <c r="AK42" i="26"/>
  <c r="AM42" i="26"/>
  <c r="H42" i="26"/>
  <c r="G42" i="26"/>
  <c r="AR41" i="26"/>
  <c r="AL41" i="26"/>
  <c r="AK41" i="26"/>
  <c r="AM41" i="26"/>
  <c r="H41" i="26"/>
  <c r="G41" i="26"/>
  <c r="AR40" i="26"/>
  <c r="AL40" i="26"/>
  <c r="AK40" i="26"/>
  <c r="AM40" i="26"/>
  <c r="H40" i="26"/>
  <c r="G40" i="26"/>
  <c r="AS39" i="26"/>
  <c r="AR39" i="26"/>
  <c r="AL39" i="26"/>
  <c r="AK39" i="26"/>
  <c r="AM39" i="26"/>
  <c r="H39" i="26"/>
  <c r="G39" i="26"/>
  <c r="AR38" i="26"/>
  <c r="AL38" i="26"/>
  <c r="AK38" i="26"/>
  <c r="AM38" i="26"/>
  <c r="H38" i="26"/>
  <c r="G38" i="26"/>
  <c r="AR37" i="26"/>
  <c r="AM37" i="26"/>
  <c r="AL37" i="26"/>
  <c r="AK37" i="26"/>
  <c r="H37" i="26"/>
  <c r="G37" i="26"/>
  <c r="AR36" i="26"/>
  <c r="AL36" i="26"/>
  <c r="AK36" i="26"/>
  <c r="AM36" i="26"/>
  <c r="H36" i="26"/>
  <c r="G36" i="26"/>
  <c r="AR35" i="26"/>
  <c r="AL35" i="26"/>
  <c r="AK35" i="26"/>
  <c r="AM35" i="26"/>
  <c r="H35" i="26"/>
  <c r="G35" i="26"/>
  <c r="AR34" i="26"/>
  <c r="AL34" i="26"/>
  <c r="AK34" i="26"/>
  <c r="AM34" i="26"/>
  <c r="H34" i="26"/>
  <c r="G34" i="26"/>
  <c r="AS33" i="26"/>
  <c r="AR33" i="26"/>
  <c r="AL33" i="26"/>
  <c r="AK33" i="26"/>
  <c r="AM33" i="26"/>
  <c r="H33" i="26"/>
  <c r="G33" i="26"/>
  <c r="AR32" i="26"/>
  <c r="AL32" i="26"/>
  <c r="AK32" i="26"/>
  <c r="AM32" i="26"/>
  <c r="H32" i="26"/>
  <c r="G32" i="26"/>
  <c r="AR31" i="26"/>
  <c r="AM31" i="26"/>
  <c r="AL31" i="26"/>
  <c r="AK31" i="26"/>
  <c r="H31" i="26"/>
  <c r="G31" i="26"/>
  <c r="AR30" i="26"/>
  <c r="AL30" i="26"/>
  <c r="AK30" i="26"/>
  <c r="AM30" i="26"/>
  <c r="H30" i="26"/>
  <c r="G30" i="26"/>
  <c r="AR29" i="26"/>
  <c r="AM29" i="26"/>
  <c r="AL29" i="26"/>
  <c r="AK29" i="26"/>
  <c r="H29" i="26"/>
  <c r="G29" i="26"/>
  <c r="AR28" i="26"/>
  <c r="AL28" i="26"/>
  <c r="AK28" i="26"/>
  <c r="AM28" i="26"/>
  <c r="H28" i="26"/>
  <c r="G28" i="26"/>
  <c r="AR27" i="26"/>
  <c r="AL27" i="26"/>
  <c r="AK27" i="26"/>
  <c r="AM27" i="26"/>
  <c r="H27" i="26"/>
  <c r="G27" i="26"/>
  <c r="AR26" i="26"/>
  <c r="AL26" i="26"/>
  <c r="AK26" i="26"/>
  <c r="AM26" i="26"/>
  <c r="H26" i="26"/>
  <c r="G26" i="26"/>
  <c r="AR25" i="26"/>
  <c r="AL25" i="26"/>
  <c r="AK25" i="26"/>
  <c r="AM25" i="26"/>
  <c r="H25" i="26"/>
  <c r="G25" i="26"/>
  <c r="AR24" i="26"/>
  <c r="AL24" i="26"/>
  <c r="AK24" i="26"/>
  <c r="AM24" i="26"/>
  <c r="H24" i="26"/>
  <c r="G24" i="26"/>
  <c r="AR23" i="26"/>
  <c r="AL23" i="26"/>
  <c r="AK23" i="26"/>
  <c r="AM23" i="26"/>
  <c r="H23" i="26"/>
  <c r="G23" i="26"/>
  <c r="AR22" i="26"/>
  <c r="AL22" i="26"/>
  <c r="AK22" i="26"/>
  <c r="AM22" i="26"/>
  <c r="H22" i="26"/>
  <c r="G22" i="26"/>
  <c r="AR21" i="26"/>
  <c r="AL21" i="26"/>
  <c r="AK21" i="26"/>
  <c r="AM21" i="26"/>
  <c r="H21" i="26"/>
  <c r="G21" i="26"/>
  <c r="AR20" i="26"/>
  <c r="AM20" i="26"/>
  <c r="AL20" i="26"/>
  <c r="AK20" i="26"/>
  <c r="H20" i="26"/>
  <c r="G20" i="26"/>
  <c r="AS19" i="26"/>
  <c r="AR19" i="26"/>
  <c r="AL19" i="26"/>
  <c r="AK19" i="26"/>
  <c r="AM19" i="26"/>
  <c r="H19" i="26"/>
  <c r="G19" i="26"/>
  <c r="AR18" i="26"/>
  <c r="AL18" i="26"/>
  <c r="AK18" i="26"/>
  <c r="AM18" i="26"/>
  <c r="H18" i="26"/>
  <c r="G18" i="26"/>
  <c r="AR17" i="26"/>
  <c r="AL17" i="26"/>
  <c r="AK17" i="26"/>
  <c r="AM17" i="26"/>
  <c r="H17" i="26"/>
  <c r="G17" i="26"/>
  <c r="AR16" i="26"/>
  <c r="AL16" i="26"/>
  <c r="AK16" i="26"/>
  <c r="AM16" i="26"/>
  <c r="H16" i="26"/>
  <c r="G16" i="26"/>
  <c r="AR15" i="26"/>
  <c r="AM15" i="26"/>
  <c r="AL15" i="26"/>
  <c r="AK15" i="26"/>
  <c r="H15" i="26"/>
  <c r="G15" i="26"/>
  <c r="AR14" i="26"/>
  <c r="AM14" i="26"/>
  <c r="AL14" i="26"/>
  <c r="AK14" i="26"/>
  <c r="H14" i="26"/>
  <c r="G14" i="26"/>
  <c r="AR13" i="26"/>
  <c r="AL13" i="26"/>
  <c r="AK13" i="26"/>
  <c r="AM13" i="26"/>
  <c r="H13" i="26"/>
  <c r="G13" i="26"/>
  <c r="AR12" i="26"/>
  <c r="AL12" i="26"/>
  <c r="AK12" i="26"/>
  <c r="AM12" i="26"/>
  <c r="H12" i="26"/>
  <c r="G12" i="26"/>
  <c r="AR11" i="26"/>
  <c r="AL11" i="26"/>
  <c r="AK11" i="26"/>
  <c r="AM11" i="26"/>
  <c r="H11" i="26"/>
  <c r="G11" i="26"/>
  <c r="AR10" i="26"/>
  <c r="AL10" i="26"/>
  <c r="AK10" i="26"/>
  <c r="AM10" i="26"/>
  <c r="H10" i="26"/>
  <c r="G10" i="26"/>
  <c r="AR9" i="26"/>
  <c r="AL9" i="26"/>
  <c r="AK9" i="26"/>
  <c r="AM9" i="26"/>
  <c r="H9" i="26"/>
  <c r="G9" i="26"/>
  <c r="AR8" i="26"/>
  <c r="AL8" i="26"/>
  <c r="AK8" i="26"/>
  <c r="AM8" i="26"/>
  <c r="H8" i="26"/>
  <c r="G8" i="26"/>
  <c r="AR7" i="26"/>
  <c r="AL7" i="26"/>
  <c r="AK7" i="26"/>
  <c r="AM7" i="26"/>
  <c r="H7" i="26"/>
  <c r="G7" i="26"/>
  <c r="AR6" i="26"/>
  <c r="AM6" i="26"/>
  <c r="AL6" i="26"/>
  <c r="AK6" i="26"/>
  <c r="H6" i="26"/>
  <c r="G6" i="26"/>
  <c r="B6" i="26"/>
  <c r="B8" i="26" s="1"/>
  <c r="A8" i="26" s="1"/>
  <c r="AR5" i="26"/>
  <c r="AL5" i="26"/>
  <c r="AK5" i="26"/>
  <c r="AM5" i="26"/>
  <c r="H5" i="26"/>
  <c r="G5" i="26"/>
  <c r="B5" i="26"/>
  <c r="A5" i="26" s="1"/>
  <c r="AR4" i="26"/>
  <c r="AL4" i="26"/>
  <c r="AK4" i="26"/>
  <c r="AG4" i="26"/>
  <c r="AF4" i="26"/>
  <c r="AB4" i="26"/>
  <c r="AA4" i="26"/>
  <c r="T4" i="26"/>
  <c r="S4" i="26"/>
  <c r="R4" i="26"/>
  <c r="AM4" i="26" s="1"/>
  <c r="H4" i="26"/>
  <c r="G4" i="26"/>
  <c r="A4" i="26"/>
  <c r="AP1" i="26"/>
  <c r="J66" i="27"/>
  <c r="G23" i="1" s="1"/>
  <c r="AL65" i="27"/>
  <c r="AK65" i="27"/>
  <c r="AG65" i="27"/>
  <c r="AF65" i="27"/>
  <c r="AB65" i="27"/>
  <c r="AA65" i="27"/>
  <c r="T65" i="27"/>
  <c r="S65" i="27"/>
  <c r="R65" i="27"/>
  <c r="AM65" i="27" s="1"/>
  <c r="H65" i="27"/>
  <c r="G65" i="27"/>
  <c r="AL64" i="27"/>
  <c r="AK64" i="27"/>
  <c r="AG64" i="27"/>
  <c r="AF64" i="27"/>
  <c r="AB64" i="27"/>
  <c r="AA64" i="27"/>
  <c r="T64" i="27"/>
  <c r="S64" i="27"/>
  <c r="R64" i="27"/>
  <c r="AM64" i="27" s="1"/>
  <c r="H64" i="27"/>
  <c r="G64" i="27"/>
  <c r="AR63" i="27"/>
  <c r="AL63" i="27"/>
  <c r="AK63" i="27"/>
  <c r="AG63" i="27"/>
  <c r="AF63" i="27"/>
  <c r="AB63" i="27"/>
  <c r="AA63" i="27"/>
  <c r="T63" i="27"/>
  <c r="S63" i="27"/>
  <c r="R63" i="27"/>
  <c r="AM63" i="27" s="1"/>
  <c r="H63" i="27"/>
  <c r="G63" i="27"/>
  <c r="AR62" i="27"/>
  <c r="AL62" i="27"/>
  <c r="AK62" i="27"/>
  <c r="AG62" i="27"/>
  <c r="AF62" i="27"/>
  <c r="AB62" i="27"/>
  <c r="AA62" i="27"/>
  <c r="T62" i="27"/>
  <c r="S62" i="27"/>
  <c r="R62" i="27"/>
  <c r="AM62" i="27" s="1"/>
  <c r="H62" i="27"/>
  <c r="G62" i="27"/>
  <c r="AS61" i="27"/>
  <c r="AR61" i="27"/>
  <c r="AL61" i="27"/>
  <c r="AK61" i="27"/>
  <c r="AG61" i="27"/>
  <c r="AF61" i="27"/>
  <c r="AB61" i="27"/>
  <c r="AA61" i="27"/>
  <c r="T61" i="27"/>
  <c r="S61" i="27"/>
  <c r="R61" i="27"/>
  <c r="AM61" i="27" s="1"/>
  <c r="H61" i="27"/>
  <c r="G61" i="27"/>
  <c r="AR60" i="27"/>
  <c r="AL60" i="27"/>
  <c r="AK60" i="27"/>
  <c r="AG60" i="27"/>
  <c r="AF60" i="27"/>
  <c r="AB60" i="27"/>
  <c r="AA60" i="27"/>
  <c r="T60" i="27"/>
  <c r="S60" i="27"/>
  <c r="R60" i="27"/>
  <c r="AM60" i="27" s="1"/>
  <c r="H60" i="27"/>
  <c r="G60" i="27"/>
  <c r="AR59" i="27"/>
  <c r="AL59" i="27"/>
  <c r="AK59" i="27"/>
  <c r="AG59" i="27"/>
  <c r="AF59" i="27"/>
  <c r="AB59" i="27"/>
  <c r="AA59" i="27"/>
  <c r="T59" i="27"/>
  <c r="S59" i="27"/>
  <c r="R59" i="27"/>
  <c r="AM59" i="27" s="1"/>
  <c r="H59" i="27"/>
  <c r="G59" i="27"/>
  <c r="AR58" i="27"/>
  <c r="AL58" i="27"/>
  <c r="AK58" i="27"/>
  <c r="AG58" i="27"/>
  <c r="AF58" i="27"/>
  <c r="AB58" i="27"/>
  <c r="AA58" i="27"/>
  <c r="T58" i="27"/>
  <c r="S58" i="27"/>
  <c r="R58" i="27"/>
  <c r="AM58" i="27" s="1"/>
  <c r="H58" i="27"/>
  <c r="G58" i="27"/>
  <c r="AR57" i="27"/>
  <c r="AL57" i="27"/>
  <c r="AK57" i="27"/>
  <c r="AG57" i="27"/>
  <c r="AF57" i="27"/>
  <c r="AB57" i="27"/>
  <c r="AA57" i="27"/>
  <c r="T57" i="27"/>
  <c r="S57" i="27"/>
  <c r="R57" i="27"/>
  <c r="AM57" i="27" s="1"/>
  <c r="H57" i="27"/>
  <c r="G57" i="27"/>
  <c r="AR56" i="27"/>
  <c r="AL56" i="27"/>
  <c r="AK56" i="27"/>
  <c r="AG56" i="27"/>
  <c r="AF56" i="27"/>
  <c r="AB56" i="27"/>
  <c r="AA56" i="27"/>
  <c r="T56" i="27"/>
  <c r="S56" i="27"/>
  <c r="R56" i="27"/>
  <c r="AM56" i="27" s="1"/>
  <c r="H56" i="27"/>
  <c r="G56" i="27"/>
  <c r="AS55" i="27"/>
  <c r="AR55" i="27"/>
  <c r="AL55" i="27"/>
  <c r="AK55" i="27"/>
  <c r="AG55" i="27"/>
  <c r="AF55" i="27"/>
  <c r="AB55" i="27"/>
  <c r="AA55" i="27"/>
  <c r="T55" i="27"/>
  <c r="S55" i="27"/>
  <c r="R55" i="27"/>
  <c r="AM55" i="27" s="1"/>
  <c r="H55" i="27"/>
  <c r="G55" i="27"/>
  <c r="AR54" i="27"/>
  <c r="AL54" i="27"/>
  <c r="AK54" i="27"/>
  <c r="AG54" i="27"/>
  <c r="AF54" i="27"/>
  <c r="AB54" i="27"/>
  <c r="AA54" i="27"/>
  <c r="T54" i="27"/>
  <c r="S54" i="27"/>
  <c r="R54" i="27"/>
  <c r="AM54" i="27" s="1"/>
  <c r="H54" i="27"/>
  <c r="G54" i="27"/>
  <c r="AS53" i="27"/>
  <c r="AR53" i="27"/>
  <c r="AL53" i="27"/>
  <c r="AK53" i="27"/>
  <c r="AG53" i="27"/>
  <c r="AF53" i="27"/>
  <c r="AB53" i="27"/>
  <c r="AA53" i="27"/>
  <c r="T53" i="27"/>
  <c r="S53" i="27"/>
  <c r="R53" i="27"/>
  <c r="AM53" i="27" s="1"/>
  <c r="H53" i="27"/>
  <c r="G53" i="27"/>
  <c r="AR52" i="27"/>
  <c r="AL52" i="27"/>
  <c r="AK52" i="27"/>
  <c r="AG52" i="27"/>
  <c r="AF52" i="27"/>
  <c r="AB52" i="27"/>
  <c r="AA52" i="27"/>
  <c r="T52" i="27"/>
  <c r="S52" i="27"/>
  <c r="R52" i="27"/>
  <c r="AM52" i="27" s="1"/>
  <c r="H52" i="27"/>
  <c r="G52" i="27"/>
  <c r="AR51" i="27"/>
  <c r="AL51" i="27"/>
  <c r="AK51" i="27"/>
  <c r="AG51" i="27"/>
  <c r="AF51" i="27"/>
  <c r="AB51" i="27"/>
  <c r="AA51" i="27"/>
  <c r="T51" i="27"/>
  <c r="S51" i="27"/>
  <c r="R51" i="27"/>
  <c r="AM51" i="27" s="1"/>
  <c r="H51" i="27"/>
  <c r="G51" i="27"/>
  <c r="AR50" i="27"/>
  <c r="AL50" i="27"/>
  <c r="AK50" i="27"/>
  <c r="AG50" i="27"/>
  <c r="AF50" i="27"/>
  <c r="AB50" i="27"/>
  <c r="AA50" i="27"/>
  <c r="T50" i="27"/>
  <c r="S50" i="27"/>
  <c r="R50" i="27"/>
  <c r="AM50" i="27" s="1"/>
  <c r="H50" i="27"/>
  <c r="G50" i="27"/>
  <c r="AR49" i="27"/>
  <c r="AL49" i="27"/>
  <c r="AK49" i="27"/>
  <c r="AG49" i="27"/>
  <c r="AF49" i="27"/>
  <c r="AB49" i="27"/>
  <c r="AA49" i="27"/>
  <c r="T49" i="27"/>
  <c r="S49" i="27"/>
  <c r="R49" i="27"/>
  <c r="AM49" i="27" s="1"/>
  <c r="H49" i="27"/>
  <c r="G49" i="27"/>
  <c r="AR48" i="27"/>
  <c r="AL48" i="27"/>
  <c r="AK48" i="27"/>
  <c r="AG48" i="27"/>
  <c r="AF48" i="27"/>
  <c r="AB48" i="27"/>
  <c r="AA48" i="27"/>
  <c r="T48" i="27"/>
  <c r="S48" i="27"/>
  <c r="R48" i="27"/>
  <c r="AM48" i="27" s="1"/>
  <c r="H48" i="27"/>
  <c r="G48" i="27"/>
  <c r="AR47" i="27"/>
  <c r="AL47" i="27"/>
  <c r="AK47" i="27"/>
  <c r="AG47" i="27"/>
  <c r="AF47" i="27"/>
  <c r="AB47" i="27"/>
  <c r="AA47" i="27"/>
  <c r="T47" i="27"/>
  <c r="S47" i="27"/>
  <c r="R47" i="27"/>
  <c r="AM47" i="27" s="1"/>
  <c r="H47" i="27"/>
  <c r="G47" i="27"/>
  <c r="AR46" i="27"/>
  <c r="AL46" i="27"/>
  <c r="AK46" i="27"/>
  <c r="AG46" i="27"/>
  <c r="AF46" i="27"/>
  <c r="AB46" i="27"/>
  <c r="AA46" i="27"/>
  <c r="T46" i="27"/>
  <c r="S46" i="27"/>
  <c r="R46" i="27"/>
  <c r="AM46" i="27" s="1"/>
  <c r="H46" i="27"/>
  <c r="G46" i="27"/>
  <c r="AR45" i="27"/>
  <c r="AL45" i="27"/>
  <c r="AK45" i="27"/>
  <c r="AG45" i="27"/>
  <c r="AF45" i="27"/>
  <c r="AB45" i="27"/>
  <c r="AA45" i="27"/>
  <c r="T45" i="27"/>
  <c r="S45" i="27"/>
  <c r="R45" i="27"/>
  <c r="AM45" i="27" s="1"/>
  <c r="H45" i="27"/>
  <c r="G45" i="27"/>
  <c r="AR44" i="27"/>
  <c r="AL44" i="27"/>
  <c r="AK44" i="27"/>
  <c r="AG44" i="27"/>
  <c r="AF44" i="27"/>
  <c r="AB44" i="27"/>
  <c r="AA44" i="27"/>
  <c r="T44" i="27"/>
  <c r="S44" i="27"/>
  <c r="R44" i="27"/>
  <c r="AM44" i="27" s="1"/>
  <c r="H44" i="27"/>
  <c r="G44" i="27"/>
  <c r="AR43" i="27"/>
  <c r="AL43" i="27"/>
  <c r="AK43" i="27"/>
  <c r="AG43" i="27"/>
  <c r="AF43" i="27"/>
  <c r="AB43" i="27"/>
  <c r="AA43" i="27"/>
  <c r="T43" i="27"/>
  <c r="S43" i="27"/>
  <c r="R43" i="27"/>
  <c r="AM43" i="27" s="1"/>
  <c r="H43" i="27"/>
  <c r="G43" i="27"/>
  <c r="AR42" i="27"/>
  <c r="AL42" i="27"/>
  <c r="AK42" i="27"/>
  <c r="AG42" i="27"/>
  <c r="AF42" i="27"/>
  <c r="AB42" i="27"/>
  <c r="AA42" i="27"/>
  <c r="T42" i="27"/>
  <c r="S42" i="27"/>
  <c r="R42" i="27"/>
  <c r="AM42" i="27" s="1"/>
  <c r="H42" i="27"/>
  <c r="G42" i="27"/>
  <c r="AS41" i="27"/>
  <c r="AR41" i="27"/>
  <c r="AL41" i="27"/>
  <c r="AK41" i="27"/>
  <c r="AG41" i="27"/>
  <c r="AF41" i="27"/>
  <c r="AB41" i="27"/>
  <c r="AA41" i="27"/>
  <c r="T41" i="27"/>
  <c r="S41" i="27"/>
  <c r="R41" i="27"/>
  <c r="AM41" i="27" s="1"/>
  <c r="H41" i="27"/>
  <c r="G41" i="27"/>
  <c r="AR40" i="27"/>
  <c r="AL40" i="27"/>
  <c r="AK40" i="27"/>
  <c r="AG40" i="27"/>
  <c r="AF40" i="27"/>
  <c r="AB40" i="27"/>
  <c r="AA40" i="27"/>
  <c r="T40" i="27"/>
  <c r="S40" i="27"/>
  <c r="R40" i="27"/>
  <c r="AM40" i="27" s="1"/>
  <c r="H40" i="27"/>
  <c r="G40" i="27"/>
  <c r="AS39" i="27"/>
  <c r="AR39" i="27"/>
  <c r="AL39" i="27"/>
  <c r="AK39" i="27"/>
  <c r="AG39" i="27"/>
  <c r="AF39" i="27"/>
  <c r="AB39" i="27"/>
  <c r="AA39" i="27"/>
  <c r="T39" i="27"/>
  <c r="S39" i="27"/>
  <c r="R39" i="27"/>
  <c r="AM39" i="27" s="1"/>
  <c r="H39" i="27"/>
  <c r="G39" i="27"/>
  <c r="AR38" i="27"/>
  <c r="AL38" i="27"/>
  <c r="AK38" i="27"/>
  <c r="AG38" i="27"/>
  <c r="AF38" i="27"/>
  <c r="AB38" i="27"/>
  <c r="AA38" i="27"/>
  <c r="T38" i="27"/>
  <c r="S38" i="27"/>
  <c r="R38" i="27"/>
  <c r="AM38" i="27" s="1"/>
  <c r="H38" i="27"/>
  <c r="G38" i="27"/>
  <c r="AR37" i="27"/>
  <c r="AL37" i="27"/>
  <c r="AK37" i="27"/>
  <c r="AG37" i="27"/>
  <c r="AF37" i="27"/>
  <c r="AB37" i="27"/>
  <c r="AA37" i="27"/>
  <c r="T37" i="27"/>
  <c r="S37" i="27"/>
  <c r="R37" i="27"/>
  <c r="AM37" i="27" s="1"/>
  <c r="H37" i="27"/>
  <c r="G37" i="27"/>
  <c r="AR36" i="27"/>
  <c r="AL36" i="27"/>
  <c r="AK36" i="27"/>
  <c r="AG36" i="27"/>
  <c r="AF36" i="27"/>
  <c r="AB36" i="27"/>
  <c r="AA36" i="27"/>
  <c r="T36" i="27"/>
  <c r="S36" i="27"/>
  <c r="R36" i="27"/>
  <c r="AM36" i="27" s="1"/>
  <c r="H36" i="27"/>
  <c r="G36" i="27"/>
  <c r="AR35" i="27"/>
  <c r="AL35" i="27"/>
  <c r="AK35" i="27"/>
  <c r="AG35" i="27"/>
  <c r="AF35" i="27"/>
  <c r="AB35" i="27"/>
  <c r="AA35" i="27"/>
  <c r="T35" i="27"/>
  <c r="S35" i="27"/>
  <c r="R35" i="27"/>
  <c r="AM35" i="27" s="1"/>
  <c r="H35" i="27"/>
  <c r="G35" i="27"/>
  <c r="AR34" i="27"/>
  <c r="AL34" i="27"/>
  <c r="AK34" i="27"/>
  <c r="AG34" i="27"/>
  <c r="AF34" i="27"/>
  <c r="AB34" i="27"/>
  <c r="AA34" i="27"/>
  <c r="T34" i="27"/>
  <c r="S34" i="27"/>
  <c r="R34" i="27"/>
  <c r="AM34" i="27" s="1"/>
  <c r="H34" i="27"/>
  <c r="G34" i="27"/>
  <c r="AR33" i="27"/>
  <c r="AL33" i="27"/>
  <c r="AK33" i="27"/>
  <c r="AG33" i="27"/>
  <c r="AF33" i="27"/>
  <c r="AB33" i="27"/>
  <c r="AA33" i="27"/>
  <c r="T33" i="27"/>
  <c r="S33" i="27"/>
  <c r="R33" i="27"/>
  <c r="AM33" i="27" s="1"/>
  <c r="H33" i="27"/>
  <c r="G33" i="27"/>
  <c r="AR32" i="27"/>
  <c r="AL32" i="27"/>
  <c r="AK32" i="27"/>
  <c r="AG32" i="27"/>
  <c r="AF32" i="27"/>
  <c r="AB32" i="27"/>
  <c r="AA32" i="27"/>
  <c r="T32" i="27"/>
  <c r="S32" i="27"/>
  <c r="R32" i="27"/>
  <c r="AM32" i="27" s="1"/>
  <c r="H32" i="27"/>
  <c r="G32" i="27"/>
  <c r="AR31" i="27"/>
  <c r="AL31" i="27"/>
  <c r="AK31" i="27"/>
  <c r="AG31" i="27"/>
  <c r="AF31" i="27"/>
  <c r="AB31" i="27"/>
  <c r="AA31" i="27"/>
  <c r="T31" i="27"/>
  <c r="S31" i="27"/>
  <c r="R31" i="27"/>
  <c r="AM31" i="27" s="1"/>
  <c r="H31" i="27"/>
  <c r="G31" i="27"/>
  <c r="AR30" i="27"/>
  <c r="AL30" i="27"/>
  <c r="AK30" i="27"/>
  <c r="AG30" i="27"/>
  <c r="AF30" i="27"/>
  <c r="AB30" i="27"/>
  <c r="AA30" i="27"/>
  <c r="T30" i="27"/>
  <c r="S30" i="27"/>
  <c r="R30" i="27"/>
  <c r="AM30" i="27" s="1"/>
  <c r="H30" i="27"/>
  <c r="G30" i="27"/>
  <c r="AR29" i="27"/>
  <c r="AL29" i="27"/>
  <c r="AK29" i="27"/>
  <c r="AG29" i="27"/>
  <c r="AF29" i="27"/>
  <c r="AB29" i="27"/>
  <c r="AA29" i="27"/>
  <c r="T29" i="27"/>
  <c r="S29" i="27"/>
  <c r="R29" i="27"/>
  <c r="AM29" i="27" s="1"/>
  <c r="H29" i="27"/>
  <c r="G29" i="27"/>
  <c r="AR28" i="27"/>
  <c r="AL28" i="27"/>
  <c r="AK28" i="27"/>
  <c r="AG28" i="27"/>
  <c r="AF28" i="27"/>
  <c r="AB28" i="27"/>
  <c r="AA28" i="27"/>
  <c r="T28" i="27"/>
  <c r="S28" i="27"/>
  <c r="R28" i="27"/>
  <c r="AM28" i="27" s="1"/>
  <c r="H28" i="27"/>
  <c r="G28" i="27"/>
  <c r="AR27" i="27"/>
  <c r="AL27" i="27"/>
  <c r="AK27" i="27"/>
  <c r="AG27" i="27"/>
  <c r="AF27" i="27"/>
  <c r="AB27" i="27"/>
  <c r="AA27" i="27"/>
  <c r="T27" i="27"/>
  <c r="S27" i="27"/>
  <c r="R27" i="27"/>
  <c r="AM27" i="27" s="1"/>
  <c r="G27" i="27"/>
  <c r="AR26" i="27"/>
  <c r="AL26" i="27"/>
  <c r="AK26" i="27"/>
  <c r="AG26" i="27"/>
  <c r="AF26" i="27"/>
  <c r="AB26" i="27"/>
  <c r="AA26" i="27"/>
  <c r="T26" i="27"/>
  <c r="S26" i="27"/>
  <c r="R26" i="27"/>
  <c r="AM26" i="27" s="1"/>
  <c r="G26" i="27"/>
  <c r="AR25" i="27"/>
  <c r="AL25" i="27"/>
  <c r="AK25" i="27"/>
  <c r="AG25" i="27"/>
  <c r="AF25" i="27"/>
  <c r="AB25" i="27"/>
  <c r="AA25" i="27"/>
  <c r="T25" i="27"/>
  <c r="S25" i="27"/>
  <c r="R25" i="27"/>
  <c r="AM25" i="27" s="1"/>
  <c r="AR24" i="27"/>
  <c r="AL24" i="27"/>
  <c r="AK24" i="27"/>
  <c r="AG24" i="27"/>
  <c r="AF24" i="27"/>
  <c r="AB24" i="27"/>
  <c r="AA24" i="27"/>
  <c r="T24" i="27"/>
  <c r="S24" i="27"/>
  <c r="R24" i="27"/>
  <c r="AM24" i="27" s="1"/>
  <c r="G25" i="27" s="1"/>
  <c r="AR23" i="27"/>
  <c r="AL23" i="27"/>
  <c r="AK23" i="27"/>
  <c r="AG23" i="27"/>
  <c r="AF23" i="27"/>
  <c r="AB23" i="27"/>
  <c r="AA23" i="27"/>
  <c r="T23" i="27"/>
  <c r="S23" i="27"/>
  <c r="R23" i="27"/>
  <c r="AM23" i="27" s="1"/>
  <c r="G24" i="27" s="1"/>
  <c r="AR22" i="27"/>
  <c r="AL22" i="27"/>
  <c r="AK22" i="27"/>
  <c r="AG22" i="27"/>
  <c r="AF22" i="27"/>
  <c r="AB22" i="27"/>
  <c r="AA22" i="27"/>
  <c r="T22" i="27"/>
  <c r="S22" i="27"/>
  <c r="R22" i="27"/>
  <c r="AM22" i="27" s="1"/>
  <c r="G23" i="27" s="1"/>
  <c r="AR21" i="27"/>
  <c r="AL21" i="27"/>
  <c r="AK21" i="27"/>
  <c r="AG21" i="27"/>
  <c r="AF21" i="27"/>
  <c r="AB21" i="27"/>
  <c r="AA21" i="27"/>
  <c r="T21" i="27"/>
  <c r="S21" i="27"/>
  <c r="R21" i="27"/>
  <c r="AM21" i="27" s="1"/>
  <c r="G22" i="27" s="1"/>
  <c r="AR20" i="27"/>
  <c r="AL20" i="27"/>
  <c r="AK20" i="27"/>
  <c r="AG20" i="27"/>
  <c r="AF20" i="27"/>
  <c r="AB20" i="27"/>
  <c r="AA20" i="27"/>
  <c r="T20" i="27"/>
  <c r="S20" i="27"/>
  <c r="R20" i="27"/>
  <c r="AM20" i="27" s="1"/>
  <c r="G21" i="27" s="1"/>
  <c r="AR19" i="27"/>
  <c r="AL19" i="27"/>
  <c r="AK19" i="27"/>
  <c r="AG19" i="27"/>
  <c r="AF19" i="27"/>
  <c r="AB19" i="27"/>
  <c r="AA19" i="27"/>
  <c r="T19" i="27"/>
  <c r="S19" i="27"/>
  <c r="R19" i="27"/>
  <c r="AM19" i="27" s="1"/>
  <c r="G20" i="27" s="1"/>
  <c r="AR18" i="27"/>
  <c r="AL18" i="27"/>
  <c r="AK18" i="27"/>
  <c r="AG18" i="27"/>
  <c r="AF18" i="27"/>
  <c r="AB18" i="27"/>
  <c r="AA18" i="27"/>
  <c r="T18" i="27"/>
  <c r="S18" i="27"/>
  <c r="R18" i="27"/>
  <c r="AM18" i="27" s="1"/>
  <c r="G19" i="27" s="1"/>
  <c r="AR17" i="27"/>
  <c r="AL17" i="27"/>
  <c r="AK17" i="27"/>
  <c r="AG17" i="27"/>
  <c r="AF17" i="27"/>
  <c r="AB17" i="27"/>
  <c r="AA17" i="27"/>
  <c r="T17" i="27"/>
  <c r="S17" i="27"/>
  <c r="R17" i="27"/>
  <c r="AM17" i="27" s="1"/>
  <c r="G18" i="27" s="1"/>
  <c r="AR16" i="27"/>
  <c r="AL16" i="27"/>
  <c r="AK16" i="27"/>
  <c r="AG16" i="27"/>
  <c r="AF16" i="27"/>
  <c r="AB16" i="27"/>
  <c r="AA16" i="27"/>
  <c r="T16" i="27"/>
  <c r="S16" i="27"/>
  <c r="R16" i="27"/>
  <c r="AM16" i="27" s="1"/>
  <c r="G17" i="27" s="1"/>
  <c r="AR15" i="27"/>
  <c r="AL15" i="27"/>
  <c r="AK15" i="27"/>
  <c r="AG15" i="27"/>
  <c r="AF15" i="27"/>
  <c r="AB15" i="27"/>
  <c r="AA15" i="27"/>
  <c r="T15" i="27"/>
  <c r="S15" i="27"/>
  <c r="R15" i="27"/>
  <c r="AM15" i="27" s="1"/>
  <c r="G16" i="27" s="1"/>
  <c r="AR14" i="27"/>
  <c r="AL14" i="27"/>
  <c r="AK14" i="27"/>
  <c r="AG14" i="27"/>
  <c r="AF14" i="27"/>
  <c r="AB14" i="27"/>
  <c r="AA14" i="27"/>
  <c r="T14" i="27"/>
  <c r="S14" i="27"/>
  <c r="R14" i="27"/>
  <c r="AM14" i="27" s="1"/>
  <c r="G15" i="27" s="1"/>
  <c r="H14" i="27"/>
  <c r="G14" i="27"/>
  <c r="AR13" i="27"/>
  <c r="AL13" i="27"/>
  <c r="AK13" i="27"/>
  <c r="AG13" i="27"/>
  <c r="AF13" i="27"/>
  <c r="AB13" i="27"/>
  <c r="AA13" i="27"/>
  <c r="T13" i="27"/>
  <c r="S13" i="27"/>
  <c r="R13" i="27"/>
  <c r="AM13" i="27" s="1"/>
  <c r="H13" i="27"/>
  <c r="G13" i="27"/>
  <c r="AR12" i="27"/>
  <c r="AL12" i="27"/>
  <c r="AK12" i="27"/>
  <c r="AG12" i="27"/>
  <c r="AF12" i="27"/>
  <c r="AB12" i="27"/>
  <c r="AA12" i="27"/>
  <c r="T12" i="27"/>
  <c r="S12" i="27"/>
  <c r="R12" i="27"/>
  <c r="AM12" i="27" s="1"/>
  <c r="H12" i="27"/>
  <c r="G12" i="27"/>
  <c r="AR11" i="27"/>
  <c r="AL11" i="27"/>
  <c r="AK11" i="27"/>
  <c r="AG11" i="27"/>
  <c r="AF11" i="27"/>
  <c r="AB11" i="27"/>
  <c r="AA11" i="27"/>
  <c r="T11" i="27"/>
  <c r="S11" i="27"/>
  <c r="R11" i="27"/>
  <c r="AM11" i="27" s="1"/>
  <c r="AR10" i="27"/>
  <c r="AL10" i="27"/>
  <c r="AK10" i="27"/>
  <c r="AG10" i="27"/>
  <c r="AF10" i="27"/>
  <c r="AB10" i="27"/>
  <c r="AA10" i="27"/>
  <c r="T10" i="27"/>
  <c r="S10" i="27"/>
  <c r="R10" i="27"/>
  <c r="AM10" i="27" s="1"/>
  <c r="G11" i="27" s="1"/>
  <c r="AR9" i="27"/>
  <c r="AL9" i="27"/>
  <c r="AK9" i="27"/>
  <c r="AG9" i="27"/>
  <c r="AF9" i="27"/>
  <c r="AB9" i="27"/>
  <c r="AA9" i="27"/>
  <c r="T9" i="27"/>
  <c r="S9" i="27"/>
  <c r="R9" i="27"/>
  <c r="AM9" i="27" s="1"/>
  <c r="G10" i="27" s="1"/>
  <c r="AR8" i="27"/>
  <c r="AL8" i="27"/>
  <c r="AK8" i="27"/>
  <c r="AG8" i="27"/>
  <c r="AF8" i="27"/>
  <c r="AB8" i="27"/>
  <c r="AA8" i="27"/>
  <c r="T8" i="27"/>
  <c r="S8" i="27"/>
  <c r="R8" i="27"/>
  <c r="AM8" i="27" s="1"/>
  <c r="G9" i="27" s="1"/>
  <c r="AR7" i="27"/>
  <c r="AL7" i="27"/>
  <c r="AK7" i="27"/>
  <c r="AG7" i="27"/>
  <c r="AF7" i="27"/>
  <c r="AB7" i="27"/>
  <c r="AA7" i="27"/>
  <c r="T7" i="27"/>
  <c r="S7" i="27"/>
  <c r="R7" i="27"/>
  <c r="AM7" i="27" s="1"/>
  <c r="G8" i="27" s="1"/>
  <c r="AR6" i="27"/>
  <c r="AL6" i="27"/>
  <c r="AK6" i="27"/>
  <c r="AG6" i="27"/>
  <c r="AF6" i="27"/>
  <c r="AB6" i="27"/>
  <c r="AA6" i="27"/>
  <c r="T6" i="27"/>
  <c r="S6" i="27"/>
  <c r="R6" i="27"/>
  <c r="AM6" i="27" s="1"/>
  <c r="G7" i="27" s="1"/>
  <c r="B6" i="27"/>
  <c r="B8" i="27" s="1"/>
  <c r="AR5" i="27"/>
  <c r="AL5" i="27"/>
  <c r="AK5" i="27"/>
  <c r="AG5" i="27"/>
  <c r="AF5" i="27"/>
  <c r="AB5" i="27"/>
  <c r="AA5" i="27"/>
  <c r="T5" i="27"/>
  <c r="S5" i="27"/>
  <c r="R5" i="27"/>
  <c r="AM5" i="27" s="1"/>
  <c r="G6" i="27" s="1"/>
  <c r="G5" i="27"/>
  <c r="B5" i="27"/>
  <c r="A5" i="27" s="1"/>
  <c r="AR4" i="27"/>
  <c r="AL4" i="27"/>
  <c r="AK4" i="27"/>
  <c r="AG4" i="27"/>
  <c r="AF4" i="27"/>
  <c r="AB4" i="27"/>
  <c r="AA4" i="27"/>
  <c r="T4" i="27"/>
  <c r="S4" i="27"/>
  <c r="R4" i="27"/>
  <c r="AM4" i="27" s="1"/>
  <c r="H4" i="27"/>
  <c r="G4" i="27"/>
  <c r="A4" i="27"/>
  <c r="AP1" i="27"/>
  <c r="G5" i="1"/>
  <c r="AR65" i="22"/>
  <c r="AL65" i="22"/>
  <c r="AK65" i="22"/>
  <c r="AG65" i="22"/>
  <c r="AF65" i="22"/>
  <c r="T65" i="22"/>
  <c r="S65" i="22"/>
  <c r="R65" i="22"/>
  <c r="AM65" i="22" s="1"/>
  <c r="H65" i="22"/>
  <c r="G65" i="22"/>
  <c r="AR64" i="22"/>
  <c r="AL64" i="22"/>
  <c r="AK64" i="22"/>
  <c r="AG64" i="22"/>
  <c r="AF64" i="22"/>
  <c r="T64" i="22"/>
  <c r="S64" i="22"/>
  <c r="R64" i="22"/>
  <c r="AM64" i="22" s="1"/>
  <c r="H64" i="22"/>
  <c r="G64" i="22"/>
  <c r="AR63" i="22"/>
  <c r="AL63" i="22"/>
  <c r="AK63" i="22"/>
  <c r="AG63" i="22"/>
  <c r="AF63" i="22"/>
  <c r="T63" i="22"/>
  <c r="S63" i="22"/>
  <c r="R63" i="22"/>
  <c r="AM63" i="22" s="1"/>
  <c r="H63" i="22"/>
  <c r="G63" i="22"/>
  <c r="AR62" i="22"/>
  <c r="AL62" i="22"/>
  <c r="AK62" i="22"/>
  <c r="AG62" i="22"/>
  <c r="AF62" i="22"/>
  <c r="T62" i="22"/>
  <c r="S62" i="22"/>
  <c r="R62" i="22"/>
  <c r="AM62" i="22" s="1"/>
  <c r="H62" i="22"/>
  <c r="G62" i="22"/>
  <c r="AR61" i="22"/>
  <c r="AL61" i="22"/>
  <c r="AK61" i="22"/>
  <c r="AG61" i="22"/>
  <c r="AF61" i="22"/>
  <c r="T61" i="22"/>
  <c r="S61" i="22"/>
  <c r="R61" i="22"/>
  <c r="AM61" i="22" s="1"/>
  <c r="H61" i="22"/>
  <c r="G61" i="22"/>
  <c r="AR60" i="22"/>
  <c r="AL60" i="22"/>
  <c r="AK60" i="22"/>
  <c r="AG60" i="22"/>
  <c r="AF60" i="22"/>
  <c r="T60" i="22"/>
  <c r="S60" i="22"/>
  <c r="R60" i="22"/>
  <c r="AM60" i="22" s="1"/>
  <c r="H60" i="22"/>
  <c r="G60" i="22"/>
  <c r="AR59" i="22"/>
  <c r="AL59" i="22"/>
  <c r="AK59" i="22"/>
  <c r="AG59" i="22"/>
  <c r="AF59" i="22"/>
  <c r="T59" i="22"/>
  <c r="S59" i="22"/>
  <c r="R59" i="22"/>
  <c r="AM59" i="22" s="1"/>
  <c r="H59" i="22"/>
  <c r="G59" i="22"/>
  <c r="AR58" i="22"/>
  <c r="AL58" i="22"/>
  <c r="AK58" i="22"/>
  <c r="AG58" i="22"/>
  <c r="AF58" i="22"/>
  <c r="T58" i="22"/>
  <c r="S58" i="22"/>
  <c r="R58" i="22"/>
  <c r="AM58" i="22" s="1"/>
  <c r="H58" i="22"/>
  <c r="G58" i="22"/>
  <c r="AR57" i="22"/>
  <c r="AL57" i="22"/>
  <c r="AK57" i="22"/>
  <c r="AG57" i="22"/>
  <c r="AF57" i="22"/>
  <c r="T57" i="22"/>
  <c r="S57" i="22"/>
  <c r="R57" i="22"/>
  <c r="AM57" i="22" s="1"/>
  <c r="H57" i="22"/>
  <c r="G57" i="22"/>
  <c r="AR56" i="22"/>
  <c r="AL56" i="22"/>
  <c r="AK56" i="22"/>
  <c r="AG56" i="22"/>
  <c r="AF56" i="22"/>
  <c r="T56" i="22"/>
  <c r="S56" i="22"/>
  <c r="R56" i="22"/>
  <c r="AM56" i="22" s="1"/>
  <c r="H56" i="22"/>
  <c r="G56" i="22"/>
  <c r="AR55" i="22"/>
  <c r="AL55" i="22"/>
  <c r="AK55" i="22"/>
  <c r="AG55" i="22"/>
  <c r="AF55" i="22"/>
  <c r="T55" i="22"/>
  <c r="S55" i="22"/>
  <c r="R55" i="22"/>
  <c r="AM55" i="22" s="1"/>
  <c r="H55" i="22"/>
  <c r="G55" i="22"/>
  <c r="AR54" i="22"/>
  <c r="AL54" i="22"/>
  <c r="AK54" i="22"/>
  <c r="AG54" i="22"/>
  <c r="AF54" i="22"/>
  <c r="T54" i="22"/>
  <c r="S54" i="22"/>
  <c r="R54" i="22"/>
  <c r="AM54" i="22" s="1"/>
  <c r="H54" i="22"/>
  <c r="G54" i="22"/>
  <c r="AR53" i="22"/>
  <c r="AL53" i="22"/>
  <c r="AK53" i="22"/>
  <c r="AG53" i="22"/>
  <c r="AF53" i="22"/>
  <c r="T53" i="22"/>
  <c r="S53" i="22"/>
  <c r="R53" i="22"/>
  <c r="AM53" i="22" s="1"/>
  <c r="H53" i="22"/>
  <c r="G53" i="22"/>
  <c r="AR52" i="22"/>
  <c r="AL52" i="22"/>
  <c r="AK52" i="22"/>
  <c r="AG52" i="22"/>
  <c r="AF52" i="22"/>
  <c r="T52" i="22"/>
  <c r="S52" i="22"/>
  <c r="R52" i="22"/>
  <c r="AM52" i="22" s="1"/>
  <c r="H52" i="22"/>
  <c r="G52" i="22"/>
  <c r="AR51" i="22"/>
  <c r="AL51" i="22"/>
  <c r="AK51" i="22"/>
  <c r="AG51" i="22"/>
  <c r="AF51" i="22"/>
  <c r="T51" i="22"/>
  <c r="S51" i="22"/>
  <c r="R51" i="22"/>
  <c r="AM51" i="22" s="1"/>
  <c r="H51" i="22"/>
  <c r="G51" i="22"/>
  <c r="AR50" i="22"/>
  <c r="AL50" i="22"/>
  <c r="AK50" i="22"/>
  <c r="AG50" i="22"/>
  <c r="AF50" i="22"/>
  <c r="T50" i="22"/>
  <c r="S50" i="22"/>
  <c r="R50" i="22"/>
  <c r="AM50" i="22" s="1"/>
  <c r="H50" i="22"/>
  <c r="G50" i="22"/>
  <c r="AR49" i="22"/>
  <c r="AL49" i="22"/>
  <c r="AK49" i="22"/>
  <c r="AG49" i="22"/>
  <c r="AF49" i="22"/>
  <c r="T49" i="22"/>
  <c r="S49" i="22"/>
  <c r="R49" i="22"/>
  <c r="AM49" i="22" s="1"/>
  <c r="H49" i="22"/>
  <c r="G49" i="22"/>
  <c r="AR48" i="22"/>
  <c r="AL48" i="22"/>
  <c r="AK48" i="22"/>
  <c r="AG48" i="22"/>
  <c r="AF48" i="22"/>
  <c r="T48" i="22"/>
  <c r="S48" i="22"/>
  <c r="R48" i="22"/>
  <c r="AM48" i="22" s="1"/>
  <c r="H48" i="22"/>
  <c r="G48" i="22"/>
  <c r="AR47" i="22"/>
  <c r="AL47" i="22"/>
  <c r="AK47" i="22"/>
  <c r="AG47" i="22"/>
  <c r="AF47" i="22"/>
  <c r="T47" i="22"/>
  <c r="S47" i="22"/>
  <c r="R47" i="22"/>
  <c r="AM47" i="22" s="1"/>
  <c r="H47" i="22"/>
  <c r="G47" i="22"/>
  <c r="AR46" i="22"/>
  <c r="AL46" i="22"/>
  <c r="AK46" i="22"/>
  <c r="AG46" i="22"/>
  <c r="AF46" i="22"/>
  <c r="T46" i="22"/>
  <c r="S46" i="22"/>
  <c r="R46" i="22"/>
  <c r="AM46" i="22" s="1"/>
  <c r="H46" i="22"/>
  <c r="G46" i="22"/>
  <c r="AR45" i="22"/>
  <c r="AL45" i="22"/>
  <c r="AK45" i="22"/>
  <c r="AG45" i="22"/>
  <c r="AF45" i="22"/>
  <c r="T45" i="22"/>
  <c r="S45" i="22"/>
  <c r="R45" i="22"/>
  <c r="AM45" i="22" s="1"/>
  <c r="H45" i="22"/>
  <c r="G45" i="22"/>
  <c r="AR44" i="22"/>
  <c r="AL44" i="22"/>
  <c r="AK44" i="22"/>
  <c r="AG44" i="22"/>
  <c r="AF44" i="22"/>
  <c r="T44" i="22"/>
  <c r="S44" i="22"/>
  <c r="R44" i="22"/>
  <c r="AM44" i="22" s="1"/>
  <c r="H44" i="22"/>
  <c r="G44" i="22"/>
  <c r="AR43" i="22"/>
  <c r="AL43" i="22"/>
  <c r="AK43" i="22"/>
  <c r="AG43" i="22"/>
  <c r="AF43" i="22"/>
  <c r="T43" i="22"/>
  <c r="S43" i="22"/>
  <c r="R43" i="22"/>
  <c r="AM43" i="22" s="1"/>
  <c r="H43" i="22"/>
  <c r="G43" i="22"/>
  <c r="AR42" i="22"/>
  <c r="AL42" i="22"/>
  <c r="AK42" i="22"/>
  <c r="AG42" i="22"/>
  <c r="AF42" i="22"/>
  <c r="T42" i="22"/>
  <c r="S42" i="22"/>
  <c r="R42" i="22"/>
  <c r="AM42" i="22" s="1"/>
  <c r="H42" i="22"/>
  <c r="G42" i="22"/>
  <c r="AR41" i="22"/>
  <c r="AL41" i="22"/>
  <c r="AK41" i="22"/>
  <c r="AG41" i="22"/>
  <c r="AF41" i="22"/>
  <c r="T41" i="22"/>
  <c r="S41" i="22"/>
  <c r="R41" i="22"/>
  <c r="AM41" i="22" s="1"/>
  <c r="H41" i="22"/>
  <c r="G41" i="22"/>
  <c r="AR40" i="22"/>
  <c r="AK40" i="22"/>
  <c r="AG40" i="22"/>
  <c r="AF40" i="22"/>
  <c r="T40" i="22"/>
  <c r="S40" i="22"/>
  <c r="R40" i="22"/>
  <c r="AM40" i="22" s="1"/>
  <c r="H40" i="22"/>
  <c r="G40" i="22"/>
  <c r="AR39" i="22"/>
  <c r="AL39" i="22"/>
  <c r="AK39" i="22"/>
  <c r="AG39" i="22"/>
  <c r="AF39" i="22"/>
  <c r="T39" i="22"/>
  <c r="S39" i="22"/>
  <c r="R39" i="22"/>
  <c r="AM39" i="22" s="1"/>
  <c r="H39" i="22"/>
  <c r="G39" i="22"/>
  <c r="AR38" i="22"/>
  <c r="AL38" i="22"/>
  <c r="AK38" i="22"/>
  <c r="AG38" i="22"/>
  <c r="AF38" i="22"/>
  <c r="T38" i="22"/>
  <c r="S38" i="22"/>
  <c r="R38" i="22"/>
  <c r="AM38" i="22" s="1"/>
  <c r="H38" i="22"/>
  <c r="G38" i="22"/>
  <c r="AR37" i="22"/>
  <c r="AL37" i="22"/>
  <c r="AK37" i="22"/>
  <c r="AG37" i="22"/>
  <c r="AF37" i="22"/>
  <c r="T37" i="22"/>
  <c r="S37" i="22"/>
  <c r="R37" i="22"/>
  <c r="AM37" i="22" s="1"/>
  <c r="H37" i="22"/>
  <c r="G37" i="22"/>
  <c r="AR36" i="22"/>
  <c r="AL36" i="22"/>
  <c r="AK36" i="22"/>
  <c r="AG36" i="22"/>
  <c r="AF36" i="22"/>
  <c r="T36" i="22"/>
  <c r="S36" i="22"/>
  <c r="R36" i="22"/>
  <c r="AM36" i="22" s="1"/>
  <c r="H36" i="22"/>
  <c r="G36" i="22"/>
  <c r="AR35" i="22"/>
  <c r="AL35" i="22"/>
  <c r="AK35" i="22"/>
  <c r="AG35" i="22"/>
  <c r="AF35" i="22"/>
  <c r="T35" i="22"/>
  <c r="S35" i="22"/>
  <c r="R35" i="22"/>
  <c r="AM35" i="22" s="1"/>
  <c r="H35" i="22"/>
  <c r="G35" i="22"/>
  <c r="AR34" i="22"/>
  <c r="AL34" i="22"/>
  <c r="AK34" i="22"/>
  <c r="AG34" i="22"/>
  <c r="AF34" i="22"/>
  <c r="T34" i="22"/>
  <c r="S34" i="22"/>
  <c r="R34" i="22"/>
  <c r="AM34" i="22" s="1"/>
  <c r="H34" i="22"/>
  <c r="G34" i="22"/>
  <c r="AR33" i="22"/>
  <c r="AL33" i="22"/>
  <c r="AK33" i="22"/>
  <c r="AG33" i="22"/>
  <c r="AF33" i="22"/>
  <c r="T33" i="22"/>
  <c r="S33" i="22"/>
  <c r="R33" i="22"/>
  <c r="AM33" i="22" s="1"/>
  <c r="H33" i="22"/>
  <c r="G33" i="22"/>
  <c r="AR32" i="22"/>
  <c r="AL32" i="22"/>
  <c r="AK32" i="22"/>
  <c r="AG32" i="22"/>
  <c r="AF32" i="22"/>
  <c r="T32" i="22"/>
  <c r="S32" i="22"/>
  <c r="R32" i="22"/>
  <c r="AM32" i="22" s="1"/>
  <c r="H32" i="22"/>
  <c r="G32" i="22"/>
  <c r="AR31" i="22"/>
  <c r="AL31" i="22"/>
  <c r="AK31" i="22"/>
  <c r="AG31" i="22"/>
  <c r="AF31" i="22"/>
  <c r="T31" i="22"/>
  <c r="S31" i="22"/>
  <c r="R31" i="22"/>
  <c r="AM31" i="22" s="1"/>
  <c r="H31" i="22"/>
  <c r="G31" i="22"/>
  <c r="AR30" i="22"/>
  <c r="AL30" i="22"/>
  <c r="AK30" i="22"/>
  <c r="AG30" i="22"/>
  <c r="AF30" i="22"/>
  <c r="T30" i="22"/>
  <c r="S30" i="22"/>
  <c r="R30" i="22"/>
  <c r="AM30" i="22" s="1"/>
  <c r="H30" i="22"/>
  <c r="G30" i="22"/>
  <c r="AR29" i="22"/>
  <c r="AL29" i="22"/>
  <c r="AK29" i="22"/>
  <c r="AG29" i="22"/>
  <c r="AF29" i="22"/>
  <c r="T29" i="22"/>
  <c r="S29" i="22"/>
  <c r="R29" i="22"/>
  <c r="AM29" i="22" s="1"/>
  <c r="H29" i="22"/>
  <c r="G29" i="22"/>
  <c r="AR28" i="22"/>
  <c r="AL28" i="22"/>
  <c r="AK28" i="22"/>
  <c r="AG28" i="22"/>
  <c r="AF28" i="22"/>
  <c r="T28" i="22"/>
  <c r="S28" i="22"/>
  <c r="R28" i="22"/>
  <c r="AM28" i="22" s="1"/>
  <c r="H28" i="22"/>
  <c r="G28" i="22"/>
  <c r="AR27" i="22"/>
  <c r="AL27" i="22"/>
  <c r="AK27" i="22"/>
  <c r="AG27" i="22"/>
  <c r="AF27" i="22"/>
  <c r="T27" i="22"/>
  <c r="S27" i="22"/>
  <c r="R27" i="22"/>
  <c r="AM27" i="22" s="1"/>
  <c r="H27" i="22"/>
  <c r="G27" i="22"/>
  <c r="AR26" i="22"/>
  <c r="AL26" i="22"/>
  <c r="AK26" i="22"/>
  <c r="AG26" i="22"/>
  <c r="AF26" i="22"/>
  <c r="T26" i="22"/>
  <c r="S26" i="22"/>
  <c r="R26" i="22"/>
  <c r="AM26" i="22" s="1"/>
  <c r="H26" i="22"/>
  <c r="G26" i="22"/>
  <c r="AR25" i="22"/>
  <c r="AL25" i="22"/>
  <c r="AK25" i="22"/>
  <c r="AG25" i="22"/>
  <c r="AF25" i="22"/>
  <c r="T25" i="22"/>
  <c r="S25" i="22"/>
  <c r="R25" i="22"/>
  <c r="AM25" i="22" s="1"/>
  <c r="H25" i="22"/>
  <c r="G25" i="22"/>
  <c r="AR24" i="22"/>
  <c r="AL24" i="22"/>
  <c r="AK24" i="22"/>
  <c r="AG24" i="22"/>
  <c r="AF24" i="22"/>
  <c r="T24" i="22"/>
  <c r="S24" i="22"/>
  <c r="R24" i="22"/>
  <c r="AM24" i="22" s="1"/>
  <c r="H24" i="22"/>
  <c r="G24" i="22"/>
  <c r="AR23" i="22"/>
  <c r="AL23" i="22"/>
  <c r="AK23" i="22"/>
  <c r="AG23" i="22"/>
  <c r="AF23" i="22"/>
  <c r="T23" i="22"/>
  <c r="S23" i="22"/>
  <c r="R23" i="22"/>
  <c r="AM23" i="22" s="1"/>
  <c r="H23" i="22"/>
  <c r="G23" i="22"/>
  <c r="AR22" i="22"/>
  <c r="AL22" i="22"/>
  <c r="AK22" i="22"/>
  <c r="AG22" i="22"/>
  <c r="AF22" i="22"/>
  <c r="T22" i="22"/>
  <c r="S22" i="22"/>
  <c r="R22" i="22"/>
  <c r="AM22" i="22" s="1"/>
  <c r="H22" i="22"/>
  <c r="G22" i="22"/>
  <c r="AR21" i="22"/>
  <c r="AL21" i="22"/>
  <c r="AK21" i="22"/>
  <c r="AG21" i="22"/>
  <c r="AF21" i="22"/>
  <c r="T21" i="22"/>
  <c r="S21" i="22"/>
  <c r="R21" i="22"/>
  <c r="AM21" i="22" s="1"/>
  <c r="H21" i="22"/>
  <c r="G21" i="22"/>
  <c r="AR20" i="22"/>
  <c r="AL20" i="22"/>
  <c r="AK20" i="22"/>
  <c r="AG20" i="22"/>
  <c r="AF20" i="22"/>
  <c r="T20" i="22"/>
  <c r="S20" i="22"/>
  <c r="R20" i="22"/>
  <c r="AM20" i="22" s="1"/>
  <c r="H20" i="22"/>
  <c r="G20" i="22"/>
  <c r="AR19" i="22"/>
  <c r="AL19" i="22"/>
  <c r="AK19" i="22"/>
  <c r="AG19" i="22"/>
  <c r="AF19" i="22"/>
  <c r="T19" i="22"/>
  <c r="S19" i="22"/>
  <c r="R19" i="22"/>
  <c r="AM19" i="22" s="1"/>
  <c r="H19" i="22"/>
  <c r="G19" i="22"/>
  <c r="AR18" i="22"/>
  <c r="AL18" i="22"/>
  <c r="AK18" i="22"/>
  <c r="AG18" i="22"/>
  <c r="AF18" i="22"/>
  <c r="T18" i="22"/>
  <c r="S18" i="22"/>
  <c r="R18" i="22"/>
  <c r="AM18" i="22" s="1"/>
  <c r="H18" i="22"/>
  <c r="G18" i="22"/>
  <c r="AR17" i="22"/>
  <c r="AL17" i="22"/>
  <c r="AK17" i="22"/>
  <c r="AG17" i="22"/>
  <c r="AF17" i="22"/>
  <c r="T17" i="22"/>
  <c r="S17" i="22"/>
  <c r="R17" i="22"/>
  <c r="AM17" i="22" s="1"/>
  <c r="H17" i="22"/>
  <c r="G17" i="22"/>
  <c r="AR16" i="22"/>
  <c r="AL16" i="22"/>
  <c r="AK16" i="22"/>
  <c r="AG16" i="22"/>
  <c r="AF16" i="22"/>
  <c r="T16" i="22"/>
  <c r="S16" i="22"/>
  <c r="R16" i="22"/>
  <c r="AM16" i="22" s="1"/>
  <c r="H16" i="22"/>
  <c r="G16" i="22"/>
  <c r="AR15" i="22"/>
  <c r="AL15" i="22"/>
  <c r="AK15" i="22"/>
  <c r="AG15" i="22"/>
  <c r="AF15" i="22"/>
  <c r="T15" i="22"/>
  <c r="S15" i="22"/>
  <c r="R15" i="22"/>
  <c r="AM15" i="22" s="1"/>
  <c r="H15" i="22"/>
  <c r="G15" i="22"/>
  <c r="AR14" i="22"/>
  <c r="AL14" i="22"/>
  <c r="AK14" i="22"/>
  <c r="AG14" i="22"/>
  <c r="AF14" i="22"/>
  <c r="T14" i="22"/>
  <c r="S14" i="22"/>
  <c r="R14" i="22"/>
  <c r="AM14" i="22" s="1"/>
  <c r="H14" i="22"/>
  <c r="G14" i="22"/>
  <c r="AR13" i="22"/>
  <c r="AL13" i="22"/>
  <c r="AK13" i="22"/>
  <c r="AG13" i="22"/>
  <c r="AF13" i="22"/>
  <c r="T13" i="22"/>
  <c r="S13" i="22"/>
  <c r="R13" i="22"/>
  <c r="AM13" i="22" s="1"/>
  <c r="H13" i="22"/>
  <c r="G13" i="22"/>
  <c r="AR12" i="22"/>
  <c r="AL12" i="22"/>
  <c r="AK12" i="22"/>
  <c r="AG12" i="22"/>
  <c r="AF12" i="22"/>
  <c r="T12" i="22"/>
  <c r="S12" i="22"/>
  <c r="R12" i="22"/>
  <c r="AM12" i="22" s="1"/>
  <c r="H12" i="22"/>
  <c r="G12" i="22"/>
  <c r="AR11" i="22"/>
  <c r="AL11" i="22"/>
  <c r="AK11" i="22"/>
  <c r="AG11" i="22"/>
  <c r="AF11" i="22"/>
  <c r="T11" i="22"/>
  <c r="S11" i="22"/>
  <c r="R11" i="22"/>
  <c r="AM11" i="22" s="1"/>
  <c r="H11" i="22"/>
  <c r="G11" i="22"/>
  <c r="AR10" i="22"/>
  <c r="AL10" i="22"/>
  <c r="AK10" i="22"/>
  <c r="AG10" i="22"/>
  <c r="AF10" i="22"/>
  <c r="T10" i="22"/>
  <c r="S10" i="22"/>
  <c r="R10" i="22"/>
  <c r="AM10" i="22" s="1"/>
  <c r="H10" i="22"/>
  <c r="G10" i="22"/>
  <c r="AR9" i="22"/>
  <c r="AL9" i="22"/>
  <c r="AK9" i="22"/>
  <c r="AG9" i="22"/>
  <c r="AF9" i="22"/>
  <c r="T9" i="22"/>
  <c r="S9" i="22"/>
  <c r="R9" i="22"/>
  <c r="AM9" i="22" s="1"/>
  <c r="H9" i="22"/>
  <c r="G9" i="22"/>
  <c r="AR8" i="22"/>
  <c r="AL8" i="22"/>
  <c r="AK8" i="22"/>
  <c r="AG8" i="22"/>
  <c r="AF8" i="22"/>
  <c r="T8" i="22"/>
  <c r="S8" i="22"/>
  <c r="R8" i="22"/>
  <c r="AM8" i="22" s="1"/>
  <c r="H8" i="22"/>
  <c r="G8" i="22"/>
  <c r="AR7" i="22"/>
  <c r="AL7" i="22"/>
  <c r="AK7" i="22"/>
  <c r="AG7" i="22"/>
  <c r="AF7" i="22"/>
  <c r="T7" i="22"/>
  <c r="S7" i="22"/>
  <c r="R7" i="22"/>
  <c r="AM7" i="22" s="1"/>
  <c r="H7" i="22"/>
  <c r="G7" i="22"/>
  <c r="AR6" i="22"/>
  <c r="AL6" i="22"/>
  <c r="AK6" i="22"/>
  <c r="AG6" i="22"/>
  <c r="AF6" i="22"/>
  <c r="T6" i="22"/>
  <c r="S6" i="22"/>
  <c r="R6" i="22"/>
  <c r="AM6" i="22" s="1"/>
  <c r="H6" i="22"/>
  <c r="G6" i="22"/>
  <c r="B6" i="22"/>
  <c r="B8" i="22" s="1"/>
  <c r="AR5" i="22"/>
  <c r="AL5" i="22"/>
  <c r="AK5" i="22"/>
  <c r="AG5" i="22"/>
  <c r="AF5" i="22"/>
  <c r="T5" i="22"/>
  <c r="S5" i="22"/>
  <c r="R5" i="22"/>
  <c r="AM5" i="22" s="1"/>
  <c r="H5" i="22"/>
  <c r="G5" i="22"/>
  <c r="B5" i="22"/>
  <c r="A5" i="22" s="1"/>
  <c r="AR4" i="22"/>
  <c r="AL4" i="22"/>
  <c r="AK4" i="22"/>
  <c r="AG4" i="22"/>
  <c r="AF4" i="22"/>
  <c r="T4" i="22"/>
  <c r="S4" i="22"/>
  <c r="R4" i="22"/>
  <c r="AM4" i="22" s="1"/>
  <c r="H4" i="22"/>
  <c r="G4" i="22"/>
  <c r="A4" i="22"/>
  <c r="AP1" i="22"/>
  <c r="B7" i="26" l="1"/>
  <c r="AO64" i="26"/>
  <c r="AT21" i="27"/>
  <c r="AT35" i="27"/>
  <c r="B7" i="27"/>
  <c r="B9" i="27" s="1"/>
  <c r="AO5" i="26"/>
  <c r="AM66" i="22"/>
  <c r="H5" i="1" s="1"/>
  <c r="A49" i="30"/>
  <c r="B51" i="30"/>
  <c r="A50" i="30"/>
  <c r="B52" i="30"/>
  <c r="B52" i="29"/>
  <c r="A50" i="29"/>
  <c r="A49" i="29"/>
  <c r="B51" i="29"/>
  <c r="B50" i="28"/>
  <c r="A48" i="28"/>
  <c r="A43" i="28"/>
  <c r="B45" i="28"/>
  <c r="AN21" i="26"/>
  <c r="AN34" i="27"/>
  <c r="AN36" i="27"/>
  <c r="AO40" i="27"/>
  <c r="AN41" i="27"/>
  <c r="AN62" i="27"/>
  <c r="AN63" i="27"/>
  <c r="AN65" i="27"/>
  <c r="AO33" i="26"/>
  <c r="AN4" i="26"/>
  <c r="AO4" i="26"/>
  <c r="AN9" i="22"/>
  <c r="AO10" i="22"/>
  <c r="AO45" i="26"/>
  <c r="AT65" i="26"/>
  <c r="AT47" i="26"/>
  <c r="AO59" i="26"/>
  <c r="AO16" i="26"/>
  <c r="AO34" i="27"/>
  <c r="AO33" i="27"/>
  <c r="AO35" i="27"/>
  <c r="AO13" i="27"/>
  <c r="AO38" i="27"/>
  <c r="AO39" i="27"/>
  <c r="AO45" i="27"/>
  <c r="AO47" i="27"/>
  <c r="AO52" i="27"/>
  <c r="AO53" i="27"/>
  <c r="AN10" i="27"/>
  <c r="H11" i="27" s="1"/>
  <c r="AO11" i="27" s="1"/>
  <c r="AO36" i="27"/>
  <c r="AN37" i="27"/>
  <c r="AN38" i="27"/>
  <c r="AN42" i="27"/>
  <c r="AN43" i="27"/>
  <c r="AO62" i="27"/>
  <c r="AN16" i="27"/>
  <c r="H17" i="27" s="1"/>
  <c r="AO17" i="27" s="1"/>
  <c r="AN20" i="27"/>
  <c r="H21" i="27" s="1"/>
  <c r="AO21" i="27" s="1"/>
  <c r="AO37" i="27"/>
  <c r="AO42" i="27"/>
  <c r="AO43" i="27"/>
  <c r="AO29" i="27"/>
  <c r="A6" i="27"/>
  <c r="AO11" i="22"/>
  <c r="AN58" i="22"/>
  <c r="AN59" i="22"/>
  <c r="AN5" i="22"/>
  <c r="AN17" i="22"/>
  <c r="AO21" i="22"/>
  <c r="AN26" i="22"/>
  <c r="B7" i="22"/>
  <c r="A6" i="22"/>
  <c r="AO62" i="26"/>
  <c r="AN64" i="26"/>
  <c r="AO63" i="26"/>
  <c r="AN62" i="26"/>
  <c r="AN63" i="26"/>
  <c r="AO63" i="27"/>
  <c r="AO64" i="27"/>
  <c r="AO65" i="27"/>
  <c r="AN62" i="22"/>
  <c r="AN65" i="22"/>
  <c r="AO62" i="22"/>
  <c r="AO63" i="22"/>
  <c r="AO64" i="22"/>
  <c r="AO65" i="22"/>
  <c r="AN60" i="26"/>
  <c r="AO60" i="26"/>
  <c r="AN61" i="26"/>
  <c r="AO51" i="27"/>
  <c r="AN60" i="27"/>
  <c r="AN61" i="27"/>
  <c r="AO57" i="27"/>
  <c r="AO59" i="22"/>
  <c r="AO60" i="22"/>
  <c r="AO51" i="22"/>
  <c r="AN61" i="22"/>
  <c r="AO58" i="22"/>
  <c r="AO50" i="26"/>
  <c r="AO51" i="26"/>
  <c r="AO58" i="26"/>
  <c r="AN49" i="26"/>
  <c r="AO54" i="26"/>
  <c r="AO55" i="26"/>
  <c r="AO56" i="26"/>
  <c r="AO57" i="26"/>
  <c r="AN58" i="26"/>
  <c r="AN59" i="26"/>
  <c r="AO61" i="27"/>
  <c r="AO58" i="27"/>
  <c r="AO59" i="27"/>
  <c r="AO60" i="27"/>
  <c r="AN56" i="27"/>
  <c r="AN57" i="27"/>
  <c r="AN48" i="27"/>
  <c r="AN58" i="27"/>
  <c r="AO53" i="22"/>
  <c r="AO48" i="26"/>
  <c r="AN48" i="26"/>
  <c r="AN51" i="26"/>
  <c r="AP51" i="26" s="1"/>
  <c r="AN52" i="26"/>
  <c r="AO53" i="26"/>
  <c r="AN54" i="26"/>
  <c r="AN57" i="26"/>
  <c r="AT61" i="26"/>
  <c r="AO49" i="26"/>
  <c r="AN53" i="26"/>
  <c r="AN55" i="27"/>
  <c r="AN50" i="27"/>
  <c r="AO48" i="27"/>
  <c r="AN51" i="27"/>
  <c r="AO54" i="27"/>
  <c r="AO49" i="27"/>
  <c r="AN52" i="27"/>
  <c r="AO55" i="22"/>
  <c r="AN48" i="22"/>
  <c r="AO54" i="22"/>
  <c r="AO49" i="22"/>
  <c r="AN51" i="22"/>
  <c r="AN56" i="22"/>
  <c r="AN57" i="22"/>
  <c r="AO50" i="22"/>
  <c r="AN53" i="22"/>
  <c r="AO56" i="22"/>
  <c r="AO57" i="22"/>
  <c r="AN50" i="22"/>
  <c r="AO47" i="22"/>
  <c r="AN34" i="26"/>
  <c r="AO39" i="26"/>
  <c r="AN39" i="26"/>
  <c r="AO46" i="26"/>
  <c r="AO36" i="26"/>
  <c r="AN41" i="26"/>
  <c r="AN47" i="26"/>
  <c r="AN35" i="26"/>
  <c r="AN37" i="26"/>
  <c r="AO40" i="26"/>
  <c r="AN40" i="26"/>
  <c r="AO41" i="26"/>
  <c r="AN44" i="26"/>
  <c r="AN45" i="26"/>
  <c r="AN46" i="26"/>
  <c r="AO38" i="26"/>
  <c r="AO35" i="26"/>
  <c r="AO44" i="26"/>
  <c r="AN46" i="27"/>
  <c r="AN44" i="27"/>
  <c r="AN45" i="27"/>
  <c r="AO37" i="22"/>
  <c r="AO42" i="22"/>
  <c r="AN46" i="22"/>
  <c r="AN41" i="22"/>
  <c r="AO41" i="22"/>
  <c r="AN42" i="22"/>
  <c r="AN44" i="22"/>
  <c r="AN45" i="22"/>
  <c r="AO43" i="22"/>
  <c r="AO34" i="22"/>
  <c r="AO35" i="22"/>
  <c r="AO38" i="22"/>
  <c r="AO39" i="22"/>
  <c r="AN40" i="22"/>
  <c r="AN35" i="22"/>
  <c r="AN37" i="22"/>
  <c r="AO40" i="22"/>
  <c r="AN34" i="22"/>
  <c r="AO12" i="26"/>
  <c r="AO22" i="26"/>
  <c r="AO17" i="26"/>
  <c r="AO19" i="26"/>
  <c r="AN20" i="26"/>
  <c r="AN7" i="26"/>
  <c r="AN8" i="26"/>
  <c r="AN11" i="26"/>
  <c r="AN12" i="26"/>
  <c r="AN13" i="26"/>
  <c r="AN25" i="26"/>
  <c r="AN29" i="26"/>
  <c r="AO18" i="26"/>
  <c r="AN5" i="26"/>
  <c r="AP5" i="26" s="1"/>
  <c r="AO9" i="26"/>
  <c r="AO10" i="26"/>
  <c r="AO11" i="26"/>
  <c r="AO25" i="26"/>
  <c r="AO6" i="26"/>
  <c r="AO13" i="26"/>
  <c r="AO14" i="26"/>
  <c r="AN15" i="26"/>
  <c r="AO27" i="26"/>
  <c r="AO29" i="26"/>
  <c r="AN30" i="26"/>
  <c r="AN16" i="26"/>
  <c r="AN19" i="26"/>
  <c r="AN22" i="26"/>
  <c r="AN24" i="26"/>
  <c r="AO30" i="26"/>
  <c r="AO31" i="26"/>
  <c r="AN32" i="26"/>
  <c r="AN33" i="26"/>
  <c r="AO8" i="26"/>
  <c r="AO21" i="26"/>
  <c r="AN26" i="26"/>
  <c r="AT49" i="26"/>
  <c r="AT19" i="26"/>
  <c r="AT39" i="26"/>
  <c r="AN6" i="26"/>
  <c r="AN14" i="26"/>
  <c r="AT33" i="26"/>
  <c r="AN38" i="26"/>
  <c r="AT53" i="26"/>
  <c r="AO47" i="26"/>
  <c r="A7" i="26"/>
  <c r="B9" i="26"/>
  <c r="B10" i="26"/>
  <c r="AO15" i="26"/>
  <c r="AN43" i="26"/>
  <c r="AO7" i="26"/>
  <c r="AM66" i="26"/>
  <c r="H27" i="1" s="1"/>
  <c r="A6" i="26"/>
  <c r="AN9" i="26"/>
  <c r="AN10" i="26"/>
  <c r="AN17" i="26"/>
  <c r="AN18" i="26"/>
  <c r="AO20" i="26"/>
  <c r="AO23" i="26"/>
  <c r="AO26" i="26"/>
  <c r="AN27" i="26"/>
  <c r="AN28" i="26"/>
  <c r="AN31" i="26"/>
  <c r="AO32" i="26"/>
  <c r="AO34" i="26"/>
  <c r="AN50" i="26"/>
  <c r="AO52" i="26"/>
  <c r="AO24" i="26"/>
  <c r="AO37" i="26"/>
  <c r="AN42" i="26"/>
  <c r="AO61" i="26"/>
  <c r="AN65" i="26"/>
  <c r="AN23" i="26"/>
  <c r="AO28" i="26"/>
  <c r="AN36" i="26"/>
  <c r="AO42" i="26"/>
  <c r="AO43" i="26"/>
  <c r="AN55" i="26"/>
  <c r="AP55" i="26" s="1"/>
  <c r="AN56" i="26"/>
  <c r="AO65" i="26"/>
  <c r="AN8" i="27"/>
  <c r="H9" i="27" s="1"/>
  <c r="AO9" i="27" s="1"/>
  <c r="AN24" i="27"/>
  <c r="H25" i="27" s="1"/>
  <c r="AO25" i="27" s="1"/>
  <c r="AN29" i="27"/>
  <c r="AN30" i="27"/>
  <c r="AO28" i="27"/>
  <c r="AN4" i="27"/>
  <c r="H5" i="27" s="1"/>
  <c r="AO5" i="27" s="1"/>
  <c r="AN25" i="27"/>
  <c r="H26" i="27" s="1"/>
  <c r="AO26" i="27" s="1"/>
  <c r="AN12" i="27"/>
  <c r="AO31" i="27"/>
  <c r="AN14" i="27"/>
  <c r="H15" i="27" s="1"/>
  <c r="AO15" i="27" s="1"/>
  <c r="AN22" i="27"/>
  <c r="H23" i="27" s="1"/>
  <c r="AO23" i="27" s="1"/>
  <c r="AN23" i="27"/>
  <c r="H24" i="27" s="1"/>
  <c r="AO24" i="27" s="1"/>
  <c r="AN28" i="27"/>
  <c r="AO32" i="27"/>
  <c r="AN33" i="27"/>
  <c r="AO4" i="27"/>
  <c r="AN7" i="27"/>
  <c r="H8" i="27" s="1"/>
  <c r="AN13" i="27"/>
  <c r="AN26" i="27"/>
  <c r="H27" i="27" s="1"/>
  <c r="AO27" i="27" s="1"/>
  <c r="AO30" i="27"/>
  <c r="AN32" i="27"/>
  <c r="AO14" i="27"/>
  <c r="AN17" i="27"/>
  <c r="H18" i="27" s="1"/>
  <c r="AO18" i="27" s="1"/>
  <c r="AN18" i="27"/>
  <c r="AM66" i="27"/>
  <c r="H23" i="1" s="1"/>
  <c r="AN19" i="27"/>
  <c r="H20" i="27" s="1"/>
  <c r="AO20" i="27" s="1"/>
  <c r="A7" i="27"/>
  <c r="AO12" i="27"/>
  <c r="AN15" i="27"/>
  <c r="H16" i="27" s="1"/>
  <c r="AO16" i="27" s="1"/>
  <c r="A8" i="27"/>
  <c r="B10" i="27"/>
  <c r="AN5" i="27"/>
  <c r="H6" i="27" s="1"/>
  <c r="AO6" i="27" s="1"/>
  <c r="AN6" i="27"/>
  <c r="H7" i="27" s="1"/>
  <c r="AO7" i="27" s="1"/>
  <c r="AO8" i="27"/>
  <c r="AN9" i="27"/>
  <c r="H10" i="27" s="1"/>
  <c r="AO10" i="27" s="1"/>
  <c r="AN11" i="27"/>
  <c r="AO56" i="27"/>
  <c r="AN59" i="27"/>
  <c r="AN64" i="27"/>
  <c r="AN21" i="27"/>
  <c r="H22" i="27" s="1"/>
  <c r="AO22" i="27" s="1"/>
  <c r="AN27" i="27"/>
  <c r="AN39" i="27"/>
  <c r="AT53" i="27"/>
  <c r="AO41" i="27"/>
  <c r="AT41" i="27"/>
  <c r="AN40" i="27"/>
  <c r="AO50" i="27"/>
  <c r="AN53" i="27"/>
  <c r="AO55" i="27"/>
  <c r="AT39" i="27"/>
  <c r="AN31" i="27"/>
  <c r="AN35" i="27"/>
  <c r="AT55" i="27"/>
  <c r="AO44" i="27"/>
  <c r="AO46" i="27"/>
  <c r="AN47" i="27"/>
  <c r="AT61" i="27"/>
  <c r="AN49" i="27"/>
  <c r="AN54" i="27"/>
  <c r="AN30" i="22"/>
  <c r="AO13" i="22"/>
  <c r="AO9" i="22"/>
  <c r="AN12" i="22"/>
  <c r="AO7" i="22"/>
  <c r="AN8" i="22"/>
  <c r="AO18" i="22"/>
  <c r="AO19" i="22"/>
  <c r="AO8" i="22"/>
  <c r="AO25" i="22"/>
  <c r="AO5" i="22"/>
  <c r="AO31" i="22"/>
  <c r="AN4" i="22"/>
  <c r="AO6" i="22"/>
  <c r="AN10" i="22"/>
  <c r="AN13" i="22"/>
  <c r="AN16" i="22"/>
  <c r="AN28" i="22"/>
  <c r="AN29" i="22"/>
  <c r="AO33" i="22"/>
  <c r="AO4" i="22"/>
  <c r="AO14" i="22"/>
  <c r="AO15" i="22"/>
  <c r="AO16" i="22"/>
  <c r="AO22" i="22"/>
  <c r="AO23" i="22"/>
  <c r="AN24" i="22"/>
  <c r="AN19" i="22"/>
  <c r="AN21" i="22"/>
  <c r="AO24" i="22"/>
  <c r="AN25" i="22"/>
  <c r="AN32" i="22"/>
  <c r="AO27" i="22"/>
  <c r="AO17" i="22"/>
  <c r="AN18" i="22"/>
  <c r="AP18" i="22" s="1"/>
  <c r="AO26" i="22"/>
  <c r="AN11" i="22"/>
  <c r="A8" i="22"/>
  <c r="B10" i="22"/>
  <c r="AO12" i="22"/>
  <c r="AN20" i="22"/>
  <c r="AN23" i="22"/>
  <c r="AO28" i="22"/>
  <c r="AN36" i="22"/>
  <c r="AN39" i="22"/>
  <c r="AO44" i="22"/>
  <c r="AN52" i="22"/>
  <c r="AN55" i="22"/>
  <c r="AO29" i="22"/>
  <c r="AO45" i="22"/>
  <c r="AN60" i="22"/>
  <c r="AN6" i="22"/>
  <c r="AN7" i="22"/>
  <c r="AN14" i="22"/>
  <c r="AN15" i="22"/>
  <c r="AN22" i="22"/>
  <c r="AO30" i="22"/>
  <c r="AN33" i="22"/>
  <c r="AN38" i="22"/>
  <c r="AO46" i="22"/>
  <c r="AN49" i="22"/>
  <c r="AN54" i="22"/>
  <c r="AN27" i="22"/>
  <c r="AO32" i="22"/>
  <c r="AN43" i="22"/>
  <c r="AO48" i="22"/>
  <c r="AO61" i="22"/>
  <c r="AO20" i="22"/>
  <c r="AN31" i="22"/>
  <c r="AO36" i="22"/>
  <c r="AN47" i="22"/>
  <c r="AO52" i="22"/>
  <c r="AN63" i="22"/>
  <c r="AN64" i="22"/>
  <c r="AP4" i="22" l="1"/>
  <c r="AP34" i="22"/>
  <c r="AP64" i="22"/>
  <c r="AP62" i="27"/>
  <c r="AP65" i="27"/>
  <c r="AU35" i="27"/>
  <c r="AU21" i="27"/>
  <c r="AV35" i="27"/>
  <c r="AP19" i="22"/>
  <c r="AP21" i="26"/>
  <c r="AP35" i="22"/>
  <c r="AP63" i="22"/>
  <c r="AP60" i="22"/>
  <c r="AP63" i="27"/>
  <c r="AP47" i="27"/>
  <c r="AO66" i="22"/>
  <c r="J5" i="1" s="1"/>
  <c r="AN66" i="22"/>
  <c r="I5" i="1" s="1"/>
  <c r="AP37" i="27"/>
  <c r="A51" i="30"/>
  <c r="B53" i="30"/>
  <c r="B54" i="30"/>
  <c r="A52" i="30"/>
  <c r="A51" i="29"/>
  <c r="B53" i="29"/>
  <c r="A52" i="29"/>
  <c r="B54" i="29"/>
  <c r="A45" i="28"/>
  <c r="B47" i="28"/>
  <c r="B52" i="28"/>
  <c r="A50" i="28"/>
  <c r="AP16" i="26"/>
  <c r="AP9" i="22"/>
  <c r="AP4" i="26"/>
  <c r="AP36" i="27"/>
  <c r="AP26" i="22"/>
  <c r="AP50" i="26"/>
  <c r="AP42" i="22"/>
  <c r="AP45" i="26"/>
  <c r="AP45" i="27"/>
  <c r="AP54" i="27"/>
  <c r="AP53" i="27"/>
  <c r="AP38" i="27"/>
  <c r="AP34" i="27"/>
  <c r="AP10" i="22"/>
  <c r="AP29" i="27"/>
  <c r="AP39" i="27"/>
  <c r="AP30" i="27"/>
  <c r="AP35" i="27"/>
  <c r="AP22" i="26"/>
  <c r="AP22" i="27"/>
  <c r="AP18" i="27"/>
  <c r="H19" i="27"/>
  <c r="AO19" i="27" s="1"/>
  <c r="AV21" i="27" s="1"/>
  <c r="AP21" i="22"/>
  <c r="AP11" i="27"/>
  <c r="AP5" i="27"/>
  <c r="AP6" i="27"/>
  <c r="AP8" i="27"/>
  <c r="AP10" i="27"/>
  <c r="AP25" i="26"/>
  <c r="AP40" i="26"/>
  <c r="AP57" i="26"/>
  <c r="AP8" i="26"/>
  <c r="AU47" i="26"/>
  <c r="AP63" i="26"/>
  <c r="AV65" i="26"/>
  <c r="AV47" i="26"/>
  <c r="AP27" i="26"/>
  <c r="AP9" i="26"/>
  <c r="AP19" i="26"/>
  <c r="AP64" i="26"/>
  <c r="AP12" i="26"/>
  <c r="AP33" i="26"/>
  <c r="AP29" i="26"/>
  <c r="AP11" i="26"/>
  <c r="AP59" i="26"/>
  <c r="AU65" i="26"/>
  <c r="AP31" i="27"/>
  <c r="AP17" i="27"/>
  <c r="AP20" i="27"/>
  <c r="AP42" i="27"/>
  <c r="AP52" i="27"/>
  <c r="AP28" i="27"/>
  <c r="AP9" i="27"/>
  <c r="AP14" i="27"/>
  <c r="AP43" i="27"/>
  <c r="AP64" i="27"/>
  <c r="AP16" i="27"/>
  <c r="AP25" i="27"/>
  <c r="AP24" i="27"/>
  <c r="AP51" i="27"/>
  <c r="AP12" i="27"/>
  <c r="AP56" i="22"/>
  <c r="AP65" i="22"/>
  <c r="AP59" i="22"/>
  <c r="AP58" i="22"/>
  <c r="AP13" i="22"/>
  <c r="AP30" i="22"/>
  <c r="AP6" i="22"/>
  <c r="AP5" i="22"/>
  <c r="AP62" i="22"/>
  <c r="AP17" i="22"/>
  <c r="B9" i="22"/>
  <c r="A7" i="22"/>
  <c r="AP62" i="26"/>
  <c r="AP58" i="26"/>
  <c r="AP60" i="26"/>
  <c r="AP49" i="26"/>
  <c r="AP61" i="26"/>
  <c r="AP56" i="27"/>
  <c r="AP61" i="27"/>
  <c r="AP57" i="27"/>
  <c r="AP60" i="27"/>
  <c r="AP59" i="27"/>
  <c r="AP51" i="22"/>
  <c r="AP61" i="22"/>
  <c r="AP48" i="22"/>
  <c r="AP58" i="27"/>
  <c r="AP56" i="26"/>
  <c r="AP48" i="26"/>
  <c r="AV61" i="26"/>
  <c r="AP53" i="26"/>
  <c r="AP49" i="27"/>
  <c r="AP55" i="27"/>
  <c r="AP48" i="27"/>
  <c r="AP50" i="22"/>
  <c r="AP55" i="22"/>
  <c r="AP54" i="26"/>
  <c r="AP52" i="26"/>
  <c r="AU61" i="27"/>
  <c r="AP46" i="22"/>
  <c r="AP54" i="22"/>
  <c r="AP53" i="22"/>
  <c r="AP49" i="22"/>
  <c r="AP57" i="22"/>
  <c r="AP43" i="22"/>
  <c r="AP37" i="22"/>
  <c r="AP41" i="22"/>
  <c r="AP44" i="27"/>
  <c r="AP38" i="26"/>
  <c r="AP41" i="26"/>
  <c r="AP46" i="26"/>
  <c r="AP39" i="26"/>
  <c r="AP47" i="26"/>
  <c r="AP42" i="26"/>
  <c r="AV53" i="26"/>
  <c r="AP43" i="26"/>
  <c r="AP35" i="26"/>
  <c r="AP44" i="26"/>
  <c r="AP34" i="26"/>
  <c r="AV55" i="27"/>
  <c r="AP45" i="22"/>
  <c r="AP44" i="22"/>
  <c r="AP38" i="22"/>
  <c r="AP39" i="22"/>
  <c r="AP40" i="22"/>
  <c r="AP36" i="22"/>
  <c r="AP32" i="26"/>
  <c r="AP15" i="26"/>
  <c r="AP13" i="26"/>
  <c r="AP31" i="26"/>
  <c r="AP17" i="26"/>
  <c r="AP24" i="26"/>
  <c r="AP14" i="26"/>
  <c r="AP30" i="26"/>
  <c r="AV19" i="26"/>
  <c r="AP23" i="26"/>
  <c r="AP7" i="26"/>
  <c r="AU53" i="26"/>
  <c r="AV33" i="26"/>
  <c r="AO66" i="26"/>
  <c r="J27" i="1" s="1"/>
  <c r="AU19" i="26"/>
  <c r="AP6" i="26"/>
  <c r="AV49" i="26"/>
  <c r="AP37" i="26"/>
  <c r="AU61" i="26"/>
  <c r="AP65" i="26"/>
  <c r="AP28" i="26"/>
  <c r="AP18" i="26"/>
  <c r="AU33" i="26"/>
  <c r="AU39" i="26"/>
  <c r="AP10" i="26"/>
  <c r="AV39" i="26"/>
  <c r="AP26" i="26"/>
  <c r="AU49" i="26"/>
  <c r="AP36" i="26"/>
  <c r="AN66" i="26"/>
  <c r="I27" i="1" s="1"/>
  <c r="B12" i="26"/>
  <c r="A10" i="26"/>
  <c r="B11" i="26"/>
  <c r="A9" i="26"/>
  <c r="AP20" i="26"/>
  <c r="AP4" i="27"/>
  <c r="AV41" i="27"/>
  <c r="AV39" i="27"/>
  <c r="AP26" i="27"/>
  <c r="AP21" i="27"/>
  <c r="AP33" i="27"/>
  <c r="AP15" i="27"/>
  <c r="AP32" i="27"/>
  <c r="AP13" i="27"/>
  <c r="AP7" i="27"/>
  <c r="AP23" i="27"/>
  <c r="AP27" i="27"/>
  <c r="AU39" i="27"/>
  <c r="AP41" i="27"/>
  <c r="AN66" i="27"/>
  <c r="I23" i="1" s="1"/>
  <c r="AP46" i="27"/>
  <c r="AU55" i="27"/>
  <c r="AU41" i="27"/>
  <c r="AP40" i="27"/>
  <c r="AU53" i="27"/>
  <c r="AP50" i="27"/>
  <c r="A9" i="27"/>
  <c r="B11" i="27"/>
  <c r="AV53" i="27"/>
  <c r="AV61" i="27"/>
  <c r="B12" i="27"/>
  <c r="A10" i="27"/>
  <c r="AP23" i="22"/>
  <c r="AP12" i="22"/>
  <c r="AP8" i="22"/>
  <c r="AP14" i="22"/>
  <c r="AP16" i="22"/>
  <c r="AP27" i="22"/>
  <c r="AP22" i="22"/>
  <c r="AP28" i="22"/>
  <c r="AP25" i="22"/>
  <c r="AP29" i="22"/>
  <c r="AP24" i="22"/>
  <c r="AP33" i="22"/>
  <c r="AP31" i="22"/>
  <c r="B12" i="22"/>
  <c r="A10" i="22"/>
  <c r="AP47" i="22"/>
  <c r="AP7" i="22"/>
  <c r="AP52" i="22"/>
  <c r="AP20" i="22"/>
  <c r="AP11" i="22"/>
  <c r="AP32" i="22"/>
  <c r="AP15" i="22"/>
  <c r="M5" i="1" l="1"/>
  <c r="N5" i="1" s="1"/>
  <c r="AP66" i="22"/>
  <c r="A54" i="30"/>
  <c r="B56" i="30"/>
  <c r="A53" i="30"/>
  <c r="B55" i="30"/>
  <c r="B56" i="29"/>
  <c r="A54" i="29"/>
  <c r="A53" i="29"/>
  <c r="B55" i="29"/>
  <c r="B54" i="28"/>
  <c r="A52" i="28"/>
  <c r="A47" i="28"/>
  <c r="B49" i="28"/>
  <c r="AO66" i="27"/>
  <c r="J23" i="1" s="1"/>
  <c r="M23" i="1" s="1"/>
  <c r="N23" i="1" s="1"/>
  <c r="AP19" i="27"/>
  <c r="A9" i="22"/>
  <c r="B11" i="22"/>
  <c r="M27" i="1"/>
  <c r="N27" i="1" s="1"/>
  <c r="A11" i="26"/>
  <c r="B13" i="26"/>
  <c r="A12" i="26"/>
  <c r="B14" i="26"/>
  <c r="A11" i="27"/>
  <c r="B13" i="27"/>
  <c r="A12" i="27"/>
  <c r="B14" i="27"/>
  <c r="A12" i="22"/>
  <c r="B14" i="22"/>
  <c r="A55" i="30" l="1"/>
  <c r="B57" i="30"/>
  <c r="B58" i="30"/>
  <c r="A56" i="30"/>
  <c r="A55" i="29"/>
  <c r="B57" i="29"/>
  <c r="A56" i="29"/>
  <c r="B58" i="29"/>
  <c r="A49" i="28"/>
  <c r="B51" i="28"/>
  <c r="B56" i="28"/>
  <c r="A54" i="28"/>
  <c r="B13" i="22"/>
  <c r="A11" i="22"/>
  <c r="A13" i="26"/>
  <c r="B15" i="26"/>
  <c r="B16" i="26"/>
  <c r="A14" i="26"/>
  <c r="B16" i="27"/>
  <c r="A14" i="27"/>
  <c r="A13" i="27"/>
  <c r="B15" i="27"/>
  <c r="B16" i="22"/>
  <c r="A14" i="22"/>
  <c r="A58" i="30" l="1"/>
  <c r="B60" i="30"/>
  <c r="A57" i="30"/>
  <c r="B59" i="30"/>
  <c r="B60" i="29"/>
  <c r="A58" i="29"/>
  <c r="A57" i="29"/>
  <c r="B59" i="29"/>
  <c r="B58" i="28"/>
  <c r="A56" i="28"/>
  <c r="A51" i="28"/>
  <c r="B53" i="28"/>
  <c r="A13" i="22"/>
  <c r="B15" i="22"/>
  <c r="A16" i="26"/>
  <c r="B18" i="26"/>
  <c r="A15" i="26"/>
  <c r="B17" i="26"/>
  <c r="A15" i="27"/>
  <c r="B17" i="27"/>
  <c r="A16" i="27"/>
  <c r="B18" i="27"/>
  <c r="A16" i="22"/>
  <c r="B18" i="22"/>
  <c r="AS19" i="11"/>
  <c r="B62" i="30" l="1"/>
  <c r="A60" i="30"/>
  <c r="A59" i="30"/>
  <c r="B61" i="30"/>
  <c r="A59" i="29"/>
  <c r="B61" i="29"/>
  <c r="A60" i="29"/>
  <c r="B62" i="29"/>
  <c r="A53" i="28"/>
  <c r="B55" i="28"/>
  <c r="B60" i="28"/>
  <c r="A58" i="28"/>
  <c r="B17" i="22"/>
  <c r="A15" i="22"/>
  <c r="B20" i="26"/>
  <c r="A18" i="26"/>
  <c r="B19" i="26"/>
  <c r="A17" i="26"/>
  <c r="B20" i="27"/>
  <c r="A18" i="27"/>
  <c r="A17" i="27"/>
  <c r="B19" i="27"/>
  <c r="B20" i="22"/>
  <c r="A18" i="22"/>
  <c r="A62" i="30" l="1"/>
  <c r="B64" i="30"/>
  <c r="A64" i="30" s="1"/>
  <c r="A61" i="30"/>
  <c r="B63" i="30"/>
  <c r="A61" i="29"/>
  <c r="B63" i="29"/>
  <c r="B64" i="29"/>
  <c r="A64" i="29" s="1"/>
  <c r="A62" i="29"/>
  <c r="B62" i="28"/>
  <c r="A60" i="28"/>
  <c r="A55" i="28"/>
  <c r="B57" i="28"/>
  <c r="B19" i="22"/>
  <c r="A17" i="22"/>
  <c r="B21" i="26"/>
  <c r="A19" i="26"/>
  <c r="B22" i="26"/>
  <c r="A20" i="26"/>
  <c r="B22" i="27"/>
  <c r="A20" i="27"/>
  <c r="A19" i="27"/>
  <c r="B21" i="27"/>
  <c r="B22" i="22"/>
  <c r="A20" i="22"/>
  <c r="A63" i="30" l="1"/>
  <c r="B65" i="30"/>
  <c r="A65" i="30" s="1"/>
  <c r="A63" i="29"/>
  <c r="B65" i="29"/>
  <c r="A65" i="29" s="1"/>
  <c r="B64" i="28"/>
  <c r="A64" i="28" s="1"/>
  <c r="A62" i="28"/>
  <c r="A57" i="28"/>
  <c r="B59" i="28"/>
  <c r="B21" i="22"/>
  <c r="A19" i="22"/>
  <c r="A22" i="26"/>
  <c r="B24" i="26"/>
  <c r="B23" i="26"/>
  <c r="A21" i="26"/>
  <c r="B23" i="27"/>
  <c r="A21" i="27"/>
  <c r="B24" i="27"/>
  <c r="A22" i="27"/>
  <c r="A22" i="22"/>
  <c r="B24" i="22"/>
  <c r="M34" i="1"/>
  <c r="M35" i="1"/>
  <c r="M36" i="1"/>
  <c r="M37" i="1"/>
  <c r="M38" i="1"/>
  <c r="M39" i="1"/>
  <c r="M40" i="1"/>
  <c r="M41" i="1"/>
  <c r="M42" i="1"/>
  <c r="A59" i="28" l="1"/>
  <c r="B61" i="28"/>
  <c r="A21" i="22"/>
  <c r="B23" i="22"/>
  <c r="B25" i="26"/>
  <c r="A23" i="26"/>
  <c r="B26" i="26"/>
  <c r="A24" i="26"/>
  <c r="B26" i="27"/>
  <c r="A24" i="27"/>
  <c r="A23" i="27"/>
  <c r="B25" i="27"/>
  <c r="B26" i="22"/>
  <c r="A24" i="22"/>
  <c r="A61" i="28" l="1"/>
  <c r="B63" i="28"/>
  <c r="B25" i="22"/>
  <c r="A23" i="22"/>
  <c r="A26" i="26"/>
  <c r="B28" i="26"/>
  <c r="A25" i="26"/>
  <c r="B27" i="26"/>
  <c r="B28" i="27"/>
  <c r="A26" i="27"/>
  <c r="A25" i="27"/>
  <c r="B27" i="27"/>
  <c r="B28" i="22"/>
  <c r="A26" i="22"/>
  <c r="AB34" i="14"/>
  <c r="A63" i="28" l="1"/>
  <c r="B65" i="28"/>
  <c r="A65" i="28" s="1"/>
  <c r="A25" i="22"/>
  <c r="B27" i="22"/>
  <c r="B30" i="26"/>
  <c r="A28" i="26"/>
  <c r="B29" i="26"/>
  <c r="A27" i="26"/>
  <c r="A27" i="27"/>
  <c r="B29" i="27"/>
  <c r="A28" i="27"/>
  <c r="B30" i="27"/>
  <c r="B30" i="22"/>
  <c r="A28" i="22"/>
  <c r="R26" i="12"/>
  <c r="S26" i="12"/>
  <c r="T26" i="12"/>
  <c r="R27" i="12"/>
  <c r="S27" i="12"/>
  <c r="T27" i="12"/>
  <c r="R28" i="12"/>
  <c r="S28" i="12"/>
  <c r="T28" i="12"/>
  <c r="R29" i="12"/>
  <c r="S29" i="12"/>
  <c r="T29" i="12"/>
  <c r="R30" i="12"/>
  <c r="S30" i="12"/>
  <c r="T30" i="12"/>
  <c r="R31" i="12"/>
  <c r="S31" i="12"/>
  <c r="T31" i="12"/>
  <c r="R32" i="12"/>
  <c r="S32" i="12"/>
  <c r="T32" i="12"/>
  <c r="R33" i="12"/>
  <c r="S33" i="12"/>
  <c r="T33" i="12"/>
  <c r="R34" i="12"/>
  <c r="S34" i="12"/>
  <c r="T34" i="12"/>
  <c r="R35" i="12"/>
  <c r="S35" i="12"/>
  <c r="T35" i="12"/>
  <c r="B29" i="22" l="1"/>
  <c r="A27" i="22"/>
  <c r="A29" i="26"/>
  <c r="B31" i="26"/>
  <c r="A30" i="26"/>
  <c r="B32" i="26"/>
  <c r="B32" i="27"/>
  <c r="A30" i="27"/>
  <c r="A29" i="27"/>
  <c r="B31" i="27"/>
  <c r="B32" i="22"/>
  <c r="A30" i="22"/>
  <c r="AQ1" i="17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29" i="22" l="1"/>
  <c r="B31" i="22"/>
  <c r="B34" i="26"/>
  <c r="A32" i="26"/>
  <c r="B33" i="26"/>
  <c r="A31" i="26"/>
  <c r="A31" i="27"/>
  <c r="B33" i="27"/>
  <c r="A32" i="27"/>
  <c r="B34" i="27"/>
  <c r="B34" i="22"/>
  <c r="A32" i="22"/>
  <c r="B33" i="22" l="1"/>
  <c r="A31" i="22"/>
  <c r="B35" i="26"/>
  <c r="A33" i="26"/>
  <c r="A34" i="26"/>
  <c r="B36" i="26"/>
  <c r="B36" i="27"/>
  <c r="A34" i="27"/>
  <c r="A33" i="27"/>
  <c r="B35" i="27"/>
  <c r="A34" i="22"/>
  <c r="B36" i="22"/>
  <c r="B35" i="22" l="1"/>
  <c r="A33" i="22"/>
  <c r="A36" i="26"/>
  <c r="B38" i="26"/>
  <c r="A35" i="26"/>
  <c r="B37" i="26"/>
  <c r="A35" i="27"/>
  <c r="B37" i="27"/>
  <c r="A36" i="27"/>
  <c r="B38" i="27"/>
  <c r="B38" i="22"/>
  <c r="A36" i="22"/>
  <c r="AK44" i="18"/>
  <c r="AL44" i="18"/>
  <c r="AK45" i="18"/>
  <c r="AL45" i="18"/>
  <c r="AK46" i="18"/>
  <c r="AL46" i="18"/>
  <c r="AK47" i="18"/>
  <c r="AL47" i="18"/>
  <c r="AK48" i="18"/>
  <c r="AL48" i="18"/>
  <c r="AK49" i="18"/>
  <c r="AL49" i="18"/>
  <c r="AK50" i="18"/>
  <c r="AL50" i="18"/>
  <c r="AK51" i="18"/>
  <c r="AL51" i="18"/>
  <c r="B37" i="22" l="1"/>
  <c r="A35" i="22"/>
  <c r="B39" i="26"/>
  <c r="A37" i="26"/>
  <c r="B40" i="26"/>
  <c r="A38" i="26"/>
  <c r="A38" i="27"/>
  <c r="B40" i="27"/>
  <c r="A37" i="27"/>
  <c r="B39" i="27"/>
  <c r="A38" i="22"/>
  <c r="B40" i="22"/>
  <c r="A37" i="22" l="1"/>
  <c r="B39" i="22"/>
  <c r="A40" i="26"/>
  <c r="B42" i="26"/>
  <c r="B41" i="26"/>
  <c r="A39" i="26"/>
  <c r="B41" i="27"/>
  <c r="A39" i="27"/>
  <c r="B42" i="27"/>
  <c r="A40" i="27"/>
  <c r="B42" i="22"/>
  <c r="A40" i="22"/>
  <c r="AS29" i="8"/>
  <c r="B41" i="22" l="1"/>
  <c r="A39" i="22"/>
  <c r="A41" i="26"/>
  <c r="B43" i="26"/>
  <c r="B44" i="26"/>
  <c r="A42" i="26"/>
  <c r="A42" i="27"/>
  <c r="B44" i="27"/>
  <c r="B43" i="27"/>
  <c r="A41" i="27"/>
  <c r="B44" i="22"/>
  <c r="A42" i="22"/>
  <c r="AG16" i="5"/>
  <c r="AG17" i="5"/>
  <c r="AG18" i="5"/>
  <c r="AG19" i="5"/>
  <c r="AG20" i="5"/>
  <c r="AG21" i="5"/>
  <c r="AG22" i="5"/>
  <c r="AG23" i="5"/>
  <c r="AG24" i="5"/>
  <c r="AG25" i="5"/>
  <c r="A41" i="22" l="1"/>
  <c r="B43" i="22"/>
  <c r="A44" i="26"/>
  <c r="B46" i="26"/>
  <c r="A43" i="26"/>
  <c r="B45" i="26"/>
  <c r="A43" i="27"/>
  <c r="B45" i="27"/>
  <c r="B46" i="27"/>
  <c r="A44" i="27"/>
  <c r="B46" i="22"/>
  <c r="A44" i="22"/>
  <c r="M47" i="1"/>
  <c r="M48" i="1"/>
  <c r="M50" i="1"/>
  <c r="M51" i="1"/>
  <c r="M52" i="1"/>
  <c r="M53" i="1"/>
  <c r="M54" i="1"/>
  <c r="M55" i="1"/>
  <c r="M57" i="1"/>
  <c r="M58" i="1"/>
  <c r="M46" i="1"/>
  <c r="B45" i="22" l="1"/>
  <c r="A43" i="22"/>
  <c r="B47" i="26"/>
  <c r="A45" i="26"/>
  <c r="B48" i="26"/>
  <c r="A46" i="26"/>
  <c r="A46" i="27"/>
  <c r="B48" i="27"/>
  <c r="A45" i="27"/>
  <c r="B47" i="27"/>
  <c r="B48" i="22"/>
  <c r="A46" i="22"/>
  <c r="K18" i="1"/>
  <c r="A45" i="22" l="1"/>
  <c r="B47" i="22"/>
  <c r="B50" i="26"/>
  <c r="A48" i="26"/>
  <c r="A47" i="26"/>
  <c r="B49" i="26"/>
  <c r="B50" i="27"/>
  <c r="A48" i="27"/>
  <c r="A47" i="27"/>
  <c r="B49" i="27"/>
  <c r="B50" i="22"/>
  <c r="A48" i="22"/>
  <c r="G4" i="12"/>
  <c r="G5" i="12"/>
  <c r="G6" i="12"/>
  <c r="G7" i="12"/>
  <c r="B49" i="22" l="1"/>
  <c r="A47" i="22"/>
  <c r="B51" i="26"/>
  <c r="A49" i="26"/>
  <c r="B52" i="26"/>
  <c r="A50" i="26"/>
  <c r="A49" i="27"/>
  <c r="B51" i="27"/>
  <c r="A50" i="27"/>
  <c r="B52" i="27"/>
  <c r="A50" i="22"/>
  <c r="B52" i="22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AF5" i="3"/>
  <c r="AG5" i="3"/>
  <c r="AF6" i="3"/>
  <c r="AG6" i="3"/>
  <c r="AF7" i="3"/>
  <c r="AG7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20" i="3"/>
  <c r="AG20" i="3"/>
  <c r="AF21" i="3"/>
  <c r="AG21" i="3"/>
  <c r="AF22" i="3"/>
  <c r="AG22" i="3"/>
  <c r="AF23" i="3"/>
  <c r="AG23" i="3"/>
  <c r="AF24" i="3"/>
  <c r="AG24" i="3"/>
  <c r="AF25" i="3"/>
  <c r="AG25" i="3"/>
  <c r="AF26" i="3"/>
  <c r="AG26" i="3"/>
  <c r="AF27" i="3"/>
  <c r="AG27" i="3"/>
  <c r="AF28" i="3"/>
  <c r="AG28" i="3"/>
  <c r="AF29" i="3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F45" i="3"/>
  <c r="AG45" i="3"/>
  <c r="AF46" i="3"/>
  <c r="AG46" i="3"/>
  <c r="AF47" i="3"/>
  <c r="AG47" i="3"/>
  <c r="AF48" i="3"/>
  <c r="AG48" i="3"/>
  <c r="AF49" i="3"/>
  <c r="AG49" i="3"/>
  <c r="AF50" i="3"/>
  <c r="AG50" i="3"/>
  <c r="AF51" i="3"/>
  <c r="AG51" i="3"/>
  <c r="AF52" i="3"/>
  <c r="AG52" i="3"/>
  <c r="AF53" i="3"/>
  <c r="AG53" i="3"/>
  <c r="AF54" i="3"/>
  <c r="AG54" i="3"/>
  <c r="AF55" i="3"/>
  <c r="AG55" i="3"/>
  <c r="AF56" i="3"/>
  <c r="AG56" i="3"/>
  <c r="AF57" i="3"/>
  <c r="AG57" i="3"/>
  <c r="AF58" i="3"/>
  <c r="AG58" i="3"/>
  <c r="AF59" i="3"/>
  <c r="AG59" i="3"/>
  <c r="AF60" i="3"/>
  <c r="AG60" i="3"/>
  <c r="AF61" i="3"/>
  <c r="AG61" i="3"/>
  <c r="AF62" i="3"/>
  <c r="AG62" i="3"/>
  <c r="AF63" i="3"/>
  <c r="AG63" i="3"/>
  <c r="AF64" i="3"/>
  <c r="AG64" i="3"/>
  <c r="AF65" i="3"/>
  <c r="AG65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R46" i="3"/>
  <c r="S46" i="3"/>
  <c r="T46" i="3"/>
  <c r="R47" i="3"/>
  <c r="S47" i="3"/>
  <c r="T47" i="3"/>
  <c r="R48" i="3"/>
  <c r="S48" i="3"/>
  <c r="T48" i="3"/>
  <c r="R49" i="3"/>
  <c r="S49" i="3"/>
  <c r="T49" i="3"/>
  <c r="R50" i="3"/>
  <c r="S50" i="3"/>
  <c r="T50" i="3"/>
  <c r="R51" i="3"/>
  <c r="S51" i="3"/>
  <c r="T51" i="3"/>
  <c r="R52" i="3"/>
  <c r="S52" i="3"/>
  <c r="T52" i="3"/>
  <c r="R53" i="3"/>
  <c r="S53" i="3"/>
  <c r="T53" i="3"/>
  <c r="R54" i="3"/>
  <c r="S54" i="3"/>
  <c r="T54" i="3"/>
  <c r="R55" i="3"/>
  <c r="S55" i="3"/>
  <c r="T55" i="3"/>
  <c r="R56" i="3"/>
  <c r="S56" i="3"/>
  <c r="T56" i="3"/>
  <c r="R57" i="3"/>
  <c r="S57" i="3"/>
  <c r="T57" i="3"/>
  <c r="R58" i="3"/>
  <c r="S58" i="3"/>
  <c r="T58" i="3"/>
  <c r="R59" i="3"/>
  <c r="S59" i="3"/>
  <c r="T5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5" i="3"/>
  <c r="S65" i="3"/>
  <c r="T65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A49" i="22" l="1"/>
  <c r="B51" i="22"/>
  <c r="B54" i="26"/>
  <c r="A52" i="26"/>
  <c r="B53" i="26"/>
  <c r="A51" i="26"/>
  <c r="A52" i="27"/>
  <c r="B54" i="27"/>
  <c r="A51" i="27"/>
  <c r="B53" i="27"/>
  <c r="B54" i="22"/>
  <c r="A52" i="22"/>
  <c r="G43" i="1"/>
  <c r="H43" i="1"/>
  <c r="I43" i="1"/>
  <c r="J43" i="1"/>
  <c r="B53" i="22" l="1"/>
  <c r="A51" i="22"/>
  <c r="B55" i="26"/>
  <c r="A53" i="26"/>
  <c r="A54" i="26"/>
  <c r="B56" i="26"/>
  <c r="B55" i="27"/>
  <c r="A53" i="27"/>
  <c r="B56" i="27"/>
  <c r="A54" i="27"/>
  <c r="A54" i="22"/>
  <c r="B56" i="22"/>
  <c r="AS49" i="8"/>
  <c r="A53" i="22" l="1"/>
  <c r="B55" i="22"/>
  <c r="B58" i="26"/>
  <c r="A56" i="26"/>
  <c r="B57" i="26"/>
  <c r="A55" i="26"/>
  <c r="A56" i="27"/>
  <c r="B58" i="27"/>
  <c r="B57" i="27"/>
  <c r="A55" i="27"/>
  <c r="B58" i="22"/>
  <c r="A56" i="22"/>
  <c r="B57" i="22" l="1"/>
  <c r="A55" i="22"/>
  <c r="A57" i="26"/>
  <c r="B59" i="26"/>
  <c r="A58" i="26"/>
  <c r="B60" i="26"/>
  <c r="A57" i="27"/>
  <c r="B59" i="27"/>
  <c r="B60" i="27"/>
  <c r="A58" i="27"/>
  <c r="B60" i="22"/>
  <c r="A58" i="22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A57" i="22" l="1"/>
  <c r="B59" i="22"/>
  <c r="B62" i="26"/>
  <c r="A60" i="26"/>
  <c r="B61" i="26"/>
  <c r="A59" i="26"/>
  <c r="B62" i="27"/>
  <c r="A60" i="27"/>
  <c r="A59" i="27"/>
  <c r="B61" i="27"/>
  <c r="B62" i="22"/>
  <c r="A60" i="22"/>
  <c r="AA4" i="21"/>
  <c r="AB4" i="21"/>
  <c r="AA5" i="21"/>
  <c r="AB5" i="21"/>
  <c r="AA6" i="21"/>
  <c r="AB6" i="21"/>
  <c r="AA7" i="21"/>
  <c r="AB7" i="21"/>
  <c r="AA8" i="21"/>
  <c r="AB8" i="21"/>
  <c r="AA9" i="21"/>
  <c r="AB9" i="21"/>
  <c r="AA10" i="21"/>
  <c r="AB10" i="21"/>
  <c r="AA11" i="21"/>
  <c r="AB11" i="21"/>
  <c r="AA12" i="21"/>
  <c r="AB12" i="21"/>
  <c r="AA13" i="21"/>
  <c r="AB13" i="21"/>
  <c r="AA14" i="21"/>
  <c r="AB14" i="21"/>
  <c r="AA15" i="21"/>
  <c r="AB15" i="21"/>
  <c r="AA16" i="21"/>
  <c r="AB16" i="21"/>
  <c r="AA17" i="21"/>
  <c r="AB17" i="21"/>
  <c r="AA18" i="21"/>
  <c r="AB18" i="21"/>
  <c r="AA19" i="21"/>
  <c r="AB19" i="21"/>
  <c r="AA20" i="21"/>
  <c r="AB20" i="21"/>
  <c r="AA21" i="21"/>
  <c r="AB21" i="21"/>
  <c r="AA22" i="21"/>
  <c r="AB22" i="21"/>
  <c r="AA23" i="21"/>
  <c r="AB23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4" i="21"/>
  <c r="AB34" i="21"/>
  <c r="AA35" i="21"/>
  <c r="AB35" i="21"/>
  <c r="AA36" i="21"/>
  <c r="AB36" i="21"/>
  <c r="AA37" i="21"/>
  <c r="AB37" i="21"/>
  <c r="AA38" i="21"/>
  <c r="AB38" i="21"/>
  <c r="AA39" i="21"/>
  <c r="AB39" i="21"/>
  <c r="AA40" i="21"/>
  <c r="AB40" i="21"/>
  <c r="AA41" i="21"/>
  <c r="AB41" i="21"/>
  <c r="AA42" i="21"/>
  <c r="AB42" i="21"/>
  <c r="AA43" i="21"/>
  <c r="AB43" i="21"/>
  <c r="AA44" i="21"/>
  <c r="AB44" i="21"/>
  <c r="AA45" i="21"/>
  <c r="AB45" i="21"/>
  <c r="AA46" i="21"/>
  <c r="AB46" i="21"/>
  <c r="AA47" i="21"/>
  <c r="AB47" i="21"/>
  <c r="AA48" i="21"/>
  <c r="AB48" i="21"/>
  <c r="AA49" i="21"/>
  <c r="AB49" i="21"/>
  <c r="AA50" i="21"/>
  <c r="AB50" i="21"/>
  <c r="AA51" i="21"/>
  <c r="AB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B61" i="22" l="1"/>
  <c r="A59" i="22"/>
  <c r="B63" i="26"/>
  <c r="A61" i="26"/>
  <c r="A62" i="26"/>
  <c r="B64" i="26"/>
  <c r="A64" i="26" s="1"/>
  <c r="B63" i="27"/>
  <c r="A61" i="27"/>
  <c r="A62" i="27"/>
  <c r="B64" i="27"/>
  <c r="A64" i="27" s="1"/>
  <c r="A62" i="22"/>
  <c r="B64" i="22"/>
  <c r="A64" i="22" s="1"/>
  <c r="A61" i="22" l="1"/>
  <c r="B63" i="22"/>
  <c r="A63" i="26"/>
  <c r="B65" i="26"/>
  <c r="A65" i="26" s="1"/>
  <c r="B65" i="27"/>
  <c r="A65" i="27" s="1"/>
  <c r="A63" i="27"/>
  <c r="AS53" i="8"/>
  <c r="B65" i="22" l="1"/>
  <c r="A65" i="22" s="1"/>
  <c r="A63" i="22"/>
  <c r="R6" i="21"/>
  <c r="AM6" i="21" s="1"/>
  <c r="S6" i="21"/>
  <c r="T6" i="21"/>
  <c r="AF6" i="21"/>
  <c r="AG6" i="21"/>
  <c r="AK6" i="21"/>
  <c r="AL6" i="21"/>
  <c r="R7" i="21"/>
  <c r="AM7" i="21" s="1"/>
  <c r="S7" i="21"/>
  <c r="T7" i="21"/>
  <c r="AF7" i="21"/>
  <c r="AG7" i="21"/>
  <c r="AK7" i="21"/>
  <c r="AL7" i="21"/>
  <c r="R8" i="21"/>
  <c r="S8" i="21"/>
  <c r="T8" i="21"/>
  <c r="AF8" i="21"/>
  <c r="AG8" i="21"/>
  <c r="AK8" i="21"/>
  <c r="AL8" i="21"/>
  <c r="R9" i="21"/>
  <c r="AM9" i="21" s="1"/>
  <c r="S9" i="21"/>
  <c r="T9" i="21"/>
  <c r="AF9" i="21"/>
  <c r="AG9" i="21"/>
  <c r="AK9" i="21"/>
  <c r="AL9" i="21"/>
  <c r="R10" i="21"/>
  <c r="AM10" i="21" s="1"/>
  <c r="S10" i="21"/>
  <c r="T10" i="21"/>
  <c r="AF10" i="21"/>
  <c r="AG10" i="21"/>
  <c r="AK10" i="21"/>
  <c r="AL10" i="21"/>
  <c r="R11" i="21"/>
  <c r="AM11" i="21" s="1"/>
  <c r="S11" i="21"/>
  <c r="T11" i="21"/>
  <c r="AF11" i="21"/>
  <c r="AG11" i="21"/>
  <c r="AK11" i="21"/>
  <c r="AL11" i="21"/>
  <c r="R12" i="21"/>
  <c r="AM12" i="21" s="1"/>
  <c r="S12" i="21"/>
  <c r="T12" i="21"/>
  <c r="AF12" i="21"/>
  <c r="AG12" i="21"/>
  <c r="AK12" i="21"/>
  <c r="AL12" i="21"/>
  <c r="R13" i="21"/>
  <c r="AM13" i="21" s="1"/>
  <c r="S13" i="21"/>
  <c r="T13" i="21"/>
  <c r="AF13" i="21"/>
  <c r="AG13" i="21"/>
  <c r="AK13" i="21"/>
  <c r="AL13" i="21"/>
  <c r="R14" i="21"/>
  <c r="AM14" i="21" s="1"/>
  <c r="S14" i="21"/>
  <c r="T14" i="21"/>
  <c r="AF14" i="21"/>
  <c r="AG14" i="21"/>
  <c r="AK14" i="21"/>
  <c r="AL14" i="21"/>
  <c r="R15" i="21"/>
  <c r="AM15" i="21" s="1"/>
  <c r="S15" i="21"/>
  <c r="T15" i="21"/>
  <c r="AF15" i="21"/>
  <c r="AG15" i="21"/>
  <c r="AK15" i="21"/>
  <c r="AL15" i="21"/>
  <c r="R16" i="21"/>
  <c r="AM16" i="21" s="1"/>
  <c r="S16" i="21"/>
  <c r="T16" i="21"/>
  <c r="AF16" i="21"/>
  <c r="AG16" i="21"/>
  <c r="AK16" i="21"/>
  <c r="AL16" i="21"/>
  <c r="R17" i="21"/>
  <c r="AM17" i="21" s="1"/>
  <c r="S17" i="21"/>
  <c r="T17" i="21"/>
  <c r="AF17" i="21"/>
  <c r="AG17" i="21"/>
  <c r="AK17" i="21"/>
  <c r="AL17" i="21"/>
  <c r="R18" i="21"/>
  <c r="AM18" i="21" s="1"/>
  <c r="S18" i="21"/>
  <c r="T18" i="21"/>
  <c r="AF18" i="21"/>
  <c r="AG18" i="21"/>
  <c r="AK18" i="21"/>
  <c r="AL18" i="21"/>
  <c r="R19" i="21"/>
  <c r="AM19" i="21" s="1"/>
  <c r="S19" i="21"/>
  <c r="T19" i="21"/>
  <c r="AF19" i="21"/>
  <c r="AG19" i="21"/>
  <c r="AK19" i="21"/>
  <c r="AL19" i="21"/>
  <c r="R20" i="21"/>
  <c r="AM20" i="21" s="1"/>
  <c r="S20" i="21"/>
  <c r="T20" i="21"/>
  <c r="AF20" i="21"/>
  <c r="AG20" i="21"/>
  <c r="AK20" i="21"/>
  <c r="AL20" i="21"/>
  <c r="R21" i="21"/>
  <c r="AM21" i="21" s="1"/>
  <c r="S21" i="21"/>
  <c r="T21" i="21"/>
  <c r="AF21" i="21"/>
  <c r="AG21" i="21"/>
  <c r="AK21" i="21"/>
  <c r="AL21" i="21"/>
  <c r="R22" i="21"/>
  <c r="AM22" i="21" s="1"/>
  <c r="S22" i="21"/>
  <c r="T22" i="21"/>
  <c r="AF22" i="21"/>
  <c r="AG22" i="21"/>
  <c r="AK22" i="21"/>
  <c r="AL22" i="21"/>
  <c r="R23" i="21"/>
  <c r="AM23" i="21" s="1"/>
  <c r="S23" i="21"/>
  <c r="T23" i="21"/>
  <c r="AF23" i="21"/>
  <c r="AG23" i="21"/>
  <c r="AK23" i="21"/>
  <c r="AL23" i="21"/>
  <c r="R24" i="21"/>
  <c r="AM24" i="21" s="1"/>
  <c r="S24" i="21"/>
  <c r="T24" i="21"/>
  <c r="AF24" i="21"/>
  <c r="AG24" i="21"/>
  <c r="AK24" i="21"/>
  <c r="AL24" i="21"/>
  <c r="R25" i="21"/>
  <c r="AM25" i="21" s="1"/>
  <c r="S25" i="21"/>
  <c r="T25" i="21"/>
  <c r="AF25" i="21"/>
  <c r="AG25" i="21"/>
  <c r="AK25" i="21"/>
  <c r="AL25" i="21"/>
  <c r="R26" i="21"/>
  <c r="AM26" i="21" s="1"/>
  <c r="S26" i="21"/>
  <c r="T26" i="21"/>
  <c r="AF26" i="21"/>
  <c r="AG26" i="21"/>
  <c r="AK26" i="21"/>
  <c r="AL26" i="21"/>
  <c r="R27" i="21"/>
  <c r="AM27" i="21" s="1"/>
  <c r="S27" i="21"/>
  <c r="T27" i="21"/>
  <c r="AF27" i="21"/>
  <c r="AG27" i="21"/>
  <c r="AK27" i="21"/>
  <c r="AL27" i="21"/>
  <c r="R28" i="21"/>
  <c r="AM28" i="21" s="1"/>
  <c r="S28" i="21"/>
  <c r="T28" i="21"/>
  <c r="AF28" i="21"/>
  <c r="AG28" i="21"/>
  <c r="AK28" i="21"/>
  <c r="AL28" i="21"/>
  <c r="R29" i="21"/>
  <c r="AM29" i="21" s="1"/>
  <c r="S29" i="21"/>
  <c r="T29" i="21"/>
  <c r="AF29" i="21"/>
  <c r="AG29" i="21"/>
  <c r="AK29" i="21"/>
  <c r="AL29" i="21"/>
  <c r="R30" i="21"/>
  <c r="AM30" i="21" s="1"/>
  <c r="S30" i="21"/>
  <c r="T30" i="21"/>
  <c r="AF30" i="21"/>
  <c r="AG30" i="21"/>
  <c r="AK30" i="21"/>
  <c r="AL30" i="21"/>
  <c r="R31" i="21"/>
  <c r="AM31" i="21" s="1"/>
  <c r="S31" i="21"/>
  <c r="T31" i="21"/>
  <c r="AF31" i="21"/>
  <c r="AG31" i="21"/>
  <c r="AK31" i="21"/>
  <c r="AL31" i="21"/>
  <c r="R32" i="21"/>
  <c r="AM32" i="21" s="1"/>
  <c r="S32" i="21"/>
  <c r="T32" i="21"/>
  <c r="AF32" i="21"/>
  <c r="AG32" i="21"/>
  <c r="AK32" i="21"/>
  <c r="AL32" i="21"/>
  <c r="R33" i="21"/>
  <c r="AM33" i="21" s="1"/>
  <c r="S33" i="21"/>
  <c r="T33" i="21"/>
  <c r="AF33" i="21"/>
  <c r="AG33" i="21"/>
  <c r="AK33" i="21"/>
  <c r="AL33" i="21"/>
  <c r="R34" i="21"/>
  <c r="AM34" i="21" s="1"/>
  <c r="S34" i="21"/>
  <c r="T34" i="21"/>
  <c r="AF34" i="21"/>
  <c r="AG34" i="21"/>
  <c r="AK34" i="21"/>
  <c r="AL34" i="21"/>
  <c r="R35" i="21"/>
  <c r="AM35" i="21" s="1"/>
  <c r="S35" i="21"/>
  <c r="T35" i="21"/>
  <c r="AF35" i="21"/>
  <c r="AG35" i="21"/>
  <c r="AK35" i="21"/>
  <c r="AL35" i="21"/>
  <c r="R36" i="21"/>
  <c r="AM36" i="21" s="1"/>
  <c r="S36" i="21"/>
  <c r="T36" i="21"/>
  <c r="AF36" i="21"/>
  <c r="AG36" i="21"/>
  <c r="AK36" i="21"/>
  <c r="AL36" i="21"/>
  <c r="R37" i="21"/>
  <c r="AM37" i="21" s="1"/>
  <c r="S37" i="21"/>
  <c r="T37" i="21"/>
  <c r="AF37" i="21"/>
  <c r="AG37" i="21"/>
  <c r="AK37" i="21"/>
  <c r="AL37" i="21"/>
  <c r="R38" i="21"/>
  <c r="S38" i="21"/>
  <c r="T38" i="21"/>
  <c r="AF38" i="21"/>
  <c r="AG38" i="21"/>
  <c r="AK38" i="21"/>
  <c r="AL38" i="21"/>
  <c r="R39" i="21"/>
  <c r="AM39" i="21" s="1"/>
  <c r="S39" i="21"/>
  <c r="T39" i="21"/>
  <c r="AF39" i="21"/>
  <c r="AG39" i="21"/>
  <c r="AK39" i="21"/>
  <c r="AL39" i="21"/>
  <c r="R40" i="21"/>
  <c r="AM40" i="21" s="1"/>
  <c r="S40" i="21"/>
  <c r="T40" i="21"/>
  <c r="AF40" i="21"/>
  <c r="AG40" i="21"/>
  <c r="AK40" i="21"/>
  <c r="AL40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38" i="21"/>
  <c r="H38" i="21"/>
  <c r="G39" i="21"/>
  <c r="H39" i="21"/>
  <c r="G5" i="21"/>
  <c r="H5" i="21"/>
  <c r="V71" i="21"/>
  <c r="W71" i="21" s="1"/>
  <c r="Z70" i="21"/>
  <c r="Y70" i="21"/>
  <c r="Z69" i="21"/>
  <c r="Y69" i="21"/>
  <c r="Y71" i="21" s="1"/>
  <c r="J66" i="21"/>
  <c r="G16" i="1" s="1"/>
  <c r="AR65" i="21"/>
  <c r="AL65" i="21"/>
  <c r="AK65" i="21"/>
  <c r="AG65" i="21"/>
  <c r="AF65" i="21"/>
  <c r="AB65" i="21"/>
  <c r="AA65" i="21"/>
  <c r="T65" i="21"/>
  <c r="S65" i="21"/>
  <c r="R65" i="21"/>
  <c r="AM65" i="21" s="1"/>
  <c r="H65" i="21"/>
  <c r="G65" i="21"/>
  <c r="AR64" i="21"/>
  <c r="AL64" i="21"/>
  <c r="AK64" i="21"/>
  <c r="AG64" i="21"/>
  <c r="AF64" i="21"/>
  <c r="AB64" i="21"/>
  <c r="AA64" i="21"/>
  <c r="T64" i="21"/>
  <c r="S64" i="21"/>
  <c r="R64" i="21"/>
  <c r="AM64" i="21" s="1"/>
  <c r="H64" i="21"/>
  <c r="G64" i="21"/>
  <c r="AL63" i="21"/>
  <c r="AK63" i="21"/>
  <c r="AG63" i="21"/>
  <c r="AF63" i="21"/>
  <c r="T63" i="21"/>
  <c r="S63" i="21"/>
  <c r="R63" i="21"/>
  <c r="AM63" i="21" s="1"/>
  <c r="H63" i="21"/>
  <c r="G63" i="21"/>
  <c r="AR62" i="21"/>
  <c r="AL62" i="21"/>
  <c r="AK62" i="21"/>
  <c r="AG62" i="21"/>
  <c r="AF62" i="21"/>
  <c r="T62" i="21"/>
  <c r="S62" i="21"/>
  <c r="R62" i="21"/>
  <c r="AM62" i="21" s="1"/>
  <c r="H62" i="21"/>
  <c r="G62" i="21"/>
  <c r="AR61" i="21"/>
  <c r="AL61" i="21"/>
  <c r="AK61" i="21"/>
  <c r="AG61" i="21"/>
  <c r="AF61" i="21"/>
  <c r="T61" i="21"/>
  <c r="S61" i="21"/>
  <c r="R61" i="21"/>
  <c r="AM61" i="21" s="1"/>
  <c r="H61" i="21"/>
  <c r="G61" i="21"/>
  <c r="AR60" i="21"/>
  <c r="AL60" i="21"/>
  <c r="AK60" i="21"/>
  <c r="AG60" i="21"/>
  <c r="AF60" i="21"/>
  <c r="T60" i="21"/>
  <c r="S60" i="21"/>
  <c r="R60" i="21"/>
  <c r="AM60" i="21" s="1"/>
  <c r="H60" i="21"/>
  <c r="G60" i="21"/>
  <c r="AR59" i="21"/>
  <c r="AL59" i="21"/>
  <c r="AK59" i="21"/>
  <c r="AG59" i="21"/>
  <c r="AF59" i="21"/>
  <c r="T59" i="21"/>
  <c r="S59" i="21"/>
  <c r="R59" i="21"/>
  <c r="AM59" i="21" s="1"/>
  <c r="H59" i="21"/>
  <c r="G59" i="21"/>
  <c r="AR58" i="21"/>
  <c r="AL58" i="21"/>
  <c r="AK58" i="21"/>
  <c r="AG58" i="21"/>
  <c r="AF58" i="21"/>
  <c r="T58" i="21"/>
  <c r="S58" i="21"/>
  <c r="R58" i="21"/>
  <c r="AM58" i="21" s="1"/>
  <c r="H58" i="21"/>
  <c r="G58" i="21"/>
  <c r="AR57" i="21"/>
  <c r="AL57" i="21"/>
  <c r="AK57" i="21"/>
  <c r="AG57" i="21"/>
  <c r="AF57" i="21"/>
  <c r="T57" i="21"/>
  <c r="S57" i="21"/>
  <c r="R57" i="21"/>
  <c r="AM57" i="21" s="1"/>
  <c r="H57" i="21"/>
  <c r="G57" i="21"/>
  <c r="AR56" i="21"/>
  <c r="AL56" i="21"/>
  <c r="AK56" i="21"/>
  <c r="AG56" i="21"/>
  <c r="AF56" i="21"/>
  <c r="T56" i="21"/>
  <c r="S56" i="21"/>
  <c r="R56" i="21"/>
  <c r="AM56" i="21" s="1"/>
  <c r="H56" i="21"/>
  <c r="G56" i="21"/>
  <c r="AR55" i="21"/>
  <c r="AL55" i="21"/>
  <c r="AK55" i="21"/>
  <c r="AG55" i="21"/>
  <c r="AF55" i="21"/>
  <c r="T55" i="21"/>
  <c r="S55" i="21"/>
  <c r="R55" i="21"/>
  <c r="AM55" i="21" s="1"/>
  <c r="H55" i="21"/>
  <c r="G55" i="21"/>
  <c r="AR54" i="21"/>
  <c r="AL54" i="21"/>
  <c r="AK54" i="21"/>
  <c r="AG54" i="21"/>
  <c r="AF54" i="21"/>
  <c r="T54" i="21"/>
  <c r="S54" i="21"/>
  <c r="R54" i="21"/>
  <c r="AM54" i="21" s="1"/>
  <c r="H54" i="21"/>
  <c r="G54" i="21"/>
  <c r="AR53" i="21"/>
  <c r="AL53" i="21"/>
  <c r="AK53" i="21"/>
  <c r="AG53" i="21"/>
  <c r="AF53" i="21"/>
  <c r="T53" i="21"/>
  <c r="S53" i="21"/>
  <c r="R53" i="21"/>
  <c r="AM53" i="21" s="1"/>
  <c r="H53" i="21"/>
  <c r="G53" i="21"/>
  <c r="AR52" i="21"/>
  <c r="AL52" i="21"/>
  <c r="AK52" i="21"/>
  <c r="AG52" i="21"/>
  <c r="AF52" i="21"/>
  <c r="T52" i="21"/>
  <c r="S52" i="21"/>
  <c r="R52" i="21"/>
  <c r="AM52" i="21" s="1"/>
  <c r="H52" i="21"/>
  <c r="G52" i="21"/>
  <c r="AR51" i="21"/>
  <c r="AL51" i="21"/>
  <c r="AK51" i="21"/>
  <c r="AG51" i="21"/>
  <c r="AF51" i="21"/>
  <c r="T51" i="21"/>
  <c r="S51" i="21"/>
  <c r="R51" i="21"/>
  <c r="AM51" i="21" s="1"/>
  <c r="H51" i="21"/>
  <c r="G51" i="21"/>
  <c r="AR50" i="21"/>
  <c r="AL50" i="21"/>
  <c r="AK50" i="21"/>
  <c r="AG50" i="21"/>
  <c r="AF50" i="21"/>
  <c r="T50" i="21"/>
  <c r="S50" i="21"/>
  <c r="R50" i="21"/>
  <c r="AM50" i="21" s="1"/>
  <c r="H50" i="21"/>
  <c r="G50" i="21"/>
  <c r="AR49" i="21"/>
  <c r="AL49" i="21"/>
  <c r="AK49" i="21"/>
  <c r="AG49" i="21"/>
  <c r="AF49" i="21"/>
  <c r="T49" i="21"/>
  <c r="S49" i="21"/>
  <c r="R49" i="21"/>
  <c r="AM49" i="21" s="1"/>
  <c r="H49" i="21"/>
  <c r="G49" i="21"/>
  <c r="AR48" i="21"/>
  <c r="AL48" i="21"/>
  <c r="AK48" i="21"/>
  <c r="AG48" i="21"/>
  <c r="AF48" i="21"/>
  <c r="T48" i="21"/>
  <c r="S48" i="21"/>
  <c r="R48" i="21"/>
  <c r="AM48" i="21" s="1"/>
  <c r="H48" i="21"/>
  <c r="G48" i="21"/>
  <c r="AR47" i="21"/>
  <c r="AL47" i="21"/>
  <c r="AK47" i="21"/>
  <c r="AG47" i="21"/>
  <c r="AF47" i="21"/>
  <c r="T47" i="21"/>
  <c r="S47" i="21"/>
  <c r="R47" i="21"/>
  <c r="AM47" i="21" s="1"/>
  <c r="H47" i="21"/>
  <c r="G47" i="21"/>
  <c r="AR46" i="21"/>
  <c r="AL46" i="21"/>
  <c r="AK46" i="21"/>
  <c r="AG46" i="21"/>
  <c r="AF46" i="21"/>
  <c r="T46" i="21"/>
  <c r="S46" i="21"/>
  <c r="R46" i="21"/>
  <c r="AM46" i="21" s="1"/>
  <c r="H46" i="21"/>
  <c r="G46" i="21"/>
  <c r="AR45" i="21"/>
  <c r="AL45" i="21"/>
  <c r="AK45" i="21"/>
  <c r="AG45" i="21"/>
  <c r="AF45" i="21"/>
  <c r="T45" i="21"/>
  <c r="S45" i="21"/>
  <c r="R45" i="21"/>
  <c r="AM45" i="21" s="1"/>
  <c r="H45" i="21"/>
  <c r="G45" i="21"/>
  <c r="AR44" i="21"/>
  <c r="AL44" i="21"/>
  <c r="AK44" i="21"/>
  <c r="AG44" i="21"/>
  <c r="AF44" i="21"/>
  <c r="T44" i="21"/>
  <c r="S44" i="21"/>
  <c r="R44" i="21"/>
  <c r="AM44" i="21" s="1"/>
  <c r="H44" i="21"/>
  <c r="G44" i="21"/>
  <c r="AR43" i="21"/>
  <c r="AL43" i="21"/>
  <c r="AK43" i="21"/>
  <c r="AG43" i="21"/>
  <c r="AF43" i="21"/>
  <c r="T43" i="21"/>
  <c r="S43" i="21"/>
  <c r="R43" i="21"/>
  <c r="AM43" i="21" s="1"/>
  <c r="H43" i="21"/>
  <c r="G43" i="21"/>
  <c r="AR42" i="21"/>
  <c r="AL42" i="21"/>
  <c r="AK42" i="21"/>
  <c r="AG42" i="21"/>
  <c r="AF42" i="21"/>
  <c r="T42" i="21"/>
  <c r="S42" i="21"/>
  <c r="R42" i="21"/>
  <c r="AM42" i="21" s="1"/>
  <c r="H42" i="21"/>
  <c r="G42" i="21"/>
  <c r="AR41" i="21"/>
  <c r="AL41" i="21"/>
  <c r="AK41" i="21"/>
  <c r="AG41" i="21"/>
  <c r="AF41" i="21"/>
  <c r="T41" i="21"/>
  <c r="S41" i="21"/>
  <c r="R41" i="21"/>
  <c r="AM41" i="21" s="1"/>
  <c r="H41" i="21"/>
  <c r="G41" i="21"/>
  <c r="AR40" i="21"/>
  <c r="H40" i="21"/>
  <c r="G40" i="21"/>
  <c r="AR39" i="21"/>
  <c r="AR38" i="21"/>
  <c r="AM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M8" i="21"/>
  <c r="AR7" i="21"/>
  <c r="AR6" i="21"/>
  <c r="B6" i="21"/>
  <c r="A6" i="21" s="1"/>
  <c r="AR5" i="21"/>
  <c r="AL5" i="21"/>
  <c r="AK5" i="21"/>
  <c r="AG5" i="21"/>
  <c r="AF5" i="21"/>
  <c r="T5" i="21"/>
  <c r="S5" i="21"/>
  <c r="R5" i="21"/>
  <c r="AM5" i="21" s="1"/>
  <c r="B5" i="21"/>
  <c r="A5" i="21" s="1"/>
  <c r="AR4" i="21"/>
  <c r="AL4" i="21"/>
  <c r="AK4" i="21"/>
  <c r="AG4" i="21"/>
  <c r="AF4" i="21"/>
  <c r="T4" i="21"/>
  <c r="S4" i="21"/>
  <c r="R4" i="21"/>
  <c r="H4" i="21"/>
  <c r="G4" i="21"/>
  <c r="A4" i="21"/>
  <c r="AP1" i="21"/>
  <c r="Z71" i="21" l="1"/>
  <c r="X71" i="21" s="1"/>
  <c r="AN15" i="21"/>
  <c r="AN23" i="21"/>
  <c r="AO20" i="21"/>
  <c r="AO12" i="21"/>
  <c r="AN64" i="21"/>
  <c r="AN65" i="21"/>
  <c r="AO64" i="21"/>
  <c r="AN31" i="21"/>
  <c r="AN27" i="21"/>
  <c r="AO10" i="21"/>
  <c r="AO8" i="21"/>
  <c r="AO40" i="21"/>
  <c r="AO37" i="21"/>
  <c r="AN28" i="21"/>
  <c r="AO33" i="21"/>
  <c r="AO28" i="21"/>
  <c r="AO21" i="21"/>
  <c r="AO11" i="21"/>
  <c r="AO16" i="21"/>
  <c r="AO9" i="21"/>
  <c r="AN37" i="21"/>
  <c r="AP37" i="21" s="1"/>
  <c r="AO26" i="21"/>
  <c r="AN21" i="21"/>
  <c r="AN17" i="21"/>
  <c r="AN13" i="21"/>
  <c r="AN9" i="21"/>
  <c r="AN29" i="21"/>
  <c r="AO36" i="21"/>
  <c r="AO49" i="21"/>
  <c r="AN6" i="21"/>
  <c r="AN44" i="21"/>
  <c r="AO18" i="21"/>
  <c r="AO14" i="21"/>
  <c r="AO6" i="21"/>
  <c r="AO4" i="21"/>
  <c r="AN5" i="21"/>
  <c r="AN39" i="21"/>
  <c r="AN35" i="21"/>
  <c r="AN19" i="21"/>
  <c r="AN11" i="21"/>
  <c r="AN7" i="21"/>
  <c r="AN4" i="21"/>
  <c r="AO5" i="21"/>
  <c r="AN24" i="21"/>
  <c r="AN18" i="21"/>
  <c r="AN16" i="21"/>
  <c r="AN10" i="21"/>
  <c r="AN8" i="21"/>
  <c r="AN26" i="21"/>
  <c r="AN20" i="21"/>
  <c r="AN14" i="21"/>
  <c r="AN12" i="21"/>
  <c r="AP12" i="21" s="1"/>
  <c r="AN34" i="21"/>
  <c r="AN60" i="21"/>
  <c r="AN62" i="21"/>
  <c r="AN63" i="21"/>
  <c r="AO63" i="21"/>
  <c r="AO60" i="21"/>
  <c r="AO61" i="21"/>
  <c r="AN54" i="21"/>
  <c r="AO54" i="21"/>
  <c r="AO55" i="21"/>
  <c r="AN56" i="21"/>
  <c r="AN57" i="21"/>
  <c r="AN58" i="21"/>
  <c r="AN59" i="21"/>
  <c r="AO56" i="21"/>
  <c r="AO57" i="21"/>
  <c r="AO59" i="21"/>
  <c r="AO41" i="21"/>
  <c r="AO42" i="21"/>
  <c r="AO43" i="21"/>
  <c r="AN48" i="21"/>
  <c r="AN50" i="21"/>
  <c r="AN53" i="21"/>
  <c r="AO44" i="21"/>
  <c r="AN46" i="21"/>
  <c r="AN47" i="21"/>
  <c r="AO50" i="21"/>
  <c r="AO51" i="21"/>
  <c r="AN52" i="21"/>
  <c r="AO45" i="21"/>
  <c r="AO47" i="21"/>
  <c r="AO53" i="21"/>
  <c r="AN42" i="21"/>
  <c r="AN43" i="21"/>
  <c r="AO34" i="21"/>
  <c r="R66" i="21"/>
  <c r="AN32" i="21"/>
  <c r="AN40" i="21"/>
  <c r="AO35" i="21"/>
  <c r="AO29" i="21"/>
  <c r="AO27" i="21"/>
  <c r="AO25" i="21"/>
  <c r="AO19" i="21"/>
  <c r="AO17" i="21"/>
  <c r="AO15" i="21"/>
  <c r="AP15" i="21" s="1"/>
  <c r="AO13" i="21"/>
  <c r="AO7" i="21"/>
  <c r="AO24" i="21"/>
  <c r="AO32" i="21"/>
  <c r="AN36" i="21"/>
  <c r="S66" i="21"/>
  <c r="AM4" i="21"/>
  <c r="AM66" i="21" s="1"/>
  <c r="H16" i="1" s="1"/>
  <c r="B8" i="21"/>
  <c r="AN22" i="21"/>
  <c r="AN30" i="21"/>
  <c r="AN38" i="21"/>
  <c r="AO52" i="21"/>
  <c r="AN55" i="21"/>
  <c r="T66" i="21"/>
  <c r="B7" i="21"/>
  <c r="AO22" i="21"/>
  <c r="AO23" i="21"/>
  <c r="AP23" i="21" s="1"/>
  <c r="AO30" i="21"/>
  <c r="AO31" i="21"/>
  <c r="AO38" i="21"/>
  <c r="AO39" i="21"/>
  <c r="AO46" i="21"/>
  <c r="AO48" i="21"/>
  <c r="AN49" i="21"/>
  <c r="AN51" i="21"/>
  <c r="AO62" i="21"/>
  <c r="AN25" i="21"/>
  <c r="AN33" i="21"/>
  <c r="AN41" i="21"/>
  <c r="AN45" i="21"/>
  <c r="AO58" i="21"/>
  <c r="AN61" i="21"/>
  <c r="AO65" i="21"/>
  <c r="AP65" i="21" s="1"/>
  <c r="AP64" i="21" l="1"/>
  <c r="AP31" i="21"/>
  <c r="AP10" i="21"/>
  <c r="AP8" i="21"/>
  <c r="AP40" i="21"/>
  <c r="AP60" i="21"/>
  <c r="AP33" i="21"/>
  <c r="AP49" i="21"/>
  <c r="AP27" i="21"/>
  <c r="AP28" i="21"/>
  <c r="AP21" i="21"/>
  <c r="AP48" i="21"/>
  <c r="AP29" i="21"/>
  <c r="AP9" i="21"/>
  <c r="AP11" i="21"/>
  <c r="AP17" i="21"/>
  <c r="AP16" i="21"/>
  <c r="AP50" i="21"/>
  <c r="AP6" i="21"/>
  <c r="AP26" i="21"/>
  <c r="AP44" i="21"/>
  <c r="AP32" i="21"/>
  <c r="AP5" i="21"/>
  <c r="AP18" i="21"/>
  <c r="AP13" i="21"/>
  <c r="AP4" i="21"/>
  <c r="AP39" i="21"/>
  <c r="AP20" i="21"/>
  <c r="AP7" i="21"/>
  <c r="AP19" i="21"/>
  <c r="AP34" i="21"/>
  <c r="AP24" i="21"/>
  <c r="AP58" i="21"/>
  <c r="AP14" i="21"/>
  <c r="AP42" i="21"/>
  <c r="AP63" i="21"/>
  <c r="AP25" i="21"/>
  <c r="AP55" i="21"/>
  <c r="AP41" i="21"/>
  <c r="AP57" i="21"/>
  <c r="AP62" i="21"/>
  <c r="AP61" i="21"/>
  <c r="AP59" i="21"/>
  <c r="AP56" i="21"/>
  <c r="AP54" i="21"/>
  <c r="AP43" i="21"/>
  <c r="AP53" i="21"/>
  <c r="AP52" i="21"/>
  <c r="AP47" i="21"/>
  <c r="AP45" i="21"/>
  <c r="AP46" i="21"/>
  <c r="AP51" i="21"/>
  <c r="AP35" i="21"/>
  <c r="AP36" i="21"/>
  <c r="AO66" i="21"/>
  <c r="J16" i="1" s="1"/>
  <c r="AN66" i="21"/>
  <c r="I16" i="1" s="1"/>
  <c r="AP38" i="21"/>
  <c r="B9" i="21"/>
  <c r="A7" i="21"/>
  <c r="AP30" i="21"/>
  <c r="B10" i="21"/>
  <c r="A8" i="21"/>
  <c r="AP22" i="21"/>
  <c r="M16" i="1" l="1"/>
  <c r="N16" i="1" s="1"/>
  <c r="A10" i="21"/>
  <c r="B12" i="21"/>
  <c r="A9" i="21"/>
  <c r="B11" i="21"/>
  <c r="B14" i="21" l="1"/>
  <c r="A12" i="21"/>
  <c r="B13" i="21"/>
  <c r="A11" i="21"/>
  <c r="A13" i="21" l="1"/>
  <c r="B15" i="21"/>
  <c r="A14" i="21"/>
  <c r="B16" i="21"/>
  <c r="B18" i="21" l="1"/>
  <c r="A16" i="21"/>
  <c r="A15" i="21"/>
  <c r="B17" i="21"/>
  <c r="B20" i="21" l="1"/>
  <c r="A18" i="21"/>
  <c r="A17" i="21"/>
  <c r="B19" i="21"/>
  <c r="B21" i="21" l="1"/>
  <c r="A19" i="21"/>
  <c r="A20" i="21"/>
  <c r="B22" i="21"/>
  <c r="B23" i="21" l="1"/>
  <c r="A21" i="21"/>
  <c r="B24" i="21"/>
  <c r="A22" i="21"/>
  <c r="A24" i="21" l="1"/>
  <c r="B26" i="21"/>
  <c r="A23" i="21"/>
  <c r="B25" i="21"/>
  <c r="B27" i="21" l="1"/>
  <c r="A25" i="21"/>
  <c r="B28" i="21"/>
  <c r="A26" i="21"/>
  <c r="A28" i="21" l="1"/>
  <c r="B30" i="21"/>
  <c r="A27" i="21"/>
  <c r="B29" i="21"/>
  <c r="B32" i="21" l="1"/>
  <c r="A30" i="21"/>
  <c r="B31" i="21"/>
  <c r="A29" i="21"/>
  <c r="A32" i="21" l="1"/>
  <c r="B34" i="21"/>
  <c r="A31" i="21"/>
  <c r="B33" i="21"/>
  <c r="B36" i="21" l="1"/>
  <c r="A34" i="21"/>
  <c r="B35" i="21"/>
  <c r="A33" i="21"/>
  <c r="A35" i="21" l="1"/>
  <c r="B37" i="21"/>
  <c r="A36" i="21"/>
  <c r="B38" i="21"/>
  <c r="B40" i="21" l="1"/>
  <c r="A38" i="21"/>
  <c r="A37" i="21"/>
  <c r="B39" i="21"/>
  <c r="A39" i="21" l="1"/>
  <c r="B41" i="21"/>
  <c r="A40" i="21"/>
  <c r="B42" i="21"/>
  <c r="B43" i="21" l="1"/>
  <c r="A41" i="21"/>
  <c r="B44" i="21"/>
  <c r="A42" i="21"/>
  <c r="A44" i="21" l="1"/>
  <c r="B46" i="21"/>
  <c r="A43" i="21"/>
  <c r="B45" i="21"/>
  <c r="B48" i="21" l="1"/>
  <c r="A46" i="21"/>
  <c r="A45" i="21"/>
  <c r="B47" i="21"/>
  <c r="A47" i="21" l="1"/>
  <c r="B49" i="21"/>
  <c r="A48" i="21"/>
  <c r="B50" i="21"/>
  <c r="B52" i="21" l="1"/>
  <c r="A50" i="21"/>
  <c r="A49" i="21"/>
  <c r="B51" i="21"/>
  <c r="A51" i="21" l="1"/>
  <c r="B53" i="21"/>
  <c r="A52" i="21"/>
  <c r="B54" i="21"/>
  <c r="B56" i="21" l="1"/>
  <c r="A54" i="21"/>
  <c r="A53" i="21"/>
  <c r="B55" i="21"/>
  <c r="A55" i="21" l="1"/>
  <c r="B57" i="21"/>
  <c r="A56" i="21"/>
  <c r="B58" i="21"/>
  <c r="B60" i="21" l="1"/>
  <c r="A58" i="21"/>
  <c r="A57" i="21"/>
  <c r="B59" i="21"/>
  <c r="A59" i="21" l="1"/>
  <c r="B61" i="21"/>
  <c r="A60" i="21"/>
  <c r="B62" i="21"/>
  <c r="A61" i="21" l="1"/>
  <c r="B63" i="21"/>
  <c r="B64" i="21"/>
  <c r="A64" i="21" s="1"/>
  <c r="A62" i="21"/>
  <c r="A63" i="21" l="1"/>
  <c r="B65" i="21"/>
  <c r="A65" i="21" s="1"/>
  <c r="AS39" i="9" l="1"/>
  <c r="G26" i="20" l="1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N55" i="1" l="1"/>
  <c r="AA18" i="10" l="1"/>
  <c r="AB18" i="10"/>
  <c r="AF18" i="10"/>
  <c r="AG18" i="10"/>
  <c r="AA19" i="10"/>
  <c r="AB19" i="10"/>
  <c r="AF19" i="10"/>
  <c r="AG19" i="10"/>
  <c r="AA20" i="10"/>
  <c r="AB20" i="10"/>
  <c r="AF20" i="10"/>
  <c r="AG20" i="10"/>
  <c r="AA21" i="10"/>
  <c r="AB21" i="10"/>
  <c r="AF21" i="10"/>
  <c r="AG21" i="10"/>
  <c r="AA22" i="10"/>
  <c r="AB22" i="10"/>
  <c r="AF22" i="10"/>
  <c r="AG22" i="10"/>
  <c r="AA23" i="10"/>
  <c r="AB23" i="10"/>
  <c r="AF23" i="10"/>
  <c r="AG23" i="10"/>
  <c r="AA24" i="10"/>
  <c r="AB24" i="10"/>
  <c r="AF24" i="10"/>
  <c r="AG24" i="10"/>
  <c r="AA25" i="10"/>
  <c r="AB25" i="10"/>
  <c r="AF25" i="10"/>
  <c r="AG25" i="10"/>
  <c r="AS25" i="9" l="1"/>
  <c r="AS25" i="8" l="1"/>
  <c r="AA12" i="11" l="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A58" i="11"/>
  <c r="AB58" i="11"/>
  <c r="AA59" i="11"/>
  <c r="AB59" i="11"/>
  <c r="AA60" i="11"/>
  <c r="AB60" i="11"/>
  <c r="AA61" i="11"/>
  <c r="AB61" i="11"/>
  <c r="AA62" i="11"/>
  <c r="AB62" i="11"/>
  <c r="AA63" i="11"/>
  <c r="AB63" i="11"/>
  <c r="AA64" i="11"/>
  <c r="AB64" i="11"/>
  <c r="AA65" i="11"/>
  <c r="AB65" i="11"/>
  <c r="AA12" i="5" l="1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4" i="11" l="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B4" i="11"/>
  <c r="AA5" i="5" l="1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B4" i="5"/>
  <c r="AA4" i="5"/>
  <c r="R4" i="3" l="1"/>
  <c r="T4" i="3"/>
  <c r="S4" i="3"/>
  <c r="N52" i="1" l="1"/>
  <c r="AR31" i="14"/>
  <c r="AS59" i="12" l="1"/>
  <c r="AA32" i="7" l="1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N57" i="1" l="1"/>
  <c r="AF52" i="14" l="1"/>
  <c r="AG52" i="14"/>
  <c r="AF53" i="14"/>
  <c r="AG53" i="14"/>
  <c r="AF54" i="14"/>
  <c r="AG54" i="14"/>
  <c r="AF55" i="14"/>
  <c r="AG55" i="14"/>
  <c r="AF56" i="14"/>
  <c r="AG56" i="14"/>
  <c r="AF57" i="14"/>
  <c r="AG57" i="14"/>
  <c r="AF58" i="14"/>
  <c r="AG58" i="14"/>
  <c r="AF59" i="14"/>
  <c r="AG59" i="14"/>
  <c r="AF60" i="14"/>
  <c r="AG60" i="14"/>
  <c r="AF61" i="14"/>
  <c r="AG61" i="14"/>
  <c r="R60" i="5" l="1"/>
  <c r="AM60" i="5" s="1"/>
  <c r="S60" i="5"/>
  <c r="T60" i="5"/>
  <c r="R61" i="5"/>
  <c r="AM61" i="5" s="1"/>
  <c r="S61" i="5"/>
  <c r="T61" i="5"/>
  <c r="R62" i="5"/>
  <c r="AM62" i="5" s="1"/>
  <c r="S62" i="5"/>
  <c r="T62" i="5"/>
  <c r="R63" i="5"/>
  <c r="AM63" i="5" s="1"/>
  <c r="S63" i="5"/>
  <c r="T63" i="5"/>
  <c r="R64" i="5"/>
  <c r="AM64" i="5" s="1"/>
  <c r="S64" i="5"/>
  <c r="T64" i="5"/>
  <c r="R65" i="5"/>
  <c r="AM65" i="5" s="1"/>
  <c r="S65" i="5"/>
  <c r="T65" i="5"/>
  <c r="G60" i="5"/>
  <c r="H60" i="5"/>
  <c r="AF60" i="5"/>
  <c r="AG60" i="5"/>
  <c r="AK60" i="5"/>
  <c r="AL60" i="5"/>
  <c r="G61" i="5"/>
  <c r="H61" i="5"/>
  <c r="AF61" i="5"/>
  <c r="AG61" i="5"/>
  <c r="AK61" i="5"/>
  <c r="AL61" i="5"/>
  <c r="G62" i="5"/>
  <c r="H62" i="5"/>
  <c r="AF62" i="5"/>
  <c r="AG62" i="5"/>
  <c r="AK62" i="5"/>
  <c r="AL62" i="5"/>
  <c r="G63" i="5"/>
  <c r="H63" i="5"/>
  <c r="AF63" i="5"/>
  <c r="AG63" i="5"/>
  <c r="AK63" i="5"/>
  <c r="AL63" i="5"/>
  <c r="G64" i="5"/>
  <c r="H64" i="5"/>
  <c r="AF64" i="5"/>
  <c r="AG64" i="5"/>
  <c r="AK64" i="5"/>
  <c r="AL64" i="5"/>
  <c r="G65" i="5"/>
  <c r="H65" i="5"/>
  <c r="AF65" i="5"/>
  <c r="AG65" i="5"/>
  <c r="AK65" i="5"/>
  <c r="AL65" i="5"/>
  <c r="AO64" i="5" l="1"/>
  <c r="AN64" i="5"/>
  <c r="AO65" i="5"/>
  <c r="AN65" i="5"/>
  <c r="AN60" i="5"/>
  <c r="AN62" i="5"/>
  <c r="AN63" i="5"/>
  <c r="AN61" i="5"/>
  <c r="AS65" i="12" l="1"/>
  <c r="N46" i="1" l="1"/>
  <c r="N47" i="1"/>
  <c r="N48" i="1"/>
  <c r="N50" i="1"/>
  <c r="N51" i="1"/>
  <c r="N53" i="1"/>
  <c r="N54" i="1"/>
  <c r="N58" i="1"/>
  <c r="V71" i="20" l="1"/>
  <c r="Z70" i="20"/>
  <c r="Y70" i="20"/>
  <c r="Z69" i="20"/>
  <c r="Z71" i="20" s="1"/>
  <c r="X71" i="20" s="1"/>
  <c r="Y69" i="20"/>
  <c r="J66" i="20"/>
  <c r="G10" i="1" s="1"/>
  <c r="AR65" i="20"/>
  <c r="AL65" i="20"/>
  <c r="AK65" i="20"/>
  <c r="AG65" i="20"/>
  <c r="AF65" i="20"/>
  <c r="AB65" i="20"/>
  <c r="AA65" i="20"/>
  <c r="T65" i="20"/>
  <c r="S65" i="20"/>
  <c r="R65" i="20"/>
  <c r="AM65" i="20" s="1"/>
  <c r="H65" i="20"/>
  <c r="G65" i="20"/>
  <c r="AR64" i="20"/>
  <c r="AL64" i="20"/>
  <c r="AK64" i="20"/>
  <c r="AG64" i="20"/>
  <c r="AF64" i="20"/>
  <c r="AB64" i="20"/>
  <c r="AA64" i="20"/>
  <c r="T64" i="20"/>
  <c r="S64" i="20"/>
  <c r="R64" i="20"/>
  <c r="AM64" i="20" s="1"/>
  <c r="H64" i="20"/>
  <c r="G64" i="20"/>
  <c r="AL63" i="20"/>
  <c r="AK63" i="20"/>
  <c r="AG63" i="20"/>
  <c r="AF63" i="20"/>
  <c r="AB63" i="20"/>
  <c r="T63" i="20"/>
  <c r="S63" i="20"/>
  <c r="R63" i="20"/>
  <c r="AM63" i="20" s="1"/>
  <c r="H63" i="20"/>
  <c r="G63" i="20"/>
  <c r="AR62" i="20"/>
  <c r="AL62" i="20"/>
  <c r="AK62" i="20"/>
  <c r="AG62" i="20"/>
  <c r="AF62" i="20"/>
  <c r="AB62" i="20"/>
  <c r="T62" i="20"/>
  <c r="S62" i="20"/>
  <c r="R62" i="20"/>
  <c r="AM62" i="20" s="1"/>
  <c r="H62" i="20"/>
  <c r="G62" i="20"/>
  <c r="AR61" i="20"/>
  <c r="AL61" i="20"/>
  <c r="AK61" i="20"/>
  <c r="AG61" i="20"/>
  <c r="AF61" i="20"/>
  <c r="AB61" i="20"/>
  <c r="T61" i="20"/>
  <c r="S61" i="20"/>
  <c r="R61" i="20"/>
  <c r="AM61" i="20" s="1"/>
  <c r="H61" i="20"/>
  <c r="G61" i="20"/>
  <c r="AR60" i="20"/>
  <c r="AL60" i="20"/>
  <c r="AK60" i="20"/>
  <c r="AG60" i="20"/>
  <c r="AF60" i="20"/>
  <c r="AB60" i="20"/>
  <c r="T60" i="20"/>
  <c r="S60" i="20"/>
  <c r="R60" i="20"/>
  <c r="AM60" i="20" s="1"/>
  <c r="H60" i="20"/>
  <c r="G60" i="20"/>
  <c r="AR59" i="20"/>
  <c r="AL59" i="20"/>
  <c r="AK59" i="20"/>
  <c r="AG59" i="20"/>
  <c r="AF59" i="20"/>
  <c r="AB59" i="20"/>
  <c r="T59" i="20"/>
  <c r="S59" i="20"/>
  <c r="R59" i="20"/>
  <c r="AM59" i="20" s="1"/>
  <c r="H59" i="20"/>
  <c r="G59" i="20"/>
  <c r="AR58" i="20"/>
  <c r="AL58" i="20"/>
  <c r="AK58" i="20"/>
  <c r="AG58" i="20"/>
  <c r="AF58" i="20"/>
  <c r="AB58" i="20"/>
  <c r="T58" i="20"/>
  <c r="S58" i="20"/>
  <c r="R58" i="20"/>
  <c r="AM58" i="20" s="1"/>
  <c r="H58" i="20"/>
  <c r="G58" i="20"/>
  <c r="AR57" i="20"/>
  <c r="AL57" i="20"/>
  <c r="AK57" i="20"/>
  <c r="AG57" i="20"/>
  <c r="AF57" i="20"/>
  <c r="AB57" i="20"/>
  <c r="T57" i="20"/>
  <c r="S57" i="20"/>
  <c r="R57" i="20"/>
  <c r="AM57" i="20" s="1"/>
  <c r="H57" i="20"/>
  <c r="G57" i="20"/>
  <c r="AR56" i="20"/>
  <c r="AL56" i="20"/>
  <c r="AK56" i="20"/>
  <c r="AG56" i="20"/>
  <c r="AF56" i="20"/>
  <c r="AB56" i="20"/>
  <c r="T56" i="20"/>
  <c r="S56" i="20"/>
  <c r="R56" i="20"/>
  <c r="AM56" i="20" s="1"/>
  <c r="H56" i="20"/>
  <c r="G56" i="20"/>
  <c r="AR55" i="20"/>
  <c r="AL55" i="20"/>
  <c r="AK55" i="20"/>
  <c r="AG55" i="20"/>
  <c r="AF55" i="20"/>
  <c r="AB55" i="20"/>
  <c r="T55" i="20"/>
  <c r="S55" i="20"/>
  <c r="R55" i="20"/>
  <c r="AM55" i="20" s="1"/>
  <c r="H55" i="20"/>
  <c r="G55" i="20"/>
  <c r="AR54" i="20"/>
  <c r="AL54" i="20"/>
  <c r="AK54" i="20"/>
  <c r="AG54" i="20"/>
  <c r="AF54" i="20"/>
  <c r="AB54" i="20"/>
  <c r="T54" i="20"/>
  <c r="S54" i="20"/>
  <c r="R54" i="20"/>
  <c r="AM54" i="20" s="1"/>
  <c r="H54" i="20"/>
  <c r="G54" i="20"/>
  <c r="AR53" i="20"/>
  <c r="AL53" i="20"/>
  <c r="AK53" i="20"/>
  <c r="AG53" i="20"/>
  <c r="AF53" i="20"/>
  <c r="AB53" i="20"/>
  <c r="T53" i="20"/>
  <c r="S53" i="20"/>
  <c r="R53" i="20"/>
  <c r="AM53" i="20" s="1"/>
  <c r="H53" i="20"/>
  <c r="G53" i="20"/>
  <c r="AR52" i="20"/>
  <c r="AL52" i="20"/>
  <c r="AK52" i="20"/>
  <c r="AG52" i="20"/>
  <c r="AF52" i="20"/>
  <c r="AB52" i="20"/>
  <c r="T52" i="20"/>
  <c r="S52" i="20"/>
  <c r="R52" i="20"/>
  <c r="AM52" i="20" s="1"/>
  <c r="H52" i="20"/>
  <c r="G52" i="20"/>
  <c r="AR51" i="20"/>
  <c r="AL51" i="20"/>
  <c r="AK51" i="20"/>
  <c r="AG51" i="20"/>
  <c r="AF51" i="20"/>
  <c r="AB51" i="20"/>
  <c r="T51" i="20"/>
  <c r="S51" i="20"/>
  <c r="R51" i="20"/>
  <c r="AM51" i="20" s="1"/>
  <c r="H51" i="20"/>
  <c r="G51" i="20"/>
  <c r="AR50" i="20"/>
  <c r="AL50" i="20"/>
  <c r="AK50" i="20"/>
  <c r="AG50" i="20"/>
  <c r="AF50" i="20"/>
  <c r="AB50" i="20"/>
  <c r="T50" i="20"/>
  <c r="S50" i="20"/>
  <c r="R50" i="20"/>
  <c r="AM50" i="20" s="1"/>
  <c r="H50" i="20"/>
  <c r="G50" i="20"/>
  <c r="AR49" i="20"/>
  <c r="AL49" i="20"/>
  <c r="AK49" i="20"/>
  <c r="AG49" i="20"/>
  <c r="AF49" i="20"/>
  <c r="AB49" i="20"/>
  <c r="T49" i="20"/>
  <c r="S49" i="20"/>
  <c r="R49" i="20"/>
  <c r="AM49" i="20" s="1"/>
  <c r="H49" i="20"/>
  <c r="G49" i="20"/>
  <c r="AR48" i="20"/>
  <c r="AL48" i="20"/>
  <c r="AK48" i="20"/>
  <c r="AG48" i="20"/>
  <c r="AF48" i="20"/>
  <c r="AB48" i="20"/>
  <c r="T48" i="20"/>
  <c r="S48" i="20"/>
  <c r="R48" i="20"/>
  <c r="AM48" i="20" s="1"/>
  <c r="H48" i="20"/>
  <c r="G48" i="20"/>
  <c r="AR47" i="20"/>
  <c r="AL47" i="20"/>
  <c r="AK47" i="20"/>
  <c r="AG47" i="20"/>
  <c r="AF47" i="20"/>
  <c r="AB47" i="20"/>
  <c r="T47" i="20"/>
  <c r="S47" i="20"/>
  <c r="R47" i="20"/>
  <c r="AM47" i="20" s="1"/>
  <c r="H47" i="20"/>
  <c r="G47" i="20"/>
  <c r="AR46" i="20"/>
  <c r="AL46" i="20"/>
  <c r="AK46" i="20"/>
  <c r="AG46" i="20"/>
  <c r="AF46" i="20"/>
  <c r="AB46" i="20"/>
  <c r="T46" i="20"/>
  <c r="S46" i="20"/>
  <c r="R46" i="20"/>
  <c r="AM46" i="20" s="1"/>
  <c r="H46" i="20"/>
  <c r="G46" i="20"/>
  <c r="AR45" i="20"/>
  <c r="AL45" i="20"/>
  <c r="AK45" i="20"/>
  <c r="AG45" i="20"/>
  <c r="AF45" i="20"/>
  <c r="AB45" i="20"/>
  <c r="T45" i="20"/>
  <c r="S45" i="20"/>
  <c r="R45" i="20"/>
  <c r="AM45" i="20" s="1"/>
  <c r="H45" i="20"/>
  <c r="G45" i="20"/>
  <c r="AR44" i="20"/>
  <c r="AL44" i="20"/>
  <c r="AK44" i="20"/>
  <c r="AG44" i="20"/>
  <c r="AF44" i="20"/>
  <c r="AB44" i="20"/>
  <c r="T44" i="20"/>
  <c r="S44" i="20"/>
  <c r="R44" i="20"/>
  <c r="AM44" i="20" s="1"/>
  <c r="H44" i="20"/>
  <c r="G44" i="20"/>
  <c r="AR43" i="20"/>
  <c r="AL43" i="20"/>
  <c r="AK43" i="20"/>
  <c r="AG43" i="20"/>
  <c r="AF43" i="20"/>
  <c r="AB43" i="20"/>
  <c r="AA43" i="20"/>
  <c r="T43" i="20"/>
  <c r="S43" i="20"/>
  <c r="R43" i="20"/>
  <c r="AM43" i="20" s="1"/>
  <c r="H43" i="20"/>
  <c r="G43" i="20"/>
  <c r="AR42" i="20"/>
  <c r="AL42" i="20"/>
  <c r="AK42" i="20"/>
  <c r="AG42" i="20"/>
  <c r="AF42" i="20"/>
  <c r="AB42" i="20"/>
  <c r="AA42" i="20"/>
  <c r="T42" i="20"/>
  <c r="S42" i="20"/>
  <c r="R42" i="20"/>
  <c r="AM42" i="20" s="1"/>
  <c r="H42" i="20"/>
  <c r="G42" i="20"/>
  <c r="AR41" i="20"/>
  <c r="AL41" i="20"/>
  <c r="AK41" i="20"/>
  <c r="AG41" i="20"/>
  <c r="AF41" i="20"/>
  <c r="AB41" i="20"/>
  <c r="AA41" i="20"/>
  <c r="T41" i="20"/>
  <c r="S41" i="20"/>
  <c r="R41" i="20"/>
  <c r="AM41" i="20" s="1"/>
  <c r="H41" i="20"/>
  <c r="G41" i="20"/>
  <c r="AR40" i="20"/>
  <c r="AL40" i="20"/>
  <c r="AK40" i="20"/>
  <c r="AG40" i="20"/>
  <c r="AF40" i="20"/>
  <c r="AB40" i="20"/>
  <c r="AA40" i="20"/>
  <c r="T40" i="20"/>
  <c r="S40" i="20"/>
  <c r="R40" i="20"/>
  <c r="AM40" i="20" s="1"/>
  <c r="H40" i="20"/>
  <c r="G40" i="20"/>
  <c r="AR39" i="20"/>
  <c r="AL39" i="20"/>
  <c r="AK39" i="20"/>
  <c r="AG39" i="20"/>
  <c r="AF39" i="20"/>
  <c r="AB39" i="20"/>
  <c r="AA39" i="20"/>
  <c r="T39" i="20"/>
  <c r="S39" i="20"/>
  <c r="R39" i="20"/>
  <c r="AM39" i="20" s="1"/>
  <c r="AR38" i="20"/>
  <c r="AL38" i="20"/>
  <c r="AK38" i="20"/>
  <c r="AG38" i="20"/>
  <c r="AF38" i="20"/>
  <c r="AB38" i="20"/>
  <c r="AA38" i="20"/>
  <c r="T38" i="20"/>
  <c r="S38" i="20"/>
  <c r="R38" i="20"/>
  <c r="AM38" i="20" s="1"/>
  <c r="AR37" i="20"/>
  <c r="AL37" i="20"/>
  <c r="AK37" i="20"/>
  <c r="AG37" i="20"/>
  <c r="AF37" i="20"/>
  <c r="AB37" i="20"/>
  <c r="AA37" i="20"/>
  <c r="T37" i="20"/>
  <c r="S37" i="20"/>
  <c r="R37" i="20"/>
  <c r="AM37" i="20" s="1"/>
  <c r="AR36" i="20"/>
  <c r="AL36" i="20"/>
  <c r="AK36" i="20"/>
  <c r="AG36" i="20"/>
  <c r="AF36" i="20"/>
  <c r="AB36" i="20"/>
  <c r="AA36" i="20"/>
  <c r="T36" i="20"/>
  <c r="S36" i="20"/>
  <c r="R36" i="20"/>
  <c r="AM36" i="20" s="1"/>
  <c r="AR35" i="20"/>
  <c r="AL35" i="20"/>
  <c r="AK35" i="20"/>
  <c r="AG35" i="20"/>
  <c r="AF35" i="20"/>
  <c r="AB35" i="20"/>
  <c r="AA35" i="20"/>
  <c r="T35" i="20"/>
  <c r="S35" i="20"/>
  <c r="R35" i="20"/>
  <c r="AM35" i="20" s="1"/>
  <c r="AR34" i="20"/>
  <c r="AL34" i="20"/>
  <c r="AK34" i="20"/>
  <c r="AG34" i="20"/>
  <c r="AF34" i="20"/>
  <c r="AB34" i="20"/>
  <c r="AA34" i="20"/>
  <c r="T34" i="20"/>
  <c r="S34" i="20"/>
  <c r="R34" i="20"/>
  <c r="AM34" i="20" s="1"/>
  <c r="AR33" i="20"/>
  <c r="AL33" i="20"/>
  <c r="AK33" i="20"/>
  <c r="AG33" i="20"/>
  <c r="AF33" i="20"/>
  <c r="AB33" i="20"/>
  <c r="AA33" i="20"/>
  <c r="T33" i="20"/>
  <c r="S33" i="20"/>
  <c r="R33" i="20"/>
  <c r="AM33" i="20" s="1"/>
  <c r="AR32" i="20"/>
  <c r="AL32" i="20"/>
  <c r="AK32" i="20"/>
  <c r="AG32" i="20"/>
  <c r="AF32" i="20"/>
  <c r="AB32" i="20"/>
  <c r="AA32" i="20"/>
  <c r="T32" i="20"/>
  <c r="S32" i="20"/>
  <c r="R32" i="20"/>
  <c r="AM32" i="20" s="1"/>
  <c r="AR31" i="20"/>
  <c r="AL31" i="20"/>
  <c r="AK31" i="20"/>
  <c r="AG31" i="20"/>
  <c r="AF31" i="20"/>
  <c r="AB31" i="20"/>
  <c r="AA31" i="20"/>
  <c r="T31" i="20"/>
  <c r="S31" i="20"/>
  <c r="R31" i="20"/>
  <c r="AM31" i="20" s="1"/>
  <c r="AR30" i="20"/>
  <c r="AL30" i="20"/>
  <c r="AK30" i="20"/>
  <c r="AG30" i="20"/>
  <c r="AF30" i="20"/>
  <c r="AB30" i="20"/>
  <c r="AA30" i="20"/>
  <c r="T30" i="20"/>
  <c r="S30" i="20"/>
  <c r="R30" i="20"/>
  <c r="AM30" i="20" s="1"/>
  <c r="AR29" i="20"/>
  <c r="AL29" i="20"/>
  <c r="AK29" i="20"/>
  <c r="AG29" i="20"/>
  <c r="AF29" i="20"/>
  <c r="AB29" i="20"/>
  <c r="AA29" i="20"/>
  <c r="T29" i="20"/>
  <c r="S29" i="20"/>
  <c r="R29" i="20"/>
  <c r="AM29" i="20" s="1"/>
  <c r="AR28" i="20"/>
  <c r="AL28" i="20"/>
  <c r="AK28" i="20"/>
  <c r="AG28" i="20"/>
  <c r="AF28" i="20"/>
  <c r="AB28" i="20"/>
  <c r="AA28" i="20"/>
  <c r="T28" i="20"/>
  <c r="S28" i="20"/>
  <c r="R28" i="20"/>
  <c r="AM28" i="20" s="1"/>
  <c r="AR27" i="20"/>
  <c r="AL27" i="20"/>
  <c r="AK27" i="20"/>
  <c r="AG27" i="20"/>
  <c r="AF27" i="20"/>
  <c r="AB27" i="20"/>
  <c r="AA27" i="20"/>
  <c r="T27" i="20"/>
  <c r="S27" i="20"/>
  <c r="R27" i="20"/>
  <c r="AM27" i="20" s="1"/>
  <c r="AR26" i="20"/>
  <c r="AL26" i="20"/>
  <c r="AK26" i="20"/>
  <c r="AG26" i="20"/>
  <c r="AF26" i="20"/>
  <c r="AB26" i="20"/>
  <c r="AA26" i="20"/>
  <c r="T26" i="20"/>
  <c r="S26" i="20"/>
  <c r="R26" i="20"/>
  <c r="AM26" i="20" s="1"/>
  <c r="AR25" i="20"/>
  <c r="AL25" i="20"/>
  <c r="AK25" i="20"/>
  <c r="AG25" i="20"/>
  <c r="AF25" i="20"/>
  <c r="AB25" i="20"/>
  <c r="AA25" i="20"/>
  <c r="T25" i="20"/>
  <c r="S25" i="20"/>
  <c r="R25" i="20"/>
  <c r="AM25" i="20" s="1"/>
  <c r="H25" i="20"/>
  <c r="G25" i="20"/>
  <c r="AR24" i="20"/>
  <c r="AL24" i="20"/>
  <c r="AK24" i="20"/>
  <c r="AG24" i="20"/>
  <c r="AF24" i="20"/>
  <c r="AB24" i="20"/>
  <c r="AA24" i="20"/>
  <c r="T24" i="20"/>
  <c r="S24" i="20"/>
  <c r="R24" i="20"/>
  <c r="AM24" i="20" s="1"/>
  <c r="H24" i="20"/>
  <c r="G24" i="20"/>
  <c r="AR23" i="20"/>
  <c r="AL23" i="20"/>
  <c r="AK23" i="20"/>
  <c r="AG23" i="20"/>
  <c r="AF23" i="20"/>
  <c r="AB23" i="20"/>
  <c r="AA23" i="20"/>
  <c r="T23" i="20"/>
  <c r="S23" i="20"/>
  <c r="R23" i="20"/>
  <c r="AM23" i="20" s="1"/>
  <c r="H23" i="20"/>
  <c r="G23" i="20"/>
  <c r="AR22" i="20"/>
  <c r="AL22" i="20"/>
  <c r="AK22" i="20"/>
  <c r="AG22" i="20"/>
  <c r="AF22" i="20"/>
  <c r="AB22" i="20"/>
  <c r="AA22" i="20"/>
  <c r="T22" i="20"/>
  <c r="S22" i="20"/>
  <c r="R22" i="20"/>
  <c r="AM22" i="20" s="1"/>
  <c r="H22" i="20"/>
  <c r="G22" i="20"/>
  <c r="AR21" i="20"/>
  <c r="AL21" i="20"/>
  <c r="AK21" i="20"/>
  <c r="AG21" i="20"/>
  <c r="AF21" i="20"/>
  <c r="AB21" i="20"/>
  <c r="AA21" i="20"/>
  <c r="T21" i="20"/>
  <c r="S21" i="20"/>
  <c r="R21" i="20"/>
  <c r="AM21" i="20" s="1"/>
  <c r="H21" i="20"/>
  <c r="G21" i="20"/>
  <c r="AR20" i="20"/>
  <c r="AL20" i="20"/>
  <c r="AK20" i="20"/>
  <c r="AG20" i="20"/>
  <c r="AF20" i="20"/>
  <c r="AB20" i="20"/>
  <c r="AA20" i="20"/>
  <c r="T20" i="20"/>
  <c r="S20" i="20"/>
  <c r="R20" i="20"/>
  <c r="AM20" i="20" s="1"/>
  <c r="H20" i="20"/>
  <c r="G20" i="20"/>
  <c r="AR19" i="20"/>
  <c r="AL19" i="20"/>
  <c r="AK19" i="20"/>
  <c r="AG19" i="20"/>
  <c r="AF19" i="20"/>
  <c r="AB19" i="20"/>
  <c r="AA19" i="20"/>
  <c r="T19" i="20"/>
  <c r="S19" i="20"/>
  <c r="R19" i="20"/>
  <c r="AM19" i="20" s="1"/>
  <c r="H19" i="20"/>
  <c r="G19" i="20"/>
  <c r="AR18" i="20"/>
  <c r="AL18" i="20"/>
  <c r="AK18" i="20"/>
  <c r="AG18" i="20"/>
  <c r="AF18" i="20"/>
  <c r="AB18" i="20"/>
  <c r="AA18" i="20"/>
  <c r="T18" i="20"/>
  <c r="S18" i="20"/>
  <c r="R18" i="20"/>
  <c r="AM18" i="20" s="1"/>
  <c r="H18" i="20"/>
  <c r="G18" i="20"/>
  <c r="AR17" i="20"/>
  <c r="AL17" i="20"/>
  <c r="AK17" i="20"/>
  <c r="AG17" i="20"/>
  <c r="AF17" i="20"/>
  <c r="AB17" i="20"/>
  <c r="AA17" i="20"/>
  <c r="T17" i="20"/>
  <c r="S17" i="20"/>
  <c r="R17" i="20"/>
  <c r="AM17" i="20" s="1"/>
  <c r="H17" i="20"/>
  <c r="G17" i="20"/>
  <c r="AR16" i="20"/>
  <c r="AL16" i="20"/>
  <c r="AK16" i="20"/>
  <c r="AG16" i="20"/>
  <c r="AF16" i="20"/>
  <c r="AB16" i="20"/>
  <c r="AA16" i="20"/>
  <c r="T16" i="20"/>
  <c r="S16" i="20"/>
  <c r="R16" i="20"/>
  <c r="AM16" i="20" s="1"/>
  <c r="H16" i="20"/>
  <c r="G16" i="20"/>
  <c r="AR15" i="20"/>
  <c r="AL15" i="20"/>
  <c r="AK15" i="20"/>
  <c r="AG15" i="20"/>
  <c r="AF15" i="20"/>
  <c r="AB15" i="20"/>
  <c r="AA15" i="20"/>
  <c r="T15" i="20"/>
  <c r="S15" i="20"/>
  <c r="R15" i="20"/>
  <c r="AM15" i="20" s="1"/>
  <c r="H15" i="20"/>
  <c r="G15" i="20"/>
  <c r="AR14" i="20"/>
  <c r="AL14" i="20"/>
  <c r="AK14" i="20"/>
  <c r="AG14" i="20"/>
  <c r="AF14" i="20"/>
  <c r="AB14" i="20"/>
  <c r="AA14" i="20"/>
  <c r="T14" i="20"/>
  <c r="S14" i="20"/>
  <c r="R14" i="20"/>
  <c r="AM14" i="20" s="1"/>
  <c r="H14" i="20"/>
  <c r="G14" i="20"/>
  <c r="AR13" i="20"/>
  <c r="AL13" i="20"/>
  <c r="AK13" i="20"/>
  <c r="AG13" i="20"/>
  <c r="AF13" i="20"/>
  <c r="AB13" i="20"/>
  <c r="AA13" i="20"/>
  <c r="T13" i="20"/>
  <c r="S13" i="20"/>
  <c r="R13" i="20"/>
  <c r="AM13" i="20" s="1"/>
  <c r="H13" i="20"/>
  <c r="G13" i="20"/>
  <c r="AR12" i="20"/>
  <c r="AL12" i="20"/>
  <c r="AK12" i="20"/>
  <c r="AG12" i="20"/>
  <c r="AF12" i="20"/>
  <c r="AB12" i="20"/>
  <c r="AA12" i="20"/>
  <c r="T12" i="20"/>
  <c r="S12" i="20"/>
  <c r="R12" i="20"/>
  <c r="AM12" i="20" s="1"/>
  <c r="H12" i="20"/>
  <c r="G12" i="20"/>
  <c r="AR11" i="20"/>
  <c r="AL11" i="20"/>
  <c r="AK11" i="20"/>
  <c r="AG11" i="20"/>
  <c r="AF11" i="20"/>
  <c r="AB11" i="20"/>
  <c r="AA11" i="20"/>
  <c r="T11" i="20"/>
  <c r="S11" i="20"/>
  <c r="R11" i="20"/>
  <c r="AM11" i="20" s="1"/>
  <c r="H11" i="20"/>
  <c r="G11" i="20"/>
  <c r="AR10" i="20"/>
  <c r="AL10" i="20"/>
  <c r="AK10" i="20"/>
  <c r="AG10" i="20"/>
  <c r="AF10" i="20"/>
  <c r="AB10" i="20"/>
  <c r="AA10" i="20"/>
  <c r="T10" i="20"/>
  <c r="S10" i="20"/>
  <c r="R10" i="20"/>
  <c r="AM10" i="20" s="1"/>
  <c r="H10" i="20"/>
  <c r="G10" i="20"/>
  <c r="AR9" i="20"/>
  <c r="AL9" i="20"/>
  <c r="AK9" i="20"/>
  <c r="AG9" i="20"/>
  <c r="AF9" i="20"/>
  <c r="AB9" i="20"/>
  <c r="AA9" i="20"/>
  <c r="T9" i="20"/>
  <c r="S9" i="20"/>
  <c r="R9" i="20"/>
  <c r="AM9" i="20" s="1"/>
  <c r="H9" i="20"/>
  <c r="G9" i="20"/>
  <c r="AR8" i="20"/>
  <c r="AL8" i="20"/>
  <c r="AK8" i="20"/>
  <c r="AG8" i="20"/>
  <c r="AF8" i="20"/>
  <c r="AB8" i="20"/>
  <c r="AA8" i="20"/>
  <c r="T8" i="20"/>
  <c r="S8" i="20"/>
  <c r="R8" i="20"/>
  <c r="AM8" i="20" s="1"/>
  <c r="H8" i="20"/>
  <c r="G8" i="20"/>
  <c r="AR7" i="20"/>
  <c r="AL7" i="20"/>
  <c r="AK7" i="20"/>
  <c r="AG7" i="20"/>
  <c r="AF7" i="20"/>
  <c r="AB7" i="20"/>
  <c r="AA7" i="20"/>
  <c r="T7" i="20"/>
  <c r="S7" i="20"/>
  <c r="R7" i="20"/>
  <c r="AM7" i="20" s="1"/>
  <c r="H7" i="20"/>
  <c r="G7" i="20"/>
  <c r="AR6" i="20"/>
  <c r="AL6" i="20"/>
  <c r="AK6" i="20"/>
  <c r="AG6" i="20"/>
  <c r="AF6" i="20"/>
  <c r="AB6" i="20"/>
  <c r="AA6" i="20"/>
  <c r="T6" i="20"/>
  <c r="S6" i="20"/>
  <c r="R6" i="20"/>
  <c r="AM6" i="20" s="1"/>
  <c r="H6" i="20"/>
  <c r="G6" i="20"/>
  <c r="B6" i="20"/>
  <c r="B8" i="20" s="1"/>
  <c r="AR5" i="20"/>
  <c r="AL5" i="20"/>
  <c r="AK5" i="20"/>
  <c r="AG5" i="20"/>
  <c r="AF5" i="20"/>
  <c r="AB5" i="20"/>
  <c r="AA5" i="20"/>
  <c r="T5" i="20"/>
  <c r="S5" i="20"/>
  <c r="R5" i="20"/>
  <c r="AM5" i="20" s="1"/>
  <c r="H5" i="20"/>
  <c r="G5" i="20"/>
  <c r="B5" i="20"/>
  <c r="A5" i="20" s="1"/>
  <c r="AR4" i="20"/>
  <c r="AL4" i="20"/>
  <c r="AK4" i="20"/>
  <c r="AG4" i="20"/>
  <c r="AF4" i="20"/>
  <c r="AB4" i="20"/>
  <c r="AA4" i="20"/>
  <c r="T4" i="20"/>
  <c r="S4" i="20"/>
  <c r="R4" i="20"/>
  <c r="H4" i="20"/>
  <c r="G4" i="20"/>
  <c r="A4" i="20"/>
  <c r="AP1" i="20"/>
  <c r="AO59" i="20" l="1"/>
  <c r="AO60" i="20"/>
  <c r="AO52" i="20"/>
  <c r="AN51" i="20"/>
  <c r="AN19" i="20"/>
  <c r="AN61" i="20"/>
  <c r="AN62" i="20"/>
  <c r="AN64" i="20"/>
  <c r="AN53" i="20"/>
  <c r="AN54" i="20"/>
  <c r="AN65" i="20"/>
  <c r="AO20" i="20"/>
  <c r="AO24" i="20"/>
  <c r="AN25" i="20"/>
  <c r="AO28" i="20"/>
  <c r="AO50" i="20"/>
  <c r="AO54" i="20"/>
  <c r="AN55" i="20"/>
  <c r="AN56" i="20"/>
  <c r="AO61" i="20"/>
  <c r="AO62" i="20"/>
  <c r="AN63" i="20"/>
  <c r="AO64" i="20"/>
  <c r="AO65" i="20"/>
  <c r="AO32" i="20"/>
  <c r="AO51" i="20"/>
  <c r="AN52" i="20"/>
  <c r="AO55" i="20"/>
  <c r="AO56" i="20"/>
  <c r="AN57" i="20"/>
  <c r="AN58" i="20"/>
  <c r="AO63" i="20"/>
  <c r="Y71" i="20"/>
  <c r="W71" i="20" s="1"/>
  <c r="AO48" i="20"/>
  <c r="AO57" i="20"/>
  <c r="AO58" i="20"/>
  <c r="AN59" i="20"/>
  <c r="AP59" i="20" s="1"/>
  <c r="AN60" i="20"/>
  <c r="A6" i="20"/>
  <c r="AO36" i="20"/>
  <c r="AO40" i="20"/>
  <c r="AO44" i="20"/>
  <c r="AN8" i="20"/>
  <c r="AN9" i="20"/>
  <c r="AN10" i="20"/>
  <c r="AN11" i="20"/>
  <c r="AO39" i="20"/>
  <c r="AO23" i="20"/>
  <c r="AO6" i="20"/>
  <c r="AO9" i="20"/>
  <c r="AN29" i="20"/>
  <c r="AN31" i="20"/>
  <c r="AN48" i="20"/>
  <c r="AO4" i="20"/>
  <c r="AN5" i="20"/>
  <c r="AN16" i="20"/>
  <c r="AN17" i="20"/>
  <c r="AN18" i="20"/>
  <c r="AN20" i="20"/>
  <c r="AO30" i="20"/>
  <c r="AN35" i="20"/>
  <c r="AN36" i="20"/>
  <c r="AO46" i="20"/>
  <c r="AO7" i="20"/>
  <c r="AO8" i="20"/>
  <c r="AN32" i="20"/>
  <c r="AN45" i="20"/>
  <c r="AN47" i="20"/>
  <c r="R66" i="20"/>
  <c r="AO5" i="20"/>
  <c r="AO14" i="20"/>
  <c r="AO15" i="20"/>
  <c r="AO16" i="20"/>
  <c r="AO17" i="20"/>
  <c r="AO34" i="20"/>
  <c r="AO35" i="20"/>
  <c r="AN41" i="20"/>
  <c r="AO11" i="20"/>
  <c r="AN12" i="20"/>
  <c r="AN13" i="20"/>
  <c r="AO18" i="20"/>
  <c r="AN27" i="20"/>
  <c r="AN37" i="20"/>
  <c r="AO42" i="20"/>
  <c r="AO47" i="20"/>
  <c r="AN4" i="20"/>
  <c r="AN6" i="20"/>
  <c r="AN7" i="20"/>
  <c r="AO12" i="20"/>
  <c r="AO13" i="20"/>
  <c r="AN14" i="20"/>
  <c r="AN15" i="20"/>
  <c r="AO22" i="20"/>
  <c r="AN23" i="20"/>
  <c r="AN24" i="20"/>
  <c r="AO27" i="20"/>
  <c r="AN33" i="20"/>
  <c r="AO38" i="20"/>
  <c r="AN39" i="20"/>
  <c r="AN40" i="20"/>
  <c r="AO43" i="20"/>
  <c r="AN49" i="20"/>
  <c r="AO10" i="20"/>
  <c r="AO19" i="20"/>
  <c r="AN21" i="20"/>
  <c r="AO26" i="20"/>
  <c r="AN28" i="20"/>
  <c r="AP28" i="20" s="1"/>
  <c r="AO31" i="20"/>
  <c r="AN43" i="20"/>
  <c r="AN44" i="20"/>
  <c r="A8" i="20"/>
  <c r="B10" i="20"/>
  <c r="B7" i="20"/>
  <c r="AO21" i="20"/>
  <c r="AN26" i="20"/>
  <c r="AO29" i="20"/>
  <c r="AN34" i="20"/>
  <c r="AO37" i="20"/>
  <c r="AN42" i="20"/>
  <c r="AO45" i="20"/>
  <c r="AN50" i="20"/>
  <c r="AO53" i="20"/>
  <c r="S66" i="20"/>
  <c r="AM4" i="20"/>
  <c r="AM66" i="20" s="1"/>
  <c r="H10" i="1" s="1"/>
  <c r="AN22" i="20"/>
  <c r="AO25" i="20"/>
  <c r="AN30" i="20"/>
  <c r="AO33" i="20"/>
  <c r="AN38" i="20"/>
  <c r="AO41" i="20"/>
  <c r="AN46" i="20"/>
  <c r="AO49" i="20"/>
  <c r="T66" i="20"/>
  <c r="AP14" i="20" l="1"/>
  <c r="AP15" i="20"/>
  <c r="AP7" i="20"/>
  <c r="AP31" i="20"/>
  <c r="AP60" i="20"/>
  <c r="AP64" i="20"/>
  <c r="AP65" i="20"/>
  <c r="AP39" i="20"/>
  <c r="AP11" i="20"/>
  <c r="AP58" i="20"/>
  <c r="AP44" i="20"/>
  <c r="AP37" i="20"/>
  <c r="AP51" i="20"/>
  <c r="AP52" i="20"/>
  <c r="AP61" i="20"/>
  <c r="AP57" i="20"/>
  <c r="AP53" i="20"/>
  <c r="AP46" i="20"/>
  <c r="AP19" i="20"/>
  <c r="AP4" i="20"/>
  <c r="AP20" i="20"/>
  <c r="AP50" i="20"/>
  <c r="AP48" i="20"/>
  <c r="AP62" i="20"/>
  <c r="AP54" i="20"/>
  <c r="AP40" i="20"/>
  <c r="AP35" i="20"/>
  <c r="AP21" i="20"/>
  <c r="AP24" i="20"/>
  <c r="AP56" i="20"/>
  <c r="AP32" i="20"/>
  <c r="AP63" i="20"/>
  <c r="AP55" i="20"/>
  <c r="AP17" i="20"/>
  <c r="AP8" i="20"/>
  <c r="AP10" i="20"/>
  <c r="AP6" i="20"/>
  <c r="AP49" i="20"/>
  <c r="AP36" i="20"/>
  <c r="AP29" i="20"/>
  <c r="AP23" i="20"/>
  <c r="AP9" i="20"/>
  <c r="AP16" i="20"/>
  <c r="AP5" i="20"/>
  <c r="AP12" i="20"/>
  <c r="AP47" i="20"/>
  <c r="AP18" i="20"/>
  <c r="AP33" i="20"/>
  <c r="AP13" i="20"/>
  <c r="AP43" i="20"/>
  <c r="AP42" i="20"/>
  <c r="AP27" i="20"/>
  <c r="AP34" i="20"/>
  <c r="AP45" i="20"/>
  <c r="AP38" i="20"/>
  <c r="AP22" i="20"/>
  <c r="AO66" i="20"/>
  <c r="J10" i="1" s="1"/>
  <c r="AP41" i="20"/>
  <c r="AP25" i="20"/>
  <c r="AP30" i="20"/>
  <c r="A10" i="20"/>
  <c r="B12" i="20"/>
  <c r="AP26" i="20"/>
  <c r="A7" i="20"/>
  <c r="B9" i="20"/>
  <c r="AN66" i="20"/>
  <c r="I10" i="1" s="1"/>
  <c r="M10" i="1" l="1"/>
  <c r="N10" i="1" s="1"/>
  <c r="B11" i="20"/>
  <c r="A9" i="20"/>
  <c r="A12" i="20"/>
  <c r="B14" i="20"/>
  <c r="A11" i="20" l="1"/>
  <c r="B13" i="20"/>
  <c r="B16" i="20"/>
  <c r="A14" i="20"/>
  <c r="B15" i="20" l="1"/>
  <c r="A13" i="20"/>
  <c r="A16" i="20"/>
  <c r="B18" i="20"/>
  <c r="A18" i="20" l="1"/>
  <c r="B20" i="20"/>
  <c r="A15" i="20"/>
  <c r="B17" i="20"/>
  <c r="B19" i="20" l="1"/>
  <c r="A17" i="20"/>
  <c r="A20" i="20"/>
  <c r="B22" i="20"/>
  <c r="B21" i="20" l="1"/>
  <c r="A19" i="20"/>
  <c r="A22" i="20"/>
  <c r="B24" i="20"/>
  <c r="B23" i="20" l="1"/>
  <c r="A21" i="20"/>
  <c r="A24" i="20"/>
  <c r="B26" i="20"/>
  <c r="A26" i="20" l="1"/>
  <c r="B28" i="20"/>
  <c r="B25" i="20"/>
  <c r="A23" i="20"/>
  <c r="B27" i="20" l="1"/>
  <c r="A25" i="20"/>
  <c r="A28" i="20"/>
  <c r="B30" i="20"/>
  <c r="B29" i="20" l="1"/>
  <c r="A27" i="20"/>
  <c r="A30" i="20"/>
  <c r="B32" i="20"/>
  <c r="A32" i="20" l="1"/>
  <c r="B34" i="20"/>
  <c r="B31" i="20"/>
  <c r="A29" i="20"/>
  <c r="B33" i="20" l="1"/>
  <c r="A31" i="20"/>
  <c r="A34" i="20"/>
  <c r="B36" i="20"/>
  <c r="A36" i="20" l="1"/>
  <c r="B38" i="20"/>
  <c r="B35" i="20"/>
  <c r="A33" i="20"/>
  <c r="B37" i="20" l="1"/>
  <c r="A35" i="20"/>
  <c r="A38" i="20"/>
  <c r="B40" i="20"/>
  <c r="A40" i="20" l="1"/>
  <c r="B42" i="20"/>
  <c r="B39" i="20"/>
  <c r="A37" i="20"/>
  <c r="B41" i="20" l="1"/>
  <c r="A39" i="20"/>
  <c r="A42" i="20"/>
  <c r="B44" i="20"/>
  <c r="A44" i="20" l="1"/>
  <c r="B46" i="20"/>
  <c r="B43" i="20"/>
  <c r="A41" i="20"/>
  <c r="B45" i="20" l="1"/>
  <c r="A43" i="20"/>
  <c r="A46" i="20"/>
  <c r="B48" i="20"/>
  <c r="A48" i="20" l="1"/>
  <c r="B50" i="20"/>
  <c r="B47" i="20"/>
  <c r="A45" i="20"/>
  <c r="B49" i="20" l="1"/>
  <c r="A47" i="20"/>
  <c r="A50" i="20"/>
  <c r="B52" i="20"/>
  <c r="A52" i="20" l="1"/>
  <c r="B54" i="20"/>
  <c r="B51" i="20"/>
  <c r="A49" i="20"/>
  <c r="B53" i="20" l="1"/>
  <c r="A51" i="20"/>
  <c r="B56" i="20"/>
  <c r="A54" i="20"/>
  <c r="A56" i="20" l="1"/>
  <c r="B58" i="20"/>
  <c r="B55" i="20"/>
  <c r="A53" i="20"/>
  <c r="A55" i="20" l="1"/>
  <c r="B57" i="20"/>
  <c r="B60" i="20"/>
  <c r="A58" i="20"/>
  <c r="A60" i="20" l="1"/>
  <c r="B62" i="20"/>
  <c r="A57" i="20"/>
  <c r="B59" i="20"/>
  <c r="A59" i="20" l="1"/>
  <c r="B61" i="20"/>
  <c r="B64" i="20"/>
  <c r="A64" i="20" s="1"/>
  <c r="A62" i="20"/>
  <c r="A61" i="20" l="1"/>
  <c r="B63" i="20"/>
  <c r="A63" i="20" l="1"/>
  <c r="B65" i="20"/>
  <c r="A65" i="20" s="1"/>
  <c r="AA26" i="10" l="1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S55" i="9" l="1"/>
  <c r="G42" i="10" l="1"/>
  <c r="H42" i="10"/>
  <c r="G43" i="10"/>
  <c r="H43" i="10"/>
  <c r="G44" i="10"/>
  <c r="H44" i="10"/>
  <c r="G45" i="10"/>
  <c r="H45" i="10"/>
  <c r="J66" i="19" l="1"/>
  <c r="G25" i="1" s="1"/>
  <c r="AR65" i="19"/>
  <c r="AM65" i="19"/>
  <c r="AR64" i="19"/>
  <c r="AM64" i="19"/>
  <c r="AR63" i="19"/>
  <c r="AM63" i="19"/>
  <c r="AR62" i="19"/>
  <c r="AM62" i="19"/>
  <c r="AR61" i="19"/>
  <c r="AM61" i="19"/>
  <c r="AR60" i="19"/>
  <c r="AM60" i="19"/>
  <c r="AR59" i="19"/>
  <c r="AM59" i="19"/>
  <c r="AR58" i="19"/>
  <c r="AM58" i="19"/>
  <c r="AR57" i="19"/>
  <c r="AM57" i="19"/>
  <c r="AR56" i="19"/>
  <c r="AM56" i="19"/>
  <c r="AR55" i="19"/>
  <c r="AM55" i="19"/>
  <c r="AR54" i="19"/>
  <c r="AM54" i="19"/>
  <c r="AR53" i="19"/>
  <c r="AM53" i="19"/>
  <c r="AR52" i="19"/>
  <c r="AM52" i="19"/>
  <c r="AR51" i="19"/>
  <c r="AM51" i="19"/>
  <c r="AR50" i="19"/>
  <c r="AM50" i="19"/>
  <c r="AR49" i="19"/>
  <c r="AM49" i="19"/>
  <c r="AR48" i="19"/>
  <c r="AM48" i="19"/>
  <c r="AR47" i="19"/>
  <c r="AM47" i="19"/>
  <c r="AR46" i="19"/>
  <c r="AM46" i="19"/>
  <c r="AR45" i="19"/>
  <c r="AM45" i="19"/>
  <c r="AR44" i="19"/>
  <c r="AM44" i="19"/>
  <c r="AR43" i="19"/>
  <c r="AM43" i="19"/>
  <c r="AR42" i="19"/>
  <c r="AM42" i="19"/>
  <c r="AR41" i="19"/>
  <c r="AM41" i="19"/>
  <c r="AR40" i="19"/>
  <c r="AM40" i="19"/>
  <c r="AR39" i="19"/>
  <c r="AM39" i="19"/>
  <c r="AR38" i="19"/>
  <c r="AM38" i="19"/>
  <c r="AR37" i="19"/>
  <c r="AM37" i="19"/>
  <c r="AR36" i="19"/>
  <c r="AM36" i="19"/>
  <c r="AR35" i="19"/>
  <c r="AM35" i="19"/>
  <c r="AR34" i="19"/>
  <c r="AM34" i="19"/>
  <c r="G35" i="19" s="1"/>
  <c r="AR33" i="19"/>
  <c r="AM33" i="19"/>
  <c r="G34" i="19" s="1"/>
  <c r="AR32" i="19"/>
  <c r="AM32" i="19"/>
  <c r="G33" i="19" s="1"/>
  <c r="AR31" i="19"/>
  <c r="AM31" i="19"/>
  <c r="G32" i="19" s="1"/>
  <c r="AR30" i="19"/>
  <c r="AM30" i="19"/>
  <c r="G31" i="19" s="1"/>
  <c r="AR29" i="19"/>
  <c r="AM29" i="19"/>
  <c r="G30" i="19" s="1"/>
  <c r="AR28" i="19"/>
  <c r="AM28" i="19"/>
  <c r="G29" i="19" s="1"/>
  <c r="AR27" i="19"/>
  <c r="AM27" i="19"/>
  <c r="G28" i="19" s="1"/>
  <c r="AR26" i="19"/>
  <c r="AM26" i="19"/>
  <c r="G27" i="19" s="1"/>
  <c r="AR25" i="19"/>
  <c r="AM25" i="19"/>
  <c r="AR24" i="19"/>
  <c r="AM24" i="19"/>
  <c r="AR23" i="19"/>
  <c r="AM23" i="19"/>
  <c r="AR22" i="19"/>
  <c r="AM22" i="19"/>
  <c r="AR21" i="19"/>
  <c r="AM21" i="19"/>
  <c r="AR20" i="19"/>
  <c r="AM20" i="19"/>
  <c r="AR19" i="19"/>
  <c r="AM19" i="19"/>
  <c r="AR18" i="19"/>
  <c r="AM18" i="19"/>
  <c r="AR17" i="19"/>
  <c r="AM17" i="19"/>
  <c r="AR16" i="19"/>
  <c r="AM16" i="19"/>
  <c r="AR15" i="19"/>
  <c r="AM15" i="19"/>
  <c r="AR14" i="19"/>
  <c r="AM14" i="19"/>
  <c r="AR13" i="19"/>
  <c r="AM13" i="19"/>
  <c r="AR12" i="19"/>
  <c r="AM12" i="19"/>
  <c r="AR11" i="19"/>
  <c r="AM11" i="19"/>
  <c r="AR10" i="19"/>
  <c r="AM10" i="19"/>
  <c r="AR9" i="19"/>
  <c r="AM9" i="19"/>
  <c r="AR8" i="19"/>
  <c r="AM8" i="19"/>
  <c r="AR7" i="19"/>
  <c r="AM7" i="19"/>
  <c r="AR6" i="19"/>
  <c r="AM6" i="19"/>
  <c r="B6" i="19"/>
  <c r="B8" i="19" s="1"/>
  <c r="B10" i="19" s="1"/>
  <c r="AR5" i="19"/>
  <c r="AM5" i="19"/>
  <c r="B5" i="19"/>
  <c r="AR4" i="19"/>
  <c r="AL4" i="19"/>
  <c r="AK4" i="19"/>
  <c r="AG4" i="19"/>
  <c r="AF4" i="19"/>
  <c r="AB4" i="19"/>
  <c r="AA4" i="19"/>
  <c r="T4" i="19"/>
  <c r="S4" i="19"/>
  <c r="R4" i="19"/>
  <c r="AM4" i="19" s="1"/>
  <c r="H4" i="19"/>
  <c r="G4" i="19"/>
  <c r="A4" i="19"/>
  <c r="AP1" i="19"/>
  <c r="AT21" i="19" l="1"/>
  <c r="AT63" i="19"/>
  <c r="AT53" i="19"/>
  <c r="AT39" i="19"/>
  <c r="AN60" i="19"/>
  <c r="AO58" i="19"/>
  <c r="AO59" i="19"/>
  <c r="AN61" i="19"/>
  <c r="AO52" i="19"/>
  <c r="AN54" i="19"/>
  <c r="AO55" i="19"/>
  <c r="AN56" i="19"/>
  <c r="AN57" i="19"/>
  <c r="AO62" i="19"/>
  <c r="AO63" i="19"/>
  <c r="AN64" i="19"/>
  <c r="AN65" i="19"/>
  <c r="AO53" i="19"/>
  <c r="AN55" i="19"/>
  <c r="AO60" i="19"/>
  <c r="AO61" i="19"/>
  <c r="AN62" i="19"/>
  <c r="AN63" i="19"/>
  <c r="AP63" i="19" s="1"/>
  <c r="AO49" i="19"/>
  <c r="AO56" i="19"/>
  <c r="AO57" i="19"/>
  <c r="AN58" i="19"/>
  <c r="AN59" i="19"/>
  <c r="AO64" i="19"/>
  <c r="AO65" i="19"/>
  <c r="AO50" i="19"/>
  <c r="AN51" i="19"/>
  <c r="AO46" i="19"/>
  <c r="AN47" i="19"/>
  <c r="AN48" i="19"/>
  <c r="AO44" i="19"/>
  <c r="AN45" i="19"/>
  <c r="AN37" i="19"/>
  <c r="AO38" i="19"/>
  <c r="AN43" i="19"/>
  <c r="AN26" i="19"/>
  <c r="H27" i="19" s="1"/>
  <c r="AO27" i="19" s="1"/>
  <c r="AO23" i="19"/>
  <c r="AN22" i="19"/>
  <c r="A6" i="19"/>
  <c r="AO9" i="19"/>
  <c r="AN10" i="19"/>
  <c r="AO42" i="19"/>
  <c r="AN46" i="19"/>
  <c r="AO51" i="19"/>
  <c r="AN52" i="19"/>
  <c r="AN53" i="19"/>
  <c r="AO47" i="19"/>
  <c r="AO48" i="19"/>
  <c r="AN49" i="19"/>
  <c r="AN50" i="19"/>
  <c r="AO54" i="19"/>
  <c r="AO12" i="19"/>
  <c r="AN14" i="19"/>
  <c r="AN15" i="19"/>
  <c r="AO25" i="19"/>
  <c r="AO16" i="19"/>
  <c r="AO17" i="19"/>
  <c r="AN18" i="19"/>
  <c r="AN19" i="19"/>
  <c r="AN33" i="19"/>
  <c r="H34" i="19" s="1"/>
  <c r="AO34" i="19" s="1"/>
  <c r="AN34" i="19"/>
  <c r="H35" i="19" s="1"/>
  <c r="AO35" i="19" s="1"/>
  <c r="AO13" i="19"/>
  <c r="AO40" i="19"/>
  <c r="AN4" i="19"/>
  <c r="AN6" i="19"/>
  <c r="AO21" i="19"/>
  <c r="AO36" i="19"/>
  <c r="AO5" i="19"/>
  <c r="AN41" i="19"/>
  <c r="AO11" i="19"/>
  <c r="AN12" i="19"/>
  <c r="AN13" i="19"/>
  <c r="AO19" i="19"/>
  <c r="AN20" i="19"/>
  <c r="AN24" i="19"/>
  <c r="AN28" i="19"/>
  <c r="H29" i="19" s="1"/>
  <c r="AO29" i="19" s="1"/>
  <c r="AN31" i="19"/>
  <c r="H32" i="19" s="1"/>
  <c r="AO32" i="19" s="1"/>
  <c r="AN38" i="19"/>
  <c r="AO41" i="19"/>
  <c r="AN5" i="19"/>
  <c r="AO7" i="19"/>
  <c r="AN8" i="19"/>
  <c r="AN9" i="19"/>
  <c r="AO14" i="19"/>
  <c r="AO15" i="19"/>
  <c r="AN16" i="19"/>
  <c r="AN17" i="19"/>
  <c r="AO22" i="19"/>
  <c r="AN23" i="19"/>
  <c r="AO26" i="19"/>
  <c r="AN27" i="19"/>
  <c r="H28" i="19" s="1"/>
  <c r="AO28" i="19" s="1"/>
  <c r="AN30" i="19"/>
  <c r="H31" i="19" s="1"/>
  <c r="AO31" i="19" s="1"/>
  <c r="AN35" i="19"/>
  <c r="AN39" i="19"/>
  <c r="AM66" i="19"/>
  <c r="H25" i="1" s="1"/>
  <c r="AO4" i="19"/>
  <c r="A5" i="19"/>
  <c r="B7" i="19"/>
  <c r="A10" i="19"/>
  <c r="B12" i="19"/>
  <c r="A8" i="19"/>
  <c r="AO6" i="19"/>
  <c r="AN7" i="19"/>
  <c r="AO8" i="19"/>
  <c r="AO10" i="19"/>
  <c r="AN11" i="19"/>
  <c r="AO18" i="19"/>
  <c r="AN21" i="19"/>
  <c r="AO24" i="19"/>
  <c r="AN29" i="19"/>
  <c r="H30" i="19" s="1"/>
  <c r="AO30" i="19" s="1"/>
  <c r="AN36" i="19"/>
  <c r="AO39" i="19"/>
  <c r="AN44" i="19"/>
  <c r="AO37" i="19"/>
  <c r="AN42" i="19"/>
  <c r="AO45" i="19"/>
  <c r="AO20" i="19"/>
  <c r="AN25" i="19"/>
  <c r="AN32" i="19"/>
  <c r="H33" i="19" s="1"/>
  <c r="AO33" i="19" s="1"/>
  <c r="AN40" i="19"/>
  <c r="AO43" i="19"/>
  <c r="AS41" i="9"/>
  <c r="AV21" i="19" l="1"/>
  <c r="AU21" i="19"/>
  <c r="AV63" i="19"/>
  <c r="AU63" i="19"/>
  <c r="AU53" i="19"/>
  <c r="AV53" i="19"/>
  <c r="AU39" i="19"/>
  <c r="AV39" i="19"/>
  <c r="AP14" i="19"/>
  <c r="AP49" i="19"/>
  <c r="AP48" i="19"/>
  <c r="AP12" i="19"/>
  <c r="AP5" i="19"/>
  <c r="AP62" i="19"/>
  <c r="AP39" i="19"/>
  <c r="AP44" i="19"/>
  <c r="AP37" i="19"/>
  <c r="AP59" i="19"/>
  <c r="AP58" i="19"/>
  <c r="AP23" i="19"/>
  <c r="AP52" i="19"/>
  <c r="AP60" i="19"/>
  <c r="AP57" i="19"/>
  <c r="AP61" i="19"/>
  <c r="AP50" i="19"/>
  <c r="AP51" i="19"/>
  <c r="AP55" i="19"/>
  <c r="AP56" i="19"/>
  <c r="AP54" i="19"/>
  <c r="AP53" i="19"/>
  <c r="AP65" i="19"/>
  <c r="AP26" i="19"/>
  <c r="AP64" i="19"/>
  <c r="AP45" i="19"/>
  <c r="AP42" i="19"/>
  <c r="AP46" i="19"/>
  <c r="AP47" i="19"/>
  <c r="AP30" i="19"/>
  <c r="AP27" i="19"/>
  <c r="AP41" i="19"/>
  <c r="AP33" i="19"/>
  <c r="AP22" i="19"/>
  <c r="AP6" i="19"/>
  <c r="AP20" i="19"/>
  <c r="AP4" i="19"/>
  <c r="AP9" i="19"/>
  <c r="AP16" i="19"/>
  <c r="AP21" i="19"/>
  <c r="AP19" i="19"/>
  <c r="AP17" i="19"/>
  <c r="AP13" i="19"/>
  <c r="AP29" i="19"/>
  <c r="AP34" i="19"/>
  <c r="AP15" i="19"/>
  <c r="AP36" i="19"/>
  <c r="AP24" i="19"/>
  <c r="AP35" i="19"/>
  <c r="AP7" i="19"/>
  <c r="AP28" i="19"/>
  <c r="AP8" i="19"/>
  <c r="AP38" i="19"/>
  <c r="AP11" i="19"/>
  <c r="AP10" i="19"/>
  <c r="A7" i="19"/>
  <c r="B9" i="19"/>
  <c r="AP43" i="19"/>
  <c r="AN66" i="19"/>
  <c r="I25" i="1" s="1"/>
  <c r="AP40" i="19"/>
  <c r="AP32" i="19"/>
  <c r="AP31" i="19"/>
  <c r="AP18" i="19"/>
  <c r="AP25" i="19"/>
  <c r="B14" i="19"/>
  <c r="A12" i="19"/>
  <c r="AO66" i="19"/>
  <c r="J25" i="1" s="1"/>
  <c r="M25" i="1" l="1"/>
  <c r="N25" i="1" s="1"/>
  <c r="A14" i="19"/>
  <c r="B16" i="19"/>
  <c r="A9" i="19"/>
  <c r="B11" i="19"/>
  <c r="B13" i="19" l="1"/>
  <c r="A11" i="19"/>
  <c r="B18" i="19"/>
  <c r="A16" i="19"/>
  <c r="A13" i="19" l="1"/>
  <c r="B15" i="19"/>
  <c r="B20" i="19"/>
  <c r="A18" i="19"/>
  <c r="AK5" i="12"/>
  <c r="AL5" i="12"/>
  <c r="AK6" i="12"/>
  <c r="AL6" i="12"/>
  <c r="AK7" i="12"/>
  <c r="AL7" i="12"/>
  <c r="AK8" i="12"/>
  <c r="AL8" i="12"/>
  <c r="AK9" i="12"/>
  <c r="AL9" i="12"/>
  <c r="AK10" i="12"/>
  <c r="AL10" i="12"/>
  <c r="AK11" i="12"/>
  <c r="AL11" i="12"/>
  <c r="AK12" i="12"/>
  <c r="AL12" i="12"/>
  <c r="AK13" i="12"/>
  <c r="AL13" i="12"/>
  <c r="AK14" i="12"/>
  <c r="AL14" i="12"/>
  <c r="AK15" i="12"/>
  <c r="AL15" i="12"/>
  <c r="AK16" i="12"/>
  <c r="AL16" i="12"/>
  <c r="AK17" i="12"/>
  <c r="AL17" i="12"/>
  <c r="AK18" i="12"/>
  <c r="AL18" i="12"/>
  <c r="AK19" i="12"/>
  <c r="AL19" i="12"/>
  <c r="AK20" i="12"/>
  <c r="AL20" i="12"/>
  <c r="AK21" i="12"/>
  <c r="AL21" i="12"/>
  <c r="AK22" i="12"/>
  <c r="AL22" i="12"/>
  <c r="AK23" i="12"/>
  <c r="AL23" i="12"/>
  <c r="AK24" i="12"/>
  <c r="AL24" i="12"/>
  <c r="AK25" i="12"/>
  <c r="AL25" i="12"/>
  <c r="AK26" i="12"/>
  <c r="AL26" i="12"/>
  <c r="AK27" i="12"/>
  <c r="AL27" i="12"/>
  <c r="AK28" i="12"/>
  <c r="AL28" i="12"/>
  <c r="AK29" i="12"/>
  <c r="AL29" i="12"/>
  <c r="AK30" i="12"/>
  <c r="AL30" i="12"/>
  <c r="AK31" i="12"/>
  <c r="AL31" i="12"/>
  <c r="AK32" i="12"/>
  <c r="AL32" i="12"/>
  <c r="AK33" i="12"/>
  <c r="AL33" i="12"/>
  <c r="AK34" i="12"/>
  <c r="AL34" i="12"/>
  <c r="AK35" i="12"/>
  <c r="AL35" i="12"/>
  <c r="AK36" i="12"/>
  <c r="AL36" i="12"/>
  <c r="AK37" i="12"/>
  <c r="AL37" i="12"/>
  <c r="AK38" i="12"/>
  <c r="AL38" i="12"/>
  <c r="AK39" i="12"/>
  <c r="AL39" i="12"/>
  <c r="AK40" i="12"/>
  <c r="AL40" i="12"/>
  <c r="AK41" i="12"/>
  <c r="AL41" i="12"/>
  <c r="AK42" i="12"/>
  <c r="AL42" i="12"/>
  <c r="AK43" i="12"/>
  <c r="AL43" i="12"/>
  <c r="AK44" i="12"/>
  <c r="AL44" i="12"/>
  <c r="AK45" i="12"/>
  <c r="AL45" i="12"/>
  <c r="AK46" i="12"/>
  <c r="AL46" i="12"/>
  <c r="AK47" i="12"/>
  <c r="AL47" i="12"/>
  <c r="AK48" i="12"/>
  <c r="AL48" i="12"/>
  <c r="AK49" i="12"/>
  <c r="AL49" i="12"/>
  <c r="AK50" i="12"/>
  <c r="AL50" i="12"/>
  <c r="AK51" i="12"/>
  <c r="AL51" i="12"/>
  <c r="AK52" i="12"/>
  <c r="AL52" i="12"/>
  <c r="AK53" i="12"/>
  <c r="AL53" i="12"/>
  <c r="AK54" i="12"/>
  <c r="AL54" i="12"/>
  <c r="AK55" i="12"/>
  <c r="AL55" i="12"/>
  <c r="AK56" i="12"/>
  <c r="AL56" i="12"/>
  <c r="AK57" i="12"/>
  <c r="AL57" i="12"/>
  <c r="AK58" i="12"/>
  <c r="AL58" i="12"/>
  <c r="AK59" i="12"/>
  <c r="AL59" i="12"/>
  <c r="AK60" i="12"/>
  <c r="AL60" i="12"/>
  <c r="AK61" i="12"/>
  <c r="AL61" i="12"/>
  <c r="AK62" i="12"/>
  <c r="AL62" i="12"/>
  <c r="AK63" i="12"/>
  <c r="AL63" i="12"/>
  <c r="AK64" i="12"/>
  <c r="AL64" i="12"/>
  <c r="AK65" i="12"/>
  <c r="AL65" i="12"/>
  <c r="AF5" i="12"/>
  <c r="AG5" i="12"/>
  <c r="AF6" i="12"/>
  <c r="AG6" i="12"/>
  <c r="AF7" i="12"/>
  <c r="AG7" i="12"/>
  <c r="AF8" i="12"/>
  <c r="AG8" i="12"/>
  <c r="AF9" i="12"/>
  <c r="AG9" i="12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B22" i="19" l="1"/>
  <c r="A20" i="19"/>
  <c r="B17" i="19"/>
  <c r="A15" i="19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B24" i="19" l="1"/>
  <c r="A22" i="19"/>
  <c r="A17" i="19"/>
  <c r="B19" i="19"/>
  <c r="B26" i="19" l="1"/>
  <c r="A24" i="19"/>
  <c r="A19" i="19"/>
  <c r="B21" i="19"/>
  <c r="B28" i="19" l="1"/>
  <c r="A26" i="19"/>
  <c r="A21" i="19"/>
  <c r="B23" i="19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B30" i="19" l="1"/>
  <c r="A28" i="19"/>
  <c r="A23" i="19"/>
  <c r="B25" i="19"/>
  <c r="R14" i="18"/>
  <c r="S14" i="18"/>
  <c r="T14" i="18"/>
  <c r="R15" i="18"/>
  <c r="S15" i="18"/>
  <c r="T15" i="18"/>
  <c r="R16" i="18"/>
  <c r="S16" i="18"/>
  <c r="T16" i="18"/>
  <c r="R17" i="18"/>
  <c r="S17" i="18"/>
  <c r="T17" i="18"/>
  <c r="R18" i="18"/>
  <c r="S18" i="18"/>
  <c r="T18" i="18"/>
  <c r="R19" i="18"/>
  <c r="S19" i="18"/>
  <c r="T19" i="18"/>
  <c r="R20" i="18"/>
  <c r="S20" i="18"/>
  <c r="T20" i="18"/>
  <c r="R21" i="18"/>
  <c r="S21" i="18"/>
  <c r="T21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R26" i="18"/>
  <c r="S26" i="18"/>
  <c r="T26" i="18"/>
  <c r="R27" i="18"/>
  <c r="S27" i="18"/>
  <c r="T27" i="18"/>
  <c r="A30" i="19" l="1"/>
  <c r="B32" i="19"/>
  <c r="A25" i="19"/>
  <c r="B27" i="19"/>
  <c r="A27" i="19" l="1"/>
  <c r="B29" i="19"/>
  <c r="A32" i="19"/>
  <c r="B34" i="19"/>
  <c r="A34" i="19" l="1"/>
  <c r="B36" i="19"/>
  <c r="B31" i="19"/>
  <c r="A29" i="19"/>
  <c r="B33" i="19" l="1"/>
  <c r="A31" i="19"/>
  <c r="A36" i="19"/>
  <c r="B38" i="19"/>
  <c r="A38" i="19" l="1"/>
  <c r="B40" i="19"/>
  <c r="B35" i="19"/>
  <c r="A33" i="19"/>
  <c r="S11" i="5"/>
  <c r="B37" i="19" l="1"/>
  <c r="A35" i="19"/>
  <c r="A40" i="19"/>
  <c r="B42" i="19"/>
  <c r="AA4" i="8"/>
  <c r="AB4" i="8"/>
  <c r="AF4" i="8"/>
  <c r="AG4" i="8"/>
  <c r="AA5" i="8"/>
  <c r="AB5" i="8"/>
  <c r="AF5" i="8"/>
  <c r="AG5" i="8"/>
  <c r="AA6" i="8"/>
  <c r="AB6" i="8"/>
  <c r="AF6" i="8"/>
  <c r="AG6" i="8"/>
  <c r="AA7" i="8"/>
  <c r="AB7" i="8"/>
  <c r="AA8" i="8"/>
  <c r="AB8" i="8"/>
  <c r="AF8" i="8"/>
  <c r="AG8" i="8"/>
  <c r="AA9" i="8"/>
  <c r="AB9" i="8"/>
  <c r="AF9" i="8"/>
  <c r="AG9" i="8"/>
  <c r="A42" i="19" l="1"/>
  <c r="B44" i="19"/>
  <c r="B39" i="19"/>
  <c r="A37" i="19"/>
  <c r="B41" i="19" l="1"/>
  <c r="A39" i="19"/>
  <c r="A44" i="19"/>
  <c r="B46" i="19"/>
  <c r="N42" i="1"/>
  <c r="B43" i="19" l="1"/>
  <c r="A41" i="19"/>
  <c r="A46" i="19"/>
  <c r="B48" i="19"/>
  <c r="B45" i="19" l="1"/>
  <c r="A43" i="19"/>
  <c r="B50" i="19"/>
  <c r="A48" i="19"/>
  <c r="B52" i="19" l="1"/>
  <c r="A50" i="19"/>
  <c r="B47" i="19"/>
  <c r="A45" i="19"/>
  <c r="AS61" i="8"/>
  <c r="AS61" i="12"/>
  <c r="A47" i="19" l="1"/>
  <c r="B49" i="19"/>
  <c r="A52" i="19"/>
  <c r="B54" i="19"/>
  <c r="A54" i="19" l="1"/>
  <c r="B56" i="19"/>
  <c r="A49" i="19"/>
  <c r="B51" i="19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B53" i="19" l="1"/>
  <c r="A51" i="19"/>
  <c r="A56" i="19"/>
  <c r="B58" i="19"/>
  <c r="AS61" i="9"/>
  <c r="A58" i="19" l="1"/>
  <c r="B60" i="19"/>
  <c r="B55" i="19"/>
  <c r="A53" i="19"/>
  <c r="A55" i="19" l="1"/>
  <c r="B57" i="19"/>
  <c r="A60" i="19"/>
  <c r="B62" i="19"/>
  <c r="A62" i="19" l="1"/>
  <c r="B64" i="19"/>
  <c r="A64" i="19" s="1"/>
  <c r="B59" i="19"/>
  <c r="A57" i="19"/>
  <c r="A59" i="19" l="1"/>
  <c r="B61" i="19"/>
  <c r="B63" i="19" l="1"/>
  <c r="A61" i="19"/>
  <c r="A63" i="19" l="1"/>
  <c r="B65" i="19"/>
  <c r="A65" i="19" s="1"/>
  <c r="G34" i="4" l="1"/>
  <c r="G35" i="4"/>
  <c r="G36" i="4"/>
  <c r="G37" i="4"/>
  <c r="G38" i="4"/>
  <c r="G39" i="4"/>
  <c r="G40" i="4"/>
  <c r="G41" i="4"/>
  <c r="G42" i="4"/>
  <c r="V71" i="18" l="1"/>
  <c r="Z70" i="18"/>
  <c r="Y70" i="18"/>
  <c r="Z69" i="18"/>
  <c r="Y69" i="18"/>
  <c r="J66" i="18"/>
  <c r="G9" i="1" s="1"/>
  <c r="AR65" i="18"/>
  <c r="AL65" i="18"/>
  <c r="AK65" i="18"/>
  <c r="AG65" i="18"/>
  <c r="AF65" i="18"/>
  <c r="AB65" i="18"/>
  <c r="AA65" i="18"/>
  <c r="T65" i="18"/>
  <c r="S65" i="18"/>
  <c r="R65" i="18"/>
  <c r="AM65" i="18" s="1"/>
  <c r="H65" i="18"/>
  <c r="G65" i="18"/>
  <c r="AR64" i="18"/>
  <c r="AL64" i="18"/>
  <c r="AK64" i="18"/>
  <c r="AG64" i="18"/>
  <c r="AF64" i="18"/>
  <c r="AB64" i="18"/>
  <c r="AA64" i="18"/>
  <c r="T64" i="18"/>
  <c r="S64" i="18"/>
  <c r="R64" i="18"/>
  <c r="AM64" i="18" s="1"/>
  <c r="H64" i="18"/>
  <c r="G64" i="18"/>
  <c r="AL63" i="18"/>
  <c r="AK63" i="18"/>
  <c r="AG63" i="18"/>
  <c r="AF63" i="18"/>
  <c r="AB63" i="18"/>
  <c r="AA63" i="18"/>
  <c r="T63" i="18"/>
  <c r="S63" i="18"/>
  <c r="R63" i="18"/>
  <c r="AM63" i="18" s="1"/>
  <c r="H63" i="18"/>
  <c r="G63" i="18"/>
  <c r="AR62" i="18"/>
  <c r="AL62" i="18"/>
  <c r="AK62" i="18"/>
  <c r="AG62" i="18"/>
  <c r="AF62" i="18"/>
  <c r="AB62" i="18"/>
  <c r="AA62" i="18"/>
  <c r="T62" i="18"/>
  <c r="S62" i="18"/>
  <c r="R62" i="18"/>
  <c r="AM62" i="18" s="1"/>
  <c r="H62" i="18"/>
  <c r="G62" i="18"/>
  <c r="AR61" i="18"/>
  <c r="AL61" i="18"/>
  <c r="AK61" i="18"/>
  <c r="AG61" i="18"/>
  <c r="AF61" i="18"/>
  <c r="AB61" i="18"/>
  <c r="AA61" i="18"/>
  <c r="T61" i="18"/>
  <c r="S61" i="18"/>
  <c r="R61" i="18"/>
  <c r="AM61" i="18" s="1"/>
  <c r="H61" i="18"/>
  <c r="G61" i="18"/>
  <c r="AR60" i="18"/>
  <c r="AL60" i="18"/>
  <c r="AK60" i="18"/>
  <c r="AG60" i="18"/>
  <c r="AF60" i="18"/>
  <c r="AB60" i="18"/>
  <c r="AA60" i="18"/>
  <c r="T60" i="18"/>
  <c r="S60" i="18"/>
  <c r="R60" i="18"/>
  <c r="AM60" i="18" s="1"/>
  <c r="H60" i="18"/>
  <c r="G60" i="18"/>
  <c r="AR59" i="18"/>
  <c r="AL59" i="18"/>
  <c r="AK59" i="18"/>
  <c r="AG59" i="18"/>
  <c r="AF59" i="18"/>
  <c r="AB59" i="18"/>
  <c r="AA59" i="18"/>
  <c r="T59" i="18"/>
  <c r="S59" i="18"/>
  <c r="R59" i="18"/>
  <c r="AM59" i="18" s="1"/>
  <c r="H59" i="18"/>
  <c r="G59" i="18"/>
  <c r="AR58" i="18"/>
  <c r="AL58" i="18"/>
  <c r="AK58" i="18"/>
  <c r="AG58" i="18"/>
  <c r="AF58" i="18"/>
  <c r="AB58" i="18"/>
  <c r="AA58" i="18"/>
  <c r="T58" i="18"/>
  <c r="S58" i="18"/>
  <c r="R58" i="18"/>
  <c r="AM58" i="18" s="1"/>
  <c r="H58" i="18"/>
  <c r="G58" i="18"/>
  <c r="AR57" i="18"/>
  <c r="AL57" i="18"/>
  <c r="AK57" i="18"/>
  <c r="AG57" i="18"/>
  <c r="AF57" i="18"/>
  <c r="AB57" i="18"/>
  <c r="AA57" i="18"/>
  <c r="T57" i="18"/>
  <c r="S57" i="18"/>
  <c r="R57" i="18"/>
  <c r="AM57" i="18" s="1"/>
  <c r="H57" i="18"/>
  <c r="G57" i="18"/>
  <c r="AR56" i="18"/>
  <c r="AL56" i="18"/>
  <c r="AK56" i="18"/>
  <c r="AG56" i="18"/>
  <c r="AF56" i="18"/>
  <c r="AB56" i="18"/>
  <c r="AA56" i="18"/>
  <c r="T56" i="18"/>
  <c r="S56" i="18"/>
  <c r="R56" i="18"/>
  <c r="AM56" i="18" s="1"/>
  <c r="H56" i="18"/>
  <c r="G56" i="18"/>
  <c r="AR55" i="18"/>
  <c r="AL55" i="18"/>
  <c r="AK55" i="18"/>
  <c r="AG55" i="18"/>
  <c r="AF55" i="18"/>
  <c r="AB55" i="18"/>
  <c r="AA55" i="18"/>
  <c r="T55" i="18"/>
  <c r="S55" i="18"/>
  <c r="R55" i="18"/>
  <c r="AM55" i="18" s="1"/>
  <c r="H55" i="18"/>
  <c r="G55" i="18"/>
  <c r="AR54" i="18"/>
  <c r="AL54" i="18"/>
  <c r="AK54" i="18"/>
  <c r="AG54" i="18"/>
  <c r="AF54" i="18"/>
  <c r="AB54" i="18"/>
  <c r="AA54" i="18"/>
  <c r="T54" i="18"/>
  <c r="S54" i="18"/>
  <c r="R54" i="18"/>
  <c r="AM54" i="18" s="1"/>
  <c r="H54" i="18"/>
  <c r="G54" i="18"/>
  <c r="AR53" i="18"/>
  <c r="AL53" i="18"/>
  <c r="AK53" i="18"/>
  <c r="AG53" i="18"/>
  <c r="AF53" i="18"/>
  <c r="AB53" i="18"/>
  <c r="AA53" i="18"/>
  <c r="T53" i="18"/>
  <c r="S53" i="18"/>
  <c r="R53" i="18"/>
  <c r="AM53" i="18" s="1"/>
  <c r="H53" i="18"/>
  <c r="G53" i="18"/>
  <c r="AR52" i="18"/>
  <c r="AL52" i="18"/>
  <c r="AK52" i="18"/>
  <c r="AG52" i="18"/>
  <c r="AF52" i="18"/>
  <c r="AB52" i="18"/>
  <c r="AA52" i="18"/>
  <c r="T52" i="18"/>
  <c r="S52" i="18"/>
  <c r="R52" i="18"/>
  <c r="AM52" i="18" s="1"/>
  <c r="H52" i="18"/>
  <c r="G52" i="18"/>
  <c r="AR51" i="18"/>
  <c r="AG51" i="18"/>
  <c r="AF51" i="18"/>
  <c r="AB51" i="18"/>
  <c r="AA51" i="18"/>
  <c r="T51" i="18"/>
  <c r="S51" i="18"/>
  <c r="R51" i="18"/>
  <c r="AM51" i="18" s="1"/>
  <c r="H51" i="18"/>
  <c r="G51" i="18"/>
  <c r="AR50" i="18"/>
  <c r="AG50" i="18"/>
  <c r="AF50" i="18"/>
  <c r="AB50" i="18"/>
  <c r="AA50" i="18"/>
  <c r="T50" i="18"/>
  <c r="S50" i="18"/>
  <c r="R50" i="18"/>
  <c r="AM50" i="18" s="1"/>
  <c r="H50" i="18"/>
  <c r="G50" i="18"/>
  <c r="AR49" i="18"/>
  <c r="AG49" i="18"/>
  <c r="AF49" i="18"/>
  <c r="AB49" i="18"/>
  <c r="AA49" i="18"/>
  <c r="T49" i="18"/>
  <c r="S49" i="18"/>
  <c r="R49" i="18"/>
  <c r="AM49" i="18" s="1"/>
  <c r="H49" i="18"/>
  <c r="G49" i="18"/>
  <c r="AR48" i="18"/>
  <c r="AG48" i="18"/>
  <c r="AF48" i="18"/>
  <c r="AB48" i="18"/>
  <c r="AA48" i="18"/>
  <c r="T48" i="18"/>
  <c r="S48" i="18"/>
  <c r="R48" i="18"/>
  <c r="AM48" i="18" s="1"/>
  <c r="H48" i="18"/>
  <c r="G48" i="18"/>
  <c r="AR47" i="18"/>
  <c r="AG47" i="18"/>
  <c r="AF47" i="18"/>
  <c r="AB47" i="18"/>
  <c r="AA47" i="18"/>
  <c r="T47" i="18"/>
  <c r="S47" i="18"/>
  <c r="R47" i="18"/>
  <c r="AM47" i="18" s="1"/>
  <c r="H47" i="18"/>
  <c r="G47" i="18"/>
  <c r="AR46" i="18"/>
  <c r="AG46" i="18"/>
  <c r="AF46" i="18"/>
  <c r="AB46" i="18"/>
  <c r="AA46" i="18"/>
  <c r="T46" i="18"/>
  <c r="S46" i="18"/>
  <c r="R46" i="18"/>
  <c r="AM46" i="18" s="1"/>
  <c r="H46" i="18"/>
  <c r="G46" i="18"/>
  <c r="AR45" i="18"/>
  <c r="AG45" i="18"/>
  <c r="AF45" i="18"/>
  <c r="AB45" i="18"/>
  <c r="AA45" i="18"/>
  <c r="T45" i="18"/>
  <c r="S45" i="18"/>
  <c r="R45" i="18"/>
  <c r="AM45" i="18" s="1"/>
  <c r="H45" i="18"/>
  <c r="G45" i="18"/>
  <c r="AR44" i="18"/>
  <c r="AG44" i="18"/>
  <c r="AF44" i="18"/>
  <c r="AB44" i="18"/>
  <c r="AA44" i="18"/>
  <c r="T44" i="18"/>
  <c r="S44" i="18"/>
  <c r="R44" i="18"/>
  <c r="AM44" i="18" s="1"/>
  <c r="H44" i="18"/>
  <c r="G44" i="18"/>
  <c r="AR43" i="18"/>
  <c r="AL43" i="18"/>
  <c r="AK43" i="18"/>
  <c r="AG43" i="18"/>
  <c r="AF43" i="18"/>
  <c r="AB43" i="18"/>
  <c r="AA43" i="18"/>
  <c r="T43" i="18"/>
  <c r="S43" i="18"/>
  <c r="R43" i="18"/>
  <c r="AM43" i="18" s="1"/>
  <c r="H43" i="18"/>
  <c r="G43" i="18"/>
  <c r="AR42" i="18"/>
  <c r="AL42" i="18"/>
  <c r="AK42" i="18"/>
  <c r="AG42" i="18"/>
  <c r="AF42" i="18"/>
  <c r="AB42" i="18"/>
  <c r="AA42" i="18"/>
  <c r="T42" i="18"/>
  <c r="S42" i="18"/>
  <c r="R42" i="18"/>
  <c r="AM42" i="18" s="1"/>
  <c r="H42" i="18"/>
  <c r="G42" i="18"/>
  <c r="AR41" i="18"/>
  <c r="AL41" i="18"/>
  <c r="AK41" i="18"/>
  <c r="AG41" i="18"/>
  <c r="AF41" i="18"/>
  <c r="AB41" i="18"/>
  <c r="AA41" i="18"/>
  <c r="T41" i="18"/>
  <c r="S41" i="18"/>
  <c r="R41" i="18"/>
  <c r="AM41" i="18" s="1"/>
  <c r="H41" i="18"/>
  <c r="G41" i="18"/>
  <c r="AR40" i="18"/>
  <c r="AL40" i="18"/>
  <c r="AK40" i="18"/>
  <c r="AG40" i="18"/>
  <c r="AF40" i="18"/>
  <c r="AB40" i="18"/>
  <c r="AA40" i="18"/>
  <c r="T40" i="18"/>
  <c r="S40" i="18"/>
  <c r="R40" i="18"/>
  <c r="AM40" i="18" s="1"/>
  <c r="H40" i="18"/>
  <c r="G40" i="18"/>
  <c r="AR39" i="18"/>
  <c r="AL39" i="18"/>
  <c r="AK39" i="18"/>
  <c r="AG39" i="18"/>
  <c r="AF39" i="18"/>
  <c r="AB39" i="18"/>
  <c r="AA39" i="18"/>
  <c r="T39" i="18"/>
  <c r="S39" i="18"/>
  <c r="R39" i="18"/>
  <c r="AM39" i="18" s="1"/>
  <c r="H39" i="18"/>
  <c r="G39" i="18"/>
  <c r="AR38" i="18"/>
  <c r="AL38" i="18"/>
  <c r="AK38" i="18"/>
  <c r="AG38" i="18"/>
  <c r="AF38" i="18"/>
  <c r="AB38" i="18"/>
  <c r="AA38" i="18"/>
  <c r="T38" i="18"/>
  <c r="S38" i="18"/>
  <c r="R38" i="18"/>
  <c r="AM38" i="18" s="1"/>
  <c r="H38" i="18"/>
  <c r="G38" i="18"/>
  <c r="AR37" i="18"/>
  <c r="AL37" i="18"/>
  <c r="AK37" i="18"/>
  <c r="AG37" i="18"/>
  <c r="AF37" i="18"/>
  <c r="AB37" i="18"/>
  <c r="AA37" i="18"/>
  <c r="T37" i="18"/>
  <c r="S37" i="18"/>
  <c r="R37" i="18"/>
  <c r="AM37" i="18" s="1"/>
  <c r="H37" i="18"/>
  <c r="G37" i="18"/>
  <c r="AR36" i="18"/>
  <c r="AL36" i="18"/>
  <c r="AK36" i="18"/>
  <c r="AG36" i="18"/>
  <c r="AF36" i="18"/>
  <c r="AB36" i="18"/>
  <c r="AA36" i="18"/>
  <c r="T36" i="18"/>
  <c r="S36" i="18"/>
  <c r="R36" i="18"/>
  <c r="AM36" i="18" s="1"/>
  <c r="H36" i="18"/>
  <c r="G36" i="18"/>
  <c r="AR35" i="18"/>
  <c r="AL35" i="18"/>
  <c r="AK35" i="18"/>
  <c r="AG35" i="18"/>
  <c r="AF35" i="18"/>
  <c r="AB35" i="18"/>
  <c r="AA35" i="18"/>
  <c r="T35" i="18"/>
  <c r="S35" i="18"/>
  <c r="R35" i="18"/>
  <c r="AM35" i="18" s="1"/>
  <c r="H35" i="18"/>
  <c r="G35" i="18"/>
  <c r="AR34" i="18"/>
  <c r="AL34" i="18"/>
  <c r="AK34" i="18"/>
  <c r="AG34" i="18"/>
  <c r="AF34" i="18"/>
  <c r="AB34" i="18"/>
  <c r="AA34" i="18"/>
  <c r="T34" i="18"/>
  <c r="S34" i="18"/>
  <c r="R34" i="18"/>
  <c r="AM34" i="18" s="1"/>
  <c r="H34" i="18"/>
  <c r="G34" i="18"/>
  <c r="AR33" i="18"/>
  <c r="AL33" i="18"/>
  <c r="AK33" i="18"/>
  <c r="AG33" i="18"/>
  <c r="AF33" i="18"/>
  <c r="AB33" i="18"/>
  <c r="AA33" i="18"/>
  <c r="T33" i="18"/>
  <c r="S33" i="18"/>
  <c r="R33" i="18"/>
  <c r="AM33" i="18" s="1"/>
  <c r="H33" i="18"/>
  <c r="G33" i="18"/>
  <c r="AR32" i="18"/>
  <c r="AL32" i="18"/>
  <c r="AK32" i="18"/>
  <c r="AG32" i="18"/>
  <c r="AF32" i="18"/>
  <c r="AB32" i="18"/>
  <c r="AA32" i="18"/>
  <c r="T32" i="18"/>
  <c r="S32" i="18"/>
  <c r="R32" i="18"/>
  <c r="AM32" i="18" s="1"/>
  <c r="H32" i="18"/>
  <c r="G32" i="18"/>
  <c r="AR31" i="18"/>
  <c r="AL31" i="18"/>
  <c r="AK31" i="18"/>
  <c r="AG31" i="18"/>
  <c r="AF31" i="18"/>
  <c r="AB31" i="18"/>
  <c r="AA31" i="18"/>
  <c r="T31" i="18"/>
  <c r="S31" i="18"/>
  <c r="R31" i="18"/>
  <c r="AM31" i="18" s="1"/>
  <c r="H31" i="18"/>
  <c r="G31" i="18"/>
  <c r="AR30" i="18"/>
  <c r="AL30" i="18"/>
  <c r="AK30" i="18"/>
  <c r="AG30" i="18"/>
  <c r="AF30" i="18"/>
  <c r="AB30" i="18"/>
  <c r="AA30" i="18"/>
  <c r="T30" i="18"/>
  <c r="S30" i="18"/>
  <c r="R30" i="18"/>
  <c r="AM30" i="18" s="1"/>
  <c r="H30" i="18"/>
  <c r="G30" i="18"/>
  <c r="AR29" i="18"/>
  <c r="AL29" i="18"/>
  <c r="AK29" i="18"/>
  <c r="AG29" i="18"/>
  <c r="AF29" i="18"/>
  <c r="AB29" i="18"/>
  <c r="AA29" i="18"/>
  <c r="T29" i="18"/>
  <c r="S29" i="18"/>
  <c r="R29" i="18"/>
  <c r="AM29" i="18" s="1"/>
  <c r="H29" i="18"/>
  <c r="G29" i="18"/>
  <c r="AR28" i="18"/>
  <c r="AL28" i="18"/>
  <c r="AK28" i="18"/>
  <c r="AG28" i="18"/>
  <c r="AF28" i="18"/>
  <c r="AB28" i="18"/>
  <c r="AA28" i="18"/>
  <c r="T28" i="18"/>
  <c r="S28" i="18"/>
  <c r="R28" i="18"/>
  <c r="AM28" i="18" s="1"/>
  <c r="H28" i="18"/>
  <c r="G28" i="18"/>
  <c r="AR27" i="18"/>
  <c r="AM27" i="18"/>
  <c r="AL27" i="18"/>
  <c r="AK27" i="18"/>
  <c r="AG27" i="18"/>
  <c r="AF27" i="18"/>
  <c r="AB27" i="18"/>
  <c r="AA27" i="18"/>
  <c r="H27" i="18"/>
  <c r="G27" i="18"/>
  <c r="AR26" i="18"/>
  <c r="AL26" i="18"/>
  <c r="AK26" i="18"/>
  <c r="AG26" i="18"/>
  <c r="AF26" i="18"/>
  <c r="AB26" i="18"/>
  <c r="AA26" i="18"/>
  <c r="AM26" i="18"/>
  <c r="H26" i="18"/>
  <c r="G26" i="18"/>
  <c r="AR25" i="18"/>
  <c r="AL25" i="18"/>
  <c r="AK25" i="18"/>
  <c r="AG25" i="18"/>
  <c r="AF25" i="18"/>
  <c r="AB25" i="18"/>
  <c r="AA25" i="18"/>
  <c r="AM25" i="18"/>
  <c r="H25" i="18"/>
  <c r="G25" i="18"/>
  <c r="AR24" i="18"/>
  <c r="AL24" i="18"/>
  <c r="AK24" i="18"/>
  <c r="AG24" i="18"/>
  <c r="AF24" i="18"/>
  <c r="AB24" i="18"/>
  <c r="AA24" i="18"/>
  <c r="AM24" i="18"/>
  <c r="H24" i="18"/>
  <c r="G24" i="18"/>
  <c r="AR23" i="18"/>
  <c r="AL23" i="18"/>
  <c r="AK23" i="18"/>
  <c r="AG23" i="18"/>
  <c r="AF23" i="18"/>
  <c r="AB23" i="18"/>
  <c r="AA23" i="18"/>
  <c r="AM23" i="18"/>
  <c r="H23" i="18"/>
  <c r="G23" i="18"/>
  <c r="AR22" i="18"/>
  <c r="AL22" i="18"/>
  <c r="AK22" i="18"/>
  <c r="AG22" i="18"/>
  <c r="AF22" i="18"/>
  <c r="AB22" i="18"/>
  <c r="AA22" i="18"/>
  <c r="AM22" i="18"/>
  <c r="H22" i="18"/>
  <c r="G22" i="18"/>
  <c r="AR21" i="18"/>
  <c r="AL21" i="18"/>
  <c r="AK21" i="18"/>
  <c r="AG21" i="18"/>
  <c r="AF21" i="18"/>
  <c r="AB21" i="18"/>
  <c r="AA21" i="18"/>
  <c r="AM21" i="18"/>
  <c r="H21" i="18"/>
  <c r="G21" i="18"/>
  <c r="AR20" i="18"/>
  <c r="AL20" i="18"/>
  <c r="AK20" i="18"/>
  <c r="AG20" i="18"/>
  <c r="AF20" i="18"/>
  <c r="AB20" i="18"/>
  <c r="AA20" i="18"/>
  <c r="AM20" i="18"/>
  <c r="H20" i="18"/>
  <c r="G20" i="18"/>
  <c r="AR19" i="18"/>
  <c r="AL19" i="18"/>
  <c r="AK19" i="18"/>
  <c r="AG19" i="18"/>
  <c r="AF19" i="18"/>
  <c r="AB19" i="18"/>
  <c r="AA19" i="18"/>
  <c r="AM19" i="18"/>
  <c r="H19" i="18"/>
  <c r="G19" i="18"/>
  <c r="AR18" i="18"/>
  <c r="AL18" i="18"/>
  <c r="AK18" i="18"/>
  <c r="AG18" i="18"/>
  <c r="AF18" i="18"/>
  <c r="AB18" i="18"/>
  <c r="AA18" i="18"/>
  <c r="AM18" i="18"/>
  <c r="H18" i="18"/>
  <c r="G18" i="18"/>
  <c r="AR17" i="18"/>
  <c r="AL17" i="18"/>
  <c r="AK17" i="18"/>
  <c r="AG17" i="18"/>
  <c r="AF17" i="18"/>
  <c r="AB17" i="18"/>
  <c r="AA17" i="18"/>
  <c r="AM17" i="18"/>
  <c r="H17" i="18"/>
  <c r="G17" i="18"/>
  <c r="AR16" i="18"/>
  <c r="AL16" i="18"/>
  <c r="AK16" i="18"/>
  <c r="AG16" i="18"/>
  <c r="AF16" i="18"/>
  <c r="AB16" i="18"/>
  <c r="AA16" i="18"/>
  <c r="AM16" i="18"/>
  <c r="H16" i="18"/>
  <c r="G16" i="18"/>
  <c r="AR15" i="18"/>
  <c r="AL15" i="18"/>
  <c r="AK15" i="18"/>
  <c r="AG15" i="18"/>
  <c r="AF15" i="18"/>
  <c r="AB15" i="18"/>
  <c r="AA15" i="18"/>
  <c r="AM15" i="18"/>
  <c r="H15" i="18"/>
  <c r="G15" i="18"/>
  <c r="AR14" i="18"/>
  <c r="AL14" i="18"/>
  <c r="AK14" i="18"/>
  <c r="AG14" i="18"/>
  <c r="AF14" i="18"/>
  <c r="AB14" i="18"/>
  <c r="AA14" i="18"/>
  <c r="AM14" i="18"/>
  <c r="H14" i="18"/>
  <c r="G14" i="18"/>
  <c r="AR13" i="18"/>
  <c r="AL13" i="18"/>
  <c r="AK13" i="18"/>
  <c r="AG13" i="18"/>
  <c r="AF13" i="18"/>
  <c r="AB13" i="18"/>
  <c r="AA13" i="18"/>
  <c r="T13" i="18"/>
  <c r="S13" i="18"/>
  <c r="R13" i="18"/>
  <c r="AM13" i="18" s="1"/>
  <c r="H13" i="18"/>
  <c r="G13" i="18"/>
  <c r="AR12" i="18"/>
  <c r="AL12" i="18"/>
  <c r="AK12" i="18"/>
  <c r="AG12" i="18"/>
  <c r="AF12" i="18"/>
  <c r="AB12" i="18"/>
  <c r="AA12" i="18"/>
  <c r="T12" i="18"/>
  <c r="S12" i="18"/>
  <c r="R12" i="18"/>
  <c r="AM12" i="18" s="1"/>
  <c r="H12" i="18"/>
  <c r="G12" i="18"/>
  <c r="AR11" i="18"/>
  <c r="AL11" i="18"/>
  <c r="AK11" i="18"/>
  <c r="AG11" i="18"/>
  <c r="AF11" i="18"/>
  <c r="AB11" i="18"/>
  <c r="AA11" i="18"/>
  <c r="T11" i="18"/>
  <c r="S11" i="18"/>
  <c r="R11" i="18"/>
  <c r="AM11" i="18" s="1"/>
  <c r="AR10" i="18"/>
  <c r="AL10" i="18"/>
  <c r="AK10" i="18"/>
  <c r="AG10" i="18"/>
  <c r="AF10" i="18"/>
  <c r="AB10" i="18"/>
  <c r="AA10" i="18"/>
  <c r="T10" i="18"/>
  <c r="S10" i="18"/>
  <c r="R10" i="18"/>
  <c r="AM10" i="18" s="1"/>
  <c r="AR9" i="18"/>
  <c r="AL9" i="18"/>
  <c r="AK9" i="18"/>
  <c r="AG9" i="18"/>
  <c r="AF9" i="18"/>
  <c r="AB9" i="18"/>
  <c r="AA9" i="18"/>
  <c r="T9" i="18"/>
  <c r="S9" i="18"/>
  <c r="R9" i="18"/>
  <c r="AM9" i="18" s="1"/>
  <c r="AR8" i="18"/>
  <c r="AL8" i="18"/>
  <c r="AK8" i="18"/>
  <c r="AG8" i="18"/>
  <c r="AF8" i="18"/>
  <c r="AB8" i="18"/>
  <c r="AA8" i="18"/>
  <c r="T8" i="18"/>
  <c r="S8" i="18"/>
  <c r="R8" i="18"/>
  <c r="AM8" i="18" s="1"/>
  <c r="AR7" i="18"/>
  <c r="AL7" i="18"/>
  <c r="AK7" i="18"/>
  <c r="AG7" i="18"/>
  <c r="AF7" i="18"/>
  <c r="AB7" i="18"/>
  <c r="AA7" i="18"/>
  <c r="T7" i="18"/>
  <c r="S7" i="18"/>
  <c r="R7" i="18"/>
  <c r="AM7" i="18" s="1"/>
  <c r="AR6" i="18"/>
  <c r="AL6" i="18"/>
  <c r="AK6" i="18"/>
  <c r="AG6" i="18"/>
  <c r="AF6" i="18"/>
  <c r="AB6" i="18"/>
  <c r="AA6" i="18"/>
  <c r="T6" i="18"/>
  <c r="S6" i="18"/>
  <c r="R6" i="18"/>
  <c r="AM6" i="18" s="1"/>
  <c r="B6" i="18"/>
  <c r="B8" i="18" s="1"/>
  <c r="AR5" i="18"/>
  <c r="AL5" i="18"/>
  <c r="AK5" i="18"/>
  <c r="AG5" i="18"/>
  <c r="AF5" i="18"/>
  <c r="AB5" i="18"/>
  <c r="AA5" i="18"/>
  <c r="T5" i="18"/>
  <c r="S5" i="18"/>
  <c r="R5" i="18"/>
  <c r="AM5" i="18" s="1"/>
  <c r="B5" i="18"/>
  <c r="B7" i="18" s="1"/>
  <c r="AR4" i="18"/>
  <c r="AL4" i="18"/>
  <c r="AK4" i="18"/>
  <c r="AG4" i="18"/>
  <c r="AF4" i="18"/>
  <c r="AB4" i="18"/>
  <c r="AA4" i="18"/>
  <c r="T4" i="18"/>
  <c r="S4" i="18"/>
  <c r="R4" i="18"/>
  <c r="AM4" i="18" s="1"/>
  <c r="A4" i="18"/>
  <c r="AP1" i="18"/>
  <c r="Y71" i="18" l="1"/>
  <c r="W71" i="18" s="1"/>
  <c r="Z71" i="18"/>
  <c r="X71" i="18" s="1"/>
  <c r="A5" i="18"/>
  <c r="AN6" i="18"/>
  <c r="AO62" i="18"/>
  <c r="AO63" i="18"/>
  <c r="AO5" i="18"/>
  <c r="AO19" i="18"/>
  <c r="AO64" i="18"/>
  <c r="AN65" i="18"/>
  <c r="AN63" i="18"/>
  <c r="AN64" i="18"/>
  <c r="AO65" i="18"/>
  <c r="AN62" i="18"/>
  <c r="AN56" i="18"/>
  <c r="AN57" i="18"/>
  <c r="AN60" i="18"/>
  <c r="AN61" i="18"/>
  <c r="AO55" i="18"/>
  <c r="AO56" i="18"/>
  <c r="AO57" i="18"/>
  <c r="AN58" i="18"/>
  <c r="AN59" i="18"/>
  <c r="AO58" i="18"/>
  <c r="AO59" i="18"/>
  <c r="AN48" i="18"/>
  <c r="AN49" i="18"/>
  <c r="AO60" i="18"/>
  <c r="AO61" i="18"/>
  <c r="AN52" i="18"/>
  <c r="AN53" i="18"/>
  <c r="AN55" i="18"/>
  <c r="AO54" i="18"/>
  <c r="AO48" i="18"/>
  <c r="AO49" i="18"/>
  <c r="AN50" i="18"/>
  <c r="AN51" i="18"/>
  <c r="AO50" i="18"/>
  <c r="AO51" i="18"/>
  <c r="AO52" i="18"/>
  <c r="AO53" i="18"/>
  <c r="AN54" i="18"/>
  <c r="AO47" i="18"/>
  <c r="AN44" i="18"/>
  <c r="AN45" i="18"/>
  <c r="AN47" i="18"/>
  <c r="AO46" i="18"/>
  <c r="AN40" i="18"/>
  <c r="AN41" i="18"/>
  <c r="AO37" i="18"/>
  <c r="AO44" i="18"/>
  <c r="AO45" i="18"/>
  <c r="AN46" i="18"/>
  <c r="AN38" i="18"/>
  <c r="AO39" i="18"/>
  <c r="AN34" i="18"/>
  <c r="AO41" i="18"/>
  <c r="AN42" i="18"/>
  <c r="AN43" i="18"/>
  <c r="AO35" i="18"/>
  <c r="AN36" i="18"/>
  <c r="AN37" i="18"/>
  <c r="AP37" i="18" s="1"/>
  <c r="AO42" i="18"/>
  <c r="AO43" i="18"/>
  <c r="AN32" i="18"/>
  <c r="AN33" i="18"/>
  <c r="AO31" i="18"/>
  <c r="AO33" i="18"/>
  <c r="AN31" i="18"/>
  <c r="AO20" i="18"/>
  <c r="AO30" i="18"/>
  <c r="AN26" i="18"/>
  <c r="AN27" i="18"/>
  <c r="AN30" i="18"/>
  <c r="AO23" i="18"/>
  <c r="AN24" i="18"/>
  <c r="AO25" i="18"/>
  <c r="AO21" i="18"/>
  <c r="AN22" i="18"/>
  <c r="AN23" i="18"/>
  <c r="AO26" i="18"/>
  <c r="AO27" i="18"/>
  <c r="AN28" i="18"/>
  <c r="AO22" i="18"/>
  <c r="AO29" i="18"/>
  <c r="AO11" i="18"/>
  <c r="AO12" i="18"/>
  <c r="AN13" i="18"/>
  <c r="AN14" i="18"/>
  <c r="AN20" i="18"/>
  <c r="AO15" i="18"/>
  <c r="AO16" i="18"/>
  <c r="AN17" i="18"/>
  <c r="AN18" i="18"/>
  <c r="AO7" i="18"/>
  <c r="AO8" i="18"/>
  <c r="AN9" i="18"/>
  <c r="AN10" i="18"/>
  <c r="AN4" i="18"/>
  <c r="AN5" i="18"/>
  <c r="AO9" i="18"/>
  <c r="AO10" i="18"/>
  <c r="AN11" i="18"/>
  <c r="AN12" i="18"/>
  <c r="AO17" i="18"/>
  <c r="AO18" i="18"/>
  <c r="AN19" i="18"/>
  <c r="AO4" i="18"/>
  <c r="AO6" i="18"/>
  <c r="AN7" i="18"/>
  <c r="AN8" i="18"/>
  <c r="AO13" i="18"/>
  <c r="AO14" i="18"/>
  <c r="AN15" i="18"/>
  <c r="AN16" i="18"/>
  <c r="A7" i="18"/>
  <c r="B9" i="18"/>
  <c r="A8" i="18"/>
  <c r="B10" i="18"/>
  <c r="AM66" i="18"/>
  <c r="H9" i="1" s="1"/>
  <c r="T66" i="18"/>
  <c r="A6" i="18"/>
  <c r="AN21" i="18"/>
  <c r="AO24" i="18"/>
  <c r="AN29" i="18"/>
  <c r="AO32" i="18"/>
  <c r="AO34" i="18"/>
  <c r="AN35" i="18"/>
  <c r="AP35" i="18" s="1"/>
  <c r="AO36" i="18"/>
  <c r="AO38" i="18"/>
  <c r="AN39" i="18"/>
  <c r="AO40" i="18"/>
  <c r="R66" i="18"/>
  <c r="AN25" i="18"/>
  <c r="AO28" i="18"/>
  <c r="S66" i="18"/>
  <c r="N37" i="1"/>
  <c r="AP17" i="18" l="1"/>
  <c r="AP48" i="18"/>
  <c r="AP13" i="18"/>
  <c r="AP40" i="18"/>
  <c r="AP20" i="18"/>
  <c r="AP10" i="18"/>
  <c r="AP59" i="18"/>
  <c r="AP58" i="18"/>
  <c r="AP24" i="18"/>
  <c r="AP46" i="18"/>
  <c r="AP25" i="18"/>
  <c r="AP9" i="18"/>
  <c r="AP36" i="18"/>
  <c r="AP62" i="18"/>
  <c r="AP12" i="18"/>
  <c r="AP51" i="18"/>
  <c r="AP18" i="18"/>
  <c r="AP14" i="18"/>
  <c r="AP11" i="18"/>
  <c r="AP19" i="18"/>
  <c r="AP6" i="18"/>
  <c r="AP31" i="18"/>
  <c r="AP63" i="18"/>
  <c r="AP65" i="18"/>
  <c r="AP33" i="18"/>
  <c r="AP52" i="18"/>
  <c r="AP64" i="18"/>
  <c r="AP61" i="18"/>
  <c r="AP57" i="18"/>
  <c r="AP56" i="18"/>
  <c r="AP50" i="18"/>
  <c r="AP55" i="18"/>
  <c r="AP60" i="18"/>
  <c r="AP54" i="18"/>
  <c r="AP49" i="18"/>
  <c r="AP53" i="18"/>
  <c r="AP38" i="18"/>
  <c r="AP42" i="18"/>
  <c r="AP45" i="18"/>
  <c r="AP43" i="18"/>
  <c r="AP44" i="18"/>
  <c r="AP47" i="18"/>
  <c r="AP39" i="18"/>
  <c r="AP41" i="18"/>
  <c r="AP34" i="18"/>
  <c r="AP29" i="18"/>
  <c r="AP26" i="18"/>
  <c r="AP23" i="18"/>
  <c r="AP30" i="18"/>
  <c r="AP27" i="18"/>
  <c r="AP21" i="18"/>
  <c r="AP22" i="18"/>
  <c r="AP28" i="18"/>
  <c r="AP4" i="18"/>
  <c r="AP8" i="18"/>
  <c r="AP16" i="18"/>
  <c r="AP15" i="18"/>
  <c r="AP7" i="18"/>
  <c r="AP5" i="18"/>
  <c r="AO66" i="18"/>
  <c r="J9" i="1" s="1"/>
  <c r="AP32" i="18"/>
  <c r="AN66" i="18"/>
  <c r="I9" i="1" s="1"/>
  <c r="B12" i="18"/>
  <c r="A10" i="18"/>
  <c r="A9" i="18"/>
  <c r="B11" i="18"/>
  <c r="AF5" i="11"/>
  <c r="AG5" i="11"/>
  <c r="AF6" i="11"/>
  <c r="AG6" i="11"/>
  <c r="AF7" i="11"/>
  <c r="AG7" i="11"/>
  <c r="AF8" i="11"/>
  <c r="AG8" i="11"/>
  <c r="AF9" i="11"/>
  <c r="AG9" i="11"/>
  <c r="AF10" i="11"/>
  <c r="AG10" i="11"/>
  <c r="AF11" i="11"/>
  <c r="AG11" i="11"/>
  <c r="AF12" i="11"/>
  <c r="AG12" i="11"/>
  <c r="AF13" i="11"/>
  <c r="AG13" i="11"/>
  <c r="AF14" i="11"/>
  <c r="AG14" i="11"/>
  <c r="AF15" i="11"/>
  <c r="AG15" i="11"/>
  <c r="AF16" i="11"/>
  <c r="AG16" i="11"/>
  <c r="AF17" i="11"/>
  <c r="AG17" i="11"/>
  <c r="AF18" i="11"/>
  <c r="AG18" i="11"/>
  <c r="AK5" i="11"/>
  <c r="AL5" i="11"/>
  <c r="AK6" i="11"/>
  <c r="AL6" i="11"/>
  <c r="AK7" i="11"/>
  <c r="AL7" i="11"/>
  <c r="AK8" i="11"/>
  <c r="AL8" i="11"/>
  <c r="AK9" i="11"/>
  <c r="AL9" i="11"/>
  <c r="AK10" i="11"/>
  <c r="AL10" i="11"/>
  <c r="AK11" i="11"/>
  <c r="AL11" i="11"/>
  <c r="AK12" i="11"/>
  <c r="AL12" i="11"/>
  <c r="AK13" i="11"/>
  <c r="AL13" i="11"/>
  <c r="AK14" i="11"/>
  <c r="AL14" i="11"/>
  <c r="AK15" i="11"/>
  <c r="AL15" i="11"/>
  <c r="AK16" i="11"/>
  <c r="AL16" i="11"/>
  <c r="AK17" i="11"/>
  <c r="AL17" i="11"/>
  <c r="AK18" i="11"/>
  <c r="AL18" i="11"/>
  <c r="AK19" i="11"/>
  <c r="AL19" i="11"/>
  <c r="M9" i="1" l="1"/>
  <c r="N9" i="1" s="1"/>
  <c r="A12" i="18"/>
  <c r="B14" i="18"/>
  <c r="B13" i="18"/>
  <c r="A11" i="18"/>
  <c r="A13" i="18" l="1"/>
  <c r="B15" i="18"/>
  <c r="A14" i="18"/>
  <c r="B16" i="18"/>
  <c r="AS19" i="12"/>
  <c r="A16" i="18" l="1"/>
  <c r="B18" i="18"/>
  <c r="A15" i="18"/>
  <c r="B17" i="18"/>
  <c r="A17" i="18" l="1"/>
  <c r="B19" i="18"/>
  <c r="B20" i="18"/>
  <c r="A18" i="18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B22" i="18" l="1"/>
  <c r="A20" i="18"/>
  <c r="B21" i="18"/>
  <c r="A19" i="18"/>
  <c r="AK5" i="5"/>
  <c r="AL5" i="5"/>
  <c r="AK6" i="5"/>
  <c r="AL6" i="5"/>
  <c r="AK7" i="5"/>
  <c r="AL7" i="5"/>
  <c r="AK8" i="5"/>
  <c r="AL8" i="5"/>
  <c r="AK9" i="5"/>
  <c r="AL9" i="5"/>
  <c r="AK10" i="5"/>
  <c r="AL10" i="5"/>
  <c r="AK11" i="5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K22" i="5"/>
  <c r="AL22" i="5"/>
  <c r="AK23" i="5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K57" i="5"/>
  <c r="AL57" i="5"/>
  <c r="AK58" i="5"/>
  <c r="AL58" i="5"/>
  <c r="AK59" i="5"/>
  <c r="AL59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B24" i="18" l="1"/>
  <c r="A22" i="18"/>
  <c r="A21" i="18"/>
  <c r="B23" i="18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A23" i="18" l="1"/>
  <c r="B25" i="18"/>
  <c r="B26" i="18"/>
  <c r="A24" i="18"/>
  <c r="H4" i="2"/>
  <c r="G4" i="2"/>
  <c r="AA4" i="4"/>
  <c r="AB4" i="4"/>
  <c r="AA5" i="4"/>
  <c r="AB5" i="4"/>
  <c r="AA6" i="4"/>
  <c r="AB6" i="4"/>
  <c r="AA7" i="4"/>
  <c r="AB7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21" i="4"/>
  <c r="AB21" i="4"/>
  <c r="AA22" i="4"/>
  <c r="AB22" i="4"/>
  <c r="AA23" i="4"/>
  <c r="AB23" i="4"/>
  <c r="AA24" i="4"/>
  <c r="AB24" i="4"/>
  <c r="AA25" i="4"/>
  <c r="AB25" i="4"/>
  <c r="AA26" i="4"/>
  <c r="AB26" i="4"/>
  <c r="AA27" i="4"/>
  <c r="AB27" i="4"/>
  <c r="AA28" i="4"/>
  <c r="AB28" i="4"/>
  <c r="AA29" i="4"/>
  <c r="AB29" i="4"/>
  <c r="AA30" i="4"/>
  <c r="AB30" i="4"/>
  <c r="AA31" i="4"/>
  <c r="AB31" i="4"/>
  <c r="AA32" i="4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45" i="4"/>
  <c r="AB45" i="4"/>
  <c r="AA46" i="4"/>
  <c r="AB46" i="4"/>
  <c r="AA47" i="4"/>
  <c r="AB47" i="4"/>
  <c r="AA48" i="4"/>
  <c r="AB48" i="4"/>
  <c r="AA49" i="4"/>
  <c r="AB49" i="4"/>
  <c r="AA50" i="4"/>
  <c r="AB50" i="4"/>
  <c r="AA51" i="4"/>
  <c r="AB51" i="4"/>
  <c r="AA52" i="4"/>
  <c r="AB52" i="4"/>
  <c r="AA53" i="4"/>
  <c r="AB53" i="4"/>
  <c r="AA54" i="4"/>
  <c r="AB54" i="4"/>
  <c r="AA55" i="4"/>
  <c r="AB55" i="4"/>
  <c r="AA56" i="4"/>
  <c r="AB56" i="4"/>
  <c r="AA57" i="4"/>
  <c r="AB57" i="4"/>
  <c r="AA58" i="4"/>
  <c r="AB58" i="4"/>
  <c r="AA59" i="4"/>
  <c r="AB59" i="4"/>
  <c r="AA60" i="4"/>
  <c r="AB60" i="4"/>
  <c r="AA61" i="4"/>
  <c r="AB61" i="4"/>
  <c r="AA62" i="4"/>
  <c r="AB62" i="4"/>
  <c r="AA63" i="4"/>
  <c r="AB63" i="4"/>
  <c r="B28" i="18" l="1"/>
  <c r="A26" i="18"/>
  <c r="A25" i="18"/>
  <c r="B27" i="18"/>
  <c r="AG46" i="14"/>
  <c r="AG47" i="14"/>
  <c r="AG48" i="14"/>
  <c r="AG49" i="14"/>
  <c r="AG50" i="14"/>
  <c r="AG51" i="14"/>
  <c r="AG62" i="14"/>
  <c r="AG63" i="14"/>
  <c r="AG64" i="14"/>
  <c r="AG65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58" i="14"/>
  <c r="AL59" i="14"/>
  <c r="AL60" i="14"/>
  <c r="AL61" i="14"/>
  <c r="AL62" i="14"/>
  <c r="AL63" i="14"/>
  <c r="AL64" i="14"/>
  <c r="AL65" i="14"/>
  <c r="A27" i="18" l="1"/>
  <c r="B29" i="18"/>
  <c r="B30" i="18"/>
  <c r="A28" i="18"/>
  <c r="AS65" i="14"/>
  <c r="B32" i="18" l="1"/>
  <c r="A30" i="18"/>
  <c r="A29" i="18"/>
  <c r="B31" i="18"/>
  <c r="A31" i="18" l="1"/>
  <c r="B33" i="18"/>
  <c r="B34" i="18"/>
  <c r="A32" i="18"/>
  <c r="M43" i="1" l="1"/>
  <c r="N43" i="1" s="1"/>
  <c r="B36" i="18"/>
  <c r="A34" i="18"/>
  <c r="A33" i="18"/>
  <c r="B35" i="18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4" i="4"/>
  <c r="AB65" i="4"/>
  <c r="A35" i="18" l="1"/>
  <c r="B37" i="18"/>
  <c r="B38" i="18"/>
  <c r="A36" i="18"/>
  <c r="B40" i="18" l="1"/>
  <c r="A38" i="18"/>
  <c r="A37" i="18"/>
  <c r="B39" i="18"/>
  <c r="AS51" i="10"/>
  <c r="A39" i="18" l="1"/>
  <c r="B41" i="18"/>
  <c r="B42" i="18"/>
  <c r="A40" i="18"/>
  <c r="B44" i="18" l="1"/>
  <c r="A42" i="18"/>
  <c r="A41" i="18"/>
  <c r="B43" i="18"/>
  <c r="A43" i="18" l="1"/>
  <c r="B45" i="18"/>
  <c r="A44" i="18"/>
  <c r="B46" i="18"/>
  <c r="B48" i="18" l="1"/>
  <c r="A46" i="18"/>
  <c r="A45" i="18"/>
  <c r="B47" i="18"/>
  <c r="AA48" i="9"/>
  <c r="AB48" i="9"/>
  <c r="AA49" i="9"/>
  <c r="AB49" i="9"/>
  <c r="AA50" i="9"/>
  <c r="AB50" i="9"/>
  <c r="AA51" i="9"/>
  <c r="AB51" i="9"/>
  <c r="A47" i="18" l="1"/>
  <c r="B49" i="18"/>
  <c r="A48" i="18"/>
  <c r="B50" i="18"/>
  <c r="B52" i="18" l="1"/>
  <c r="A50" i="18"/>
  <c r="A49" i="18"/>
  <c r="B51" i="18"/>
  <c r="A51" i="18" l="1"/>
  <c r="B53" i="18"/>
  <c r="A52" i="18"/>
  <c r="B54" i="18"/>
  <c r="A53" i="18" l="1"/>
  <c r="B55" i="18"/>
  <c r="B56" i="18"/>
  <c r="A54" i="18"/>
  <c r="A56" i="18" l="1"/>
  <c r="B58" i="18"/>
  <c r="A55" i="18"/>
  <c r="B57" i="18"/>
  <c r="A57" i="18" l="1"/>
  <c r="B59" i="18"/>
  <c r="B60" i="18"/>
  <c r="A58" i="18"/>
  <c r="AQ1" i="31" l="1"/>
  <c r="AQ1" i="32"/>
  <c r="AQ63" i="31"/>
  <c r="AQ54" i="31"/>
  <c r="AQ22" i="31"/>
  <c r="AQ31" i="31"/>
  <c r="AQ10" i="31"/>
  <c r="AQ38" i="31"/>
  <c r="AQ7" i="31"/>
  <c r="AQ26" i="31"/>
  <c r="AQ20" i="31"/>
  <c r="AQ6" i="31"/>
  <c r="AQ29" i="31"/>
  <c r="AQ42" i="31"/>
  <c r="AQ65" i="31"/>
  <c r="AQ52" i="31"/>
  <c r="AQ64" i="31"/>
  <c r="AQ51" i="31"/>
  <c r="AQ28" i="31"/>
  <c r="AQ8" i="31"/>
  <c r="AQ60" i="31"/>
  <c r="AQ47" i="31"/>
  <c r="AQ59" i="31"/>
  <c r="AQ27" i="31"/>
  <c r="AQ39" i="31"/>
  <c r="AQ11" i="31"/>
  <c r="AQ61" i="31"/>
  <c r="AQ43" i="31"/>
  <c r="AQ5" i="31"/>
  <c r="AQ30" i="31"/>
  <c r="AQ21" i="31"/>
  <c r="AQ56" i="31"/>
  <c r="AQ48" i="31"/>
  <c r="AQ49" i="31"/>
  <c r="AQ36" i="31"/>
  <c r="AQ15" i="31"/>
  <c r="AQ46" i="31"/>
  <c r="AQ40" i="31"/>
  <c r="AQ45" i="31"/>
  <c r="AQ16" i="31"/>
  <c r="AQ55" i="31"/>
  <c r="AQ50" i="31"/>
  <c r="AQ12" i="31"/>
  <c r="AQ33" i="31"/>
  <c r="AQ23" i="31"/>
  <c r="AQ14" i="31"/>
  <c r="AQ58" i="31"/>
  <c r="AQ25" i="31"/>
  <c r="AQ18" i="31"/>
  <c r="AQ13" i="31"/>
  <c r="AQ35" i="31"/>
  <c r="AQ62" i="31"/>
  <c r="AQ37" i="31"/>
  <c r="AQ9" i="31"/>
  <c r="AQ57" i="31"/>
  <c r="AQ19" i="31"/>
  <c r="AQ17" i="31"/>
  <c r="AQ44" i="31"/>
  <c r="AQ41" i="31"/>
  <c r="AQ32" i="31"/>
  <c r="AQ53" i="31"/>
  <c r="AQ4" i="31"/>
  <c r="AQ34" i="31"/>
  <c r="AQ24" i="31"/>
  <c r="AQ1" i="28"/>
  <c r="AQ54" i="28" s="1"/>
  <c r="AQ1" i="30"/>
  <c r="AQ1" i="29"/>
  <c r="AQ46" i="28"/>
  <c r="AQ41" i="28"/>
  <c r="AQ65" i="28"/>
  <c r="AQ33" i="28"/>
  <c r="AQ61" i="28"/>
  <c r="AQ53" i="28"/>
  <c r="AQ30" i="28"/>
  <c r="AQ52" i="28"/>
  <c r="AQ26" i="28"/>
  <c r="AQ42" i="28"/>
  <c r="AQ37" i="28"/>
  <c r="AQ1" i="26"/>
  <c r="AQ1" i="27"/>
  <c r="AQ1" i="22"/>
  <c r="AQ1" i="21"/>
  <c r="AQ13" i="21" s="1"/>
  <c r="L18" i="1"/>
  <c r="AQ1" i="18"/>
  <c r="AQ64" i="18" s="1"/>
  <c r="AQ1" i="20"/>
  <c r="AQ1" i="19"/>
  <c r="A60" i="18"/>
  <c r="B62" i="18"/>
  <c r="A59" i="18"/>
  <c r="B61" i="18"/>
  <c r="R14" i="13"/>
  <c r="R15" i="13"/>
  <c r="R16" i="13"/>
  <c r="R17" i="13"/>
  <c r="R18" i="13"/>
  <c r="R19" i="13"/>
  <c r="R20" i="13"/>
  <c r="R21" i="13"/>
  <c r="R22" i="13"/>
  <c r="AQ9" i="28" l="1"/>
  <c r="AQ60" i="32"/>
  <c r="AQ44" i="32"/>
  <c r="AQ57" i="32"/>
  <c r="AQ33" i="32"/>
  <c r="AQ46" i="32"/>
  <c r="AQ13" i="32"/>
  <c r="AQ12" i="32"/>
  <c r="AQ61" i="32"/>
  <c r="AQ56" i="32"/>
  <c r="AQ40" i="32"/>
  <c r="AQ49" i="32"/>
  <c r="AQ63" i="32"/>
  <c r="AQ39" i="32"/>
  <c r="AQ48" i="32"/>
  <c r="AQ41" i="32"/>
  <c r="AQ50" i="32"/>
  <c r="AQ52" i="32"/>
  <c r="AQ36" i="32"/>
  <c r="AQ45" i="32"/>
  <c r="AQ55" i="32"/>
  <c r="AQ31" i="32"/>
  <c r="AQ47" i="32"/>
  <c r="AQ65" i="32"/>
  <c r="AQ54" i="32"/>
  <c r="AQ4" i="32"/>
  <c r="AQ32" i="32"/>
  <c r="AQ25" i="32"/>
  <c r="AQ8" i="32"/>
  <c r="AQ16" i="32"/>
  <c r="AQ14" i="32"/>
  <c r="AQ6" i="32"/>
  <c r="AQ64" i="32"/>
  <c r="AQ58" i="32"/>
  <c r="AQ53" i="32"/>
  <c r="AQ27" i="32"/>
  <c r="AQ42" i="32"/>
  <c r="AQ20" i="32"/>
  <c r="AQ7" i="32"/>
  <c r="AQ29" i="32"/>
  <c r="AQ19" i="32"/>
  <c r="AQ38" i="32"/>
  <c r="AQ22" i="32"/>
  <c r="AQ5" i="32"/>
  <c r="AQ9" i="32"/>
  <c r="AQ62" i="32"/>
  <c r="AQ37" i="32"/>
  <c r="AQ59" i="32"/>
  <c r="AQ23" i="32"/>
  <c r="AQ26" i="32"/>
  <c r="AQ24" i="32"/>
  <c r="AQ34" i="32"/>
  <c r="AQ30" i="32"/>
  <c r="AQ35" i="32"/>
  <c r="AQ18" i="32"/>
  <c r="AQ21" i="32"/>
  <c r="AQ17" i="32"/>
  <c r="AQ11" i="32"/>
  <c r="AQ15" i="32"/>
  <c r="AQ28" i="32"/>
  <c r="AQ51" i="32"/>
  <c r="AQ10" i="32"/>
  <c r="AQ43" i="32"/>
  <c r="AQ24" i="28"/>
  <c r="AQ5" i="28"/>
  <c r="AQ44" i="28"/>
  <c r="AQ34" i="28"/>
  <c r="AQ45" i="28"/>
  <c r="AQ6" i="28"/>
  <c r="AQ13" i="28"/>
  <c r="AQ7" i="28"/>
  <c r="AQ32" i="28"/>
  <c r="AQ4" i="28"/>
  <c r="AQ22" i="28"/>
  <c r="AQ55" i="28"/>
  <c r="AQ19" i="28"/>
  <c r="AQ27" i="28"/>
  <c r="AQ63" i="28"/>
  <c r="AQ49" i="28"/>
  <c r="AQ38" i="28"/>
  <c r="AQ15" i="28"/>
  <c r="AQ21" i="28"/>
  <c r="AQ18" i="28"/>
  <c r="AQ20" i="28"/>
  <c r="AQ10" i="28"/>
  <c r="AQ31" i="28"/>
  <c r="AQ12" i="28"/>
  <c r="AQ17" i="28"/>
  <c r="AQ36" i="28"/>
  <c r="AQ64" i="28"/>
  <c r="AQ47" i="28"/>
  <c r="AQ48" i="28"/>
  <c r="AQ28" i="28"/>
  <c r="AQ51" i="28"/>
  <c r="AQ40" i="28"/>
  <c r="AQ16" i="28"/>
  <c r="AQ62" i="28"/>
  <c r="AQ23" i="28"/>
  <c r="AQ50" i="28"/>
  <c r="AQ11" i="28"/>
  <c r="AQ58" i="28"/>
  <c r="AQ25" i="28"/>
  <c r="AQ14" i="28"/>
  <c r="AQ8" i="28"/>
  <c r="AQ59" i="28"/>
  <c r="AQ39" i="28"/>
  <c r="AQ43" i="28"/>
  <c r="AQ56" i="28"/>
  <c r="AQ57" i="28"/>
  <c r="AQ66" i="31"/>
  <c r="AQ7" i="18"/>
  <c r="AQ37" i="21"/>
  <c r="AQ35" i="28"/>
  <c r="AQ60" i="28"/>
  <c r="AQ29" i="28"/>
  <c r="AQ33" i="18"/>
  <c r="AQ25" i="29"/>
  <c r="AQ56" i="29"/>
  <c r="AQ36" i="29"/>
  <c r="AQ53" i="29"/>
  <c r="AQ58" i="29"/>
  <c r="AQ42" i="29"/>
  <c r="AQ16" i="29"/>
  <c r="AQ60" i="29"/>
  <c r="AQ40" i="29"/>
  <c r="AQ46" i="29"/>
  <c r="AQ35" i="29"/>
  <c r="AQ63" i="29"/>
  <c r="AQ13" i="29"/>
  <c r="AQ52" i="29"/>
  <c r="AQ65" i="29"/>
  <c r="AQ41" i="29"/>
  <c r="AQ54" i="29"/>
  <c r="AQ38" i="29"/>
  <c r="AQ47" i="29"/>
  <c r="AQ14" i="29"/>
  <c r="AQ5" i="29"/>
  <c r="AQ57" i="29"/>
  <c r="AQ12" i="29"/>
  <c r="AQ51" i="29"/>
  <c r="AQ39" i="29"/>
  <c r="AQ64" i="29"/>
  <c r="AQ48" i="29"/>
  <c r="AQ61" i="29"/>
  <c r="AQ37" i="29"/>
  <c r="AQ50" i="29"/>
  <c r="AQ34" i="29"/>
  <c r="AQ7" i="29"/>
  <c r="AQ62" i="29"/>
  <c r="AQ24" i="29"/>
  <c r="AQ22" i="29"/>
  <c r="AQ23" i="29"/>
  <c r="AQ6" i="29"/>
  <c r="AQ32" i="29"/>
  <c r="AQ19" i="29"/>
  <c r="AQ55" i="29"/>
  <c r="AQ4" i="29"/>
  <c r="AQ29" i="29"/>
  <c r="AQ59" i="29"/>
  <c r="AQ9" i="29"/>
  <c r="AQ26" i="29"/>
  <c r="AQ17" i="29"/>
  <c r="AQ31" i="29"/>
  <c r="AQ27" i="29"/>
  <c r="AQ45" i="29"/>
  <c r="AQ28" i="29"/>
  <c r="AQ15" i="29"/>
  <c r="AQ8" i="29"/>
  <c r="AQ11" i="29"/>
  <c r="AQ33" i="29"/>
  <c r="AQ10" i="29"/>
  <c r="AQ18" i="29"/>
  <c r="AQ44" i="29"/>
  <c r="AQ49" i="29"/>
  <c r="AQ20" i="29"/>
  <c r="AQ43" i="29"/>
  <c r="AQ21" i="29"/>
  <c r="AQ30" i="29"/>
  <c r="AQ4" i="30"/>
  <c r="AQ15" i="30"/>
  <c r="AQ11" i="30"/>
  <c r="AQ58" i="30"/>
  <c r="AQ42" i="30"/>
  <c r="AQ63" i="30"/>
  <c r="AQ47" i="30"/>
  <c r="AQ56" i="30"/>
  <c r="AQ40" i="30"/>
  <c r="AQ10" i="30"/>
  <c r="AQ5" i="30"/>
  <c r="AQ17" i="30"/>
  <c r="AQ16" i="30"/>
  <c r="AQ51" i="30"/>
  <c r="AQ29" i="30"/>
  <c r="AQ54" i="30"/>
  <c r="AQ38" i="30"/>
  <c r="AQ59" i="30"/>
  <c r="AQ43" i="30"/>
  <c r="AQ52" i="30"/>
  <c r="AQ32" i="30"/>
  <c r="AQ14" i="30"/>
  <c r="AQ46" i="30"/>
  <c r="AQ60" i="30"/>
  <c r="AQ13" i="30"/>
  <c r="AQ8" i="30"/>
  <c r="AQ7" i="30"/>
  <c r="AQ33" i="30"/>
  <c r="AQ50" i="30"/>
  <c r="AQ34" i="30"/>
  <c r="AQ55" i="30"/>
  <c r="AQ64" i="30"/>
  <c r="AQ48" i="30"/>
  <c r="AQ6" i="30"/>
  <c r="AQ9" i="30"/>
  <c r="AQ37" i="30"/>
  <c r="AQ62" i="30"/>
  <c r="AQ30" i="30"/>
  <c r="AQ44" i="30"/>
  <c r="AQ12" i="30"/>
  <c r="AQ21" i="30"/>
  <c r="AQ57" i="30"/>
  <c r="AQ19" i="30"/>
  <c r="AQ18" i="30"/>
  <c r="AQ39" i="30"/>
  <c r="AQ45" i="30"/>
  <c r="AQ31" i="30"/>
  <c r="AQ25" i="30"/>
  <c r="AQ49" i="30"/>
  <c r="AQ22" i="30"/>
  <c r="AQ65" i="30"/>
  <c r="AQ24" i="30"/>
  <c r="AQ23" i="30"/>
  <c r="AQ20" i="30"/>
  <c r="AQ26" i="30"/>
  <c r="AQ28" i="30"/>
  <c r="AQ41" i="30"/>
  <c r="AQ36" i="30"/>
  <c r="AQ61" i="30"/>
  <c r="AQ35" i="30"/>
  <c r="AQ53" i="30"/>
  <c r="AQ27" i="30"/>
  <c r="AQ36" i="18"/>
  <c r="AQ61" i="21"/>
  <c r="AQ31" i="21"/>
  <c r="AQ33" i="21"/>
  <c r="AQ38" i="21"/>
  <c r="AQ7" i="21"/>
  <c r="AQ56" i="21"/>
  <c r="AQ34" i="21"/>
  <c r="AQ11" i="21"/>
  <c r="AQ15" i="21"/>
  <c r="AQ26" i="21"/>
  <c r="AQ50" i="18"/>
  <c r="AQ62" i="18"/>
  <c r="AQ6" i="21"/>
  <c r="AQ44" i="21"/>
  <c r="AQ12" i="18"/>
  <c r="AQ52" i="18"/>
  <c r="AQ54" i="21"/>
  <c r="AQ48" i="21"/>
  <c r="AQ39" i="21"/>
  <c r="AQ8" i="21"/>
  <c r="AQ9" i="21"/>
  <c r="AQ51" i="21"/>
  <c r="AQ23" i="21"/>
  <c r="AQ62" i="21"/>
  <c r="AQ5" i="21"/>
  <c r="AQ27" i="21"/>
  <c r="AQ40" i="21"/>
  <c r="AQ19" i="21"/>
  <c r="AQ4" i="21"/>
  <c r="AQ55" i="21"/>
  <c r="AQ42" i="21"/>
  <c r="AQ17" i="21"/>
  <c r="AQ49" i="21"/>
  <c r="AQ65" i="21"/>
  <c r="AQ52" i="21"/>
  <c r="AQ50" i="21"/>
  <c r="AQ29" i="21"/>
  <c r="AQ45" i="21"/>
  <c r="AQ24" i="21"/>
  <c r="AQ57" i="21"/>
  <c r="AQ18" i="21"/>
  <c r="AQ25" i="21"/>
  <c r="AQ43" i="21"/>
  <c r="AQ47" i="21"/>
  <c r="AQ36" i="21"/>
  <c r="AQ58" i="21"/>
  <c r="AQ59" i="21"/>
  <c r="AQ20" i="21"/>
  <c r="AQ32" i="21"/>
  <c r="AQ60" i="21"/>
  <c r="AQ12" i="21"/>
  <c r="AQ28" i="21"/>
  <c r="AQ41" i="21"/>
  <c r="AQ46" i="21"/>
  <c r="AQ63" i="21"/>
  <c r="AQ16" i="21"/>
  <c r="AQ22" i="21"/>
  <c r="AQ53" i="21"/>
  <c r="AQ35" i="21"/>
  <c r="AQ21" i="21"/>
  <c r="AQ30" i="21"/>
  <c r="AQ10" i="21"/>
  <c r="AQ64" i="21"/>
  <c r="AQ14" i="21"/>
  <c r="AQ59" i="22"/>
  <c r="AQ17" i="22"/>
  <c r="AQ9" i="22"/>
  <c r="AQ65" i="22"/>
  <c r="AQ62" i="22"/>
  <c r="AQ61" i="22"/>
  <c r="AQ48" i="22"/>
  <c r="AQ49" i="22"/>
  <c r="AQ42" i="22"/>
  <c r="AQ34" i="22"/>
  <c r="AQ10" i="22"/>
  <c r="AQ28" i="22"/>
  <c r="AQ18" i="22"/>
  <c r="AQ6" i="22"/>
  <c r="AQ24" i="22"/>
  <c r="AQ27" i="22"/>
  <c r="AQ43" i="22"/>
  <c r="AQ23" i="22"/>
  <c r="AQ47" i="22"/>
  <c r="AQ14" i="22"/>
  <c r="AQ15" i="22"/>
  <c r="AQ54" i="22"/>
  <c r="AQ55" i="22"/>
  <c r="AQ4" i="22"/>
  <c r="AQ30" i="22"/>
  <c r="AQ52" i="22"/>
  <c r="AQ58" i="22"/>
  <c r="AQ37" i="22"/>
  <c r="AQ53" i="22"/>
  <c r="AQ50" i="22"/>
  <c r="AQ57" i="22"/>
  <c r="AQ45" i="22"/>
  <c r="AQ44" i="22"/>
  <c r="AQ21" i="22"/>
  <c r="AQ5" i="22"/>
  <c r="AQ63" i="22"/>
  <c r="AQ36" i="22"/>
  <c r="AQ51" i="22"/>
  <c r="AQ35" i="22"/>
  <c r="AQ56" i="22"/>
  <c r="AQ41" i="22"/>
  <c r="AQ46" i="22"/>
  <c r="AQ39" i="22"/>
  <c r="AQ12" i="22"/>
  <c r="AQ13" i="22"/>
  <c r="AQ29" i="22"/>
  <c r="AQ64" i="22"/>
  <c r="AQ22" i="22"/>
  <c r="AQ38" i="22"/>
  <c r="AQ60" i="22"/>
  <c r="AQ40" i="22"/>
  <c r="AQ33" i="22"/>
  <c r="AQ8" i="22"/>
  <c r="AQ26" i="22"/>
  <c r="AQ19" i="22"/>
  <c r="AQ25" i="22"/>
  <c r="AQ16" i="22"/>
  <c r="AQ32" i="22"/>
  <c r="AQ31" i="22"/>
  <c r="AQ20" i="22"/>
  <c r="AQ7" i="22"/>
  <c r="AQ11" i="22"/>
  <c r="AQ22" i="27"/>
  <c r="AQ43" i="27"/>
  <c r="AQ38" i="27"/>
  <c r="AQ36" i="27"/>
  <c r="AQ34" i="27"/>
  <c r="AQ62" i="27"/>
  <c r="AQ48" i="27"/>
  <c r="AQ42" i="27"/>
  <c r="AQ45" i="27"/>
  <c r="AQ23" i="27"/>
  <c r="AQ58" i="27"/>
  <c r="AQ51" i="27"/>
  <c r="AQ55" i="27"/>
  <c r="AQ18" i="27"/>
  <c r="AQ21" i="27"/>
  <c r="AQ53" i="27"/>
  <c r="AQ31" i="27"/>
  <c r="AQ19" i="27"/>
  <c r="AQ16" i="27"/>
  <c r="AQ40" i="27"/>
  <c r="AQ28" i="27"/>
  <c r="AQ13" i="27"/>
  <c r="AQ37" i="27"/>
  <c r="AQ32" i="27"/>
  <c r="AQ57" i="27"/>
  <c r="AQ49" i="27"/>
  <c r="AQ17" i="27"/>
  <c r="AQ30" i="27"/>
  <c r="AQ15" i="27"/>
  <c r="AQ56" i="27"/>
  <c r="AQ12" i="27"/>
  <c r="AQ6" i="27"/>
  <c r="AQ41" i="27"/>
  <c r="AQ59" i="27"/>
  <c r="AQ47" i="27"/>
  <c r="AQ5" i="27"/>
  <c r="AQ26" i="27"/>
  <c r="AQ60" i="27"/>
  <c r="AQ4" i="27"/>
  <c r="AQ24" i="27"/>
  <c r="AQ7" i="27"/>
  <c r="AQ64" i="27"/>
  <c r="AQ50" i="27"/>
  <c r="AQ52" i="27"/>
  <c r="AQ44" i="27"/>
  <c r="AQ29" i="27"/>
  <c r="AQ9" i="27"/>
  <c r="AQ54" i="27"/>
  <c r="AQ27" i="27"/>
  <c r="AQ33" i="27"/>
  <c r="AQ65" i="27"/>
  <c r="AQ20" i="27"/>
  <c r="AQ10" i="27"/>
  <c r="AQ63" i="27"/>
  <c r="AQ35" i="27"/>
  <c r="AQ61" i="27"/>
  <c r="AQ14" i="27"/>
  <c r="AQ25" i="27"/>
  <c r="AQ11" i="27"/>
  <c r="AQ8" i="27"/>
  <c r="AQ46" i="27"/>
  <c r="AQ39" i="27"/>
  <c r="AQ29" i="26"/>
  <c r="AQ11" i="26"/>
  <c r="AQ4" i="26"/>
  <c r="AQ20" i="26"/>
  <c r="AQ33" i="26"/>
  <c r="AQ60" i="26"/>
  <c r="AQ21" i="26"/>
  <c r="AQ28" i="26"/>
  <c r="AQ63" i="26"/>
  <c r="AQ59" i="26"/>
  <c r="AQ53" i="26"/>
  <c r="AQ40" i="26"/>
  <c r="AQ35" i="26"/>
  <c r="AQ26" i="26"/>
  <c r="AQ30" i="26"/>
  <c r="AQ27" i="26"/>
  <c r="AQ44" i="26"/>
  <c r="AQ12" i="26"/>
  <c r="AQ54" i="26"/>
  <c r="AQ49" i="26"/>
  <c r="AQ19" i="26"/>
  <c r="AQ39" i="26"/>
  <c r="AQ62" i="26"/>
  <c r="AQ58" i="26"/>
  <c r="AQ51" i="26"/>
  <c r="AQ5" i="26"/>
  <c r="AQ14" i="26"/>
  <c r="AQ7" i="26"/>
  <c r="AQ65" i="26"/>
  <c r="AQ9" i="26"/>
  <c r="AQ37" i="26"/>
  <c r="AQ64" i="26"/>
  <c r="AQ41" i="26"/>
  <c r="AQ61" i="26"/>
  <c r="AQ48" i="26"/>
  <c r="AQ47" i="26"/>
  <c r="AQ46" i="26"/>
  <c r="AQ15" i="26"/>
  <c r="AQ23" i="26"/>
  <c r="AQ24" i="26"/>
  <c r="AQ18" i="26"/>
  <c r="AQ55" i="26"/>
  <c r="AQ10" i="26"/>
  <c r="AQ31" i="26"/>
  <c r="AQ6" i="26"/>
  <c r="AQ36" i="26"/>
  <c r="AQ8" i="26"/>
  <c r="AQ34" i="26"/>
  <c r="AQ25" i="26"/>
  <c r="AQ45" i="26"/>
  <c r="AQ22" i="26"/>
  <c r="AQ57" i="26"/>
  <c r="AQ56" i="26"/>
  <c r="AQ38" i="26"/>
  <c r="AQ13" i="26"/>
  <c r="AQ16" i="26"/>
  <c r="AQ17" i="26"/>
  <c r="AQ43" i="26"/>
  <c r="AQ52" i="26"/>
  <c r="AQ32" i="26"/>
  <c r="AQ42" i="26"/>
  <c r="AQ50" i="26"/>
  <c r="AQ11" i="18"/>
  <c r="AQ4" i="18"/>
  <c r="AQ65" i="18"/>
  <c r="AQ47" i="18"/>
  <c r="AQ17" i="18"/>
  <c r="AQ56" i="18"/>
  <c r="AQ44" i="18"/>
  <c r="AQ18" i="18"/>
  <c r="AQ13" i="18"/>
  <c r="AQ37" i="18"/>
  <c r="AQ48" i="18"/>
  <c r="AQ54" i="18"/>
  <c r="AQ51" i="18"/>
  <c r="AQ6" i="18"/>
  <c r="AQ10" i="18"/>
  <c r="AQ8" i="18"/>
  <c r="AQ43" i="18"/>
  <c r="AQ23" i="18"/>
  <c r="AQ41" i="18"/>
  <c r="AQ42" i="18"/>
  <c r="AQ39" i="18"/>
  <c r="AQ32" i="18"/>
  <c r="AQ40" i="18"/>
  <c r="AQ24" i="18"/>
  <c r="AQ5" i="18"/>
  <c r="AQ59" i="18"/>
  <c r="AQ53" i="18"/>
  <c r="AQ31" i="18"/>
  <c r="AQ63" i="18"/>
  <c r="AQ57" i="18"/>
  <c r="AQ21" i="18"/>
  <c r="AQ58" i="18"/>
  <c r="AQ19" i="18"/>
  <c r="AQ26" i="18"/>
  <c r="AQ60" i="18"/>
  <c r="AQ35" i="18"/>
  <c r="AQ15" i="18"/>
  <c r="AQ16" i="18"/>
  <c r="AQ38" i="18"/>
  <c r="AQ27" i="18"/>
  <c r="AQ30" i="18"/>
  <c r="AQ20" i="18"/>
  <c r="AQ29" i="18"/>
  <c r="AQ34" i="18"/>
  <c r="AQ28" i="18"/>
  <c r="AQ14" i="18"/>
  <c r="AQ45" i="18"/>
  <c r="AQ9" i="18"/>
  <c r="AQ46" i="18"/>
  <c r="AQ22" i="18"/>
  <c r="AQ61" i="18"/>
  <c r="AQ25" i="18"/>
  <c r="AQ55" i="18"/>
  <c r="AQ49" i="18"/>
  <c r="AQ63" i="19"/>
  <c r="AQ64" i="19"/>
  <c r="AQ65" i="19"/>
  <c r="AQ62" i="19"/>
  <c r="AQ59" i="19"/>
  <c r="AQ58" i="19"/>
  <c r="AQ54" i="19"/>
  <c r="AQ61" i="19"/>
  <c r="AQ57" i="19"/>
  <c r="AQ55" i="19"/>
  <c r="AQ50" i="19"/>
  <c r="AQ51" i="19"/>
  <c r="AQ53" i="19"/>
  <c r="AQ14" i="19"/>
  <c r="AQ60" i="19"/>
  <c r="AQ56" i="19"/>
  <c r="AQ31" i="19"/>
  <c r="AQ23" i="19"/>
  <c r="AQ26" i="19"/>
  <c r="AQ33" i="19"/>
  <c r="AQ49" i="19"/>
  <c r="AQ12" i="19"/>
  <c r="AQ15" i="19"/>
  <c r="AQ34" i="19"/>
  <c r="AQ39" i="19"/>
  <c r="AQ29" i="19"/>
  <c r="AQ35" i="19"/>
  <c r="AQ40" i="19"/>
  <c r="AQ43" i="19"/>
  <c r="AQ38" i="19"/>
  <c r="AQ17" i="19"/>
  <c r="AQ30" i="19"/>
  <c r="AQ52" i="19"/>
  <c r="AQ27" i="19"/>
  <c r="AQ41" i="19"/>
  <c r="AQ13" i="19"/>
  <c r="AQ36" i="19"/>
  <c r="AQ21" i="19"/>
  <c r="AQ20" i="19"/>
  <c r="AQ25" i="19"/>
  <c r="AQ28" i="19"/>
  <c r="AQ48" i="19"/>
  <c r="AQ18" i="19"/>
  <c r="AQ46" i="19"/>
  <c r="AQ10" i="19"/>
  <c r="AQ6" i="19"/>
  <c r="AQ4" i="19"/>
  <c r="AQ37" i="19"/>
  <c r="AQ5" i="19"/>
  <c r="AQ32" i="19"/>
  <c r="AQ47" i="19"/>
  <c r="AQ11" i="19"/>
  <c r="AQ8" i="19"/>
  <c r="AQ45" i="19"/>
  <c r="AQ19" i="19"/>
  <c r="AQ16" i="19"/>
  <c r="AQ9" i="19"/>
  <c r="AQ22" i="19"/>
  <c r="AQ24" i="19"/>
  <c r="AQ44" i="19"/>
  <c r="AQ42" i="19"/>
  <c r="AQ7" i="19"/>
  <c r="AQ64" i="20"/>
  <c r="AQ62" i="20"/>
  <c r="AQ59" i="20"/>
  <c r="AQ52" i="20"/>
  <c r="AQ61" i="20"/>
  <c r="AQ58" i="20"/>
  <c r="AQ55" i="20"/>
  <c r="AQ60" i="20"/>
  <c r="AQ57" i="20"/>
  <c r="AQ54" i="20"/>
  <c r="AQ51" i="20"/>
  <c r="AQ48" i="20"/>
  <c r="AQ63" i="20"/>
  <c r="AQ50" i="20"/>
  <c r="AQ56" i="20"/>
  <c r="AQ65" i="20"/>
  <c r="AQ14" i="20"/>
  <c r="AQ17" i="20"/>
  <c r="AQ20" i="20"/>
  <c r="AQ40" i="20"/>
  <c r="AQ27" i="20"/>
  <c r="AQ42" i="20"/>
  <c r="AQ18" i="20"/>
  <c r="AQ32" i="20"/>
  <c r="AQ10" i="20"/>
  <c r="AQ15" i="20"/>
  <c r="AQ33" i="20"/>
  <c r="AQ37" i="20"/>
  <c r="AQ53" i="20"/>
  <c r="AQ36" i="20"/>
  <c r="AQ23" i="20"/>
  <c r="AQ47" i="20"/>
  <c r="AQ45" i="20"/>
  <c r="AQ5" i="20"/>
  <c r="AQ39" i="20"/>
  <c r="AQ8" i="20"/>
  <c r="AQ28" i="20"/>
  <c r="AQ11" i="20"/>
  <c r="AQ4" i="20"/>
  <c r="AQ29" i="20"/>
  <c r="AQ26" i="20"/>
  <c r="AQ16" i="20"/>
  <c r="AQ9" i="20"/>
  <c r="AQ7" i="20"/>
  <c r="AQ43" i="20"/>
  <c r="AQ35" i="20"/>
  <c r="AQ31" i="20"/>
  <c r="AQ13" i="20"/>
  <c r="AQ19" i="20"/>
  <c r="AQ22" i="20"/>
  <c r="AQ25" i="20"/>
  <c r="AQ46" i="20"/>
  <c r="AQ24" i="20"/>
  <c r="AQ12" i="20"/>
  <c r="AQ6" i="20"/>
  <c r="AQ41" i="20"/>
  <c r="AQ44" i="20"/>
  <c r="AQ34" i="20"/>
  <c r="AQ21" i="20"/>
  <c r="AQ38" i="20"/>
  <c r="AQ49" i="20"/>
  <c r="AQ30" i="20"/>
  <c r="A61" i="18"/>
  <c r="B63" i="18"/>
  <c r="B64" i="18"/>
  <c r="A64" i="18" s="1"/>
  <c r="A62" i="18"/>
  <c r="G5" i="17"/>
  <c r="H5" i="17"/>
  <c r="G6" i="17"/>
  <c r="AN6" i="17" s="1"/>
  <c r="H6" i="17"/>
  <c r="AO6" i="17" s="1"/>
  <c r="G7" i="17"/>
  <c r="AN7" i="17" s="1"/>
  <c r="H7" i="17"/>
  <c r="AO7" i="17" s="1"/>
  <c r="G8" i="17"/>
  <c r="AN8" i="17" s="1"/>
  <c r="H8" i="17"/>
  <c r="AO8" i="17" s="1"/>
  <c r="G9" i="17"/>
  <c r="AN9" i="17" s="1"/>
  <c r="H9" i="17"/>
  <c r="AO9" i="17" s="1"/>
  <c r="G10" i="17"/>
  <c r="AN10" i="17" s="1"/>
  <c r="H10" i="17"/>
  <c r="AO10" i="17" s="1"/>
  <c r="G11" i="17"/>
  <c r="AN11" i="17" s="1"/>
  <c r="H11" i="17"/>
  <c r="AO11" i="17" s="1"/>
  <c r="G12" i="17"/>
  <c r="AN12" i="17" s="1"/>
  <c r="H12" i="17"/>
  <c r="AO12" i="17" s="1"/>
  <c r="G13" i="17"/>
  <c r="AN13" i="17" s="1"/>
  <c r="H13" i="17"/>
  <c r="AO13" i="17" s="1"/>
  <c r="G14" i="17"/>
  <c r="AN14" i="17" s="1"/>
  <c r="H14" i="17"/>
  <c r="AO14" i="17" s="1"/>
  <c r="G15" i="17"/>
  <c r="AN15" i="17" s="1"/>
  <c r="H15" i="17"/>
  <c r="AO15" i="17" s="1"/>
  <c r="G16" i="17"/>
  <c r="AN16" i="17" s="1"/>
  <c r="H16" i="17"/>
  <c r="AO16" i="17" s="1"/>
  <c r="G17" i="17"/>
  <c r="AN17" i="17" s="1"/>
  <c r="H17" i="17"/>
  <c r="AO17" i="17" s="1"/>
  <c r="G18" i="17"/>
  <c r="AN18" i="17" s="1"/>
  <c r="H18" i="17"/>
  <c r="AO18" i="17" s="1"/>
  <c r="G19" i="17"/>
  <c r="AN19" i="17" s="1"/>
  <c r="H19" i="17"/>
  <c r="AO19" i="17" s="1"/>
  <c r="G20" i="17"/>
  <c r="AN20" i="17" s="1"/>
  <c r="H20" i="17"/>
  <c r="AO20" i="17" s="1"/>
  <c r="G21" i="17"/>
  <c r="AN21" i="17" s="1"/>
  <c r="H21" i="17"/>
  <c r="AO21" i="17" s="1"/>
  <c r="G22" i="17"/>
  <c r="AN22" i="17" s="1"/>
  <c r="H22" i="17"/>
  <c r="AO22" i="17" s="1"/>
  <c r="G23" i="17"/>
  <c r="AN23" i="17" s="1"/>
  <c r="H23" i="17"/>
  <c r="AO23" i="17" s="1"/>
  <c r="G24" i="17"/>
  <c r="AN24" i="17" s="1"/>
  <c r="H24" i="17"/>
  <c r="AO24" i="17" s="1"/>
  <c r="G25" i="17"/>
  <c r="AN25" i="17" s="1"/>
  <c r="H25" i="17"/>
  <c r="AO25" i="17" s="1"/>
  <c r="G26" i="17"/>
  <c r="AN26" i="17" s="1"/>
  <c r="H26" i="17"/>
  <c r="AO26" i="17" s="1"/>
  <c r="G27" i="17"/>
  <c r="AN27" i="17" s="1"/>
  <c r="H27" i="17"/>
  <c r="AO27" i="17" s="1"/>
  <c r="G28" i="17"/>
  <c r="AN28" i="17" s="1"/>
  <c r="H28" i="17"/>
  <c r="AO28" i="17" s="1"/>
  <c r="G29" i="17"/>
  <c r="AN29" i="17" s="1"/>
  <c r="H29" i="17"/>
  <c r="AO29" i="17" s="1"/>
  <c r="G30" i="17"/>
  <c r="AN30" i="17" s="1"/>
  <c r="H30" i="17"/>
  <c r="AO30" i="17" s="1"/>
  <c r="G31" i="17"/>
  <c r="AN31" i="17" s="1"/>
  <c r="H31" i="17"/>
  <c r="AO31" i="17" s="1"/>
  <c r="G32" i="17"/>
  <c r="AN32" i="17" s="1"/>
  <c r="H32" i="17"/>
  <c r="AO32" i="17" s="1"/>
  <c r="G33" i="17"/>
  <c r="AN33" i="17" s="1"/>
  <c r="H33" i="17"/>
  <c r="AO33" i="17" s="1"/>
  <c r="G34" i="17"/>
  <c r="AN34" i="17" s="1"/>
  <c r="H34" i="17"/>
  <c r="AO34" i="17" s="1"/>
  <c r="G35" i="17"/>
  <c r="AN35" i="17" s="1"/>
  <c r="H35" i="17"/>
  <c r="AO35" i="17" s="1"/>
  <c r="G36" i="17"/>
  <c r="AN36" i="17" s="1"/>
  <c r="H36" i="17"/>
  <c r="AO36" i="17" s="1"/>
  <c r="G37" i="17"/>
  <c r="AN37" i="17" s="1"/>
  <c r="H37" i="17"/>
  <c r="AO37" i="17" s="1"/>
  <c r="G38" i="17"/>
  <c r="AN38" i="17" s="1"/>
  <c r="H38" i="17"/>
  <c r="AO38" i="17" s="1"/>
  <c r="G39" i="17"/>
  <c r="AN39" i="17" s="1"/>
  <c r="H39" i="17"/>
  <c r="AO39" i="17" s="1"/>
  <c r="G40" i="17"/>
  <c r="AN40" i="17" s="1"/>
  <c r="H40" i="17"/>
  <c r="AO40" i="17" s="1"/>
  <c r="G41" i="17"/>
  <c r="AN41" i="17" s="1"/>
  <c r="H41" i="17"/>
  <c r="AO41" i="17" s="1"/>
  <c r="G42" i="17"/>
  <c r="AN42" i="17" s="1"/>
  <c r="H42" i="17"/>
  <c r="AO42" i="17" s="1"/>
  <c r="G43" i="17"/>
  <c r="AN43" i="17" s="1"/>
  <c r="H43" i="17"/>
  <c r="AO43" i="17" s="1"/>
  <c r="G44" i="17"/>
  <c r="AN44" i="17" s="1"/>
  <c r="H44" i="17"/>
  <c r="AO44" i="17" s="1"/>
  <c r="G45" i="17"/>
  <c r="AN45" i="17" s="1"/>
  <c r="H45" i="17"/>
  <c r="AO45" i="17" s="1"/>
  <c r="G46" i="17"/>
  <c r="AN46" i="17" s="1"/>
  <c r="H46" i="17"/>
  <c r="AO46" i="17" s="1"/>
  <c r="G47" i="17"/>
  <c r="AN47" i="17" s="1"/>
  <c r="H47" i="17"/>
  <c r="AO47" i="17" s="1"/>
  <c r="G48" i="17"/>
  <c r="AN48" i="17" s="1"/>
  <c r="H48" i="17"/>
  <c r="AO48" i="17" s="1"/>
  <c r="G49" i="17"/>
  <c r="AN49" i="17" s="1"/>
  <c r="H49" i="17"/>
  <c r="AO49" i="17" s="1"/>
  <c r="G50" i="17"/>
  <c r="AN50" i="17" s="1"/>
  <c r="H50" i="17"/>
  <c r="AO50" i="17" s="1"/>
  <c r="G51" i="17"/>
  <c r="AN51" i="17" s="1"/>
  <c r="H51" i="17"/>
  <c r="AO51" i="17" s="1"/>
  <c r="G52" i="17"/>
  <c r="AN52" i="17" s="1"/>
  <c r="H52" i="17"/>
  <c r="AO52" i="17" s="1"/>
  <c r="G53" i="17"/>
  <c r="AN53" i="17" s="1"/>
  <c r="H53" i="17"/>
  <c r="AO53" i="17" s="1"/>
  <c r="G54" i="17"/>
  <c r="AN54" i="17" s="1"/>
  <c r="H54" i="17"/>
  <c r="AO54" i="17" s="1"/>
  <c r="G55" i="17"/>
  <c r="AN55" i="17" s="1"/>
  <c r="H55" i="17"/>
  <c r="AO55" i="17" s="1"/>
  <c r="G56" i="17"/>
  <c r="AN56" i="17" s="1"/>
  <c r="H56" i="17"/>
  <c r="AO56" i="17" s="1"/>
  <c r="G57" i="17"/>
  <c r="AN57" i="17" s="1"/>
  <c r="H57" i="17"/>
  <c r="AO57" i="17" s="1"/>
  <c r="G58" i="17"/>
  <c r="AN58" i="17" s="1"/>
  <c r="H58" i="17"/>
  <c r="AO58" i="17" s="1"/>
  <c r="G59" i="17"/>
  <c r="AN59" i="17" s="1"/>
  <c r="H59" i="17"/>
  <c r="AO59" i="17" s="1"/>
  <c r="G60" i="17"/>
  <c r="AN60" i="17" s="1"/>
  <c r="H60" i="17"/>
  <c r="AO60" i="17" s="1"/>
  <c r="G61" i="17"/>
  <c r="AN61" i="17" s="1"/>
  <c r="H61" i="17"/>
  <c r="AO61" i="17" s="1"/>
  <c r="G62" i="17"/>
  <c r="AN62" i="17" s="1"/>
  <c r="H62" i="17"/>
  <c r="AO62" i="17" s="1"/>
  <c r="G63" i="17"/>
  <c r="AN63" i="17" s="1"/>
  <c r="H63" i="17"/>
  <c r="AO63" i="17" s="1"/>
  <c r="G64" i="17"/>
  <c r="AN64" i="17" s="1"/>
  <c r="H64" i="17"/>
  <c r="AO64" i="17" s="1"/>
  <c r="G65" i="17"/>
  <c r="AN65" i="17" s="1"/>
  <c r="H65" i="17"/>
  <c r="AO65" i="17" s="1"/>
  <c r="AW21" i="19" l="1"/>
  <c r="AW63" i="19"/>
  <c r="AW53" i="19"/>
  <c r="AW39" i="19"/>
  <c r="AQ66" i="32"/>
  <c r="AW21" i="27"/>
  <c r="AW35" i="27"/>
  <c r="AQ66" i="28"/>
  <c r="AQ66" i="22"/>
  <c r="AQ66" i="29"/>
  <c r="AQ66" i="30"/>
  <c r="AQ66" i="21"/>
  <c r="AW65" i="26"/>
  <c r="AW47" i="26"/>
  <c r="AW53" i="26"/>
  <c r="AW33" i="26"/>
  <c r="AW61" i="26"/>
  <c r="AQ66" i="26"/>
  <c r="AW39" i="27"/>
  <c r="AW41" i="27"/>
  <c r="AW49" i="26"/>
  <c r="AW39" i="26"/>
  <c r="AW53" i="27"/>
  <c r="AW55" i="27"/>
  <c r="AW19" i="26"/>
  <c r="AQ66" i="27"/>
  <c r="AW61" i="27"/>
  <c r="AQ66" i="18"/>
  <c r="AQ66" i="19"/>
  <c r="AQ66" i="20"/>
  <c r="A63" i="18"/>
  <c r="B65" i="18"/>
  <c r="A65" i="18" s="1"/>
  <c r="AA10" i="10"/>
  <c r="AB10" i="10"/>
  <c r="AF10" i="10"/>
  <c r="AG10" i="10"/>
  <c r="AA11" i="10"/>
  <c r="AB11" i="10"/>
  <c r="AF11" i="10"/>
  <c r="AG11" i="10"/>
  <c r="AA12" i="10"/>
  <c r="AB12" i="10"/>
  <c r="AF12" i="10"/>
  <c r="AG12" i="10"/>
  <c r="AA13" i="10"/>
  <c r="AB13" i="10"/>
  <c r="AF13" i="10"/>
  <c r="AG13" i="10"/>
  <c r="AA14" i="10"/>
  <c r="AB14" i="10"/>
  <c r="AF14" i="10"/>
  <c r="AG14" i="10"/>
  <c r="AA15" i="10"/>
  <c r="AB15" i="10"/>
  <c r="AF15" i="10"/>
  <c r="AG15" i="10"/>
  <c r="AA16" i="10"/>
  <c r="AB16" i="10"/>
  <c r="AF16" i="10"/>
  <c r="AG16" i="10"/>
  <c r="AA17" i="10"/>
  <c r="AB17" i="10"/>
  <c r="AF17" i="10"/>
  <c r="AG17" i="10"/>
  <c r="N35" i="1" l="1"/>
  <c r="AA64" i="4" l="1"/>
  <c r="AA65" i="4"/>
  <c r="G4" i="3" l="1"/>
  <c r="H4" i="3"/>
  <c r="AK5" i="10" l="1"/>
  <c r="AL5" i="10"/>
  <c r="AK6" i="10"/>
  <c r="AL6" i="10"/>
  <c r="AK7" i="10"/>
  <c r="AL7" i="10"/>
  <c r="AK8" i="10"/>
  <c r="AL8" i="10"/>
  <c r="AK9" i="10"/>
  <c r="AL9" i="10"/>
  <c r="AK10" i="10"/>
  <c r="AL10" i="10"/>
  <c r="AK11" i="10"/>
  <c r="AL11" i="10"/>
  <c r="AK12" i="10"/>
  <c r="AL12" i="10"/>
  <c r="AK13" i="10"/>
  <c r="AL13" i="10"/>
  <c r="AK14" i="10"/>
  <c r="AL14" i="10"/>
  <c r="AK15" i="10"/>
  <c r="AL15" i="10"/>
  <c r="AK16" i="10"/>
  <c r="AL16" i="10"/>
  <c r="AK17" i="10"/>
  <c r="AL17" i="10"/>
  <c r="AK18" i="10"/>
  <c r="AL18" i="10"/>
  <c r="AK19" i="10"/>
  <c r="AL19" i="10"/>
  <c r="AK20" i="10"/>
  <c r="AL20" i="10"/>
  <c r="AK21" i="10"/>
  <c r="AL21" i="10"/>
  <c r="AK22" i="10"/>
  <c r="AL22" i="10"/>
  <c r="AK23" i="10"/>
  <c r="AL23" i="10"/>
  <c r="AK24" i="10"/>
  <c r="AL24" i="10"/>
  <c r="AK25" i="10"/>
  <c r="AL25" i="10"/>
  <c r="AK26" i="10"/>
  <c r="AL26" i="10"/>
  <c r="AK27" i="10"/>
  <c r="AL27" i="10"/>
  <c r="AK28" i="10"/>
  <c r="AL28" i="10"/>
  <c r="AK29" i="10"/>
  <c r="AL29" i="10"/>
  <c r="AK30" i="10"/>
  <c r="AL30" i="10"/>
  <c r="AK31" i="10"/>
  <c r="AL31" i="10"/>
  <c r="AK32" i="10"/>
  <c r="AL32" i="10"/>
  <c r="AK33" i="10"/>
  <c r="AL33" i="10"/>
  <c r="AK34" i="10"/>
  <c r="AL34" i="10"/>
  <c r="AK35" i="10"/>
  <c r="AL35" i="10"/>
  <c r="AK36" i="10"/>
  <c r="AL36" i="10"/>
  <c r="AK37" i="10"/>
  <c r="AL37" i="10"/>
  <c r="AK38" i="10"/>
  <c r="AL38" i="10"/>
  <c r="AK39" i="10"/>
  <c r="AL39" i="10"/>
  <c r="AK40" i="10"/>
  <c r="AL40" i="10"/>
  <c r="AK41" i="10"/>
  <c r="AL41" i="10"/>
  <c r="AK42" i="10"/>
  <c r="AL42" i="10"/>
  <c r="AK43" i="10"/>
  <c r="AL43" i="10"/>
  <c r="AK44" i="10"/>
  <c r="AL44" i="10"/>
  <c r="AK45" i="10"/>
  <c r="AL45" i="10"/>
  <c r="AK46" i="10"/>
  <c r="AL46" i="10"/>
  <c r="AK47" i="10"/>
  <c r="AL47" i="10"/>
  <c r="AK48" i="10"/>
  <c r="AL48" i="10"/>
  <c r="AK49" i="10"/>
  <c r="AL49" i="10"/>
  <c r="AK50" i="10"/>
  <c r="AL50" i="10"/>
  <c r="AK51" i="10"/>
  <c r="AL51" i="10"/>
  <c r="AK52" i="10"/>
  <c r="AL52" i="10"/>
  <c r="AK53" i="10"/>
  <c r="AL53" i="10"/>
  <c r="AK54" i="10"/>
  <c r="AL54" i="10"/>
  <c r="AK55" i="10"/>
  <c r="AL55" i="10"/>
  <c r="AK56" i="10"/>
  <c r="AL56" i="10"/>
  <c r="AK57" i="10"/>
  <c r="AL57" i="10"/>
  <c r="AK58" i="10"/>
  <c r="AL58" i="10"/>
  <c r="AK59" i="10"/>
  <c r="AL59" i="10"/>
  <c r="AK60" i="10"/>
  <c r="AL60" i="10"/>
  <c r="AK61" i="10"/>
  <c r="AL61" i="10"/>
  <c r="AK62" i="10"/>
  <c r="AL62" i="10"/>
  <c r="AK63" i="10"/>
  <c r="AL63" i="10"/>
  <c r="AK64" i="10"/>
  <c r="AL64" i="10"/>
  <c r="AK65" i="10"/>
  <c r="AL65" i="10"/>
  <c r="AF5" i="10"/>
  <c r="AG5" i="10"/>
  <c r="AF6" i="10"/>
  <c r="AG6" i="10"/>
  <c r="AF7" i="10"/>
  <c r="AG7" i="10"/>
  <c r="AF8" i="10"/>
  <c r="AG8" i="10"/>
  <c r="AF9" i="10"/>
  <c r="AG9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A5" i="10"/>
  <c r="AB5" i="10"/>
  <c r="AA6" i="10"/>
  <c r="AB6" i="10"/>
  <c r="AA7" i="10"/>
  <c r="AB7" i="10"/>
  <c r="AA8" i="10"/>
  <c r="AB8" i="10"/>
  <c r="AA9" i="10"/>
  <c r="AB9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A42" i="10"/>
  <c r="AB42" i="10"/>
  <c r="AA43" i="10"/>
  <c r="AB43" i="10"/>
  <c r="AA44" i="10"/>
  <c r="AB44" i="10"/>
  <c r="AA45" i="10"/>
  <c r="AB45" i="10"/>
  <c r="AA46" i="10"/>
  <c r="AB46" i="10"/>
  <c r="AA47" i="10"/>
  <c r="AB47" i="10"/>
  <c r="AA48" i="10"/>
  <c r="AB48" i="10"/>
  <c r="AA49" i="10"/>
  <c r="AB49" i="10"/>
  <c r="AA50" i="10"/>
  <c r="AB50" i="10"/>
  <c r="AA51" i="10"/>
  <c r="AB51" i="10"/>
  <c r="AA52" i="10"/>
  <c r="AB52" i="10"/>
  <c r="AA53" i="10"/>
  <c r="AB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AA63" i="10"/>
  <c r="AB63" i="10"/>
  <c r="AA64" i="10"/>
  <c r="AB64" i="10"/>
  <c r="AA65" i="10"/>
  <c r="AB65" i="10"/>
  <c r="R5" i="10"/>
  <c r="AM5" i="10" s="1"/>
  <c r="S5" i="10"/>
  <c r="T5" i="10"/>
  <c r="R6" i="10"/>
  <c r="AM6" i="10" s="1"/>
  <c r="S6" i="10"/>
  <c r="T6" i="10"/>
  <c r="R7" i="10"/>
  <c r="AM7" i="10" s="1"/>
  <c r="S7" i="10"/>
  <c r="T7" i="10"/>
  <c r="R8" i="10"/>
  <c r="AM8" i="10" s="1"/>
  <c r="S8" i="10"/>
  <c r="T8" i="10"/>
  <c r="R9" i="10"/>
  <c r="AM9" i="10" s="1"/>
  <c r="S9" i="10"/>
  <c r="T9" i="10"/>
  <c r="R10" i="10"/>
  <c r="AM10" i="10" s="1"/>
  <c r="S10" i="10"/>
  <c r="T10" i="10"/>
  <c r="R11" i="10"/>
  <c r="AM11" i="10" s="1"/>
  <c r="S11" i="10"/>
  <c r="T11" i="10"/>
  <c r="R12" i="10"/>
  <c r="AM12" i="10" s="1"/>
  <c r="S12" i="10"/>
  <c r="T12" i="10"/>
  <c r="R13" i="10"/>
  <c r="AM13" i="10" s="1"/>
  <c r="S13" i="10"/>
  <c r="T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R28" i="10"/>
  <c r="AM28" i="10" s="1"/>
  <c r="S28" i="10"/>
  <c r="T28" i="10"/>
  <c r="R29" i="10"/>
  <c r="AM29" i="10" s="1"/>
  <c r="S29" i="10"/>
  <c r="T29" i="10"/>
  <c r="R30" i="10"/>
  <c r="AM30" i="10" s="1"/>
  <c r="S30" i="10"/>
  <c r="T30" i="10"/>
  <c r="R31" i="10"/>
  <c r="AM31" i="10" s="1"/>
  <c r="S31" i="10"/>
  <c r="T31" i="10"/>
  <c r="R32" i="10"/>
  <c r="AM32" i="10" s="1"/>
  <c r="S32" i="10"/>
  <c r="T32" i="10"/>
  <c r="R33" i="10"/>
  <c r="AM33" i="10" s="1"/>
  <c r="S33" i="10"/>
  <c r="T33" i="10"/>
  <c r="R34" i="10"/>
  <c r="AM34" i="10" s="1"/>
  <c r="S34" i="10"/>
  <c r="T34" i="10"/>
  <c r="R35" i="10"/>
  <c r="AM35" i="10" s="1"/>
  <c r="S35" i="10"/>
  <c r="T35" i="10"/>
  <c r="R36" i="10"/>
  <c r="AM36" i="10" s="1"/>
  <c r="S36" i="10"/>
  <c r="T36" i="10"/>
  <c r="R37" i="10"/>
  <c r="AM37" i="10" s="1"/>
  <c r="S37" i="10"/>
  <c r="T37" i="10"/>
  <c r="R38" i="10"/>
  <c r="AM38" i="10" s="1"/>
  <c r="S38" i="10"/>
  <c r="T38" i="10"/>
  <c r="R39" i="10"/>
  <c r="AM39" i="10" s="1"/>
  <c r="S39" i="10"/>
  <c r="T39" i="10"/>
  <c r="R40" i="10"/>
  <c r="AM40" i="10" s="1"/>
  <c r="S40" i="10"/>
  <c r="T40" i="10"/>
  <c r="R41" i="10"/>
  <c r="AM41" i="10" s="1"/>
  <c r="S41" i="10"/>
  <c r="T41" i="10"/>
  <c r="R42" i="10"/>
  <c r="AM42" i="10" s="1"/>
  <c r="S42" i="10"/>
  <c r="T42" i="10"/>
  <c r="R43" i="10"/>
  <c r="AM43" i="10" s="1"/>
  <c r="S43" i="10"/>
  <c r="T43" i="10"/>
  <c r="R44" i="10"/>
  <c r="AM44" i="10" s="1"/>
  <c r="S44" i="10"/>
  <c r="T44" i="10"/>
  <c r="R45" i="10"/>
  <c r="AM45" i="10" s="1"/>
  <c r="S45" i="10"/>
  <c r="T45" i="10"/>
  <c r="R46" i="10"/>
  <c r="AM46" i="10" s="1"/>
  <c r="S46" i="10"/>
  <c r="T46" i="10"/>
  <c r="R47" i="10"/>
  <c r="AM47" i="10" s="1"/>
  <c r="S47" i="10"/>
  <c r="T47" i="10"/>
  <c r="R48" i="10"/>
  <c r="AM48" i="10" s="1"/>
  <c r="S48" i="10"/>
  <c r="T48" i="10"/>
  <c r="R49" i="10"/>
  <c r="AM49" i="10" s="1"/>
  <c r="S49" i="10"/>
  <c r="T49" i="10"/>
  <c r="R50" i="10"/>
  <c r="AM50" i="10" s="1"/>
  <c r="S50" i="10"/>
  <c r="T50" i="10"/>
  <c r="R51" i="10"/>
  <c r="AM51" i="10" s="1"/>
  <c r="S51" i="10"/>
  <c r="T51" i="10"/>
  <c r="R52" i="10"/>
  <c r="AM52" i="10" s="1"/>
  <c r="S52" i="10"/>
  <c r="T52" i="10"/>
  <c r="R53" i="10"/>
  <c r="AM53" i="10" s="1"/>
  <c r="S53" i="10"/>
  <c r="T53" i="10"/>
  <c r="R54" i="10"/>
  <c r="AM54" i="10" s="1"/>
  <c r="S54" i="10"/>
  <c r="T54" i="10"/>
  <c r="R55" i="10"/>
  <c r="AM55" i="10" s="1"/>
  <c r="S55" i="10"/>
  <c r="T55" i="10"/>
  <c r="R56" i="10"/>
  <c r="AM56" i="10" s="1"/>
  <c r="S56" i="10"/>
  <c r="T56" i="10"/>
  <c r="R57" i="10"/>
  <c r="AM57" i="10" s="1"/>
  <c r="S57" i="10"/>
  <c r="T57" i="10"/>
  <c r="R58" i="10"/>
  <c r="AM58" i="10" s="1"/>
  <c r="S58" i="10"/>
  <c r="T58" i="10"/>
  <c r="R59" i="10"/>
  <c r="AM59" i="10" s="1"/>
  <c r="S59" i="10"/>
  <c r="T59" i="10"/>
  <c r="R60" i="10"/>
  <c r="AM60" i="10" s="1"/>
  <c r="S60" i="10"/>
  <c r="T60" i="10"/>
  <c r="R61" i="10"/>
  <c r="AM61" i="10" s="1"/>
  <c r="S61" i="10"/>
  <c r="T61" i="10"/>
  <c r="R62" i="10"/>
  <c r="AM62" i="10" s="1"/>
  <c r="S62" i="10"/>
  <c r="T62" i="10"/>
  <c r="R63" i="10"/>
  <c r="AM63" i="10" s="1"/>
  <c r="S63" i="10"/>
  <c r="T63" i="10"/>
  <c r="R64" i="10"/>
  <c r="AM64" i="10" s="1"/>
  <c r="S64" i="10"/>
  <c r="T64" i="10"/>
  <c r="R65" i="10"/>
  <c r="AM65" i="10" s="1"/>
  <c r="S65" i="10"/>
  <c r="T65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AO21" i="10" s="1"/>
  <c r="G22" i="10"/>
  <c r="H22" i="10"/>
  <c r="G23" i="10"/>
  <c r="H23" i="10"/>
  <c r="AO23" i="10" s="1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AA54" i="7"/>
  <c r="AB54" i="7"/>
  <c r="AA55" i="7"/>
  <c r="AB55" i="7"/>
  <c r="AA56" i="7"/>
  <c r="AB56" i="7"/>
  <c r="AO19" i="10" l="1"/>
  <c r="AN62" i="10"/>
  <c r="AN64" i="10"/>
  <c r="AN60" i="10"/>
  <c r="AN58" i="10"/>
  <c r="AN22" i="10"/>
  <c r="AN20" i="10"/>
  <c r="AN18" i="10"/>
  <c r="AN14" i="10"/>
  <c r="AN12" i="10"/>
  <c r="AN10" i="10"/>
  <c r="AN8" i="10"/>
  <c r="AN6" i="10"/>
  <c r="AO17" i="10"/>
  <c r="AO15" i="10"/>
  <c r="AO13" i="10"/>
  <c r="AO11" i="10"/>
  <c r="AO65" i="10"/>
  <c r="AO63" i="10"/>
  <c r="AO61" i="10"/>
  <c r="AO57" i="10"/>
  <c r="AO9" i="10"/>
  <c r="AO7" i="10"/>
  <c r="AO5" i="10"/>
  <c r="AO64" i="10"/>
  <c r="AN65" i="10"/>
  <c r="AO59" i="10"/>
  <c r="AN56" i="10"/>
  <c r="AO53" i="10"/>
  <c r="AN52" i="10"/>
  <c r="AO62" i="10"/>
  <c r="AO60" i="10"/>
  <c r="AO58" i="10"/>
  <c r="AO55" i="10"/>
  <c r="AN54" i="10"/>
  <c r="AN63" i="10"/>
  <c r="AN61" i="10"/>
  <c r="AN59" i="10"/>
  <c r="AN57" i="10"/>
  <c r="AT51" i="10"/>
  <c r="AO49" i="10"/>
  <c r="AN48" i="10"/>
  <c r="AO45" i="10"/>
  <c r="AN44" i="10"/>
  <c r="AO51" i="10"/>
  <c r="AN50" i="10"/>
  <c r="AO47" i="10"/>
  <c r="AN46" i="10"/>
  <c r="AO43" i="10"/>
  <c r="AN42" i="10"/>
  <c r="AO41" i="10"/>
  <c r="AN40" i="10"/>
  <c r="AO39" i="10"/>
  <c r="AN38" i="10"/>
  <c r="AO37" i="10"/>
  <c r="AN36" i="10"/>
  <c r="AO35" i="10"/>
  <c r="AN34" i="10"/>
  <c r="AO33" i="10"/>
  <c r="AN32" i="10"/>
  <c r="AO29" i="10"/>
  <c r="AN28" i="10"/>
  <c r="AO25" i="10"/>
  <c r="AN24" i="10"/>
  <c r="AO31" i="10"/>
  <c r="AN30" i="10"/>
  <c r="AO27" i="10"/>
  <c r="AN26" i="10"/>
  <c r="AN16" i="10"/>
  <c r="AO56" i="10"/>
  <c r="AO54" i="10"/>
  <c r="AN55" i="10"/>
  <c r="AN53" i="10"/>
  <c r="AO52" i="10"/>
  <c r="AO50" i="10"/>
  <c r="AO48" i="10"/>
  <c r="AO46" i="10"/>
  <c r="AO44" i="10"/>
  <c r="AO42" i="10"/>
  <c r="AO40" i="10"/>
  <c r="AO38" i="10"/>
  <c r="AO36" i="10"/>
  <c r="AO34" i="10"/>
  <c r="AO32" i="10"/>
  <c r="AO30" i="10"/>
  <c r="AO28" i="10"/>
  <c r="AO26" i="10"/>
  <c r="AO24" i="10"/>
  <c r="AN51" i="10"/>
  <c r="AN49" i="10"/>
  <c r="AN47" i="10"/>
  <c r="AN45" i="10"/>
  <c r="AN43" i="10"/>
  <c r="AN41" i="10"/>
  <c r="AN39" i="10"/>
  <c r="AN37" i="10"/>
  <c r="AN35" i="10"/>
  <c r="AN33" i="10"/>
  <c r="AN31" i="10"/>
  <c r="AN29" i="10"/>
  <c r="AN27" i="10"/>
  <c r="AN25" i="10"/>
  <c r="AO22" i="10"/>
  <c r="AO20" i="10"/>
  <c r="AO18" i="10"/>
  <c r="AO16" i="10"/>
  <c r="AO14" i="10"/>
  <c r="AO12" i="10"/>
  <c r="AO10" i="10"/>
  <c r="AN23" i="10"/>
  <c r="AN21" i="10"/>
  <c r="AN19" i="10"/>
  <c r="AN17" i="10"/>
  <c r="AN15" i="10"/>
  <c r="AN13" i="10"/>
  <c r="AN11" i="10"/>
  <c r="AO8" i="10"/>
  <c r="AO6" i="10"/>
  <c r="AN9" i="10"/>
  <c r="AN7" i="10"/>
  <c r="AN5" i="10"/>
  <c r="AR60" i="12"/>
  <c r="AR61" i="12"/>
  <c r="AR62" i="12"/>
  <c r="AR63" i="12"/>
  <c r="AR64" i="12"/>
  <c r="AR65" i="12"/>
  <c r="AL62" i="13"/>
  <c r="AK62" i="13"/>
  <c r="J66" i="17"/>
  <c r="G17" i="1" s="1"/>
  <c r="AU51" i="10" l="1"/>
  <c r="AV51" i="10"/>
  <c r="AA62" i="17"/>
  <c r="AA63" i="17"/>
  <c r="AA64" i="17"/>
  <c r="AA65" i="17"/>
  <c r="AB65" i="17"/>
  <c r="G64" i="12" l="1"/>
  <c r="H64" i="12"/>
  <c r="G65" i="12"/>
  <c r="H65" i="12"/>
  <c r="AR60" i="14" l="1"/>
  <c r="AR61" i="14"/>
  <c r="AR62" i="14"/>
  <c r="AR63" i="14"/>
  <c r="AR64" i="14"/>
  <c r="AR65" i="14"/>
  <c r="G58" i="14" l="1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R60" i="14" l="1"/>
  <c r="AM60" i="14" s="1"/>
  <c r="S60" i="14"/>
  <c r="T60" i="14"/>
  <c r="AA60" i="14"/>
  <c r="AB60" i="14"/>
  <c r="AK60" i="14"/>
  <c r="R61" i="14"/>
  <c r="AM61" i="14" s="1"/>
  <c r="S61" i="14"/>
  <c r="T61" i="14"/>
  <c r="AA61" i="14"/>
  <c r="AB61" i="14"/>
  <c r="AK61" i="14"/>
  <c r="R62" i="14"/>
  <c r="AM62" i="14" s="1"/>
  <c r="S62" i="14"/>
  <c r="T62" i="14"/>
  <c r="AA62" i="14"/>
  <c r="AB62" i="14"/>
  <c r="AF62" i="14"/>
  <c r="AK62" i="14"/>
  <c r="R63" i="14"/>
  <c r="AM63" i="14" s="1"/>
  <c r="S63" i="14"/>
  <c r="T63" i="14"/>
  <c r="AA63" i="14"/>
  <c r="AB63" i="14"/>
  <c r="AF63" i="14"/>
  <c r="AK63" i="14"/>
  <c r="R64" i="14"/>
  <c r="AM64" i="14" s="1"/>
  <c r="S64" i="14"/>
  <c r="T64" i="14"/>
  <c r="AA64" i="14"/>
  <c r="AB64" i="14"/>
  <c r="AF64" i="14"/>
  <c r="AK64" i="14"/>
  <c r="R65" i="14"/>
  <c r="AM65" i="14" s="1"/>
  <c r="S65" i="14"/>
  <c r="T65" i="14"/>
  <c r="AA65" i="14"/>
  <c r="AB65" i="14"/>
  <c r="AF65" i="14"/>
  <c r="AK65" i="14"/>
  <c r="J66" i="14"/>
  <c r="G30" i="1" s="1"/>
  <c r="AN62" i="14" l="1"/>
  <c r="AO64" i="14"/>
  <c r="AN64" i="14"/>
  <c r="AN60" i="14"/>
  <c r="AN65" i="14"/>
  <c r="AN63" i="14"/>
  <c r="AN61" i="14"/>
  <c r="AO65" i="14"/>
  <c r="AO63" i="14"/>
  <c r="AO61" i="14"/>
  <c r="AO62" i="14"/>
  <c r="AO60" i="14"/>
  <c r="AP64" i="14" l="1"/>
  <c r="AP60" i="14"/>
  <c r="AP62" i="14"/>
  <c r="AP65" i="14"/>
  <c r="AP61" i="14"/>
  <c r="AP63" i="14"/>
  <c r="G58" i="12"/>
  <c r="H58" i="12"/>
  <c r="G59" i="12"/>
  <c r="H59" i="12"/>
  <c r="G60" i="12"/>
  <c r="H60" i="12"/>
  <c r="G61" i="12"/>
  <c r="H61" i="12"/>
  <c r="G62" i="12"/>
  <c r="H62" i="12"/>
  <c r="G63" i="12"/>
  <c r="H63" i="12"/>
  <c r="R60" i="12" l="1"/>
  <c r="AM60" i="12" s="1"/>
  <c r="S60" i="12"/>
  <c r="AN60" i="12" s="1"/>
  <c r="T60" i="12"/>
  <c r="AO60" i="12" s="1"/>
  <c r="AA60" i="12"/>
  <c r="AB60" i="12"/>
  <c r="R61" i="12"/>
  <c r="AM61" i="12" s="1"/>
  <c r="S61" i="12"/>
  <c r="AN61" i="12" s="1"/>
  <c r="T61" i="12"/>
  <c r="AO61" i="12" s="1"/>
  <c r="AA61" i="12"/>
  <c r="AB61" i="12"/>
  <c r="R62" i="12"/>
  <c r="AM62" i="12" s="1"/>
  <c r="S62" i="12"/>
  <c r="AN62" i="12" s="1"/>
  <c r="T62" i="12"/>
  <c r="AO62" i="12" s="1"/>
  <c r="AA62" i="12"/>
  <c r="AB62" i="12"/>
  <c r="R63" i="12"/>
  <c r="AM63" i="12" s="1"/>
  <c r="S63" i="12"/>
  <c r="AN63" i="12" s="1"/>
  <c r="T63" i="12"/>
  <c r="AO63" i="12" s="1"/>
  <c r="AA63" i="12"/>
  <c r="AB63" i="12"/>
  <c r="R64" i="12"/>
  <c r="AM64" i="12" s="1"/>
  <c r="S64" i="12"/>
  <c r="AN64" i="12" s="1"/>
  <c r="T64" i="12"/>
  <c r="AO64" i="12" s="1"/>
  <c r="AA64" i="12"/>
  <c r="AB64" i="12"/>
  <c r="R65" i="12"/>
  <c r="AM65" i="12" s="1"/>
  <c r="S65" i="12"/>
  <c r="AN65" i="12" s="1"/>
  <c r="T65" i="12"/>
  <c r="AO65" i="12" s="1"/>
  <c r="AA65" i="12"/>
  <c r="AB65" i="12"/>
  <c r="J66" i="12"/>
  <c r="G28" i="1" s="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AP65" i="12" l="1"/>
  <c r="AP64" i="12"/>
  <c r="AP63" i="12"/>
  <c r="AP62" i="12"/>
  <c r="AP61" i="12"/>
  <c r="AP60" i="12"/>
  <c r="AR62" i="17" l="1"/>
  <c r="AR63" i="17"/>
  <c r="AR64" i="17"/>
  <c r="AR65" i="17"/>
  <c r="AP64" i="17" l="1"/>
  <c r="AP65" i="17"/>
  <c r="AP63" i="17"/>
  <c r="AP62" i="17"/>
  <c r="G52" i="14" l="1"/>
  <c r="H52" i="14"/>
  <c r="G53" i="14"/>
  <c r="H53" i="14"/>
  <c r="G54" i="14"/>
  <c r="H54" i="14"/>
  <c r="G55" i="14"/>
  <c r="H55" i="14"/>
  <c r="G56" i="14"/>
  <c r="H56" i="14"/>
  <c r="G57" i="14"/>
  <c r="H57" i="14"/>
  <c r="G50" i="12" l="1"/>
  <c r="H50" i="12"/>
  <c r="G51" i="12"/>
  <c r="H51" i="12"/>
  <c r="G52" i="12"/>
  <c r="H52" i="12"/>
  <c r="G53" i="12"/>
  <c r="H53" i="12"/>
  <c r="G54" i="12"/>
  <c r="H54" i="12"/>
  <c r="G55" i="12"/>
  <c r="H55" i="12"/>
  <c r="G56" i="12"/>
  <c r="H56" i="12"/>
  <c r="G57" i="12"/>
  <c r="H57" i="12"/>
  <c r="G52" i="11" l="1"/>
  <c r="H52" i="11"/>
  <c r="G53" i="11"/>
  <c r="H53" i="11"/>
  <c r="G54" i="11"/>
  <c r="H54" i="11"/>
  <c r="G55" i="11"/>
  <c r="H55" i="11"/>
  <c r="G56" i="11"/>
  <c r="H56" i="11"/>
  <c r="G57" i="11"/>
  <c r="H57" i="11"/>
  <c r="G56" i="9" l="1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AA56" i="17" l="1"/>
  <c r="AA57" i="17"/>
  <c r="AA58" i="17"/>
  <c r="AA59" i="17"/>
  <c r="AA60" i="17"/>
  <c r="AA61" i="17"/>
  <c r="G54" i="4" l="1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44" i="13" l="1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46" i="12" l="1"/>
  <c r="H46" i="12"/>
  <c r="G47" i="12"/>
  <c r="H47" i="12"/>
  <c r="G48" i="12"/>
  <c r="H48" i="12"/>
  <c r="G49" i="12"/>
  <c r="H49" i="12"/>
  <c r="S38" i="8" l="1"/>
  <c r="AA30" i="13" l="1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P56" i="17" l="1"/>
  <c r="AP61" i="17"/>
  <c r="AP59" i="17"/>
  <c r="AP58" i="17"/>
  <c r="AP57" i="17"/>
  <c r="AP60" i="17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A4" i="17" l="1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B4" i="17"/>
  <c r="R4" i="4" l="1"/>
  <c r="S4" i="4"/>
  <c r="T4" i="4"/>
  <c r="AM5" i="4"/>
  <c r="AM6" i="4"/>
  <c r="AM7" i="4"/>
  <c r="AM8" i="4"/>
  <c r="AM9" i="4"/>
  <c r="B6" i="14" l="1"/>
  <c r="B8" i="14" s="1"/>
  <c r="B10" i="14" s="1"/>
  <c r="B12" i="14" s="1"/>
  <c r="B14" i="14" s="1"/>
  <c r="B16" i="14" s="1"/>
  <c r="B18" i="14" s="1"/>
  <c r="B20" i="14" s="1"/>
  <c r="B22" i="14" s="1"/>
  <c r="B24" i="14" s="1"/>
  <c r="B26" i="14" s="1"/>
  <c r="B28" i="14" s="1"/>
  <c r="B30" i="14" s="1"/>
  <c r="B32" i="14" s="1"/>
  <c r="B5" i="14"/>
  <c r="B7" i="14" s="1"/>
  <c r="B9" i="14" s="1"/>
  <c r="B11" i="14" s="1"/>
  <c r="B13" i="14" s="1"/>
  <c r="B15" i="14" s="1"/>
  <c r="B17" i="14" s="1"/>
  <c r="B19" i="14" s="1"/>
  <c r="B21" i="14" s="1"/>
  <c r="B23" i="14" s="1"/>
  <c r="B25" i="14" s="1"/>
  <c r="B27" i="14" s="1"/>
  <c r="B29" i="14" s="1"/>
  <c r="B31" i="14" s="1"/>
  <c r="B33" i="14" s="1"/>
  <c r="B35" i="14" s="1"/>
  <c r="B37" i="14" s="1"/>
  <c r="B39" i="14" s="1"/>
  <c r="B41" i="14" s="1"/>
  <c r="B43" i="14" s="1"/>
  <c r="B45" i="14" s="1"/>
  <c r="B47" i="14" s="1"/>
  <c r="B49" i="14" s="1"/>
  <c r="B51" i="14" s="1"/>
  <c r="B53" i="14" s="1"/>
  <c r="B55" i="14" s="1"/>
  <c r="B57" i="14" s="1"/>
  <c r="B6" i="13"/>
  <c r="B8" i="13" s="1"/>
  <c r="B10" i="13" s="1"/>
  <c r="B12" i="13" s="1"/>
  <c r="B14" i="13" s="1"/>
  <c r="B16" i="13" s="1"/>
  <c r="B18" i="13" s="1"/>
  <c r="B20" i="13" s="1"/>
  <c r="B22" i="13" s="1"/>
  <c r="B24" i="13" s="1"/>
  <c r="B26" i="13" s="1"/>
  <c r="B28" i="13" s="1"/>
  <c r="B30" i="13" s="1"/>
  <c r="B32" i="13" s="1"/>
  <c r="B34" i="13" s="1"/>
  <c r="B36" i="13" s="1"/>
  <c r="B38" i="13" s="1"/>
  <c r="B40" i="13" s="1"/>
  <c r="B42" i="13" s="1"/>
  <c r="B44" i="13" s="1"/>
  <c r="B46" i="13" s="1"/>
  <c r="B48" i="13" s="1"/>
  <c r="B50" i="13" s="1"/>
  <c r="B52" i="13" s="1"/>
  <c r="B54" i="13" s="1"/>
  <c r="B56" i="13" s="1"/>
  <c r="B58" i="13" s="1"/>
  <c r="B60" i="13" s="1"/>
  <c r="B62" i="13" s="1"/>
  <c r="B64" i="13" s="1"/>
  <c r="B5" i="13"/>
  <c r="B7" i="13" s="1"/>
  <c r="B9" i="13" s="1"/>
  <c r="B11" i="13" s="1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41" i="13" s="1"/>
  <c r="B43" i="13" s="1"/>
  <c r="B45" i="13" s="1"/>
  <c r="B47" i="13" s="1"/>
  <c r="B49" i="13" s="1"/>
  <c r="B51" i="13" s="1"/>
  <c r="B53" i="13" s="1"/>
  <c r="B55" i="13" s="1"/>
  <c r="B57" i="13" s="1"/>
  <c r="B59" i="13" s="1"/>
  <c r="B61" i="13" s="1"/>
  <c r="B63" i="13" s="1"/>
  <c r="B65" i="13" s="1"/>
  <c r="B6" i="12"/>
  <c r="B8" i="12" s="1"/>
  <c r="B10" i="12" s="1"/>
  <c r="B12" i="12" s="1"/>
  <c r="B14" i="12" s="1"/>
  <c r="B16" i="12" s="1"/>
  <c r="B18" i="12" s="1"/>
  <c r="B20" i="12" s="1"/>
  <c r="B22" i="12" s="1"/>
  <c r="B24" i="12" s="1"/>
  <c r="B26" i="12" s="1"/>
  <c r="B28" i="12" s="1"/>
  <c r="B30" i="12" s="1"/>
  <c r="B32" i="12" s="1"/>
  <c r="B34" i="12" s="1"/>
  <c r="B36" i="12" s="1"/>
  <c r="B38" i="12" s="1"/>
  <c r="B40" i="12" s="1"/>
  <c r="B42" i="12" s="1"/>
  <c r="B44" i="12" s="1"/>
  <c r="B46" i="12" s="1"/>
  <c r="B48" i="12" s="1"/>
  <c r="B50" i="12" s="1"/>
  <c r="B52" i="12" s="1"/>
  <c r="B54" i="12" s="1"/>
  <c r="B56" i="12" s="1"/>
  <c r="B58" i="12" s="1"/>
  <c r="B60" i="12" s="1"/>
  <c r="B5" i="12"/>
  <c r="B7" i="12" s="1"/>
  <c r="B9" i="12" s="1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41" i="12" s="1"/>
  <c r="B43" i="12" s="1"/>
  <c r="B45" i="12" s="1"/>
  <c r="B47" i="12" s="1"/>
  <c r="B49" i="12" s="1"/>
  <c r="B51" i="12" s="1"/>
  <c r="B53" i="12" s="1"/>
  <c r="B55" i="12" s="1"/>
  <c r="B57" i="12" s="1"/>
  <c r="B59" i="12" s="1"/>
  <c r="B61" i="12" s="1"/>
  <c r="B6" i="11"/>
  <c r="B8" i="11" s="1"/>
  <c r="B10" i="11" s="1"/>
  <c r="B12" i="11" s="1"/>
  <c r="B14" i="11" s="1"/>
  <c r="B16" i="11" s="1"/>
  <c r="B18" i="11" s="1"/>
  <c r="B20" i="11" s="1"/>
  <c r="B22" i="11" s="1"/>
  <c r="B24" i="11" s="1"/>
  <c r="B26" i="11" s="1"/>
  <c r="B28" i="11" s="1"/>
  <c r="B30" i="11" s="1"/>
  <c r="B32" i="11" s="1"/>
  <c r="B34" i="11" s="1"/>
  <c r="B36" i="11" s="1"/>
  <c r="B38" i="11" s="1"/>
  <c r="B40" i="11" s="1"/>
  <c r="B42" i="11" s="1"/>
  <c r="B44" i="11" s="1"/>
  <c r="B46" i="11" s="1"/>
  <c r="B48" i="11" s="1"/>
  <c r="B50" i="11" s="1"/>
  <c r="B52" i="11" s="1"/>
  <c r="B54" i="11" s="1"/>
  <c r="B56" i="11" s="1"/>
  <c r="B58" i="11" s="1"/>
  <c r="B60" i="11" s="1"/>
  <c r="B62" i="11" s="1"/>
  <c r="B64" i="11" s="1"/>
  <c r="B5" i="11"/>
  <c r="B7" i="11" s="1"/>
  <c r="B9" i="11" s="1"/>
  <c r="B11" i="11" s="1"/>
  <c r="B13" i="11" s="1"/>
  <c r="B15" i="11" s="1"/>
  <c r="B17" i="11" s="1"/>
  <c r="B19" i="11" s="1"/>
  <c r="B21" i="11" s="1"/>
  <c r="B23" i="11" s="1"/>
  <c r="B25" i="11" s="1"/>
  <c r="B27" i="11" s="1"/>
  <c r="B29" i="11" s="1"/>
  <c r="B31" i="11" s="1"/>
  <c r="B33" i="11" s="1"/>
  <c r="B35" i="11" s="1"/>
  <c r="B37" i="11" s="1"/>
  <c r="B39" i="11" s="1"/>
  <c r="B41" i="11" s="1"/>
  <c r="B43" i="11" s="1"/>
  <c r="B45" i="11" s="1"/>
  <c r="B47" i="11" s="1"/>
  <c r="B49" i="11" s="1"/>
  <c r="B51" i="11" s="1"/>
  <c r="B53" i="11" s="1"/>
  <c r="B55" i="11" s="1"/>
  <c r="B57" i="11" s="1"/>
  <c r="B59" i="11" s="1"/>
  <c r="B61" i="11" s="1"/>
  <c r="B63" i="11" s="1"/>
  <c r="B65" i="11" s="1"/>
  <c r="B6" i="10"/>
  <c r="B8" i="10" s="1"/>
  <c r="B10" i="10" s="1"/>
  <c r="B12" i="10" s="1"/>
  <c r="B14" i="10" s="1"/>
  <c r="B16" i="10" s="1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B40" i="10" s="1"/>
  <c r="B42" i="10" s="1"/>
  <c r="B44" i="10" s="1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5" i="10"/>
  <c r="B7" i="10" s="1"/>
  <c r="B9" i="10" s="1"/>
  <c r="B11" i="10" s="1"/>
  <c r="B13" i="10" s="1"/>
  <c r="B15" i="10" s="1"/>
  <c r="B17" i="10" s="1"/>
  <c r="B19" i="10" s="1"/>
  <c r="B21" i="10" s="1"/>
  <c r="B23" i="10" s="1"/>
  <c r="B25" i="10" s="1"/>
  <c r="B27" i="10" s="1"/>
  <c r="B29" i="10" s="1"/>
  <c r="B31" i="10" s="1"/>
  <c r="B33" i="10" s="1"/>
  <c r="B35" i="10" s="1"/>
  <c r="B37" i="10" s="1"/>
  <c r="B39" i="10" s="1"/>
  <c r="B41" i="10" s="1"/>
  <c r="B43" i="10" s="1"/>
  <c r="B45" i="10" s="1"/>
  <c r="B47" i="10" s="1"/>
  <c r="B49" i="10" s="1"/>
  <c r="B51" i="10" s="1"/>
  <c r="B53" i="10" s="1"/>
  <c r="B55" i="10" s="1"/>
  <c r="B57" i="10" s="1"/>
  <c r="B59" i="10" s="1"/>
  <c r="B61" i="10" s="1"/>
  <c r="B63" i="10" s="1"/>
  <c r="B65" i="10" s="1"/>
  <c r="B6" i="9"/>
  <c r="B8" i="9" s="1"/>
  <c r="B10" i="9" s="1"/>
  <c r="B12" i="9" s="1"/>
  <c r="B14" i="9" s="1"/>
  <c r="B16" i="9" s="1"/>
  <c r="B18" i="9" s="1"/>
  <c r="B20" i="9" s="1"/>
  <c r="B22" i="9" s="1"/>
  <c r="B24" i="9" s="1"/>
  <c r="B26" i="9" s="1"/>
  <c r="B28" i="9" s="1"/>
  <c r="B30" i="9" s="1"/>
  <c r="B32" i="9" s="1"/>
  <c r="B34" i="9" s="1"/>
  <c r="B36" i="9" s="1"/>
  <c r="B38" i="9" s="1"/>
  <c r="B40" i="9" s="1"/>
  <c r="B42" i="9" s="1"/>
  <c r="B44" i="9" s="1"/>
  <c r="B46" i="9" s="1"/>
  <c r="B48" i="9" s="1"/>
  <c r="B50" i="9" s="1"/>
  <c r="B52" i="9" s="1"/>
  <c r="B54" i="9" s="1"/>
  <c r="B56" i="9" s="1"/>
  <c r="B58" i="9" s="1"/>
  <c r="B60" i="9" s="1"/>
  <c r="B62" i="9" s="1"/>
  <c r="B64" i="9" s="1"/>
  <c r="B5" i="9"/>
  <c r="B7" i="9" s="1"/>
  <c r="B9" i="9" s="1"/>
  <c r="B11" i="9" s="1"/>
  <c r="B13" i="9" s="1"/>
  <c r="B15" i="9" s="1"/>
  <c r="B17" i="9" s="1"/>
  <c r="B19" i="9" s="1"/>
  <c r="B21" i="9" s="1"/>
  <c r="B23" i="9" s="1"/>
  <c r="B25" i="9" s="1"/>
  <c r="B27" i="9" s="1"/>
  <c r="B29" i="9" s="1"/>
  <c r="B31" i="9" s="1"/>
  <c r="B33" i="9" s="1"/>
  <c r="B35" i="9" s="1"/>
  <c r="B37" i="9" s="1"/>
  <c r="B39" i="9" s="1"/>
  <c r="B41" i="9" s="1"/>
  <c r="B43" i="9" s="1"/>
  <c r="B45" i="9" s="1"/>
  <c r="B47" i="9" s="1"/>
  <c r="B49" i="9" s="1"/>
  <c r="B51" i="9" s="1"/>
  <c r="B53" i="9" s="1"/>
  <c r="B55" i="9" s="1"/>
  <c r="B57" i="9" s="1"/>
  <c r="B59" i="9" s="1"/>
  <c r="B61" i="9" s="1"/>
  <c r="B63" i="9" s="1"/>
  <c r="B65" i="9" s="1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B6" i="17"/>
  <c r="B8" i="17" s="1"/>
  <c r="B10" i="17" s="1"/>
  <c r="B12" i="17" s="1"/>
  <c r="B14" i="17" s="1"/>
  <c r="B16" i="17" s="1"/>
  <c r="B18" i="17" s="1"/>
  <c r="B20" i="17" s="1"/>
  <c r="B22" i="17" s="1"/>
  <c r="B24" i="17" s="1"/>
  <c r="B26" i="17" s="1"/>
  <c r="B28" i="17" s="1"/>
  <c r="B30" i="17" s="1"/>
  <c r="B32" i="17" s="1"/>
  <c r="B34" i="17" s="1"/>
  <c r="B36" i="17" s="1"/>
  <c r="B38" i="17" s="1"/>
  <c r="B40" i="17" s="1"/>
  <c r="B42" i="17" s="1"/>
  <c r="B44" i="17" s="1"/>
  <c r="B46" i="17" s="1"/>
  <c r="B48" i="17" s="1"/>
  <c r="B50" i="17" s="1"/>
  <c r="B52" i="17" s="1"/>
  <c r="B54" i="17" s="1"/>
  <c r="B56" i="17" s="1"/>
  <c r="B58" i="17" s="1"/>
  <c r="B60" i="17" s="1"/>
  <c r="B62" i="17" s="1"/>
  <c r="B5" i="17"/>
  <c r="B7" i="17" s="1"/>
  <c r="B9" i="17" s="1"/>
  <c r="B11" i="17" s="1"/>
  <c r="B13" i="17" s="1"/>
  <c r="B15" i="17" s="1"/>
  <c r="B17" i="17" s="1"/>
  <c r="B19" i="17" s="1"/>
  <c r="B21" i="17" s="1"/>
  <c r="B23" i="17" s="1"/>
  <c r="B25" i="17" s="1"/>
  <c r="B27" i="17" s="1"/>
  <c r="B29" i="17" s="1"/>
  <c r="B31" i="17" s="1"/>
  <c r="B33" i="17" s="1"/>
  <c r="B35" i="17" s="1"/>
  <c r="B37" i="17" s="1"/>
  <c r="B39" i="17" s="1"/>
  <c r="B41" i="17" s="1"/>
  <c r="B43" i="17" s="1"/>
  <c r="B45" i="17" s="1"/>
  <c r="B47" i="17" s="1"/>
  <c r="B49" i="17" s="1"/>
  <c r="B51" i="17" s="1"/>
  <c r="B53" i="17" s="1"/>
  <c r="B55" i="17" s="1"/>
  <c r="B57" i="17" s="1"/>
  <c r="B59" i="17" s="1"/>
  <c r="B61" i="17" s="1"/>
  <c r="B63" i="17" s="1"/>
  <c r="B6" i="7"/>
  <c r="B8" i="7" s="1"/>
  <c r="B10" i="7" s="1"/>
  <c r="B12" i="7" s="1"/>
  <c r="B14" i="7" s="1"/>
  <c r="B16" i="7" s="1"/>
  <c r="B18" i="7" s="1"/>
  <c r="B5" i="7"/>
  <c r="B7" i="7" s="1"/>
  <c r="B9" i="7" s="1"/>
  <c r="B11" i="7" s="1"/>
  <c r="B13" i="7" s="1"/>
  <c r="B15" i="7" s="1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B6" i="4"/>
  <c r="B8" i="4" s="1"/>
  <c r="B10" i="4" s="1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5" i="4"/>
  <c r="B7" i="4" s="1"/>
  <c r="B9" i="4" s="1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B6" i="5"/>
  <c r="B8" i="5" s="1"/>
  <c r="B10" i="5" s="1"/>
  <c r="B12" i="5" s="1"/>
  <c r="B14" i="5" s="1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5" i="5"/>
  <c r="B7" i="5" s="1"/>
  <c r="B9" i="5" s="1"/>
  <c r="B11" i="5" s="1"/>
  <c r="B13" i="5" s="1"/>
  <c r="B15" i="5" s="1"/>
  <c r="B17" i="5" s="1"/>
  <c r="B19" i="5" s="1"/>
  <c r="B21" i="5" s="1"/>
  <c r="B23" i="5" s="1"/>
  <c r="B25" i="5" s="1"/>
  <c r="B27" i="5" s="1"/>
  <c r="B29" i="5" s="1"/>
  <c r="B31" i="5" s="1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B55" i="5" s="1"/>
  <c r="B57" i="5" s="1"/>
  <c r="B59" i="5" s="1"/>
  <c r="B61" i="5" s="1"/>
  <c r="B63" i="5" s="1"/>
  <c r="B65" i="5" s="1"/>
  <c r="B20" i="7" l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B34" i="14"/>
  <c r="B36" i="14" s="1"/>
  <c r="B38" i="14" s="1"/>
  <c r="B40" i="14" s="1"/>
  <c r="B42" i="14" s="1"/>
  <c r="B44" i="14" s="1"/>
  <c r="B46" i="14" s="1"/>
  <c r="B48" i="14" s="1"/>
  <c r="B50" i="14" s="1"/>
  <c r="B52" i="14" s="1"/>
  <c r="B54" i="14" s="1"/>
  <c r="B56" i="14" s="1"/>
  <c r="B58" i="14" s="1"/>
  <c r="B60" i="14" s="1"/>
  <c r="B63" i="12"/>
  <c r="A61" i="12"/>
  <c r="B62" i="12"/>
  <c r="A60" i="12"/>
  <c r="B64" i="17"/>
  <c r="A64" i="17" s="1"/>
  <c r="A62" i="17"/>
  <c r="B65" i="17"/>
  <c r="A65" i="17" s="1"/>
  <c r="A63" i="17"/>
  <c r="B59" i="14"/>
  <c r="B61" i="14" s="1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H6" i="12"/>
  <c r="H5" i="12"/>
  <c r="H4" i="12"/>
  <c r="H4" i="10"/>
  <c r="G4" i="10"/>
  <c r="AB47" i="9"/>
  <c r="AA47" i="9"/>
  <c r="AB46" i="9"/>
  <c r="AA46" i="9"/>
  <c r="AB45" i="9"/>
  <c r="AA45" i="9"/>
  <c r="AB44" i="9"/>
  <c r="AA44" i="9"/>
  <c r="AB43" i="9"/>
  <c r="AA43" i="9"/>
  <c r="AB42" i="9"/>
  <c r="AA42" i="9"/>
  <c r="AB41" i="9"/>
  <c r="AA41" i="9"/>
  <c r="AB40" i="9"/>
  <c r="AA40" i="9"/>
  <c r="AB39" i="9"/>
  <c r="AA39" i="9"/>
  <c r="AB38" i="9"/>
  <c r="AA38" i="9"/>
  <c r="AB37" i="9"/>
  <c r="AA37" i="9"/>
  <c r="AB36" i="9"/>
  <c r="AA36" i="9"/>
  <c r="AB35" i="9"/>
  <c r="AA35" i="9"/>
  <c r="AB34" i="9"/>
  <c r="AA34" i="9"/>
  <c r="AB33" i="9"/>
  <c r="AA33" i="9"/>
  <c r="AB32" i="9"/>
  <c r="AA32" i="9"/>
  <c r="AB31" i="9"/>
  <c r="AA31" i="9"/>
  <c r="AB30" i="9"/>
  <c r="AA30" i="9"/>
  <c r="AB29" i="9"/>
  <c r="AA29" i="9"/>
  <c r="AB28" i="9"/>
  <c r="AA28" i="9"/>
  <c r="AB27" i="9"/>
  <c r="AA27" i="9"/>
  <c r="AB26" i="9"/>
  <c r="AA26" i="9"/>
  <c r="AB25" i="9"/>
  <c r="AA25" i="9"/>
  <c r="AB24" i="9"/>
  <c r="AA24" i="9"/>
  <c r="AB23" i="9"/>
  <c r="AA23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B13" i="9"/>
  <c r="AA13" i="9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A5" i="9"/>
  <c r="AB4" i="9"/>
  <c r="AA4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AG4" i="17"/>
  <c r="AF4" i="17"/>
  <c r="H4" i="17"/>
  <c r="G4" i="17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AP1" i="2"/>
  <c r="A4" i="2"/>
  <c r="AM4" i="2"/>
  <c r="AA4" i="2"/>
  <c r="AB4" i="2"/>
  <c r="AF4" i="2"/>
  <c r="AG4" i="2"/>
  <c r="AK4" i="2"/>
  <c r="AL4" i="2"/>
  <c r="AR4" i="2"/>
  <c r="B5" i="2"/>
  <c r="A5" i="2" s="1"/>
  <c r="AM5" i="2"/>
  <c r="AK5" i="2"/>
  <c r="AL5" i="2"/>
  <c r="AR5" i="2"/>
  <c r="B6" i="2"/>
  <c r="A6" i="2" s="1"/>
  <c r="AM6" i="2"/>
  <c r="AK6" i="2"/>
  <c r="AL6" i="2"/>
  <c r="AR6" i="2"/>
  <c r="AM7" i="2"/>
  <c r="AK7" i="2"/>
  <c r="AL7" i="2"/>
  <c r="AR7" i="2"/>
  <c r="AM8" i="2"/>
  <c r="AK8" i="2"/>
  <c r="AL8" i="2"/>
  <c r="AR8" i="2"/>
  <c r="AM9" i="2"/>
  <c r="AK9" i="2"/>
  <c r="AL9" i="2"/>
  <c r="AR9" i="2"/>
  <c r="AM10" i="2"/>
  <c r="AK10" i="2"/>
  <c r="AL10" i="2"/>
  <c r="AR10" i="2"/>
  <c r="AM11" i="2"/>
  <c r="AK11" i="2"/>
  <c r="AL11" i="2"/>
  <c r="AR11" i="2"/>
  <c r="AM12" i="2"/>
  <c r="AK12" i="2"/>
  <c r="AL12" i="2"/>
  <c r="AR12" i="2"/>
  <c r="AM13" i="2"/>
  <c r="AK13" i="2"/>
  <c r="AL13" i="2"/>
  <c r="AR13" i="2"/>
  <c r="AM14" i="2"/>
  <c r="AK14" i="2"/>
  <c r="AL14" i="2"/>
  <c r="AR14" i="2"/>
  <c r="AM15" i="2"/>
  <c r="AK15" i="2"/>
  <c r="AL15" i="2"/>
  <c r="AR15" i="2"/>
  <c r="AM16" i="2"/>
  <c r="AK16" i="2"/>
  <c r="AL16" i="2"/>
  <c r="AR16" i="2"/>
  <c r="AM17" i="2"/>
  <c r="AK17" i="2"/>
  <c r="AL17" i="2"/>
  <c r="AR17" i="2"/>
  <c r="AM18" i="2"/>
  <c r="AK18" i="2"/>
  <c r="AL18" i="2"/>
  <c r="AR18" i="2"/>
  <c r="AM19" i="2"/>
  <c r="AK19" i="2"/>
  <c r="AL19" i="2"/>
  <c r="AR19" i="2"/>
  <c r="AM20" i="2"/>
  <c r="AK20" i="2"/>
  <c r="AL20" i="2"/>
  <c r="AR20" i="2"/>
  <c r="AM21" i="2"/>
  <c r="AK21" i="2"/>
  <c r="AL21" i="2"/>
  <c r="AR21" i="2"/>
  <c r="AM22" i="2"/>
  <c r="AK22" i="2"/>
  <c r="AL22" i="2"/>
  <c r="AR22" i="2"/>
  <c r="AM23" i="2"/>
  <c r="AK23" i="2"/>
  <c r="AL23" i="2"/>
  <c r="AR23" i="2"/>
  <c r="AM24" i="2"/>
  <c r="AK24" i="2"/>
  <c r="AL24" i="2"/>
  <c r="AM25" i="2"/>
  <c r="AK25" i="2"/>
  <c r="AL25" i="2"/>
  <c r="AM26" i="2"/>
  <c r="AK26" i="2"/>
  <c r="AL26" i="2"/>
  <c r="AM27" i="2"/>
  <c r="AK27" i="2"/>
  <c r="AL27" i="2"/>
  <c r="AM28" i="2"/>
  <c r="AK28" i="2"/>
  <c r="AL28" i="2"/>
  <c r="AM29" i="2"/>
  <c r="AK29" i="2"/>
  <c r="AL29" i="2"/>
  <c r="AR29" i="2"/>
  <c r="AM30" i="2"/>
  <c r="AK30" i="2"/>
  <c r="AL30" i="2"/>
  <c r="AM31" i="2"/>
  <c r="AK31" i="2"/>
  <c r="AL31" i="2"/>
  <c r="AR31" i="2"/>
  <c r="AM32" i="2"/>
  <c r="AK32" i="2"/>
  <c r="AL32" i="2"/>
  <c r="AR32" i="2"/>
  <c r="AM33" i="2"/>
  <c r="AK33" i="2"/>
  <c r="AL33" i="2"/>
  <c r="AR33" i="2"/>
  <c r="AM34" i="2"/>
  <c r="AK34" i="2"/>
  <c r="AL34" i="2"/>
  <c r="AR34" i="2"/>
  <c r="AM35" i="2"/>
  <c r="AK35" i="2"/>
  <c r="AL35" i="2"/>
  <c r="AR35" i="2"/>
  <c r="AM36" i="2"/>
  <c r="AK36" i="2"/>
  <c r="AL36" i="2"/>
  <c r="AR36" i="2"/>
  <c r="AM37" i="2"/>
  <c r="AK37" i="2"/>
  <c r="AL37" i="2"/>
  <c r="AR37" i="2"/>
  <c r="AM38" i="2"/>
  <c r="AK38" i="2"/>
  <c r="AL38" i="2"/>
  <c r="AR38" i="2"/>
  <c r="AM39" i="2"/>
  <c r="AK39" i="2"/>
  <c r="AL39" i="2"/>
  <c r="AR39" i="2"/>
  <c r="AM40" i="2"/>
  <c r="AK40" i="2"/>
  <c r="AL40" i="2"/>
  <c r="AR40" i="2"/>
  <c r="AM41" i="2"/>
  <c r="AK41" i="2"/>
  <c r="AL41" i="2"/>
  <c r="AR41" i="2"/>
  <c r="AM42" i="2"/>
  <c r="AK42" i="2"/>
  <c r="AL42" i="2"/>
  <c r="AR42" i="2"/>
  <c r="AM43" i="2"/>
  <c r="AK43" i="2"/>
  <c r="AL43" i="2"/>
  <c r="AM44" i="2"/>
  <c r="AK44" i="2"/>
  <c r="AL44" i="2"/>
  <c r="AR44" i="2"/>
  <c r="AM45" i="2"/>
  <c r="AK45" i="2"/>
  <c r="AL45" i="2"/>
  <c r="AR45" i="2"/>
  <c r="AM46" i="2"/>
  <c r="AK46" i="2"/>
  <c r="AL46" i="2"/>
  <c r="AR46" i="2"/>
  <c r="AM47" i="2"/>
  <c r="AK47" i="2"/>
  <c r="AL47" i="2"/>
  <c r="AR47" i="2"/>
  <c r="AM48" i="2"/>
  <c r="AK48" i="2"/>
  <c r="AL48" i="2"/>
  <c r="AR48" i="2"/>
  <c r="AM49" i="2"/>
  <c r="AK49" i="2"/>
  <c r="AL49" i="2"/>
  <c r="AR49" i="2"/>
  <c r="AM50" i="2"/>
  <c r="AK50" i="2"/>
  <c r="AL50" i="2"/>
  <c r="AR50" i="2"/>
  <c r="AM51" i="2"/>
  <c r="AK51" i="2"/>
  <c r="AL51" i="2"/>
  <c r="AR51" i="2"/>
  <c r="AM52" i="2"/>
  <c r="AK52" i="2"/>
  <c r="AL52" i="2"/>
  <c r="AR52" i="2"/>
  <c r="AM53" i="2"/>
  <c r="AK53" i="2"/>
  <c r="AL53" i="2"/>
  <c r="AR53" i="2"/>
  <c r="AM54" i="2"/>
  <c r="AK54" i="2"/>
  <c r="AL54" i="2"/>
  <c r="AR54" i="2"/>
  <c r="AM55" i="2"/>
  <c r="AK55" i="2"/>
  <c r="AL55" i="2"/>
  <c r="AR55" i="2"/>
  <c r="AM56" i="2"/>
  <c r="AK56" i="2"/>
  <c r="AL56" i="2"/>
  <c r="AR56" i="2"/>
  <c r="AM57" i="2"/>
  <c r="AK57" i="2"/>
  <c r="AL57" i="2"/>
  <c r="AR57" i="2"/>
  <c r="AM58" i="2"/>
  <c r="AK58" i="2"/>
  <c r="AL58" i="2"/>
  <c r="AR58" i="2"/>
  <c r="AM59" i="2"/>
  <c r="AK59" i="2"/>
  <c r="AL59" i="2"/>
  <c r="AR59" i="2"/>
  <c r="AM60" i="2"/>
  <c r="AK60" i="2"/>
  <c r="AL60" i="2"/>
  <c r="AR60" i="2"/>
  <c r="AM61" i="2"/>
  <c r="AK61" i="2"/>
  <c r="AL61" i="2"/>
  <c r="AR61" i="2"/>
  <c r="AM62" i="2"/>
  <c r="AK62" i="2"/>
  <c r="AL62" i="2"/>
  <c r="AR62" i="2"/>
  <c r="AM63" i="2"/>
  <c r="AK63" i="2"/>
  <c r="AL63" i="2"/>
  <c r="AR63" i="2"/>
  <c r="AM64" i="2"/>
  <c r="AK64" i="2"/>
  <c r="AL64" i="2"/>
  <c r="AR64" i="2"/>
  <c r="AM65" i="2"/>
  <c r="AK65" i="2"/>
  <c r="AL65" i="2"/>
  <c r="AR65" i="2"/>
  <c r="J66" i="2"/>
  <c r="B62" i="14" l="1"/>
  <c r="A60" i="14"/>
  <c r="B63" i="14"/>
  <c r="A61" i="14"/>
  <c r="B64" i="12"/>
  <c r="A64" i="12" s="1"/>
  <c r="A62" i="12"/>
  <c r="B65" i="12"/>
  <c r="A65" i="12" s="1"/>
  <c r="A63" i="12"/>
  <c r="B7" i="2"/>
  <c r="B8" i="2"/>
  <c r="A8" i="2" s="1"/>
  <c r="AO63" i="2"/>
  <c r="AO61" i="2"/>
  <c r="AN48" i="2"/>
  <c r="AN6" i="2"/>
  <c r="AN8" i="2"/>
  <c r="AN10" i="2"/>
  <c r="AN12" i="2"/>
  <c r="AN14" i="2"/>
  <c r="AN16" i="2"/>
  <c r="AN18" i="2"/>
  <c r="AN20" i="2"/>
  <c r="AN22" i="2"/>
  <c r="AN24" i="2"/>
  <c r="AN26" i="2"/>
  <c r="AN28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N64" i="2"/>
  <c r="AO65" i="2"/>
  <c r="AN62" i="2"/>
  <c r="AN60" i="2"/>
  <c r="AO64" i="2"/>
  <c r="AO62" i="2"/>
  <c r="AO60" i="2"/>
  <c r="AO58" i="2"/>
  <c r="AN58" i="2"/>
  <c r="AO59" i="2"/>
  <c r="AN65" i="2"/>
  <c r="AN63" i="2"/>
  <c r="AN61" i="2"/>
  <c r="AN59" i="2"/>
  <c r="AN56" i="2"/>
  <c r="AN54" i="2"/>
  <c r="AN52" i="2"/>
  <c r="AN50" i="2"/>
  <c r="AN57" i="2"/>
  <c r="AN55" i="2"/>
  <c r="AN53" i="2"/>
  <c r="AN51" i="2"/>
  <c r="AO56" i="2"/>
  <c r="AO54" i="2"/>
  <c r="AO52" i="2"/>
  <c r="AO50" i="2"/>
  <c r="AN46" i="2"/>
  <c r="AO57" i="2"/>
  <c r="AO55" i="2"/>
  <c r="AO53" i="2"/>
  <c r="AO51" i="2"/>
  <c r="AN49" i="2"/>
  <c r="AN47" i="2"/>
  <c r="AN45" i="2"/>
  <c r="AO48" i="2"/>
  <c r="AO46" i="2"/>
  <c r="AO44" i="2"/>
  <c r="AN44" i="2"/>
  <c r="AO49" i="2"/>
  <c r="AO47" i="2"/>
  <c r="AO45" i="2"/>
  <c r="AO29" i="2"/>
  <c r="AN29" i="2"/>
  <c r="AN36" i="2"/>
  <c r="AN38" i="2"/>
  <c r="AN40" i="2"/>
  <c r="AN42" i="2"/>
  <c r="AO36" i="2"/>
  <c r="AO38" i="2"/>
  <c r="AO40" i="2"/>
  <c r="AO42" i="2"/>
  <c r="AN37" i="2"/>
  <c r="AN39" i="2"/>
  <c r="AN41" i="2"/>
  <c r="AO37" i="2"/>
  <c r="AO39" i="2"/>
  <c r="AO41" i="2"/>
  <c r="AN30" i="2"/>
  <c r="AN32" i="2"/>
  <c r="AN34" i="2"/>
  <c r="AO30" i="2"/>
  <c r="AO32" i="2"/>
  <c r="AO34" i="2"/>
  <c r="AN31" i="2"/>
  <c r="AN33" i="2"/>
  <c r="AN35" i="2"/>
  <c r="AO31" i="2"/>
  <c r="AO33" i="2"/>
  <c r="AO35" i="2"/>
  <c r="AN4" i="2"/>
  <c r="AO4" i="2"/>
  <c r="AN43" i="2"/>
  <c r="AR43" i="2"/>
  <c r="AO43" i="2"/>
  <c r="AR28" i="2"/>
  <c r="AR30" i="2"/>
  <c r="AR26" i="2"/>
  <c r="AR25" i="2"/>
  <c r="AR24" i="2"/>
  <c r="AR27" i="2"/>
  <c r="G50" i="14"/>
  <c r="H50" i="14"/>
  <c r="G49" i="14"/>
  <c r="H49" i="14"/>
  <c r="G48" i="14"/>
  <c r="G46" i="14"/>
  <c r="G45" i="14"/>
  <c r="G44" i="14"/>
  <c r="G43" i="14"/>
  <c r="H42" i="14"/>
  <c r="H41" i="14"/>
  <c r="G40" i="14"/>
  <c r="H40" i="14"/>
  <c r="H38" i="14"/>
  <c r="G37" i="14"/>
  <c r="H37" i="14"/>
  <c r="G36" i="14"/>
  <c r="H36" i="14"/>
  <c r="H34" i="14"/>
  <c r="G33" i="14"/>
  <c r="H33" i="14"/>
  <c r="G32" i="14"/>
  <c r="G31" i="14"/>
  <c r="H30" i="14"/>
  <c r="AP50" i="2" l="1"/>
  <c r="AP64" i="2"/>
  <c r="B10" i="2"/>
  <c r="B12" i="2" s="1"/>
  <c r="AP59" i="2"/>
  <c r="AP61" i="2"/>
  <c r="AP31" i="2"/>
  <c r="B65" i="14"/>
  <c r="A65" i="14" s="1"/>
  <c r="A63" i="14"/>
  <c r="B64" i="14"/>
  <c r="A64" i="14" s="1"/>
  <c r="A62" i="14"/>
  <c r="AP63" i="2"/>
  <c r="AP27" i="2"/>
  <c r="AP15" i="2"/>
  <c r="AP7" i="2"/>
  <c r="B9" i="2"/>
  <c r="A7" i="2"/>
  <c r="AP48" i="2"/>
  <c r="AP11" i="2"/>
  <c r="AP60" i="2"/>
  <c r="AP4" i="2"/>
  <c r="AP57" i="2"/>
  <c r="AP55" i="2"/>
  <c r="AP53" i="2"/>
  <c r="AP21" i="2"/>
  <c r="AP13" i="2"/>
  <c r="AP5" i="2"/>
  <c r="AP22" i="2"/>
  <c r="AP14" i="2"/>
  <c r="AP6" i="2"/>
  <c r="AP44" i="2"/>
  <c r="AP51" i="2"/>
  <c r="AP19" i="2"/>
  <c r="AP28" i="2"/>
  <c r="AP20" i="2"/>
  <c r="AP12" i="2"/>
  <c r="AP25" i="2"/>
  <c r="AP17" i="2"/>
  <c r="AP9" i="2"/>
  <c r="AP26" i="2"/>
  <c r="AP18" i="2"/>
  <c r="AP10" i="2"/>
  <c r="AP42" i="2"/>
  <c r="AP23" i="2"/>
  <c r="AP24" i="2"/>
  <c r="AP16" i="2"/>
  <c r="AP8" i="2"/>
  <c r="AP46" i="2"/>
  <c r="AP39" i="2"/>
  <c r="AP37" i="2"/>
  <c r="AP52" i="2"/>
  <c r="AP29" i="2"/>
  <c r="AP62" i="2"/>
  <c r="AP65" i="2"/>
  <c r="AP58" i="2"/>
  <c r="AP56" i="2"/>
  <c r="AP54" i="2"/>
  <c r="AP45" i="2"/>
  <c r="AP47" i="2"/>
  <c r="AP49" i="2"/>
  <c r="AP36" i="2"/>
  <c r="AP43" i="2"/>
  <c r="AP38" i="2"/>
  <c r="AP40" i="2"/>
  <c r="AP41" i="2"/>
  <c r="AP33" i="2"/>
  <c r="AP34" i="2"/>
  <c r="AP32" i="2"/>
  <c r="AP30" i="2"/>
  <c r="AP35" i="2"/>
  <c r="AM66" i="2"/>
  <c r="AN66" i="2"/>
  <c r="A10" i="2"/>
  <c r="AO66" i="2"/>
  <c r="H51" i="14"/>
  <c r="H32" i="14"/>
  <c r="G35" i="14"/>
  <c r="G39" i="14"/>
  <c r="H45" i="14"/>
  <c r="H46" i="14"/>
  <c r="H47" i="14"/>
  <c r="H31" i="14"/>
  <c r="H43" i="14"/>
  <c r="G41" i="14"/>
  <c r="H44" i="14"/>
  <c r="H48" i="14"/>
  <c r="H35" i="14"/>
  <c r="H39" i="14"/>
  <c r="G30" i="14"/>
  <c r="G34" i="14"/>
  <c r="G38" i="14"/>
  <c r="G42" i="14"/>
  <c r="G47" i="14"/>
  <c r="G51" i="14"/>
  <c r="B11" i="2" l="1"/>
  <c r="A9" i="2"/>
  <c r="AP66" i="2"/>
  <c r="A12" i="2"/>
  <c r="B14" i="2"/>
  <c r="G43" i="13"/>
  <c r="G42" i="13"/>
  <c r="G41" i="13"/>
  <c r="H39" i="13"/>
  <c r="H38" i="13"/>
  <c r="H37" i="13"/>
  <c r="G36" i="13"/>
  <c r="G35" i="13"/>
  <c r="G34" i="13"/>
  <c r="G33" i="13"/>
  <c r="H31" i="13"/>
  <c r="G30" i="13"/>
  <c r="H30" i="13"/>
  <c r="B13" i="2" l="1"/>
  <c r="A11" i="2"/>
  <c r="A14" i="2"/>
  <c r="B16" i="2"/>
  <c r="G31" i="13"/>
  <c r="G39" i="13"/>
  <c r="H33" i="13"/>
  <c r="H34" i="13"/>
  <c r="H35" i="13"/>
  <c r="H41" i="13"/>
  <c r="H42" i="13"/>
  <c r="H43" i="13"/>
  <c r="G32" i="13"/>
  <c r="G37" i="13"/>
  <c r="G38" i="13"/>
  <c r="G40" i="13"/>
  <c r="H32" i="13"/>
  <c r="H36" i="13"/>
  <c r="H40" i="13"/>
  <c r="B15" i="2" l="1"/>
  <c r="A13" i="2"/>
  <c r="A16" i="2"/>
  <c r="B18" i="2"/>
  <c r="B17" i="2" l="1"/>
  <c r="A15" i="2"/>
  <c r="A18" i="2"/>
  <c r="B20" i="2"/>
  <c r="A17" i="2" l="1"/>
  <c r="B19" i="2"/>
  <c r="A20" i="2"/>
  <c r="B22" i="2"/>
  <c r="H42" i="11"/>
  <c r="H41" i="11"/>
  <c r="G40" i="11"/>
  <c r="G37" i="11"/>
  <c r="G36" i="11"/>
  <c r="H35" i="11"/>
  <c r="G33" i="11"/>
  <c r="H31" i="11"/>
  <c r="H30" i="11"/>
  <c r="A19" i="2" l="1"/>
  <c r="B21" i="2"/>
  <c r="A22" i="2"/>
  <c r="B24" i="2"/>
  <c r="H33" i="11"/>
  <c r="H34" i="11"/>
  <c r="H39" i="11"/>
  <c r="G32" i="11"/>
  <c r="H37" i="11"/>
  <c r="H38" i="11"/>
  <c r="G41" i="11"/>
  <c r="H32" i="11"/>
  <c r="G30" i="11"/>
  <c r="G34" i="11"/>
  <c r="G38" i="11"/>
  <c r="G42" i="11"/>
  <c r="H36" i="11"/>
  <c r="H40" i="11"/>
  <c r="G31" i="11"/>
  <c r="G35" i="11"/>
  <c r="G39" i="11"/>
  <c r="A21" i="2" l="1"/>
  <c r="B23" i="2"/>
  <c r="B26" i="2"/>
  <c r="A24" i="2"/>
  <c r="B25" i="2" l="1"/>
  <c r="A23" i="2"/>
  <c r="B28" i="2"/>
  <c r="B30" i="2" s="1"/>
  <c r="A26" i="2"/>
  <c r="A25" i="2" l="1"/>
  <c r="B27" i="2"/>
  <c r="A28" i="2"/>
  <c r="G41" i="9"/>
  <c r="G40" i="9"/>
  <c r="G37" i="9"/>
  <c r="G36" i="9"/>
  <c r="G33" i="9"/>
  <c r="G32" i="9"/>
  <c r="G31" i="9"/>
  <c r="H30" i="9"/>
  <c r="A27" i="2" l="1"/>
  <c r="B29" i="2"/>
  <c r="B32" i="2"/>
  <c r="A30" i="2"/>
  <c r="H35" i="9"/>
  <c r="H39" i="9"/>
  <c r="H42" i="9"/>
  <c r="H33" i="9"/>
  <c r="H34" i="9"/>
  <c r="H37" i="9"/>
  <c r="H38" i="9"/>
  <c r="H41" i="9"/>
  <c r="H31" i="9"/>
  <c r="G30" i="9"/>
  <c r="G34" i="9"/>
  <c r="G38" i="9"/>
  <c r="G42" i="9"/>
  <c r="H32" i="9"/>
  <c r="H36" i="9"/>
  <c r="H40" i="9"/>
  <c r="G35" i="9"/>
  <c r="G39" i="9"/>
  <c r="A29" i="2" l="1"/>
  <c r="B31" i="2"/>
  <c r="A32" i="2"/>
  <c r="B34" i="2"/>
  <c r="A31" i="2" l="1"/>
  <c r="B33" i="2"/>
  <c r="A34" i="2"/>
  <c r="B36" i="2"/>
  <c r="A33" i="2" l="1"/>
  <c r="B35" i="2"/>
  <c r="A36" i="2"/>
  <c r="B38" i="2"/>
  <c r="A35" i="2" l="1"/>
  <c r="B37" i="2"/>
  <c r="A38" i="2"/>
  <c r="B40" i="2"/>
  <c r="AP47" i="17" l="1"/>
  <c r="A37" i="2"/>
  <c r="B39" i="2"/>
  <c r="AP53" i="17"/>
  <c r="AP51" i="17"/>
  <c r="AP48" i="17"/>
  <c r="AP46" i="17"/>
  <c r="AP45" i="17"/>
  <c r="AP52" i="17"/>
  <c r="AP50" i="17"/>
  <c r="AP44" i="17"/>
  <c r="AP49" i="17"/>
  <c r="AP54" i="17"/>
  <c r="AP55" i="17"/>
  <c r="A40" i="2"/>
  <c r="B42" i="2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G48" i="7"/>
  <c r="G44" i="7"/>
  <c r="G40" i="7"/>
  <c r="G36" i="7"/>
  <c r="G32" i="7"/>
  <c r="H30" i="7"/>
  <c r="G30" i="7"/>
  <c r="H49" i="7"/>
  <c r="H48" i="7"/>
  <c r="G47" i="7"/>
  <c r="H47" i="7"/>
  <c r="H46" i="7"/>
  <c r="H45" i="7"/>
  <c r="H44" i="7"/>
  <c r="G43" i="7"/>
  <c r="H43" i="7"/>
  <c r="H42" i="7"/>
  <c r="H41" i="7"/>
  <c r="H40" i="7"/>
  <c r="G39" i="7"/>
  <c r="H39" i="7"/>
  <c r="H38" i="7"/>
  <c r="H37" i="7"/>
  <c r="H36" i="7"/>
  <c r="G35" i="7"/>
  <c r="H35" i="7"/>
  <c r="H34" i="7"/>
  <c r="H33" i="7"/>
  <c r="H32" i="7"/>
  <c r="G31" i="7"/>
  <c r="H31" i="7"/>
  <c r="A39" i="2" l="1"/>
  <c r="B41" i="2"/>
  <c r="A42" i="2"/>
  <c r="B44" i="2"/>
  <c r="G34" i="7"/>
  <c r="G38" i="7"/>
  <c r="G42" i="7"/>
  <c r="G33" i="7"/>
  <c r="G37" i="7"/>
  <c r="G41" i="7"/>
  <c r="G45" i="7"/>
  <c r="G49" i="7"/>
  <c r="G46" i="7"/>
  <c r="A41" i="2" l="1"/>
  <c r="B43" i="2"/>
  <c r="B46" i="2"/>
  <c r="A44" i="2"/>
  <c r="B45" i="2" l="1"/>
  <c r="A43" i="2"/>
  <c r="B48" i="2"/>
  <c r="A46" i="2"/>
  <c r="G53" i="4"/>
  <c r="G52" i="4"/>
  <c r="H50" i="4"/>
  <c r="H49" i="4"/>
  <c r="H48" i="4"/>
  <c r="H42" i="4"/>
  <c r="H41" i="4"/>
  <c r="H40" i="4"/>
  <c r="H34" i="4"/>
  <c r="H33" i="4"/>
  <c r="H32" i="4"/>
  <c r="G31" i="4"/>
  <c r="H30" i="4"/>
  <c r="A45" i="2" l="1"/>
  <c r="B47" i="2"/>
  <c r="B50" i="2"/>
  <c r="A48" i="2"/>
  <c r="H36" i="4"/>
  <c r="H37" i="4"/>
  <c r="H38" i="4"/>
  <c r="H52" i="4"/>
  <c r="H53" i="4"/>
  <c r="G32" i="4"/>
  <c r="G33" i="4"/>
  <c r="G48" i="4"/>
  <c r="G49" i="4"/>
  <c r="H51" i="4"/>
  <c r="H31" i="4"/>
  <c r="H39" i="4"/>
  <c r="G30" i="4"/>
  <c r="G50" i="4"/>
  <c r="H35" i="4"/>
  <c r="G51" i="4"/>
  <c r="A47" i="2" l="1"/>
  <c r="B49" i="2"/>
  <c r="B52" i="2"/>
  <c r="A50" i="2"/>
  <c r="A49" i="2" l="1"/>
  <c r="B51" i="2"/>
  <c r="B54" i="2"/>
  <c r="A52" i="2"/>
  <c r="A51" i="2" l="1"/>
  <c r="B53" i="2"/>
  <c r="B56" i="2"/>
  <c r="A54" i="2"/>
  <c r="Z70" i="3"/>
  <c r="Z69" i="3"/>
  <c r="Y70" i="3"/>
  <c r="Y69" i="3"/>
  <c r="Y71" i="3" s="1"/>
  <c r="V71" i="3"/>
  <c r="Z71" i="3" l="1"/>
  <c r="W71" i="3"/>
  <c r="X71" i="3"/>
  <c r="A53" i="2"/>
  <c r="B55" i="2"/>
  <c r="B58" i="2"/>
  <c r="A56" i="2"/>
  <c r="A55" i="2" l="1"/>
  <c r="B57" i="2"/>
  <c r="B60" i="2"/>
  <c r="A58" i="2"/>
  <c r="A57" i="2" l="1"/>
  <c r="B59" i="2"/>
  <c r="B62" i="2"/>
  <c r="A60" i="2"/>
  <c r="A59" i="2" l="1"/>
  <c r="B61" i="2"/>
  <c r="B64" i="2"/>
  <c r="A64" i="2" s="1"/>
  <c r="A62" i="2"/>
  <c r="A61" i="2" l="1"/>
  <c r="B63" i="2"/>
  <c r="AP42" i="17"/>
  <c r="AP43" i="17"/>
  <c r="A63" i="2" l="1"/>
  <c r="B65" i="2"/>
  <c r="A65" i="2" s="1"/>
  <c r="AP41" i="17"/>
  <c r="AP40" i="17"/>
  <c r="AP38" i="17"/>
  <c r="AP39" i="17"/>
  <c r="T65" i="9"/>
  <c r="S65" i="9"/>
  <c r="R65" i="9"/>
  <c r="AM65" i="9" s="1"/>
  <c r="T64" i="9"/>
  <c r="S64" i="9"/>
  <c r="R64" i="9"/>
  <c r="AM64" i="9" s="1"/>
  <c r="T63" i="9"/>
  <c r="S63" i="9"/>
  <c r="R63" i="9"/>
  <c r="AM63" i="9" s="1"/>
  <c r="T62" i="9"/>
  <c r="S62" i="9"/>
  <c r="R62" i="9"/>
  <c r="AM62" i="9" s="1"/>
  <c r="T61" i="9"/>
  <c r="S61" i="9"/>
  <c r="R61" i="9"/>
  <c r="AM61" i="9" s="1"/>
  <c r="T60" i="9"/>
  <c r="S60" i="9"/>
  <c r="R60" i="9"/>
  <c r="AM60" i="9" s="1"/>
  <c r="T59" i="9"/>
  <c r="S59" i="9"/>
  <c r="R59" i="9"/>
  <c r="AM59" i="9" s="1"/>
  <c r="T58" i="9"/>
  <c r="S58" i="9"/>
  <c r="R58" i="9"/>
  <c r="AM58" i="9" s="1"/>
  <c r="T57" i="9"/>
  <c r="S57" i="9"/>
  <c r="R57" i="9"/>
  <c r="AM57" i="9" s="1"/>
  <c r="T56" i="9"/>
  <c r="S56" i="9"/>
  <c r="R56" i="9"/>
  <c r="AM56" i="9" s="1"/>
  <c r="T55" i="9"/>
  <c r="S55" i="9"/>
  <c r="R55" i="9"/>
  <c r="AM55" i="9" s="1"/>
  <c r="T54" i="9"/>
  <c r="S54" i="9"/>
  <c r="R54" i="9"/>
  <c r="AM54" i="9" s="1"/>
  <c r="G55" i="9" s="1"/>
  <c r="T53" i="9"/>
  <c r="S53" i="9"/>
  <c r="R53" i="9"/>
  <c r="AM53" i="9" s="1"/>
  <c r="G54" i="9" s="1"/>
  <c r="T52" i="9"/>
  <c r="S52" i="9"/>
  <c r="R52" i="9"/>
  <c r="AM52" i="9" s="1"/>
  <c r="G53" i="9" s="1"/>
  <c r="T51" i="9"/>
  <c r="S51" i="9"/>
  <c r="R51" i="9"/>
  <c r="AM51" i="9" s="1"/>
  <c r="G52" i="9" s="1"/>
  <c r="T50" i="9"/>
  <c r="S50" i="9"/>
  <c r="R50" i="9"/>
  <c r="AM50" i="9" s="1"/>
  <c r="G51" i="9" s="1"/>
  <c r="T49" i="9"/>
  <c r="S49" i="9"/>
  <c r="R49" i="9"/>
  <c r="AM49" i="9" s="1"/>
  <c r="G50" i="9" s="1"/>
  <c r="T48" i="9"/>
  <c r="S48" i="9"/>
  <c r="R48" i="9"/>
  <c r="AM48" i="9" s="1"/>
  <c r="G49" i="9" s="1"/>
  <c r="T47" i="9"/>
  <c r="S47" i="9"/>
  <c r="R47" i="9"/>
  <c r="AM47" i="9" s="1"/>
  <c r="G48" i="9" s="1"/>
  <c r="T46" i="9"/>
  <c r="S46" i="9"/>
  <c r="R46" i="9"/>
  <c r="AM46" i="9" s="1"/>
  <c r="G47" i="9" s="1"/>
  <c r="T45" i="9"/>
  <c r="S45" i="9"/>
  <c r="R45" i="9"/>
  <c r="AM45" i="9" s="1"/>
  <c r="G46" i="9" s="1"/>
  <c r="T44" i="9"/>
  <c r="S44" i="9"/>
  <c r="R44" i="9"/>
  <c r="AM44" i="9" s="1"/>
  <c r="G45" i="9" s="1"/>
  <c r="T43" i="9"/>
  <c r="S43" i="9"/>
  <c r="R43" i="9"/>
  <c r="AM43" i="9" s="1"/>
  <c r="G44" i="9" s="1"/>
  <c r="T42" i="9"/>
  <c r="S42" i="9"/>
  <c r="R42" i="9"/>
  <c r="AM42" i="9" s="1"/>
  <c r="G43" i="9" s="1"/>
  <c r="T41" i="9"/>
  <c r="S41" i="9"/>
  <c r="R41" i="9"/>
  <c r="AM41" i="9" s="1"/>
  <c r="T40" i="9"/>
  <c r="S40" i="9"/>
  <c r="R40" i="9"/>
  <c r="AM40" i="9" s="1"/>
  <c r="T39" i="9"/>
  <c r="S39" i="9"/>
  <c r="R39" i="9"/>
  <c r="AM39" i="9" s="1"/>
  <c r="T38" i="9"/>
  <c r="S38" i="9"/>
  <c r="R38" i="9"/>
  <c r="AM38" i="9" s="1"/>
  <c r="T37" i="9"/>
  <c r="S37" i="9"/>
  <c r="R37" i="9"/>
  <c r="AM37" i="9" s="1"/>
  <c r="T36" i="9"/>
  <c r="S36" i="9"/>
  <c r="R36" i="9"/>
  <c r="AM36" i="9" s="1"/>
  <c r="T35" i="9"/>
  <c r="S35" i="9"/>
  <c r="R35" i="9"/>
  <c r="AM35" i="9" s="1"/>
  <c r="T34" i="9"/>
  <c r="S34" i="9"/>
  <c r="R34" i="9"/>
  <c r="AM34" i="9" s="1"/>
  <c r="T33" i="9"/>
  <c r="S33" i="9"/>
  <c r="R33" i="9"/>
  <c r="AM33" i="9" s="1"/>
  <c r="T32" i="9"/>
  <c r="S32" i="9"/>
  <c r="R32" i="9"/>
  <c r="AM32" i="9" s="1"/>
  <c r="T31" i="9"/>
  <c r="S31" i="9"/>
  <c r="R31" i="9"/>
  <c r="AM31" i="9" s="1"/>
  <c r="T30" i="9"/>
  <c r="S30" i="9"/>
  <c r="R30" i="9"/>
  <c r="AM30" i="9" s="1"/>
  <c r="T29" i="9"/>
  <c r="S29" i="9"/>
  <c r="R29" i="9"/>
  <c r="AM29" i="9" s="1"/>
  <c r="T28" i="9"/>
  <c r="S28" i="9"/>
  <c r="R28" i="9"/>
  <c r="AM28" i="9" s="1"/>
  <c r="T27" i="9"/>
  <c r="S27" i="9"/>
  <c r="R27" i="9"/>
  <c r="AM27" i="9" s="1"/>
  <c r="T26" i="9"/>
  <c r="S26" i="9"/>
  <c r="R26" i="9"/>
  <c r="AM26" i="9" s="1"/>
  <c r="T25" i="9"/>
  <c r="S25" i="9"/>
  <c r="R25" i="9"/>
  <c r="AM25" i="9" s="1"/>
  <c r="T24" i="9"/>
  <c r="S24" i="9"/>
  <c r="R24" i="9"/>
  <c r="AM24" i="9" s="1"/>
  <c r="T23" i="9"/>
  <c r="S23" i="9"/>
  <c r="R23" i="9"/>
  <c r="AM23" i="9" s="1"/>
  <c r="T22" i="9"/>
  <c r="S22" i="9"/>
  <c r="R22" i="9"/>
  <c r="AM22" i="9" s="1"/>
  <c r="T21" i="9"/>
  <c r="S21" i="9"/>
  <c r="R21" i="9"/>
  <c r="AM21" i="9" s="1"/>
  <c r="T20" i="9"/>
  <c r="S20" i="9"/>
  <c r="R20" i="9"/>
  <c r="AM20" i="9" s="1"/>
  <c r="T19" i="9"/>
  <c r="S19" i="9"/>
  <c r="R19" i="9"/>
  <c r="AM19" i="9" s="1"/>
  <c r="T18" i="9"/>
  <c r="S18" i="9"/>
  <c r="R18" i="9"/>
  <c r="AM18" i="9" s="1"/>
  <c r="T17" i="9"/>
  <c r="S17" i="9"/>
  <c r="R17" i="9"/>
  <c r="AM17" i="9" s="1"/>
  <c r="T16" i="9"/>
  <c r="S16" i="9"/>
  <c r="R16" i="9"/>
  <c r="AM16" i="9" s="1"/>
  <c r="T15" i="9"/>
  <c r="S15" i="9"/>
  <c r="R15" i="9"/>
  <c r="AM15" i="9" s="1"/>
  <c r="T14" i="9"/>
  <c r="S14" i="9"/>
  <c r="R14" i="9"/>
  <c r="AM14" i="9" s="1"/>
  <c r="T13" i="9"/>
  <c r="S13" i="9"/>
  <c r="R13" i="9"/>
  <c r="AM13" i="9" s="1"/>
  <c r="T12" i="9"/>
  <c r="S12" i="9"/>
  <c r="R12" i="9"/>
  <c r="AM12" i="9" s="1"/>
  <c r="T11" i="9"/>
  <c r="S11" i="9"/>
  <c r="R11" i="9"/>
  <c r="AM11" i="9" s="1"/>
  <c r="T10" i="9"/>
  <c r="S10" i="9"/>
  <c r="R10" i="9"/>
  <c r="AM10" i="9" s="1"/>
  <c r="T9" i="9"/>
  <c r="S9" i="9"/>
  <c r="R9" i="9"/>
  <c r="AM9" i="9" s="1"/>
  <c r="T8" i="9"/>
  <c r="S8" i="9"/>
  <c r="R8" i="9"/>
  <c r="AM8" i="9" s="1"/>
  <c r="T7" i="9"/>
  <c r="S7" i="9"/>
  <c r="R7" i="9"/>
  <c r="AM7" i="9" s="1"/>
  <c r="T6" i="9"/>
  <c r="S6" i="9"/>
  <c r="R6" i="9"/>
  <c r="AM6" i="9" s="1"/>
  <c r="T5" i="9"/>
  <c r="S5" i="9"/>
  <c r="R5" i="9"/>
  <c r="AM5" i="9" s="1"/>
  <c r="AB65" i="9"/>
  <c r="AA65" i="9"/>
  <c r="AB64" i="9"/>
  <c r="AA64" i="9"/>
  <c r="AB63" i="9"/>
  <c r="AA63" i="9"/>
  <c r="AB62" i="9"/>
  <c r="AA62" i="9"/>
  <c r="AB61" i="9"/>
  <c r="AA61" i="9"/>
  <c r="AB60" i="9"/>
  <c r="AA60" i="9"/>
  <c r="AB59" i="9"/>
  <c r="AA59" i="9"/>
  <c r="AB58" i="9"/>
  <c r="AA58" i="9"/>
  <c r="AB57" i="9"/>
  <c r="AA57" i="9"/>
  <c r="AB56" i="9"/>
  <c r="AA56" i="9"/>
  <c r="AB55" i="9"/>
  <c r="AA55" i="9"/>
  <c r="AB54" i="9"/>
  <c r="AA54" i="9"/>
  <c r="AB53" i="9"/>
  <c r="AA53" i="9"/>
  <c r="AB52" i="9"/>
  <c r="AA52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M29" i="12"/>
  <c r="H28" i="14"/>
  <c r="G27" i="14"/>
  <c r="H27" i="14"/>
  <c r="H25" i="14"/>
  <c r="G23" i="14"/>
  <c r="G22" i="14"/>
  <c r="H20" i="14"/>
  <c r="H19" i="14"/>
  <c r="G18" i="14"/>
  <c r="H18" i="14"/>
  <c r="G16" i="14"/>
  <c r="H16" i="14"/>
  <c r="AT35" i="9" l="1"/>
  <c r="AT25" i="9"/>
  <c r="AT39" i="9"/>
  <c r="AT41" i="9"/>
  <c r="AT55" i="9"/>
  <c r="AT61" i="9"/>
  <c r="G20" i="14"/>
  <c r="H21" i="14"/>
  <c r="H23" i="14"/>
  <c r="H24" i="14"/>
  <c r="G17" i="14"/>
  <c r="G19" i="14"/>
  <c r="G26" i="14"/>
  <c r="H29" i="14"/>
  <c r="H17" i="14"/>
  <c r="G24" i="14"/>
  <c r="G28" i="14"/>
  <c r="H22" i="14"/>
  <c r="H26" i="14"/>
  <c r="G21" i="14"/>
  <c r="G25" i="14"/>
  <c r="G29" i="14"/>
  <c r="H29" i="13" l="1"/>
  <c r="H28" i="13"/>
  <c r="H27" i="13"/>
  <c r="G25" i="13"/>
  <c r="H25" i="13"/>
  <c r="H24" i="13"/>
  <c r="G23" i="13"/>
  <c r="G22" i="13"/>
  <c r="H21" i="13"/>
  <c r="G19" i="13"/>
  <c r="G17" i="13"/>
  <c r="H17" i="13"/>
  <c r="H16" i="13"/>
  <c r="H20" i="13" l="1"/>
  <c r="G21" i="13"/>
  <c r="H23" i="13"/>
  <c r="G26" i="13"/>
  <c r="H19" i="13"/>
  <c r="G18" i="13"/>
  <c r="G27" i="13"/>
  <c r="G29" i="13"/>
  <c r="G16" i="13"/>
  <c r="G20" i="13"/>
  <c r="G24" i="13"/>
  <c r="G28" i="13"/>
  <c r="H26" i="13"/>
  <c r="H18" i="13"/>
  <c r="H22" i="13"/>
  <c r="H29" i="11" l="1"/>
  <c r="G28" i="11"/>
  <c r="H28" i="11"/>
  <c r="G27" i="11"/>
  <c r="H27" i="11"/>
  <c r="G26" i="11"/>
  <c r="G24" i="11"/>
  <c r="G23" i="11"/>
  <c r="G22" i="11"/>
  <c r="H21" i="11"/>
  <c r="G20" i="11"/>
  <c r="H20" i="11"/>
  <c r="G19" i="11"/>
  <c r="H19" i="11"/>
  <c r="G18" i="11"/>
  <c r="G16" i="11"/>
  <c r="H16" i="11"/>
  <c r="H17" i="11" l="1"/>
  <c r="H23" i="11"/>
  <c r="H24" i="11"/>
  <c r="H25" i="11"/>
  <c r="H18" i="11"/>
  <c r="H22" i="11"/>
  <c r="H26" i="11"/>
  <c r="G17" i="11"/>
  <c r="G21" i="11"/>
  <c r="G25" i="11"/>
  <c r="G29" i="11"/>
  <c r="AS29" i="10" l="1"/>
  <c r="G16" i="8" l="1"/>
  <c r="H16" i="8"/>
  <c r="AP32" i="17" l="1"/>
  <c r="AP34" i="17"/>
  <c r="AP35" i="17"/>
  <c r="AP31" i="17"/>
  <c r="AP36" i="17"/>
  <c r="AP37" i="17"/>
  <c r="AP33" i="17"/>
  <c r="AM30" i="4"/>
  <c r="AM31" i="4"/>
  <c r="AM32" i="4"/>
  <c r="AM33" i="4"/>
  <c r="AM34" i="4"/>
  <c r="AM35" i="4"/>
  <c r="AP30" i="17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G29" i="13" l="1"/>
  <c r="R29" i="13"/>
  <c r="T29" i="13"/>
  <c r="AB29" i="13" l="1"/>
  <c r="G29" i="4" l="1"/>
  <c r="G27" i="4"/>
  <c r="G26" i="4"/>
  <c r="H24" i="4"/>
  <c r="H23" i="4"/>
  <c r="H22" i="4"/>
  <c r="G21" i="4"/>
  <c r="G19" i="4"/>
  <c r="G18" i="4"/>
  <c r="H16" i="4"/>
  <c r="H18" i="4" l="1"/>
  <c r="H19" i="4"/>
  <c r="H20" i="4"/>
  <c r="H26" i="4"/>
  <c r="H27" i="4"/>
  <c r="H28" i="4"/>
  <c r="G17" i="4"/>
  <c r="G22" i="4"/>
  <c r="G23" i="4"/>
  <c r="G25" i="4"/>
  <c r="H21" i="4"/>
  <c r="H25" i="4"/>
  <c r="H29" i="4"/>
  <c r="G16" i="4"/>
  <c r="G20" i="4"/>
  <c r="G24" i="4"/>
  <c r="G28" i="4"/>
  <c r="H17" i="4"/>
  <c r="A61" i="17" l="1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L5" i="17"/>
  <c r="AK5" i="17"/>
  <c r="AM5" i="17"/>
  <c r="A5" i="17"/>
  <c r="AR4" i="17"/>
  <c r="AL4" i="17"/>
  <c r="AK4" i="17"/>
  <c r="T4" i="17"/>
  <c r="S4" i="17"/>
  <c r="R4" i="17"/>
  <c r="AM4" i="17" s="1"/>
  <c r="A4" i="17"/>
  <c r="AM66" i="17" l="1"/>
  <c r="AO4" i="17"/>
  <c r="AN4" i="17"/>
  <c r="AO5" i="17"/>
  <c r="AN5" i="17"/>
  <c r="AN66" i="17" l="1"/>
  <c r="AO66" i="17"/>
  <c r="J17" i="1" s="1"/>
  <c r="AP4" i="17"/>
  <c r="AP6" i="17"/>
  <c r="AP10" i="17"/>
  <c r="AP12" i="17"/>
  <c r="AQ23" i="17" s="1"/>
  <c r="AP8" i="17"/>
  <c r="AP15" i="17"/>
  <c r="AP14" i="17"/>
  <c r="AP13" i="17"/>
  <c r="AP17" i="17"/>
  <c r="AP16" i="17"/>
  <c r="AP11" i="17"/>
  <c r="AQ20" i="17"/>
  <c r="AP5" i="17"/>
  <c r="AP7" i="17"/>
  <c r="AP9" i="17"/>
  <c r="AP23" i="17"/>
  <c r="H17" i="1"/>
  <c r="AP24" i="17"/>
  <c r="AP28" i="17"/>
  <c r="AP19" i="17"/>
  <c r="AP22" i="17"/>
  <c r="AP18" i="17"/>
  <c r="AP27" i="17"/>
  <c r="AP29" i="17"/>
  <c r="AP26" i="17"/>
  <c r="AP25" i="17"/>
  <c r="AQ4" i="17" l="1"/>
  <c r="AQ12" i="17"/>
  <c r="AQ29" i="17"/>
  <c r="AQ6" i="17"/>
  <c r="AQ18" i="17"/>
  <c r="AQ28" i="17"/>
  <c r="AQ22" i="17"/>
  <c r="AQ25" i="17"/>
  <c r="AP21" i="17"/>
  <c r="AQ21" i="17"/>
  <c r="AQ62" i="17"/>
  <c r="AQ65" i="17"/>
  <c r="AQ64" i="17"/>
  <c r="AQ63" i="17"/>
  <c r="AQ58" i="17"/>
  <c r="AQ61" i="17"/>
  <c r="AQ56" i="17"/>
  <c r="AQ59" i="17"/>
  <c r="AQ57" i="17"/>
  <c r="AQ60" i="17"/>
  <c r="AQ54" i="17"/>
  <c r="AQ52" i="17"/>
  <c r="AQ48" i="17"/>
  <c r="AQ55" i="17"/>
  <c r="AQ45" i="17"/>
  <c r="AQ51" i="17"/>
  <c r="AQ44" i="17"/>
  <c r="AQ49" i="17"/>
  <c r="AQ50" i="17"/>
  <c r="AQ47" i="17"/>
  <c r="AQ46" i="17"/>
  <c r="AQ53" i="17"/>
  <c r="AQ42" i="17"/>
  <c r="AQ43" i="17"/>
  <c r="AQ38" i="17"/>
  <c r="AQ40" i="17"/>
  <c r="AQ39" i="17"/>
  <c r="AQ41" i="17"/>
  <c r="AQ34" i="17"/>
  <c r="AQ35" i="17"/>
  <c r="AQ31" i="17"/>
  <c r="AQ37" i="17"/>
  <c r="AQ36" i="17"/>
  <c r="AQ33" i="17"/>
  <c r="AQ32" i="17"/>
  <c r="AQ30" i="17"/>
  <c r="AQ10" i="17"/>
  <c r="AQ16" i="17"/>
  <c r="AQ14" i="17"/>
  <c r="AQ11" i="17"/>
  <c r="AQ19" i="17"/>
  <c r="AQ5" i="17"/>
  <c r="AQ8" i="17"/>
  <c r="AQ7" i="17"/>
  <c r="AQ17" i="17"/>
  <c r="AQ24" i="17"/>
  <c r="AQ27" i="17"/>
  <c r="AQ13" i="17"/>
  <c r="AQ9" i="17"/>
  <c r="AQ15" i="17"/>
  <c r="AQ26" i="17"/>
  <c r="I17" i="1"/>
  <c r="M17" i="1" s="1"/>
  <c r="AP20" i="17"/>
  <c r="G15" i="14"/>
  <c r="H15" i="14"/>
  <c r="H14" i="14"/>
  <c r="H13" i="14"/>
  <c r="AB59" i="14"/>
  <c r="AA59" i="14"/>
  <c r="AB58" i="14"/>
  <c r="AA58" i="14"/>
  <c r="AB57" i="14"/>
  <c r="AA57" i="14"/>
  <c r="AB56" i="14"/>
  <c r="AA56" i="14"/>
  <c r="AB55" i="14"/>
  <c r="AA55" i="14"/>
  <c r="AB54" i="14"/>
  <c r="AA54" i="14"/>
  <c r="AB53" i="14"/>
  <c r="AA53" i="14"/>
  <c r="AB52" i="14"/>
  <c r="AA52" i="14"/>
  <c r="AB51" i="14"/>
  <c r="AA51" i="14"/>
  <c r="AB50" i="14"/>
  <c r="AA50" i="14"/>
  <c r="AB49" i="14"/>
  <c r="AA49" i="14"/>
  <c r="AB48" i="14"/>
  <c r="AA48" i="14"/>
  <c r="AB47" i="14"/>
  <c r="AA47" i="14"/>
  <c r="AB46" i="14"/>
  <c r="AA46" i="14"/>
  <c r="AB45" i="14"/>
  <c r="AA45" i="14"/>
  <c r="AB44" i="14"/>
  <c r="AA44" i="14"/>
  <c r="AB43" i="14"/>
  <c r="AA43" i="14"/>
  <c r="AB42" i="14"/>
  <c r="AA42" i="14"/>
  <c r="AB41" i="14"/>
  <c r="AA41" i="14"/>
  <c r="AB40" i="14"/>
  <c r="AA40" i="14"/>
  <c r="AB39" i="14"/>
  <c r="AA39" i="14"/>
  <c r="AB38" i="14"/>
  <c r="AA38" i="14"/>
  <c r="AB37" i="14"/>
  <c r="AA37" i="14"/>
  <c r="AB36" i="14"/>
  <c r="AA36" i="14"/>
  <c r="AB35" i="14"/>
  <c r="AA35" i="14"/>
  <c r="AA34" i="14"/>
  <c r="AB33" i="14"/>
  <c r="AA33" i="14"/>
  <c r="AB32" i="14"/>
  <c r="AA32" i="14"/>
  <c r="AB31" i="14"/>
  <c r="AA31" i="14"/>
  <c r="AB30" i="14"/>
  <c r="AA30" i="14"/>
  <c r="AB29" i="14"/>
  <c r="AA29" i="14"/>
  <c r="AB28" i="14"/>
  <c r="AA28" i="14"/>
  <c r="AB27" i="14"/>
  <c r="AA27" i="14"/>
  <c r="AB26" i="14"/>
  <c r="AA26" i="14"/>
  <c r="AB25" i="14"/>
  <c r="AA25" i="14"/>
  <c r="AB24" i="14"/>
  <c r="AA24" i="14"/>
  <c r="AB23" i="14"/>
  <c r="AA23" i="14"/>
  <c r="AB22" i="14"/>
  <c r="AA22" i="14"/>
  <c r="AB21" i="14"/>
  <c r="AA21" i="14"/>
  <c r="AB20" i="14"/>
  <c r="AA20" i="14"/>
  <c r="AB19" i="14"/>
  <c r="AA19" i="14"/>
  <c r="AB18" i="14"/>
  <c r="AA18" i="14"/>
  <c r="AB17" i="14"/>
  <c r="AA17" i="14"/>
  <c r="AB16" i="14"/>
  <c r="AA16" i="14"/>
  <c r="AB15" i="14"/>
  <c r="AA15" i="14"/>
  <c r="AB14" i="14"/>
  <c r="AA14" i="14"/>
  <c r="AB13" i="14"/>
  <c r="AA13" i="14"/>
  <c r="AB12" i="14"/>
  <c r="AA12" i="14"/>
  <c r="AB11" i="14"/>
  <c r="AA11" i="14"/>
  <c r="AB10" i="14"/>
  <c r="AA10" i="14"/>
  <c r="AB9" i="14"/>
  <c r="AA9" i="14"/>
  <c r="AB8" i="14"/>
  <c r="AA8" i="14"/>
  <c r="AB7" i="14"/>
  <c r="AA7" i="14"/>
  <c r="AB6" i="14"/>
  <c r="AA6" i="14"/>
  <c r="AB5" i="14"/>
  <c r="AA5" i="14"/>
  <c r="T59" i="14"/>
  <c r="S59" i="14"/>
  <c r="R59" i="14"/>
  <c r="T58" i="14"/>
  <c r="S58" i="14"/>
  <c r="R58" i="14"/>
  <c r="T57" i="14"/>
  <c r="S57" i="14"/>
  <c r="R57" i="14"/>
  <c r="T56" i="14"/>
  <c r="S56" i="14"/>
  <c r="R56" i="14"/>
  <c r="T55" i="14"/>
  <c r="S55" i="14"/>
  <c r="R55" i="14"/>
  <c r="T54" i="14"/>
  <c r="S54" i="14"/>
  <c r="R54" i="14"/>
  <c r="T53" i="14"/>
  <c r="S53" i="14"/>
  <c r="R53" i="14"/>
  <c r="T52" i="14"/>
  <c r="S52" i="14"/>
  <c r="R52" i="14"/>
  <c r="T51" i="14"/>
  <c r="S51" i="14"/>
  <c r="R51" i="14"/>
  <c r="T50" i="14"/>
  <c r="S50" i="14"/>
  <c r="R50" i="14"/>
  <c r="T49" i="14"/>
  <c r="S49" i="14"/>
  <c r="R49" i="14"/>
  <c r="T48" i="14"/>
  <c r="S48" i="14"/>
  <c r="R48" i="14"/>
  <c r="T47" i="14"/>
  <c r="S47" i="14"/>
  <c r="R47" i="14"/>
  <c r="T46" i="14"/>
  <c r="S46" i="14"/>
  <c r="R46" i="14"/>
  <c r="T45" i="14"/>
  <c r="S45" i="14"/>
  <c r="R45" i="14"/>
  <c r="T44" i="14"/>
  <c r="S44" i="14"/>
  <c r="R44" i="14"/>
  <c r="T43" i="14"/>
  <c r="S43" i="14"/>
  <c r="R43" i="14"/>
  <c r="T42" i="14"/>
  <c r="S42" i="14"/>
  <c r="R42" i="14"/>
  <c r="T41" i="14"/>
  <c r="S41" i="14"/>
  <c r="R41" i="14"/>
  <c r="T40" i="14"/>
  <c r="S40" i="14"/>
  <c r="R40" i="14"/>
  <c r="T39" i="14"/>
  <c r="S39" i="14"/>
  <c r="R39" i="14"/>
  <c r="T38" i="14"/>
  <c r="S38" i="14"/>
  <c r="R38" i="14"/>
  <c r="T37" i="14"/>
  <c r="S37" i="14"/>
  <c r="R37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T30" i="14"/>
  <c r="S30" i="14"/>
  <c r="R30" i="14"/>
  <c r="T29" i="14"/>
  <c r="S29" i="14"/>
  <c r="R29" i="14"/>
  <c r="AM29" i="14" s="1"/>
  <c r="T28" i="14"/>
  <c r="S28" i="14"/>
  <c r="R28" i="14"/>
  <c r="T27" i="14"/>
  <c r="S27" i="14"/>
  <c r="R27" i="14"/>
  <c r="T26" i="14"/>
  <c r="S26" i="14"/>
  <c r="R26" i="14"/>
  <c r="T25" i="14"/>
  <c r="S25" i="14"/>
  <c r="R25" i="14"/>
  <c r="T24" i="14"/>
  <c r="S24" i="14"/>
  <c r="R24" i="14"/>
  <c r="T23" i="14"/>
  <c r="S23" i="14"/>
  <c r="R23" i="14"/>
  <c r="T22" i="14"/>
  <c r="S22" i="14"/>
  <c r="R22" i="14"/>
  <c r="T21" i="14"/>
  <c r="S21" i="14"/>
  <c r="R21" i="14"/>
  <c r="T20" i="14"/>
  <c r="S20" i="14"/>
  <c r="R20" i="14"/>
  <c r="T19" i="14"/>
  <c r="S19" i="14"/>
  <c r="R19" i="14"/>
  <c r="T18" i="14"/>
  <c r="S18" i="14"/>
  <c r="R18" i="14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T6" i="14"/>
  <c r="S6" i="14"/>
  <c r="R6" i="14"/>
  <c r="T5" i="14"/>
  <c r="S5" i="14"/>
  <c r="R5" i="14"/>
  <c r="AB65" i="13"/>
  <c r="AA65" i="13"/>
  <c r="AB64" i="13"/>
  <c r="AA64" i="13"/>
  <c r="AB63" i="13"/>
  <c r="AA63" i="13"/>
  <c r="AB62" i="13"/>
  <c r="AA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A47" i="13"/>
  <c r="AB46" i="13"/>
  <c r="AA46" i="13"/>
  <c r="AB45" i="13"/>
  <c r="AA45" i="13"/>
  <c r="AB44" i="13"/>
  <c r="AA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A29" i="13"/>
  <c r="AB28" i="13"/>
  <c r="AA28" i="13"/>
  <c r="AB27" i="13"/>
  <c r="AA27" i="13"/>
  <c r="AB26" i="13"/>
  <c r="AA26" i="13"/>
  <c r="AB25" i="13"/>
  <c r="AA25" i="13"/>
  <c r="AB24" i="13"/>
  <c r="AA24" i="13"/>
  <c r="AB23" i="13"/>
  <c r="AA23" i="13"/>
  <c r="AB22" i="13"/>
  <c r="AA22" i="13"/>
  <c r="AB21" i="13"/>
  <c r="AA21" i="13"/>
  <c r="AB20" i="13"/>
  <c r="AA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A5" i="13"/>
  <c r="AB4" i="13"/>
  <c r="AA4" i="13"/>
  <c r="AG65" i="13"/>
  <c r="AF65" i="13"/>
  <c r="AG64" i="13"/>
  <c r="AF64" i="13"/>
  <c r="AG63" i="13"/>
  <c r="AF63" i="13"/>
  <c r="AG62" i="13"/>
  <c r="AF62" i="13"/>
  <c r="AG61" i="13"/>
  <c r="AF61" i="13"/>
  <c r="AG60" i="13"/>
  <c r="AF60" i="13"/>
  <c r="AG59" i="13"/>
  <c r="AF59" i="13"/>
  <c r="AG58" i="13"/>
  <c r="AF58" i="13"/>
  <c r="AG57" i="13"/>
  <c r="AF57" i="13"/>
  <c r="AG56" i="13"/>
  <c r="AF56" i="13"/>
  <c r="AG55" i="13"/>
  <c r="AF55" i="13"/>
  <c r="AG54" i="13"/>
  <c r="AF54" i="13"/>
  <c r="AG53" i="13"/>
  <c r="AF53" i="13"/>
  <c r="AG52" i="13"/>
  <c r="AF52" i="13"/>
  <c r="AG51" i="13"/>
  <c r="AF51" i="13"/>
  <c r="AG50" i="13"/>
  <c r="AF50" i="13"/>
  <c r="AG49" i="13"/>
  <c r="AF49" i="13"/>
  <c r="AG48" i="13"/>
  <c r="AF48" i="13"/>
  <c r="AG47" i="13"/>
  <c r="AF47" i="13"/>
  <c r="AG46" i="13"/>
  <c r="AF46" i="13"/>
  <c r="AG45" i="13"/>
  <c r="AF45" i="13"/>
  <c r="AG44" i="13"/>
  <c r="AF44" i="13"/>
  <c r="AG43" i="13"/>
  <c r="AF43" i="13"/>
  <c r="AG42" i="13"/>
  <c r="AF42" i="13"/>
  <c r="AG41" i="13"/>
  <c r="AF41" i="13"/>
  <c r="AG40" i="13"/>
  <c r="AF40" i="13"/>
  <c r="AG39" i="13"/>
  <c r="AF39" i="13"/>
  <c r="AG38" i="13"/>
  <c r="AF38" i="13"/>
  <c r="AG37" i="13"/>
  <c r="AF37" i="13"/>
  <c r="AG36" i="13"/>
  <c r="AF36" i="13"/>
  <c r="AG35" i="13"/>
  <c r="AF35" i="13"/>
  <c r="AG34" i="13"/>
  <c r="AF34" i="13"/>
  <c r="AG33" i="13"/>
  <c r="AF33" i="13"/>
  <c r="AG32" i="13"/>
  <c r="AF32" i="13"/>
  <c r="AG31" i="13"/>
  <c r="AF31" i="13"/>
  <c r="AG30" i="13"/>
  <c r="AF30" i="13"/>
  <c r="AF29" i="13"/>
  <c r="AG28" i="13"/>
  <c r="AF28" i="13"/>
  <c r="AG27" i="13"/>
  <c r="AF27" i="13"/>
  <c r="AG26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G19" i="13"/>
  <c r="AF19" i="13"/>
  <c r="AG18" i="13"/>
  <c r="AF18" i="13"/>
  <c r="AG17" i="13"/>
  <c r="AF17" i="13"/>
  <c r="AG16" i="13"/>
  <c r="AF16" i="13"/>
  <c r="AG15" i="13"/>
  <c r="AF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G5" i="13"/>
  <c r="AF5" i="13"/>
  <c r="G15" i="11"/>
  <c r="G13" i="11"/>
  <c r="G12" i="11"/>
  <c r="H10" i="11"/>
  <c r="H9" i="11"/>
  <c r="H8" i="11"/>
  <c r="G7" i="11"/>
  <c r="G5" i="11"/>
  <c r="H4" i="11"/>
  <c r="G4" i="11"/>
  <c r="AQ66" i="17" l="1"/>
  <c r="G13" i="14"/>
  <c r="G12" i="14"/>
  <c r="G14" i="14"/>
  <c r="H12" i="14"/>
  <c r="H5" i="11"/>
  <c r="H6" i="11"/>
  <c r="H12" i="11"/>
  <c r="H13" i="11"/>
  <c r="H14" i="11"/>
  <c r="G8" i="11"/>
  <c r="G9" i="11"/>
  <c r="G11" i="11"/>
  <c r="H7" i="11"/>
  <c r="H11" i="11"/>
  <c r="H15" i="11"/>
  <c r="G6" i="11"/>
  <c r="G10" i="11"/>
  <c r="G14" i="11"/>
  <c r="N17" i="1" l="1"/>
  <c r="AG4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4" i="4"/>
  <c r="AR5" i="4"/>
  <c r="AG65" i="4"/>
  <c r="AF65" i="4"/>
  <c r="AG64" i="4"/>
  <c r="AF64" i="4"/>
  <c r="AG63" i="4"/>
  <c r="AF63" i="4"/>
  <c r="AG62" i="4"/>
  <c r="AF62" i="4"/>
  <c r="AG61" i="4"/>
  <c r="AF61" i="4"/>
  <c r="AG60" i="4"/>
  <c r="AF60" i="4"/>
  <c r="AG59" i="4"/>
  <c r="AF59" i="4"/>
  <c r="AG58" i="4"/>
  <c r="AF58" i="4"/>
  <c r="AG57" i="4"/>
  <c r="AF57" i="4"/>
  <c r="AG56" i="4"/>
  <c r="AF56" i="4"/>
  <c r="AG55" i="4"/>
  <c r="AF55" i="4"/>
  <c r="AG54" i="4"/>
  <c r="AF54" i="4"/>
  <c r="AG53" i="4"/>
  <c r="AF53" i="4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G7" i="4"/>
  <c r="AF7" i="4"/>
  <c r="AG6" i="4"/>
  <c r="AF6" i="4"/>
  <c r="AG5" i="4"/>
  <c r="AF5" i="4"/>
  <c r="AL65" i="4"/>
  <c r="AK65" i="4"/>
  <c r="AL64" i="4"/>
  <c r="AK64" i="4"/>
  <c r="AL63" i="4"/>
  <c r="AK63" i="4"/>
  <c r="AL62" i="4"/>
  <c r="AK62" i="4"/>
  <c r="AL61" i="4"/>
  <c r="AK61" i="4"/>
  <c r="AL60" i="4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L7" i="4"/>
  <c r="AK7" i="4"/>
  <c r="AL6" i="4"/>
  <c r="AK6" i="4"/>
  <c r="AL5" i="4"/>
  <c r="AK5" i="4"/>
  <c r="AN35" i="4" l="1"/>
  <c r="AN33" i="4"/>
  <c r="AN30" i="4"/>
  <c r="AN34" i="4"/>
  <c r="AN32" i="4"/>
  <c r="AN31" i="4"/>
  <c r="AO5" i="4"/>
  <c r="AO7" i="4"/>
  <c r="AO9" i="4"/>
  <c r="AN6" i="4"/>
  <c r="AN8" i="4"/>
  <c r="AO6" i="4"/>
  <c r="AO8" i="4"/>
  <c r="AN5" i="4"/>
  <c r="AN7" i="4"/>
  <c r="AN9" i="4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L5" i="3"/>
  <c r="AK5" i="3"/>
  <c r="AP8" i="4" l="1"/>
  <c r="AP9" i="4"/>
  <c r="AP7" i="4"/>
  <c r="AP6" i="4"/>
  <c r="AP5" i="4"/>
  <c r="G4" i="1"/>
  <c r="G65" i="16"/>
  <c r="A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P1" i="14"/>
  <c r="AP1" i="13"/>
  <c r="AP1" i="12"/>
  <c r="AP1" i="11"/>
  <c r="AP1" i="10"/>
  <c r="AP1" i="9"/>
  <c r="AP1" i="8"/>
  <c r="AP1" i="7"/>
  <c r="AP1" i="4"/>
  <c r="AP1" i="5"/>
  <c r="AP1" i="3"/>
  <c r="J66" i="3"/>
  <c r="AR7" i="11" l="1"/>
  <c r="J66" i="13" l="1"/>
  <c r="AL65" i="13"/>
  <c r="AK65" i="13"/>
  <c r="R65" i="13"/>
  <c r="T65" i="13" s="1"/>
  <c r="AR65" i="13"/>
  <c r="AL64" i="13"/>
  <c r="AK64" i="13"/>
  <c r="R64" i="13"/>
  <c r="T64" i="13" s="1"/>
  <c r="AM64" i="13" l="1"/>
  <c r="S65" i="13"/>
  <c r="AN65" i="13" s="1"/>
  <c r="S64" i="13"/>
  <c r="AN64" i="13" s="1"/>
  <c r="AR64" i="13"/>
  <c r="AO64" i="13"/>
  <c r="AM65" i="13"/>
  <c r="AO65" i="13"/>
  <c r="AP64" i="13" l="1"/>
  <c r="AP65" i="13"/>
  <c r="AK64" i="11" l="1"/>
  <c r="AL64" i="11"/>
  <c r="AK65" i="11"/>
  <c r="AL65" i="11"/>
  <c r="AF64" i="11"/>
  <c r="AG64" i="11"/>
  <c r="AF65" i="11"/>
  <c r="AG65" i="11"/>
  <c r="T65" i="11"/>
  <c r="S65" i="11"/>
  <c r="R65" i="11"/>
  <c r="AM65" i="11" s="1"/>
  <c r="T64" i="11"/>
  <c r="S64" i="11"/>
  <c r="R64" i="11"/>
  <c r="AM64" i="11" s="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S56" i="11"/>
  <c r="R56" i="11"/>
  <c r="T55" i="11"/>
  <c r="S55" i="11"/>
  <c r="R55" i="11"/>
  <c r="T54" i="11"/>
  <c r="S54" i="11"/>
  <c r="R54" i="11"/>
  <c r="T53" i="11"/>
  <c r="S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S42" i="11"/>
  <c r="R42" i="11"/>
  <c r="T41" i="11"/>
  <c r="S41" i="11"/>
  <c r="R41" i="11"/>
  <c r="T40" i="11"/>
  <c r="S40" i="11"/>
  <c r="R40" i="11"/>
  <c r="T39" i="11"/>
  <c r="S39" i="11"/>
  <c r="R39" i="11"/>
  <c r="T38" i="11"/>
  <c r="S38" i="11"/>
  <c r="R38" i="11"/>
  <c r="T37" i="11"/>
  <c r="S37" i="11"/>
  <c r="R37" i="11"/>
  <c r="T36" i="11"/>
  <c r="S36" i="11"/>
  <c r="R36" i="11"/>
  <c r="T35" i="11"/>
  <c r="S35" i="11"/>
  <c r="R35" i="1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T28" i="11"/>
  <c r="S28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AM19" i="11" s="1"/>
  <c r="T18" i="11"/>
  <c r="AO18" i="11" s="1"/>
  <c r="S18" i="11"/>
  <c r="AN18" i="11" s="1"/>
  <c r="R18" i="11"/>
  <c r="AM18" i="11" s="1"/>
  <c r="T17" i="11"/>
  <c r="AO17" i="11" s="1"/>
  <c r="S17" i="11"/>
  <c r="AN17" i="11" s="1"/>
  <c r="R17" i="11"/>
  <c r="AM17" i="11" s="1"/>
  <c r="T16" i="11"/>
  <c r="AO16" i="11" s="1"/>
  <c r="S16" i="11"/>
  <c r="AN16" i="11" s="1"/>
  <c r="R16" i="11"/>
  <c r="AM16" i="11" s="1"/>
  <c r="T15" i="11"/>
  <c r="AO15" i="11" s="1"/>
  <c r="S15" i="11"/>
  <c r="AN15" i="11" s="1"/>
  <c r="R15" i="11"/>
  <c r="AM15" i="11" s="1"/>
  <c r="T14" i="11"/>
  <c r="AO14" i="11" s="1"/>
  <c r="S14" i="11"/>
  <c r="AN14" i="11" s="1"/>
  <c r="R14" i="11"/>
  <c r="AM14" i="11" s="1"/>
  <c r="T13" i="11"/>
  <c r="AO13" i="11" s="1"/>
  <c r="S13" i="11"/>
  <c r="AN13" i="11" s="1"/>
  <c r="R13" i="11"/>
  <c r="AM13" i="11" s="1"/>
  <c r="T12" i="11"/>
  <c r="AO12" i="11" s="1"/>
  <c r="S12" i="11"/>
  <c r="AN12" i="11" s="1"/>
  <c r="R12" i="11"/>
  <c r="AM12" i="11" s="1"/>
  <c r="T11" i="11"/>
  <c r="AO11" i="11" s="1"/>
  <c r="S11" i="11"/>
  <c r="AN11" i="11" s="1"/>
  <c r="R11" i="11"/>
  <c r="AM11" i="11" s="1"/>
  <c r="T10" i="11"/>
  <c r="AO10" i="11" s="1"/>
  <c r="S10" i="11"/>
  <c r="AN10" i="11" s="1"/>
  <c r="R10" i="11"/>
  <c r="AM10" i="11" s="1"/>
  <c r="T9" i="11"/>
  <c r="AO9" i="11" s="1"/>
  <c r="S9" i="11"/>
  <c r="AN9" i="11" s="1"/>
  <c r="R9" i="11"/>
  <c r="AM9" i="11" s="1"/>
  <c r="T8" i="11"/>
  <c r="AO8" i="11" s="1"/>
  <c r="S8" i="11"/>
  <c r="AN8" i="11" s="1"/>
  <c r="R8" i="11"/>
  <c r="AM8" i="11" s="1"/>
  <c r="T7" i="11"/>
  <c r="AO7" i="11" s="1"/>
  <c r="S7" i="11"/>
  <c r="AN7" i="11" s="1"/>
  <c r="R7" i="11"/>
  <c r="AM7" i="11" s="1"/>
  <c r="T6" i="11"/>
  <c r="AO6" i="11" s="1"/>
  <c r="S6" i="11"/>
  <c r="AN6" i="11" s="1"/>
  <c r="R6" i="11"/>
  <c r="AM6" i="11" s="1"/>
  <c r="T5" i="11"/>
  <c r="AO5" i="11" s="1"/>
  <c r="S5" i="11"/>
  <c r="AN5" i="11" s="1"/>
  <c r="R5" i="11"/>
  <c r="AM5" i="11" s="1"/>
  <c r="J66" i="11"/>
  <c r="AT19" i="11" l="1"/>
  <c r="AP5" i="11"/>
  <c r="AP9" i="11"/>
  <c r="AP17" i="11"/>
  <c r="AP7" i="11"/>
  <c r="AP15" i="11"/>
  <c r="AP18" i="11"/>
  <c r="AP8" i="11"/>
  <c r="AP16" i="11"/>
  <c r="AP11" i="11"/>
  <c r="AP12" i="11"/>
  <c r="AP6" i="11"/>
  <c r="AP10" i="11"/>
  <c r="AP14" i="11"/>
  <c r="AP13" i="11"/>
  <c r="AN64" i="11"/>
  <c r="AO64" i="11"/>
  <c r="AO65" i="11"/>
  <c r="AN65" i="11"/>
  <c r="AP65" i="11" l="1"/>
  <c r="AP64" i="11"/>
  <c r="AF5" i="9"/>
  <c r="AN5" i="9" s="1"/>
  <c r="AG5" i="9"/>
  <c r="AO5" i="9" s="1"/>
  <c r="AF6" i="9"/>
  <c r="AN6" i="9" s="1"/>
  <c r="AG6" i="9"/>
  <c r="AO6" i="9" s="1"/>
  <c r="AF7" i="9"/>
  <c r="AN7" i="9" s="1"/>
  <c r="AG7" i="9"/>
  <c r="AO7" i="9" s="1"/>
  <c r="AF8" i="9"/>
  <c r="AN8" i="9" s="1"/>
  <c r="AG8" i="9"/>
  <c r="AO8" i="9" s="1"/>
  <c r="AF9" i="9"/>
  <c r="AN9" i="9" s="1"/>
  <c r="AG9" i="9"/>
  <c r="AO9" i="9" s="1"/>
  <c r="AF10" i="9"/>
  <c r="AN10" i="9" s="1"/>
  <c r="AG10" i="9"/>
  <c r="AO10" i="9" s="1"/>
  <c r="AF11" i="9"/>
  <c r="AN11" i="9" s="1"/>
  <c r="AG11" i="9"/>
  <c r="AO11" i="9" s="1"/>
  <c r="AF12" i="9"/>
  <c r="AN12" i="9" s="1"/>
  <c r="AG12" i="9"/>
  <c r="AO12" i="9" s="1"/>
  <c r="AF13" i="9"/>
  <c r="AN13" i="9" s="1"/>
  <c r="AG13" i="9"/>
  <c r="AO13" i="9" s="1"/>
  <c r="AF14" i="9"/>
  <c r="AN14" i="9" s="1"/>
  <c r="AG14" i="9"/>
  <c r="AO14" i="9" s="1"/>
  <c r="AF15" i="9"/>
  <c r="AN15" i="9" s="1"/>
  <c r="AG15" i="9"/>
  <c r="AO15" i="9" s="1"/>
  <c r="AF16" i="9"/>
  <c r="AN16" i="9" s="1"/>
  <c r="AG16" i="9"/>
  <c r="AO16" i="9" s="1"/>
  <c r="AF17" i="9"/>
  <c r="AN17" i="9" s="1"/>
  <c r="AG17" i="9"/>
  <c r="AO17" i="9" s="1"/>
  <c r="AF18" i="9"/>
  <c r="AN18" i="9" s="1"/>
  <c r="AG18" i="9"/>
  <c r="AO18" i="9" s="1"/>
  <c r="AF19" i="9"/>
  <c r="AN19" i="9" s="1"/>
  <c r="AG19" i="9"/>
  <c r="AO19" i="9" s="1"/>
  <c r="AF20" i="9"/>
  <c r="AN20" i="9" s="1"/>
  <c r="AG20" i="9"/>
  <c r="AO20" i="9" s="1"/>
  <c r="AF21" i="9"/>
  <c r="AN21" i="9" s="1"/>
  <c r="AG21" i="9"/>
  <c r="AO21" i="9" s="1"/>
  <c r="AF22" i="9"/>
  <c r="AN22" i="9" s="1"/>
  <c r="AG22" i="9"/>
  <c r="AO22" i="9" s="1"/>
  <c r="AF23" i="9"/>
  <c r="AN23" i="9" s="1"/>
  <c r="AG23" i="9"/>
  <c r="AO23" i="9" s="1"/>
  <c r="AF24" i="9"/>
  <c r="AN24" i="9" s="1"/>
  <c r="AG24" i="9"/>
  <c r="AO24" i="9" s="1"/>
  <c r="AF25" i="9"/>
  <c r="AN25" i="9" s="1"/>
  <c r="AG25" i="9"/>
  <c r="AO25" i="9" s="1"/>
  <c r="AF26" i="9"/>
  <c r="AN26" i="9" s="1"/>
  <c r="AG26" i="9"/>
  <c r="AO26" i="9" s="1"/>
  <c r="AF27" i="9"/>
  <c r="AN27" i="9" s="1"/>
  <c r="AG27" i="9"/>
  <c r="AO27" i="9" s="1"/>
  <c r="AF28" i="9"/>
  <c r="AN28" i="9" s="1"/>
  <c r="AG28" i="9"/>
  <c r="AO28" i="9" s="1"/>
  <c r="AF29" i="9"/>
  <c r="AN29" i="9" s="1"/>
  <c r="AG29" i="9"/>
  <c r="AO29" i="9" s="1"/>
  <c r="AF30" i="9"/>
  <c r="AN30" i="9" s="1"/>
  <c r="AG30" i="9"/>
  <c r="AO30" i="9" s="1"/>
  <c r="AF31" i="9"/>
  <c r="AN31" i="9" s="1"/>
  <c r="AG31" i="9"/>
  <c r="AO31" i="9" s="1"/>
  <c r="AF32" i="9"/>
  <c r="AN32" i="9" s="1"/>
  <c r="AG32" i="9"/>
  <c r="AO32" i="9" s="1"/>
  <c r="AF33" i="9"/>
  <c r="AN33" i="9" s="1"/>
  <c r="AG33" i="9"/>
  <c r="AO33" i="9" s="1"/>
  <c r="AF34" i="9"/>
  <c r="AN34" i="9" s="1"/>
  <c r="AG34" i="9"/>
  <c r="AO34" i="9" s="1"/>
  <c r="AF35" i="9"/>
  <c r="AN35" i="9" s="1"/>
  <c r="AG35" i="9"/>
  <c r="AO35" i="9" s="1"/>
  <c r="AF36" i="9"/>
  <c r="AN36" i="9" s="1"/>
  <c r="AG36" i="9"/>
  <c r="AO36" i="9" s="1"/>
  <c r="AF37" i="9"/>
  <c r="AN37" i="9" s="1"/>
  <c r="AG37" i="9"/>
  <c r="AO37" i="9" s="1"/>
  <c r="AF38" i="9"/>
  <c r="AN38" i="9" s="1"/>
  <c r="AG38" i="9"/>
  <c r="AO38" i="9" s="1"/>
  <c r="AF39" i="9"/>
  <c r="AN39" i="9" s="1"/>
  <c r="AG39" i="9"/>
  <c r="AO39" i="9" s="1"/>
  <c r="AF40" i="9"/>
  <c r="AN40" i="9" s="1"/>
  <c r="AG40" i="9"/>
  <c r="AO40" i="9" s="1"/>
  <c r="AF41" i="9"/>
  <c r="AN41" i="9" s="1"/>
  <c r="AG41" i="9"/>
  <c r="AO41" i="9" s="1"/>
  <c r="AF42" i="9"/>
  <c r="AN42" i="9" s="1"/>
  <c r="H43" i="9" s="1"/>
  <c r="AG42" i="9"/>
  <c r="AO42" i="9" s="1"/>
  <c r="AF43" i="9"/>
  <c r="AN43" i="9" s="1"/>
  <c r="H44" i="9" s="1"/>
  <c r="AG43" i="9"/>
  <c r="AF44" i="9"/>
  <c r="AN44" i="9" s="1"/>
  <c r="H45" i="9" s="1"/>
  <c r="AG44" i="9"/>
  <c r="AF45" i="9"/>
  <c r="AN45" i="9" s="1"/>
  <c r="H46" i="9" s="1"/>
  <c r="AG45" i="9"/>
  <c r="AF46" i="9"/>
  <c r="AN46" i="9" s="1"/>
  <c r="H47" i="9" s="1"/>
  <c r="AG46" i="9"/>
  <c r="AF47" i="9"/>
  <c r="AN47" i="9" s="1"/>
  <c r="H48" i="9" s="1"/>
  <c r="AG47" i="9"/>
  <c r="AF48" i="9"/>
  <c r="AN48" i="9" s="1"/>
  <c r="H49" i="9" s="1"/>
  <c r="AG48" i="9"/>
  <c r="AF49" i="9"/>
  <c r="AN49" i="9" s="1"/>
  <c r="H50" i="9" s="1"/>
  <c r="AG49" i="9"/>
  <c r="AF50" i="9"/>
  <c r="AN50" i="9" s="1"/>
  <c r="H51" i="9" s="1"/>
  <c r="AG50" i="9"/>
  <c r="AF51" i="9"/>
  <c r="AN51" i="9" s="1"/>
  <c r="H52" i="9" s="1"/>
  <c r="AG51" i="9"/>
  <c r="AF52" i="9"/>
  <c r="AN52" i="9" s="1"/>
  <c r="H53" i="9" s="1"/>
  <c r="AG52" i="9"/>
  <c r="AF53" i="9"/>
  <c r="AN53" i="9" s="1"/>
  <c r="H54" i="9" s="1"/>
  <c r="AG53" i="9"/>
  <c r="AF54" i="9"/>
  <c r="AN54" i="9" s="1"/>
  <c r="H55" i="9" s="1"/>
  <c r="AG54" i="9"/>
  <c r="AF55" i="9"/>
  <c r="AN55" i="9" s="1"/>
  <c r="AG55" i="9"/>
  <c r="AF56" i="9"/>
  <c r="AN56" i="9" s="1"/>
  <c r="AG56" i="9"/>
  <c r="AO56" i="9" s="1"/>
  <c r="AF57" i="9"/>
  <c r="AN57" i="9" s="1"/>
  <c r="AG57" i="9"/>
  <c r="AO57" i="9" s="1"/>
  <c r="AF58" i="9"/>
  <c r="AN58" i="9" s="1"/>
  <c r="AG58" i="9"/>
  <c r="AO58" i="9" s="1"/>
  <c r="AF59" i="9"/>
  <c r="AN59" i="9" s="1"/>
  <c r="AG59" i="9"/>
  <c r="AO59" i="9" s="1"/>
  <c r="AF60" i="9"/>
  <c r="AN60" i="9" s="1"/>
  <c r="AG60" i="9"/>
  <c r="AO60" i="9" s="1"/>
  <c r="AF61" i="9"/>
  <c r="AN61" i="9" s="1"/>
  <c r="AG61" i="9"/>
  <c r="AO61" i="9" s="1"/>
  <c r="AF62" i="9"/>
  <c r="AN62" i="9" s="1"/>
  <c r="AG62" i="9"/>
  <c r="AO62" i="9" s="1"/>
  <c r="AF63" i="9"/>
  <c r="AN63" i="9" s="1"/>
  <c r="AG63" i="9"/>
  <c r="AO63" i="9" s="1"/>
  <c r="AF64" i="9"/>
  <c r="AN64" i="9" s="1"/>
  <c r="AG64" i="9"/>
  <c r="AO64" i="9" s="1"/>
  <c r="AF65" i="9"/>
  <c r="AN65" i="9" s="1"/>
  <c r="AG65" i="9"/>
  <c r="AO65" i="9" s="1"/>
  <c r="AO45" i="9" l="1"/>
  <c r="AO43" i="9"/>
  <c r="AO55" i="9"/>
  <c r="AO53" i="9"/>
  <c r="AP53" i="9" s="1"/>
  <c r="AO51" i="9"/>
  <c r="AO49" i="9"/>
  <c r="AP49" i="9" s="1"/>
  <c r="AO47" i="9"/>
  <c r="AP47" i="9" s="1"/>
  <c r="AV35" i="9"/>
  <c r="AU35" i="9"/>
  <c r="AO54" i="9"/>
  <c r="AP54" i="9" s="1"/>
  <c r="AO52" i="9"/>
  <c r="AP52" i="9" s="1"/>
  <c r="AO50" i="9"/>
  <c r="AP50" i="9" s="1"/>
  <c r="AO48" i="9"/>
  <c r="AO46" i="9"/>
  <c r="AP46" i="9" s="1"/>
  <c r="AO44" i="9"/>
  <c r="AP44" i="9" s="1"/>
  <c r="AV25" i="9"/>
  <c r="AU25" i="9"/>
  <c r="AV39" i="9"/>
  <c r="AU39" i="9"/>
  <c r="AU55" i="9"/>
  <c r="AV41" i="9"/>
  <c r="AU41" i="9"/>
  <c r="AU61" i="9"/>
  <c r="AP61" i="9"/>
  <c r="AP29" i="9"/>
  <c r="AP27" i="9"/>
  <c r="AP7" i="9"/>
  <c r="AP5" i="9"/>
  <c r="AP63" i="9"/>
  <c r="AP62" i="9"/>
  <c r="AP56" i="9"/>
  <c r="AP25" i="9"/>
  <c r="AP30" i="9"/>
  <c r="AP28" i="9"/>
  <c r="AP24" i="9"/>
  <c r="AP23" i="9"/>
  <c r="AP9" i="9"/>
  <c r="AP22" i="9"/>
  <c r="AP20" i="9"/>
  <c r="AP18" i="9"/>
  <c r="AP21" i="9"/>
  <c r="AP19" i="9"/>
  <c r="AP17" i="9"/>
  <c r="AP15" i="9"/>
  <c r="AP13" i="9"/>
  <c r="AP11" i="9"/>
  <c r="AP16" i="9"/>
  <c r="AP14" i="9"/>
  <c r="AP12" i="9"/>
  <c r="AP10" i="9"/>
  <c r="AP8" i="9"/>
  <c r="AP6" i="9"/>
  <c r="AP59" i="9"/>
  <c r="AP60" i="9"/>
  <c r="AP65" i="9"/>
  <c r="AP64" i="9"/>
  <c r="AP58" i="9"/>
  <c r="AP57" i="9"/>
  <c r="AP55" i="9"/>
  <c r="AP51" i="9"/>
  <c r="AP26" i="9"/>
  <c r="AP42" i="9"/>
  <c r="AP40" i="9"/>
  <c r="AP38" i="9"/>
  <c r="AP36" i="9"/>
  <c r="AP34" i="9"/>
  <c r="AP32" i="9"/>
  <c r="AP45" i="9"/>
  <c r="AP43" i="9"/>
  <c r="AP41" i="9"/>
  <c r="AP39" i="9"/>
  <c r="AP37" i="9"/>
  <c r="AP35" i="9"/>
  <c r="AP33" i="9"/>
  <c r="AP31" i="9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F64" i="8"/>
  <c r="AG64" i="8"/>
  <c r="AF65" i="8"/>
  <c r="AG65" i="8"/>
  <c r="AB65" i="8"/>
  <c r="AA65" i="8"/>
  <c r="AA64" i="8"/>
  <c r="AB64" i="8"/>
  <c r="T65" i="8"/>
  <c r="S65" i="8"/>
  <c r="R65" i="8"/>
  <c r="AM65" i="8" s="1"/>
  <c r="T64" i="8"/>
  <c r="S64" i="8"/>
  <c r="R64" i="8"/>
  <c r="AM64" i="8" s="1"/>
  <c r="T63" i="8"/>
  <c r="S63" i="8"/>
  <c r="R63" i="8"/>
  <c r="AM63" i="8" s="1"/>
  <c r="T62" i="8"/>
  <c r="S62" i="8"/>
  <c r="R62" i="8"/>
  <c r="AM62" i="8" s="1"/>
  <c r="T61" i="8"/>
  <c r="S61" i="8"/>
  <c r="R61" i="8"/>
  <c r="AM61" i="8" s="1"/>
  <c r="T60" i="8"/>
  <c r="S60" i="8"/>
  <c r="R60" i="8"/>
  <c r="AM60" i="8" s="1"/>
  <c r="T59" i="8"/>
  <c r="S59" i="8"/>
  <c r="R59" i="8"/>
  <c r="AM59" i="8" s="1"/>
  <c r="T58" i="8"/>
  <c r="S58" i="8"/>
  <c r="R58" i="8"/>
  <c r="AM58" i="8" s="1"/>
  <c r="T57" i="8"/>
  <c r="S57" i="8"/>
  <c r="R57" i="8"/>
  <c r="AM57" i="8" s="1"/>
  <c r="T56" i="8"/>
  <c r="S56" i="8"/>
  <c r="R56" i="8"/>
  <c r="AM56" i="8" s="1"/>
  <c r="T55" i="8"/>
  <c r="S55" i="8"/>
  <c r="R55" i="8"/>
  <c r="AM55" i="8" s="1"/>
  <c r="T54" i="8"/>
  <c r="S54" i="8"/>
  <c r="R54" i="8"/>
  <c r="AM54" i="8" s="1"/>
  <c r="T53" i="8"/>
  <c r="S53" i="8"/>
  <c r="R53" i="8"/>
  <c r="AM53" i="8" s="1"/>
  <c r="T52" i="8"/>
  <c r="S52" i="8"/>
  <c r="R52" i="8"/>
  <c r="AM52" i="8" s="1"/>
  <c r="T51" i="8"/>
  <c r="S51" i="8"/>
  <c r="R51" i="8"/>
  <c r="AM51" i="8" s="1"/>
  <c r="T50" i="8"/>
  <c r="S50" i="8"/>
  <c r="R50" i="8"/>
  <c r="AM50" i="8" s="1"/>
  <c r="T49" i="8"/>
  <c r="S49" i="8"/>
  <c r="R49" i="8"/>
  <c r="AM49" i="8" s="1"/>
  <c r="T48" i="8"/>
  <c r="S48" i="8"/>
  <c r="R48" i="8"/>
  <c r="AM48" i="8" s="1"/>
  <c r="T47" i="8"/>
  <c r="S47" i="8"/>
  <c r="R47" i="8"/>
  <c r="AM47" i="8" s="1"/>
  <c r="T46" i="8"/>
  <c r="S46" i="8"/>
  <c r="R46" i="8"/>
  <c r="AM46" i="8" s="1"/>
  <c r="T45" i="8"/>
  <c r="S45" i="8"/>
  <c r="R45" i="8"/>
  <c r="AM45" i="8" s="1"/>
  <c r="T44" i="8"/>
  <c r="S44" i="8"/>
  <c r="R44" i="8"/>
  <c r="AM44" i="8" s="1"/>
  <c r="T43" i="8"/>
  <c r="S43" i="8"/>
  <c r="R43" i="8"/>
  <c r="AM43" i="8" s="1"/>
  <c r="T42" i="8"/>
  <c r="S42" i="8"/>
  <c r="R42" i="8"/>
  <c r="AM42" i="8" s="1"/>
  <c r="T41" i="8"/>
  <c r="S41" i="8"/>
  <c r="R41" i="8"/>
  <c r="AM41" i="8" s="1"/>
  <c r="T40" i="8"/>
  <c r="S40" i="8"/>
  <c r="R40" i="8"/>
  <c r="AM40" i="8" s="1"/>
  <c r="T39" i="8"/>
  <c r="S39" i="8"/>
  <c r="R39" i="8"/>
  <c r="AM39" i="8" s="1"/>
  <c r="T38" i="8"/>
  <c r="R38" i="8"/>
  <c r="AM38" i="8" s="1"/>
  <c r="T37" i="8"/>
  <c r="S37" i="8"/>
  <c r="R37" i="8"/>
  <c r="AM37" i="8" s="1"/>
  <c r="T36" i="8"/>
  <c r="S36" i="8"/>
  <c r="R36" i="8"/>
  <c r="AM36" i="8" s="1"/>
  <c r="T35" i="8"/>
  <c r="S35" i="8"/>
  <c r="R35" i="8"/>
  <c r="AM35" i="8" s="1"/>
  <c r="T34" i="8"/>
  <c r="S34" i="8"/>
  <c r="R34" i="8"/>
  <c r="AM34" i="8" s="1"/>
  <c r="T33" i="8"/>
  <c r="S33" i="8"/>
  <c r="R33" i="8"/>
  <c r="AM33" i="8" s="1"/>
  <c r="T32" i="8"/>
  <c r="S32" i="8"/>
  <c r="R32" i="8"/>
  <c r="AM32" i="8" s="1"/>
  <c r="T31" i="8"/>
  <c r="S31" i="8"/>
  <c r="R31" i="8"/>
  <c r="AM31" i="8" s="1"/>
  <c r="T30" i="8"/>
  <c r="S30" i="8"/>
  <c r="R30" i="8"/>
  <c r="AM30" i="8" s="1"/>
  <c r="T29" i="8"/>
  <c r="S29" i="8"/>
  <c r="R29" i="8"/>
  <c r="AM29" i="8" s="1"/>
  <c r="T28" i="8"/>
  <c r="S28" i="8"/>
  <c r="R28" i="8"/>
  <c r="T27" i="8"/>
  <c r="S27" i="8"/>
  <c r="R27" i="8"/>
  <c r="AM27" i="8" s="1"/>
  <c r="T26" i="8"/>
  <c r="S26" i="8"/>
  <c r="R26" i="8"/>
  <c r="T25" i="8"/>
  <c r="S25" i="8"/>
  <c r="R25" i="8"/>
  <c r="AM25" i="8" s="1"/>
  <c r="T24" i="8"/>
  <c r="S24" i="8"/>
  <c r="R24" i="8"/>
  <c r="T23" i="8"/>
  <c r="S23" i="8"/>
  <c r="R23" i="8"/>
  <c r="AM23" i="8" s="1"/>
  <c r="T22" i="8"/>
  <c r="S22" i="8"/>
  <c r="R22" i="8"/>
  <c r="T21" i="8"/>
  <c r="S21" i="8"/>
  <c r="R21" i="8"/>
  <c r="AM21" i="8" s="1"/>
  <c r="T20" i="8"/>
  <c r="S20" i="8"/>
  <c r="R20" i="8"/>
  <c r="AM20" i="8" s="1"/>
  <c r="T19" i="8"/>
  <c r="S19" i="8"/>
  <c r="R19" i="8"/>
  <c r="AM19" i="8" s="1"/>
  <c r="T18" i="8"/>
  <c r="S18" i="8"/>
  <c r="R18" i="8"/>
  <c r="T17" i="8"/>
  <c r="S17" i="8"/>
  <c r="R17" i="8"/>
  <c r="AM17" i="8" s="1"/>
  <c r="T16" i="8"/>
  <c r="S16" i="8"/>
  <c r="R16" i="8"/>
  <c r="T15" i="8"/>
  <c r="S15" i="8"/>
  <c r="R15" i="8"/>
  <c r="AM15" i="8" s="1"/>
  <c r="T14" i="8"/>
  <c r="S14" i="8"/>
  <c r="R14" i="8"/>
  <c r="AM14" i="8" s="1"/>
  <c r="T13" i="8"/>
  <c r="S13" i="8"/>
  <c r="R13" i="8"/>
  <c r="AM13" i="8" s="1"/>
  <c r="T12" i="8"/>
  <c r="S12" i="8"/>
  <c r="R12" i="8"/>
  <c r="AM12" i="8" s="1"/>
  <c r="T11" i="8"/>
  <c r="S11" i="8"/>
  <c r="R11" i="8"/>
  <c r="AM11" i="8" s="1"/>
  <c r="T10" i="8"/>
  <c r="S10" i="8"/>
  <c r="R10" i="8"/>
  <c r="AM10" i="8" s="1"/>
  <c r="T9" i="8"/>
  <c r="S9" i="8"/>
  <c r="R9" i="8"/>
  <c r="AM9" i="8" s="1"/>
  <c r="T8" i="8"/>
  <c r="S8" i="8"/>
  <c r="R8" i="8"/>
  <c r="AM8" i="8" s="1"/>
  <c r="T7" i="8"/>
  <c r="S7" i="8"/>
  <c r="R7" i="8"/>
  <c r="AM7" i="8" s="1"/>
  <c r="T6" i="8"/>
  <c r="S6" i="8"/>
  <c r="R6" i="8"/>
  <c r="AM6" i="8" s="1"/>
  <c r="T5" i="8"/>
  <c r="S5" i="8"/>
  <c r="R5" i="8"/>
  <c r="AM5" i="8" s="1"/>
  <c r="AV61" i="9" l="1"/>
  <c r="AV55" i="9"/>
  <c r="AP48" i="9"/>
  <c r="AT49" i="8"/>
  <c r="AT53" i="8"/>
  <c r="AT61" i="8"/>
  <c r="G19" i="8"/>
  <c r="AM18" i="8"/>
  <c r="G23" i="8"/>
  <c r="AM22" i="8"/>
  <c r="G27" i="8"/>
  <c r="AM26" i="8"/>
  <c r="G17" i="8"/>
  <c r="AM16" i="8"/>
  <c r="G25" i="8"/>
  <c r="AM24" i="8"/>
  <c r="AM28" i="8"/>
  <c r="AT41" i="8" s="1"/>
  <c r="AN64" i="8"/>
  <c r="AO65" i="8"/>
  <c r="AN65" i="8"/>
  <c r="AO64" i="8"/>
  <c r="G21" i="8"/>
  <c r="G20" i="8"/>
  <c r="G24" i="8"/>
  <c r="G18" i="8"/>
  <c r="G22" i="8"/>
  <c r="G26" i="8"/>
  <c r="AT21" i="8" l="1"/>
  <c r="AT29" i="8"/>
  <c r="AT25" i="8"/>
  <c r="AP64" i="8"/>
  <c r="AP65" i="8"/>
  <c r="J66" i="4"/>
  <c r="AO65" i="4"/>
  <c r="AN65" i="4"/>
  <c r="AM65" i="4"/>
  <c r="AO64" i="4"/>
  <c r="AN64" i="4"/>
  <c r="AM64" i="4"/>
  <c r="AO63" i="4"/>
  <c r="AN63" i="4"/>
  <c r="AM63" i="4"/>
  <c r="AO62" i="4"/>
  <c r="AN62" i="4"/>
  <c r="AM62" i="4"/>
  <c r="AO61" i="4"/>
  <c r="AN61" i="4"/>
  <c r="AM61" i="4"/>
  <c r="AO60" i="4"/>
  <c r="AN60" i="4"/>
  <c r="AM60" i="4"/>
  <c r="AO59" i="4"/>
  <c r="AN59" i="4"/>
  <c r="AM59" i="4"/>
  <c r="AO58" i="4"/>
  <c r="AN58" i="4"/>
  <c r="AM58" i="4"/>
  <c r="AO57" i="4"/>
  <c r="AN57" i="4"/>
  <c r="AM57" i="4"/>
  <c r="AO56" i="4"/>
  <c r="AN56" i="4"/>
  <c r="AM56" i="4"/>
  <c r="AO55" i="4"/>
  <c r="AN55" i="4"/>
  <c r="AM55" i="4"/>
  <c r="AO54" i="4"/>
  <c r="AN54" i="4"/>
  <c r="AM54" i="4"/>
  <c r="AO53" i="4"/>
  <c r="AN53" i="4"/>
  <c r="AM53" i="4"/>
  <c r="AO52" i="4"/>
  <c r="AN52" i="4"/>
  <c r="AM52" i="4"/>
  <c r="AO51" i="4"/>
  <c r="AN51" i="4"/>
  <c r="AM51" i="4"/>
  <c r="AO50" i="4"/>
  <c r="AN50" i="4"/>
  <c r="AM50" i="4"/>
  <c r="AO49" i="4"/>
  <c r="AN49" i="4"/>
  <c r="AM49" i="4"/>
  <c r="AO48" i="4"/>
  <c r="AN48" i="4"/>
  <c r="AM48" i="4"/>
  <c r="AM47" i="4"/>
  <c r="AM46" i="4"/>
  <c r="G47" i="4" s="1"/>
  <c r="AN47" i="4" s="1"/>
  <c r="AM45" i="4"/>
  <c r="G46" i="4" s="1"/>
  <c r="AN46" i="4" s="1"/>
  <c r="H47" i="4" s="1"/>
  <c r="AO47" i="4" s="1"/>
  <c r="AM44" i="4"/>
  <c r="G45" i="4" s="1"/>
  <c r="AN45" i="4" s="1"/>
  <c r="H46" i="4" s="1"/>
  <c r="AO46" i="4" s="1"/>
  <c r="AM43" i="4"/>
  <c r="G44" i="4" s="1"/>
  <c r="AN44" i="4" s="1"/>
  <c r="H45" i="4" s="1"/>
  <c r="AO45" i="4" s="1"/>
  <c r="AO42" i="4"/>
  <c r="AN42" i="4"/>
  <c r="H43" i="4" s="1"/>
  <c r="AO43" i="4" s="1"/>
  <c r="AM42" i="4"/>
  <c r="G43" i="4" s="1"/>
  <c r="AN43" i="4" s="1"/>
  <c r="H44" i="4" s="1"/>
  <c r="AO44" i="4" s="1"/>
  <c r="AO41" i="4"/>
  <c r="AN41" i="4"/>
  <c r="AM41" i="4"/>
  <c r="AO40" i="4"/>
  <c r="AN40" i="4"/>
  <c r="AM40" i="4"/>
  <c r="AO39" i="4"/>
  <c r="AN39" i="4"/>
  <c r="AM39" i="4"/>
  <c r="AO38" i="4"/>
  <c r="AN38" i="4"/>
  <c r="AM38" i="4"/>
  <c r="AO37" i="4"/>
  <c r="AN37" i="4"/>
  <c r="AM37" i="4"/>
  <c r="AO36" i="4"/>
  <c r="AN36" i="4"/>
  <c r="AM36" i="4"/>
  <c r="AO35" i="4"/>
  <c r="AO34" i="4"/>
  <c r="AO33" i="4"/>
  <c r="AO32" i="4"/>
  <c r="AO31" i="4"/>
  <c r="AO30" i="4"/>
  <c r="AO29" i="4"/>
  <c r="AN29" i="4"/>
  <c r="AM29" i="4"/>
  <c r="AO28" i="4"/>
  <c r="AN28" i="4"/>
  <c r="AM28" i="4"/>
  <c r="AO27" i="4"/>
  <c r="AN27" i="4"/>
  <c r="AM27" i="4"/>
  <c r="AO26" i="4"/>
  <c r="AN26" i="4"/>
  <c r="AM26" i="4"/>
  <c r="AO25" i="4"/>
  <c r="AN25" i="4"/>
  <c r="AM25" i="4"/>
  <c r="AO24" i="4"/>
  <c r="AN24" i="4"/>
  <c r="AM24" i="4"/>
  <c r="AO23" i="4"/>
  <c r="AN23" i="4"/>
  <c r="AM23" i="4"/>
  <c r="AO22" i="4"/>
  <c r="AN22" i="4"/>
  <c r="AM22" i="4"/>
  <c r="AO21" i="4"/>
  <c r="AN21" i="4"/>
  <c r="AM21" i="4"/>
  <c r="AO20" i="4"/>
  <c r="AN20" i="4"/>
  <c r="AM20" i="4"/>
  <c r="AO19" i="4"/>
  <c r="AN19" i="4"/>
  <c r="AM19" i="4"/>
  <c r="AO18" i="4"/>
  <c r="AN18" i="4"/>
  <c r="AM18" i="4"/>
  <c r="AO17" i="4"/>
  <c r="AN17" i="4"/>
  <c r="AM17" i="4"/>
  <c r="AO16" i="4"/>
  <c r="AN16" i="4"/>
  <c r="AM16" i="4"/>
  <c r="AO15" i="4"/>
  <c r="AN15" i="4"/>
  <c r="AM15" i="4"/>
  <c r="AO14" i="4"/>
  <c r="AN14" i="4"/>
  <c r="AM14" i="4"/>
  <c r="AO13" i="4"/>
  <c r="AN13" i="4"/>
  <c r="AM13" i="4"/>
  <c r="AO12" i="4"/>
  <c r="AN12" i="4"/>
  <c r="AM12" i="4"/>
  <c r="AO11" i="4"/>
  <c r="AN11" i="4"/>
  <c r="AM11" i="4"/>
  <c r="AO10" i="4"/>
  <c r="AN10" i="4"/>
  <c r="AM10" i="4"/>
  <c r="AP11" i="4" l="1"/>
  <c r="AP63" i="4"/>
  <c r="AP53" i="4"/>
  <c r="AP25" i="4"/>
  <c r="AP23" i="4"/>
  <c r="AP13" i="4"/>
  <c r="AP17" i="4"/>
  <c r="AP15" i="4"/>
  <c r="AP10" i="4"/>
  <c r="AP18" i="4"/>
  <c r="AP14" i="4"/>
  <c r="AP12" i="4"/>
  <c r="AP16" i="4"/>
  <c r="AP20" i="4"/>
  <c r="AP21" i="4"/>
  <c r="AP24" i="4"/>
  <c r="AP28" i="4"/>
  <c r="AP29" i="4"/>
  <c r="AP19" i="4"/>
  <c r="AP22" i="4"/>
  <c r="AP26" i="4"/>
  <c r="AP27" i="4"/>
  <c r="AP58" i="4"/>
  <c r="AP61" i="4"/>
  <c r="AP65" i="4"/>
  <c r="AP60" i="4"/>
  <c r="AP64" i="4"/>
  <c r="AP59" i="4"/>
  <c r="AP62" i="4"/>
  <c r="AP57" i="4"/>
  <c r="AP45" i="4"/>
  <c r="AP52" i="4"/>
  <c r="AP56" i="4"/>
  <c r="AP55" i="4"/>
  <c r="AP54" i="4"/>
  <c r="AP49" i="4"/>
  <c r="AP44" i="4"/>
  <c r="AP48" i="4"/>
  <c r="AP47" i="4"/>
  <c r="AP51" i="4"/>
  <c r="AP46" i="4"/>
  <c r="AP50" i="4"/>
  <c r="AP43" i="4"/>
  <c r="AP42" i="4"/>
  <c r="AP41" i="4"/>
  <c r="AP40" i="4"/>
  <c r="AP32" i="4"/>
  <c r="AP37" i="4"/>
  <c r="AP33" i="4"/>
  <c r="AP36" i="4"/>
  <c r="AP34" i="4"/>
  <c r="AP30" i="4"/>
  <c r="AP31" i="4"/>
  <c r="AP35" i="4"/>
  <c r="AP38" i="4"/>
  <c r="AP39" i="4"/>
  <c r="J66" i="5"/>
  <c r="R66" i="5" s="1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P65" i="5" l="1"/>
  <c r="AO65" i="3"/>
  <c r="AN65" i="3"/>
  <c r="AM65" i="3"/>
  <c r="AO64" i="3"/>
  <c r="AN64" i="3"/>
  <c r="AM64" i="3"/>
  <c r="AO63" i="3"/>
  <c r="AN63" i="3"/>
  <c r="AM63" i="3"/>
  <c r="AO62" i="3"/>
  <c r="AN62" i="3"/>
  <c r="AM62" i="3"/>
  <c r="AO61" i="3"/>
  <c r="AN61" i="3"/>
  <c r="AM61" i="3"/>
  <c r="AO60" i="3"/>
  <c r="AN60" i="3"/>
  <c r="AM60" i="3"/>
  <c r="AO59" i="3"/>
  <c r="AN59" i="3"/>
  <c r="AM59" i="3"/>
  <c r="AO58" i="3"/>
  <c r="AN58" i="3"/>
  <c r="AM58" i="3"/>
  <c r="AO57" i="3"/>
  <c r="AN57" i="3"/>
  <c r="AM57" i="3"/>
  <c r="AO56" i="3"/>
  <c r="AN56" i="3"/>
  <c r="AM56" i="3"/>
  <c r="AO55" i="3"/>
  <c r="AN55" i="3"/>
  <c r="AM55" i="3"/>
  <c r="AO54" i="3"/>
  <c r="AN54" i="3"/>
  <c r="AM54" i="3"/>
  <c r="AO53" i="3"/>
  <c r="AN53" i="3"/>
  <c r="AM53" i="3"/>
  <c r="AO52" i="3"/>
  <c r="AN52" i="3"/>
  <c r="AM52" i="3"/>
  <c r="AO51" i="3"/>
  <c r="AN51" i="3"/>
  <c r="AM51" i="3"/>
  <c r="AO50" i="3"/>
  <c r="AN50" i="3"/>
  <c r="AM50" i="3"/>
  <c r="AO49" i="3"/>
  <c r="AN49" i="3"/>
  <c r="AM49" i="3"/>
  <c r="AO48" i="3"/>
  <c r="AN48" i="3"/>
  <c r="AM48" i="3"/>
  <c r="AO47" i="3"/>
  <c r="AN47" i="3"/>
  <c r="AM47" i="3"/>
  <c r="AO46" i="3"/>
  <c r="AN46" i="3"/>
  <c r="AM46" i="3"/>
  <c r="AO45" i="3"/>
  <c r="AN45" i="3"/>
  <c r="AM45" i="3"/>
  <c r="AO44" i="3"/>
  <c r="AN44" i="3"/>
  <c r="AM44" i="3"/>
  <c r="AO43" i="3"/>
  <c r="AN43" i="3"/>
  <c r="AM43" i="3"/>
  <c r="AO42" i="3"/>
  <c r="AN42" i="3"/>
  <c r="AM42" i="3"/>
  <c r="AO41" i="3"/>
  <c r="AN41" i="3"/>
  <c r="AM41" i="3"/>
  <c r="AO40" i="3"/>
  <c r="AN40" i="3"/>
  <c r="AM40" i="3"/>
  <c r="AO39" i="3"/>
  <c r="AN39" i="3"/>
  <c r="AM39" i="3"/>
  <c r="AO38" i="3"/>
  <c r="AN38" i="3"/>
  <c r="AM38" i="3"/>
  <c r="AO37" i="3"/>
  <c r="AN37" i="3"/>
  <c r="AM37" i="3"/>
  <c r="AO36" i="3"/>
  <c r="AN36" i="3"/>
  <c r="AM36" i="3"/>
  <c r="AO35" i="3"/>
  <c r="AN35" i="3"/>
  <c r="AM35" i="3"/>
  <c r="AO34" i="3"/>
  <c r="AN34" i="3"/>
  <c r="AM34" i="3"/>
  <c r="AO33" i="3"/>
  <c r="AN33" i="3"/>
  <c r="AM33" i="3"/>
  <c r="AO32" i="3"/>
  <c r="AN32" i="3"/>
  <c r="AM32" i="3"/>
  <c r="AO31" i="3"/>
  <c r="AN31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P64" i="5" l="1"/>
  <c r="AP64" i="3"/>
  <c r="AP60" i="3"/>
  <c r="AN5" i="3"/>
  <c r="AO6" i="3"/>
  <c r="AN9" i="3"/>
  <c r="AO10" i="3"/>
  <c r="AN13" i="3"/>
  <c r="AO14" i="3"/>
  <c r="AN17" i="3"/>
  <c r="AO18" i="3"/>
  <c r="AN21" i="3"/>
  <c r="AO22" i="3"/>
  <c r="AN25" i="3"/>
  <c r="AO26" i="3"/>
  <c r="AN29" i="3"/>
  <c r="AO30" i="3"/>
  <c r="AO5" i="3"/>
  <c r="AN8" i="3"/>
  <c r="AO9" i="3"/>
  <c r="AN12" i="3"/>
  <c r="AO13" i="3"/>
  <c r="AN16" i="3"/>
  <c r="AO17" i="3"/>
  <c r="AN20" i="3"/>
  <c r="AO21" i="3"/>
  <c r="AN24" i="3"/>
  <c r="AO25" i="3"/>
  <c r="AN28" i="3"/>
  <c r="AO29" i="3"/>
  <c r="AN7" i="3"/>
  <c r="AO8" i="3"/>
  <c r="AN11" i="3"/>
  <c r="AO12" i="3"/>
  <c r="AN15" i="3"/>
  <c r="AO16" i="3"/>
  <c r="AN19" i="3"/>
  <c r="AO20" i="3"/>
  <c r="AN23" i="3"/>
  <c r="AO24" i="3"/>
  <c r="AN27" i="3"/>
  <c r="AO28" i="3"/>
  <c r="AN6" i="3"/>
  <c r="AO7" i="3"/>
  <c r="AN10" i="3"/>
  <c r="AO11" i="3"/>
  <c r="AN14" i="3"/>
  <c r="AO15" i="3"/>
  <c r="AN18" i="3"/>
  <c r="AO19" i="3"/>
  <c r="AN22" i="3"/>
  <c r="AO23" i="3"/>
  <c r="AN26" i="3"/>
  <c r="AO27" i="3"/>
  <c r="AN30" i="3"/>
  <c r="AP47" i="3"/>
  <c r="AP61" i="3"/>
  <c r="AP65" i="3"/>
  <c r="AP58" i="3"/>
  <c r="AP59" i="3"/>
  <c r="AP63" i="3"/>
  <c r="AP62" i="3"/>
  <c r="AP51" i="3"/>
  <c r="AP55" i="3"/>
  <c r="AP46" i="3"/>
  <c r="AP50" i="3"/>
  <c r="AP54" i="3"/>
  <c r="AP45" i="3"/>
  <c r="AP49" i="3"/>
  <c r="AP53" i="3"/>
  <c r="AP57" i="3"/>
  <c r="AP44" i="3"/>
  <c r="AP48" i="3"/>
  <c r="AP52" i="3"/>
  <c r="AP56" i="3"/>
  <c r="AP39" i="3"/>
  <c r="AP38" i="3"/>
  <c r="AP42" i="3"/>
  <c r="AP43" i="3"/>
  <c r="AP37" i="3"/>
  <c r="AP41" i="3"/>
  <c r="AP36" i="3"/>
  <c r="AP40" i="3"/>
  <c r="AP31" i="3"/>
  <c r="AP34" i="3"/>
  <c r="AP35" i="3"/>
  <c r="AP33" i="3"/>
  <c r="AP32" i="3"/>
  <c r="R66" i="3"/>
  <c r="S66" i="3"/>
  <c r="T66" i="3"/>
  <c r="AP13" i="3" l="1"/>
  <c r="AP22" i="3"/>
  <c r="AP14" i="3"/>
  <c r="AP6" i="3"/>
  <c r="AP30" i="3"/>
  <c r="AP18" i="3"/>
  <c r="AP10" i="3"/>
  <c r="AP11" i="3"/>
  <c r="AP16" i="3"/>
  <c r="AP20" i="3"/>
  <c r="AP12" i="3"/>
  <c r="AP29" i="3"/>
  <c r="AP24" i="3"/>
  <c r="AP25" i="3"/>
  <c r="AP26" i="3"/>
  <c r="AP15" i="3"/>
  <c r="AP21" i="3"/>
  <c r="AP17" i="3"/>
  <c r="AP8" i="3"/>
  <c r="AP7" i="3"/>
  <c r="AP5" i="3"/>
  <c r="AP9" i="3"/>
  <c r="AP23" i="3"/>
  <c r="AP27" i="3"/>
  <c r="AP19" i="3"/>
  <c r="AP28" i="3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O62" i="5" l="1"/>
  <c r="AO60" i="5"/>
  <c r="AO56" i="5"/>
  <c r="AN56" i="5"/>
  <c r="AO57" i="5"/>
  <c r="AO53" i="5"/>
  <c r="AN57" i="5"/>
  <c r="AN53" i="5"/>
  <c r="AO63" i="5"/>
  <c r="AO61" i="5"/>
  <c r="AO59" i="5"/>
  <c r="AN59" i="5"/>
  <c r="AO58" i="5"/>
  <c r="AN58" i="5"/>
  <c r="AO55" i="5"/>
  <c r="AN55" i="5"/>
  <c r="AO54" i="5"/>
  <c r="AN54" i="5"/>
  <c r="AO52" i="5"/>
  <c r="AN52" i="5"/>
  <c r="AO51" i="5"/>
  <c r="AN51" i="5"/>
  <c r="AF56" i="11"/>
  <c r="AG56" i="11"/>
  <c r="AF57" i="11"/>
  <c r="AG57" i="11"/>
  <c r="AF58" i="11"/>
  <c r="AG58" i="11"/>
  <c r="AF59" i="11"/>
  <c r="AG59" i="11"/>
  <c r="AF60" i="11"/>
  <c r="AG60" i="11"/>
  <c r="AF61" i="11"/>
  <c r="AG61" i="11"/>
  <c r="AF62" i="11"/>
  <c r="AG62" i="11"/>
  <c r="AF63" i="11"/>
  <c r="AG63" i="11"/>
  <c r="AG54" i="11"/>
  <c r="AM63" i="11"/>
  <c r="AL63" i="11"/>
  <c r="AK63" i="11"/>
  <c r="AL62" i="11"/>
  <c r="AK62" i="11"/>
  <c r="AL61" i="11"/>
  <c r="AK61" i="11"/>
  <c r="AL60" i="11"/>
  <c r="AK60" i="11"/>
  <c r="AM59" i="11"/>
  <c r="AL59" i="11"/>
  <c r="AK59" i="11"/>
  <c r="AL58" i="11"/>
  <c r="AK58" i="11"/>
  <c r="AL57" i="11"/>
  <c r="AK57" i="11"/>
  <c r="AL56" i="11"/>
  <c r="AK56" i="11"/>
  <c r="AL55" i="11"/>
  <c r="AK55" i="11"/>
  <c r="AL54" i="11"/>
  <c r="AK54" i="11"/>
  <c r="AL53" i="11"/>
  <c r="AK53" i="11"/>
  <c r="AL52" i="11"/>
  <c r="AK52" i="11"/>
  <c r="AM51" i="11"/>
  <c r="AL51" i="11"/>
  <c r="AK51" i="11"/>
  <c r="AK50" i="11"/>
  <c r="AL50" i="11"/>
  <c r="AM52" i="11"/>
  <c r="AM53" i="11"/>
  <c r="AM54" i="11"/>
  <c r="AM55" i="11"/>
  <c r="AM56" i="11"/>
  <c r="AM57" i="11"/>
  <c r="AM58" i="11"/>
  <c r="AM60" i="11"/>
  <c r="AM61" i="11"/>
  <c r="AM62" i="11"/>
  <c r="AT65" i="11" s="1"/>
  <c r="AP56" i="5" l="1"/>
  <c r="AN61" i="11"/>
  <c r="AP53" i="5"/>
  <c r="AP57" i="5"/>
  <c r="AP60" i="5"/>
  <c r="AP55" i="5"/>
  <c r="AP59" i="5"/>
  <c r="AP63" i="5"/>
  <c r="AP62" i="5"/>
  <c r="AP58" i="5"/>
  <c r="AP61" i="5"/>
  <c r="AN56" i="11"/>
  <c r="AP54" i="5"/>
  <c r="AP52" i="5"/>
  <c r="AP51" i="5"/>
  <c r="AN59" i="11"/>
  <c r="AN63" i="11"/>
  <c r="AN57" i="11"/>
  <c r="AO60" i="11"/>
  <c r="AO56" i="11"/>
  <c r="AO54" i="11"/>
  <c r="AN60" i="11"/>
  <c r="AN58" i="11"/>
  <c r="AO59" i="11"/>
  <c r="AN62" i="11"/>
  <c r="AO63" i="11"/>
  <c r="AO61" i="11"/>
  <c r="AO57" i="11"/>
  <c r="AO58" i="11"/>
  <c r="AO62" i="11"/>
  <c r="AU65" i="11" l="1"/>
  <c r="AV65" i="11"/>
  <c r="AP56" i="11"/>
  <c r="AP61" i="11"/>
  <c r="AP60" i="11"/>
  <c r="AP62" i="11"/>
  <c r="AP63" i="11"/>
  <c r="AP59" i="11"/>
  <c r="AP58" i="11"/>
  <c r="AP57" i="11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A57" i="12"/>
  <c r="AB57" i="12"/>
  <c r="AA58" i="12"/>
  <c r="AB58" i="12"/>
  <c r="AA59" i="12"/>
  <c r="AB59" i="12"/>
  <c r="T59" i="12"/>
  <c r="AO59" i="12" s="1"/>
  <c r="S59" i="12"/>
  <c r="AN59" i="12" s="1"/>
  <c r="R59" i="12"/>
  <c r="AM59" i="12" s="1"/>
  <c r="T58" i="12"/>
  <c r="AO58" i="12" s="1"/>
  <c r="S58" i="12"/>
  <c r="AN58" i="12" s="1"/>
  <c r="R58" i="12"/>
  <c r="AM58" i="12" s="1"/>
  <c r="T57" i="12"/>
  <c r="AO57" i="12" s="1"/>
  <c r="S57" i="12"/>
  <c r="AN57" i="12" s="1"/>
  <c r="R57" i="12"/>
  <c r="AM57" i="12" s="1"/>
  <c r="T56" i="12"/>
  <c r="AO56" i="12" s="1"/>
  <c r="S56" i="12"/>
  <c r="AN56" i="12" s="1"/>
  <c r="R56" i="12"/>
  <c r="AM56" i="12" s="1"/>
  <c r="T55" i="12"/>
  <c r="AO55" i="12" s="1"/>
  <c r="S55" i="12"/>
  <c r="AN55" i="12" s="1"/>
  <c r="R55" i="12"/>
  <c r="AM55" i="12" s="1"/>
  <c r="T54" i="12"/>
  <c r="AO54" i="12" s="1"/>
  <c r="S54" i="12"/>
  <c r="AN54" i="12" s="1"/>
  <c r="R54" i="12"/>
  <c r="AM54" i="12" s="1"/>
  <c r="T53" i="12"/>
  <c r="AO53" i="12" s="1"/>
  <c r="S53" i="12"/>
  <c r="AN53" i="12" s="1"/>
  <c r="R53" i="12"/>
  <c r="AM53" i="12" s="1"/>
  <c r="T52" i="12"/>
  <c r="AO52" i="12" s="1"/>
  <c r="S52" i="12"/>
  <c r="AN52" i="12" s="1"/>
  <c r="R52" i="12"/>
  <c r="AM52" i="12" s="1"/>
  <c r="T51" i="12"/>
  <c r="AO51" i="12" s="1"/>
  <c r="S51" i="12"/>
  <c r="AN51" i="12" s="1"/>
  <c r="R51" i="12"/>
  <c r="AM51" i="12" s="1"/>
  <c r="AU65" i="12" l="1"/>
  <c r="AP55" i="12"/>
  <c r="AV65" i="12"/>
  <c r="AP58" i="12"/>
  <c r="AT65" i="12"/>
  <c r="AP54" i="12"/>
  <c r="AP51" i="12"/>
  <c r="AP59" i="12"/>
  <c r="AP57" i="12"/>
  <c r="AP56" i="12"/>
  <c r="AP53" i="12"/>
  <c r="AP52" i="12"/>
  <c r="R49" i="13"/>
  <c r="S49" i="13"/>
  <c r="T49" i="13"/>
  <c r="R50" i="13"/>
  <c r="S50" i="13"/>
  <c r="T50" i="13"/>
  <c r="R51" i="13"/>
  <c r="S51" i="13"/>
  <c r="T51" i="13"/>
  <c r="R52" i="13"/>
  <c r="S52" i="13"/>
  <c r="T52" i="13"/>
  <c r="R53" i="13"/>
  <c r="S53" i="13"/>
  <c r="T53" i="13"/>
  <c r="R54" i="13"/>
  <c r="S54" i="13"/>
  <c r="T54" i="13"/>
  <c r="R55" i="13"/>
  <c r="S55" i="13"/>
  <c r="T55" i="13"/>
  <c r="R56" i="13"/>
  <c r="S56" i="13"/>
  <c r="T56" i="13"/>
  <c r="R57" i="13"/>
  <c r="S57" i="13"/>
  <c r="T57" i="13"/>
  <c r="R58" i="13"/>
  <c r="S58" i="13"/>
  <c r="T58" i="13"/>
  <c r="R59" i="13"/>
  <c r="S59" i="13"/>
  <c r="T59" i="13"/>
  <c r="R60" i="13"/>
  <c r="S60" i="13"/>
  <c r="T60" i="13"/>
  <c r="R61" i="13"/>
  <c r="S61" i="13"/>
  <c r="T61" i="13"/>
  <c r="R62" i="13"/>
  <c r="AM62" i="13" s="1"/>
  <c r="S62" i="13"/>
  <c r="AN62" i="13" s="1"/>
  <c r="T62" i="13"/>
  <c r="AO62" i="13" s="1"/>
  <c r="R63" i="13"/>
  <c r="S63" i="13"/>
  <c r="T63" i="13"/>
  <c r="AL63" i="13"/>
  <c r="AK63" i="13"/>
  <c r="AR63" i="13"/>
  <c r="AR62" i="13"/>
  <c r="AL61" i="13"/>
  <c r="AK61" i="13"/>
  <c r="AR61" i="13"/>
  <c r="AL60" i="13"/>
  <c r="AK60" i="13"/>
  <c r="AR60" i="13"/>
  <c r="AL59" i="13"/>
  <c r="AK59" i="13"/>
  <c r="AR59" i="13"/>
  <c r="AL58" i="13"/>
  <c r="AK58" i="13"/>
  <c r="AR58" i="13"/>
  <c r="AL57" i="13"/>
  <c r="AK57" i="13"/>
  <c r="AR57" i="13"/>
  <c r="AL56" i="13"/>
  <c r="AK56" i="13"/>
  <c r="AR56" i="13"/>
  <c r="AL55" i="13"/>
  <c r="AK55" i="13"/>
  <c r="AR55" i="13"/>
  <c r="AL54" i="13"/>
  <c r="AK54" i="13"/>
  <c r="AR54" i="13"/>
  <c r="AL53" i="13"/>
  <c r="AK53" i="13"/>
  <c r="AR53" i="13"/>
  <c r="AL52" i="13"/>
  <c r="AK52" i="13"/>
  <c r="AR52" i="13"/>
  <c r="AL51" i="13"/>
  <c r="AK51" i="13"/>
  <c r="AL50" i="13"/>
  <c r="AK50" i="13"/>
  <c r="AP62" i="13" l="1"/>
  <c r="AR50" i="13"/>
  <c r="AR51" i="13"/>
  <c r="AM55" i="13"/>
  <c r="AM60" i="13"/>
  <c r="AM61" i="13"/>
  <c r="AM53" i="13"/>
  <c r="AM56" i="13"/>
  <c r="AM57" i="13"/>
  <c r="AM58" i="13"/>
  <c r="AM63" i="13"/>
  <c r="AN59" i="13" l="1"/>
  <c r="AN52" i="13"/>
  <c r="AN58" i="13"/>
  <c r="AN51" i="13"/>
  <c r="AO51" i="13"/>
  <c r="AO58" i="13"/>
  <c r="AO61" i="13"/>
  <c r="AN54" i="13"/>
  <c r="AM51" i="13"/>
  <c r="AN61" i="13"/>
  <c r="AN57" i="13"/>
  <c r="AN56" i="13"/>
  <c r="AN50" i="13"/>
  <c r="AO50" i="13"/>
  <c r="AO56" i="13"/>
  <c r="AO60" i="13"/>
  <c r="AN60" i="13"/>
  <c r="AO55" i="13"/>
  <c r="AM50" i="13"/>
  <c r="AN55" i="13"/>
  <c r="AO57" i="13"/>
  <c r="AM52" i="13"/>
  <c r="AM59" i="13"/>
  <c r="AO63" i="13"/>
  <c r="AN63" i="13"/>
  <c r="AN53" i="13"/>
  <c r="AO53" i="13"/>
  <c r="AO52" i="13"/>
  <c r="AO54" i="13"/>
  <c r="AO59" i="13"/>
  <c r="AM54" i="13"/>
  <c r="AT63" i="13" l="1"/>
  <c r="AU63" i="13"/>
  <c r="AV63" i="13"/>
  <c r="AP61" i="13"/>
  <c r="AP53" i="13"/>
  <c r="AP56" i="13"/>
  <c r="AP55" i="13"/>
  <c r="AP57" i="13"/>
  <c r="AP58" i="13"/>
  <c r="AP63" i="13"/>
  <c r="AP60" i="13"/>
  <c r="AP50" i="13"/>
  <c r="AP52" i="13"/>
  <c r="AP54" i="13"/>
  <c r="AP51" i="13"/>
  <c r="AP59" i="1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P65" i="10" l="1"/>
  <c r="AP64" i="10"/>
  <c r="AK51" i="14"/>
  <c r="AK52" i="14"/>
  <c r="AK53" i="14"/>
  <c r="AK54" i="14"/>
  <c r="AK55" i="14"/>
  <c r="AK56" i="14"/>
  <c r="AK57" i="14"/>
  <c r="AK58" i="14"/>
  <c r="AK59" i="14"/>
  <c r="AO58" i="14"/>
  <c r="AM51" i="14"/>
  <c r="AM52" i="14"/>
  <c r="AM53" i="14"/>
  <c r="AM54" i="14"/>
  <c r="AM55" i="14"/>
  <c r="AM56" i="14"/>
  <c r="AM57" i="14"/>
  <c r="AM58" i="14"/>
  <c r="AM59" i="14"/>
  <c r="AT65" i="14" l="1"/>
  <c r="AN58" i="14"/>
  <c r="AN59" i="14"/>
  <c r="AO59" i="14"/>
  <c r="O63" i="16"/>
  <c r="O61" i="16"/>
  <c r="AP58" i="14" l="1"/>
  <c r="AP59" i="14"/>
  <c r="O64" i="16"/>
  <c r="O59" i="16"/>
  <c r="O62" i="16"/>
  <c r="O60" i="16"/>
  <c r="AL65" i="7" l="1"/>
  <c r="AK65" i="7"/>
  <c r="AK64" i="7"/>
  <c r="AL64" i="7"/>
  <c r="AG65" i="7"/>
  <c r="AF65" i="7"/>
  <c r="AF64" i="7"/>
  <c r="AG64" i="7"/>
  <c r="AA65" i="7"/>
  <c r="AB65" i="7"/>
  <c r="AA64" i="7"/>
  <c r="AB64" i="7"/>
  <c r="R50" i="7"/>
  <c r="AM50" i="7" s="1"/>
  <c r="S50" i="7"/>
  <c r="T50" i="7"/>
  <c r="R51" i="7"/>
  <c r="AM51" i="7" s="1"/>
  <c r="S51" i="7"/>
  <c r="T51" i="7"/>
  <c r="R52" i="7"/>
  <c r="AM52" i="7" s="1"/>
  <c r="S52" i="7"/>
  <c r="T52" i="7"/>
  <c r="R53" i="7"/>
  <c r="AM53" i="7" s="1"/>
  <c r="S53" i="7"/>
  <c r="T53" i="7"/>
  <c r="R54" i="7"/>
  <c r="AM54" i="7" s="1"/>
  <c r="S54" i="7"/>
  <c r="T54" i="7"/>
  <c r="R55" i="7"/>
  <c r="AM55" i="7" s="1"/>
  <c r="S55" i="7"/>
  <c r="T55" i="7"/>
  <c r="R56" i="7"/>
  <c r="AM56" i="7" s="1"/>
  <c r="S56" i="7"/>
  <c r="T56" i="7"/>
  <c r="R57" i="7"/>
  <c r="AM57" i="7" s="1"/>
  <c r="S57" i="7"/>
  <c r="T57" i="7"/>
  <c r="R58" i="7"/>
  <c r="AM58" i="7" s="1"/>
  <c r="S58" i="7"/>
  <c r="T58" i="7"/>
  <c r="R59" i="7"/>
  <c r="AM59" i="7" s="1"/>
  <c r="S59" i="7"/>
  <c r="T59" i="7"/>
  <c r="R60" i="7"/>
  <c r="AM60" i="7" s="1"/>
  <c r="S60" i="7"/>
  <c r="T60" i="7"/>
  <c r="R61" i="7"/>
  <c r="AM61" i="7" s="1"/>
  <c r="S61" i="7"/>
  <c r="T61" i="7"/>
  <c r="R62" i="7"/>
  <c r="AM62" i="7" s="1"/>
  <c r="S62" i="7"/>
  <c r="T62" i="7"/>
  <c r="R63" i="7"/>
  <c r="AM63" i="7" s="1"/>
  <c r="S63" i="7"/>
  <c r="T63" i="7"/>
  <c r="R64" i="7"/>
  <c r="AM64" i="7" s="1"/>
  <c r="S64" i="7"/>
  <c r="T64" i="7"/>
  <c r="R65" i="7"/>
  <c r="AM65" i="7" s="1"/>
  <c r="S65" i="7"/>
  <c r="AN65" i="7" s="1"/>
  <c r="T65" i="7"/>
  <c r="AO65" i="7" l="1"/>
  <c r="AP65" i="7" s="1"/>
  <c r="AN64" i="7"/>
  <c r="AO64" i="7"/>
  <c r="AA50" i="8"/>
  <c r="AB50" i="8"/>
  <c r="AF50" i="8"/>
  <c r="AN50" i="8" s="1"/>
  <c r="AG50" i="8"/>
  <c r="AO50" i="8" s="1"/>
  <c r="AA51" i="8"/>
  <c r="AB51" i="8"/>
  <c r="AF51" i="8"/>
  <c r="AN51" i="8" s="1"/>
  <c r="AG51" i="8"/>
  <c r="AO51" i="8" s="1"/>
  <c r="AA52" i="8"/>
  <c r="AB52" i="8"/>
  <c r="AF52" i="8"/>
  <c r="AN52" i="8" s="1"/>
  <c r="AG52" i="8"/>
  <c r="AO52" i="8" s="1"/>
  <c r="AA53" i="8"/>
  <c r="AB53" i="8"/>
  <c r="AF53" i="8"/>
  <c r="AN53" i="8" s="1"/>
  <c r="AG53" i="8"/>
  <c r="AO53" i="8" s="1"/>
  <c r="AA54" i="8"/>
  <c r="AB54" i="8"/>
  <c r="AF54" i="8"/>
  <c r="AN54" i="8" s="1"/>
  <c r="AG54" i="8"/>
  <c r="AO54" i="8" s="1"/>
  <c r="AA55" i="8"/>
  <c r="AB55" i="8"/>
  <c r="AF55" i="8"/>
  <c r="AN55" i="8" s="1"/>
  <c r="AG55" i="8"/>
  <c r="AO55" i="8" s="1"/>
  <c r="AA56" i="8"/>
  <c r="AB56" i="8"/>
  <c r="AF56" i="8"/>
  <c r="AN56" i="8" s="1"/>
  <c r="AG56" i="8"/>
  <c r="AO56" i="8" s="1"/>
  <c r="AA57" i="8"/>
  <c r="AB57" i="8"/>
  <c r="AF57" i="8"/>
  <c r="AN57" i="8" s="1"/>
  <c r="AG57" i="8"/>
  <c r="AO57" i="8" s="1"/>
  <c r="AA58" i="8"/>
  <c r="AB58" i="8"/>
  <c r="AF58" i="8"/>
  <c r="AN58" i="8" s="1"/>
  <c r="AG58" i="8"/>
  <c r="AO58" i="8" s="1"/>
  <c r="AA59" i="8"/>
  <c r="AB59" i="8"/>
  <c r="AF59" i="8"/>
  <c r="AN59" i="8" s="1"/>
  <c r="AG59" i="8"/>
  <c r="AO59" i="8" s="1"/>
  <c r="AA60" i="8"/>
  <c r="AB60" i="8"/>
  <c r="AF60" i="8"/>
  <c r="AN60" i="8" s="1"/>
  <c r="AG60" i="8"/>
  <c r="AO60" i="8" s="1"/>
  <c r="AA61" i="8"/>
  <c r="AB61" i="8"/>
  <c r="AF61" i="8"/>
  <c r="AN61" i="8" s="1"/>
  <c r="AG61" i="8"/>
  <c r="AO61" i="8" s="1"/>
  <c r="AA62" i="8"/>
  <c r="AB62" i="8"/>
  <c r="AF62" i="8"/>
  <c r="AN62" i="8" s="1"/>
  <c r="AG62" i="8"/>
  <c r="AO62" i="8" s="1"/>
  <c r="AA63" i="8"/>
  <c r="AB63" i="8"/>
  <c r="AF63" i="8"/>
  <c r="AN63" i="8" s="1"/>
  <c r="AG63" i="8"/>
  <c r="AO63" i="8" s="1"/>
  <c r="AL58" i="7"/>
  <c r="T49" i="7"/>
  <c r="S49" i="7"/>
  <c r="R49" i="7"/>
  <c r="AM49" i="7" s="1"/>
  <c r="T48" i="7"/>
  <c r="S48" i="7"/>
  <c r="R48" i="7"/>
  <c r="AM48" i="7" s="1"/>
  <c r="T47" i="7"/>
  <c r="S47" i="7"/>
  <c r="R47" i="7"/>
  <c r="AM47" i="7" s="1"/>
  <c r="T46" i="7"/>
  <c r="S46" i="7"/>
  <c r="R46" i="7"/>
  <c r="AM46" i="7" s="1"/>
  <c r="T45" i="7"/>
  <c r="S45" i="7"/>
  <c r="R45" i="7"/>
  <c r="AM45" i="7" s="1"/>
  <c r="T44" i="7"/>
  <c r="S44" i="7"/>
  <c r="R44" i="7"/>
  <c r="AM44" i="7" s="1"/>
  <c r="T43" i="7"/>
  <c r="S43" i="7"/>
  <c r="R43" i="7"/>
  <c r="AM43" i="7" s="1"/>
  <c r="T42" i="7"/>
  <c r="S42" i="7"/>
  <c r="R42" i="7"/>
  <c r="AM42" i="7" s="1"/>
  <c r="T41" i="7"/>
  <c r="S41" i="7"/>
  <c r="R41" i="7"/>
  <c r="AM41" i="7" s="1"/>
  <c r="T40" i="7"/>
  <c r="S40" i="7"/>
  <c r="R40" i="7"/>
  <c r="AM40" i="7" s="1"/>
  <c r="T39" i="7"/>
  <c r="S39" i="7"/>
  <c r="R39" i="7"/>
  <c r="AM39" i="7" s="1"/>
  <c r="T38" i="7"/>
  <c r="S38" i="7"/>
  <c r="R38" i="7"/>
  <c r="AM38" i="7" s="1"/>
  <c r="T37" i="7"/>
  <c r="S37" i="7"/>
  <c r="R37" i="7"/>
  <c r="AM37" i="7" s="1"/>
  <c r="T36" i="7"/>
  <c r="S36" i="7"/>
  <c r="R36" i="7"/>
  <c r="AM36" i="7" s="1"/>
  <c r="T35" i="7"/>
  <c r="S35" i="7"/>
  <c r="R35" i="7"/>
  <c r="AM35" i="7" s="1"/>
  <c r="T34" i="7"/>
  <c r="S34" i="7"/>
  <c r="R34" i="7"/>
  <c r="AM34" i="7" s="1"/>
  <c r="T33" i="7"/>
  <c r="S33" i="7"/>
  <c r="R33" i="7"/>
  <c r="AM33" i="7" s="1"/>
  <c r="T32" i="7"/>
  <c r="S32" i="7"/>
  <c r="R32" i="7"/>
  <c r="AM32" i="7" s="1"/>
  <c r="T31" i="7"/>
  <c r="S31" i="7"/>
  <c r="R31" i="7"/>
  <c r="AM31" i="7" s="1"/>
  <c r="T30" i="7"/>
  <c r="S30" i="7"/>
  <c r="R30" i="7"/>
  <c r="AM30" i="7" s="1"/>
  <c r="T29" i="7"/>
  <c r="S29" i="7"/>
  <c r="R29" i="7"/>
  <c r="AM29" i="7" s="1"/>
  <c r="T28" i="7"/>
  <c r="S28" i="7"/>
  <c r="R28" i="7"/>
  <c r="AM28" i="7" s="1"/>
  <c r="T27" i="7"/>
  <c r="S27" i="7"/>
  <c r="R27" i="7"/>
  <c r="AM27" i="7" s="1"/>
  <c r="T26" i="7"/>
  <c r="S26" i="7"/>
  <c r="R26" i="7"/>
  <c r="AM26" i="7" s="1"/>
  <c r="T25" i="7"/>
  <c r="S25" i="7"/>
  <c r="R25" i="7"/>
  <c r="AM25" i="7" s="1"/>
  <c r="T24" i="7"/>
  <c r="S24" i="7"/>
  <c r="R24" i="7"/>
  <c r="AM24" i="7" s="1"/>
  <c r="T23" i="7"/>
  <c r="S23" i="7"/>
  <c r="R23" i="7"/>
  <c r="AM23" i="7" s="1"/>
  <c r="T22" i="7"/>
  <c r="S22" i="7"/>
  <c r="R22" i="7"/>
  <c r="AM22" i="7" s="1"/>
  <c r="T21" i="7"/>
  <c r="S21" i="7"/>
  <c r="R21" i="7"/>
  <c r="AM21" i="7" s="1"/>
  <c r="T20" i="7"/>
  <c r="S20" i="7"/>
  <c r="R20" i="7"/>
  <c r="AM20" i="7" s="1"/>
  <c r="T19" i="7"/>
  <c r="S19" i="7"/>
  <c r="R19" i="7"/>
  <c r="AM19" i="7" s="1"/>
  <c r="T18" i="7"/>
  <c r="S18" i="7"/>
  <c r="R18" i="7"/>
  <c r="AM18" i="7" s="1"/>
  <c r="T17" i="7"/>
  <c r="S17" i="7"/>
  <c r="R17" i="7"/>
  <c r="AM17" i="7" s="1"/>
  <c r="T16" i="7"/>
  <c r="S16" i="7"/>
  <c r="R16" i="7"/>
  <c r="AM16" i="7" s="1"/>
  <c r="T15" i="7"/>
  <c r="S15" i="7"/>
  <c r="R15" i="7"/>
  <c r="AM15" i="7" s="1"/>
  <c r="T14" i="7"/>
  <c r="S14" i="7"/>
  <c r="R14" i="7"/>
  <c r="AM14" i="7" s="1"/>
  <c r="T13" i="7"/>
  <c r="S13" i="7"/>
  <c r="R13" i="7"/>
  <c r="AM13" i="7" s="1"/>
  <c r="T12" i="7"/>
  <c r="S12" i="7"/>
  <c r="R12" i="7"/>
  <c r="AM12" i="7" s="1"/>
  <c r="T11" i="7"/>
  <c r="S11" i="7"/>
  <c r="R11" i="7"/>
  <c r="AM11" i="7" s="1"/>
  <c r="T10" i="7"/>
  <c r="S10" i="7"/>
  <c r="R10" i="7"/>
  <c r="AM10" i="7" s="1"/>
  <c r="T9" i="7"/>
  <c r="S9" i="7"/>
  <c r="R9" i="7"/>
  <c r="AM9" i="7" s="1"/>
  <c r="T8" i="7"/>
  <c r="S8" i="7"/>
  <c r="R8" i="7"/>
  <c r="AM8" i="7" s="1"/>
  <c r="T7" i="7"/>
  <c r="S7" i="7"/>
  <c r="R7" i="7"/>
  <c r="AM7" i="7" s="1"/>
  <c r="T6" i="7"/>
  <c r="S6" i="7"/>
  <c r="R6" i="7"/>
  <c r="AM6" i="7" s="1"/>
  <c r="T5" i="7"/>
  <c r="S5" i="7"/>
  <c r="R5" i="7"/>
  <c r="AM5" i="7" s="1"/>
  <c r="AL63" i="7"/>
  <c r="AK63" i="7"/>
  <c r="AG63" i="7"/>
  <c r="AF63" i="7"/>
  <c r="AB63" i="7"/>
  <c r="AA63" i="7"/>
  <c r="AR63" i="7"/>
  <c r="AL62" i="7"/>
  <c r="AK62" i="7"/>
  <c r="AG62" i="7"/>
  <c r="AF62" i="7"/>
  <c r="AB62" i="7"/>
  <c r="AA62" i="7"/>
  <c r="AR62" i="7"/>
  <c r="AL61" i="7"/>
  <c r="AK61" i="7"/>
  <c r="AG61" i="7"/>
  <c r="AF61" i="7"/>
  <c r="AB61" i="7"/>
  <c r="AA61" i="7"/>
  <c r="AR61" i="7"/>
  <c r="AL60" i="7"/>
  <c r="AK60" i="7"/>
  <c r="AG60" i="7"/>
  <c r="AF60" i="7"/>
  <c r="AB60" i="7"/>
  <c r="AA60" i="7"/>
  <c r="AR60" i="7"/>
  <c r="AL59" i="7"/>
  <c r="AK59" i="7"/>
  <c r="AG59" i="7"/>
  <c r="AF59" i="7"/>
  <c r="AB59" i="7"/>
  <c r="AA59" i="7"/>
  <c r="AR59" i="7"/>
  <c r="AK58" i="7"/>
  <c r="AG58" i="7"/>
  <c r="AF58" i="7"/>
  <c r="AB58" i="7"/>
  <c r="AA58" i="7"/>
  <c r="AR58" i="7"/>
  <c r="AP64" i="7" l="1"/>
  <c r="AO61" i="7"/>
  <c r="AP51" i="8"/>
  <c r="AP50" i="8"/>
  <c r="AO59" i="7"/>
  <c r="AO63" i="7"/>
  <c r="AN61" i="7"/>
  <c r="AN59" i="7"/>
  <c r="AN63" i="7"/>
  <c r="AP63" i="8"/>
  <c r="AP61" i="8"/>
  <c r="AP60" i="8"/>
  <c r="AP62" i="8"/>
  <c r="AN62" i="7"/>
  <c r="AO62" i="7"/>
  <c r="AN60" i="7"/>
  <c r="AO60" i="7"/>
  <c r="AO58" i="7"/>
  <c r="AN58" i="7"/>
  <c r="AP59" i="8"/>
  <c r="AP58" i="8"/>
  <c r="AP57" i="8"/>
  <c r="AP56" i="8"/>
  <c r="AP55" i="8"/>
  <c r="AP54" i="8"/>
  <c r="AP53" i="8"/>
  <c r="AP52" i="8"/>
  <c r="AP61" i="7" l="1"/>
  <c r="AP59" i="7"/>
  <c r="AP63" i="7"/>
  <c r="AP58" i="7"/>
  <c r="AP62" i="7"/>
  <c r="AP60" i="7"/>
  <c r="AR60" i="10"/>
  <c r="AR61" i="10"/>
  <c r="AR62" i="10"/>
  <c r="AR63" i="10"/>
  <c r="AP63" i="10"/>
  <c r="AP61" i="10" l="1"/>
  <c r="AP62" i="10"/>
  <c r="AP60" i="10"/>
  <c r="AA44" i="8"/>
  <c r="AB44" i="8"/>
  <c r="AA45" i="8"/>
  <c r="AB45" i="8"/>
  <c r="AA46" i="8"/>
  <c r="AB46" i="8"/>
  <c r="AA47" i="8"/>
  <c r="AB47" i="8"/>
  <c r="AA48" i="8"/>
  <c r="AB48" i="8"/>
  <c r="AA49" i="8"/>
  <c r="AB49" i="8"/>
  <c r="AR63" i="9" l="1"/>
  <c r="AR62" i="9"/>
  <c r="AR61" i="9"/>
  <c r="AR60" i="9"/>
  <c r="AR59" i="9"/>
  <c r="AR58" i="9"/>
  <c r="AR59" i="12" l="1"/>
  <c r="AR58" i="12"/>
  <c r="M60" i="16" l="1"/>
  <c r="M59" i="16"/>
  <c r="M61" i="16"/>
  <c r="M62" i="16"/>
  <c r="AR50" i="10" l="1"/>
  <c r="AR57" i="10" l="1"/>
  <c r="AR55" i="10"/>
  <c r="AR53" i="10"/>
  <c r="AR58" i="10"/>
  <c r="AR56" i="10"/>
  <c r="AR52" i="10"/>
  <c r="AR54" i="10"/>
  <c r="AR51" i="10"/>
  <c r="AR59" i="10"/>
  <c r="AP51" i="10"/>
  <c r="AP56" i="10"/>
  <c r="AP59" i="10" l="1"/>
  <c r="AP58" i="10"/>
  <c r="AP57" i="10"/>
  <c r="AP53" i="10"/>
  <c r="AP55" i="10"/>
  <c r="AP52" i="10"/>
  <c r="AP54" i="10"/>
  <c r="AP50" i="10"/>
  <c r="AO57" i="14" l="1"/>
  <c r="AN57" i="14"/>
  <c r="AR57" i="14"/>
  <c r="AO56" i="14"/>
  <c r="AN56" i="14"/>
  <c r="AR56" i="14"/>
  <c r="AO55" i="14"/>
  <c r="AN55" i="14"/>
  <c r="AR55" i="14"/>
  <c r="AO54" i="14"/>
  <c r="AN54" i="14"/>
  <c r="AR54" i="14"/>
  <c r="AO53" i="14"/>
  <c r="AN53" i="14"/>
  <c r="AR53" i="14"/>
  <c r="AO52" i="14"/>
  <c r="AN52" i="14"/>
  <c r="AR52" i="14"/>
  <c r="AO51" i="14"/>
  <c r="AF51" i="14"/>
  <c r="AN51" i="14" s="1"/>
  <c r="AR51" i="14"/>
  <c r="AK50" i="14"/>
  <c r="AF50" i="14"/>
  <c r="AR50" i="14"/>
  <c r="AV65" i="14" l="1"/>
  <c r="AU65" i="14"/>
  <c r="AP53" i="14"/>
  <c r="AP52" i="14"/>
  <c r="AP56" i="14"/>
  <c r="AP57" i="14"/>
  <c r="AP55" i="14"/>
  <c r="AP54" i="14"/>
  <c r="AP51" i="14"/>
  <c r="AO50" i="14"/>
  <c r="AM50" i="14"/>
  <c r="AN50" i="14"/>
  <c r="AP50" i="14" l="1"/>
  <c r="R50" i="12"/>
  <c r="AM50" i="12" s="1"/>
  <c r="S50" i="12"/>
  <c r="AN50" i="12" s="1"/>
  <c r="T50" i="12"/>
  <c r="AO50" i="12" s="1"/>
  <c r="AR57" i="12"/>
  <c r="AR56" i="12"/>
  <c r="AR55" i="12"/>
  <c r="AR54" i="12"/>
  <c r="AR53" i="12"/>
  <c r="AR52" i="12"/>
  <c r="AP50" i="12" l="1"/>
  <c r="AM50" i="11"/>
  <c r="AG55" i="11"/>
  <c r="AO55" i="11" s="1"/>
  <c r="AF55" i="11"/>
  <c r="AN55" i="11" s="1"/>
  <c r="AF54" i="11"/>
  <c r="AN54" i="11" s="1"/>
  <c r="AP54" i="11" s="1"/>
  <c r="AG53" i="11"/>
  <c r="AO53" i="11" s="1"/>
  <c r="AF53" i="11"/>
  <c r="AN53" i="11" s="1"/>
  <c r="AG52" i="11"/>
  <c r="AO52" i="11" s="1"/>
  <c r="AF52" i="11"/>
  <c r="AN52" i="11" s="1"/>
  <c r="AG51" i="11"/>
  <c r="AF51" i="11"/>
  <c r="AG50" i="11"/>
  <c r="AF50" i="11"/>
  <c r="G51" i="11" l="1"/>
  <c r="AN51" i="11" s="1"/>
  <c r="AT63" i="11"/>
  <c r="AP53" i="11"/>
  <c r="AP55" i="11"/>
  <c r="AP52" i="11"/>
  <c r="AG50" i="5" l="1"/>
  <c r="AF50" i="5"/>
  <c r="AN50" i="5" l="1"/>
  <c r="AO50" i="5"/>
  <c r="N40" i="1"/>
  <c r="AP50" i="5" l="1"/>
  <c r="AR57" i="7"/>
  <c r="AL57" i="7"/>
  <c r="AK57" i="7"/>
  <c r="AR56" i="7"/>
  <c r="AL56" i="7"/>
  <c r="AK56" i="7"/>
  <c r="AR55" i="7"/>
  <c r="AL55" i="7"/>
  <c r="AK55" i="7"/>
  <c r="AR54" i="7"/>
  <c r="AL54" i="7"/>
  <c r="AK54" i="7"/>
  <c r="AF54" i="7"/>
  <c r="AG54" i="7"/>
  <c r="AF55" i="7"/>
  <c r="AG55" i="7"/>
  <c r="AF56" i="7"/>
  <c r="AG56" i="7"/>
  <c r="AF57" i="7"/>
  <c r="AG57" i="7"/>
  <c r="AO54" i="7" l="1"/>
  <c r="AO55" i="7"/>
  <c r="AN57" i="7"/>
  <c r="AO57" i="7"/>
  <c r="AN55" i="7"/>
  <c r="AN56" i="7"/>
  <c r="AO56" i="7"/>
  <c r="AN54" i="7"/>
  <c r="R36" i="13"/>
  <c r="S36" i="13"/>
  <c r="T36" i="13"/>
  <c r="R37" i="13"/>
  <c r="S37" i="13"/>
  <c r="T37" i="13"/>
  <c r="R38" i="13"/>
  <c r="S38" i="13"/>
  <c r="T38" i="13"/>
  <c r="R39" i="13"/>
  <c r="S39" i="13"/>
  <c r="T39" i="13"/>
  <c r="R40" i="13"/>
  <c r="S40" i="13"/>
  <c r="T40" i="13"/>
  <c r="R41" i="13"/>
  <c r="S41" i="13"/>
  <c r="T41" i="13"/>
  <c r="R42" i="13"/>
  <c r="S42" i="13"/>
  <c r="T42" i="13"/>
  <c r="R43" i="13"/>
  <c r="S43" i="13"/>
  <c r="T43" i="13"/>
  <c r="R44" i="13"/>
  <c r="S44" i="13"/>
  <c r="T44" i="13"/>
  <c r="R45" i="13"/>
  <c r="S45" i="13"/>
  <c r="T45" i="13"/>
  <c r="R46" i="13"/>
  <c r="S46" i="13"/>
  <c r="T46" i="13"/>
  <c r="R47" i="13"/>
  <c r="S47" i="13"/>
  <c r="T47" i="13"/>
  <c r="R48" i="13"/>
  <c r="S48" i="13"/>
  <c r="T48" i="13"/>
  <c r="AP54" i="7" l="1"/>
  <c r="AP55" i="7"/>
  <c r="AP57" i="7"/>
  <c r="AP56" i="7"/>
  <c r="AK49" i="14"/>
  <c r="AF49" i="14"/>
  <c r="AR49" i="14"/>
  <c r="AK48" i="14"/>
  <c r="AF48" i="14"/>
  <c r="AR48" i="14"/>
  <c r="AK47" i="14"/>
  <c r="AF47" i="14"/>
  <c r="AR47" i="14"/>
  <c r="AK46" i="14"/>
  <c r="AF46" i="14"/>
  <c r="AR46" i="14"/>
  <c r="AK45" i="14"/>
  <c r="AG45" i="14"/>
  <c r="AF45" i="14"/>
  <c r="AR45" i="14"/>
  <c r="AL44" i="14"/>
  <c r="AK44" i="14"/>
  <c r="AG44" i="14"/>
  <c r="AF44" i="14"/>
  <c r="AR44" i="14"/>
  <c r="AL43" i="14"/>
  <c r="AK43" i="14"/>
  <c r="AG43" i="14"/>
  <c r="AF43" i="14"/>
  <c r="AR43" i="14"/>
  <c r="AL42" i="14"/>
  <c r="AK42" i="14"/>
  <c r="AG42" i="14"/>
  <c r="AF42" i="14"/>
  <c r="AR42" i="14"/>
  <c r="AL41" i="14"/>
  <c r="AK41" i="14"/>
  <c r="AG41" i="14"/>
  <c r="AF41" i="14"/>
  <c r="AR41" i="14"/>
  <c r="AL40" i="14"/>
  <c r="AK40" i="14"/>
  <c r="AG40" i="14"/>
  <c r="AF40" i="14"/>
  <c r="AR40" i="14"/>
  <c r="AL39" i="14"/>
  <c r="AK39" i="14"/>
  <c r="AG39" i="14"/>
  <c r="AF39" i="14"/>
  <c r="AR39" i="14"/>
  <c r="AL38" i="14"/>
  <c r="AK38" i="14"/>
  <c r="AG38" i="14"/>
  <c r="AF38" i="14"/>
  <c r="AR38" i="14"/>
  <c r="AL37" i="14"/>
  <c r="AK37" i="14"/>
  <c r="AG37" i="14"/>
  <c r="AF37" i="14"/>
  <c r="AR37" i="14"/>
  <c r="AL36" i="14"/>
  <c r="AK36" i="14"/>
  <c r="AG36" i="14"/>
  <c r="AF36" i="14"/>
  <c r="AN36" i="14" l="1"/>
  <c r="AM36" i="14"/>
  <c r="AR36" i="14"/>
  <c r="AN37" i="14"/>
  <c r="AN38" i="14"/>
  <c r="AM39" i="14"/>
  <c r="AM40" i="14"/>
  <c r="AM41" i="14"/>
  <c r="AM42" i="14"/>
  <c r="AM44" i="14"/>
  <c r="AM45" i="14"/>
  <c r="AM46" i="14"/>
  <c r="AM47" i="14"/>
  <c r="AM48" i="14"/>
  <c r="AM49" i="14"/>
  <c r="AO40" i="14"/>
  <c r="AO45" i="14"/>
  <c r="AO48" i="14"/>
  <c r="AM37" i="14"/>
  <c r="AM38" i="14"/>
  <c r="AM43" i="14"/>
  <c r="AN45" i="14"/>
  <c r="AT55" i="14" l="1"/>
  <c r="AT61" i="14"/>
  <c r="AP45" i="14"/>
  <c r="AN41" i="14"/>
  <c r="AO41" i="14"/>
  <c r="AN49" i="14"/>
  <c r="AN48" i="14"/>
  <c r="AN44" i="14"/>
  <c r="AN40" i="14"/>
  <c r="AN46" i="14"/>
  <c r="AN42" i="14"/>
  <c r="AO44" i="14"/>
  <c r="AO49" i="14"/>
  <c r="AV61" i="14" s="1"/>
  <c r="AO43" i="14"/>
  <c r="AO36" i="14"/>
  <c r="AP36" i="14" s="1"/>
  <c r="AN47" i="14"/>
  <c r="AN43" i="14"/>
  <c r="AN39" i="14"/>
  <c r="AO42" i="14"/>
  <c r="AO39" i="14"/>
  <c r="AO47" i="14"/>
  <c r="AO46" i="14"/>
  <c r="AO37" i="14"/>
  <c r="AP37" i="14" s="1"/>
  <c r="AO38" i="14"/>
  <c r="AU55" i="14" l="1"/>
  <c r="AV55" i="14"/>
  <c r="AU61" i="14"/>
  <c r="AP40" i="14"/>
  <c r="AP48" i="14"/>
  <c r="AP38" i="14"/>
  <c r="AP49" i="14"/>
  <c r="AP42" i="14"/>
  <c r="AP46" i="14"/>
  <c r="AP43" i="14"/>
  <c r="AP47" i="14"/>
  <c r="AP44" i="14"/>
  <c r="AP41" i="14"/>
  <c r="AP39" i="14"/>
  <c r="AR42" i="13"/>
  <c r="AM42" i="13"/>
  <c r="AL49" i="13" l="1"/>
  <c r="AK49" i="13"/>
  <c r="AR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T35" i="13"/>
  <c r="S35" i="13"/>
  <c r="R35" i="13"/>
  <c r="AM35" i="13" s="1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S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AM48" i="13" l="1"/>
  <c r="AM40" i="13"/>
  <c r="AO41" i="13"/>
  <c r="AO39" i="13"/>
  <c r="AN38" i="13"/>
  <c r="AM44" i="13"/>
  <c r="AO46" i="13"/>
  <c r="AO45" i="13"/>
  <c r="AO49" i="13"/>
  <c r="AO37" i="13"/>
  <c r="AN37" i="13"/>
  <c r="AN42" i="13"/>
  <c r="AO44" i="13"/>
  <c r="AM36" i="13"/>
  <c r="AN45" i="13"/>
  <c r="AO47" i="13"/>
  <c r="AO43" i="13"/>
  <c r="AN47" i="13"/>
  <c r="AM47" i="13"/>
  <c r="AM39" i="13"/>
  <c r="AN41" i="13"/>
  <c r="AM49" i="13"/>
  <c r="AO42" i="13"/>
  <c r="AN48" i="13"/>
  <c r="AO36" i="13"/>
  <c r="AM38" i="13"/>
  <c r="AO40" i="13"/>
  <c r="AM43" i="13"/>
  <c r="AO48" i="13"/>
  <c r="AO38" i="13"/>
  <c r="AM37" i="13"/>
  <c r="AM41" i="13"/>
  <c r="AM45" i="13"/>
  <c r="AM46" i="13"/>
  <c r="AV53" i="13" l="1"/>
  <c r="AT53" i="13"/>
  <c r="AP45" i="13"/>
  <c r="AP48" i="13"/>
  <c r="AP47" i="13"/>
  <c r="AP37" i="13"/>
  <c r="AP42" i="13"/>
  <c r="AP41" i="13"/>
  <c r="AP38" i="13"/>
  <c r="AN49" i="13"/>
  <c r="AN46" i="13"/>
  <c r="AN44" i="13"/>
  <c r="AN40" i="13"/>
  <c r="AN36" i="13"/>
  <c r="AN39" i="13"/>
  <c r="AN43" i="13"/>
  <c r="AU53" i="13" l="1"/>
  <c r="AP43" i="13"/>
  <c r="AP49" i="13"/>
  <c r="AP40" i="13"/>
  <c r="AP39" i="13"/>
  <c r="AP46" i="13"/>
  <c r="AP36" i="13"/>
  <c r="AP44" i="13"/>
  <c r="AK50" i="7"/>
  <c r="AL50" i="7"/>
  <c r="AK51" i="7"/>
  <c r="AL51" i="7"/>
  <c r="AK52" i="7"/>
  <c r="AL52" i="7"/>
  <c r="AK53" i="7"/>
  <c r="AL53" i="7"/>
  <c r="AG53" i="7"/>
  <c r="AF53" i="7"/>
  <c r="AG52" i="7"/>
  <c r="AF52" i="7"/>
  <c r="AG51" i="7"/>
  <c r="AF51" i="7"/>
  <c r="AF50" i="7"/>
  <c r="AG50" i="7"/>
  <c r="AB53" i="7"/>
  <c r="AB52" i="7"/>
  <c r="AB51" i="7"/>
  <c r="AB50" i="7"/>
  <c r="AN51" i="7" l="1"/>
  <c r="AO53" i="7"/>
  <c r="AN53" i="7"/>
  <c r="AO51" i="7"/>
  <c r="AO52" i="7"/>
  <c r="AN52" i="7"/>
  <c r="AO50" i="7"/>
  <c r="AN50" i="7"/>
  <c r="AR55" i="9"/>
  <c r="AR53" i="9"/>
  <c r="AR52" i="9"/>
  <c r="AR51" i="9"/>
  <c r="AR50" i="9"/>
  <c r="AP51" i="7" l="1"/>
  <c r="AP53" i="7"/>
  <c r="AP52" i="7"/>
  <c r="AP50" i="7"/>
  <c r="AR54" i="9"/>
  <c r="AR49" i="12" l="1"/>
  <c r="AR39" i="12"/>
  <c r="AR38" i="12"/>
  <c r="AR37" i="12"/>
  <c r="AR36" i="12"/>
  <c r="AA37" i="12"/>
  <c r="AB37" i="12"/>
  <c r="AA38" i="12"/>
  <c r="AB38" i="12"/>
  <c r="AA39" i="12"/>
  <c r="AB39" i="12"/>
  <c r="AA40" i="12"/>
  <c r="AB40" i="12"/>
  <c r="AA41" i="12"/>
  <c r="AB41" i="12"/>
  <c r="AA42" i="12"/>
  <c r="AB42" i="12"/>
  <c r="AA43" i="12"/>
  <c r="AB43" i="12"/>
  <c r="AA44" i="12"/>
  <c r="AB44" i="12"/>
  <c r="AA45" i="12"/>
  <c r="AB45" i="12"/>
  <c r="AA46" i="12"/>
  <c r="AB46" i="12"/>
  <c r="AA47" i="12"/>
  <c r="AB47" i="12"/>
  <c r="AA48" i="12"/>
  <c r="AB48" i="12"/>
  <c r="AA49" i="12"/>
  <c r="AB49" i="12"/>
  <c r="AA50" i="12"/>
  <c r="AB50" i="12"/>
  <c r="T48" i="12"/>
  <c r="AO48" i="12" s="1"/>
  <c r="R37" i="12"/>
  <c r="AM37" i="12" s="1"/>
  <c r="S37" i="12"/>
  <c r="AN37" i="12" s="1"/>
  <c r="T37" i="12"/>
  <c r="AO37" i="12" s="1"/>
  <c r="R38" i="12"/>
  <c r="AM38" i="12" s="1"/>
  <c r="S38" i="12"/>
  <c r="AN38" i="12" s="1"/>
  <c r="T38" i="12"/>
  <c r="AO38" i="12" s="1"/>
  <c r="R39" i="12"/>
  <c r="AM39" i="12" s="1"/>
  <c r="S39" i="12"/>
  <c r="AN39" i="12" s="1"/>
  <c r="T39" i="12"/>
  <c r="AO39" i="12" s="1"/>
  <c r="R40" i="12"/>
  <c r="AM40" i="12" s="1"/>
  <c r="S40" i="12"/>
  <c r="AN40" i="12" s="1"/>
  <c r="T40" i="12"/>
  <c r="AO40" i="12" s="1"/>
  <c r="R41" i="12"/>
  <c r="AM41" i="12" s="1"/>
  <c r="S41" i="12"/>
  <c r="AN41" i="12" s="1"/>
  <c r="T41" i="12"/>
  <c r="AO41" i="12" s="1"/>
  <c r="R42" i="12"/>
  <c r="AM42" i="12" s="1"/>
  <c r="S42" i="12"/>
  <c r="AN42" i="12" s="1"/>
  <c r="T42" i="12"/>
  <c r="AO42" i="12" s="1"/>
  <c r="R43" i="12"/>
  <c r="AM43" i="12" s="1"/>
  <c r="S43" i="12"/>
  <c r="AN43" i="12" s="1"/>
  <c r="T43" i="12"/>
  <c r="AO43" i="12" s="1"/>
  <c r="R44" i="12"/>
  <c r="AM44" i="12" s="1"/>
  <c r="S44" i="12"/>
  <c r="AN44" i="12" s="1"/>
  <c r="T44" i="12"/>
  <c r="AO44" i="12" s="1"/>
  <c r="R45" i="12"/>
  <c r="AM45" i="12" s="1"/>
  <c r="S45" i="12"/>
  <c r="AN45" i="12" s="1"/>
  <c r="T45" i="12"/>
  <c r="AO45" i="12" s="1"/>
  <c r="R46" i="12"/>
  <c r="AM46" i="12" s="1"/>
  <c r="S46" i="12"/>
  <c r="AN46" i="12" s="1"/>
  <c r="T46" i="12"/>
  <c r="AO46" i="12" s="1"/>
  <c r="R47" i="12"/>
  <c r="AM47" i="12" s="1"/>
  <c r="S47" i="12"/>
  <c r="AN47" i="12" s="1"/>
  <c r="T47" i="12"/>
  <c r="AO47" i="12" s="1"/>
  <c r="R48" i="12"/>
  <c r="AM48" i="12" s="1"/>
  <c r="S48" i="12"/>
  <c r="AN48" i="12" s="1"/>
  <c r="R49" i="12"/>
  <c r="AM49" i="12" s="1"/>
  <c r="S49" i="12"/>
  <c r="AN49" i="12" s="1"/>
  <c r="T49" i="12"/>
  <c r="AO49" i="12" s="1"/>
  <c r="AU55" i="12" l="1"/>
  <c r="AT55" i="12"/>
  <c r="AV55" i="12"/>
  <c r="AV59" i="12"/>
  <c r="AT59" i="12"/>
  <c r="AU59" i="12"/>
  <c r="AP49" i="12"/>
  <c r="AP46" i="12"/>
  <c r="AP48" i="12"/>
  <c r="AP42" i="12"/>
  <c r="AP45" i="12"/>
  <c r="AP47" i="12"/>
  <c r="AP43" i="12"/>
  <c r="AP44" i="12"/>
  <c r="AP37" i="12"/>
  <c r="AP38" i="12"/>
  <c r="AP39" i="12"/>
  <c r="AP41" i="12"/>
  <c r="AP40" i="12"/>
  <c r="AT61" i="12"/>
  <c r="AV61" i="12" l="1"/>
  <c r="AU61" i="12"/>
  <c r="AR49" i="11"/>
  <c r="AK37" i="11"/>
  <c r="AL37" i="11"/>
  <c r="AK38" i="11"/>
  <c r="AL38" i="11"/>
  <c r="AK39" i="11"/>
  <c r="AL39" i="11"/>
  <c r="AK40" i="11"/>
  <c r="AL40" i="11"/>
  <c r="AK41" i="11"/>
  <c r="AL41" i="11"/>
  <c r="AM41" i="11"/>
  <c r="AK42" i="11"/>
  <c r="AL42" i="11"/>
  <c r="AK43" i="11"/>
  <c r="AL43" i="11"/>
  <c r="AK44" i="11"/>
  <c r="AL44" i="11"/>
  <c r="AK45" i="11"/>
  <c r="AL45" i="11"/>
  <c r="AK46" i="11"/>
  <c r="AL46" i="11"/>
  <c r="AK47" i="11"/>
  <c r="AL47" i="11"/>
  <c r="AM47" i="11"/>
  <c r="G48" i="11" s="1"/>
  <c r="AK48" i="11"/>
  <c r="AL48" i="11"/>
  <c r="AM48" i="11"/>
  <c r="AK49" i="11"/>
  <c r="AL49" i="11"/>
  <c r="AF37" i="11"/>
  <c r="AG37" i="11"/>
  <c r="AF38" i="11"/>
  <c r="AG38" i="11"/>
  <c r="AF39" i="11"/>
  <c r="AG39" i="11"/>
  <c r="AF40" i="11"/>
  <c r="AG40" i="11"/>
  <c r="AF41" i="11"/>
  <c r="AG41" i="11"/>
  <c r="AF42" i="11"/>
  <c r="AG42" i="11"/>
  <c r="AF43" i="11"/>
  <c r="AG43" i="11"/>
  <c r="AF44" i="11"/>
  <c r="AG44" i="11"/>
  <c r="AF45" i="11"/>
  <c r="AG45" i="11"/>
  <c r="AF46" i="11"/>
  <c r="AG46" i="11"/>
  <c r="AF47" i="11"/>
  <c r="AG47" i="11"/>
  <c r="AF48" i="11"/>
  <c r="AG48" i="11"/>
  <c r="AF49" i="11"/>
  <c r="AG49" i="11"/>
  <c r="AM37" i="11"/>
  <c r="AM38" i="11"/>
  <c r="AM39" i="11"/>
  <c r="AM40" i="11"/>
  <c r="AM42" i="11"/>
  <c r="AM43" i="11"/>
  <c r="G44" i="11" s="1"/>
  <c r="AM44" i="11"/>
  <c r="G45" i="11" s="1"/>
  <c r="AM45" i="11"/>
  <c r="G46" i="11" s="1"/>
  <c r="AM46" i="11"/>
  <c r="G47" i="11" s="1"/>
  <c r="AM49" i="11"/>
  <c r="G50" i="11" s="1"/>
  <c r="AN50" i="11" s="1"/>
  <c r="AU63" i="11" s="1"/>
  <c r="G43" i="11" l="1"/>
  <c r="AN43" i="11" s="1"/>
  <c r="H44" i="11" s="1"/>
  <c r="AO44" i="11" s="1"/>
  <c r="G49" i="11"/>
  <c r="AN49" i="11" s="1"/>
  <c r="H51" i="11"/>
  <c r="AO51" i="11" s="1"/>
  <c r="AP51" i="11" s="1"/>
  <c r="AO38" i="11"/>
  <c r="AN38" i="11"/>
  <c r="AN45" i="11"/>
  <c r="H46" i="11" s="1"/>
  <c r="AO46" i="11" s="1"/>
  <c r="AO37" i="11"/>
  <c r="AN37" i="11"/>
  <c r="AO42" i="11"/>
  <c r="AN41" i="11"/>
  <c r="AN40" i="11"/>
  <c r="AN47" i="11"/>
  <c r="H48" i="11" s="1"/>
  <c r="AO48" i="11" s="1"/>
  <c r="AO40" i="11"/>
  <c r="AN39" i="11"/>
  <c r="AN48" i="11"/>
  <c r="AN42" i="11"/>
  <c r="AO39" i="11"/>
  <c r="AN46" i="11"/>
  <c r="H47" i="11" s="1"/>
  <c r="AO47" i="11" s="1"/>
  <c r="AN44" i="11"/>
  <c r="H45" i="11" s="1"/>
  <c r="AO45" i="11" s="1"/>
  <c r="AO41" i="11"/>
  <c r="H43" i="11" l="1"/>
  <c r="AO43" i="11" s="1"/>
  <c r="AP43" i="11" s="1"/>
  <c r="H49" i="11"/>
  <c r="AO49" i="11" s="1"/>
  <c r="AP49" i="11" s="1"/>
  <c r="H50" i="11"/>
  <c r="AO50" i="11" s="1"/>
  <c r="AP38" i="11"/>
  <c r="AP45" i="11"/>
  <c r="AP46" i="11"/>
  <c r="AP48" i="11"/>
  <c r="AP41" i="11"/>
  <c r="AP37" i="11"/>
  <c r="AP42" i="11"/>
  <c r="AP47" i="11"/>
  <c r="AP44" i="11"/>
  <c r="AP40" i="11"/>
  <c r="AP39" i="11"/>
  <c r="AR46" i="10"/>
  <c r="AP50" i="11" l="1"/>
  <c r="AV63" i="11"/>
  <c r="AP43" i="10"/>
  <c r="AP47" i="10"/>
  <c r="AP42" i="10"/>
  <c r="AP46" i="10"/>
  <c r="AP44" i="10"/>
  <c r="AP48" i="10" l="1"/>
  <c r="AP49" i="10"/>
  <c r="AP45" i="10"/>
  <c r="AF37" i="8"/>
  <c r="AN37" i="8" s="1"/>
  <c r="AG37" i="8"/>
  <c r="AO37" i="8" s="1"/>
  <c r="AF38" i="8"/>
  <c r="AN38" i="8" s="1"/>
  <c r="AG38" i="8"/>
  <c r="AO38" i="8" s="1"/>
  <c r="AF39" i="8"/>
  <c r="AN39" i="8" s="1"/>
  <c r="AG39" i="8"/>
  <c r="AO39" i="8" s="1"/>
  <c r="AF40" i="8"/>
  <c r="AN40" i="8" s="1"/>
  <c r="AG40" i="8"/>
  <c r="AO40" i="8" s="1"/>
  <c r="AF41" i="8"/>
  <c r="AN41" i="8" s="1"/>
  <c r="AG41" i="8"/>
  <c r="AO41" i="8" s="1"/>
  <c r="AF42" i="8"/>
  <c r="AN42" i="8" s="1"/>
  <c r="AG42" i="8"/>
  <c r="AO42" i="8" s="1"/>
  <c r="AF43" i="8"/>
  <c r="AN43" i="8" s="1"/>
  <c r="AG43" i="8"/>
  <c r="AO43" i="8" s="1"/>
  <c r="AF44" i="8"/>
  <c r="AN44" i="8" s="1"/>
  <c r="AG44" i="8"/>
  <c r="AO44" i="8" s="1"/>
  <c r="AF45" i="8"/>
  <c r="AN45" i="8" s="1"/>
  <c r="AG45" i="8"/>
  <c r="AO45" i="8" s="1"/>
  <c r="AF46" i="8"/>
  <c r="AN46" i="8" s="1"/>
  <c r="AG46" i="8"/>
  <c r="AO46" i="8" s="1"/>
  <c r="AF47" i="8"/>
  <c r="AN47" i="8" s="1"/>
  <c r="AG47" i="8"/>
  <c r="AO47" i="8" s="1"/>
  <c r="AF48" i="8"/>
  <c r="AN48" i="8" s="1"/>
  <c r="AG48" i="8"/>
  <c r="AO48" i="8" s="1"/>
  <c r="AF49" i="8"/>
  <c r="AN49" i="8" s="1"/>
  <c r="AG49" i="8"/>
  <c r="AO49" i="8" s="1"/>
  <c r="AA37" i="8"/>
  <c r="AB37" i="8"/>
  <c r="AA38" i="8"/>
  <c r="AB38" i="8"/>
  <c r="AA39" i="8"/>
  <c r="AB39" i="8"/>
  <c r="AA40" i="8"/>
  <c r="AB40" i="8"/>
  <c r="AA41" i="8"/>
  <c r="AB41" i="8"/>
  <c r="AA42" i="8"/>
  <c r="AB42" i="8"/>
  <c r="AA43" i="8"/>
  <c r="AB43" i="8"/>
  <c r="AV53" i="8" l="1"/>
  <c r="AU53" i="8"/>
  <c r="AV61" i="8"/>
  <c r="AU61" i="8"/>
  <c r="AP44" i="8"/>
  <c r="AP40" i="8"/>
  <c r="AP49" i="8"/>
  <c r="AP48" i="8"/>
  <c r="AP47" i="8"/>
  <c r="AP46" i="8"/>
  <c r="AP45" i="8"/>
  <c r="AP43" i="8"/>
  <c r="AP42" i="8"/>
  <c r="AP41" i="8"/>
  <c r="AP39" i="8"/>
  <c r="AP38" i="8"/>
  <c r="AP37" i="8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F5" i="7"/>
  <c r="AG5" i="7"/>
  <c r="AF6" i="7"/>
  <c r="AG6" i="7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O6" i="7" l="1"/>
  <c r="AO28" i="7"/>
  <c r="AO26" i="7"/>
  <c r="AO24" i="7"/>
  <c r="AO22" i="7"/>
  <c r="AO20" i="7"/>
  <c r="AO18" i="7"/>
  <c r="AO16" i="7"/>
  <c r="AO14" i="7"/>
  <c r="AO10" i="7"/>
  <c r="AO8" i="7"/>
  <c r="AO12" i="7"/>
  <c r="AN29" i="7"/>
  <c r="AN25" i="7"/>
  <c r="AN23" i="7"/>
  <c r="AN21" i="7"/>
  <c r="AN19" i="7"/>
  <c r="AN17" i="7"/>
  <c r="AN15" i="7"/>
  <c r="AN13" i="7"/>
  <c r="AN11" i="7"/>
  <c r="AN9" i="7"/>
  <c r="AN7" i="7"/>
  <c r="AN5" i="7"/>
  <c r="AN27" i="7"/>
  <c r="AO29" i="7"/>
  <c r="AO27" i="7"/>
  <c r="AO25" i="7"/>
  <c r="AO23" i="7"/>
  <c r="AO21" i="7"/>
  <c r="AO19" i="7"/>
  <c r="AO17" i="7"/>
  <c r="AO15" i="7"/>
  <c r="AO13" i="7"/>
  <c r="AO11" i="7"/>
  <c r="AO9" i="7"/>
  <c r="AO7" i="7"/>
  <c r="AO5" i="7"/>
  <c r="AN28" i="7"/>
  <c r="AN26" i="7"/>
  <c r="AN24" i="7"/>
  <c r="AN22" i="7"/>
  <c r="AN8" i="7"/>
  <c r="AN6" i="7"/>
  <c r="AP6" i="7" s="1"/>
  <c r="AN20" i="7"/>
  <c r="AN18" i="7"/>
  <c r="AN16" i="7"/>
  <c r="AN14" i="7"/>
  <c r="AN12" i="7"/>
  <c r="AN10" i="7"/>
  <c r="AN49" i="7"/>
  <c r="AN47" i="7"/>
  <c r="AN45" i="7"/>
  <c r="AN43" i="7"/>
  <c r="AN41" i="7"/>
  <c r="AN31" i="7"/>
  <c r="AO38" i="7"/>
  <c r="AO36" i="7"/>
  <c r="AO34" i="7"/>
  <c r="AO32" i="7"/>
  <c r="AO30" i="7"/>
  <c r="AN38" i="7"/>
  <c r="AN36" i="7"/>
  <c r="AN34" i="7"/>
  <c r="AN32" i="7"/>
  <c r="AN30" i="7"/>
  <c r="AO49" i="7"/>
  <c r="AO47" i="7"/>
  <c r="AO45" i="7"/>
  <c r="AO43" i="7"/>
  <c r="AO41" i="7"/>
  <c r="AO31" i="7"/>
  <c r="AO48" i="7"/>
  <c r="AN48" i="7"/>
  <c r="AO46" i="7"/>
  <c r="AN46" i="7"/>
  <c r="AO44" i="7"/>
  <c r="AN44" i="7"/>
  <c r="AO42" i="7"/>
  <c r="AN42" i="7"/>
  <c r="AO40" i="7"/>
  <c r="AN40" i="7"/>
  <c r="AO39" i="7"/>
  <c r="AN39" i="7"/>
  <c r="AO37" i="7"/>
  <c r="AN37" i="7"/>
  <c r="AO35" i="7"/>
  <c r="AN35" i="7"/>
  <c r="AO33" i="7"/>
  <c r="AN33" i="7"/>
  <c r="AG42" i="5"/>
  <c r="AO42" i="5" s="1"/>
  <c r="AF37" i="5"/>
  <c r="AG37" i="5"/>
  <c r="AF38" i="5"/>
  <c r="AG38" i="5"/>
  <c r="AF39" i="5"/>
  <c r="AG39" i="5"/>
  <c r="AF40" i="5"/>
  <c r="AG40" i="5"/>
  <c r="AF41" i="5"/>
  <c r="AG41" i="5"/>
  <c r="AF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P8" i="7" l="1"/>
  <c r="AP24" i="7"/>
  <c r="AP10" i="7"/>
  <c r="AP28" i="7"/>
  <c r="AP26" i="7"/>
  <c r="AP22" i="7"/>
  <c r="AP17" i="7"/>
  <c r="AP29" i="7"/>
  <c r="AP27" i="7"/>
  <c r="AP25" i="7"/>
  <c r="AP23" i="7"/>
  <c r="AP18" i="7"/>
  <c r="AP14" i="7"/>
  <c r="AP16" i="7"/>
  <c r="AP21" i="7"/>
  <c r="AP12" i="7"/>
  <c r="AP20" i="7"/>
  <c r="AP19" i="7"/>
  <c r="AP9" i="7"/>
  <c r="AP11" i="7"/>
  <c r="AP5" i="7"/>
  <c r="AP13" i="7"/>
  <c r="AP7" i="7"/>
  <c r="AP15" i="7"/>
  <c r="AO46" i="5"/>
  <c r="AN42" i="5"/>
  <c r="AP42" i="5" s="1"/>
  <c r="AP43" i="7"/>
  <c r="AP47" i="7"/>
  <c r="AP38" i="7"/>
  <c r="AO44" i="5"/>
  <c r="AO40" i="5"/>
  <c r="AN40" i="5"/>
  <c r="AP45" i="7"/>
  <c r="AP36" i="7"/>
  <c r="AP32" i="7"/>
  <c r="AP31" i="7"/>
  <c r="AP34" i="7"/>
  <c r="AP30" i="7"/>
  <c r="AP41" i="7"/>
  <c r="AP49" i="7"/>
  <c r="AN44" i="5"/>
  <c r="AN46" i="5"/>
  <c r="AP48" i="7"/>
  <c r="AO49" i="5"/>
  <c r="AN49" i="5"/>
  <c r="AN48" i="5"/>
  <c r="AO48" i="5"/>
  <c r="AO47" i="5"/>
  <c r="AN47" i="5"/>
  <c r="AO45" i="5"/>
  <c r="AN45" i="5"/>
  <c r="AP46" i="7"/>
  <c r="AP44" i="7"/>
  <c r="AP42" i="7"/>
  <c r="AP39" i="7"/>
  <c r="AP33" i="7"/>
  <c r="AP40" i="7"/>
  <c r="AO43" i="5"/>
  <c r="AN43" i="5"/>
  <c r="AO41" i="5"/>
  <c r="AN41" i="5"/>
  <c r="AO39" i="5"/>
  <c r="AN39" i="5"/>
  <c r="AN38" i="5"/>
  <c r="AO37" i="5"/>
  <c r="AN37" i="5"/>
  <c r="AP35" i="7"/>
  <c r="AR39" i="5"/>
  <c r="AO38" i="5"/>
  <c r="AP37" i="7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G36" i="8"/>
  <c r="AO36" i="8" s="1"/>
  <c r="AV49" i="8" s="1"/>
  <c r="AF36" i="8"/>
  <c r="AN36" i="8" s="1"/>
  <c r="AU49" i="8" s="1"/>
  <c r="AB36" i="8"/>
  <c r="AA36" i="8"/>
  <c r="AP46" i="5" l="1"/>
  <c r="AP40" i="5"/>
  <c r="AP44" i="5"/>
  <c r="AP37" i="5"/>
  <c r="AP39" i="5"/>
  <c r="AP43" i="5"/>
  <c r="AP47" i="5"/>
  <c r="AP48" i="5"/>
  <c r="AP45" i="5"/>
  <c r="AP49" i="5"/>
  <c r="AP36" i="8"/>
  <c r="AP41" i="5"/>
  <c r="AP38" i="5"/>
  <c r="AR41" i="10" l="1"/>
  <c r="AR39" i="10"/>
  <c r="AR37" i="10"/>
  <c r="AP41" i="10" l="1"/>
  <c r="AP40" i="10"/>
  <c r="AP39" i="10"/>
  <c r="AP38" i="10"/>
  <c r="AP37" i="10"/>
  <c r="AR36" i="10"/>
  <c r="AR38" i="10"/>
  <c r="AR40" i="10"/>
  <c r="AP36" i="10" l="1"/>
  <c r="AA36" i="12" l="1"/>
  <c r="AB36" i="12"/>
  <c r="T36" i="12"/>
  <c r="AO36" i="12" s="1"/>
  <c r="S36" i="12"/>
  <c r="AN36" i="12" s="1"/>
  <c r="R36" i="12"/>
  <c r="AM36" i="12" s="1"/>
  <c r="AO35" i="12"/>
  <c r="AN35" i="12"/>
  <c r="AM35" i="12"/>
  <c r="AO34" i="12"/>
  <c r="AN34" i="12"/>
  <c r="AM34" i="12"/>
  <c r="AO33" i="12"/>
  <c r="AN33" i="12"/>
  <c r="AM33" i="12"/>
  <c r="AO32" i="12"/>
  <c r="AN32" i="12"/>
  <c r="AM32" i="12"/>
  <c r="AO31" i="12"/>
  <c r="AN31" i="12"/>
  <c r="AM31" i="12"/>
  <c r="AO30" i="12"/>
  <c r="AN30" i="12"/>
  <c r="AM30" i="12"/>
  <c r="AO29" i="12"/>
  <c r="AN29" i="12"/>
  <c r="AO28" i="12"/>
  <c r="AN28" i="12"/>
  <c r="AM28" i="12"/>
  <c r="AO27" i="12"/>
  <c r="AN27" i="12"/>
  <c r="AM27" i="12"/>
  <c r="AO26" i="12"/>
  <c r="AN26" i="12"/>
  <c r="AM26" i="12"/>
  <c r="T25" i="12"/>
  <c r="AO25" i="12" s="1"/>
  <c r="S25" i="12"/>
  <c r="AN25" i="12" s="1"/>
  <c r="R25" i="12"/>
  <c r="AM25" i="12" s="1"/>
  <c r="T24" i="12"/>
  <c r="AO24" i="12" s="1"/>
  <c r="S24" i="12"/>
  <c r="AN24" i="12" s="1"/>
  <c r="R24" i="12"/>
  <c r="AM24" i="12" s="1"/>
  <c r="T23" i="12"/>
  <c r="AO23" i="12" s="1"/>
  <c r="S23" i="12"/>
  <c r="AN23" i="12" s="1"/>
  <c r="R23" i="12"/>
  <c r="AM23" i="12" s="1"/>
  <c r="T22" i="12"/>
  <c r="AO22" i="12" s="1"/>
  <c r="S22" i="12"/>
  <c r="AN22" i="12" s="1"/>
  <c r="R22" i="12"/>
  <c r="AM22" i="12" s="1"/>
  <c r="T21" i="12"/>
  <c r="AO21" i="12" s="1"/>
  <c r="S21" i="12"/>
  <c r="AN21" i="12" s="1"/>
  <c r="R21" i="12"/>
  <c r="AM21" i="12" s="1"/>
  <c r="T20" i="12"/>
  <c r="AO20" i="12" s="1"/>
  <c r="S20" i="12"/>
  <c r="AN20" i="12" s="1"/>
  <c r="R20" i="12"/>
  <c r="AM20" i="12" s="1"/>
  <c r="T19" i="12"/>
  <c r="AO19" i="12" s="1"/>
  <c r="S19" i="12"/>
  <c r="AN19" i="12" s="1"/>
  <c r="R19" i="12"/>
  <c r="AM19" i="12" s="1"/>
  <c r="T18" i="12"/>
  <c r="AO18" i="12" s="1"/>
  <c r="S18" i="12"/>
  <c r="AN18" i="12" s="1"/>
  <c r="R18" i="12"/>
  <c r="AM18" i="12" s="1"/>
  <c r="T17" i="12"/>
  <c r="AO17" i="12" s="1"/>
  <c r="S17" i="12"/>
  <c r="AN17" i="12" s="1"/>
  <c r="R17" i="12"/>
  <c r="AM17" i="12" s="1"/>
  <c r="T16" i="12"/>
  <c r="AO16" i="12" s="1"/>
  <c r="S16" i="12"/>
  <c r="AN16" i="12" s="1"/>
  <c r="R16" i="12"/>
  <c r="AM16" i="12" s="1"/>
  <c r="T15" i="12"/>
  <c r="AO15" i="12" s="1"/>
  <c r="S15" i="12"/>
  <c r="AN15" i="12" s="1"/>
  <c r="R15" i="12"/>
  <c r="AM15" i="12" s="1"/>
  <c r="T14" i="12"/>
  <c r="AO14" i="12" s="1"/>
  <c r="S14" i="12"/>
  <c r="AN14" i="12" s="1"/>
  <c r="R14" i="12"/>
  <c r="AM14" i="12" s="1"/>
  <c r="T13" i="12"/>
  <c r="AO13" i="12" s="1"/>
  <c r="S13" i="12"/>
  <c r="AN13" i="12" s="1"/>
  <c r="R13" i="12"/>
  <c r="AM13" i="12" s="1"/>
  <c r="T12" i="12"/>
  <c r="AO12" i="12" s="1"/>
  <c r="S12" i="12"/>
  <c r="AN12" i="12" s="1"/>
  <c r="R12" i="12"/>
  <c r="AM12" i="12" s="1"/>
  <c r="T11" i="12"/>
  <c r="AO11" i="12" s="1"/>
  <c r="S11" i="12"/>
  <c r="AN11" i="12" s="1"/>
  <c r="R11" i="12"/>
  <c r="AM11" i="12" s="1"/>
  <c r="T10" i="12"/>
  <c r="AO10" i="12" s="1"/>
  <c r="S10" i="12"/>
  <c r="AN10" i="12" s="1"/>
  <c r="R10" i="12"/>
  <c r="AM10" i="12" s="1"/>
  <c r="T9" i="12"/>
  <c r="AO9" i="12" s="1"/>
  <c r="S9" i="12"/>
  <c r="AN9" i="12" s="1"/>
  <c r="R9" i="12"/>
  <c r="AM9" i="12" s="1"/>
  <c r="T8" i="12"/>
  <c r="AO8" i="12" s="1"/>
  <c r="S8" i="12"/>
  <c r="AN8" i="12" s="1"/>
  <c r="R8" i="12"/>
  <c r="AM8" i="12" s="1"/>
  <c r="T7" i="12"/>
  <c r="AO7" i="12" s="1"/>
  <c r="S7" i="12"/>
  <c r="AN7" i="12" s="1"/>
  <c r="R7" i="12"/>
  <c r="AM7" i="12" s="1"/>
  <c r="T6" i="12"/>
  <c r="AO6" i="12" s="1"/>
  <c r="S6" i="12"/>
  <c r="AN6" i="12" s="1"/>
  <c r="R6" i="12"/>
  <c r="AM6" i="12" s="1"/>
  <c r="T5" i="12"/>
  <c r="AO5" i="12" s="1"/>
  <c r="S5" i="12"/>
  <c r="AN5" i="12" s="1"/>
  <c r="R5" i="12"/>
  <c r="AM5" i="12" s="1"/>
  <c r="AT31" i="12" l="1"/>
  <c r="AV31" i="12"/>
  <c r="AU31" i="12"/>
  <c r="AT41" i="12"/>
  <c r="AU41" i="12"/>
  <c r="AV41" i="12"/>
  <c r="AP8" i="12"/>
  <c r="AP12" i="12"/>
  <c r="AP16" i="12"/>
  <c r="AP20" i="12"/>
  <c r="AP10" i="12"/>
  <c r="AP11" i="12"/>
  <c r="AP14" i="12"/>
  <c r="AP15" i="12"/>
  <c r="AP18" i="12"/>
  <c r="AP19" i="12"/>
  <c r="AP22" i="12"/>
  <c r="AP26" i="12"/>
  <c r="AP24" i="12"/>
  <c r="AP23" i="12"/>
  <c r="AP7" i="12"/>
  <c r="AP6" i="12"/>
  <c r="AP5" i="12"/>
  <c r="AP9" i="12"/>
  <c r="AP13" i="12"/>
  <c r="AP17" i="12"/>
  <c r="AP21" i="12"/>
  <c r="AP25" i="12"/>
  <c r="AP27" i="12"/>
  <c r="AP32" i="12"/>
  <c r="AP36" i="12"/>
  <c r="AP28" i="12"/>
  <c r="AP30" i="12"/>
  <c r="AP31" i="12"/>
  <c r="AP34" i="12"/>
  <c r="AP35" i="12"/>
  <c r="AP29" i="12"/>
  <c r="AP33" i="12"/>
  <c r="AR47" i="7"/>
  <c r="AR46" i="7"/>
  <c r="AR45" i="7"/>
  <c r="AR44" i="7"/>
  <c r="AR48" i="7"/>
  <c r="AR49" i="7"/>
  <c r="AR50" i="7"/>
  <c r="AR51" i="7"/>
  <c r="AR52" i="7"/>
  <c r="AR53" i="7"/>
  <c r="AR43" i="9" l="1"/>
  <c r="AR42" i="9"/>
  <c r="AR41" i="9"/>
  <c r="AR40" i="9"/>
  <c r="AR39" i="9"/>
  <c r="AR38" i="9"/>
  <c r="AR37" i="9"/>
  <c r="AR36" i="9"/>
  <c r="AG36" i="11" l="1"/>
  <c r="AL36" i="11"/>
  <c r="AK36" i="11"/>
  <c r="AF36" i="11"/>
  <c r="AN36" i="11" l="1"/>
  <c r="AU49" i="11" s="1"/>
  <c r="AO36" i="11"/>
  <c r="AV49" i="11" s="1"/>
  <c r="AM36" i="11"/>
  <c r="AT49" i="11" s="1"/>
  <c r="AP36" i="11" l="1"/>
  <c r="AR43" i="7"/>
  <c r="AR42" i="7"/>
  <c r="AR41" i="7"/>
  <c r="AR40" i="7"/>
  <c r="AR39" i="7"/>
  <c r="AR38" i="7"/>
  <c r="AR37" i="7"/>
  <c r="AR36" i="7"/>
  <c r="AG36" i="5" l="1"/>
  <c r="AF36" i="5"/>
  <c r="AG35" i="5"/>
  <c r="AF35" i="5"/>
  <c r="AG34" i="5"/>
  <c r="AF34" i="5"/>
  <c r="AG33" i="5"/>
  <c r="AF33" i="5"/>
  <c r="AG32" i="5"/>
  <c r="AF32" i="5"/>
  <c r="AG31" i="5"/>
  <c r="AF31" i="5"/>
  <c r="AG30" i="5"/>
  <c r="AF30" i="5"/>
  <c r="AG29" i="5"/>
  <c r="AF29" i="5"/>
  <c r="AG28" i="5"/>
  <c r="AF28" i="5"/>
  <c r="AG27" i="5"/>
  <c r="AF27" i="5"/>
  <c r="AG26" i="5"/>
  <c r="AF26" i="5"/>
  <c r="AF25" i="5"/>
  <c r="AF24" i="5"/>
  <c r="AF23" i="5"/>
  <c r="AF22" i="5"/>
  <c r="AF21" i="5"/>
  <c r="AF20" i="5"/>
  <c r="AF19" i="5"/>
  <c r="AF18" i="5"/>
  <c r="AF17" i="5"/>
  <c r="AF16" i="5"/>
  <c r="AG15" i="5"/>
  <c r="AF15" i="5"/>
  <c r="AG14" i="5"/>
  <c r="AF14" i="5"/>
  <c r="AG13" i="5"/>
  <c r="AF13" i="5"/>
  <c r="AG12" i="5"/>
  <c r="AF12" i="5"/>
  <c r="AG11" i="5"/>
  <c r="AF11" i="5"/>
  <c r="AG10" i="5"/>
  <c r="AF10" i="5"/>
  <c r="AG9" i="5"/>
  <c r="AF9" i="5"/>
  <c r="AG8" i="5"/>
  <c r="AF8" i="5"/>
  <c r="AG7" i="5"/>
  <c r="AF7" i="5"/>
  <c r="AG6" i="5"/>
  <c r="AF6" i="5"/>
  <c r="AG5" i="5"/>
  <c r="AF5" i="5"/>
  <c r="AN36" i="5" l="1"/>
  <c r="AO36" i="5"/>
  <c r="AO35" i="5"/>
  <c r="AN35" i="5"/>
  <c r="AF5" i="14"/>
  <c r="AG5" i="14"/>
  <c r="AF6" i="14"/>
  <c r="AG6" i="14"/>
  <c r="AF7" i="14"/>
  <c r="AG7" i="14"/>
  <c r="AF8" i="14"/>
  <c r="AG8" i="14"/>
  <c r="AF9" i="14"/>
  <c r="AG9" i="14"/>
  <c r="AF10" i="14"/>
  <c r="AG10" i="14"/>
  <c r="AF11" i="14"/>
  <c r="AG11" i="14"/>
  <c r="AF12" i="14"/>
  <c r="AG12" i="14"/>
  <c r="AF13" i="14"/>
  <c r="AG13" i="14"/>
  <c r="AF14" i="14"/>
  <c r="AG14" i="14"/>
  <c r="AF15" i="14"/>
  <c r="AG15" i="14"/>
  <c r="AF16" i="14"/>
  <c r="AG16" i="14"/>
  <c r="AF17" i="14"/>
  <c r="AG17" i="14"/>
  <c r="AF18" i="14"/>
  <c r="AG18" i="14"/>
  <c r="AF19" i="14"/>
  <c r="AG19" i="14"/>
  <c r="AF20" i="14"/>
  <c r="AG20" i="14"/>
  <c r="AF21" i="14"/>
  <c r="AG21" i="14"/>
  <c r="AF22" i="14"/>
  <c r="AG22" i="14"/>
  <c r="AF23" i="14"/>
  <c r="AG23" i="14"/>
  <c r="AF24" i="14"/>
  <c r="AG24" i="14"/>
  <c r="AF25" i="14"/>
  <c r="AG25" i="14"/>
  <c r="AF26" i="14"/>
  <c r="AG26" i="14"/>
  <c r="AF27" i="14"/>
  <c r="AG27" i="14"/>
  <c r="AF28" i="14"/>
  <c r="AG28" i="14"/>
  <c r="AF29" i="14"/>
  <c r="AG29" i="14"/>
  <c r="AF30" i="14"/>
  <c r="AG30" i="14"/>
  <c r="AF31" i="14"/>
  <c r="AG31" i="14"/>
  <c r="AF32" i="14"/>
  <c r="AG32" i="14"/>
  <c r="AF33" i="14"/>
  <c r="AG33" i="14"/>
  <c r="AF34" i="14"/>
  <c r="AG34" i="14"/>
  <c r="AF35" i="14"/>
  <c r="AG35" i="14"/>
  <c r="AM35" i="14"/>
  <c r="AM34" i="14"/>
  <c r="AM33" i="14"/>
  <c r="AM32" i="14"/>
  <c r="AM31" i="14"/>
  <c r="AM30" i="14"/>
  <c r="AM28" i="14"/>
  <c r="AM27" i="14"/>
  <c r="AM26" i="14"/>
  <c r="AM25" i="14"/>
  <c r="AM24" i="14"/>
  <c r="AM23" i="14"/>
  <c r="AM22" i="14"/>
  <c r="AM21" i="14"/>
  <c r="AM20" i="14"/>
  <c r="AM19" i="14"/>
  <c r="AM18" i="14"/>
  <c r="AM17" i="14"/>
  <c r="AM16" i="14"/>
  <c r="AM15" i="14"/>
  <c r="AM14" i="14"/>
  <c r="AM13" i="14"/>
  <c r="AM12" i="14"/>
  <c r="AM11" i="14"/>
  <c r="AM10" i="14"/>
  <c r="AM9" i="14"/>
  <c r="AM8" i="14"/>
  <c r="AM7" i="14"/>
  <c r="AM6" i="14"/>
  <c r="AM5" i="14"/>
  <c r="AK22" i="14"/>
  <c r="AL22" i="14"/>
  <c r="AK23" i="14"/>
  <c r="AL23" i="14"/>
  <c r="AK24" i="14"/>
  <c r="AL24" i="14"/>
  <c r="AK25" i="14"/>
  <c r="AL25" i="14"/>
  <c r="AK26" i="14"/>
  <c r="AL26" i="14"/>
  <c r="AK27" i="14"/>
  <c r="AL27" i="14"/>
  <c r="AK28" i="14"/>
  <c r="AL28" i="14"/>
  <c r="AK29" i="14"/>
  <c r="AL29" i="14"/>
  <c r="AK30" i="14"/>
  <c r="AL30" i="14"/>
  <c r="AK31" i="14"/>
  <c r="AL31" i="14"/>
  <c r="AK32" i="14"/>
  <c r="AL32" i="14"/>
  <c r="AK33" i="14"/>
  <c r="AL33" i="14"/>
  <c r="AK34" i="14"/>
  <c r="AL34" i="14"/>
  <c r="AK35" i="14"/>
  <c r="AL35" i="14"/>
  <c r="AT39" i="14" l="1"/>
  <c r="AT27" i="14"/>
  <c r="AO29" i="14"/>
  <c r="AN29" i="14"/>
  <c r="AP36" i="5"/>
  <c r="AP35" i="5"/>
  <c r="AO24" i="14"/>
  <c r="AN27" i="14"/>
  <c r="AO32" i="14"/>
  <c r="AN35" i="14"/>
  <c r="AO35" i="14"/>
  <c r="AO22" i="14"/>
  <c r="AN25" i="14"/>
  <c r="AO30" i="14"/>
  <c r="AN33" i="14"/>
  <c r="AN30" i="14"/>
  <c r="AO33" i="14"/>
  <c r="AN23" i="14"/>
  <c r="AO28" i="14"/>
  <c r="AN31" i="14"/>
  <c r="AN22" i="14"/>
  <c r="AO25" i="14"/>
  <c r="AO23" i="14"/>
  <c r="AN26" i="14"/>
  <c r="AO31" i="14"/>
  <c r="AN34" i="14"/>
  <c r="AO26" i="14"/>
  <c r="AO34" i="14"/>
  <c r="AO27" i="14"/>
  <c r="AN28" i="14"/>
  <c r="AN24" i="14"/>
  <c r="AN32" i="14"/>
  <c r="AV39" i="14" l="1"/>
  <c r="AU39" i="14"/>
  <c r="AP29" i="14"/>
  <c r="AP28" i="14"/>
  <c r="AP22" i="14"/>
  <c r="AP32" i="14"/>
  <c r="AP24" i="14"/>
  <c r="AP26" i="14"/>
  <c r="AP34" i="14"/>
  <c r="AP23" i="14"/>
  <c r="AP35" i="14"/>
  <c r="AP30" i="14"/>
  <c r="AP31" i="14"/>
  <c r="AP33" i="14"/>
  <c r="AP25" i="14"/>
  <c r="AP27" i="14"/>
  <c r="AR35" i="14"/>
  <c r="AL35" i="13" l="1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M29" i="13" l="1"/>
  <c r="AN31" i="13"/>
  <c r="AO31" i="13"/>
  <c r="AM31" i="13"/>
  <c r="AO33" i="13"/>
  <c r="AN33" i="13"/>
  <c r="AO34" i="13"/>
  <c r="AN34" i="13"/>
  <c r="AM28" i="13"/>
  <c r="AM30" i="13"/>
  <c r="AM27" i="13"/>
  <c r="AM33" i="13"/>
  <c r="AM26" i="13"/>
  <c r="AM34" i="13"/>
  <c r="AM32" i="13"/>
  <c r="AO30" i="13"/>
  <c r="AN30" i="13"/>
  <c r="AM24" i="13"/>
  <c r="AT39" i="13" l="1"/>
  <c r="AN28" i="13"/>
  <c r="AN27" i="13"/>
  <c r="AN29" i="13"/>
  <c r="AP33" i="13"/>
  <c r="AP34" i="13"/>
  <c r="AP31" i="13"/>
  <c r="AP30" i="13"/>
  <c r="AO29" i="13"/>
  <c r="AO28" i="13"/>
  <c r="AO32" i="13"/>
  <c r="AN32" i="13"/>
  <c r="AM25" i="13"/>
  <c r="AN25" i="13"/>
  <c r="AN35" i="13"/>
  <c r="AO35" i="13"/>
  <c r="AM23" i="13"/>
  <c r="AP28" i="13" l="1"/>
  <c r="AN26" i="13"/>
  <c r="AU39" i="13" s="1"/>
  <c r="AN24" i="13"/>
  <c r="AP32" i="13"/>
  <c r="AP35" i="13"/>
  <c r="AP29" i="13"/>
  <c r="AO25" i="13"/>
  <c r="AO26" i="13"/>
  <c r="AO27" i="13"/>
  <c r="AA22" i="12"/>
  <c r="AB22" i="12"/>
  <c r="AA23" i="12"/>
  <c r="AB23" i="12"/>
  <c r="AA24" i="12"/>
  <c r="AB24" i="12"/>
  <c r="AA25" i="12"/>
  <c r="AB25" i="12"/>
  <c r="AA26" i="12"/>
  <c r="AB26" i="12"/>
  <c r="AA27" i="12"/>
  <c r="AB27" i="12"/>
  <c r="AA28" i="12"/>
  <c r="AB28" i="12"/>
  <c r="AA29" i="12"/>
  <c r="AB29" i="12"/>
  <c r="AA30" i="12"/>
  <c r="AB30" i="12"/>
  <c r="AA31" i="12"/>
  <c r="AB31" i="12"/>
  <c r="AA32" i="12"/>
  <c r="AB32" i="12"/>
  <c r="AA33" i="12"/>
  <c r="AB33" i="12"/>
  <c r="AA34" i="12"/>
  <c r="AB34" i="12"/>
  <c r="AA35" i="12"/>
  <c r="AB35" i="12"/>
  <c r="AR35" i="12"/>
  <c r="AR34" i="12"/>
  <c r="AR31" i="12"/>
  <c r="AR30" i="12"/>
  <c r="AR24" i="12"/>
  <c r="AR23" i="12"/>
  <c r="AV39" i="13" l="1"/>
  <c r="AP27" i="13"/>
  <c r="AP26" i="13"/>
  <c r="AP25" i="13"/>
  <c r="AR28" i="12"/>
  <c r="AR27" i="12"/>
  <c r="AR25" i="12"/>
  <c r="AR33" i="12"/>
  <c r="AR22" i="12"/>
  <c r="AR26" i="12"/>
  <c r="AR32" i="12"/>
  <c r="AR29" i="12"/>
  <c r="AR35" i="11" l="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F32" i="11"/>
  <c r="AG32" i="11"/>
  <c r="AO32" i="11" s="1"/>
  <c r="AF33" i="11"/>
  <c r="AG33" i="11"/>
  <c r="AF34" i="11"/>
  <c r="AG34" i="11"/>
  <c r="AF35" i="11"/>
  <c r="AG35" i="11"/>
  <c r="AT41" i="11" l="1"/>
  <c r="AO35" i="11"/>
  <c r="AN33" i="11"/>
  <c r="AN34" i="11"/>
  <c r="AO33" i="11"/>
  <c r="AN35" i="11"/>
  <c r="AO34" i="11"/>
  <c r="AN32" i="11"/>
  <c r="AP32" i="11" l="1"/>
  <c r="AP35" i="11"/>
  <c r="AP34" i="11"/>
  <c r="AP33" i="11"/>
  <c r="AR35" i="9"/>
  <c r="AR35" i="10" l="1"/>
  <c r="AR33" i="10"/>
  <c r="AR31" i="10"/>
  <c r="AR29" i="10"/>
  <c r="AR28" i="10"/>
  <c r="AR26" i="10"/>
  <c r="AR25" i="10"/>
  <c r="AR23" i="10"/>
  <c r="AP25" i="10" l="1"/>
  <c r="AR27" i="10"/>
  <c r="AR30" i="10"/>
  <c r="AR32" i="10"/>
  <c r="AR34" i="10"/>
  <c r="AR22" i="10"/>
  <c r="AR24" i="10"/>
  <c r="AP34" i="10" l="1"/>
  <c r="AP32" i="10"/>
  <c r="AP26" i="10"/>
  <c r="AP28" i="10"/>
  <c r="AP22" i="10"/>
  <c r="AP29" i="10"/>
  <c r="AP23" i="10"/>
  <c r="AP35" i="10"/>
  <c r="AP31" i="10"/>
  <c r="AP27" i="10"/>
  <c r="AP33" i="10"/>
  <c r="AP24" i="10"/>
  <c r="AP30" i="10" l="1"/>
  <c r="AR33" i="9"/>
  <c r="AR34" i="9"/>
  <c r="AR32" i="9"/>
  <c r="AG35" i="8" l="1"/>
  <c r="AO35" i="8" s="1"/>
  <c r="AF35" i="8"/>
  <c r="AN35" i="8" s="1"/>
  <c r="AB35" i="8"/>
  <c r="AA35" i="8"/>
  <c r="AG34" i="8"/>
  <c r="AO34" i="8" s="1"/>
  <c r="AF34" i="8"/>
  <c r="AN34" i="8" s="1"/>
  <c r="AB34" i="8"/>
  <c r="AA34" i="8"/>
  <c r="AG33" i="8"/>
  <c r="AO33" i="8" s="1"/>
  <c r="AF33" i="8"/>
  <c r="AN33" i="8" s="1"/>
  <c r="AB33" i="8"/>
  <c r="AA33" i="8"/>
  <c r="AG32" i="8"/>
  <c r="AO32" i="8" s="1"/>
  <c r="AF32" i="8"/>
  <c r="AN32" i="8" s="1"/>
  <c r="AB32" i="8"/>
  <c r="AA32" i="8"/>
  <c r="AG31" i="8"/>
  <c r="AO31" i="8" s="1"/>
  <c r="AF31" i="8"/>
  <c r="AN31" i="8" s="1"/>
  <c r="AB31" i="8"/>
  <c r="AA31" i="8"/>
  <c r="AG30" i="8"/>
  <c r="AF30" i="8"/>
  <c r="AN30" i="8" s="1"/>
  <c r="AB30" i="8"/>
  <c r="AA30" i="8"/>
  <c r="AG29" i="8"/>
  <c r="AF29" i="8"/>
  <c r="AN29" i="8" s="1"/>
  <c r="AB29" i="8"/>
  <c r="AA29" i="8"/>
  <c r="AG28" i="8"/>
  <c r="AF28" i="8"/>
  <c r="AB28" i="8"/>
  <c r="AA28" i="8"/>
  <c r="AG27" i="8"/>
  <c r="AF27" i="8"/>
  <c r="AB27" i="8"/>
  <c r="AA27" i="8"/>
  <c r="AG26" i="8"/>
  <c r="AF26" i="8"/>
  <c r="AB26" i="8"/>
  <c r="AA26" i="8"/>
  <c r="AG25" i="8"/>
  <c r="AF25" i="8"/>
  <c r="AB25" i="8"/>
  <c r="AA25" i="8"/>
  <c r="AG24" i="8"/>
  <c r="AF24" i="8"/>
  <c r="AB24" i="8"/>
  <c r="AA24" i="8"/>
  <c r="AG23" i="8"/>
  <c r="AF23" i="8"/>
  <c r="AB23" i="8"/>
  <c r="AA23" i="8"/>
  <c r="AG22" i="8"/>
  <c r="AF22" i="8"/>
  <c r="AB22" i="8"/>
  <c r="AA22" i="8"/>
  <c r="H25" i="8" l="1"/>
  <c r="AO25" i="8" s="1"/>
  <c r="AN24" i="8"/>
  <c r="H26" i="8"/>
  <c r="AO26" i="8" s="1"/>
  <c r="AN25" i="8"/>
  <c r="AN28" i="8"/>
  <c r="AU41" i="8" s="1"/>
  <c r="H23" i="8"/>
  <c r="AO23" i="8" s="1"/>
  <c r="AN22" i="8"/>
  <c r="H27" i="8"/>
  <c r="AO27" i="8" s="1"/>
  <c r="AN26" i="8"/>
  <c r="AO28" i="8"/>
  <c r="AN27" i="8"/>
  <c r="H24" i="8"/>
  <c r="AO24" i="8" s="1"/>
  <c r="AN23" i="8"/>
  <c r="AO29" i="8"/>
  <c r="AP29" i="8" s="1"/>
  <c r="AP35" i="8"/>
  <c r="AP31" i="8"/>
  <c r="AP32" i="8"/>
  <c r="AP33" i="8"/>
  <c r="AP34" i="8"/>
  <c r="AO30" i="8"/>
  <c r="AR35" i="7"/>
  <c r="AR34" i="7"/>
  <c r="AV41" i="8" l="1"/>
  <c r="AP28" i="8"/>
  <c r="AP26" i="8"/>
  <c r="AP23" i="8"/>
  <c r="AP24" i="8"/>
  <c r="AP27" i="8"/>
  <c r="AP25" i="8"/>
  <c r="AP30" i="8"/>
  <c r="AO34" i="5" l="1"/>
  <c r="AN34" i="5"/>
  <c r="AO33" i="5"/>
  <c r="AN33" i="5"/>
  <c r="AO32" i="5"/>
  <c r="AN32" i="5"/>
  <c r="AP33" i="5" l="1"/>
  <c r="AP32" i="5"/>
  <c r="AP34" i="5"/>
  <c r="AR33" i="7"/>
  <c r="AR32" i="7"/>
  <c r="AR31" i="7"/>
  <c r="AR30" i="7"/>
  <c r="AR29" i="7"/>
  <c r="AR28" i="7"/>
  <c r="AR30" i="14" l="1"/>
  <c r="AR29" i="14"/>
  <c r="AR28" i="14"/>
  <c r="AR27" i="14"/>
  <c r="AR26" i="14"/>
  <c r="AR25" i="14"/>
  <c r="AR24" i="14"/>
  <c r="AR31" i="9" l="1"/>
  <c r="AR30" i="9"/>
  <c r="AO31" i="5" l="1"/>
  <c r="AN31" i="5"/>
  <c r="AO30" i="5"/>
  <c r="AN30" i="5"/>
  <c r="AP30" i="5" l="1"/>
  <c r="AP31" i="5"/>
  <c r="AG31" i="11"/>
  <c r="AO31" i="11" s="1"/>
  <c r="AF31" i="11"/>
  <c r="AN31" i="11" s="1"/>
  <c r="AG30" i="11"/>
  <c r="AO30" i="11" s="1"/>
  <c r="AF30" i="11"/>
  <c r="AN30" i="11" s="1"/>
  <c r="AG29" i="11"/>
  <c r="AO29" i="11" s="1"/>
  <c r="AF29" i="11"/>
  <c r="AN29" i="11" s="1"/>
  <c r="AG28" i="11"/>
  <c r="AO28" i="11" s="1"/>
  <c r="AF28" i="11"/>
  <c r="AN28" i="11" s="1"/>
  <c r="AG27" i="11"/>
  <c r="AO27" i="11" s="1"/>
  <c r="AF27" i="11"/>
  <c r="AN27" i="11" s="1"/>
  <c r="AG26" i="11"/>
  <c r="AO26" i="11" s="1"/>
  <c r="AF26" i="11"/>
  <c r="AN26" i="11" s="1"/>
  <c r="AG25" i="11"/>
  <c r="AO25" i="11" s="1"/>
  <c r="AF25" i="11"/>
  <c r="AN25" i="11" s="1"/>
  <c r="AG24" i="11"/>
  <c r="AO24" i="11" s="1"/>
  <c r="AF24" i="11"/>
  <c r="AN24" i="11" s="1"/>
  <c r="AG23" i="11"/>
  <c r="AO23" i="11" s="1"/>
  <c r="AF23" i="11"/>
  <c r="AN23" i="11" s="1"/>
  <c r="AL22" i="11"/>
  <c r="AK22" i="11"/>
  <c r="AG22" i="11"/>
  <c r="AF22" i="11"/>
  <c r="AU41" i="11" l="1"/>
  <c r="AV41" i="11"/>
  <c r="AP23" i="11"/>
  <c r="AP25" i="11"/>
  <c r="AP29" i="11"/>
  <c r="AP31" i="11"/>
  <c r="AP30" i="11"/>
  <c r="AP27" i="11"/>
  <c r="AP24" i="11"/>
  <c r="AP26" i="11"/>
  <c r="AP28" i="11"/>
  <c r="AO22" i="11"/>
  <c r="AN22" i="11"/>
  <c r="AM22" i="11"/>
  <c r="AP22" i="11" l="1"/>
  <c r="AO29" i="5"/>
  <c r="AN29" i="5"/>
  <c r="AO28" i="5"/>
  <c r="AN28" i="5"/>
  <c r="AO27" i="5"/>
  <c r="AN27" i="5"/>
  <c r="AO26" i="5"/>
  <c r="AN26" i="5"/>
  <c r="AO25" i="5"/>
  <c r="AN25" i="5"/>
  <c r="AO24" i="5"/>
  <c r="AN24" i="5"/>
  <c r="AO23" i="5"/>
  <c r="AN23" i="5"/>
  <c r="AO22" i="5"/>
  <c r="AN22" i="5"/>
  <c r="AP25" i="5" l="1"/>
  <c r="AP27" i="5"/>
  <c r="AP29" i="5"/>
  <c r="AP23" i="5"/>
  <c r="AP22" i="5"/>
  <c r="AP24" i="5"/>
  <c r="AP26" i="5"/>
  <c r="AP28" i="5"/>
  <c r="AR28" i="9"/>
  <c r="AR27" i="9"/>
  <c r="AK5" i="14" l="1"/>
  <c r="AN5" i="14" s="1"/>
  <c r="AL5" i="14"/>
  <c r="AO5" i="14" s="1"/>
  <c r="AK6" i="14"/>
  <c r="AN6" i="14" s="1"/>
  <c r="AL6" i="14"/>
  <c r="AO6" i="14" s="1"/>
  <c r="AK7" i="14"/>
  <c r="AN7" i="14" s="1"/>
  <c r="AL7" i="14"/>
  <c r="AO7" i="14" s="1"/>
  <c r="AK8" i="14"/>
  <c r="AN8" i="14" s="1"/>
  <c r="AL8" i="14"/>
  <c r="AO8" i="14" s="1"/>
  <c r="AK9" i="14"/>
  <c r="AN9" i="14" s="1"/>
  <c r="AL9" i="14"/>
  <c r="AO9" i="14" s="1"/>
  <c r="AK10" i="14"/>
  <c r="AN10" i="14" s="1"/>
  <c r="AL10" i="14"/>
  <c r="AO10" i="14" s="1"/>
  <c r="AK11" i="14"/>
  <c r="AN11" i="14" s="1"/>
  <c r="AL11" i="14"/>
  <c r="AO11" i="14" s="1"/>
  <c r="AK12" i="14"/>
  <c r="AN12" i="14" s="1"/>
  <c r="AL12" i="14"/>
  <c r="AO12" i="14" s="1"/>
  <c r="AK13" i="14"/>
  <c r="AN13" i="14" s="1"/>
  <c r="AL13" i="14"/>
  <c r="AO13" i="14" s="1"/>
  <c r="AK14" i="14"/>
  <c r="AN14" i="14" s="1"/>
  <c r="AL14" i="14"/>
  <c r="AO14" i="14" s="1"/>
  <c r="AK15" i="14"/>
  <c r="AN15" i="14" s="1"/>
  <c r="AL15" i="14"/>
  <c r="AO15" i="14" s="1"/>
  <c r="AK16" i="14"/>
  <c r="AN16" i="14" s="1"/>
  <c r="AL16" i="14"/>
  <c r="AO16" i="14" s="1"/>
  <c r="AK17" i="14"/>
  <c r="AN17" i="14" s="1"/>
  <c r="AL17" i="14"/>
  <c r="AO17" i="14" s="1"/>
  <c r="AK18" i="14"/>
  <c r="AN18" i="14" s="1"/>
  <c r="AL18" i="14"/>
  <c r="AO18" i="14" s="1"/>
  <c r="AK19" i="14"/>
  <c r="AN19" i="14" s="1"/>
  <c r="AL19" i="14"/>
  <c r="AO19" i="14" s="1"/>
  <c r="AK20" i="14"/>
  <c r="AN20" i="14" s="1"/>
  <c r="AL20" i="14"/>
  <c r="AO20" i="14" s="1"/>
  <c r="AK21" i="14"/>
  <c r="AN21" i="14" s="1"/>
  <c r="AL21" i="14"/>
  <c r="AO21" i="14" s="1"/>
  <c r="AV27" i="14" l="1"/>
  <c r="AU27" i="14"/>
  <c r="AP20" i="14"/>
  <c r="AP16" i="14"/>
  <c r="AP18" i="14"/>
  <c r="AP21" i="14"/>
  <c r="AP19" i="14"/>
  <c r="AP17" i="14"/>
  <c r="AP14" i="14"/>
  <c r="AP12" i="14"/>
  <c r="AP10" i="14"/>
  <c r="AP8" i="14"/>
  <c r="AP6" i="14"/>
  <c r="AP15" i="14"/>
  <c r="AP13" i="14"/>
  <c r="AP11" i="14"/>
  <c r="AP9" i="14"/>
  <c r="AP7" i="14"/>
  <c r="AP5" i="14"/>
  <c r="AK5" i="13"/>
  <c r="AL5" i="13"/>
  <c r="AK6" i="13"/>
  <c r="AL6" i="13"/>
  <c r="AK7" i="13"/>
  <c r="AL7" i="13"/>
  <c r="AK8" i="13"/>
  <c r="AL8" i="13"/>
  <c r="AK9" i="13"/>
  <c r="AN9" i="13" s="1"/>
  <c r="AL9" i="13"/>
  <c r="AO9" i="13" s="1"/>
  <c r="AK10" i="13"/>
  <c r="AL10" i="13"/>
  <c r="AO10" i="13" s="1"/>
  <c r="AK11" i="13"/>
  <c r="AL11" i="13"/>
  <c r="AK12" i="13"/>
  <c r="AN12" i="13" s="1"/>
  <c r="AL12" i="13"/>
  <c r="AK13" i="13"/>
  <c r="AN13" i="13" s="1"/>
  <c r="AL13" i="13"/>
  <c r="AO13" i="13" s="1"/>
  <c r="AK14" i="13"/>
  <c r="AL14" i="13"/>
  <c r="AK15" i="13"/>
  <c r="AN15" i="13" s="1"/>
  <c r="AL15" i="13"/>
  <c r="AK16" i="13"/>
  <c r="AL16" i="13"/>
  <c r="AM17" i="13" s="1"/>
  <c r="AK17" i="13"/>
  <c r="AL17" i="13"/>
  <c r="AM18" i="13" s="1"/>
  <c r="AK18" i="13"/>
  <c r="AL18" i="13"/>
  <c r="AK19" i="13"/>
  <c r="AL19" i="13"/>
  <c r="AM20" i="13" s="1"/>
  <c r="AK20" i="13"/>
  <c r="AL20" i="13"/>
  <c r="AK21" i="13"/>
  <c r="AL21" i="13"/>
  <c r="AM22" i="13" s="1"/>
  <c r="AM8" i="13"/>
  <c r="AM9" i="13"/>
  <c r="AM10" i="13"/>
  <c r="AM11" i="13"/>
  <c r="AM12" i="13"/>
  <c r="AM13" i="13"/>
  <c r="AM14" i="13"/>
  <c r="AM15" i="13"/>
  <c r="AM16" i="13"/>
  <c r="AM19" i="13"/>
  <c r="AM21" i="13"/>
  <c r="AT21" i="13" l="1"/>
  <c r="AT25" i="13"/>
  <c r="AN22" i="13"/>
  <c r="AN23" i="13"/>
  <c r="AO24" i="13"/>
  <c r="AN17" i="13"/>
  <c r="AO23" i="13"/>
  <c r="AN21" i="13"/>
  <c r="AP13" i="13"/>
  <c r="AP9" i="13"/>
  <c r="AO18" i="13"/>
  <c r="AO14" i="13"/>
  <c r="AN20" i="13"/>
  <c r="AN16" i="13"/>
  <c r="AN8" i="13"/>
  <c r="AN19" i="13"/>
  <c r="AO11" i="13"/>
  <c r="AO15" i="13"/>
  <c r="AO12" i="13"/>
  <c r="AN11" i="13"/>
  <c r="AN18" i="13"/>
  <c r="AO16" i="13"/>
  <c r="AN14" i="13"/>
  <c r="AN10" i="13"/>
  <c r="AO8" i="13"/>
  <c r="AU21" i="13" l="1"/>
  <c r="AU25" i="13"/>
  <c r="AP24" i="13"/>
  <c r="AP23" i="13"/>
  <c r="AO20" i="13"/>
  <c r="AO17" i="13"/>
  <c r="AP16" i="13"/>
  <c r="AO21" i="13"/>
  <c r="AO19" i="13"/>
  <c r="AP18" i="13"/>
  <c r="AO22" i="13"/>
  <c r="AP15" i="13"/>
  <c r="AP10" i="13"/>
  <c r="AP11" i="13"/>
  <c r="AP14" i="13"/>
  <c r="AP12" i="13"/>
  <c r="AP8" i="13"/>
  <c r="AR6" i="11"/>
  <c r="AK20" i="11"/>
  <c r="AL20" i="11"/>
  <c r="AK21" i="11"/>
  <c r="AL21" i="11"/>
  <c r="AM20" i="11"/>
  <c r="AM21" i="11"/>
  <c r="AF19" i="11"/>
  <c r="AN19" i="11" s="1"/>
  <c r="AG19" i="11"/>
  <c r="AO19" i="11" s="1"/>
  <c r="AF20" i="11"/>
  <c r="AG20" i="11"/>
  <c r="AF21" i="11"/>
  <c r="AG21" i="11"/>
  <c r="AV21" i="13" l="1"/>
  <c r="AV25" i="13"/>
  <c r="AU19" i="11"/>
  <c r="AT27" i="11"/>
  <c r="AV19" i="11"/>
  <c r="AP19" i="13"/>
  <c r="AP21" i="13"/>
  <c r="AP19" i="11"/>
  <c r="AP20" i="13"/>
  <c r="AP22" i="13"/>
  <c r="AP17" i="13"/>
  <c r="AN21" i="11"/>
  <c r="AN20" i="11"/>
  <c r="AO21" i="11"/>
  <c r="AO20" i="11"/>
  <c r="AV27" i="11" l="1"/>
  <c r="AU27" i="11"/>
  <c r="AP20" i="11"/>
  <c r="AP21" i="11"/>
  <c r="R4" i="10"/>
  <c r="T4" i="10"/>
  <c r="AT29" i="10" l="1"/>
  <c r="AP19" i="10"/>
  <c r="AP21" i="10"/>
  <c r="AP18" i="10"/>
  <c r="AP20" i="10"/>
  <c r="S4" i="10"/>
  <c r="AR13" i="10"/>
  <c r="AR17" i="10"/>
  <c r="AR12" i="10"/>
  <c r="AR16" i="10"/>
  <c r="AR19" i="10"/>
  <c r="AR15" i="10"/>
  <c r="AR20" i="10"/>
  <c r="AR18" i="10"/>
  <c r="AR14" i="10"/>
  <c r="AR21" i="10"/>
  <c r="AV29" i="10" l="1"/>
  <c r="AP16" i="10"/>
  <c r="AU29" i="10"/>
  <c r="AP17" i="10"/>
  <c r="AP15" i="10"/>
  <c r="AP14" i="10"/>
  <c r="AP13" i="10"/>
  <c r="AP12" i="10"/>
  <c r="AR21" i="9"/>
  <c r="AR20" i="9"/>
  <c r="AA14" i="12" l="1"/>
  <c r="AB14" i="12"/>
  <c r="AA15" i="12"/>
  <c r="AB15" i="12"/>
  <c r="AA16" i="12"/>
  <c r="AB16" i="12"/>
  <c r="AA17" i="12"/>
  <c r="AB17" i="12"/>
  <c r="AA18" i="12"/>
  <c r="AB18" i="12"/>
  <c r="AA19" i="12"/>
  <c r="AB19" i="12"/>
  <c r="AA20" i="12"/>
  <c r="AB20" i="12"/>
  <c r="AA21" i="12"/>
  <c r="AB21" i="12"/>
  <c r="AR21" i="12"/>
  <c r="AR20" i="12"/>
  <c r="AR19" i="12"/>
  <c r="AR16" i="12"/>
  <c r="AR15" i="12"/>
  <c r="AR17" i="12" l="1"/>
  <c r="AR14" i="12"/>
  <c r="AR18" i="12"/>
  <c r="AO8" i="8" l="1"/>
  <c r="AB12" i="8" l="1"/>
  <c r="AB13" i="8"/>
  <c r="AG21" i="8"/>
  <c r="AF21" i="8"/>
  <c r="AB21" i="8"/>
  <c r="AA21" i="8"/>
  <c r="AG20" i="8"/>
  <c r="AF20" i="8"/>
  <c r="AN20" i="8" s="1"/>
  <c r="AB20" i="8"/>
  <c r="AA20" i="8"/>
  <c r="AG19" i="8"/>
  <c r="AF19" i="8"/>
  <c r="AB19" i="8"/>
  <c r="AA19" i="8"/>
  <c r="AG18" i="8"/>
  <c r="AF18" i="8"/>
  <c r="AN18" i="8" s="1"/>
  <c r="AB18" i="8"/>
  <c r="AA18" i="8"/>
  <c r="AG17" i="8"/>
  <c r="AF17" i="8"/>
  <c r="AB17" i="8"/>
  <c r="AA17" i="8"/>
  <c r="AG16" i="8"/>
  <c r="AO16" i="8" s="1"/>
  <c r="AF16" i="8"/>
  <c r="AB16" i="8"/>
  <c r="AA16" i="8"/>
  <c r="AR16" i="8"/>
  <c r="AG15" i="8"/>
  <c r="AO15" i="8" s="1"/>
  <c r="AF15" i="8"/>
  <c r="AN15" i="8" s="1"/>
  <c r="AB15" i="8"/>
  <c r="AA15" i="8"/>
  <c r="AR15" i="8"/>
  <c r="AG14" i="8"/>
  <c r="AO14" i="8" s="1"/>
  <c r="AF14" i="8"/>
  <c r="AN14" i="8" s="1"/>
  <c r="AB14" i="8"/>
  <c r="AA14" i="8"/>
  <c r="AR14" i="8"/>
  <c r="AG13" i="8"/>
  <c r="AO13" i="8" s="1"/>
  <c r="AF13" i="8"/>
  <c r="AN13" i="8" s="1"/>
  <c r="AA13" i="8"/>
  <c r="AR13" i="8"/>
  <c r="AG12" i="8"/>
  <c r="AO12" i="8" s="1"/>
  <c r="AF12" i="8"/>
  <c r="AN12" i="8" s="1"/>
  <c r="AA12" i="8"/>
  <c r="AG11" i="8"/>
  <c r="AO11" i="8" s="1"/>
  <c r="AF11" i="8"/>
  <c r="AN11" i="8" s="1"/>
  <c r="AB11" i="8"/>
  <c r="AA11" i="8"/>
  <c r="AR11" i="8"/>
  <c r="AG10" i="8"/>
  <c r="AO10" i="8" s="1"/>
  <c r="AF10" i="8"/>
  <c r="AN10" i="8" s="1"/>
  <c r="AB10" i="8"/>
  <c r="AA10" i="8"/>
  <c r="AO9" i="8"/>
  <c r="AN9" i="8"/>
  <c r="AR9" i="8"/>
  <c r="AN8" i="8"/>
  <c r="AP8" i="8" s="1"/>
  <c r="AR8" i="8"/>
  <c r="AP15" i="8" l="1"/>
  <c r="AP9" i="8"/>
  <c r="AP12" i="8"/>
  <c r="AP10" i="8"/>
  <c r="AP13" i="8"/>
  <c r="AP14" i="8"/>
  <c r="H17" i="8"/>
  <c r="AO17" i="8" s="1"/>
  <c r="AN16" i="8"/>
  <c r="H18" i="8"/>
  <c r="AO18" i="8" s="1"/>
  <c r="AN17" i="8"/>
  <c r="H20" i="8"/>
  <c r="AO20" i="8" s="1"/>
  <c r="AN19" i="8"/>
  <c r="H22" i="8"/>
  <c r="AO22" i="8" s="1"/>
  <c r="AN21" i="8"/>
  <c r="AP11" i="8"/>
  <c r="H21" i="8"/>
  <c r="AO21" i="8" s="1"/>
  <c r="H19" i="8"/>
  <c r="AO19" i="8" s="1"/>
  <c r="AR10" i="8"/>
  <c r="AR12" i="8"/>
  <c r="AR18" i="8"/>
  <c r="AR20" i="8"/>
  <c r="AR17" i="8"/>
  <c r="AR19" i="8"/>
  <c r="AR21" i="8"/>
  <c r="AU21" i="8" l="1"/>
  <c r="AV21" i="8"/>
  <c r="AV29" i="8"/>
  <c r="AP16" i="8"/>
  <c r="AU29" i="8"/>
  <c r="AV25" i="8"/>
  <c r="AU25" i="8"/>
  <c r="AP18" i="8"/>
  <c r="AP20" i="8"/>
  <c r="AP22" i="8"/>
  <c r="AP21" i="8"/>
  <c r="AP19" i="8"/>
  <c r="AP17" i="8"/>
  <c r="AR21" i="7"/>
  <c r="AR20" i="7"/>
  <c r="AO21" i="5" l="1"/>
  <c r="AN21" i="5"/>
  <c r="AO20" i="5"/>
  <c r="AN20" i="5"/>
  <c r="AP21" i="5" l="1"/>
  <c r="AP20" i="5"/>
  <c r="AR21" i="3"/>
  <c r="AR20" i="3"/>
  <c r="AR19" i="3"/>
  <c r="AR18" i="3"/>
  <c r="AR19" i="9" l="1"/>
  <c r="AR18" i="9"/>
  <c r="AR17" i="9"/>
  <c r="AR16" i="9"/>
  <c r="AR15" i="9"/>
  <c r="AR14" i="9"/>
  <c r="AR19" i="7" l="1"/>
  <c r="AR18" i="7"/>
  <c r="AR17" i="7"/>
  <c r="AR16" i="7"/>
  <c r="AR15" i="7"/>
  <c r="AR14" i="7"/>
  <c r="AR19" i="5" l="1"/>
  <c r="AR18" i="5"/>
  <c r="AR17" i="5"/>
  <c r="AR16" i="5"/>
  <c r="AR15" i="5"/>
  <c r="AR14" i="5"/>
  <c r="AO19" i="5"/>
  <c r="AN19" i="5"/>
  <c r="AO18" i="5"/>
  <c r="AN18" i="5"/>
  <c r="AO17" i="5"/>
  <c r="AN17" i="5"/>
  <c r="AO16" i="5"/>
  <c r="AN16" i="5"/>
  <c r="AO15" i="5"/>
  <c r="AN15" i="5"/>
  <c r="AO14" i="5"/>
  <c r="AN14" i="5"/>
  <c r="AP16" i="5" l="1"/>
  <c r="AP14" i="5"/>
  <c r="AP18" i="5"/>
  <c r="AP15" i="5"/>
  <c r="AP17" i="5"/>
  <c r="AP19" i="5"/>
  <c r="AR8" i="3"/>
  <c r="AR15" i="3"/>
  <c r="AR14" i="3"/>
  <c r="AR13" i="3"/>
  <c r="AR12" i="3"/>
  <c r="AR11" i="3"/>
  <c r="AR10" i="3"/>
  <c r="AR9" i="3"/>
  <c r="AR13" i="14" l="1"/>
  <c r="AR12" i="14"/>
  <c r="AR11" i="14"/>
  <c r="AR10" i="14"/>
  <c r="AR9" i="14"/>
  <c r="AR8" i="14"/>
  <c r="AR7" i="14"/>
  <c r="AR6" i="14"/>
  <c r="AR5" i="14"/>
  <c r="AR4" i="14"/>
  <c r="AL4" i="14"/>
  <c r="AK4" i="14"/>
  <c r="AG4" i="14"/>
  <c r="AF4" i="14"/>
  <c r="AB4" i="14"/>
  <c r="AA4" i="14"/>
  <c r="T4" i="14"/>
  <c r="S4" i="14"/>
  <c r="R4" i="14"/>
  <c r="AM4" i="14" s="1"/>
  <c r="AT17" i="14" s="1"/>
  <c r="AM66" i="14" l="1"/>
  <c r="H30" i="1" s="1"/>
  <c r="AN4" i="14"/>
  <c r="AU17" i="14" s="1"/>
  <c r="AO4" i="14"/>
  <c r="AV17" i="14" s="1"/>
  <c r="AO66" i="14" l="1"/>
  <c r="J30" i="1" s="1"/>
  <c r="AN66" i="14"/>
  <c r="I30" i="1" s="1"/>
  <c r="AP4" i="14"/>
  <c r="AR10" i="11"/>
  <c r="AR4" i="11"/>
  <c r="AL4" i="11"/>
  <c r="AK4" i="11"/>
  <c r="AG4" i="11"/>
  <c r="AF4" i="11"/>
  <c r="T4" i="11"/>
  <c r="S4" i="11"/>
  <c r="R4" i="11"/>
  <c r="AM4" i="11" s="1"/>
  <c r="AO4" i="11" l="1"/>
  <c r="AR13" i="11"/>
  <c r="AR12" i="11"/>
  <c r="AR11" i="11"/>
  <c r="AR9" i="11"/>
  <c r="AR8" i="11"/>
  <c r="AN4" i="11"/>
  <c r="AR5" i="11"/>
  <c r="AP4" i="11" l="1"/>
  <c r="AR7" i="12" l="1"/>
  <c r="AG4" i="12"/>
  <c r="AF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T4" i="12"/>
  <c r="S4" i="12"/>
  <c r="R4" i="12"/>
  <c r="AM4" i="12" s="1"/>
  <c r="AR13" i="12"/>
  <c r="AR12" i="12"/>
  <c r="AR11" i="12"/>
  <c r="AR10" i="12"/>
  <c r="AR9" i="12"/>
  <c r="AR8" i="12"/>
  <c r="AR6" i="12"/>
  <c r="AR5" i="12"/>
  <c r="AR4" i="12"/>
  <c r="AL4" i="12"/>
  <c r="AK4" i="12"/>
  <c r="AT19" i="12" l="1"/>
  <c r="AM66" i="12"/>
  <c r="H28" i="1" s="1"/>
  <c r="AO4" i="12"/>
  <c r="AN4" i="12"/>
  <c r="AV19" i="12" l="1"/>
  <c r="AU19" i="12"/>
  <c r="AO66" i="12"/>
  <c r="J28" i="1" s="1"/>
  <c r="AN66" i="12"/>
  <c r="I28" i="1" s="1"/>
  <c r="AP4" i="12"/>
  <c r="M64" i="16" l="1"/>
  <c r="M63" i="16"/>
  <c r="AR11" i="10"/>
  <c r="AR9" i="10"/>
  <c r="AP10" i="10" l="1"/>
  <c r="AP8" i="10"/>
  <c r="AP11" i="10"/>
  <c r="AP9" i="10"/>
  <c r="AR10" i="10"/>
  <c r="AR8" i="10"/>
  <c r="AR13" i="9" l="1"/>
  <c r="AR12" i="9"/>
  <c r="AR11" i="9"/>
  <c r="AR10" i="9"/>
  <c r="AR9" i="9"/>
  <c r="AR8" i="9"/>
  <c r="AR7" i="9"/>
  <c r="AR6" i="9"/>
  <c r="AR5" i="9"/>
  <c r="AR4" i="9"/>
  <c r="AL4" i="9"/>
  <c r="AK4" i="9"/>
  <c r="AR13" i="7" l="1"/>
  <c r="AR12" i="7"/>
  <c r="AR9" i="7"/>
  <c r="AR8" i="7"/>
  <c r="AR11" i="7" l="1"/>
  <c r="AR10" i="7"/>
  <c r="AN8" i="5" l="1"/>
  <c r="AO8" i="5"/>
  <c r="AN9" i="5"/>
  <c r="AO9" i="5"/>
  <c r="AN10" i="5"/>
  <c r="AO10" i="5"/>
  <c r="AN11" i="5"/>
  <c r="AO11" i="5"/>
  <c r="AN12" i="5"/>
  <c r="AO12" i="5"/>
  <c r="AN13" i="5"/>
  <c r="AO13" i="5"/>
  <c r="AR13" i="5"/>
  <c r="AR11" i="5"/>
  <c r="AR9" i="5"/>
  <c r="AP9" i="5" l="1"/>
  <c r="AP13" i="5"/>
  <c r="AP11" i="5"/>
  <c r="AP10" i="5"/>
  <c r="AP12" i="5"/>
  <c r="AP8" i="5"/>
  <c r="AR12" i="5"/>
  <c r="AR8" i="5"/>
  <c r="AR10" i="5"/>
  <c r="AR59" i="14" l="1"/>
  <c r="AR58" i="14"/>
  <c r="AR34" i="14"/>
  <c r="AR33" i="14"/>
  <c r="AR32" i="14"/>
  <c r="AR23" i="14"/>
  <c r="AR22" i="14"/>
  <c r="AR21" i="14"/>
  <c r="AR20" i="14"/>
  <c r="AR19" i="14"/>
  <c r="AR18" i="14"/>
  <c r="AR17" i="14"/>
  <c r="AR16" i="14"/>
  <c r="AR15" i="14"/>
  <c r="AR14" i="14"/>
  <c r="A8" i="14"/>
  <c r="A5" i="14"/>
  <c r="A4" i="14"/>
  <c r="A6" i="14" l="1"/>
  <c r="A10" i="14" l="1"/>
  <c r="A7" i="14"/>
  <c r="A12" i="14" l="1"/>
  <c r="A9" i="14"/>
  <c r="A11" i="14" l="1"/>
  <c r="A14" i="14"/>
  <c r="A16" i="14" l="1"/>
  <c r="A13" i="14"/>
  <c r="A15" i="14" l="1"/>
  <c r="A18" i="14"/>
  <c r="A20" i="14" l="1"/>
  <c r="A17" i="14"/>
  <c r="A19" i="14" l="1"/>
  <c r="A22" i="14"/>
  <c r="A24" i="14" l="1"/>
  <c r="A21" i="14"/>
  <c r="A23" i="14" l="1"/>
  <c r="A26" i="14"/>
  <c r="A28" i="14" l="1"/>
  <c r="A25" i="14"/>
  <c r="A30" i="14" l="1"/>
  <c r="A27" i="14"/>
  <c r="A29" i="14" l="1"/>
  <c r="A32" i="14"/>
  <c r="A34" i="14" l="1"/>
  <c r="A31" i="14"/>
  <c r="A33" i="14" l="1"/>
  <c r="A36" i="14"/>
  <c r="A38" i="14" l="1"/>
  <c r="A35" i="14"/>
  <c r="A37" i="14" l="1"/>
  <c r="A40" i="14"/>
  <c r="A42" i="14" l="1"/>
  <c r="A39" i="14"/>
  <c r="A41" i="14" l="1"/>
  <c r="A44" i="14"/>
  <c r="A46" i="14" l="1"/>
  <c r="A43" i="14"/>
  <c r="A45" i="14" l="1"/>
  <c r="A48" i="14"/>
  <c r="A50" i="14" l="1"/>
  <c r="A47" i="14"/>
  <c r="A49" i="14" l="1"/>
  <c r="A52" i="14"/>
  <c r="A54" i="14" l="1"/>
  <c r="A51" i="14"/>
  <c r="A53" i="14" l="1"/>
  <c r="A56" i="14"/>
  <c r="A58" i="14" l="1"/>
  <c r="A55" i="14"/>
  <c r="A57" i="14" l="1"/>
  <c r="A59" i="14" l="1"/>
  <c r="G29" i="1" l="1"/>
  <c r="AR48" i="13"/>
  <c r="AR47" i="13"/>
  <c r="AR46" i="13"/>
  <c r="AR45" i="13"/>
  <c r="AR44" i="13"/>
  <c r="AR43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O7" i="13"/>
  <c r="AN7" i="13"/>
  <c r="AM7" i="13"/>
  <c r="AO6" i="13"/>
  <c r="AN6" i="13"/>
  <c r="AM6" i="13"/>
  <c r="AR5" i="13"/>
  <c r="AO5" i="13"/>
  <c r="AN5" i="13"/>
  <c r="AM5" i="13"/>
  <c r="A5" i="13"/>
  <c r="AR4" i="13"/>
  <c r="AL4" i="13"/>
  <c r="AK4" i="13"/>
  <c r="AG4" i="13"/>
  <c r="AF4" i="13"/>
  <c r="T4" i="13"/>
  <c r="S4" i="13"/>
  <c r="AM4" i="13"/>
  <c r="A4" i="13"/>
  <c r="AP5" i="13" l="1"/>
  <c r="AP7" i="13"/>
  <c r="AP6" i="13"/>
  <c r="AN4" i="13"/>
  <c r="AM66" i="13"/>
  <c r="H29" i="1" s="1"/>
  <c r="AO4" i="13"/>
  <c r="A8" i="13"/>
  <c r="A6" i="13"/>
  <c r="AR6" i="13"/>
  <c r="AN66" i="13" l="1"/>
  <c r="I29" i="1" s="1"/>
  <c r="AO66" i="13"/>
  <c r="AP4" i="13"/>
  <c r="A10" i="13"/>
  <c r="A7" i="13"/>
  <c r="J29" i="1" l="1"/>
  <c r="A12" i="13"/>
  <c r="A9" i="13"/>
  <c r="A11" i="13" l="1"/>
  <c r="A14" i="13"/>
  <c r="A16" i="13" l="1"/>
  <c r="A13" i="13"/>
  <c r="A15" i="13" l="1"/>
  <c r="A18" i="13"/>
  <c r="A17" i="13" l="1"/>
  <c r="A20" i="13"/>
  <c r="A22" i="13" l="1"/>
  <c r="A19" i="13"/>
  <c r="A21" i="13" l="1"/>
  <c r="A24" i="13"/>
  <c r="A26" i="13" l="1"/>
  <c r="A23" i="13"/>
  <c r="A25" i="13" l="1"/>
  <c r="A28" i="13"/>
  <c r="A30" i="13" l="1"/>
  <c r="A27" i="13"/>
  <c r="A32" i="13" l="1"/>
  <c r="A29" i="13"/>
  <c r="A31" i="13" l="1"/>
  <c r="A34" i="13"/>
  <c r="A36" i="13" l="1"/>
  <c r="A33" i="13"/>
  <c r="A35" i="13" l="1"/>
  <c r="A38" i="13"/>
  <c r="A40" i="13" l="1"/>
  <c r="A37" i="13"/>
  <c r="A39" i="13" l="1"/>
  <c r="A42" i="13"/>
  <c r="A44" i="13" l="1"/>
  <c r="A41" i="13"/>
  <c r="A43" i="13" l="1"/>
  <c r="A46" i="13"/>
  <c r="A45" i="13" l="1"/>
  <c r="A48" i="13"/>
  <c r="A50" i="13" l="1"/>
  <c r="A47" i="13"/>
  <c r="A49" i="13" l="1"/>
  <c r="A52" i="13"/>
  <c r="A54" i="13" l="1"/>
  <c r="A51" i="13"/>
  <c r="A53" i="13" l="1"/>
  <c r="A56" i="13"/>
  <c r="A58" i="13" l="1"/>
  <c r="A55" i="13"/>
  <c r="A57" i="13" l="1"/>
  <c r="A60" i="13"/>
  <c r="A62" i="13" l="1"/>
  <c r="A64" i="13"/>
  <c r="A59" i="13"/>
  <c r="A61" i="13" l="1"/>
  <c r="A63" i="13" l="1"/>
  <c r="A65" i="13"/>
  <c r="AR51" i="12" l="1"/>
  <c r="AR50" i="12"/>
  <c r="AR48" i="12"/>
  <c r="AR47" i="12"/>
  <c r="AR46" i="12"/>
  <c r="AR45" i="12"/>
  <c r="AR44" i="12"/>
  <c r="AR43" i="12"/>
  <c r="AR42" i="12"/>
  <c r="AR41" i="12"/>
  <c r="AR40" i="12"/>
  <c r="A5" i="12"/>
  <c r="A4" i="12"/>
  <c r="A8" i="12" l="1"/>
  <c r="A6" i="12"/>
  <c r="A10" i="12" l="1"/>
  <c r="A7" i="12"/>
  <c r="A12" i="12" l="1"/>
  <c r="A9" i="12"/>
  <c r="A11" i="12" l="1"/>
  <c r="A14" i="12"/>
  <c r="A16" i="12" l="1"/>
  <c r="A13" i="12"/>
  <c r="A15" i="12" l="1"/>
  <c r="A18" i="12"/>
  <c r="A20" i="12" l="1"/>
  <c r="A17" i="12"/>
  <c r="A19" i="12" l="1"/>
  <c r="A22" i="12"/>
  <c r="A21" i="12" l="1"/>
  <c r="A24" i="12"/>
  <c r="A26" i="12" l="1"/>
  <c r="A23" i="12"/>
  <c r="A28" i="12" l="1"/>
  <c r="A25" i="12"/>
  <c r="A27" i="12" l="1"/>
  <c r="A30" i="12"/>
  <c r="A32" i="12" l="1"/>
  <c r="A29" i="12"/>
  <c r="A31" i="12" l="1"/>
  <c r="A34" i="12"/>
  <c r="A33" i="12" l="1"/>
  <c r="A36" i="12"/>
  <c r="A38" i="12" l="1"/>
  <c r="A35" i="12"/>
  <c r="A37" i="12" l="1"/>
  <c r="A40" i="12"/>
  <c r="A42" i="12" l="1"/>
  <c r="A39" i="12"/>
  <c r="A41" i="12" l="1"/>
  <c r="A44" i="12"/>
  <c r="A46" i="12" l="1"/>
  <c r="A43" i="12"/>
  <c r="A45" i="12" l="1"/>
  <c r="A48" i="12"/>
  <c r="A50" i="12" l="1"/>
  <c r="A47" i="12"/>
  <c r="A49" i="12" l="1"/>
  <c r="A52" i="12"/>
  <c r="A54" i="12" l="1"/>
  <c r="A51" i="12"/>
  <c r="A53" i="12" l="1"/>
  <c r="A56" i="12"/>
  <c r="A58" i="12" l="1"/>
  <c r="A55" i="12"/>
  <c r="A57" i="12" l="1"/>
  <c r="A59" i="12" l="1"/>
  <c r="G26" i="1" l="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5" i="11"/>
  <c r="A4" i="11"/>
  <c r="AO66" i="11" l="1"/>
  <c r="J26" i="1" s="1"/>
  <c r="A8" i="11"/>
  <c r="AN66" i="11"/>
  <c r="I26" i="1" s="1"/>
  <c r="A6" i="11"/>
  <c r="AM66" i="11"/>
  <c r="H26" i="1" s="1"/>
  <c r="A7" i="11" l="1"/>
  <c r="A10" i="11"/>
  <c r="A12" i="11" l="1"/>
  <c r="A9" i="11"/>
  <c r="A11" i="11" l="1"/>
  <c r="A14" i="11"/>
  <c r="A16" i="11" l="1"/>
  <c r="A13" i="11"/>
  <c r="A18" i="11" l="1"/>
  <c r="A15" i="11"/>
  <c r="A20" i="11" l="1"/>
  <c r="A17" i="11"/>
  <c r="A19" i="11" l="1"/>
  <c r="A22" i="11"/>
  <c r="A24" i="11" l="1"/>
  <c r="A21" i="11"/>
  <c r="A23" i="11" l="1"/>
  <c r="A26" i="11"/>
  <c r="A25" i="11" l="1"/>
  <c r="A28" i="11"/>
  <c r="A30" i="11" l="1"/>
  <c r="A27" i="11"/>
  <c r="A29" i="11" l="1"/>
  <c r="A32" i="11"/>
  <c r="A34" i="11" l="1"/>
  <c r="A31" i="11"/>
  <c r="A33" i="11" l="1"/>
  <c r="A36" i="11"/>
  <c r="A38" i="11" l="1"/>
  <c r="A35" i="11"/>
  <c r="A37" i="11" l="1"/>
  <c r="A40" i="11"/>
  <c r="A42" i="11" l="1"/>
  <c r="A39" i="11"/>
  <c r="A41" i="11" l="1"/>
  <c r="A44" i="11"/>
  <c r="A46" i="11" l="1"/>
  <c r="A43" i="11"/>
  <c r="A45" i="11" l="1"/>
  <c r="A48" i="11"/>
  <c r="A50" i="11" l="1"/>
  <c r="A47" i="11"/>
  <c r="A49" i="11" l="1"/>
  <c r="A52" i="11"/>
  <c r="A54" i="11" l="1"/>
  <c r="A51" i="11"/>
  <c r="A56" i="11" l="1"/>
  <c r="A53" i="11"/>
  <c r="A55" i="11" l="1"/>
  <c r="A58" i="11"/>
  <c r="A60" i="11" l="1"/>
  <c r="A57" i="11"/>
  <c r="A59" i="11" l="1"/>
  <c r="A62" i="11"/>
  <c r="A64" i="11"/>
  <c r="A61" i="11" l="1"/>
  <c r="A63" i="11" l="1"/>
  <c r="A65" i="11"/>
  <c r="J66" i="10" l="1"/>
  <c r="G24" i="1" s="1"/>
  <c r="AR65" i="10"/>
  <c r="AR64" i="10"/>
  <c r="AR49" i="10"/>
  <c r="AR48" i="10"/>
  <c r="AR47" i="10"/>
  <c r="AR45" i="10"/>
  <c r="AR44" i="10"/>
  <c r="AR43" i="10"/>
  <c r="AR42" i="10"/>
  <c r="AR7" i="10"/>
  <c r="AR6" i="10"/>
  <c r="AR5" i="10"/>
  <c r="AR4" i="10"/>
  <c r="AL4" i="10"/>
  <c r="AK4" i="10"/>
  <c r="AG4" i="10"/>
  <c r="AF4" i="10"/>
  <c r="AB4" i="10"/>
  <c r="AA4" i="10"/>
  <c r="AM4" i="10"/>
  <c r="A4" i="10"/>
  <c r="AP7" i="10" l="1"/>
  <c r="AP5" i="10"/>
  <c r="AP6" i="10"/>
  <c r="AN4" i="10"/>
  <c r="A6" i="10"/>
  <c r="AO4" i="10"/>
  <c r="A8" i="10"/>
  <c r="A7" i="10"/>
  <c r="A5" i="10"/>
  <c r="AO66" i="10" l="1"/>
  <c r="J24" i="1" s="1"/>
  <c r="AP4" i="10"/>
  <c r="AM66" i="10"/>
  <c r="H24" i="1" s="1"/>
  <c r="AN66" i="10"/>
  <c r="I24" i="1" s="1"/>
  <c r="A9" i="10"/>
  <c r="A10" i="10"/>
  <c r="A12" i="10" l="1"/>
  <c r="A11" i="10"/>
  <c r="A13" i="10" l="1"/>
  <c r="A14" i="10"/>
  <c r="A15" i="10" l="1"/>
  <c r="A16" i="10"/>
  <c r="A18" i="10" l="1"/>
  <c r="A17" i="10"/>
  <c r="A19" i="10" l="1"/>
  <c r="A20" i="10"/>
  <c r="A21" i="10" l="1"/>
  <c r="A22" i="10"/>
  <c r="A24" i="10" l="1"/>
  <c r="A23" i="10"/>
  <c r="A25" i="10" l="1"/>
  <c r="A26" i="10"/>
  <c r="A28" i="10" l="1"/>
  <c r="A27" i="10"/>
  <c r="A29" i="10" l="1"/>
  <c r="A30" i="10"/>
  <c r="A32" i="10" l="1"/>
  <c r="A31" i="10"/>
  <c r="A33" i="10" l="1"/>
  <c r="A34" i="10"/>
  <c r="A36" i="10" l="1"/>
  <c r="A35" i="10"/>
  <c r="A37" i="10" l="1"/>
  <c r="A38" i="10"/>
  <c r="A40" i="10" l="1"/>
  <c r="A39" i="10"/>
  <c r="A41" i="10" l="1"/>
  <c r="A42" i="10"/>
  <c r="A44" i="10" l="1"/>
  <c r="A43" i="10"/>
  <c r="A45" i="10" l="1"/>
  <c r="A46" i="10"/>
  <c r="A48" i="10" l="1"/>
  <c r="A47" i="10"/>
  <c r="A49" i="10" l="1"/>
  <c r="A50" i="10"/>
  <c r="A52" i="10" l="1"/>
  <c r="A51" i="10"/>
  <c r="A53" i="10" l="1"/>
  <c r="A54" i="10"/>
  <c r="A56" i="10" l="1"/>
  <c r="A55" i="10"/>
  <c r="A57" i="10" l="1"/>
  <c r="A58" i="10"/>
  <c r="A60" i="10" l="1"/>
  <c r="A59" i="10"/>
  <c r="J66" i="9"/>
  <c r="G22" i="1" s="1"/>
  <c r="AR57" i="9"/>
  <c r="AR56" i="9"/>
  <c r="AR49" i="9"/>
  <c r="AR48" i="9"/>
  <c r="AR47" i="9"/>
  <c r="AR46" i="9"/>
  <c r="AR45" i="9"/>
  <c r="AR44" i="9"/>
  <c r="AR29" i="9"/>
  <c r="AR26" i="9"/>
  <c r="AR25" i="9"/>
  <c r="AR24" i="9"/>
  <c r="AR23" i="9"/>
  <c r="AR22" i="9"/>
  <c r="AG4" i="9"/>
  <c r="AF4" i="9"/>
  <c r="T4" i="9"/>
  <c r="S4" i="9"/>
  <c r="R4" i="9"/>
  <c r="AM4" i="9" s="1"/>
  <c r="AT17" i="9" s="1"/>
  <c r="A4" i="9"/>
  <c r="A5" i="9" l="1"/>
  <c r="A6" i="9"/>
  <c r="AO4" i="9"/>
  <c r="AV17" i="9" s="1"/>
  <c r="AN4" i="9"/>
  <c r="AU17" i="9" s="1"/>
  <c r="A61" i="10"/>
  <c r="A62" i="10"/>
  <c r="A64" i="10"/>
  <c r="A8" i="9"/>
  <c r="A7" i="9"/>
  <c r="AN66" i="9" l="1"/>
  <c r="I22" i="1" s="1"/>
  <c r="AO66" i="9"/>
  <c r="J22" i="1" s="1"/>
  <c r="AP4" i="9"/>
  <c r="AM66" i="9"/>
  <c r="H22" i="1" s="1"/>
  <c r="A65" i="10"/>
  <c r="A63" i="10"/>
  <c r="A9" i="9"/>
  <c r="A10" i="9"/>
  <c r="A12" i="9" l="1"/>
  <c r="A11" i="9"/>
  <c r="A13" i="9" l="1"/>
  <c r="A14" i="9"/>
  <c r="A16" i="9" l="1"/>
  <c r="A15" i="9"/>
  <c r="A17" i="9" l="1"/>
  <c r="A18" i="9"/>
  <c r="A20" i="9" l="1"/>
  <c r="A19" i="9"/>
  <c r="A21" i="9" l="1"/>
  <c r="A22" i="9"/>
  <c r="A24" i="9" l="1"/>
  <c r="A23" i="9"/>
  <c r="A25" i="9" l="1"/>
  <c r="A26" i="9"/>
  <c r="A28" i="9" l="1"/>
  <c r="A27" i="9"/>
  <c r="A30" i="9" l="1"/>
  <c r="A29" i="9"/>
  <c r="A31" i="9" l="1"/>
  <c r="A32" i="9"/>
  <c r="A33" i="9" l="1"/>
  <c r="A34" i="9"/>
  <c r="A36" i="9" l="1"/>
  <c r="A35" i="9"/>
  <c r="A37" i="9" l="1"/>
  <c r="A38" i="9"/>
  <c r="A40" i="9" l="1"/>
  <c r="A39" i="9"/>
  <c r="A41" i="9" l="1"/>
  <c r="A42" i="9"/>
  <c r="A43" i="9" l="1"/>
  <c r="A44" i="9"/>
  <c r="A46" i="9" l="1"/>
  <c r="A45" i="9"/>
  <c r="A47" i="9" l="1"/>
  <c r="A48" i="9"/>
  <c r="A50" i="9" l="1"/>
  <c r="A49" i="9"/>
  <c r="A51" i="9" l="1"/>
  <c r="A52" i="9"/>
  <c r="A54" i="9" l="1"/>
  <c r="A53" i="9"/>
  <c r="A55" i="9" l="1"/>
  <c r="A56" i="9"/>
  <c r="A58" i="9" l="1"/>
  <c r="A57" i="9"/>
  <c r="A59" i="9" l="1"/>
  <c r="A60" i="9"/>
  <c r="A64" i="9" l="1"/>
  <c r="A62" i="9"/>
  <c r="A61" i="9"/>
  <c r="A63" i="9" l="1"/>
  <c r="A65" i="9"/>
  <c r="J66" i="8" l="1"/>
  <c r="G21" i="1" s="1"/>
  <c r="AR65" i="8"/>
  <c r="AR64" i="8"/>
  <c r="AR49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7" i="8"/>
  <c r="AO6" i="8"/>
  <c r="AN6" i="8"/>
  <c r="AR5" i="8"/>
  <c r="AO5" i="8"/>
  <c r="AN5" i="8"/>
  <c r="A5" i="8"/>
  <c r="AR4" i="8"/>
  <c r="AL4" i="8"/>
  <c r="AK4" i="8"/>
  <c r="T4" i="8"/>
  <c r="S4" i="8"/>
  <c r="R4" i="8"/>
  <c r="AM4" i="8" s="1"/>
  <c r="AT17" i="8" s="1"/>
  <c r="A4" i="8"/>
  <c r="AP5" i="8" l="1"/>
  <c r="AP6" i="8"/>
  <c r="AN4" i="8"/>
  <c r="AO4" i="8"/>
  <c r="A8" i="8"/>
  <c r="A6" i="8"/>
  <c r="AR6" i="8"/>
  <c r="AP4" i="8" l="1"/>
  <c r="AM66" i="8"/>
  <c r="H21" i="1" s="1"/>
  <c r="A7" i="8"/>
  <c r="A10" i="8"/>
  <c r="A9" i="8" l="1"/>
  <c r="A12" i="8"/>
  <c r="A14" i="8" l="1"/>
  <c r="A11" i="8"/>
  <c r="A13" i="8" l="1"/>
  <c r="A16" i="8"/>
  <c r="A18" i="8" l="1"/>
  <c r="A15" i="8"/>
  <c r="A17" i="8" l="1"/>
  <c r="A20" i="8"/>
  <c r="A22" i="8" l="1"/>
  <c r="A19" i="8"/>
  <c r="A21" i="8" l="1"/>
  <c r="A24" i="8"/>
  <c r="A26" i="8" l="1"/>
  <c r="A23" i="8"/>
  <c r="A25" i="8" l="1"/>
  <c r="A28" i="8"/>
  <c r="A30" i="8" l="1"/>
  <c r="A27" i="8"/>
  <c r="A29" i="8" l="1"/>
  <c r="A32" i="8"/>
  <c r="A34" i="8" l="1"/>
  <c r="A31" i="8"/>
  <c r="A36" i="8" l="1"/>
  <c r="A33" i="8"/>
  <c r="A35" i="8" l="1"/>
  <c r="A38" i="8"/>
  <c r="A37" i="8" l="1"/>
  <c r="A40" i="8"/>
  <c r="A42" i="8" l="1"/>
  <c r="A39" i="8"/>
  <c r="A41" i="8" l="1"/>
  <c r="A44" i="8"/>
  <c r="A46" i="8" l="1"/>
  <c r="A43" i="8"/>
  <c r="A45" i="8" l="1"/>
  <c r="A48" i="8"/>
  <c r="A50" i="8" l="1"/>
  <c r="A47" i="8"/>
  <c r="A52" i="8" l="1"/>
  <c r="A49" i="8"/>
  <c r="A51" i="8" l="1"/>
  <c r="A54" i="8"/>
  <c r="A56" i="8" l="1"/>
  <c r="A53" i="8"/>
  <c r="A55" i="8" l="1"/>
  <c r="A58" i="8"/>
  <c r="A60" i="8" l="1"/>
  <c r="A57" i="8"/>
  <c r="A59" i="8" l="1"/>
  <c r="A62" i="8"/>
  <c r="A64" i="8"/>
  <c r="A61" i="8" l="1"/>
  <c r="A63" i="8" l="1"/>
  <c r="A65" i="8"/>
  <c r="J66" i="7" l="1"/>
  <c r="G13" i="1" s="1"/>
  <c r="AR65" i="7"/>
  <c r="AR64" i="7"/>
  <c r="AR27" i="7"/>
  <c r="AR26" i="7"/>
  <c r="AR25" i="7"/>
  <c r="AR24" i="7"/>
  <c r="AR23" i="7"/>
  <c r="AR22" i="7"/>
  <c r="AR7" i="7"/>
  <c r="AR6" i="7"/>
  <c r="AR5" i="7"/>
  <c r="A5" i="7"/>
  <c r="AR4" i="7"/>
  <c r="AL4" i="7"/>
  <c r="AK4" i="7"/>
  <c r="AF4" i="7"/>
  <c r="AB4" i="7"/>
  <c r="AA4" i="7"/>
  <c r="T4" i="7"/>
  <c r="S4" i="7"/>
  <c r="R4" i="7"/>
  <c r="AM4" i="7" s="1"/>
  <c r="A4" i="7"/>
  <c r="AO4" i="7" l="1"/>
  <c r="AN4" i="7"/>
  <c r="AN66" i="7" s="1"/>
  <c r="I13" i="1" s="1"/>
  <c r="AM66" i="7"/>
  <c r="H13" i="1" s="1"/>
  <c r="A8" i="7"/>
  <c r="A6" i="7"/>
  <c r="AP4" i="7" l="1"/>
  <c r="A7" i="7"/>
  <c r="AO66" i="7"/>
  <c r="J13" i="1" s="1"/>
  <c r="M13" i="1" s="1"/>
  <c r="A10" i="7"/>
  <c r="A12" i="7" l="1"/>
  <c r="A9" i="7"/>
  <c r="A11" i="7" l="1"/>
  <c r="A14" i="7"/>
  <c r="A16" i="7" l="1"/>
  <c r="A13" i="7"/>
  <c r="A15" i="7" l="1"/>
  <c r="A18" i="7"/>
  <c r="A20" i="7" l="1"/>
  <c r="A17" i="7"/>
  <c r="A19" i="7" l="1"/>
  <c r="A22" i="7"/>
  <c r="A24" i="7" l="1"/>
  <c r="A21" i="7"/>
  <c r="A23" i="7" l="1"/>
  <c r="A26" i="7"/>
  <c r="A25" i="7" l="1"/>
  <c r="A28" i="7"/>
  <c r="A30" i="7" l="1"/>
  <c r="A27" i="7"/>
  <c r="A29" i="7" l="1"/>
  <c r="A32" i="7"/>
  <c r="A34" i="7" l="1"/>
  <c r="A31" i="7"/>
  <c r="A33" i="7" l="1"/>
  <c r="A36" i="7"/>
  <c r="A38" i="7" l="1"/>
  <c r="A35" i="7"/>
  <c r="A40" i="7" l="1"/>
  <c r="A37" i="7"/>
  <c r="A39" i="7" l="1"/>
  <c r="A42" i="7"/>
  <c r="A44" i="7" l="1"/>
  <c r="A41" i="7"/>
  <c r="A43" i="7" l="1"/>
  <c r="A46" i="7"/>
  <c r="A48" i="7" l="1"/>
  <c r="A45" i="7"/>
  <c r="A47" i="7" l="1"/>
  <c r="A50" i="7"/>
  <c r="A52" i="7" l="1"/>
  <c r="A49" i="7"/>
  <c r="A51" i="7" l="1"/>
  <c r="A54" i="7"/>
  <c r="A56" i="7" l="1"/>
  <c r="A53" i="7"/>
  <c r="A55" i="7" l="1"/>
  <c r="A58" i="7"/>
  <c r="A57" i="7" l="1"/>
  <c r="A60" i="7"/>
  <c r="A62" i="7" l="1"/>
  <c r="A64" i="7"/>
  <c r="A59" i="7"/>
  <c r="A61" i="7" l="1"/>
  <c r="A63" i="7" l="1"/>
  <c r="A65" i="7"/>
  <c r="AG66" i="5" l="1"/>
  <c r="AF66" i="5"/>
  <c r="AB66" i="5"/>
  <c r="AA66" i="5"/>
  <c r="S66" i="5"/>
  <c r="AO7" i="5"/>
  <c r="AN7" i="5"/>
  <c r="AR7" i="5"/>
  <c r="AO6" i="5"/>
  <c r="AN6" i="5"/>
  <c r="AO5" i="5"/>
  <c r="AN5" i="5"/>
  <c r="AR5" i="5"/>
  <c r="AR4" i="5"/>
  <c r="AL4" i="5"/>
  <c r="AK4" i="5"/>
  <c r="AG4" i="5"/>
  <c r="AF4" i="5"/>
  <c r="T4" i="5"/>
  <c r="S4" i="5"/>
  <c r="R4" i="5"/>
  <c r="AM4" i="5" s="1"/>
  <c r="AM66" i="5" s="1"/>
  <c r="A4" i="5"/>
  <c r="AP7" i="5" l="1"/>
  <c r="AP6" i="5"/>
  <c r="AP5" i="5"/>
  <c r="A6" i="5"/>
  <c r="A5" i="5"/>
  <c r="AO4" i="5"/>
  <c r="AO66" i="5" s="1"/>
  <c r="AN4" i="5"/>
  <c r="AN66" i="5" s="1"/>
  <c r="T66" i="5"/>
  <c r="G8" i="1"/>
  <c r="A7" i="5"/>
  <c r="A8" i="5"/>
  <c r="AR6" i="5"/>
  <c r="H8" i="1" l="1"/>
  <c r="AP4" i="5"/>
  <c r="J8" i="1"/>
  <c r="A9" i="5"/>
  <c r="A10" i="5"/>
  <c r="I8" i="1"/>
  <c r="M8" i="1" l="1"/>
  <c r="A12" i="5"/>
  <c r="A11" i="5"/>
  <c r="A13" i="5" l="1"/>
  <c r="A14" i="5"/>
  <c r="A16" i="5" l="1"/>
  <c r="A15" i="5"/>
  <c r="A17" i="5" l="1"/>
  <c r="A18" i="5"/>
  <c r="A20" i="5" l="1"/>
  <c r="A19" i="5"/>
  <c r="A21" i="5" l="1"/>
  <c r="A22" i="5"/>
  <c r="A24" i="5" l="1"/>
  <c r="A23" i="5"/>
  <c r="A25" i="5" l="1"/>
  <c r="A26" i="5"/>
  <c r="A28" i="5" l="1"/>
  <c r="A27" i="5"/>
  <c r="A29" i="5" l="1"/>
  <c r="A30" i="5"/>
  <c r="A32" i="5" l="1"/>
  <c r="A31" i="5"/>
  <c r="A33" i="5" l="1"/>
  <c r="A34" i="5"/>
  <c r="A35" i="5" l="1"/>
  <c r="A36" i="5"/>
  <c r="A37" i="5" l="1"/>
  <c r="A38" i="5"/>
  <c r="A40" i="5" l="1"/>
  <c r="A39" i="5"/>
  <c r="A41" i="5" l="1"/>
  <c r="A42" i="5"/>
  <c r="A44" i="5" l="1"/>
  <c r="A43" i="5"/>
  <c r="A45" i="5" l="1"/>
  <c r="A46" i="5"/>
  <c r="A47" i="5" l="1"/>
  <c r="A48" i="5"/>
  <c r="A50" i="5" l="1"/>
  <c r="A49" i="5"/>
  <c r="A51" i="5" l="1"/>
  <c r="A52" i="5"/>
  <c r="A54" i="5" l="1"/>
  <c r="A53" i="5"/>
  <c r="A55" i="5" l="1"/>
  <c r="A56" i="5"/>
  <c r="A58" i="5" l="1"/>
  <c r="A57" i="5"/>
  <c r="A59" i="5" l="1"/>
  <c r="A60" i="5"/>
  <c r="A62" i="5" l="1"/>
  <c r="A64" i="5"/>
  <c r="A61" i="5"/>
  <c r="A65" i="5" l="1"/>
  <c r="A63" i="5"/>
  <c r="AG66" i="4" l="1"/>
  <c r="AF66" i="4"/>
  <c r="AB66" i="4"/>
  <c r="AA66" i="4"/>
  <c r="T66" i="4"/>
  <c r="AW23" i="4"/>
  <c r="AW22" i="4"/>
  <c r="AL4" i="4"/>
  <c r="AK4" i="4"/>
  <c r="AG4" i="4"/>
  <c r="AF4" i="4"/>
  <c r="AM4" i="4"/>
  <c r="A4" i="4"/>
  <c r="AW24" i="4" l="1"/>
  <c r="A5" i="4"/>
  <c r="A6" i="4"/>
  <c r="AN4" i="4"/>
  <c r="AO4" i="4"/>
  <c r="A7" i="4"/>
  <c r="A8" i="4"/>
  <c r="R66" i="4"/>
  <c r="G11" i="1" s="1"/>
  <c r="S66" i="4"/>
  <c r="AP4" i="4" l="1"/>
  <c r="AO66" i="4"/>
  <c r="J11" i="1" s="1"/>
  <c r="AM66" i="4"/>
  <c r="H11" i="1" s="1"/>
  <c r="A10" i="4"/>
  <c r="AN66" i="4"/>
  <c r="I11" i="1" s="1"/>
  <c r="A9" i="4"/>
  <c r="M11" i="1" l="1"/>
  <c r="A11" i="4"/>
  <c r="A12" i="4"/>
  <c r="A14" i="4" l="1"/>
  <c r="A13" i="4"/>
  <c r="A16" i="4" l="1"/>
  <c r="A15" i="4"/>
  <c r="A17" i="4" l="1"/>
  <c r="A18" i="4"/>
  <c r="A20" i="4" l="1"/>
  <c r="A19" i="4"/>
  <c r="A21" i="4" l="1"/>
  <c r="A22" i="4"/>
  <c r="A24" i="4" l="1"/>
  <c r="A23" i="4"/>
  <c r="A25" i="4" l="1"/>
  <c r="A26" i="4"/>
  <c r="A28" i="4" l="1"/>
  <c r="A27" i="4"/>
  <c r="A29" i="4" l="1"/>
  <c r="A30" i="4"/>
  <c r="A31" i="4" l="1"/>
  <c r="A32" i="4"/>
  <c r="A34" i="4" l="1"/>
  <c r="A33" i="4"/>
  <c r="A35" i="4" l="1"/>
  <c r="A36" i="4"/>
  <c r="A38" i="4" l="1"/>
  <c r="A37" i="4"/>
  <c r="A40" i="4" l="1"/>
  <c r="A39" i="4"/>
  <c r="A41" i="4" l="1"/>
  <c r="A42" i="4"/>
  <c r="A44" i="4" l="1"/>
  <c r="A43" i="4"/>
  <c r="A45" i="4" l="1"/>
  <c r="A46" i="4"/>
  <c r="A48" i="4" l="1"/>
  <c r="A47" i="4"/>
  <c r="A49" i="4" l="1"/>
  <c r="A50" i="4"/>
  <c r="A52" i="4" l="1"/>
  <c r="A51" i="4"/>
  <c r="A53" i="4" l="1"/>
  <c r="A54" i="4"/>
  <c r="A56" i="4" l="1"/>
  <c r="A55" i="4"/>
  <c r="A57" i="4" l="1"/>
  <c r="A58" i="4"/>
  <c r="A60" i="4" l="1"/>
  <c r="A59" i="4"/>
  <c r="A61" i="4" l="1"/>
  <c r="A64" i="4"/>
  <c r="A62" i="4"/>
  <c r="A63" i="4" l="1"/>
  <c r="A65" i="4"/>
  <c r="G6" i="1" l="1"/>
  <c r="G18" i="1" s="1"/>
  <c r="AR65" i="3"/>
  <c r="AR64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17" i="3"/>
  <c r="AR16" i="3"/>
  <c r="AR7" i="3"/>
  <c r="B6" i="3"/>
  <c r="B8" i="3" s="1"/>
  <c r="AR5" i="3"/>
  <c r="B5" i="3"/>
  <c r="A5" i="3" s="1"/>
  <c r="AR4" i="3"/>
  <c r="AL4" i="3"/>
  <c r="AK4" i="3"/>
  <c r="AG4" i="3"/>
  <c r="AF4" i="3"/>
  <c r="AM4" i="3"/>
  <c r="A4" i="3"/>
  <c r="A7" i="16" l="1"/>
  <c r="A5" i="16"/>
  <c r="A6" i="16"/>
  <c r="A4" i="16"/>
  <c r="AN4" i="3"/>
  <c r="AO4" i="3"/>
  <c r="B10" i="3"/>
  <c r="A8" i="3"/>
  <c r="A6" i="3"/>
  <c r="B7" i="3"/>
  <c r="AR6" i="3"/>
  <c r="A9" i="16"/>
  <c r="A8" i="16" l="1"/>
  <c r="AM66" i="3"/>
  <c r="H6" i="1" s="1"/>
  <c r="AN66" i="3"/>
  <c r="I6" i="1" s="1"/>
  <c r="AP4" i="3"/>
  <c r="H4" i="1"/>
  <c r="J4" i="1"/>
  <c r="A7" i="3"/>
  <c r="B9" i="3"/>
  <c r="AO66" i="3"/>
  <c r="J6" i="1" s="1"/>
  <c r="A10" i="3"/>
  <c r="B12" i="3"/>
  <c r="A11" i="16"/>
  <c r="I4" i="1"/>
  <c r="A10" i="16"/>
  <c r="M6" i="1" l="1"/>
  <c r="H18" i="1"/>
  <c r="J18" i="1"/>
  <c r="I18" i="1"/>
  <c r="B11" i="3"/>
  <c r="A9" i="3"/>
  <c r="B14" i="3"/>
  <c r="A12" i="3"/>
  <c r="A13" i="16"/>
  <c r="A12" i="16"/>
  <c r="A14" i="3" l="1"/>
  <c r="B16" i="3"/>
  <c r="A11" i="3"/>
  <c r="B13" i="3"/>
  <c r="A14" i="16"/>
  <c r="A15" i="16"/>
  <c r="B18" i="3" l="1"/>
  <c r="A16" i="3"/>
  <c r="B15" i="3"/>
  <c r="A13" i="3"/>
  <c r="A17" i="16"/>
  <c r="A16" i="16"/>
  <c r="A15" i="3" l="1"/>
  <c r="B17" i="3"/>
  <c r="A18" i="3"/>
  <c r="B20" i="3"/>
  <c r="A18" i="16"/>
  <c r="A19" i="16"/>
  <c r="B19" i="3" l="1"/>
  <c r="A17" i="3"/>
  <c r="A20" i="3"/>
  <c r="B22" i="3"/>
  <c r="A21" i="16"/>
  <c r="A20" i="16"/>
  <c r="A22" i="3" l="1"/>
  <c r="B24" i="3"/>
  <c r="A19" i="3"/>
  <c r="B21" i="3"/>
  <c r="A23" i="16"/>
  <c r="A22" i="16"/>
  <c r="A24" i="3" l="1"/>
  <c r="B26" i="3"/>
  <c r="B23" i="3"/>
  <c r="A21" i="3"/>
  <c r="A24" i="16"/>
  <c r="A25" i="16"/>
  <c r="A23" i="3" l="1"/>
  <c r="B25" i="3"/>
  <c r="A26" i="3"/>
  <c r="B28" i="3"/>
  <c r="A27" i="16"/>
  <c r="A26" i="16"/>
  <c r="A28" i="3" l="1"/>
  <c r="B30" i="3"/>
  <c r="B27" i="3"/>
  <c r="A25" i="3"/>
  <c r="A29" i="16"/>
  <c r="A28" i="16"/>
  <c r="A27" i="3" l="1"/>
  <c r="B29" i="3"/>
  <c r="A30" i="3"/>
  <c r="B32" i="3"/>
  <c r="A30" i="16"/>
  <c r="A31" i="16"/>
  <c r="B34" i="3" l="1"/>
  <c r="A32" i="3"/>
  <c r="B31" i="3"/>
  <c r="A29" i="3"/>
  <c r="A32" i="16"/>
  <c r="A33" i="16"/>
  <c r="A31" i="3" l="1"/>
  <c r="B33" i="3"/>
  <c r="A34" i="3"/>
  <c r="B36" i="3"/>
  <c r="A35" i="16"/>
  <c r="A34" i="16"/>
  <c r="B35" i="3" l="1"/>
  <c r="A33" i="3"/>
  <c r="A36" i="3"/>
  <c r="B38" i="3"/>
  <c r="A36" i="16"/>
  <c r="A37" i="16"/>
  <c r="A38" i="3" l="1"/>
  <c r="B40" i="3"/>
  <c r="A35" i="3"/>
  <c r="B37" i="3"/>
  <c r="A39" i="16"/>
  <c r="A38" i="16"/>
  <c r="A40" i="3" l="1"/>
  <c r="B42" i="3"/>
  <c r="B39" i="3"/>
  <c r="A37" i="3"/>
  <c r="A40" i="16"/>
  <c r="A41" i="16"/>
  <c r="A39" i="3" l="1"/>
  <c r="B41" i="3"/>
  <c r="A42" i="3"/>
  <c r="B44" i="3"/>
  <c r="A43" i="16"/>
  <c r="A42" i="16"/>
  <c r="B46" i="3" l="1"/>
  <c r="A44" i="3"/>
  <c r="B43" i="3"/>
  <c r="A41" i="3"/>
  <c r="A45" i="16"/>
  <c r="A44" i="16"/>
  <c r="A46" i="3" l="1"/>
  <c r="B48" i="3"/>
  <c r="A43" i="3"/>
  <c r="B45" i="3"/>
  <c r="A46" i="16"/>
  <c r="A47" i="16"/>
  <c r="B47" i="3" l="1"/>
  <c r="A45" i="3"/>
  <c r="A48" i="3"/>
  <c r="B50" i="3"/>
  <c r="A49" i="16"/>
  <c r="A48" i="16"/>
  <c r="A50" i="3" l="1"/>
  <c r="B52" i="3"/>
  <c r="A47" i="3"/>
  <c r="B49" i="3"/>
  <c r="A51" i="16"/>
  <c r="A50" i="16"/>
  <c r="B51" i="3" l="1"/>
  <c r="A49" i="3"/>
  <c r="A52" i="3"/>
  <c r="B54" i="3"/>
  <c r="A52" i="16"/>
  <c r="A53" i="16"/>
  <c r="A54" i="3" l="1"/>
  <c r="B56" i="3"/>
  <c r="A51" i="3"/>
  <c r="B53" i="3"/>
  <c r="A55" i="16"/>
  <c r="A54" i="16"/>
  <c r="B58" i="3" l="1"/>
  <c r="A56" i="3"/>
  <c r="B55" i="3"/>
  <c r="A53" i="3"/>
  <c r="A57" i="16"/>
  <c r="A56" i="16"/>
  <c r="A55" i="3" l="1"/>
  <c r="B57" i="3"/>
  <c r="A58" i="3"/>
  <c r="B60" i="3"/>
  <c r="A58" i="16"/>
  <c r="A59" i="16"/>
  <c r="B59" i="3" l="1"/>
  <c r="A57" i="3"/>
  <c r="B62" i="3"/>
  <c r="A60" i="3"/>
  <c r="A60" i="16"/>
  <c r="A61" i="16"/>
  <c r="A62" i="3" l="1"/>
  <c r="B64" i="3"/>
  <c r="A64" i="3" s="1"/>
  <c r="A59" i="3"/>
  <c r="B61" i="3"/>
  <c r="A62" i="16"/>
  <c r="A63" i="16" l="1"/>
  <c r="B63" i="3"/>
  <c r="A61" i="3"/>
  <c r="A64" i="16" l="1"/>
  <c r="A63" i="3"/>
  <c r="B65" i="3"/>
  <c r="A65" i="3" s="1"/>
  <c r="K43" i="1" l="1"/>
  <c r="N41" i="1"/>
  <c r="N39" i="1"/>
  <c r="N38" i="1"/>
  <c r="N36" i="1"/>
  <c r="P33" i="1"/>
  <c r="P45" i="1" s="1"/>
  <c r="O33" i="1"/>
  <c r="O45" i="1" s="1"/>
  <c r="N33" i="1"/>
  <c r="N45" i="1" s="1"/>
  <c r="M33" i="1"/>
  <c r="M45" i="1" s="1"/>
  <c r="L33" i="1"/>
  <c r="L45" i="1" s="1"/>
  <c r="K33" i="1"/>
  <c r="K45" i="1" s="1"/>
  <c r="J33" i="1"/>
  <c r="J45" i="1" s="1"/>
  <c r="I33" i="1"/>
  <c r="I45" i="1" s="1"/>
  <c r="H33" i="1"/>
  <c r="H45" i="1" s="1"/>
  <c r="G33" i="1"/>
  <c r="G45" i="1" s="1"/>
  <c r="F33" i="1"/>
  <c r="F45" i="1" s="1"/>
  <c r="E33" i="1"/>
  <c r="E45" i="1" s="1"/>
  <c r="D33" i="1"/>
  <c r="D45" i="1" s="1"/>
  <c r="C33" i="1"/>
  <c r="C45" i="1" s="1"/>
  <c r="K31" i="1"/>
  <c r="M30" i="1"/>
  <c r="N30" i="1" s="1"/>
  <c r="M29" i="1"/>
  <c r="N29" i="1" s="1"/>
  <c r="M28" i="1"/>
  <c r="N28" i="1" s="1"/>
  <c r="M26" i="1"/>
  <c r="N26" i="1" s="1"/>
  <c r="M24" i="1"/>
  <c r="N24" i="1" s="1"/>
  <c r="H31" i="1"/>
  <c r="G31" i="1"/>
  <c r="N11" i="1"/>
  <c r="N8" i="1"/>
  <c r="AQ1" i="2"/>
  <c r="N6" i="1" l="1"/>
  <c r="AQ5" i="2"/>
  <c r="AQ9" i="2"/>
  <c r="AQ22" i="2"/>
  <c r="AQ27" i="2"/>
  <c r="AQ23" i="2"/>
  <c r="AQ24" i="2"/>
  <c r="AQ7" i="2"/>
  <c r="AQ20" i="2"/>
  <c r="AQ46" i="2"/>
  <c r="AQ62" i="2"/>
  <c r="AQ60" i="2"/>
  <c r="AQ16" i="2"/>
  <c r="AQ13" i="2"/>
  <c r="AQ17" i="2"/>
  <c r="AQ26" i="2"/>
  <c r="AQ58" i="2"/>
  <c r="AQ14" i="2"/>
  <c r="AQ8" i="2"/>
  <c r="AQ6" i="2"/>
  <c r="AQ63" i="2"/>
  <c r="AQ57" i="2"/>
  <c r="AQ44" i="2"/>
  <c r="AQ61" i="2"/>
  <c r="AQ65" i="2"/>
  <c r="AQ21" i="2"/>
  <c r="AQ25" i="2"/>
  <c r="AQ28" i="2"/>
  <c r="AQ19" i="2"/>
  <c r="AQ18" i="2"/>
  <c r="AQ15" i="2"/>
  <c r="AQ10" i="2"/>
  <c r="AQ11" i="2"/>
  <c r="AQ53" i="2"/>
  <c r="AQ54" i="2"/>
  <c r="AQ50" i="2"/>
  <c r="AQ42" i="2"/>
  <c r="AQ12" i="2"/>
  <c r="AQ59" i="2"/>
  <c r="AQ64" i="2"/>
  <c r="AQ41" i="2"/>
  <c r="AQ47" i="2"/>
  <c r="AQ33" i="2"/>
  <c r="AQ34" i="2"/>
  <c r="AQ4" i="2"/>
  <c r="AQ37" i="2"/>
  <c r="AQ56" i="2"/>
  <c r="AQ43" i="2"/>
  <c r="AQ39" i="2"/>
  <c r="AQ52" i="2"/>
  <c r="AQ48" i="2"/>
  <c r="AQ38" i="2"/>
  <c r="AQ30" i="2"/>
  <c r="AQ35" i="2"/>
  <c r="AQ31" i="2"/>
  <c r="AQ51" i="2"/>
  <c r="AQ55" i="2"/>
  <c r="AQ45" i="2"/>
  <c r="AQ29" i="2"/>
  <c r="AQ40" i="2"/>
  <c r="AQ32" i="2"/>
  <c r="AQ49" i="2"/>
  <c r="AQ36" i="2"/>
  <c r="N13" i="1"/>
  <c r="AQ1" i="4"/>
  <c r="AQ1" i="3"/>
  <c r="AQ1" i="13"/>
  <c r="AQ1" i="11"/>
  <c r="AQ1" i="9"/>
  <c r="AQ1" i="8"/>
  <c r="AQ1" i="7"/>
  <c r="AQ1" i="5"/>
  <c r="AQ1" i="14"/>
  <c r="AQ1" i="12"/>
  <c r="AQ1" i="10"/>
  <c r="L43" i="1"/>
  <c r="N34" i="1"/>
  <c r="M4" i="1"/>
  <c r="N4" i="1" s="1"/>
  <c r="L31" i="1"/>
  <c r="M59" i="1"/>
  <c r="N59" i="1" s="1"/>
  <c r="M22" i="1"/>
  <c r="N22" i="1" s="1"/>
  <c r="AQ29" i="14" l="1"/>
  <c r="O28" i="16" s="1"/>
  <c r="AQ8" i="13"/>
  <c r="AQ50" i="13"/>
  <c r="N49" i="16" s="1"/>
  <c r="AQ5" i="13"/>
  <c r="N4" i="16" s="1"/>
  <c r="AQ21" i="13"/>
  <c r="AQ63" i="13"/>
  <c r="AQ18" i="13"/>
  <c r="N17" i="16" s="1"/>
  <c r="AQ60" i="13"/>
  <c r="AQ15" i="13"/>
  <c r="N14" i="16" s="1"/>
  <c r="AQ64" i="13"/>
  <c r="AQ23" i="13"/>
  <c r="AQ12" i="13"/>
  <c r="AQ54" i="13"/>
  <c r="AQ9" i="13"/>
  <c r="AQ51" i="13"/>
  <c r="N50" i="16" s="1"/>
  <c r="AQ6" i="13"/>
  <c r="AQ22" i="13"/>
  <c r="AQ61" i="13"/>
  <c r="N60" i="16" s="1"/>
  <c r="AQ16" i="13"/>
  <c r="N15" i="16" s="1"/>
  <c r="AQ58" i="13"/>
  <c r="N57" i="16" s="1"/>
  <c r="AQ13" i="13"/>
  <c r="AQ55" i="13"/>
  <c r="AQ10" i="13"/>
  <c r="AQ52" i="13"/>
  <c r="N51" i="16" s="1"/>
  <c r="AQ7" i="13"/>
  <c r="AQ20" i="13"/>
  <c r="AQ62" i="13"/>
  <c r="N61" i="16" s="1"/>
  <c r="AQ17" i="13"/>
  <c r="AQ59" i="13"/>
  <c r="AQ14" i="13"/>
  <c r="AQ56" i="13"/>
  <c r="AQ11" i="13"/>
  <c r="AQ53" i="13"/>
  <c r="AQ57" i="13"/>
  <c r="AQ19" i="13"/>
  <c r="N18" i="16" s="1"/>
  <c r="AQ65" i="13"/>
  <c r="AQ41" i="13"/>
  <c r="AQ47" i="13"/>
  <c r="AQ38" i="13"/>
  <c r="AQ37" i="13"/>
  <c r="AQ45" i="13"/>
  <c r="AQ48" i="13"/>
  <c r="AQ42" i="13"/>
  <c r="AQ44" i="13"/>
  <c r="AQ49" i="13"/>
  <c r="AQ36" i="13"/>
  <c r="N35" i="16" s="1"/>
  <c r="AQ43" i="13"/>
  <c r="AQ40" i="13"/>
  <c r="AQ46" i="13"/>
  <c r="AQ39" i="13"/>
  <c r="AQ33" i="13"/>
  <c r="AQ34" i="13"/>
  <c r="N33" i="16" s="1"/>
  <c r="AQ30" i="13"/>
  <c r="N29" i="16" s="1"/>
  <c r="AQ31" i="13"/>
  <c r="AQ28" i="13"/>
  <c r="AQ35" i="13"/>
  <c r="AQ32" i="13"/>
  <c r="N31" i="16" s="1"/>
  <c r="AQ29" i="13"/>
  <c r="AQ25" i="13"/>
  <c r="AQ26" i="13"/>
  <c r="AQ27" i="13"/>
  <c r="AQ24" i="13"/>
  <c r="N23" i="16" s="1"/>
  <c r="AQ45" i="12"/>
  <c r="M44" i="16" s="1"/>
  <c r="AQ65" i="12"/>
  <c r="AQ21" i="12"/>
  <c r="M20" i="16" s="1"/>
  <c r="AQ47" i="12"/>
  <c r="AQ42" i="12"/>
  <c r="M41" i="16" s="1"/>
  <c r="AQ11" i="12"/>
  <c r="M10" i="16" s="1"/>
  <c r="AQ54" i="12"/>
  <c r="M53" i="16" s="1"/>
  <c r="AQ23" i="12"/>
  <c r="AQ10" i="12"/>
  <c r="AQ12" i="12"/>
  <c r="M11" i="16" s="1"/>
  <c r="AQ43" i="12"/>
  <c r="M42" i="16" s="1"/>
  <c r="AQ24" i="12"/>
  <c r="AQ53" i="12"/>
  <c r="M52" i="16" s="1"/>
  <c r="AQ9" i="12"/>
  <c r="M8" i="16" s="1"/>
  <c r="AQ57" i="12"/>
  <c r="M56" i="16" s="1"/>
  <c r="AQ46" i="12"/>
  <c r="AQ52" i="12"/>
  <c r="M51" i="16" s="1"/>
  <c r="AQ14" i="12"/>
  <c r="AQ64" i="12"/>
  <c r="AQ7" i="12"/>
  <c r="AQ58" i="12"/>
  <c r="AQ19" i="12"/>
  <c r="AQ55" i="12"/>
  <c r="M54" i="16" s="1"/>
  <c r="AQ61" i="12"/>
  <c r="AQ5" i="12"/>
  <c r="M4" i="16" s="1"/>
  <c r="AQ17" i="12"/>
  <c r="M16" i="16" s="1"/>
  <c r="AQ26" i="12"/>
  <c r="AQ20" i="12"/>
  <c r="AQ59" i="12"/>
  <c r="M58" i="16" s="1"/>
  <c r="AQ48" i="12"/>
  <c r="M47" i="16" s="1"/>
  <c r="AQ6" i="12"/>
  <c r="M5" i="16" s="1"/>
  <c r="AQ60" i="12"/>
  <c r="AQ63" i="12"/>
  <c r="AQ50" i="12"/>
  <c r="M49" i="16" s="1"/>
  <c r="AQ15" i="12"/>
  <c r="M14" i="16" s="1"/>
  <c r="AQ49" i="12"/>
  <c r="AQ13" i="12"/>
  <c r="M12" i="16" s="1"/>
  <c r="AQ25" i="12"/>
  <c r="M24" i="16" s="1"/>
  <c r="AQ22" i="12"/>
  <c r="M21" i="16" s="1"/>
  <c r="AQ27" i="12"/>
  <c r="AQ18" i="12"/>
  <c r="M17" i="16" s="1"/>
  <c r="AQ16" i="12"/>
  <c r="AQ51" i="12"/>
  <c r="AQ44" i="12"/>
  <c r="M43" i="16" s="1"/>
  <c r="AQ62" i="12"/>
  <c r="AQ56" i="12"/>
  <c r="M55" i="16" s="1"/>
  <c r="AQ8" i="12"/>
  <c r="M7" i="16" s="1"/>
  <c r="AQ41" i="12"/>
  <c r="AQ38" i="12"/>
  <c r="AQ39" i="12"/>
  <c r="M38" i="16" s="1"/>
  <c r="AQ40" i="12"/>
  <c r="AQ37" i="12"/>
  <c r="AQ31" i="12"/>
  <c r="AQ30" i="12"/>
  <c r="M29" i="16" s="1"/>
  <c r="AQ35" i="12"/>
  <c r="M34" i="16" s="1"/>
  <c r="AQ36" i="12"/>
  <c r="AQ33" i="12"/>
  <c r="M32" i="16" s="1"/>
  <c r="AQ32" i="12"/>
  <c r="AQ28" i="12"/>
  <c r="M27" i="16" s="1"/>
  <c r="AQ34" i="12"/>
  <c r="AQ29" i="12"/>
  <c r="AQ19" i="11"/>
  <c r="L18" i="16" s="1"/>
  <c r="AQ11" i="11"/>
  <c r="L10" i="16" s="1"/>
  <c r="AQ7" i="11"/>
  <c r="L6" i="16" s="1"/>
  <c r="AQ17" i="11"/>
  <c r="AQ13" i="11"/>
  <c r="L12" i="16" s="1"/>
  <c r="AQ18" i="11"/>
  <c r="L17" i="16" s="1"/>
  <c r="AQ14" i="11"/>
  <c r="AQ9" i="11"/>
  <c r="L8" i="16" s="1"/>
  <c r="AQ5" i="11"/>
  <c r="L4" i="16" s="1"/>
  <c r="AQ10" i="11"/>
  <c r="AQ8" i="11"/>
  <c r="L7" i="16" s="1"/>
  <c r="AQ16" i="11"/>
  <c r="AQ12" i="11"/>
  <c r="L11" i="16" s="1"/>
  <c r="AQ15" i="11"/>
  <c r="L14" i="16" s="1"/>
  <c r="AQ6" i="11"/>
  <c r="AQ61" i="14"/>
  <c r="AQ65" i="14"/>
  <c r="AQ60" i="14"/>
  <c r="AQ63" i="14"/>
  <c r="AQ62" i="14"/>
  <c r="AQ64" i="14"/>
  <c r="AQ18" i="5"/>
  <c r="E17" i="16" s="1"/>
  <c r="AQ22" i="5"/>
  <c r="E21" i="16" s="1"/>
  <c r="AQ9" i="5"/>
  <c r="AQ17" i="5"/>
  <c r="E16" i="16" s="1"/>
  <c r="AQ64" i="5"/>
  <c r="E63" i="16" s="1"/>
  <c r="AQ19" i="5"/>
  <c r="E18" i="16" s="1"/>
  <c r="AQ63" i="5"/>
  <c r="AQ12" i="5"/>
  <c r="E11" i="16" s="1"/>
  <c r="AQ62" i="5"/>
  <c r="E61" i="16" s="1"/>
  <c r="AQ10" i="5"/>
  <c r="E9" i="16" s="1"/>
  <c r="AQ28" i="5"/>
  <c r="E27" i="16" s="1"/>
  <c r="AQ21" i="5"/>
  <c r="E20" i="16" s="1"/>
  <c r="AQ24" i="5"/>
  <c r="E23" i="16" s="1"/>
  <c r="AQ27" i="5"/>
  <c r="E26" i="16" s="1"/>
  <c r="AQ65" i="5"/>
  <c r="AQ15" i="5"/>
  <c r="E14" i="16" s="1"/>
  <c r="AQ14" i="5"/>
  <c r="E13" i="16" s="1"/>
  <c r="AQ7" i="5"/>
  <c r="E6" i="16" s="1"/>
  <c r="AQ16" i="5"/>
  <c r="E15" i="16" s="1"/>
  <c r="AQ59" i="5"/>
  <c r="E58" i="16" s="1"/>
  <c r="AQ13" i="5"/>
  <c r="E12" i="16" s="1"/>
  <c r="AQ23" i="5"/>
  <c r="E22" i="16" s="1"/>
  <c r="AQ29" i="5"/>
  <c r="AQ60" i="5"/>
  <c r="E59" i="16" s="1"/>
  <c r="AQ6" i="5"/>
  <c r="E5" i="16" s="1"/>
  <c r="AQ5" i="5"/>
  <c r="E4" i="16" s="1"/>
  <c r="AQ8" i="5"/>
  <c r="AQ61" i="5"/>
  <c r="E60" i="16" s="1"/>
  <c r="AQ11" i="5"/>
  <c r="E10" i="16" s="1"/>
  <c r="AQ58" i="5"/>
  <c r="E57" i="16" s="1"/>
  <c r="AQ20" i="5"/>
  <c r="E19" i="16" s="1"/>
  <c r="AQ55" i="5"/>
  <c r="E54" i="16" s="1"/>
  <c r="AQ56" i="5"/>
  <c r="E55" i="16" s="1"/>
  <c r="AQ53" i="5"/>
  <c r="E52" i="16" s="1"/>
  <c r="AQ57" i="5"/>
  <c r="AQ52" i="5"/>
  <c r="E51" i="16" s="1"/>
  <c r="AQ54" i="5"/>
  <c r="E53" i="16" s="1"/>
  <c r="AQ51" i="5"/>
  <c r="E50" i="16" s="1"/>
  <c r="AQ50" i="5"/>
  <c r="AQ42" i="5"/>
  <c r="E41" i="16" s="1"/>
  <c r="AQ44" i="5"/>
  <c r="E43" i="16" s="1"/>
  <c r="AQ48" i="5"/>
  <c r="E47" i="16" s="1"/>
  <c r="AQ40" i="5"/>
  <c r="AQ46" i="5"/>
  <c r="E45" i="16" s="1"/>
  <c r="AQ37" i="5"/>
  <c r="E36" i="16" s="1"/>
  <c r="AQ49" i="5"/>
  <c r="E48" i="16" s="1"/>
  <c r="AQ39" i="5"/>
  <c r="AQ41" i="5"/>
  <c r="E40" i="16" s="1"/>
  <c r="AQ45" i="5"/>
  <c r="E44" i="16" s="1"/>
  <c r="AQ38" i="5"/>
  <c r="E37" i="16" s="1"/>
  <c r="AQ43" i="5"/>
  <c r="AQ47" i="5"/>
  <c r="E46" i="16" s="1"/>
  <c r="AQ36" i="5"/>
  <c r="E35" i="16" s="1"/>
  <c r="AQ26" i="5"/>
  <c r="E25" i="16" s="1"/>
  <c r="AQ25" i="5"/>
  <c r="E24" i="16" s="1"/>
  <c r="AQ35" i="5"/>
  <c r="E34" i="16" s="1"/>
  <c r="AQ33" i="5"/>
  <c r="E32" i="16" s="1"/>
  <c r="AQ34" i="5"/>
  <c r="AQ32" i="5"/>
  <c r="E31" i="16" s="1"/>
  <c r="AQ30" i="5"/>
  <c r="E29" i="16" s="1"/>
  <c r="AQ31" i="5"/>
  <c r="E30" i="16" s="1"/>
  <c r="AQ66" i="2"/>
  <c r="AQ61" i="7"/>
  <c r="H60" i="16" s="1"/>
  <c r="AQ65" i="7"/>
  <c r="H64" i="16" s="1"/>
  <c r="AQ62" i="7"/>
  <c r="H61" i="16" s="1"/>
  <c r="AQ19" i="7"/>
  <c r="AQ6" i="7"/>
  <c r="H5" i="16" s="1"/>
  <c r="AQ18" i="7"/>
  <c r="H17" i="16" s="1"/>
  <c r="AQ13" i="7"/>
  <c r="H12" i="16" s="1"/>
  <c r="AQ17" i="7"/>
  <c r="AQ60" i="7"/>
  <c r="H59" i="16" s="1"/>
  <c r="AQ20" i="7"/>
  <c r="H19" i="16" s="1"/>
  <c r="AQ28" i="7"/>
  <c r="H27" i="16" s="1"/>
  <c r="AQ10" i="7"/>
  <c r="AQ14" i="7"/>
  <c r="H13" i="16" s="1"/>
  <c r="AQ7" i="7"/>
  <c r="H6" i="16" s="1"/>
  <c r="AQ24" i="7"/>
  <c r="H23" i="16" s="1"/>
  <c r="AQ21" i="7"/>
  <c r="AQ25" i="7"/>
  <c r="H24" i="16" s="1"/>
  <c r="AQ16" i="7"/>
  <c r="H15" i="16" s="1"/>
  <c r="AQ58" i="7"/>
  <c r="H57" i="16" s="1"/>
  <c r="AQ12" i="7"/>
  <c r="AQ27" i="7"/>
  <c r="H26" i="16" s="1"/>
  <c r="AQ9" i="7"/>
  <c r="H8" i="16" s="1"/>
  <c r="AQ29" i="7"/>
  <c r="H28" i="16" s="1"/>
  <c r="AQ5" i="7"/>
  <c r="H4" i="16" s="1"/>
  <c r="AQ23" i="7"/>
  <c r="H22" i="16" s="1"/>
  <c r="AQ26" i="7"/>
  <c r="H25" i="16" s="1"/>
  <c r="AQ15" i="7"/>
  <c r="H14" i="16" s="1"/>
  <c r="AQ22" i="7"/>
  <c r="AQ8" i="7"/>
  <c r="H7" i="16" s="1"/>
  <c r="AQ59" i="7"/>
  <c r="H58" i="16" s="1"/>
  <c r="AQ11" i="7"/>
  <c r="H10" i="16" s="1"/>
  <c r="AQ63" i="7"/>
  <c r="AQ64" i="7"/>
  <c r="AQ57" i="7"/>
  <c r="H56" i="16" s="1"/>
  <c r="AQ55" i="7"/>
  <c r="H54" i="16" s="1"/>
  <c r="AQ54" i="7"/>
  <c r="H53" i="16" s="1"/>
  <c r="AQ56" i="7"/>
  <c r="H55" i="16" s="1"/>
  <c r="AQ51" i="7"/>
  <c r="H50" i="16" s="1"/>
  <c r="AQ53" i="7"/>
  <c r="H52" i="16" s="1"/>
  <c r="AQ52" i="7"/>
  <c r="H51" i="16" s="1"/>
  <c r="AQ50" i="7"/>
  <c r="H49" i="16" s="1"/>
  <c r="AQ47" i="7"/>
  <c r="H46" i="16" s="1"/>
  <c r="AQ49" i="7"/>
  <c r="H48" i="16" s="1"/>
  <c r="AQ43" i="7"/>
  <c r="H42" i="16" s="1"/>
  <c r="AQ34" i="7"/>
  <c r="H33" i="16" s="1"/>
  <c r="AQ30" i="7"/>
  <c r="H29" i="16" s="1"/>
  <c r="AQ32" i="7"/>
  <c r="H31" i="16" s="1"/>
  <c r="AQ31" i="7"/>
  <c r="AQ45" i="7"/>
  <c r="H44" i="16" s="1"/>
  <c r="AQ38" i="7"/>
  <c r="H37" i="16" s="1"/>
  <c r="AQ41" i="7"/>
  <c r="H40" i="16" s="1"/>
  <c r="AQ36" i="7"/>
  <c r="H35" i="16" s="1"/>
  <c r="AQ40" i="7"/>
  <c r="H39" i="16" s="1"/>
  <c r="AQ44" i="7"/>
  <c r="H43" i="16" s="1"/>
  <c r="AQ46" i="7"/>
  <c r="H45" i="16" s="1"/>
  <c r="AQ33" i="7"/>
  <c r="H32" i="16" s="1"/>
  <c r="AQ42" i="7"/>
  <c r="H41" i="16" s="1"/>
  <c r="AQ39" i="7"/>
  <c r="H38" i="16" s="1"/>
  <c r="AQ35" i="7"/>
  <c r="H34" i="16" s="1"/>
  <c r="AQ37" i="7"/>
  <c r="H36" i="16" s="1"/>
  <c r="AQ48" i="7"/>
  <c r="H47" i="16" s="1"/>
  <c r="AQ9" i="8"/>
  <c r="I8" i="16" s="1"/>
  <c r="AQ5" i="8"/>
  <c r="I4" i="16" s="1"/>
  <c r="AQ18" i="8"/>
  <c r="AQ12" i="8"/>
  <c r="AQ27" i="8"/>
  <c r="I26" i="16" s="1"/>
  <c r="AQ23" i="8"/>
  <c r="I22" i="16" s="1"/>
  <c r="AQ58" i="8"/>
  <c r="I57" i="16" s="1"/>
  <c r="AQ20" i="8"/>
  <c r="AQ13" i="8"/>
  <c r="I12" i="16" s="1"/>
  <c r="AQ17" i="8"/>
  <c r="AQ6" i="8"/>
  <c r="AQ24" i="8"/>
  <c r="AQ16" i="8"/>
  <c r="AQ59" i="8"/>
  <c r="I58" i="16" s="1"/>
  <c r="AQ15" i="8"/>
  <c r="I14" i="16" s="1"/>
  <c r="AQ21" i="8"/>
  <c r="AQ25" i="8"/>
  <c r="I24" i="16" s="1"/>
  <c r="AQ65" i="8"/>
  <c r="I64" i="16" s="1"/>
  <c r="AQ22" i="8"/>
  <c r="I21" i="16" s="1"/>
  <c r="AQ8" i="8"/>
  <c r="I7" i="16" s="1"/>
  <c r="AQ19" i="8"/>
  <c r="I18" i="16" s="1"/>
  <c r="AQ62" i="8"/>
  <c r="I61" i="16" s="1"/>
  <c r="AQ26" i="8"/>
  <c r="AQ61" i="8"/>
  <c r="AQ63" i="8"/>
  <c r="I62" i="16" s="1"/>
  <c r="AQ28" i="8"/>
  <c r="AQ11" i="8"/>
  <c r="I10" i="16" s="1"/>
  <c r="AQ10" i="8"/>
  <c r="AQ14" i="8"/>
  <c r="I13" i="16" s="1"/>
  <c r="AQ64" i="8"/>
  <c r="I63" i="16" s="1"/>
  <c r="AQ60" i="8"/>
  <c r="AQ44" i="8"/>
  <c r="I43" i="16" s="1"/>
  <c r="AQ50" i="8"/>
  <c r="I49" i="16" s="1"/>
  <c r="AQ51" i="8"/>
  <c r="I50" i="16" s="1"/>
  <c r="AQ52" i="8"/>
  <c r="I51" i="16" s="1"/>
  <c r="AQ56" i="8"/>
  <c r="I55" i="16" s="1"/>
  <c r="AQ54" i="8"/>
  <c r="I53" i="16" s="1"/>
  <c r="AQ57" i="8"/>
  <c r="AQ53" i="8"/>
  <c r="AQ55" i="8"/>
  <c r="I54" i="16" s="1"/>
  <c r="AQ40" i="8"/>
  <c r="I39" i="16" s="1"/>
  <c r="AQ43" i="8"/>
  <c r="AQ41" i="8"/>
  <c r="I40" i="16" s="1"/>
  <c r="AQ49" i="8"/>
  <c r="I48" i="16" s="1"/>
  <c r="AQ47" i="8"/>
  <c r="I46" i="16" s="1"/>
  <c r="AQ42" i="8"/>
  <c r="I41" i="16" s="1"/>
  <c r="AQ39" i="8"/>
  <c r="I38" i="16" s="1"/>
  <c r="AQ45" i="8"/>
  <c r="I44" i="16" s="1"/>
  <c r="AQ37" i="8"/>
  <c r="I36" i="16" s="1"/>
  <c r="AQ48" i="8"/>
  <c r="I47" i="16" s="1"/>
  <c r="AQ46" i="8"/>
  <c r="I45" i="16" s="1"/>
  <c r="AQ38" i="8"/>
  <c r="I37" i="16" s="1"/>
  <c r="AQ36" i="8"/>
  <c r="AQ35" i="8"/>
  <c r="AQ32" i="8"/>
  <c r="I31" i="16" s="1"/>
  <c r="AQ34" i="8"/>
  <c r="I33" i="16" s="1"/>
  <c r="AQ33" i="8"/>
  <c r="I32" i="16" s="1"/>
  <c r="AQ31" i="8"/>
  <c r="AQ29" i="8"/>
  <c r="I28" i="16" s="1"/>
  <c r="AQ30" i="8"/>
  <c r="I29" i="16" s="1"/>
  <c r="AQ25" i="3"/>
  <c r="D24" i="16" s="1"/>
  <c r="AQ21" i="3"/>
  <c r="D20" i="16" s="1"/>
  <c r="AQ22" i="3"/>
  <c r="D21" i="16" s="1"/>
  <c r="AQ11" i="3"/>
  <c r="D10" i="16" s="1"/>
  <c r="AQ14" i="3"/>
  <c r="D13" i="16" s="1"/>
  <c r="AQ7" i="3"/>
  <c r="D6" i="16" s="1"/>
  <c r="AQ61" i="3"/>
  <c r="D60" i="16" s="1"/>
  <c r="AQ19" i="3"/>
  <c r="D18" i="16" s="1"/>
  <c r="AQ65" i="3"/>
  <c r="D64" i="16" s="1"/>
  <c r="AQ29" i="3"/>
  <c r="D28" i="16" s="1"/>
  <c r="AQ28" i="3"/>
  <c r="D27" i="16" s="1"/>
  <c r="AQ60" i="3"/>
  <c r="D59" i="16" s="1"/>
  <c r="AQ24" i="3"/>
  <c r="D23" i="16" s="1"/>
  <c r="AQ58" i="3"/>
  <c r="D57" i="16" s="1"/>
  <c r="AQ64" i="3"/>
  <c r="D63" i="16" s="1"/>
  <c r="AQ26" i="3"/>
  <c r="D25" i="16" s="1"/>
  <c r="AQ9" i="3"/>
  <c r="D8" i="16" s="1"/>
  <c r="AQ5" i="3"/>
  <c r="D4" i="16" s="1"/>
  <c r="AQ18" i="3"/>
  <c r="D17" i="16" s="1"/>
  <c r="AQ12" i="3"/>
  <c r="D11" i="16" s="1"/>
  <c r="AQ15" i="3"/>
  <c r="D14" i="16" s="1"/>
  <c r="AQ8" i="3"/>
  <c r="D7" i="16" s="1"/>
  <c r="AQ16" i="3"/>
  <c r="D15" i="16" s="1"/>
  <c r="AQ20" i="3"/>
  <c r="D19" i="16" s="1"/>
  <c r="AQ59" i="3"/>
  <c r="D58" i="16" s="1"/>
  <c r="AQ17" i="3"/>
  <c r="D16" i="16" s="1"/>
  <c r="AQ13" i="3"/>
  <c r="D12" i="16" s="1"/>
  <c r="AQ62" i="3"/>
  <c r="D61" i="16" s="1"/>
  <c r="AQ27" i="3"/>
  <c r="D26" i="16" s="1"/>
  <c r="AQ10" i="3"/>
  <c r="D9" i="16" s="1"/>
  <c r="AQ23" i="3"/>
  <c r="D22" i="16" s="1"/>
  <c r="AQ6" i="3"/>
  <c r="D5" i="16" s="1"/>
  <c r="AQ63" i="3"/>
  <c r="D62" i="16" s="1"/>
  <c r="AQ55" i="3"/>
  <c r="D54" i="16" s="1"/>
  <c r="AQ45" i="3"/>
  <c r="D44" i="16" s="1"/>
  <c r="AQ53" i="3"/>
  <c r="D52" i="16" s="1"/>
  <c r="AQ42" i="3"/>
  <c r="D41" i="16" s="1"/>
  <c r="AQ37" i="3"/>
  <c r="D36" i="16" s="1"/>
  <c r="AQ36" i="3"/>
  <c r="D35" i="16" s="1"/>
  <c r="AQ35" i="3"/>
  <c r="D34" i="16" s="1"/>
  <c r="AQ34" i="3"/>
  <c r="D33" i="16" s="1"/>
  <c r="AQ33" i="3"/>
  <c r="D32" i="16" s="1"/>
  <c r="AQ47" i="3"/>
  <c r="D46" i="16" s="1"/>
  <c r="AQ46" i="3"/>
  <c r="D45" i="16" s="1"/>
  <c r="AQ54" i="3"/>
  <c r="D53" i="16" s="1"/>
  <c r="AQ49" i="3"/>
  <c r="D48" i="16" s="1"/>
  <c r="AQ48" i="3"/>
  <c r="D47" i="16" s="1"/>
  <c r="AQ56" i="3"/>
  <c r="D55" i="16" s="1"/>
  <c r="AQ39" i="3"/>
  <c r="D38" i="16" s="1"/>
  <c r="AQ32" i="3"/>
  <c r="D31" i="16" s="1"/>
  <c r="AQ51" i="3"/>
  <c r="D50" i="16" s="1"/>
  <c r="AQ57" i="3"/>
  <c r="D56" i="16" s="1"/>
  <c r="AQ41" i="3"/>
  <c r="D40" i="16" s="1"/>
  <c r="AQ40" i="3"/>
  <c r="D39" i="16" s="1"/>
  <c r="AQ30" i="3"/>
  <c r="D29" i="16" s="1"/>
  <c r="AQ50" i="3"/>
  <c r="D49" i="16" s="1"/>
  <c r="AQ44" i="3"/>
  <c r="D43" i="16" s="1"/>
  <c r="AQ52" i="3"/>
  <c r="D51" i="16" s="1"/>
  <c r="AQ43" i="3"/>
  <c r="D42" i="16" s="1"/>
  <c r="AQ38" i="3"/>
  <c r="D37" i="16" s="1"/>
  <c r="AQ31" i="3"/>
  <c r="D30" i="16" s="1"/>
  <c r="AQ12" i="9"/>
  <c r="AQ28" i="9"/>
  <c r="AQ18" i="9"/>
  <c r="J17" i="16" s="1"/>
  <c r="AQ27" i="9"/>
  <c r="J26" i="16" s="1"/>
  <c r="AQ13" i="9"/>
  <c r="J12" i="16" s="1"/>
  <c r="AQ29" i="9"/>
  <c r="AQ14" i="9"/>
  <c r="J13" i="16" s="1"/>
  <c r="AQ23" i="9"/>
  <c r="J22" i="16" s="1"/>
  <c r="AQ22" i="9"/>
  <c r="J21" i="16" s="1"/>
  <c r="AQ31" i="9"/>
  <c r="J30" i="16" s="1"/>
  <c r="AQ59" i="9"/>
  <c r="J58" i="16" s="1"/>
  <c r="AQ64" i="9"/>
  <c r="J63" i="16" s="1"/>
  <c r="AQ50" i="9"/>
  <c r="J49" i="16" s="1"/>
  <c r="AQ16" i="9"/>
  <c r="J15" i="16" s="1"/>
  <c r="AQ32" i="9"/>
  <c r="J31" i="16" s="1"/>
  <c r="AQ30" i="9"/>
  <c r="J29" i="16" s="1"/>
  <c r="AQ39" i="9"/>
  <c r="J38" i="16" s="1"/>
  <c r="AQ17" i="9"/>
  <c r="J16" i="16" s="1"/>
  <c r="AQ33" i="9"/>
  <c r="J32" i="16" s="1"/>
  <c r="AQ26" i="9"/>
  <c r="AQ35" i="9"/>
  <c r="AQ34" i="9"/>
  <c r="J33" i="16" s="1"/>
  <c r="AQ43" i="9"/>
  <c r="J42" i="16" s="1"/>
  <c r="AQ61" i="9"/>
  <c r="J60" i="16" s="1"/>
  <c r="AQ48" i="9"/>
  <c r="J47" i="16" s="1"/>
  <c r="AQ20" i="9"/>
  <c r="J19" i="16" s="1"/>
  <c r="AQ36" i="9"/>
  <c r="J35" i="16" s="1"/>
  <c r="AQ42" i="9"/>
  <c r="J41" i="16" s="1"/>
  <c r="AQ5" i="9"/>
  <c r="J4" i="16" s="1"/>
  <c r="AQ21" i="9"/>
  <c r="J20" i="16" s="1"/>
  <c r="AQ37" i="9"/>
  <c r="J36" i="16" s="1"/>
  <c r="AQ38" i="9"/>
  <c r="J37" i="16" s="1"/>
  <c r="AQ6" i="9"/>
  <c r="J5" i="16" s="1"/>
  <c r="AQ7" i="9"/>
  <c r="J6" i="16" s="1"/>
  <c r="AQ62" i="9"/>
  <c r="J61" i="16" s="1"/>
  <c r="AQ65" i="9"/>
  <c r="J64" i="16" s="1"/>
  <c r="AQ56" i="9"/>
  <c r="J55" i="16" s="1"/>
  <c r="AQ8" i="9"/>
  <c r="J7" i="16" s="1"/>
  <c r="AQ24" i="9"/>
  <c r="AQ40" i="9"/>
  <c r="J39" i="16" s="1"/>
  <c r="AQ11" i="9"/>
  <c r="J10" i="16" s="1"/>
  <c r="AQ9" i="9"/>
  <c r="J8" i="16" s="1"/>
  <c r="AQ25" i="9"/>
  <c r="J24" i="16" s="1"/>
  <c r="AQ41" i="9"/>
  <c r="J40" i="16" s="1"/>
  <c r="AQ15" i="9"/>
  <c r="J14" i="16" s="1"/>
  <c r="AQ10" i="9"/>
  <c r="AQ19" i="9"/>
  <c r="AQ60" i="9"/>
  <c r="J59" i="16" s="1"/>
  <c r="AQ63" i="9"/>
  <c r="J62" i="16" s="1"/>
  <c r="AQ54" i="9"/>
  <c r="J53" i="16" s="1"/>
  <c r="AQ46" i="9"/>
  <c r="J45" i="16" s="1"/>
  <c r="AQ51" i="9"/>
  <c r="J50" i="16" s="1"/>
  <c r="AQ44" i="9"/>
  <c r="J43" i="16" s="1"/>
  <c r="AQ58" i="9"/>
  <c r="J57" i="16" s="1"/>
  <c r="AQ47" i="9"/>
  <c r="J46" i="16" s="1"/>
  <c r="AQ55" i="9"/>
  <c r="J54" i="16" s="1"/>
  <c r="AQ52" i="9"/>
  <c r="J51" i="16" s="1"/>
  <c r="AQ49" i="9"/>
  <c r="J48" i="16" s="1"/>
  <c r="AQ45" i="9"/>
  <c r="J44" i="16" s="1"/>
  <c r="AQ53" i="9"/>
  <c r="J52" i="16" s="1"/>
  <c r="AQ57" i="9"/>
  <c r="J56" i="16" s="1"/>
  <c r="AQ9" i="4"/>
  <c r="F8" i="16" s="1"/>
  <c r="AQ21" i="4"/>
  <c r="F20" i="16" s="1"/>
  <c r="AQ14" i="4"/>
  <c r="F13" i="16" s="1"/>
  <c r="AQ22" i="4"/>
  <c r="F21" i="16" s="1"/>
  <c r="AQ12" i="4"/>
  <c r="F11" i="16" s="1"/>
  <c r="AQ25" i="4"/>
  <c r="F24" i="16" s="1"/>
  <c r="AQ60" i="4"/>
  <c r="F59" i="16" s="1"/>
  <c r="AQ59" i="4"/>
  <c r="F58" i="16" s="1"/>
  <c r="AQ19" i="4"/>
  <c r="F18" i="16" s="1"/>
  <c r="AQ15" i="4"/>
  <c r="F14" i="16" s="1"/>
  <c r="AQ29" i="4"/>
  <c r="F28" i="16" s="1"/>
  <c r="AQ10" i="4"/>
  <c r="F9" i="16" s="1"/>
  <c r="AQ18" i="4"/>
  <c r="F17" i="16" s="1"/>
  <c r="AQ20" i="4"/>
  <c r="F19" i="16" s="1"/>
  <c r="AQ58" i="4"/>
  <c r="F57" i="16" s="1"/>
  <c r="AQ64" i="4"/>
  <c r="F63" i="16" s="1"/>
  <c r="AQ62" i="4"/>
  <c r="F61" i="16" s="1"/>
  <c r="AQ27" i="4"/>
  <c r="F26" i="16" s="1"/>
  <c r="AQ23" i="4"/>
  <c r="F22" i="16" s="1"/>
  <c r="AQ5" i="4"/>
  <c r="F4" i="16" s="1"/>
  <c r="AQ28" i="4"/>
  <c r="F27" i="16" s="1"/>
  <c r="AQ24" i="4"/>
  <c r="F23" i="16" s="1"/>
  <c r="AQ17" i="4"/>
  <c r="F16" i="16" s="1"/>
  <c r="AQ26" i="4"/>
  <c r="F25" i="16" s="1"/>
  <c r="AQ63" i="4"/>
  <c r="F62" i="16" s="1"/>
  <c r="AQ11" i="4"/>
  <c r="F10" i="16" s="1"/>
  <c r="AQ7" i="4"/>
  <c r="F6" i="16" s="1"/>
  <c r="AQ8" i="4"/>
  <c r="F7" i="16" s="1"/>
  <c r="AQ13" i="4"/>
  <c r="F12" i="16" s="1"/>
  <c r="AQ6" i="4"/>
  <c r="F5" i="16" s="1"/>
  <c r="AQ16" i="4"/>
  <c r="F15" i="16" s="1"/>
  <c r="AQ61" i="4"/>
  <c r="F60" i="16" s="1"/>
  <c r="AQ65" i="4"/>
  <c r="F64" i="16" s="1"/>
  <c r="AQ57" i="4"/>
  <c r="F56" i="16" s="1"/>
  <c r="AQ52" i="4"/>
  <c r="F51" i="16" s="1"/>
  <c r="AQ54" i="4"/>
  <c r="F53" i="16" s="1"/>
  <c r="AQ46" i="4"/>
  <c r="F45" i="16" s="1"/>
  <c r="AQ43" i="4"/>
  <c r="F42" i="16" s="1"/>
  <c r="AQ38" i="4"/>
  <c r="F37" i="16" s="1"/>
  <c r="AQ45" i="4"/>
  <c r="F44" i="16" s="1"/>
  <c r="AQ48" i="4"/>
  <c r="F47" i="16" s="1"/>
  <c r="AQ42" i="4"/>
  <c r="F41" i="16" s="1"/>
  <c r="AQ39" i="4"/>
  <c r="F38" i="16" s="1"/>
  <c r="AQ36" i="4"/>
  <c r="F35" i="16" s="1"/>
  <c r="AQ33" i="4"/>
  <c r="F32" i="16" s="1"/>
  <c r="AQ34" i="4"/>
  <c r="F33" i="16" s="1"/>
  <c r="AQ31" i="4"/>
  <c r="F30" i="16" s="1"/>
  <c r="AQ53" i="4"/>
  <c r="F52" i="16" s="1"/>
  <c r="AQ55" i="4"/>
  <c r="F54" i="16" s="1"/>
  <c r="AQ51" i="4"/>
  <c r="F50" i="16" s="1"/>
  <c r="AQ50" i="4"/>
  <c r="F49" i="16" s="1"/>
  <c r="AQ41" i="4"/>
  <c r="F40" i="16" s="1"/>
  <c r="AQ30" i="4"/>
  <c r="F29" i="16" s="1"/>
  <c r="AQ35" i="4"/>
  <c r="F34" i="16" s="1"/>
  <c r="AQ49" i="4"/>
  <c r="F48" i="16" s="1"/>
  <c r="AQ56" i="4"/>
  <c r="F55" i="16" s="1"/>
  <c r="AQ44" i="4"/>
  <c r="F43" i="16" s="1"/>
  <c r="AQ47" i="4"/>
  <c r="F46" i="16" s="1"/>
  <c r="AQ37" i="4"/>
  <c r="F36" i="16" s="1"/>
  <c r="AQ40" i="4"/>
  <c r="F39" i="16" s="1"/>
  <c r="AQ32" i="4"/>
  <c r="F31" i="16" s="1"/>
  <c r="M18" i="1"/>
  <c r="N18" i="1" s="1"/>
  <c r="M48" i="16"/>
  <c r="M46" i="16"/>
  <c r="M30" i="16"/>
  <c r="M40" i="16"/>
  <c r="M6" i="16"/>
  <c r="M9" i="16"/>
  <c r="AQ4" i="12"/>
  <c r="AQ56" i="14"/>
  <c r="O55" i="16" s="1"/>
  <c r="AQ48" i="14"/>
  <c r="O47" i="16" s="1"/>
  <c r="AQ40" i="14"/>
  <c r="O39" i="16" s="1"/>
  <c r="AQ32" i="14"/>
  <c r="AQ24" i="14"/>
  <c r="AQ16" i="14"/>
  <c r="AQ53" i="14"/>
  <c r="O52" i="16" s="1"/>
  <c r="AQ45" i="14"/>
  <c r="O44" i="16" s="1"/>
  <c r="AQ37" i="14"/>
  <c r="O36" i="16" s="1"/>
  <c r="AQ21" i="14"/>
  <c r="O20" i="16" s="1"/>
  <c r="AQ35" i="14"/>
  <c r="O34" i="16" s="1"/>
  <c r="AQ19" i="14"/>
  <c r="O18" i="16" s="1"/>
  <c r="AQ54" i="14"/>
  <c r="AQ46" i="14"/>
  <c r="O45" i="16" s="1"/>
  <c r="AQ38" i="14"/>
  <c r="AQ30" i="14"/>
  <c r="AQ22" i="14"/>
  <c r="O21" i="16" s="1"/>
  <c r="AQ59" i="14"/>
  <c r="AQ51" i="14"/>
  <c r="O50" i="16" s="1"/>
  <c r="AQ43" i="14"/>
  <c r="O42" i="16" s="1"/>
  <c r="AQ27" i="14"/>
  <c r="AQ52" i="14"/>
  <c r="AQ44" i="14"/>
  <c r="O43" i="16" s="1"/>
  <c r="AQ36" i="14"/>
  <c r="O35" i="16" s="1"/>
  <c r="AQ28" i="14"/>
  <c r="AQ20" i="14"/>
  <c r="O19" i="16" s="1"/>
  <c r="AQ57" i="14"/>
  <c r="AQ49" i="14"/>
  <c r="O48" i="16" s="1"/>
  <c r="AQ41" i="14"/>
  <c r="AQ33" i="14"/>
  <c r="AQ25" i="14"/>
  <c r="O24" i="16" s="1"/>
  <c r="AQ17" i="14"/>
  <c r="O16" i="16" s="1"/>
  <c r="AQ58" i="14"/>
  <c r="AQ50" i="14"/>
  <c r="O49" i="16" s="1"/>
  <c r="AQ42" i="14"/>
  <c r="O41" i="16" s="1"/>
  <c r="AQ34" i="14"/>
  <c r="AQ26" i="14"/>
  <c r="AQ18" i="14"/>
  <c r="AQ55" i="14"/>
  <c r="O54" i="16" s="1"/>
  <c r="AQ47" i="14"/>
  <c r="AQ39" i="14"/>
  <c r="AQ31" i="14"/>
  <c r="O30" i="16" s="1"/>
  <c r="AQ23" i="14"/>
  <c r="AQ13" i="14"/>
  <c r="O12" i="16" s="1"/>
  <c r="AQ9" i="14"/>
  <c r="O8" i="16" s="1"/>
  <c r="AQ5" i="14"/>
  <c r="O4" i="16" s="1"/>
  <c r="AQ14" i="14"/>
  <c r="AQ10" i="14"/>
  <c r="AQ6" i="14"/>
  <c r="AQ8" i="14"/>
  <c r="O7" i="16" s="1"/>
  <c r="AQ15" i="14"/>
  <c r="AQ11" i="14"/>
  <c r="O10" i="16" s="1"/>
  <c r="AQ7" i="14"/>
  <c r="O6" i="16" s="1"/>
  <c r="AQ12" i="14"/>
  <c r="AQ4" i="14"/>
  <c r="I56" i="16"/>
  <c r="I59" i="16"/>
  <c r="I27" i="16"/>
  <c r="I42" i="16"/>
  <c r="I34" i="16"/>
  <c r="I17" i="16"/>
  <c r="I30" i="16"/>
  <c r="AQ4" i="8"/>
  <c r="AQ4" i="3"/>
  <c r="N46" i="16"/>
  <c r="N19" i="16"/>
  <c r="N38" i="16"/>
  <c r="N63" i="16"/>
  <c r="N7" i="16"/>
  <c r="AQ4" i="13"/>
  <c r="C63" i="16"/>
  <c r="C40" i="16"/>
  <c r="C56" i="16"/>
  <c r="C41" i="16"/>
  <c r="C57" i="16"/>
  <c r="C42" i="16"/>
  <c r="C58" i="16"/>
  <c r="C44" i="16"/>
  <c r="C60" i="16"/>
  <c r="C29" i="16"/>
  <c r="C45" i="16"/>
  <c r="C61" i="16"/>
  <c r="C32" i="16"/>
  <c r="C48" i="16"/>
  <c r="C64" i="16"/>
  <c r="C36" i="16"/>
  <c r="C52" i="16"/>
  <c r="C37" i="16"/>
  <c r="C53" i="16"/>
  <c r="C38" i="16"/>
  <c r="C54" i="16"/>
  <c r="C34" i="16"/>
  <c r="C35" i="16"/>
  <c r="C51" i="16"/>
  <c r="C55" i="16"/>
  <c r="C46" i="16"/>
  <c r="C39" i="16"/>
  <c r="C33" i="16"/>
  <c r="C50" i="16"/>
  <c r="C43" i="16"/>
  <c r="C59" i="16"/>
  <c r="C31" i="16"/>
  <c r="C49" i="16"/>
  <c r="C30" i="16"/>
  <c r="C62" i="16"/>
  <c r="C47" i="16"/>
  <c r="C22" i="16"/>
  <c r="C24" i="16"/>
  <c r="C25" i="16"/>
  <c r="C23" i="16"/>
  <c r="C28" i="16"/>
  <c r="C27" i="16"/>
  <c r="C26" i="16"/>
  <c r="C21" i="16"/>
  <c r="C16" i="16"/>
  <c r="C20" i="16"/>
  <c r="C10" i="16"/>
  <c r="C13" i="16"/>
  <c r="C17" i="16"/>
  <c r="C11" i="16"/>
  <c r="C12" i="16"/>
  <c r="C18" i="16"/>
  <c r="C19" i="16"/>
  <c r="C14" i="16"/>
  <c r="C15" i="16"/>
  <c r="C7" i="16"/>
  <c r="C8" i="16"/>
  <c r="C9" i="16"/>
  <c r="C4" i="16"/>
  <c r="C6" i="16"/>
  <c r="C5" i="16"/>
  <c r="AQ4" i="9"/>
  <c r="AQ4" i="4"/>
  <c r="H62" i="16"/>
  <c r="H30" i="16"/>
  <c r="H63" i="16"/>
  <c r="H20" i="16"/>
  <c r="H21" i="16"/>
  <c r="H11" i="16"/>
  <c r="H18" i="16"/>
  <c r="H9" i="16"/>
  <c r="H16" i="16"/>
  <c r="AQ4" i="7"/>
  <c r="AQ65" i="10"/>
  <c r="K64" i="16" s="1"/>
  <c r="AQ49" i="10"/>
  <c r="K48" i="16" s="1"/>
  <c r="AQ33" i="10"/>
  <c r="K32" i="16" s="1"/>
  <c r="AQ17" i="10"/>
  <c r="K16" i="16" s="1"/>
  <c r="AQ52" i="10"/>
  <c r="K51" i="16" s="1"/>
  <c r="AQ36" i="10"/>
  <c r="K35" i="16" s="1"/>
  <c r="AQ20" i="10"/>
  <c r="K19" i="16" s="1"/>
  <c r="AQ55" i="10"/>
  <c r="K54" i="16" s="1"/>
  <c r="AQ39" i="10"/>
  <c r="K38" i="16" s="1"/>
  <c r="AQ53" i="10"/>
  <c r="K52" i="16" s="1"/>
  <c r="AQ29" i="10"/>
  <c r="K28" i="16" s="1"/>
  <c r="AQ60" i="10"/>
  <c r="K59" i="16" s="1"/>
  <c r="AQ40" i="10"/>
  <c r="K39" i="16" s="1"/>
  <c r="AQ16" i="10"/>
  <c r="AQ47" i="10"/>
  <c r="K46" i="16" s="1"/>
  <c r="AQ27" i="10"/>
  <c r="K26" i="16" s="1"/>
  <c r="AQ58" i="10"/>
  <c r="K57" i="16" s="1"/>
  <c r="AQ42" i="10"/>
  <c r="K41" i="16" s="1"/>
  <c r="AQ26" i="10"/>
  <c r="K25" i="16" s="1"/>
  <c r="AQ45" i="10"/>
  <c r="K44" i="16" s="1"/>
  <c r="AQ25" i="10"/>
  <c r="K24" i="16" s="1"/>
  <c r="AQ56" i="10"/>
  <c r="K55" i="16" s="1"/>
  <c r="AQ32" i="10"/>
  <c r="K31" i="16" s="1"/>
  <c r="AQ63" i="10"/>
  <c r="K62" i="16" s="1"/>
  <c r="AQ43" i="10"/>
  <c r="K42" i="16" s="1"/>
  <c r="AQ23" i="10"/>
  <c r="K22" i="16" s="1"/>
  <c r="AQ54" i="10"/>
  <c r="K53" i="16" s="1"/>
  <c r="AQ38" i="10"/>
  <c r="AQ22" i="10"/>
  <c r="K21" i="16" s="1"/>
  <c r="AQ61" i="10"/>
  <c r="K60" i="16" s="1"/>
  <c r="AQ41" i="10"/>
  <c r="K40" i="16" s="1"/>
  <c r="AQ21" i="10"/>
  <c r="K20" i="16" s="1"/>
  <c r="AQ48" i="10"/>
  <c r="K47" i="16" s="1"/>
  <c r="AQ28" i="10"/>
  <c r="K27" i="16" s="1"/>
  <c r="AQ59" i="10"/>
  <c r="K58" i="16" s="1"/>
  <c r="AQ35" i="10"/>
  <c r="K34" i="16" s="1"/>
  <c r="AQ19" i="10"/>
  <c r="K18" i="16" s="1"/>
  <c r="AQ50" i="10"/>
  <c r="K49" i="16" s="1"/>
  <c r="AQ34" i="10"/>
  <c r="K33" i="16" s="1"/>
  <c r="AQ18" i="10"/>
  <c r="K17" i="16" s="1"/>
  <c r="AQ57" i="10"/>
  <c r="K56" i="16" s="1"/>
  <c r="AQ37" i="10"/>
  <c r="K36" i="16" s="1"/>
  <c r="AQ64" i="10"/>
  <c r="K63" i="16" s="1"/>
  <c r="AQ44" i="10"/>
  <c r="K43" i="16" s="1"/>
  <c r="AQ24" i="10"/>
  <c r="K23" i="16" s="1"/>
  <c r="AQ51" i="10"/>
  <c r="K50" i="16" s="1"/>
  <c r="AQ31" i="10"/>
  <c r="K30" i="16" s="1"/>
  <c r="AQ62" i="10"/>
  <c r="K61" i="16" s="1"/>
  <c r="AQ46" i="10"/>
  <c r="K45" i="16" s="1"/>
  <c r="AQ30" i="10"/>
  <c r="AQ13" i="10"/>
  <c r="K12" i="16" s="1"/>
  <c r="AQ15" i="10"/>
  <c r="K14" i="16" s="1"/>
  <c r="AQ12" i="10"/>
  <c r="K11" i="16" s="1"/>
  <c r="AQ14" i="10"/>
  <c r="K13" i="16" s="1"/>
  <c r="AQ9" i="10"/>
  <c r="K8" i="16" s="1"/>
  <c r="AQ8" i="10"/>
  <c r="K7" i="16" s="1"/>
  <c r="AQ10" i="10"/>
  <c r="K9" i="16" s="1"/>
  <c r="AQ11" i="10"/>
  <c r="K10" i="16" s="1"/>
  <c r="AQ6" i="10"/>
  <c r="K5" i="16" s="1"/>
  <c r="AQ7" i="10"/>
  <c r="K6" i="16" s="1"/>
  <c r="AQ5" i="10"/>
  <c r="K4" i="16" s="1"/>
  <c r="AQ4" i="10"/>
  <c r="E39" i="16"/>
  <c r="E42" i="16"/>
  <c r="E64" i="16"/>
  <c r="E62" i="16"/>
  <c r="E49" i="16"/>
  <c r="E33" i="16"/>
  <c r="E56" i="16"/>
  <c r="E38" i="16"/>
  <c r="E28" i="16"/>
  <c r="E8" i="16"/>
  <c r="E7" i="16"/>
  <c r="AQ4" i="5"/>
  <c r="AQ53" i="11"/>
  <c r="L52" i="16" s="1"/>
  <c r="AQ37" i="11"/>
  <c r="AQ21" i="11"/>
  <c r="L20" i="16" s="1"/>
  <c r="AQ56" i="11"/>
  <c r="L55" i="16" s="1"/>
  <c r="AQ40" i="11"/>
  <c r="AQ24" i="11"/>
  <c r="L23" i="16" s="1"/>
  <c r="AQ59" i="11"/>
  <c r="L58" i="16" s="1"/>
  <c r="AQ43" i="11"/>
  <c r="L42" i="16" s="1"/>
  <c r="AQ27" i="11"/>
  <c r="AQ58" i="11"/>
  <c r="L57" i="16" s="1"/>
  <c r="AQ42" i="11"/>
  <c r="AQ26" i="11"/>
  <c r="AQ65" i="11"/>
  <c r="L64" i="16" s="1"/>
  <c r="AQ49" i="11"/>
  <c r="L48" i="16" s="1"/>
  <c r="AQ33" i="11"/>
  <c r="L32" i="16" s="1"/>
  <c r="AQ52" i="11"/>
  <c r="L51" i="16" s="1"/>
  <c r="AQ36" i="11"/>
  <c r="L35" i="16" s="1"/>
  <c r="AQ20" i="11"/>
  <c r="AQ55" i="11"/>
  <c r="L54" i="16" s="1"/>
  <c r="AQ39" i="11"/>
  <c r="L38" i="16" s="1"/>
  <c r="AQ23" i="11"/>
  <c r="L22" i="16" s="1"/>
  <c r="AQ54" i="11"/>
  <c r="L53" i="16" s="1"/>
  <c r="AQ38" i="11"/>
  <c r="AQ22" i="11"/>
  <c r="L21" i="16" s="1"/>
  <c r="AQ61" i="11"/>
  <c r="L60" i="16" s="1"/>
  <c r="AQ45" i="11"/>
  <c r="L44" i="16" s="1"/>
  <c r="AQ29" i="11"/>
  <c r="L28" i="16" s="1"/>
  <c r="AQ64" i="11"/>
  <c r="L63" i="16" s="1"/>
  <c r="AQ48" i="11"/>
  <c r="AQ32" i="11"/>
  <c r="AQ51" i="11"/>
  <c r="L50" i="16" s="1"/>
  <c r="AQ35" i="11"/>
  <c r="L34" i="16" s="1"/>
  <c r="AQ50" i="11"/>
  <c r="AQ34" i="11"/>
  <c r="AQ57" i="11"/>
  <c r="L56" i="16" s="1"/>
  <c r="AQ41" i="11"/>
  <c r="L40" i="16" s="1"/>
  <c r="AQ25" i="11"/>
  <c r="L24" i="16" s="1"/>
  <c r="AQ60" i="11"/>
  <c r="L59" i="16" s="1"/>
  <c r="AQ44" i="11"/>
  <c r="L43" i="16" s="1"/>
  <c r="AQ28" i="11"/>
  <c r="AQ63" i="11"/>
  <c r="L62" i="16" s="1"/>
  <c r="AQ47" i="11"/>
  <c r="L46" i="16" s="1"/>
  <c r="AQ31" i="11"/>
  <c r="L30" i="16" s="1"/>
  <c r="AQ62" i="11"/>
  <c r="AQ46" i="11"/>
  <c r="L45" i="16" s="1"/>
  <c r="AQ30" i="11"/>
  <c r="L29" i="16" s="1"/>
  <c r="AQ4" i="11"/>
  <c r="AW21" i="13" l="1"/>
  <c r="AW17" i="9"/>
  <c r="AW39" i="14"/>
  <c r="AW63" i="13"/>
  <c r="AW53" i="13"/>
  <c r="AW39" i="13"/>
  <c r="AW25" i="13"/>
  <c r="N45" i="16"/>
  <c r="M28" i="16"/>
  <c r="AW31" i="12"/>
  <c r="O14" i="16"/>
  <c r="AW17" i="14"/>
  <c r="I16" i="16"/>
  <c r="N16" i="16"/>
  <c r="L49" i="16"/>
  <c r="AW63" i="11"/>
  <c r="N59" i="16"/>
  <c r="J34" i="16"/>
  <c r="AW35" i="9"/>
  <c r="I20" i="16"/>
  <c r="AW21" i="8"/>
  <c r="N20" i="16"/>
  <c r="AW41" i="8"/>
  <c r="M50" i="16"/>
  <c r="AW55" i="12"/>
  <c r="O53" i="16"/>
  <c r="AW55" i="14"/>
  <c r="N41" i="16"/>
  <c r="AW41" i="11"/>
  <c r="AW27" i="14"/>
  <c r="M39" i="16"/>
  <c r="AW41" i="12"/>
  <c r="O38" i="16"/>
  <c r="N40" i="16"/>
  <c r="M13" i="16"/>
  <c r="L13" i="16"/>
  <c r="AW27" i="11"/>
  <c r="N26" i="16"/>
  <c r="AW61" i="14"/>
  <c r="L61" i="16"/>
  <c r="AW65" i="11"/>
  <c r="O33" i="16"/>
  <c r="O5" i="16"/>
  <c r="I5" i="16"/>
  <c r="AW19" i="11"/>
  <c r="O22" i="16"/>
  <c r="L25" i="16"/>
  <c r="N11" i="16"/>
  <c r="I15" i="16"/>
  <c r="AW29" i="8"/>
  <c r="N42" i="16"/>
  <c r="M35" i="16"/>
  <c r="AW49" i="11"/>
  <c r="I35" i="16"/>
  <c r="AW49" i="8"/>
  <c r="N48" i="16"/>
  <c r="N34" i="16"/>
  <c r="N53" i="16"/>
  <c r="I52" i="16"/>
  <c r="AW53" i="8"/>
  <c r="N52" i="16"/>
  <c r="N39" i="16"/>
  <c r="O25" i="16"/>
  <c r="I25" i="16"/>
  <c r="J25" i="16"/>
  <c r="AW39" i="9"/>
  <c r="M25" i="16"/>
  <c r="N36" i="16"/>
  <c r="I11" i="16"/>
  <c r="AW25" i="8"/>
  <c r="J11" i="16"/>
  <c r="AW25" i="9"/>
  <c r="O11" i="16"/>
  <c r="N10" i="16"/>
  <c r="O31" i="16"/>
  <c r="M31" i="16"/>
  <c r="M45" i="16"/>
  <c r="AW59" i="12"/>
  <c r="L31" i="16"/>
  <c r="O58" i="16"/>
  <c r="N58" i="16"/>
  <c r="N44" i="16"/>
  <c r="L16" i="16"/>
  <c r="I23" i="16"/>
  <c r="J9" i="16"/>
  <c r="AW65" i="12"/>
  <c r="O23" i="16"/>
  <c r="J23" i="16"/>
  <c r="M23" i="16"/>
  <c r="N25" i="16"/>
  <c r="N6" i="16"/>
  <c r="AW55" i="9"/>
  <c r="N62" i="16"/>
  <c r="O51" i="16"/>
  <c r="N54" i="16"/>
  <c r="L41" i="16"/>
  <c r="L27" i="16"/>
  <c r="N13" i="16"/>
  <c r="N27" i="16"/>
  <c r="O27" i="16"/>
  <c r="O13" i="16"/>
  <c r="J27" i="16"/>
  <c r="AW41" i="9"/>
  <c r="L26" i="16"/>
  <c r="M26" i="16"/>
  <c r="N12" i="16"/>
  <c r="AW61" i="12"/>
  <c r="N64" i="16"/>
  <c r="I60" i="16"/>
  <c r="AW61" i="8"/>
  <c r="L47" i="16"/>
  <c r="AW61" i="9"/>
  <c r="N47" i="16"/>
  <c r="L33" i="16"/>
  <c r="O46" i="16"/>
  <c r="N43" i="16"/>
  <c r="L19" i="16"/>
  <c r="M19" i="16"/>
  <c r="O32" i="16"/>
  <c r="N32" i="16"/>
  <c r="N21" i="16"/>
  <c r="J18" i="16"/>
  <c r="L5" i="16"/>
  <c r="M18" i="16"/>
  <c r="AW19" i="12"/>
  <c r="O17" i="16"/>
  <c r="N5" i="16"/>
  <c r="N9" i="16"/>
  <c r="L9" i="16"/>
  <c r="N55" i="16"/>
  <c r="AW65" i="14"/>
  <c r="O37" i="16"/>
  <c r="N37" i="16"/>
  <c r="L37" i="16"/>
  <c r="K37" i="16"/>
  <c r="AW51" i="10"/>
  <c r="M37" i="16"/>
  <c r="O26" i="16"/>
  <c r="N24" i="16"/>
  <c r="M36" i="16"/>
  <c r="L36" i="16"/>
  <c r="M22" i="16"/>
  <c r="I9" i="16"/>
  <c r="O9" i="16"/>
  <c r="N22" i="16"/>
  <c r="N8" i="16"/>
  <c r="AQ66" i="14"/>
  <c r="O57" i="16"/>
  <c r="M57" i="16"/>
  <c r="AQ66" i="12"/>
  <c r="AQ66" i="9"/>
  <c r="O56" i="16"/>
  <c r="N56" i="16"/>
  <c r="AQ66" i="4"/>
  <c r="O15" i="16"/>
  <c r="O29" i="16"/>
  <c r="K29" i="16"/>
  <c r="O40" i="16"/>
  <c r="N30" i="16"/>
  <c r="M33" i="16"/>
  <c r="L39" i="16"/>
  <c r="K15" i="16"/>
  <c r="AW29" i="10"/>
  <c r="I19" i="16"/>
  <c r="J28" i="16"/>
  <c r="M15" i="16"/>
  <c r="L15" i="16"/>
  <c r="N28" i="16"/>
  <c r="AQ66" i="5"/>
  <c r="E3" i="16"/>
  <c r="E65" i="16" s="1"/>
  <c r="C3" i="16"/>
  <c r="C65" i="16" s="1"/>
  <c r="O3" i="16"/>
  <c r="F3" i="16"/>
  <c r="F65" i="16" s="1"/>
  <c r="D3" i="16"/>
  <c r="D65" i="16" s="1"/>
  <c r="AQ66" i="3"/>
  <c r="AQ66" i="7"/>
  <c r="H3" i="16"/>
  <c r="H65" i="16" s="1"/>
  <c r="J3" i="16"/>
  <c r="N3" i="16"/>
  <c r="AQ66" i="13"/>
  <c r="I3" i="16"/>
  <c r="M3" i="16"/>
  <c r="L3" i="16"/>
  <c r="AQ66" i="11"/>
  <c r="K3" i="16"/>
  <c r="AQ66" i="10"/>
  <c r="O65" i="16" l="1"/>
  <c r="N65" i="16"/>
  <c r="M65" i="16"/>
  <c r="K65" i="16"/>
  <c r="J65" i="16"/>
  <c r="L65" i="16"/>
  <c r="AF7" i="8" l="1"/>
  <c r="AN7" i="8" s="1"/>
  <c r="AU17" i="8" s="1"/>
  <c r="AG7" i="8"/>
  <c r="AO7" i="8" s="1"/>
  <c r="AV17" i="8" s="1"/>
  <c r="AO66" i="8" l="1"/>
  <c r="J21" i="1" s="1"/>
  <c r="J31" i="1" s="1"/>
  <c r="AP7" i="8"/>
  <c r="AN66" i="8"/>
  <c r="I21" i="1" s="1"/>
  <c r="AQ7" i="8"/>
  <c r="AW17" i="8" s="1"/>
  <c r="M21" i="1" l="1"/>
  <c r="I31" i="1"/>
  <c r="I6" i="16"/>
  <c r="I65" i="16" s="1"/>
  <c r="AQ66" i="8"/>
  <c r="N21" i="1" l="1"/>
  <c r="M31" i="1"/>
  <c r="N31" i="1" s="1"/>
</calcChain>
</file>

<file path=xl/sharedStrings.xml><?xml version="1.0" encoding="utf-8"?>
<sst xmlns="http://schemas.openxmlformats.org/spreadsheetml/2006/main" count="4275" uniqueCount="429">
  <si>
    <r>
      <t xml:space="preserve">State wise BMC wise </t>
    </r>
    <r>
      <rPr>
        <b/>
        <sz val="10"/>
        <color rgb="FF00B050"/>
        <rFont val="Calibri"/>
        <family val="2"/>
        <scheme val="minor"/>
      </rPr>
      <t>Gain/</t>
    </r>
    <r>
      <rPr>
        <b/>
        <sz val="10"/>
        <color rgb="FFFF0000"/>
        <rFont val="Calibri"/>
        <family val="2"/>
        <scheme val="minor"/>
      </rPr>
      <t>(Loss)</t>
    </r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</si>
  <si>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</si>
  <si>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</si>
  <si>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</si>
  <si>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</si>
  <si>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</si>
  <si>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</si>
  <si>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</si>
  <si>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</si>
  <si>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</si>
  <si>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</si>
  <si>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</si>
  <si>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</si>
  <si>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Day book received till</t>
  </si>
  <si>
    <t>Remarks</t>
  </si>
  <si>
    <t>BR</t>
  </si>
  <si>
    <t>Daya BMC</t>
  </si>
  <si>
    <t>Majhaul</t>
  </si>
  <si>
    <t>Sahibpur Kamal</t>
  </si>
  <si>
    <t>Dalsingsarai</t>
  </si>
  <si>
    <t>Musrigharari</t>
  </si>
  <si>
    <t>Dumrao</t>
  </si>
  <si>
    <t>Bihar Daya BMCTotal</t>
  </si>
  <si>
    <t>SP BMC</t>
  </si>
  <si>
    <t>Laldiyara</t>
  </si>
  <si>
    <t>Asarganj</t>
  </si>
  <si>
    <t>SP RMC</t>
  </si>
  <si>
    <t>Mahadatpur</t>
  </si>
  <si>
    <t>Sonvarsha</t>
  </si>
  <si>
    <t>Aariya</t>
  </si>
  <si>
    <t>Teghra</t>
  </si>
  <si>
    <t>Halsi</t>
  </si>
  <si>
    <t>Bihar Service Provider Total</t>
  </si>
  <si>
    <t>JH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</si>
  <si>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</si>
  <si>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</si>
  <si>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</si>
  <si>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</si>
  <si>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</si>
  <si>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</si>
  <si>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</si>
  <si>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</si>
  <si>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</si>
  <si>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</si>
  <si>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</si>
  <si>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</si>
  <si>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</si>
  <si>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</si>
  <si>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Jharkhand Total</t>
  </si>
  <si>
    <t>WB</t>
  </si>
  <si>
    <t>B020</t>
  </si>
  <si>
    <t>Arasul</t>
  </si>
  <si>
    <t>B022</t>
  </si>
  <si>
    <t>Karnasubarna</t>
  </si>
  <si>
    <t>B004</t>
  </si>
  <si>
    <t>Haripal</t>
  </si>
  <si>
    <t>B014</t>
  </si>
  <si>
    <t>Kaochmali</t>
  </si>
  <si>
    <t>B016</t>
  </si>
  <si>
    <t>Uchalan</t>
  </si>
  <si>
    <t>B023</t>
  </si>
  <si>
    <t>Lohar</t>
  </si>
  <si>
    <t>West Bengal Total</t>
  </si>
  <si>
    <t>Manjhaul Bmc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</si>
  <si>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</si>
  <si>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</si>
  <si>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</si>
  <si>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</si>
  <si>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</si>
  <si>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</si>
  <si>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</si>
  <si>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</si>
  <si>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</si>
  <si>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</si>
  <si>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</si>
  <si>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</si>
  <si>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</si>
  <si>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</si>
  <si>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</si>
  <si>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</si>
  <si>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</si>
  <si>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</si>
  <si>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</si>
  <si>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</si>
  <si>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</si>
  <si>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</si>
  <si>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</si>
  <si>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</si>
  <si>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</si>
  <si>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S Kamal Bmc</t>
  </si>
  <si>
    <t>Musrighrari Bmc</t>
  </si>
  <si>
    <t>TOTAL-</t>
  </si>
  <si>
    <t>Simri Bmc</t>
  </si>
  <si>
    <t>Halsi Bmc</t>
  </si>
  <si>
    <t xml:space="preserve"> </t>
  </si>
  <si>
    <t>Buxar</t>
  </si>
  <si>
    <t>Laldiyara Bmc</t>
  </si>
  <si>
    <t>Asarganj Bmc</t>
  </si>
  <si>
    <t>Pakra Bmc</t>
  </si>
  <si>
    <t>Sonevarsa Bmc</t>
  </si>
  <si>
    <t>Araria Bmc</t>
  </si>
  <si>
    <t>Teghra Bmc</t>
  </si>
  <si>
    <t>Bhandra</t>
  </si>
  <si>
    <t>2008</t>
  </si>
  <si>
    <t>Kalyanpur</t>
  </si>
  <si>
    <t>Own BMC</t>
  </si>
  <si>
    <t>Service Provider BMC</t>
  </si>
  <si>
    <t>Total</t>
  </si>
  <si>
    <t>Kalyanpur Bmc</t>
  </si>
  <si>
    <t>B027</t>
  </si>
  <si>
    <t>Mondalgram</t>
  </si>
  <si>
    <t>Challan Missing</t>
  </si>
  <si>
    <t>Milk reject</t>
  </si>
  <si>
    <t>Out Side sell</t>
  </si>
  <si>
    <t>Alauli Bmc</t>
  </si>
  <si>
    <t>Alauli</t>
  </si>
  <si>
    <t>1001</t>
  </si>
  <si>
    <t>1011</t>
  </si>
  <si>
    <t>1012</t>
  </si>
  <si>
    <t>1013</t>
  </si>
  <si>
    <t>1014</t>
  </si>
  <si>
    <t>1002</t>
  </si>
  <si>
    <t>1003</t>
  </si>
  <si>
    <t xml:space="preserve">1006 </t>
  </si>
  <si>
    <t>1007</t>
  </si>
  <si>
    <t>1008</t>
  </si>
  <si>
    <t>1009</t>
  </si>
  <si>
    <t>1054</t>
  </si>
  <si>
    <t>1053</t>
  </si>
  <si>
    <t>B028</t>
  </si>
  <si>
    <t>Bachra</t>
  </si>
  <si>
    <t>2009</t>
  </si>
  <si>
    <t>Chanho</t>
  </si>
  <si>
    <t>1048</t>
  </si>
  <si>
    <t>1056</t>
  </si>
  <si>
    <t>Chautham Bmc</t>
  </si>
  <si>
    <t>Chautham</t>
  </si>
  <si>
    <t>Mathani Bmc</t>
  </si>
  <si>
    <t>1055</t>
  </si>
  <si>
    <t>B029</t>
  </si>
  <si>
    <t>Joyrampur</t>
  </si>
  <si>
    <t>B026</t>
  </si>
  <si>
    <t>Deulpara</t>
  </si>
  <si>
    <t>B030</t>
  </si>
  <si>
    <t>Natungram</t>
  </si>
  <si>
    <t>1057</t>
  </si>
  <si>
    <t>Warisnagar</t>
  </si>
  <si>
    <t>Warisnagar Bmc</t>
  </si>
  <si>
    <t>1058</t>
  </si>
  <si>
    <t>Hasanpur</t>
  </si>
  <si>
    <t>1010</t>
  </si>
  <si>
    <t>Parbatta</t>
  </si>
  <si>
    <t>1059</t>
  </si>
  <si>
    <t>Gopalpur </t>
  </si>
  <si>
    <t>Hasanpur Bmc</t>
  </si>
  <si>
    <t>Parbatta Bmc</t>
  </si>
  <si>
    <t>Gopalpur Bmc</t>
  </si>
  <si>
    <t>B031</t>
  </si>
  <si>
    <t>kandi</t>
  </si>
  <si>
    <t>Matihani</t>
  </si>
  <si>
    <t>Singhia </t>
  </si>
  <si>
    <t>SInghia Bmc</t>
  </si>
  <si>
    <t>1064</t>
  </si>
  <si>
    <t>Mahua Bmc</t>
  </si>
  <si>
    <t>Bachhwara Bmc</t>
  </si>
  <si>
    <t>Bachhwara</t>
  </si>
  <si>
    <t>Mahua</t>
  </si>
  <si>
    <t>0</t>
  </si>
  <si>
    <t>5239</t>
  </si>
  <si>
    <t>7181</t>
  </si>
  <si>
    <t>9071</t>
  </si>
  <si>
    <t>6545</t>
  </si>
  <si>
    <t>B032</t>
  </si>
  <si>
    <t>Negun</t>
  </si>
  <si>
    <t>3461</t>
  </si>
  <si>
    <t>Gaighat</t>
  </si>
  <si>
    <t>5848</t>
  </si>
  <si>
    <t xml:space="preserve">Munger </t>
  </si>
  <si>
    <t>Arariya</t>
  </si>
  <si>
    <t>8086</t>
  </si>
  <si>
    <t>00</t>
  </si>
  <si>
    <t>Hajipur</t>
  </si>
  <si>
    <t>Itc munger</t>
  </si>
  <si>
    <t>Mahdatpur</t>
  </si>
  <si>
    <t>Munger</t>
  </si>
  <si>
    <t>Singhiya</t>
  </si>
  <si>
    <t>2950</t>
  </si>
  <si>
    <t>Muzaffarpur</t>
  </si>
  <si>
    <t>itc munger</t>
  </si>
  <si>
    <t>1842</t>
  </si>
  <si>
    <t>Kaliyanpur</t>
  </si>
  <si>
    <t>0111</t>
  </si>
  <si>
    <t>7770</t>
  </si>
  <si>
    <t>Mahuwa</t>
  </si>
  <si>
    <t>3542</t>
  </si>
  <si>
    <t>7035</t>
  </si>
  <si>
    <t>0150</t>
  </si>
  <si>
    <t>9812</t>
  </si>
  <si>
    <t>6160</t>
  </si>
  <si>
    <t>0807</t>
  </si>
  <si>
    <t>1500</t>
  </si>
  <si>
    <t>Gaya</t>
  </si>
  <si>
    <t>4974</t>
  </si>
  <si>
    <t>Sonversa</t>
  </si>
  <si>
    <t>Gopalpur</t>
  </si>
  <si>
    <t>0316</t>
  </si>
  <si>
    <t>8528</t>
  </si>
  <si>
    <t>8581</t>
  </si>
  <si>
    <t>1946</t>
  </si>
  <si>
    <t>0906</t>
  </si>
  <si>
    <t>5337</t>
  </si>
  <si>
    <t>Rosera Bmc</t>
  </si>
  <si>
    <t>Rosera</t>
  </si>
  <si>
    <t>7181/6102</t>
  </si>
  <si>
    <t>87688</t>
  </si>
  <si>
    <t>87875</t>
  </si>
  <si>
    <t>86982</t>
  </si>
  <si>
    <t>81258</t>
  </si>
  <si>
    <t>81259</t>
  </si>
  <si>
    <t>87086</t>
  </si>
  <si>
    <t>87087</t>
  </si>
  <si>
    <t>5239/7181/80374,75</t>
  </si>
  <si>
    <t>86410/86411</t>
  </si>
  <si>
    <t>86412</t>
  </si>
  <si>
    <t>86376</t>
  </si>
  <si>
    <t>86617</t>
  </si>
  <si>
    <t>88466</t>
  </si>
  <si>
    <t>85284</t>
  </si>
  <si>
    <t>85285</t>
  </si>
  <si>
    <t>89067</t>
  </si>
  <si>
    <t>89068</t>
  </si>
  <si>
    <t>88932</t>
  </si>
  <si>
    <t>85154</t>
  </si>
  <si>
    <t>85156</t>
  </si>
  <si>
    <t>87976</t>
  </si>
  <si>
    <t>71681</t>
  </si>
  <si>
    <t>71682</t>
  </si>
  <si>
    <t>87158</t>
  </si>
  <si>
    <t>87159</t>
  </si>
  <si>
    <t>87160</t>
  </si>
  <si>
    <t>87317</t>
  </si>
  <si>
    <t>87318</t>
  </si>
  <si>
    <t>69476</t>
  </si>
  <si>
    <t>Itc Munger</t>
  </si>
  <si>
    <t>36539</t>
  </si>
  <si>
    <t>36540</t>
  </si>
  <si>
    <t>83402</t>
  </si>
  <si>
    <t>83403</t>
  </si>
  <si>
    <t>85475</t>
  </si>
  <si>
    <t>8581/85475</t>
  </si>
  <si>
    <t>86509</t>
  </si>
  <si>
    <t xml:space="preserve">Chautham </t>
  </si>
  <si>
    <t>86510</t>
  </si>
  <si>
    <t>8581/8086</t>
  </si>
  <si>
    <t>86511/86512</t>
  </si>
  <si>
    <t>Munger/Chautham</t>
  </si>
  <si>
    <t>62047</t>
  </si>
  <si>
    <t>64671</t>
  </si>
  <si>
    <t>62048</t>
  </si>
  <si>
    <t>86378</t>
  </si>
  <si>
    <t>Skamal</t>
  </si>
  <si>
    <t>86377</t>
  </si>
  <si>
    <t>86379</t>
  </si>
  <si>
    <t>89391</t>
  </si>
  <si>
    <t>86618</t>
  </si>
  <si>
    <t>86619</t>
  </si>
  <si>
    <t>88467</t>
  </si>
  <si>
    <t>89069</t>
  </si>
  <si>
    <t>89070</t>
  </si>
  <si>
    <t>9071/7770</t>
  </si>
  <si>
    <t>88933/88934</t>
  </si>
  <si>
    <t>88805</t>
  </si>
  <si>
    <t>Warishnagar</t>
  </si>
  <si>
    <t>85157</t>
  </si>
  <si>
    <t>85158</t>
  </si>
  <si>
    <t>87977</t>
  </si>
  <si>
    <t>71683</t>
  </si>
  <si>
    <t>71684</t>
  </si>
  <si>
    <t>87161</t>
  </si>
  <si>
    <t>87162</t>
  </si>
  <si>
    <t>87163</t>
  </si>
  <si>
    <t>87165</t>
  </si>
  <si>
    <t>87166</t>
  </si>
  <si>
    <t>36541</t>
  </si>
  <si>
    <t>36542</t>
  </si>
  <si>
    <t>36543</t>
  </si>
  <si>
    <t>83405</t>
  </si>
  <si>
    <t>76276</t>
  </si>
  <si>
    <t>76277</t>
  </si>
  <si>
    <t>86576</t>
  </si>
  <si>
    <t>86984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</si>
  <si>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</si>
  <si>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</si>
  <si>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</si>
  <si>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</si>
  <si>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</si>
  <si>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</si>
  <si>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</si>
  <si>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</si>
  <si>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Singhiya/Bachhwara</t>
  </si>
  <si>
    <t>87697/89392</t>
  </si>
  <si>
    <t>singhiya</t>
  </si>
  <si>
    <t>87698</t>
  </si>
  <si>
    <t>87501</t>
  </si>
  <si>
    <t>87504</t>
  </si>
  <si>
    <t>Muzaffurpur</t>
  </si>
  <si>
    <t>87506</t>
  </si>
  <si>
    <t>87507</t>
  </si>
  <si>
    <t>87697</t>
  </si>
  <si>
    <t>7181/86378</t>
  </si>
  <si>
    <t>5239/86379</t>
  </si>
  <si>
    <t>6102</t>
  </si>
  <si>
    <t>86417</t>
  </si>
  <si>
    <t>86418/86419</t>
  </si>
  <si>
    <t>Hajipur/Muzaffarpur</t>
  </si>
  <si>
    <t>86420</t>
  </si>
  <si>
    <t>86421</t>
  </si>
  <si>
    <t>86422</t>
  </si>
  <si>
    <t>89392</t>
  </si>
  <si>
    <t>86620</t>
  </si>
  <si>
    <t>88468</t>
  </si>
  <si>
    <t>88470</t>
  </si>
  <si>
    <t>85286</t>
  </si>
  <si>
    <t>85287</t>
  </si>
  <si>
    <t>85288</t>
  </si>
  <si>
    <t>Simari</t>
  </si>
  <si>
    <t>85289</t>
  </si>
  <si>
    <t>85290</t>
  </si>
  <si>
    <t>89071</t>
  </si>
  <si>
    <t>88935</t>
  </si>
  <si>
    <t>88936</t>
  </si>
  <si>
    <t>88938</t>
  </si>
  <si>
    <t>88806</t>
  </si>
  <si>
    <t>85159</t>
  </si>
  <si>
    <t>85160</t>
  </si>
  <si>
    <t>87978</t>
  </si>
  <si>
    <t>87980</t>
  </si>
  <si>
    <t>71685</t>
  </si>
  <si>
    <t>87319</t>
  </si>
  <si>
    <t>6263</t>
  </si>
  <si>
    <t>87173</t>
  </si>
  <si>
    <t>87320</t>
  </si>
  <si>
    <t>87172</t>
  </si>
  <si>
    <t>69477</t>
  </si>
  <si>
    <t>69478</t>
  </si>
  <si>
    <t>69479</t>
  </si>
  <si>
    <t>36544</t>
  </si>
  <si>
    <t>76279</t>
  </si>
  <si>
    <t>76280</t>
  </si>
  <si>
    <t>8581/86576</t>
  </si>
  <si>
    <t>86513</t>
  </si>
  <si>
    <t>86514</t>
  </si>
  <si>
    <t>86515</t>
  </si>
  <si>
    <t>86516</t>
  </si>
  <si>
    <t>86517</t>
  </si>
  <si>
    <t>86518</t>
  </si>
  <si>
    <t>86985</t>
  </si>
  <si>
    <t>86986</t>
  </si>
  <si>
    <t>86987</t>
  </si>
  <si>
    <t>86988</t>
  </si>
  <si>
    <t>64672</t>
  </si>
  <si>
    <t>62049</t>
  </si>
  <si>
    <t>86380</t>
  </si>
  <si>
    <t>86381/Route Vechile</t>
  </si>
  <si>
    <t>Muzaffarpur/skamal</t>
  </si>
  <si>
    <t>88471</t>
  </si>
  <si>
    <t>Report till updated  08th July 26</t>
  </si>
  <si>
    <t>Report till updated  09th July 26</t>
  </si>
  <si>
    <t>86989</t>
  </si>
  <si>
    <t>81260</t>
  </si>
  <si>
    <t>81261</t>
  </si>
  <si>
    <t>Manjhaul</t>
  </si>
  <si>
    <t>81262</t>
  </si>
  <si>
    <t>81263</t>
  </si>
  <si>
    <t>81264</t>
  </si>
  <si>
    <t>81265</t>
  </si>
  <si>
    <t>81266</t>
  </si>
  <si>
    <t>8581/86577</t>
  </si>
  <si>
    <t>86519</t>
  </si>
  <si>
    <t>86520</t>
  </si>
  <si>
    <t>86521</t>
  </si>
  <si>
    <t>86522</t>
  </si>
  <si>
    <t>5848/8086</t>
  </si>
  <si>
    <t>86523/524</t>
  </si>
  <si>
    <t>87699</t>
  </si>
  <si>
    <t>87508</t>
  </si>
  <si>
    <t>Route vechile</t>
  </si>
  <si>
    <t>86423</t>
  </si>
  <si>
    <t>86424</t>
  </si>
  <si>
    <t>86425</t>
  </si>
  <si>
    <t>86428</t>
  </si>
  <si>
    <t>86382</t>
  </si>
  <si>
    <t>86621</t>
  </si>
  <si>
    <t>88472</t>
  </si>
  <si>
    <t>85292</t>
  </si>
  <si>
    <t>89073</t>
  </si>
  <si>
    <t>88939</t>
  </si>
  <si>
    <t>88751</t>
  </si>
  <si>
    <t>85161</t>
  </si>
  <si>
    <t>71686</t>
  </si>
  <si>
    <t>87167</t>
  </si>
  <si>
    <t>6160/9812</t>
  </si>
  <si>
    <t>87168/87325</t>
  </si>
  <si>
    <t>87169</t>
  </si>
  <si>
    <t>87170</t>
  </si>
  <si>
    <t>87451</t>
  </si>
  <si>
    <t>87321</t>
  </si>
  <si>
    <t>87322</t>
  </si>
  <si>
    <t>87171</t>
  </si>
  <si>
    <t>87323</t>
  </si>
  <si>
    <t>87324</t>
  </si>
  <si>
    <t>88051</t>
  </si>
  <si>
    <t>1812</t>
  </si>
  <si>
    <t>69480</t>
  </si>
  <si>
    <t>36545</t>
  </si>
  <si>
    <t>36546</t>
  </si>
  <si>
    <t>76281</t>
  </si>
  <si>
    <t>76282</t>
  </si>
  <si>
    <t>0316/4974</t>
  </si>
  <si>
    <t>76283/76284</t>
  </si>
  <si>
    <t>86577</t>
  </si>
  <si>
    <t>62050</t>
  </si>
  <si>
    <t>64673</t>
  </si>
  <si>
    <t>70876</t>
  </si>
  <si>
    <t>64674</t>
  </si>
  <si>
    <t>70877</t>
  </si>
  <si>
    <t>64675</t>
  </si>
  <si>
    <t>Report till updated  11th July 26</t>
  </si>
  <si>
    <t>Report till updated  10th July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</si>
</sst>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7"/>
      <color rgb="FF607188"/>
      <name val="Poppins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1F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64" fontId="7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2" xfId="0" quotePrefix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166" fontId="0" fillId="4" borderId="5" xfId="0" applyNumberFormat="1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1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5" xfId="0" applyNumberFormat="1" applyFill="1" applyBorder="1" applyAlignment="1" applyProtection="1">
      <alignment horizontal="center" vertical="center"/>
      <protection locked="0"/>
    </xf>
    <xf numFmtId="2" fontId="0" fillId="6" borderId="19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8" xfId="0" applyNumberFormat="1" applyFill="1" applyBorder="1" applyAlignment="1" applyProtection="1">
      <alignment horizontal="center" vertical="center"/>
      <protection locked="0"/>
    </xf>
    <xf numFmtId="167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>
      <alignment horizontal="center" vertical="center"/>
    </xf>
    <xf numFmtId="167" fontId="2" fillId="0" borderId="5" xfId="0" applyNumberFormat="1" applyFont="1" applyBorder="1"/>
    <xf numFmtId="167" fontId="2" fillId="0" borderId="6" xfId="0" applyNumberFormat="1" applyFont="1" applyBorder="1"/>
    <xf numFmtId="168" fontId="0" fillId="0" borderId="6" xfId="2" applyNumberFormat="1" applyFont="1" applyBorder="1" applyAlignment="1">
      <alignment horizontal="right"/>
    </xf>
    <xf numFmtId="169" fontId="2" fillId="0" borderId="8" xfId="1" applyNumberFormat="1" applyFont="1" applyBorder="1"/>
    <xf numFmtId="2" fontId="0" fillId="0" borderId="0" xfId="0" applyNumberFormat="1"/>
    <xf numFmtId="49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/>
    <xf numFmtId="167" fontId="0" fillId="0" borderId="5" xfId="0" applyNumberFormat="1" applyBorder="1"/>
    <xf numFmtId="2" fontId="0" fillId="9" borderId="5" xfId="0" applyNumberForma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2" fontId="0" fillId="9" borderId="6" xfId="0" applyNumberForma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2" fontId="0" fillId="5" borderId="6" xfId="0" applyNumberFormat="1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0" xfId="0" applyNumberFormat="1"/>
    <xf numFmtId="1" fontId="0" fillId="0" borderId="6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167" fontId="0" fillId="10" borderId="20" xfId="0" applyNumberFormat="1" applyFill="1" applyBorder="1"/>
    <xf numFmtId="0" fontId="0" fillId="0" borderId="21" xfId="0" applyBorder="1"/>
    <xf numFmtId="169" fontId="9" fillId="0" borderId="22" xfId="1" applyNumberFormat="1" applyFont="1" applyBorder="1"/>
    <xf numFmtId="167" fontId="0" fillId="0" borderId="5" xfId="0" applyNumberFormat="1" applyBorder="1" applyAlignment="1" applyProtection="1">
      <alignment horizontal="center" vertical="center"/>
      <protection locked="0"/>
    </xf>
    <xf numFmtId="169" fontId="0" fillId="0" borderId="0" xfId="0" applyNumberFormat="1"/>
    <xf numFmtId="21" fontId="0" fillId="0" borderId="6" xfId="0" applyNumberForma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" fontId="11" fillId="5" borderId="5" xfId="0" applyNumberFormat="1" applyFont="1" applyFill="1" applyBorder="1" applyAlignment="1" applyProtection="1">
      <alignment horizontal="center" vertical="center"/>
      <protection locked="0"/>
    </xf>
    <xf numFmtId="2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6" xfId="0" applyNumberFormat="1" applyFont="1" applyBorder="1" applyAlignment="1" applyProtection="1">
      <alignment horizontal="center" vertical="center"/>
      <protection locked="0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1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" fontId="0" fillId="12" borderId="5" xfId="0" applyNumberFormat="1" applyFill="1" applyBorder="1" applyAlignment="1" applyProtection="1">
      <alignment horizontal="center" vertical="center"/>
      <protection locked="0"/>
    </xf>
    <xf numFmtId="2" fontId="0" fillId="12" borderId="6" xfId="0" applyNumberFormat="1" applyFill="1" applyBorder="1" applyAlignment="1" applyProtection="1">
      <alignment horizontal="center" vertical="center"/>
      <protection locked="0"/>
    </xf>
    <xf numFmtId="167" fontId="0" fillId="9" borderId="5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4" borderId="8" xfId="0" applyFont="1" applyFill="1" applyBorder="1" applyAlignment="1">
      <alignment horizontal="center" vertical="top"/>
    </xf>
    <xf numFmtId="1" fontId="11" fillId="7" borderId="6" xfId="0" applyNumberFormat="1" applyFont="1" applyFill="1" applyBorder="1" applyAlignment="1" applyProtection="1">
      <alignment horizontal="center" vertical="center"/>
      <protection locked="0"/>
    </xf>
    <xf numFmtId="2" fontId="11" fillId="7" borderId="6" xfId="0" applyNumberFormat="1" applyFont="1" applyFill="1" applyBorder="1" applyAlignment="1" applyProtection="1">
      <alignment horizontal="center" vertical="center"/>
      <protection locked="0"/>
    </xf>
    <xf numFmtId="168" fontId="1" fillId="0" borderId="6" xfId="2" applyNumberFormat="1" applyFont="1" applyBorder="1" applyAlignment="1">
      <alignment horizontal="right"/>
    </xf>
    <xf numFmtId="169" fontId="1" fillId="0" borderId="8" xfId="1" applyNumberFormat="1" applyFont="1" applyBorder="1"/>
    <xf numFmtId="1" fontId="0" fillId="11" borderId="0" xfId="0" applyNumberFormat="1" applyFill="1"/>
    <xf numFmtId="2" fontId="0" fillId="0" borderId="23" xfId="0" applyNumberFormat="1" applyBorder="1" applyAlignment="1" applyProtection="1">
      <alignment horizontal="center" vertical="center"/>
      <protection locked="0"/>
    </xf>
    <xf numFmtId="167" fontId="0" fillId="13" borderId="5" xfId="0" applyNumberFormat="1" applyFill="1" applyBorder="1" applyAlignment="1" applyProtection="1">
      <alignment horizontal="center" vertical="center" wrapText="1"/>
      <protection locked="0"/>
    </xf>
    <xf numFmtId="167" fontId="0" fillId="13" borderId="6" xfId="0" applyNumberFormat="1" applyFill="1" applyBorder="1" applyAlignment="1">
      <alignment horizontal="center" vertical="center"/>
    </xf>
    <xf numFmtId="2" fontId="0" fillId="13" borderId="6" xfId="0" applyNumberForma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167" fontId="0" fillId="13" borderId="6" xfId="0" applyNumberFormat="1" applyFill="1" applyBorder="1" applyAlignment="1" applyProtection="1">
      <alignment horizontal="center" vertical="center" wrapText="1"/>
      <protection locked="0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0" xfId="0" applyNumberFormat="1" applyBorder="1"/>
    <xf numFmtId="167" fontId="2" fillId="0" borderId="0" xfId="0" applyNumberFormat="1" applyFont="1"/>
    <xf numFmtId="167" fontId="2" fillId="10" borderId="20" xfId="0" applyNumberFormat="1" applyFont="1" applyFill="1" applyBorder="1"/>
    <xf numFmtId="16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6" fontId="6" fillId="3" borderId="25" xfId="0" applyNumberFormat="1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1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27" xfId="0" applyNumberFormat="1" applyFont="1" applyBorder="1" applyAlignment="1" applyProtection="1">
      <alignment horizontal="center" vertical="center"/>
      <protection locked="0"/>
    </xf>
    <xf numFmtId="2" fontId="11" fillId="0" borderId="27" xfId="0" applyNumberFormat="1" applyFont="1" applyBorder="1" applyAlignment="1" applyProtection="1">
      <alignment horizontal="center" vertical="center"/>
      <protection locked="0"/>
    </xf>
    <xf numFmtId="1" fontId="11" fillId="7" borderId="27" xfId="0" applyNumberFormat="1" applyFont="1" applyFill="1" applyBorder="1" applyAlignment="1" applyProtection="1">
      <alignment horizontal="center" vertical="center"/>
      <protection locked="0"/>
    </xf>
    <xf numFmtId="2" fontId="11" fillId="7" borderId="27" xfId="0" applyNumberFormat="1" applyFont="1" applyFill="1" applyBorder="1" applyAlignment="1" applyProtection="1">
      <alignment horizontal="center" vertical="center"/>
      <protection locked="0"/>
    </xf>
    <xf numFmtId="1" fontId="11" fillId="0" borderId="26" xfId="0" applyNumberFormat="1" applyFont="1" applyBorder="1" applyAlignment="1" applyProtection="1">
      <alignment horizontal="center" vertical="center"/>
      <protection locked="0"/>
    </xf>
    <xf numFmtId="2" fontId="0" fillId="5" borderId="7" xfId="0" applyNumberFormat="1" applyFill="1" applyBorder="1" applyAlignment="1">
      <alignment horizontal="center" vertical="center"/>
    </xf>
    <xf numFmtId="167" fontId="0" fillId="13" borderId="26" xfId="0" applyNumberFormat="1" applyFill="1" applyBorder="1" applyAlignment="1" applyProtection="1">
      <alignment horizontal="center" vertical="center" wrapText="1"/>
      <protection locked="0"/>
    </xf>
    <xf numFmtId="167" fontId="0" fillId="13" borderId="27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 applyProtection="1">
      <alignment horizontal="center" vertical="center"/>
      <protection locked="0"/>
    </xf>
    <xf numFmtId="2" fontId="0" fillId="13" borderId="28" xfId="0" applyNumberFormat="1" applyFill="1" applyBorder="1" applyAlignment="1" applyProtection="1">
      <alignment horizontal="center" vertical="center"/>
      <protection locked="0"/>
    </xf>
    <xf numFmtId="167" fontId="0" fillId="13" borderId="27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6" fillId="0" borderId="29" xfId="0" applyFont="1" applyBorder="1"/>
    <xf numFmtId="2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6" xfId="0" applyNumberFormat="1" applyFont="1" applyBorder="1" applyAlignment="1" applyProtection="1">
      <alignment horizontal="center" vertical="center"/>
      <protection locked="0"/>
    </xf>
    <xf numFmtId="167" fontId="6" fillId="13" borderId="5" xfId="0" applyNumberFormat="1" applyFont="1" applyFill="1" applyBorder="1" applyAlignment="1" applyProtection="1">
      <alignment horizontal="center" vertical="center" wrapText="1"/>
      <protection locked="0"/>
    </xf>
    <xf numFmtId="167" fontId="6" fillId="13" borderId="6" xfId="0" applyNumberFormat="1" applyFont="1" applyFill="1" applyBorder="1" applyAlignment="1">
      <alignment horizontal="center" vertical="center"/>
    </xf>
    <xf numFmtId="2" fontId="6" fillId="13" borderId="6" xfId="0" applyNumberFormat="1" applyFont="1" applyFill="1" applyBorder="1" applyAlignment="1" applyProtection="1">
      <alignment horizontal="center" vertical="center"/>
      <protection locked="0"/>
    </xf>
    <xf numFmtId="2" fontId="6" fillId="13" borderId="7" xfId="0" applyNumberFormat="1" applyFont="1" applyFill="1" applyBorder="1" applyAlignment="1" applyProtection="1">
      <alignment horizontal="center" vertical="center"/>
      <protection locked="0"/>
    </xf>
    <xf numFmtId="2" fontId="6" fillId="6" borderId="19" xfId="0" applyNumberFormat="1" applyFont="1" applyFill="1" applyBorder="1" applyAlignment="1" applyProtection="1">
      <alignment horizontal="center" vertical="center"/>
      <protection locked="0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1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1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>
      <alignment horizontal="center" vertical="center"/>
    </xf>
    <xf numFmtId="167" fontId="6" fillId="0" borderId="5" xfId="0" applyNumberFormat="1" applyFont="1" applyBorder="1"/>
    <xf numFmtId="167" fontId="6" fillId="0" borderId="6" xfId="0" applyNumberFormat="1" applyFont="1" applyBorder="1"/>
    <xf numFmtId="168" fontId="6" fillId="0" borderId="6" xfId="2" applyNumberFormat="1" applyFont="1" applyBorder="1" applyAlignment="1">
      <alignment horizontal="right"/>
    </xf>
    <xf numFmtId="1" fontId="6" fillId="0" borderId="0" xfId="0" applyNumberFormat="1" applyFont="1"/>
    <xf numFmtId="167" fontId="6" fillId="0" borderId="5" xfId="0" applyNumberFormat="1" applyFont="1" applyBorder="1" applyAlignment="1" applyProtection="1">
      <alignment horizontal="center" vertical="center"/>
      <protection locked="0"/>
    </xf>
    <xf numFmtId="167" fontId="6" fillId="0" borderId="6" xfId="0" applyNumberFormat="1" applyFont="1" applyBorder="1" applyAlignment="1">
      <alignment horizontal="center" vertical="center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23" xfId="0" applyNumberFormat="1" applyFont="1" applyBorder="1" applyAlignment="1" applyProtection="1">
      <alignment horizontal="center" vertical="center"/>
      <protection locked="0"/>
    </xf>
    <xf numFmtId="2" fontId="6" fillId="9" borderId="6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4" fontId="6" fillId="0" borderId="0" xfId="0" applyNumberFormat="1" applyFont="1"/>
    <xf numFmtId="167" fontId="6" fillId="0" borderId="0" xfId="0" applyNumberFormat="1" applyFont="1"/>
    <xf numFmtId="2" fontId="0" fillId="6" borderId="19" xfId="0" quotePrefix="1" applyNumberFormat="1" applyFill="1" applyBorder="1" applyAlignment="1" applyProtection="1">
      <alignment horizontal="center" vertical="center"/>
      <protection locked="0"/>
    </xf>
    <xf numFmtId="2" fontId="0" fillId="13" borderId="8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5" xfId="0" applyNumberFormat="1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0" fillId="15" borderId="6" xfId="0" applyNumberFormat="1" applyFill="1" applyBorder="1" applyAlignment="1" applyProtection="1">
      <alignment horizontal="center" vertical="center"/>
      <protection locked="0"/>
    </xf>
    <xf numFmtId="2" fontId="0" fillId="13" borderId="5" xfId="0" applyNumberFormat="1" applyFill="1" applyBorder="1" applyAlignment="1" applyProtection="1">
      <alignment horizontal="center" vertical="center" wrapText="1"/>
      <protection locked="0"/>
    </xf>
    <xf numFmtId="2" fontId="0" fillId="13" borderId="6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67" fontId="0" fillId="0" borderId="6" xfId="0" applyNumberFormat="1" applyBorder="1" applyAlignment="1" applyProtection="1">
      <alignment horizontal="center" vertical="center"/>
      <protection locked="0"/>
    </xf>
    <xf numFmtId="0" fontId="17" fillId="16" borderId="36" xfId="0" applyFont="1" applyFill="1" applyBorder="1" applyAlignment="1">
      <alignment vertical="center"/>
    </xf>
    <xf numFmtId="2" fontId="0" fillId="13" borderId="0" xfId="0" applyNumberFormat="1" applyFill="1" applyAlignment="1" applyProtection="1">
      <alignment horizontal="center" vertical="center"/>
      <protection locked="0"/>
    </xf>
    <xf numFmtId="2" fontId="0" fillId="6" borderId="0" xfId="0" applyNumberFormat="1" applyFill="1" applyAlignment="1" applyProtection="1">
      <alignment horizontal="center" vertical="center"/>
      <protection locked="0"/>
    </xf>
    <xf numFmtId="1" fontId="6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2" borderId="16" xfId="0" quotePrefix="1" applyFont="1" applyFill="1" applyBorder="1" applyAlignment="1">
      <alignment horizontal="center" vertical="center" wrapText="1"/>
    </xf>
    <xf numFmtId="0" fontId="3" fillId="2" borderId="17" xfId="0" quotePrefix="1" applyFon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0" fontId="3" fillId="2" borderId="11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0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0" fontId="0" fillId="4" borderId="32" xfId="0" applyFill="1" applyBorder="1" applyAlignment="1">
      <alignment horizontal="center" vertical="top"/>
    </xf>
    <xf numFmtId="0" fontId="10" fillId="4" borderId="3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31" xfId="0" applyFill="1" applyBorder="1" applyAlignment="1">
      <alignment horizontal="center"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/>
    </xf>
    <xf numFmtId="0" fontId="6" fillId="3" borderId="25" xfId="0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/>
    </xf>
    <xf numFmtId="15" fontId="6" fillId="0" borderId="6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/>
    </xf>
    <xf numFmtId="15" fontId="6" fillId="0" borderId="10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59"/>
  <sheetViews>
    <sheetView tabSelected="1" topLeftCell="A5" zoomScale="91" zoomScaleNormal="91" workbookViewId="0">
      <selection activeCell="Z20" sqref="Z20"/>
    </sheetView>
  </sheetViews>
  <sheetFormatPr defaultColWidth="8.7109375" defaultRowHeight="15" x14ac:dyDescent="0.25"/>
  <cols>
    <col min="1" max="1" width="8.7109375" style="1"/>
    <col min="2" max="2" width="12.42578125" style="1" bestFit="1" customWidth="1"/>
    <col min="3" max="3" width="9" style="1" customWidth="1"/>
    <col min="4" max="4" width="9.42578125" style="1" bestFit="1" customWidth="1"/>
    <col min="5" max="5" width="5.42578125" style="1" bestFit="1" customWidth="1"/>
    <col min="6" max="6" width="14.7109375" style="1" bestFit="1" customWidth="1"/>
    <col min="7" max="7" width="11.140625" style="1" bestFit="1" customWidth="1"/>
    <col min="8" max="8" width="7.140625" style="1" customWidth="1"/>
    <col min="9" max="9" width="6.140625" style="1" bestFit="1" customWidth="1"/>
    <col min="10" max="10" width="8.42578125" style="1" customWidth="1"/>
    <col min="11" max="11" width="8" style="1" hidden="1" customWidth="1"/>
    <col min="12" max="12" width="8.140625" style="1" hidden="1" customWidth="1"/>
    <col min="13" max="13" width="9.140625" style="1" bestFit="1" customWidth="1"/>
    <col min="14" max="14" width="14" style="1" bestFit="1" customWidth="1"/>
    <col min="15" max="15" width="18" style="1" bestFit="1" customWidth="1"/>
    <col min="16" max="16" width="28.5703125" style="1" bestFit="1" customWidth="1"/>
    <col min="17" max="17" width="8.7109375" style="1"/>
    <col min="18" max="19" width="0" style="1" hidden="1" customWidth="1"/>
    <col min="20" max="20" width="15.85546875" style="1" hidden="1" customWidth="1"/>
    <col min="21" max="21" width="7.7109375" style="1" customWidth="1"/>
    <col min="22" max="22" width="14.5703125" style="1" bestFit="1" customWidth="1"/>
    <col min="23" max="23" width="7.7109375" style="1" customWidth="1"/>
    <col min="24" max="24" width="10.28515625" style="1" bestFit="1" customWidth="1"/>
    <col min="25" max="25" width="7.7109375" style="1" customWidth="1"/>
    <col min="26" max="26" width="12" style="1" bestFit="1" customWidth="1"/>
    <col min="27" max="16384" width="8.7109375" style="1"/>
  </cols>
  <sheetData>
    <row r="1" spans="3:26" ht="15.75" thickBot="1" x14ac:dyDescent="0.3"/>
    <row r="2" spans="3:26" x14ac:dyDescent="0.25">
      <c r="C2" s="219" t="s">
        <v>0</v>
      </c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1"/>
      <c r="P2" s="222"/>
    </row>
    <row r="3" spans="3:26" x14ac:dyDescent="0.25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  <c r="P3" s="5" t="s">
        <v>14</v>
      </c>
    </row>
    <row r="4" spans="3:26" x14ac:dyDescent="0.25">
      <c r="C4" s="6" t="s">
        <v>15</v>
      </c>
      <c r="D4" s="7" t="s">
        <v>16</v>
      </c>
      <c r="E4" s="7" t="s">
        <v>116</v>
      </c>
      <c r="F4" s="8" t="s">
        <v>17</v>
      </c>
      <c r="G4" s="9">
        <f>Manjhaul!J66</f>
        <v>26816.873999999996</v>
      </c>
      <c r="H4" s="9">
        <f>+Manjhaul!AM66</f>
        <v>261.12599999999975</v>
      </c>
      <c r="I4" s="9">
        <f>+Manjhaul!AN66</f>
        <v>48.795752999999905</v>
      </c>
      <c r="J4" s="9">
        <f>+Manjhaul!AO66</f>
        <v>20.514280000000188</v>
      </c>
      <c r="K4" s="11">
        <v>480.53254642564531</v>
      </c>
      <c r="L4" s="11">
        <v>299.49109748895779</v>
      </c>
      <c r="M4" s="12">
        <f>I4*K4+J4*L4</f>
        <v>29591.79167524261</v>
      </c>
      <c r="N4" s="13">
        <f t="shared" ref="N4:N13" si="0">M4/G4</f>
        <v>1.1034765526825616</v>
      </c>
      <c r="O4" s="14">
        <v>46212</v>
      </c>
      <c r="P4" s="15" t="s">
        <v>367</v>
      </c>
      <c r="U4" s="223" t="s">
        <v>14</v>
      </c>
      <c r="V4" s="223"/>
      <c r="W4" s="223"/>
      <c r="X4" s="223"/>
      <c r="Y4" s="223"/>
      <c r="Z4" s="223"/>
    </row>
    <row r="5" spans="3:26" x14ac:dyDescent="0.25">
      <c r="C5" s="6" t="s">
        <v>15</v>
      </c>
      <c r="D5" s="7" t="s">
        <v>16</v>
      </c>
      <c r="E5" s="7" t="s">
        <v>148</v>
      </c>
      <c r="F5" s="8" t="s">
        <v>149</v>
      </c>
      <c r="G5" s="9">
        <f>Hasanpur!J66</f>
        <v>14494.705900000001</v>
      </c>
      <c r="H5" s="9">
        <f>+Hasanpur!AM66</f>
        <v>674.29410000000007</v>
      </c>
      <c r="I5" s="9">
        <f>+Hasanpur!AN66</f>
        <v>15.997695999999834</v>
      </c>
      <c r="J5" s="9">
        <f>+Hasanpur!AO66</f>
        <v>34.055124799999838</v>
      </c>
      <c r="K5" s="11">
        <v>480.53254642564531</v>
      </c>
      <c r="L5" s="11">
        <v>299.49109748895779</v>
      </c>
      <c r="M5" s="12">
        <f t="shared" ref="M5:M16" si="1">I5*K5+J5*L5</f>
        <v>17886.620297298658</v>
      </c>
      <c r="N5" s="13">
        <f t="shared" ref="N5" si="2">M5/G5</f>
        <v>1.234010570528282</v>
      </c>
      <c r="O5" s="14">
        <v>46212</v>
      </c>
      <c r="P5" s="15" t="s">
        <v>367</v>
      </c>
      <c r="U5" s="196"/>
      <c r="V5" s="199" t="s">
        <v>111</v>
      </c>
      <c r="W5" s="197"/>
      <c r="X5" s="199" t="s">
        <v>112</v>
      </c>
      <c r="Y5" s="198"/>
      <c r="Z5" s="199" t="s">
        <v>113</v>
      </c>
    </row>
    <row r="6" spans="3:26" x14ac:dyDescent="0.25">
      <c r="C6" s="6" t="s">
        <v>15</v>
      </c>
      <c r="D6" s="7" t="s">
        <v>16</v>
      </c>
      <c r="E6" s="7" t="s">
        <v>117</v>
      </c>
      <c r="F6" s="8" t="s">
        <v>18</v>
      </c>
      <c r="G6" s="9">
        <f>+'Sahibpur Kamal'!J66</f>
        <v>88653.748000000007</v>
      </c>
      <c r="H6" s="9">
        <f>+'Sahibpur Kamal'!AM66</f>
        <v>290.25199999999677</v>
      </c>
      <c r="I6" s="9">
        <f>+'Sahibpur Kamal'!AN66</f>
        <v>61.27074299999957</v>
      </c>
      <c r="J6" s="9">
        <f>+'Sahibpur Kamal'!AO66</f>
        <v>10.267125999999706</v>
      </c>
      <c r="K6" s="11">
        <v>480.53254642564531</v>
      </c>
      <c r="L6" s="11">
        <v>299.49109748895779</v>
      </c>
      <c r="M6" s="12">
        <f t="shared" si="1"/>
        <v>32517.498988978397</v>
      </c>
      <c r="N6" s="13">
        <f>M6/G6</f>
        <v>0.36679215174273733</v>
      </c>
      <c r="O6" s="14">
        <v>46212</v>
      </c>
      <c r="P6" s="15" t="s">
        <v>367</v>
      </c>
    </row>
    <row r="7" spans="3:26" x14ac:dyDescent="0.25">
      <c r="C7" s="6" t="s">
        <v>15</v>
      </c>
      <c r="D7" s="7" t="s">
        <v>16</v>
      </c>
      <c r="E7" s="7" t="s">
        <v>117</v>
      </c>
      <c r="F7" s="8" t="s">
        <v>165</v>
      </c>
      <c r="G7" s="9">
        <f>+Bachhwara!J66</f>
        <v>7173.7439999999997</v>
      </c>
      <c r="H7" s="9">
        <f>+Bachhwara!AM66</f>
        <v>48.256000000000029</v>
      </c>
      <c r="I7" s="9">
        <f>+Bachhwara!AN66</f>
        <v>3.0244010000000401</v>
      </c>
      <c r="J7" s="9">
        <f>+Bachhwara!AO66</f>
        <v>1.9417749999999394</v>
      </c>
      <c r="K7" s="11">
        <v>480.53254642564531</v>
      </c>
      <c r="L7" s="11">
        <v>299.49109748895779</v>
      </c>
      <c r="M7" s="12">
        <f t="shared" si="1"/>
        <v>2034.8674397688901</v>
      </c>
      <c r="N7" s="13">
        <f>M7/G7</f>
        <v>0.28365487251411398</v>
      </c>
      <c r="O7" s="14">
        <v>46212</v>
      </c>
      <c r="P7" s="15" t="s">
        <v>367</v>
      </c>
    </row>
    <row r="8" spans="3:26" x14ac:dyDescent="0.25">
      <c r="C8" s="6" t="s">
        <v>15</v>
      </c>
      <c r="D8" s="7" t="s">
        <v>16</v>
      </c>
      <c r="E8" s="7" t="s">
        <v>118</v>
      </c>
      <c r="F8" s="8" t="s">
        <v>19</v>
      </c>
      <c r="G8" s="9">
        <f>+Dalsingsarai!J66</f>
        <v>77497.66350000001</v>
      </c>
      <c r="H8" s="9">
        <f>+Dalsingsarai!AM66</f>
        <v>43.336499999993521</v>
      </c>
      <c r="I8" s="9">
        <f>+Dalsingsarai!AN66</f>
        <v>-31.286378800000207</v>
      </c>
      <c r="J8" s="9">
        <f>+Dalsingsarai!AO66</f>
        <v>-4.4184238000011504</v>
      </c>
      <c r="K8" s="11">
        <v>480.53254642564531</v>
      </c>
      <c r="L8" s="11">
        <v>299.49109748895779</v>
      </c>
      <c r="M8" s="12">
        <f t="shared" si="1"/>
        <v>-16357.401866235101</v>
      </c>
      <c r="N8" s="13">
        <f t="shared" si="0"/>
        <v>-0.21106961329531049</v>
      </c>
      <c r="O8" s="14">
        <v>46212</v>
      </c>
      <c r="P8" s="15" t="s">
        <v>367</v>
      </c>
    </row>
    <row r="9" spans="3:26" x14ac:dyDescent="0.25">
      <c r="C9" s="6" t="s">
        <v>15</v>
      </c>
      <c r="D9" s="7" t="s">
        <v>16</v>
      </c>
      <c r="E9" s="7" t="s">
        <v>127</v>
      </c>
      <c r="F9" s="8" t="s">
        <v>115</v>
      </c>
      <c r="G9" s="9">
        <f>+Alauli!J66</f>
        <v>44781.103999999999</v>
      </c>
      <c r="H9" s="9">
        <f>+Alauli!AM66</f>
        <v>-101.60399999999981</v>
      </c>
      <c r="I9" s="9">
        <f>+Alauli!AN66</f>
        <v>-21.465774999999987</v>
      </c>
      <c r="J9" s="9">
        <f>+Alauli!AO66</f>
        <v>2.8170399999998779</v>
      </c>
      <c r="K9" s="11">
        <v>480.53254642564531</v>
      </c>
      <c r="L9" s="11">
        <v>299.49109748895779</v>
      </c>
      <c r="M9" s="12">
        <f t="shared" si="1"/>
        <v>-9471.3251204796925</v>
      </c>
      <c r="N9" s="13">
        <f t="shared" ref="N9" si="3">M9/G9</f>
        <v>-0.2115027159776966</v>
      </c>
      <c r="O9" s="14">
        <v>46212</v>
      </c>
      <c r="P9" s="15" t="s">
        <v>367</v>
      </c>
    </row>
    <row r="10" spans="3:26" x14ac:dyDescent="0.25">
      <c r="C10" s="6" t="s">
        <v>15</v>
      </c>
      <c r="D10" s="7" t="s">
        <v>16</v>
      </c>
      <c r="E10" s="7" t="s">
        <v>138</v>
      </c>
      <c r="F10" s="8" t="s">
        <v>159</v>
      </c>
      <c r="G10" s="9">
        <f>+Matihani!J66</f>
        <v>49563.909000000007</v>
      </c>
      <c r="H10" s="9">
        <f>+Matihani!AM66</f>
        <v>301.09099999999944</v>
      </c>
      <c r="I10" s="9">
        <f>+Matihani!AN66</f>
        <v>1.6689579999999253</v>
      </c>
      <c r="J10" s="9">
        <f>+Matihani!AO66</f>
        <v>21.910305999999437</v>
      </c>
      <c r="K10" s="11">
        <v>480.53254642564531</v>
      </c>
      <c r="L10" s="11">
        <v>299.49109748895779</v>
      </c>
      <c r="M10" s="12">
        <f t="shared" si="1"/>
        <v>7363.9302278761443</v>
      </c>
      <c r="N10" s="13">
        <f t="shared" ref="N10" si="4">M10/G10</f>
        <v>0.14857444411570006</v>
      </c>
      <c r="O10" s="14">
        <v>46212</v>
      </c>
      <c r="P10" s="15" t="s">
        <v>367</v>
      </c>
    </row>
    <row r="11" spans="3:26" x14ac:dyDescent="0.25">
      <c r="C11" s="6" t="s">
        <v>15</v>
      </c>
      <c r="D11" s="7" t="s">
        <v>16</v>
      </c>
      <c r="E11" s="7" t="s">
        <v>119</v>
      </c>
      <c r="F11" s="8" t="s">
        <v>20</v>
      </c>
      <c r="G11" s="9">
        <f>+Musrigharari!R66</f>
        <v>37047.761000000006</v>
      </c>
      <c r="H11" s="9">
        <f>+Musrigharari!AM66</f>
        <v>186.23899999999639</v>
      </c>
      <c r="I11" s="9">
        <f>+Musrigharari!AN66</f>
        <v>6.6919640000000626</v>
      </c>
      <c r="J11" s="9">
        <f>+Musrigharari!AO66</f>
        <v>19.646627000000297</v>
      </c>
      <c r="K11" s="11">
        <v>480.53254642564531</v>
      </c>
      <c r="L11" s="11">
        <v>299.49109748895779</v>
      </c>
      <c r="M11" s="12">
        <f t="shared" si="1"/>
        <v>9099.6963836950563</v>
      </c>
      <c r="N11" s="13">
        <f t="shared" si="0"/>
        <v>0.24562068362768413</v>
      </c>
      <c r="O11" s="14">
        <v>46212</v>
      </c>
      <c r="P11" s="15" t="s">
        <v>367</v>
      </c>
    </row>
    <row r="12" spans="3:26" x14ac:dyDescent="0.25">
      <c r="C12" s="6" t="s">
        <v>15</v>
      </c>
      <c r="D12" s="7" t="s">
        <v>16</v>
      </c>
      <c r="E12" s="7" t="s">
        <v>119</v>
      </c>
      <c r="F12" s="8" t="s">
        <v>166</v>
      </c>
      <c r="G12" s="9">
        <f>+Mahua!R66</f>
        <v>20488.039000000004</v>
      </c>
      <c r="H12" s="9">
        <f>+Mahua!AM66</f>
        <v>238.56099999999878</v>
      </c>
      <c r="I12" s="9">
        <f>+Mahua!AN66</f>
        <v>15.704549999999884</v>
      </c>
      <c r="J12" s="9">
        <f>+Mahua!AO66</f>
        <v>-27.385072000000264</v>
      </c>
      <c r="K12" s="11">
        <v>480.53254642564531</v>
      </c>
      <c r="L12" s="11">
        <v>299.49109748895779</v>
      </c>
      <c r="M12" s="12">
        <f t="shared" si="1"/>
        <v>-655.03786612539534</v>
      </c>
      <c r="N12" s="13">
        <f t="shared" ref="N12" si="5">M12/G12</f>
        <v>-3.197172096975192E-2</v>
      </c>
      <c r="O12" s="14">
        <v>46212</v>
      </c>
      <c r="P12" s="15" t="s">
        <v>367</v>
      </c>
    </row>
    <row r="13" spans="3:26" x14ac:dyDescent="0.25">
      <c r="C13" s="6" t="s">
        <v>15</v>
      </c>
      <c r="D13" s="7" t="s">
        <v>16</v>
      </c>
      <c r="E13" s="7" t="s">
        <v>120</v>
      </c>
      <c r="F13" s="8" t="s">
        <v>21</v>
      </c>
      <c r="G13" s="9">
        <f>+Buxar!J66</f>
        <v>55784.933899999996</v>
      </c>
      <c r="H13" s="9">
        <f>+Buxar!AM66</f>
        <v>771.36610000000871</v>
      </c>
      <c r="I13" s="9">
        <f>+Buxar!AN66</f>
        <v>75.93895690000025</v>
      </c>
      <c r="J13" s="9">
        <f>+Buxar!AO66</f>
        <v>-107.56531489999951</v>
      </c>
      <c r="K13" s="11">
        <v>480.53254642564531</v>
      </c>
      <c r="L13" s="11">
        <v>299.49109748895779</v>
      </c>
      <c r="M13" s="12">
        <f t="shared" si="1"/>
        <v>4276.2861209182483</v>
      </c>
      <c r="N13" s="13">
        <f t="shared" si="0"/>
        <v>7.6656649420503278E-2</v>
      </c>
      <c r="O13" s="14">
        <v>46212</v>
      </c>
      <c r="P13" s="15" t="s">
        <v>367</v>
      </c>
      <c r="R13" s="20"/>
    </row>
    <row r="14" spans="3:26" x14ac:dyDescent="0.25">
      <c r="C14" s="6" t="s">
        <v>15</v>
      </c>
      <c r="D14" s="7" t="s">
        <v>16</v>
      </c>
      <c r="E14" s="7" t="s">
        <v>120</v>
      </c>
      <c r="F14" s="8" t="s">
        <v>175</v>
      </c>
      <c r="G14" s="9">
        <f>+Gaighat!J66</f>
        <v>24573.884199999997</v>
      </c>
      <c r="H14" s="9">
        <f>+Gaighat!AM66</f>
        <v>374.31580000000054</v>
      </c>
      <c r="I14" s="9">
        <f>+Gaighat!AN66</f>
        <v>38.679331300000129</v>
      </c>
      <c r="J14" s="9">
        <f>+Gaighat!AO66</f>
        <v>59.043799899999897</v>
      </c>
      <c r="K14" s="11">
        <v>480.53254642564531</v>
      </c>
      <c r="L14" s="11">
        <v>299.49109748895779</v>
      </c>
      <c r="M14" s="12">
        <f t="shared" si="1"/>
        <v>36269.769995599607</v>
      </c>
      <c r="N14" s="13">
        <f t="shared" ref="N14" si="6">M14/G14</f>
        <v>1.4759477866994919</v>
      </c>
      <c r="O14" s="14">
        <v>46212</v>
      </c>
      <c r="P14" s="15" t="s">
        <v>367</v>
      </c>
      <c r="R14" s="20"/>
    </row>
    <row r="15" spans="3:26" x14ac:dyDescent="0.25">
      <c r="C15" s="6" t="s">
        <v>15</v>
      </c>
      <c r="D15" s="7" t="s">
        <v>16</v>
      </c>
      <c r="E15" s="7" t="s">
        <v>120</v>
      </c>
      <c r="F15" s="8" t="s">
        <v>212</v>
      </c>
      <c r="G15" s="9">
        <f>+Rosera!J66</f>
        <v>10468.713999999998</v>
      </c>
      <c r="H15" s="9">
        <f>+Rosera!AM66</f>
        <v>83.765999999999394</v>
      </c>
      <c r="I15" s="9">
        <f>+Rosera!AN66</f>
        <v>5.8234700000000252</v>
      </c>
      <c r="J15" s="9">
        <f>+Rosera!AO66</f>
        <v>-6.2850589999999329</v>
      </c>
      <c r="K15" s="11">
        <v>480.53254642564531</v>
      </c>
      <c r="L15" s="11">
        <v>299.49109748895779</v>
      </c>
      <c r="M15" s="12">
        <f t="shared" ref="M15" si="7">I15*K15+J15*L15</f>
        <v>916.04765044053329</v>
      </c>
      <c r="N15" s="13">
        <f t="shared" ref="N15" si="8">M15/G15</f>
        <v>8.7503360053635376E-2</v>
      </c>
      <c r="O15" s="14">
        <v>46212</v>
      </c>
      <c r="P15" s="15" t="s">
        <v>367</v>
      </c>
      <c r="R15" s="20"/>
    </row>
    <row r="16" spans="3:26" x14ac:dyDescent="0.25">
      <c r="C16" s="6" t="s">
        <v>15</v>
      </c>
      <c r="D16" s="7" t="s">
        <v>16</v>
      </c>
      <c r="E16" s="7" t="s">
        <v>145</v>
      </c>
      <c r="F16" s="8" t="s">
        <v>146</v>
      </c>
      <c r="G16" s="9">
        <f>+Warisnagar!J66</f>
        <v>28981.830999999998</v>
      </c>
      <c r="H16" s="9">
        <f>+Warisnagar!AM66</f>
        <v>320.6689999999985</v>
      </c>
      <c r="I16" s="9">
        <f>+Warisnagar!AN66</f>
        <v>55.583610000000022</v>
      </c>
      <c r="J16" s="9">
        <f>+Warisnagar!AO66</f>
        <v>-35.289097000000282</v>
      </c>
      <c r="K16" s="11">
        <v>480.53254642564531</v>
      </c>
      <c r="L16" s="11">
        <v>299.49109748895779</v>
      </c>
      <c r="M16" s="12">
        <f t="shared" si="1"/>
        <v>16140.963262905601</v>
      </c>
      <c r="N16" s="13">
        <f t="shared" ref="N16" si="9">M16/G16</f>
        <v>0.55693386877128648</v>
      </c>
      <c r="O16" s="14">
        <v>46212</v>
      </c>
      <c r="P16" s="15" t="s">
        <v>367</v>
      </c>
      <c r="R16" s="20"/>
    </row>
    <row r="17" spans="3:18" ht="15.75" thickBot="1" x14ac:dyDescent="0.3">
      <c r="C17" s="6" t="s">
        <v>15</v>
      </c>
      <c r="D17" s="7" t="s">
        <v>16</v>
      </c>
      <c r="E17" s="7" t="s">
        <v>128</v>
      </c>
      <c r="F17" s="8" t="s">
        <v>104</v>
      </c>
      <c r="G17" s="9">
        <f>+Kalyanpur!J66</f>
        <v>96953.900000000009</v>
      </c>
      <c r="H17" s="9">
        <f>+Kalyanpur!AM66</f>
        <v>732.40000000000168</v>
      </c>
      <c r="I17" s="9">
        <f>+Kalyanpur!AN66</f>
        <v>43.14603199999884</v>
      </c>
      <c r="J17" s="9">
        <f>+Kalyanpur!AO66</f>
        <v>43.531386499998376</v>
      </c>
      <c r="K17" s="11">
        <v>480.53254642564531</v>
      </c>
      <c r="L17" s="11">
        <v>299.49109748895779</v>
      </c>
      <c r="M17" s="12">
        <f>I17*K17+J17*L17</f>
        <v>33770.335343222338</v>
      </c>
      <c r="N17" s="13">
        <f t="shared" ref="N17" si="10">M17/G17</f>
        <v>0.34831332564468614</v>
      </c>
      <c r="O17" s="14">
        <v>46212</v>
      </c>
      <c r="P17" s="15" t="s">
        <v>367</v>
      </c>
      <c r="R17" s="20"/>
    </row>
    <row r="18" spans="3:18" ht="15.75" thickBot="1" x14ac:dyDescent="0.3">
      <c r="C18" s="217" t="s">
        <v>22</v>
      </c>
      <c r="D18" s="218"/>
      <c r="E18" s="218"/>
      <c r="F18" s="218"/>
      <c r="G18" s="21">
        <f t="shared" ref="G18:M18" si="11">SUM(G4:G17)</f>
        <v>583280.81149999995</v>
      </c>
      <c r="H18" s="22">
        <f t="shared" si="11"/>
        <v>4224.0684999999939</v>
      </c>
      <c r="I18" s="22">
        <f t="shared" si="11"/>
        <v>319.57331139999826</v>
      </c>
      <c r="J18" s="22">
        <f t="shared" si="11"/>
        <v>32.784498499996417</v>
      </c>
      <c r="K18" s="22">
        <f t="shared" si="11"/>
        <v>6727.4556499590362</v>
      </c>
      <c r="L18" s="22">
        <f t="shared" si="11"/>
        <v>4192.8753648454085</v>
      </c>
      <c r="M18" s="22">
        <f t="shared" si="11"/>
        <v>163384.04253310588</v>
      </c>
      <c r="N18" s="23">
        <f>M18/G18</f>
        <v>0.28011215063450773</v>
      </c>
      <c r="O18" s="24"/>
      <c r="P18" s="25"/>
    </row>
    <row r="19" spans="3:18" ht="15.75" thickBot="1" x14ac:dyDescent="0.3"/>
    <row r="20" spans="3:18" x14ac:dyDescent="0.25">
      <c r="C20" s="26" t="s">
        <v>15</v>
      </c>
      <c r="D20" s="27" t="s">
        <v>16</v>
      </c>
      <c r="E20" s="27" t="s">
        <v>162</v>
      </c>
      <c r="F20" s="28" t="s">
        <v>160</v>
      </c>
      <c r="G20" s="211">
        <f>'Singhia '!J66</f>
        <v>12225.162700000001</v>
      </c>
      <c r="H20" s="211">
        <f>+'Singhia '!AM66</f>
        <v>-204.1626999999994</v>
      </c>
      <c r="I20" s="211">
        <f>+'Singhia '!AN66</f>
        <v>-58.039519300000016</v>
      </c>
      <c r="J20" s="211">
        <f>+'Singhia '!AO66</f>
        <v>-52.151575900000054</v>
      </c>
      <c r="K20" s="268">
        <v>480.53254642564531</v>
      </c>
      <c r="L20" s="268">
        <v>299.49109748895779</v>
      </c>
      <c r="M20" s="29">
        <f t="shared" ref="M20" si="12">I20*K20+J20*L20</f>
        <v>-43508.810704619093</v>
      </c>
      <c r="N20" s="30">
        <f t="shared" ref="N20" si="13">M20/G20</f>
        <v>-3.558955555218835</v>
      </c>
      <c r="O20" s="269">
        <v>46212</v>
      </c>
      <c r="P20" s="270" t="s">
        <v>367</v>
      </c>
    </row>
    <row r="21" spans="3:18" x14ac:dyDescent="0.25">
      <c r="C21" s="6" t="s">
        <v>15</v>
      </c>
      <c r="D21" s="7" t="s">
        <v>23</v>
      </c>
      <c r="E21" s="7" t="s">
        <v>121</v>
      </c>
      <c r="F21" s="8" t="s">
        <v>24</v>
      </c>
      <c r="G21" s="9">
        <f>+Laldiyara!J66</f>
        <v>139854.84200000003</v>
      </c>
      <c r="H21" s="9">
        <f>+Laldiyara!AM66</f>
        <v>3085.1579999999976</v>
      </c>
      <c r="I21" s="9">
        <f>+Laldiyara!AN66</f>
        <v>-29.924831000000722</v>
      </c>
      <c r="J21" s="9">
        <f>+Laldiyara!AO66</f>
        <v>101.31268099999818</v>
      </c>
      <c r="K21" s="11">
        <v>480.53254642564531</v>
      </c>
      <c r="L21" s="11">
        <v>299.49109748895779</v>
      </c>
      <c r="M21" s="12">
        <f>I21*K21+J21*L21</f>
        <v>15962.390780450702</v>
      </c>
      <c r="N21" s="13">
        <f t="shared" ref="N21:N30" si="14">M21/G21</f>
        <v>0.11413541749559659</v>
      </c>
      <c r="O21" s="267">
        <v>46212</v>
      </c>
      <c r="P21" s="15" t="s">
        <v>367</v>
      </c>
    </row>
    <row r="22" spans="3:18" x14ac:dyDescent="0.25">
      <c r="C22" s="6" t="s">
        <v>15</v>
      </c>
      <c r="D22" s="7" t="s">
        <v>23</v>
      </c>
      <c r="E22" s="7" t="s">
        <v>122</v>
      </c>
      <c r="F22" s="8" t="s">
        <v>25</v>
      </c>
      <c r="G22" s="9">
        <f>+Asarganj!J66</f>
        <v>113470.1045</v>
      </c>
      <c r="H22" s="9">
        <f>+Asarganj!AM66</f>
        <v>-1080.1044999999976</v>
      </c>
      <c r="I22" s="9">
        <f>+Asarganj!AN66</f>
        <v>21.545848499999437</v>
      </c>
      <c r="J22" s="9">
        <f>+Asarganj!AO66</f>
        <v>-8.8522150000003634</v>
      </c>
      <c r="K22" s="11">
        <v>480.53254642564531</v>
      </c>
      <c r="L22" s="11">
        <v>299.49109748895779</v>
      </c>
      <c r="M22" s="12">
        <f>I22*K22+J22*L22</f>
        <v>7702.3218590475753</v>
      </c>
      <c r="N22" s="13">
        <f t="shared" si="14"/>
        <v>6.7879745885380538E-2</v>
      </c>
      <c r="O22" s="267">
        <v>46212</v>
      </c>
      <c r="P22" s="15" t="s">
        <v>367</v>
      </c>
    </row>
    <row r="23" spans="3:18" x14ac:dyDescent="0.25">
      <c r="C23" s="6" t="s">
        <v>15</v>
      </c>
      <c r="D23" s="7" t="s">
        <v>23</v>
      </c>
      <c r="E23" s="7" t="s">
        <v>150</v>
      </c>
      <c r="F23" s="8" t="s">
        <v>151</v>
      </c>
      <c r="G23" s="9">
        <f>+Parbatta!J66</f>
        <v>54711.025000000016</v>
      </c>
      <c r="H23" s="9">
        <f>+Parbatta!AM66</f>
        <v>423.97500000000127</v>
      </c>
      <c r="I23" s="9">
        <f>+Parbatta!AN66</f>
        <v>-19.207066000000466</v>
      </c>
      <c r="J23" s="9">
        <f>+Parbatta!AO66</f>
        <v>22.597648999999592</v>
      </c>
      <c r="K23" s="11">
        <v>480.53254642564531</v>
      </c>
      <c r="L23" s="11">
        <v>299.49109748895779</v>
      </c>
      <c r="M23" s="12">
        <f>I23*K23+J23*L23</f>
        <v>-2461.8256346655307</v>
      </c>
      <c r="N23" s="13">
        <f t="shared" ref="N23" si="15">M23/G23</f>
        <v>-4.4996883802954343E-2</v>
      </c>
      <c r="O23" s="267">
        <v>46212</v>
      </c>
      <c r="P23" s="15" t="s">
        <v>367</v>
      </c>
    </row>
    <row r="24" spans="3:18" x14ac:dyDescent="0.25">
      <c r="C24" s="6" t="s">
        <v>15</v>
      </c>
      <c r="D24" s="7" t="s">
        <v>26</v>
      </c>
      <c r="E24" s="7" t="s">
        <v>133</v>
      </c>
      <c r="F24" s="8" t="s">
        <v>27</v>
      </c>
      <c r="G24" s="9">
        <f>+Madhatpur!J66</f>
        <v>8510.6840000000011</v>
      </c>
      <c r="H24" s="9">
        <f>+Madhatpur!AM66</f>
        <v>-23.684000000000424</v>
      </c>
      <c r="I24" s="9">
        <f>+Madhatpur!AN66</f>
        <v>-16.274537999999989</v>
      </c>
      <c r="J24" s="9">
        <f>+Madhatpur!AO66</f>
        <v>-6.859236999999986</v>
      </c>
      <c r="K24" s="11">
        <v>480.53254642564531</v>
      </c>
      <c r="L24" s="11">
        <v>299.49109748895779</v>
      </c>
      <c r="M24" s="12">
        <f t="shared" ref="M24:M30" si="16">I24*K24+J24*L24</f>
        <v>-9874.7256041077853</v>
      </c>
      <c r="N24" s="13">
        <f t="shared" si="14"/>
        <v>-1.1602740278111352</v>
      </c>
      <c r="O24" s="267">
        <v>46212</v>
      </c>
      <c r="P24" s="15" t="s">
        <v>367</v>
      </c>
    </row>
    <row r="25" spans="3:18" x14ac:dyDescent="0.25">
      <c r="C25" s="6" t="s">
        <v>15</v>
      </c>
      <c r="D25" s="7" t="s">
        <v>26</v>
      </c>
      <c r="E25" s="7" t="s">
        <v>134</v>
      </c>
      <c r="F25" s="8" t="s">
        <v>136</v>
      </c>
      <c r="G25" s="9">
        <f>+Chautham!J66</f>
        <v>31197.299199999994</v>
      </c>
      <c r="H25" s="9">
        <f>+Chautham!AM66</f>
        <v>-850.29919999999902</v>
      </c>
      <c r="I25" s="9">
        <f>+Chautham!AN66</f>
        <v>15.181267800000086</v>
      </c>
      <c r="J25" s="9">
        <f>+Chautham!AO66</f>
        <v>-22.434739399999955</v>
      </c>
      <c r="K25" s="11">
        <v>480.53254642564531</v>
      </c>
      <c r="L25" s="11">
        <v>299.49109748895779</v>
      </c>
      <c r="M25" s="12">
        <f>I25*K25+J25*L25</f>
        <v>576.0885491189465</v>
      </c>
      <c r="N25" s="13">
        <f t="shared" si="14"/>
        <v>1.8465975064884673E-2</v>
      </c>
      <c r="O25" s="267">
        <v>46212</v>
      </c>
      <c r="P25" s="15" t="s">
        <v>367</v>
      </c>
    </row>
    <row r="26" spans="3:18" x14ac:dyDescent="0.25">
      <c r="C26" s="6" t="s">
        <v>15</v>
      </c>
      <c r="D26" s="7" t="s">
        <v>23</v>
      </c>
      <c r="E26" s="7" t="s">
        <v>123</v>
      </c>
      <c r="F26" s="8" t="s">
        <v>28</v>
      </c>
      <c r="G26" s="9">
        <f>+Sonvarsha!J66</f>
        <v>65847.282000000007</v>
      </c>
      <c r="H26" s="9">
        <f>+Sonvarsha!AM66</f>
        <v>-85.282000000001062</v>
      </c>
      <c r="I26" s="9">
        <f>+Sonvarsha!AN66</f>
        <v>-60.535825999999815</v>
      </c>
      <c r="J26" s="9">
        <f>+Sonvarsha!AO66</f>
        <v>113.8232779999999</v>
      </c>
      <c r="K26" s="11">
        <v>480.53254642564531</v>
      </c>
      <c r="L26" s="11">
        <v>299.49109748895779</v>
      </c>
      <c r="M26" s="12">
        <f t="shared" si="16"/>
        <v>4999.6238302510174</v>
      </c>
      <c r="N26" s="13">
        <f t="shared" si="14"/>
        <v>7.5927565700449368E-2</v>
      </c>
      <c r="O26" s="267">
        <v>46212</v>
      </c>
      <c r="P26" s="15" t="s">
        <v>367</v>
      </c>
    </row>
    <row r="27" spans="3:18" x14ac:dyDescent="0.25">
      <c r="C27" s="6" t="s">
        <v>15</v>
      </c>
      <c r="D27" s="7" t="s">
        <v>23</v>
      </c>
      <c r="E27" s="7" t="s">
        <v>152</v>
      </c>
      <c r="F27" s="8" t="s">
        <v>153</v>
      </c>
      <c r="G27" s="9">
        <f>+Gopalpur!J66</f>
        <v>22450.817299999995</v>
      </c>
      <c r="H27" s="9">
        <f>+Gopalpur!AM66</f>
        <v>111.18269999999893</v>
      </c>
      <c r="I27" s="9">
        <f>+Gopalpur!AN66</f>
        <v>-6.6929021000000688</v>
      </c>
      <c r="J27" s="9">
        <f>+Gopalpur!AO66</f>
        <v>15.498258599999986</v>
      </c>
      <c r="K27" s="11">
        <v>480.53254642564531</v>
      </c>
      <c r="L27" s="11">
        <v>299.49109748895779</v>
      </c>
      <c r="M27" s="12">
        <f>I27*K27+J27*L27</f>
        <v>1425.4331881910916</v>
      </c>
      <c r="N27" s="13">
        <f t="shared" ref="N27" si="17">M27/G27</f>
        <v>6.3491371790330861E-2</v>
      </c>
      <c r="O27" s="267">
        <v>46212</v>
      </c>
      <c r="P27" s="15" t="s">
        <v>367</v>
      </c>
    </row>
    <row r="28" spans="3:18" x14ac:dyDescent="0.25">
      <c r="C28" s="6" t="s">
        <v>15</v>
      </c>
      <c r="D28" s="7" t="s">
        <v>23</v>
      </c>
      <c r="E28" s="7" t="s">
        <v>124</v>
      </c>
      <c r="F28" s="8" t="s">
        <v>29</v>
      </c>
      <c r="G28" s="9">
        <f>+Araiya!J66</f>
        <v>91716.865000000005</v>
      </c>
      <c r="H28" s="9">
        <f>+Araiya!AM66</f>
        <v>422.43500000000148</v>
      </c>
      <c r="I28" s="9">
        <f>+Araiya!AN66</f>
        <v>29.61859199999985</v>
      </c>
      <c r="J28" s="9">
        <f>+Araiya!AO66</f>
        <v>-30.884407000000195</v>
      </c>
      <c r="K28" s="11">
        <v>480.53254642564531</v>
      </c>
      <c r="L28" s="11">
        <v>299.49109748895779</v>
      </c>
      <c r="M28" s="12">
        <f t="shared" si="16"/>
        <v>4983.0924875764649</v>
      </c>
      <c r="N28" s="13">
        <f t="shared" si="14"/>
        <v>5.4331256171658994E-2</v>
      </c>
      <c r="O28" s="267">
        <v>46212</v>
      </c>
      <c r="P28" s="15" t="s">
        <v>367</v>
      </c>
    </row>
    <row r="29" spans="3:18" x14ac:dyDescent="0.25">
      <c r="C29" s="6" t="s">
        <v>15</v>
      </c>
      <c r="D29" s="7" t="s">
        <v>23</v>
      </c>
      <c r="E29" s="7" t="s">
        <v>125</v>
      </c>
      <c r="F29" s="8" t="s">
        <v>30</v>
      </c>
      <c r="G29" s="9">
        <f>+Teghra!J66</f>
        <v>42795.161</v>
      </c>
      <c r="H29" s="9">
        <f>+Teghra!AM66</f>
        <v>-60.161000000000058</v>
      </c>
      <c r="I29" s="9">
        <f>+Teghra!AN66</f>
        <v>-15.438211000000038</v>
      </c>
      <c r="J29" s="9">
        <f>+Teghra!AO66</f>
        <v>28.144356999999907</v>
      </c>
      <c r="K29" s="11">
        <v>480.53254642564531</v>
      </c>
      <c r="L29" s="11">
        <v>299.49109748895779</v>
      </c>
      <c r="M29" s="12">
        <f>I29*K29+J29*L29</f>
        <v>1010.4215219645766</v>
      </c>
      <c r="N29" s="13">
        <f t="shared" si="14"/>
        <v>2.3610648922773689E-2</v>
      </c>
      <c r="O29" s="267">
        <v>46212</v>
      </c>
      <c r="P29" s="15" t="s">
        <v>367</v>
      </c>
    </row>
    <row r="30" spans="3:18" ht="15.75" thickBot="1" x14ac:dyDescent="0.3">
      <c r="C30" s="16" t="s">
        <v>15</v>
      </c>
      <c r="D30" s="17" t="s">
        <v>23</v>
      </c>
      <c r="E30" s="17" t="s">
        <v>126</v>
      </c>
      <c r="F30" s="18" t="s">
        <v>31</v>
      </c>
      <c r="G30" s="31">
        <f>+Halsi!J66</f>
        <v>89948.767000000022</v>
      </c>
      <c r="H30" s="31">
        <f>+Halsi!AM66</f>
        <v>-1258.7670000000107</v>
      </c>
      <c r="I30" s="31">
        <f>+Halsi!AN66</f>
        <v>66.279145000000312</v>
      </c>
      <c r="J30" s="31">
        <f>+Halsi!AO66</f>
        <v>-76.154779000000872</v>
      </c>
      <c r="K30" s="271">
        <v>480.53254642564531</v>
      </c>
      <c r="L30" s="271">
        <v>299.49109748895779</v>
      </c>
      <c r="M30" s="32">
        <f t="shared" si="16"/>
        <v>9041.6079800254302</v>
      </c>
      <c r="N30" s="19">
        <f t="shared" si="14"/>
        <v>0.10051953219131317</v>
      </c>
      <c r="O30" s="272">
        <v>46212</v>
      </c>
      <c r="P30" s="273" t="s">
        <v>367</v>
      </c>
    </row>
    <row r="31" spans="3:18" ht="15.75" thickBot="1" x14ac:dyDescent="0.3">
      <c r="C31" s="217" t="s">
        <v>32</v>
      </c>
      <c r="D31" s="218"/>
      <c r="E31" s="218"/>
      <c r="F31" s="218"/>
      <c r="G31" s="21">
        <f t="shared" ref="G31:M31" si="18">SUM(G21:G30)</f>
        <v>660502.84700000007</v>
      </c>
      <c r="H31" s="22">
        <f t="shared" si="18"/>
        <v>684.45299999999065</v>
      </c>
      <c r="I31" s="22">
        <f t="shared" si="18"/>
        <v>-15.448520800001418</v>
      </c>
      <c r="J31" s="22">
        <f t="shared" si="18"/>
        <v>136.1908461999962</v>
      </c>
      <c r="K31" s="22">
        <f t="shared" si="18"/>
        <v>4805.3254642564534</v>
      </c>
      <c r="L31" s="22">
        <f t="shared" si="18"/>
        <v>2994.9109748895776</v>
      </c>
      <c r="M31" s="22">
        <f t="shared" si="18"/>
        <v>33364.428957852491</v>
      </c>
      <c r="N31" s="23">
        <f>M31/G31</f>
        <v>5.0513679251184954E-2</v>
      </c>
      <c r="O31" s="24"/>
      <c r="P31" s="25"/>
    </row>
    <row r="32" spans="3:18" ht="15.75" thickBot="1" x14ac:dyDescent="0.3">
      <c r="H32" s="20"/>
      <c r="I32" s="20"/>
      <c r="J32" s="20"/>
      <c r="M32" s="20"/>
      <c r="N32" s="20"/>
      <c r="O32" s="20"/>
    </row>
    <row r="33" spans="3:16" x14ac:dyDescent="0.25">
      <c r="C33" s="33" t="str">
        <f t="shared" ref="C33:P33" si="19">C3</f>
        <v>State</v>
      </c>
      <c r="D33" s="34" t="str">
        <f t="shared" si="19"/>
        <v>Type</v>
      </c>
      <c r="E33" s="34" t="str">
        <f t="shared" si="19"/>
        <v>Code</v>
      </c>
      <c r="F33" s="35" t="str">
        <f t="shared" si="19"/>
        <v>BMC Name</v>
      </c>
      <c r="G33" s="34" t="str">
        <f t="shared" si="19"/>
        <v>MTD Volume</v>
      </c>
      <c r="H33" s="36" t="str">
        <f t="shared" si="19"/>
        <v>Vol Kg</v>
      </c>
      <c r="I33" s="36" t="str">
        <f t="shared" si="19"/>
        <v>FAT kg</v>
      </c>
      <c r="J33" s="36" t="str">
        <f t="shared" si="19"/>
        <v>SNF Kg</v>
      </c>
      <c r="K33" s="34" t="str">
        <f t="shared" si="19"/>
        <v>FAT Rate</v>
      </c>
      <c r="L33" s="34" t="str">
        <f t="shared" si="19"/>
        <v>SNF Rate</v>
      </c>
      <c r="M33" s="36" t="str">
        <f t="shared" si="19"/>
        <v>Amount</v>
      </c>
      <c r="N33" s="34" t="str">
        <f t="shared" si="19"/>
        <v>Loss/gain per Kg</v>
      </c>
      <c r="O33" s="34" t="str">
        <f t="shared" si="19"/>
        <v>Day book received till</v>
      </c>
      <c r="P33" s="37" t="str">
        <f t="shared" si="19"/>
        <v>Remarks</v>
      </c>
    </row>
    <row r="34" spans="3:16" x14ac:dyDescent="0.25">
      <c r="C34" s="7" t="s">
        <v>33</v>
      </c>
      <c r="D34" s="7" t="s">
        <v>26</v>
      </c>
      <c r="E34" s="7" t="s">
        <v>34</v>
      </c>
      <c r="F34" s="38" t="s">
        <v>35</v>
      </c>
      <c r="G34" s="9">
        <v>43466.813699999999</v>
      </c>
      <c r="H34" s="9">
        <v>230.85630000000128</v>
      </c>
      <c r="I34" s="9">
        <v>-43.968506000000076</v>
      </c>
      <c r="J34" s="9">
        <v>-36.410451000000194</v>
      </c>
      <c r="K34" s="10">
        <v>436.77</v>
      </c>
      <c r="L34" s="11">
        <v>296.59999999999997</v>
      </c>
      <c r="M34" s="12">
        <f t="shared" ref="M34" si="20">I34*K34+J34*L34</f>
        <v>-30003.464132220088</v>
      </c>
      <c r="N34" s="13">
        <f t="shared" ref="N34:N42" si="21">M34/G34</f>
        <v>-0.69026141044748557</v>
      </c>
      <c r="O34" s="14">
        <v>46212</v>
      </c>
      <c r="P34" s="15" t="s">
        <v>367</v>
      </c>
    </row>
    <row r="35" spans="3:16" x14ac:dyDescent="0.25">
      <c r="C35" s="7" t="s">
        <v>33</v>
      </c>
      <c r="D35" s="7" t="s">
        <v>26</v>
      </c>
      <c r="E35" s="7" t="s">
        <v>36</v>
      </c>
      <c r="F35" s="38" t="s">
        <v>37</v>
      </c>
      <c r="G35" s="9">
        <v>49149.138300000013</v>
      </c>
      <c r="H35" s="9">
        <v>-367.13830000000235</v>
      </c>
      <c r="I35" s="9">
        <v>32.803399999999847</v>
      </c>
      <c r="J35" s="9">
        <v>-28.52290000000022</v>
      </c>
      <c r="K35" s="10">
        <v>436.77</v>
      </c>
      <c r="L35" s="11">
        <v>296.59999999999997</v>
      </c>
      <c r="M35" s="12">
        <f t="shared" ref="M35:M42" si="22">I35*K35+J35*L35</f>
        <v>5867.648877999869</v>
      </c>
      <c r="N35" s="13">
        <f t="shared" si="21"/>
        <v>0.11938457277082856</v>
      </c>
      <c r="O35" s="14">
        <v>46212</v>
      </c>
      <c r="P35" s="15" t="s">
        <v>367</v>
      </c>
    </row>
    <row r="36" spans="3:16" x14ac:dyDescent="0.25">
      <c r="C36" s="7" t="s">
        <v>33</v>
      </c>
      <c r="D36" s="7" t="s">
        <v>26</v>
      </c>
      <c r="E36" s="7" t="s">
        <v>38</v>
      </c>
      <c r="F36" s="38" t="s">
        <v>39</v>
      </c>
      <c r="G36" s="9">
        <v>11085.375</v>
      </c>
      <c r="H36" s="9">
        <v>100.04500000000037</v>
      </c>
      <c r="I36" s="9">
        <v>-3.8018730000000232</v>
      </c>
      <c r="J36" s="9">
        <v>-4.8879249999999459</v>
      </c>
      <c r="K36" s="10">
        <v>436.77</v>
      </c>
      <c r="L36" s="11">
        <v>296.59999999999997</v>
      </c>
      <c r="M36" s="12">
        <f t="shared" si="22"/>
        <v>-3110.3026252099935</v>
      </c>
      <c r="N36" s="13">
        <f t="shared" si="21"/>
        <v>-0.28057712303011795</v>
      </c>
      <c r="O36" s="14">
        <v>46212</v>
      </c>
      <c r="P36" s="15" t="s">
        <v>367</v>
      </c>
    </row>
    <row r="37" spans="3:16" x14ac:dyDescent="0.25">
      <c r="C37" s="7" t="s">
        <v>33</v>
      </c>
      <c r="D37" s="7" t="s">
        <v>26</v>
      </c>
      <c r="E37" s="7" t="s">
        <v>40</v>
      </c>
      <c r="F37" s="8" t="s">
        <v>41</v>
      </c>
      <c r="G37" s="9">
        <v>9545.6074000000008</v>
      </c>
      <c r="H37" s="9">
        <v>369.10259999999948</v>
      </c>
      <c r="I37" s="9">
        <v>-3.1140930000000324</v>
      </c>
      <c r="J37" s="9">
        <v>5.2945749999999556</v>
      </c>
      <c r="K37" s="10">
        <v>436.77</v>
      </c>
      <c r="L37" s="11">
        <v>296.59999999999997</v>
      </c>
      <c r="M37" s="12">
        <f t="shared" si="22"/>
        <v>210.22854538997262</v>
      </c>
      <c r="N37" s="13">
        <f t="shared" ref="N37" si="23">M37/G37</f>
        <v>2.2023590179287345E-2</v>
      </c>
      <c r="O37" s="14">
        <v>46212</v>
      </c>
      <c r="P37" s="15" t="s">
        <v>367</v>
      </c>
    </row>
    <row r="38" spans="3:16" ht="14.45" hidden="1" customHeight="1" x14ac:dyDescent="0.25">
      <c r="C38" s="7" t="s">
        <v>33</v>
      </c>
      <c r="D38" s="7" t="s">
        <v>26</v>
      </c>
      <c r="E38" s="7" t="s">
        <v>42</v>
      </c>
      <c r="F38" s="8" t="s">
        <v>43</v>
      </c>
      <c r="G38" s="9">
        <v>0</v>
      </c>
      <c r="H38" s="9">
        <v>0</v>
      </c>
      <c r="I38" s="9">
        <v>0</v>
      </c>
      <c r="J38" s="9">
        <v>0</v>
      </c>
      <c r="K38" s="10">
        <v>436.77</v>
      </c>
      <c r="L38" s="11">
        <v>296.59999999999997</v>
      </c>
      <c r="M38" s="12">
        <f t="shared" si="22"/>
        <v>0</v>
      </c>
      <c r="N38" s="13" t="e">
        <f t="shared" si="21"/>
        <v>#DIV/0!</v>
      </c>
      <c r="O38" s="14">
        <v>46212</v>
      </c>
      <c r="P38" s="15" t="s">
        <v>367</v>
      </c>
    </row>
    <row r="39" spans="3:16" x14ac:dyDescent="0.25">
      <c r="C39" s="7" t="s">
        <v>33</v>
      </c>
      <c r="D39" s="7" t="s">
        <v>26</v>
      </c>
      <c r="E39" s="7" t="s">
        <v>44</v>
      </c>
      <c r="F39" s="8" t="s">
        <v>45</v>
      </c>
      <c r="G39" s="9">
        <v>19665.687000000002</v>
      </c>
      <c r="H39" s="9">
        <v>-120.6869999999999</v>
      </c>
      <c r="I39" s="9">
        <v>3.0232000000000596</v>
      </c>
      <c r="J39" s="9">
        <v>-2.5004000000000133</v>
      </c>
      <c r="K39" s="10">
        <v>436.77</v>
      </c>
      <c r="L39" s="11">
        <v>296.59999999999997</v>
      </c>
      <c r="M39" s="12">
        <f t="shared" si="22"/>
        <v>578.82442400002208</v>
      </c>
      <c r="N39" s="13">
        <f t="shared" si="21"/>
        <v>2.9433216546160938E-2</v>
      </c>
      <c r="O39" s="14">
        <v>46212</v>
      </c>
      <c r="P39" s="15" t="s">
        <v>367</v>
      </c>
    </row>
    <row r="40" spans="3:16" x14ac:dyDescent="0.25">
      <c r="C40" s="7" t="s">
        <v>33</v>
      </c>
      <c r="D40" s="7" t="s">
        <v>26</v>
      </c>
      <c r="E40" s="7" t="s">
        <v>46</v>
      </c>
      <c r="F40" s="8" t="s">
        <v>47</v>
      </c>
      <c r="G40" s="9">
        <v>13812.557500000001</v>
      </c>
      <c r="H40" s="9">
        <v>166.29249999999905</v>
      </c>
      <c r="I40" s="9">
        <v>-1.9480000000000608</v>
      </c>
      <c r="J40" s="9">
        <v>-9.1776000000000195</v>
      </c>
      <c r="K40" s="10">
        <v>436.77</v>
      </c>
      <c r="L40" s="11">
        <v>296.59999999999997</v>
      </c>
      <c r="M40" s="12">
        <f t="shared" si="22"/>
        <v>-3572.904120000032</v>
      </c>
      <c r="N40" s="13">
        <f t="shared" ref="N40" si="24">M40/G40</f>
        <v>-0.25867071467395025</v>
      </c>
      <c r="O40" s="14">
        <v>46212</v>
      </c>
      <c r="P40" s="15" t="s">
        <v>367</v>
      </c>
    </row>
    <row r="41" spans="3:16" x14ac:dyDescent="0.25">
      <c r="C41" s="7" t="s">
        <v>33</v>
      </c>
      <c r="D41" s="7" t="s">
        <v>26</v>
      </c>
      <c r="E41" s="7" t="s">
        <v>103</v>
      </c>
      <c r="F41" s="8" t="s">
        <v>102</v>
      </c>
      <c r="G41" s="9">
        <v>22127.160400000001</v>
      </c>
      <c r="H41" s="9">
        <v>127.83959999999934</v>
      </c>
      <c r="I41" s="9">
        <v>-1.7435999999999297</v>
      </c>
      <c r="J41" s="9">
        <v>-7.9682999999998714</v>
      </c>
      <c r="K41" s="10">
        <v>436.77</v>
      </c>
      <c r="L41" s="11">
        <v>296.59999999999997</v>
      </c>
      <c r="M41" s="12">
        <f t="shared" si="22"/>
        <v>-3124.9499519999308</v>
      </c>
      <c r="N41" s="13">
        <f t="shared" si="21"/>
        <v>-0.14122688566942962</v>
      </c>
      <c r="O41" s="14">
        <v>46212</v>
      </c>
      <c r="P41" s="15" t="s">
        <v>367</v>
      </c>
    </row>
    <row r="42" spans="3:16" ht="15.75" thickBot="1" x14ac:dyDescent="0.3">
      <c r="C42" s="7" t="s">
        <v>33</v>
      </c>
      <c r="D42" s="7" t="s">
        <v>26</v>
      </c>
      <c r="E42" s="204" t="s">
        <v>131</v>
      </c>
      <c r="F42" s="205" t="s">
        <v>132</v>
      </c>
      <c r="G42" s="9">
        <v>19902.0514</v>
      </c>
      <c r="H42" s="9">
        <v>164.94859999999926</v>
      </c>
      <c r="I42" s="9">
        <v>5.0256999999999579</v>
      </c>
      <c r="J42" s="9">
        <v>-6.8641000000000929</v>
      </c>
      <c r="K42" s="10">
        <v>436.77</v>
      </c>
      <c r="L42" s="11">
        <v>296.59999999999997</v>
      </c>
      <c r="M42" s="12">
        <f t="shared" si="22"/>
        <v>159.18292899995413</v>
      </c>
      <c r="N42" s="13">
        <f t="shared" si="21"/>
        <v>7.9983176508103149E-3</v>
      </c>
      <c r="O42" s="14">
        <v>46212</v>
      </c>
      <c r="P42" s="15" t="s">
        <v>367</v>
      </c>
    </row>
    <row r="43" spans="3:16" ht="15" customHeight="1" thickBot="1" x14ac:dyDescent="0.3">
      <c r="C43" s="212" t="s">
        <v>48</v>
      </c>
      <c r="D43" s="213"/>
      <c r="E43" s="213"/>
      <c r="F43" s="214"/>
      <c r="G43" s="39">
        <f>SUM(G34:G42)</f>
        <v>188754.39070000002</v>
      </c>
      <c r="H43" s="22">
        <f>SUM(H34:H42)</f>
        <v>671.25929999999653</v>
      </c>
      <c r="I43" s="22">
        <f>SUM(I34:I42)</f>
        <v>-13.723772000000256</v>
      </c>
      <c r="J43" s="22">
        <f>SUM(J34:J42)</f>
        <v>-91.037101000000391</v>
      </c>
      <c r="K43" s="40">
        <f t="shared" ref="K43:L43" si="25">SUM(K34:K41)</f>
        <v>3494.16</v>
      </c>
      <c r="L43" s="40">
        <f t="shared" si="25"/>
        <v>2372.7999999999997</v>
      </c>
      <c r="M43" s="22">
        <f>SUM(M34:M42)</f>
        <v>-32995.736053040229</v>
      </c>
      <c r="N43" s="23">
        <f>M43/G43</f>
        <v>-0.17480778026235458</v>
      </c>
      <c r="O43" s="24"/>
      <c r="P43" s="25"/>
    </row>
    <row r="44" spans="3:16" ht="15.75" thickBot="1" x14ac:dyDescent="0.3">
      <c r="H44" s="20"/>
      <c r="I44" s="20"/>
      <c r="J44" s="20"/>
      <c r="M44" s="20"/>
      <c r="N44" s="20"/>
      <c r="O44" s="20"/>
    </row>
    <row r="45" spans="3:16" x14ac:dyDescent="0.25">
      <c r="C45" s="33" t="str">
        <f t="shared" ref="C45:P45" si="26">C33</f>
        <v>State</v>
      </c>
      <c r="D45" s="34" t="str">
        <f t="shared" si="26"/>
        <v>Type</v>
      </c>
      <c r="E45" s="34" t="str">
        <f t="shared" si="26"/>
        <v>Code</v>
      </c>
      <c r="F45" s="35" t="str">
        <f t="shared" si="26"/>
        <v>BMC Name</v>
      </c>
      <c r="G45" s="34" t="str">
        <f t="shared" si="26"/>
        <v>MTD Volume</v>
      </c>
      <c r="H45" s="36" t="str">
        <f t="shared" si="26"/>
        <v>Vol Kg</v>
      </c>
      <c r="I45" s="36" t="str">
        <f t="shared" si="26"/>
        <v>FAT kg</v>
      </c>
      <c r="J45" s="36" t="str">
        <f t="shared" si="26"/>
        <v>SNF Kg</v>
      </c>
      <c r="K45" s="34" t="str">
        <f t="shared" si="26"/>
        <v>FAT Rate</v>
      </c>
      <c r="L45" s="34" t="str">
        <f t="shared" si="26"/>
        <v>SNF Rate</v>
      </c>
      <c r="M45" s="36" t="str">
        <f t="shared" si="26"/>
        <v>Amount</v>
      </c>
      <c r="N45" s="34" t="str">
        <f t="shared" si="26"/>
        <v>Loss/gain per Kg</v>
      </c>
      <c r="O45" s="34" t="str">
        <f t="shared" si="26"/>
        <v>Day book received till</v>
      </c>
      <c r="P45" s="37" t="str">
        <f t="shared" si="26"/>
        <v>Remarks</v>
      </c>
    </row>
    <row r="46" spans="3:16" x14ac:dyDescent="0.25">
      <c r="C46" s="6" t="s">
        <v>49</v>
      </c>
      <c r="D46" s="7" t="s">
        <v>16</v>
      </c>
      <c r="E46" s="7" t="s">
        <v>50</v>
      </c>
      <c r="F46" s="8" t="s">
        <v>51</v>
      </c>
      <c r="G46" s="9">
        <v>67528.100000000006</v>
      </c>
      <c r="H46" s="12">
        <v>528.29999999999404</v>
      </c>
      <c r="I46" s="12">
        <v>58.162199999999899</v>
      </c>
      <c r="J46" s="12">
        <v>-41.9701200000002</v>
      </c>
      <c r="K46" s="10">
        <v>420.58</v>
      </c>
      <c r="L46" s="11">
        <v>296.59999999999997</v>
      </c>
      <c r="M46" s="12">
        <f t="shared" ref="M46" si="27">I46*K46+J46*L46</f>
        <v>12013.520483999899</v>
      </c>
      <c r="N46" s="13">
        <f t="shared" ref="N46:N59" si="28">M46/G46</f>
        <v>0.17790402045962936</v>
      </c>
      <c r="O46" s="14">
        <v>46214</v>
      </c>
      <c r="P46" s="15" t="s">
        <v>427</v>
      </c>
    </row>
    <row r="47" spans="3:16" x14ac:dyDescent="0.25">
      <c r="C47" s="6" t="s">
        <v>49</v>
      </c>
      <c r="D47" s="7" t="s">
        <v>16</v>
      </c>
      <c r="E47" s="7" t="s">
        <v>52</v>
      </c>
      <c r="F47" s="8" t="s">
        <v>53</v>
      </c>
      <c r="G47" s="9">
        <v>44467.58</v>
      </c>
      <c r="H47" s="12">
        <v>82.419999999998296</v>
      </c>
      <c r="I47" s="12">
        <v>20.0015999999999</v>
      </c>
      <c r="J47" s="12">
        <v>-24.378999999998999</v>
      </c>
      <c r="K47" s="10">
        <v>420.58</v>
      </c>
      <c r="L47" s="11">
        <v>296.59999999999997</v>
      </c>
      <c r="M47" s="12">
        <f t="shared" ref="M47:M58" si="29">I47*K47+J47*L47</f>
        <v>1181.4615280002563</v>
      </c>
      <c r="N47" s="13">
        <f t="shared" si="28"/>
        <v>2.6569053859019452E-2</v>
      </c>
      <c r="O47" s="14">
        <v>46211</v>
      </c>
      <c r="P47" s="15" t="s">
        <v>366</v>
      </c>
    </row>
    <row r="48" spans="3:16" x14ac:dyDescent="0.25">
      <c r="C48" s="6" t="s">
        <v>49</v>
      </c>
      <c r="D48" s="7" t="s">
        <v>16</v>
      </c>
      <c r="E48" s="7" t="s">
        <v>141</v>
      </c>
      <c r="F48" s="8" t="s">
        <v>130</v>
      </c>
      <c r="G48" s="9">
        <v>15690.9</v>
      </c>
      <c r="H48" s="12">
        <v>32.600000000000399</v>
      </c>
      <c r="I48" s="12">
        <v>2.7325000000000101</v>
      </c>
      <c r="J48" s="12">
        <v>5.7467499999998797</v>
      </c>
      <c r="K48" s="10">
        <v>420.58</v>
      </c>
      <c r="L48" s="11">
        <v>296.59999999999997</v>
      </c>
      <c r="M48" s="12">
        <f t="shared" si="29"/>
        <v>2853.7208999999684</v>
      </c>
      <c r="N48" s="13">
        <f t="shared" si="28"/>
        <v>0.18187107814083123</v>
      </c>
      <c r="O48" s="14">
        <v>46212</v>
      </c>
      <c r="P48" s="15" t="s">
        <v>367</v>
      </c>
    </row>
    <row r="49" spans="3:16" x14ac:dyDescent="0.25">
      <c r="C49" s="6" t="s">
        <v>49</v>
      </c>
      <c r="D49" s="7" t="s">
        <v>16</v>
      </c>
      <c r="E49" s="7" t="s">
        <v>157</v>
      </c>
      <c r="F49" s="8" t="s">
        <v>158</v>
      </c>
      <c r="G49" s="9">
        <v>41673.199999999997</v>
      </c>
      <c r="H49" s="12">
        <v>3316.8</v>
      </c>
      <c r="I49" s="12">
        <v>-135.5367</v>
      </c>
      <c r="J49" s="12">
        <v>207.593899999999</v>
      </c>
      <c r="K49" s="10">
        <v>420.58</v>
      </c>
      <c r="L49" s="11">
        <v>296.59999999999997</v>
      </c>
      <c r="M49" s="12">
        <f t="shared" ref="M49" si="30">I49*K49+J49*L49</f>
        <v>4568.3254539996997</v>
      </c>
      <c r="N49" s="13">
        <f t="shared" ref="N49" si="31">M49/G49</f>
        <v>0.1096226220688524</v>
      </c>
      <c r="O49" s="14">
        <v>46212</v>
      </c>
      <c r="P49" s="15" t="s">
        <v>367</v>
      </c>
    </row>
    <row r="50" spans="3:16" x14ac:dyDescent="0.25">
      <c r="C50" s="6" t="s">
        <v>49</v>
      </c>
      <c r="D50" s="7" t="s">
        <v>16</v>
      </c>
      <c r="E50" s="7" t="s">
        <v>54</v>
      </c>
      <c r="F50" s="8" t="s">
        <v>55</v>
      </c>
      <c r="G50" s="9">
        <v>26274.500000000004</v>
      </c>
      <c r="H50" s="12">
        <v>-40.699999999999797</v>
      </c>
      <c r="I50" s="12">
        <v>44.867899999999899</v>
      </c>
      <c r="J50" s="12">
        <v>2.18414999999976</v>
      </c>
      <c r="K50" s="10">
        <v>420.58</v>
      </c>
      <c r="L50" s="11">
        <v>296.59999999999997</v>
      </c>
      <c r="M50" s="12">
        <f t="shared" si="29"/>
        <v>19518.360271999885</v>
      </c>
      <c r="N50" s="13">
        <f t="shared" si="28"/>
        <v>0.74286324276389204</v>
      </c>
      <c r="O50" s="14">
        <v>46214</v>
      </c>
      <c r="P50" s="15" t="s">
        <v>427</v>
      </c>
    </row>
    <row r="51" spans="3:16" x14ac:dyDescent="0.25">
      <c r="C51" s="6" t="s">
        <v>49</v>
      </c>
      <c r="D51" s="7" t="s">
        <v>16</v>
      </c>
      <c r="E51" s="7" t="s">
        <v>56</v>
      </c>
      <c r="F51" s="8" t="s">
        <v>57</v>
      </c>
      <c r="G51" s="9">
        <v>45636.200000000004</v>
      </c>
      <c r="H51" s="12">
        <v>-220.99999999999901</v>
      </c>
      <c r="I51" s="12">
        <v>72.297100000000199</v>
      </c>
      <c r="J51" s="12">
        <v>-147.23352000000099</v>
      </c>
      <c r="K51" s="10">
        <v>420.58</v>
      </c>
      <c r="L51" s="11">
        <v>296.59999999999997</v>
      </c>
      <c r="M51" s="12">
        <f t="shared" si="29"/>
        <v>-13262.747714000205</v>
      </c>
      <c r="N51" s="13">
        <f t="shared" si="28"/>
        <v>-0.29061901985704774</v>
      </c>
      <c r="O51" s="14">
        <v>46214</v>
      </c>
      <c r="P51" s="15" t="s">
        <v>427</v>
      </c>
    </row>
    <row r="52" spans="3:16" x14ac:dyDescent="0.25">
      <c r="C52" s="6" t="s">
        <v>49</v>
      </c>
      <c r="D52" s="7" t="s">
        <v>16</v>
      </c>
      <c r="E52" s="7" t="s">
        <v>129</v>
      </c>
      <c r="F52" s="8" t="s">
        <v>142</v>
      </c>
      <c r="G52" s="9">
        <v>47976.899999999994</v>
      </c>
      <c r="H52" s="12">
        <v>118.4</v>
      </c>
      <c r="I52" s="12">
        <v>81.466120000000004</v>
      </c>
      <c r="J52" s="12">
        <v>19.232120000000201</v>
      </c>
      <c r="K52" s="10">
        <v>420.58</v>
      </c>
      <c r="L52" s="11">
        <v>296.59999999999997</v>
      </c>
      <c r="M52" s="12">
        <f t="shared" si="29"/>
        <v>39967.267541600057</v>
      </c>
      <c r="N52" s="13">
        <f t="shared" ref="N52" si="32">M52/G52</f>
        <v>0.83305231354256026</v>
      </c>
      <c r="O52" s="14">
        <v>46214</v>
      </c>
      <c r="P52" s="15" t="s">
        <v>427</v>
      </c>
    </row>
    <row r="53" spans="3:16" x14ac:dyDescent="0.25">
      <c r="C53" s="6" t="s">
        <v>49</v>
      </c>
      <c r="D53" s="7" t="s">
        <v>16</v>
      </c>
      <c r="E53" s="7" t="s">
        <v>58</v>
      </c>
      <c r="F53" s="8" t="s">
        <v>59</v>
      </c>
      <c r="G53" s="9">
        <v>15468.9</v>
      </c>
      <c r="H53" s="12">
        <v>-298.89999999999901</v>
      </c>
      <c r="I53" s="12">
        <v>1.40789999999995</v>
      </c>
      <c r="J53" s="12">
        <v>-31.0811999999999</v>
      </c>
      <c r="K53" s="10">
        <v>420.58</v>
      </c>
      <c r="L53" s="11">
        <v>296.59999999999997</v>
      </c>
      <c r="M53" s="12">
        <f t="shared" si="29"/>
        <v>-8626.5493379999898</v>
      </c>
      <c r="N53" s="13">
        <f t="shared" si="28"/>
        <v>-0.55767050908597182</v>
      </c>
      <c r="O53" s="14">
        <v>46214</v>
      </c>
      <c r="P53" s="15" t="s">
        <v>427</v>
      </c>
    </row>
    <row r="54" spans="3:16" x14ac:dyDescent="0.25">
      <c r="C54" s="6" t="s">
        <v>49</v>
      </c>
      <c r="D54" s="7" t="s">
        <v>16</v>
      </c>
      <c r="E54" s="17" t="s">
        <v>109</v>
      </c>
      <c r="F54" s="18" t="s">
        <v>110</v>
      </c>
      <c r="G54" s="31">
        <v>80373.499999999985</v>
      </c>
      <c r="H54" s="32">
        <v>-85.690874259837102</v>
      </c>
      <c r="I54" s="32">
        <v>136.28540176017</v>
      </c>
      <c r="J54" s="32">
        <v>-0.83632105756572594</v>
      </c>
      <c r="K54" s="10">
        <v>420.58</v>
      </c>
      <c r="L54" s="11">
        <v>296.59999999999997</v>
      </c>
      <c r="M54" s="12">
        <f t="shared" si="29"/>
        <v>57070.861446618306</v>
      </c>
      <c r="N54" s="13">
        <f t="shared" ref="N54:N57" si="33">M54/G54</f>
        <v>0.71007062584829972</v>
      </c>
      <c r="O54" s="14">
        <v>46213</v>
      </c>
      <c r="P54" s="15" t="s">
        <v>428</v>
      </c>
    </row>
    <row r="55" spans="3:16" x14ac:dyDescent="0.25">
      <c r="C55" s="6" t="s">
        <v>49</v>
      </c>
      <c r="D55" s="7" t="s">
        <v>16</v>
      </c>
      <c r="E55" s="17" t="s">
        <v>143</v>
      </c>
      <c r="F55" s="18" t="s">
        <v>144</v>
      </c>
      <c r="G55" s="31">
        <v>27917.100000000002</v>
      </c>
      <c r="H55" s="32">
        <v>233.9</v>
      </c>
      <c r="I55" s="32">
        <v>10.1309000000001</v>
      </c>
      <c r="J55" s="32">
        <v>31.521700000000099</v>
      </c>
      <c r="K55" s="10">
        <v>420.58</v>
      </c>
      <c r="L55" s="11">
        <v>296.59999999999997</v>
      </c>
      <c r="M55" s="12">
        <f t="shared" si="29"/>
        <v>13610.19014200007</v>
      </c>
      <c r="N55" s="13">
        <f t="shared" ref="N55:N56" si="34">M55/G55</f>
        <v>0.48752163161646694</v>
      </c>
      <c r="O55" s="14">
        <v>46211</v>
      </c>
      <c r="P55" s="15" t="s">
        <v>366</v>
      </c>
    </row>
    <row r="56" spans="3:16" x14ac:dyDescent="0.25">
      <c r="C56" s="6" t="s">
        <v>49</v>
      </c>
      <c r="D56" s="7" t="s">
        <v>16</v>
      </c>
      <c r="E56" s="17" t="s">
        <v>172</v>
      </c>
      <c r="F56" s="18" t="s">
        <v>173</v>
      </c>
      <c r="G56" s="31">
        <v>18577.000000000004</v>
      </c>
      <c r="H56" s="32">
        <v>142.537190082645</v>
      </c>
      <c r="I56" s="32">
        <v>14.034191272363801</v>
      </c>
      <c r="J56" s="32">
        <v>32.680197714911699</v>
      </c>
      <c r="K56" s="10">
        <v>420.58</v>
      </c>
      <c r="L56" s="11">
        <v>296.59999999999997</v>
      </c>
      <c r="M56" s="12">
        <f t="shared" si="29"/>
        <v>15595.446807573575</v>
      </c>
      <c r="N56" s="13">
        <f t="shared" si="34"/>
        <v>0.83950297720695333</v>
      </c>
      <c r="O56" s="14">
        <v>46213</v>
      </c>
      <c r="P56" s="15" t="s">
        <v>428</v>
      </c>
    </row>
    <row r="57" spans="3:16" x14ac:dyDescent="0.25">
      <c r="C57" s="6" t="s">
        <v>49</v>
      </c>
      <c r="D57" s="7" t="s">
        <v>16</v>
      </c>
      <c r="E57" s="17" t="s">
        <v>139</v>
      </c>
      <c r="F57" s="18" t="s">
        <v>140</v>
      </c>
      <c r="G57" s="31">
        <v>17469.700000000004</v>
      </c>
      <c r="H57" s="32">
        <v>136.29999999999899</v>
      </c>
      <c r="I57" s="32">
        <v>0.73969999999993497</v>
      </c>
      <c r="J57" s="32">
        <v>17.2729999999999</v>
      </c>
      <c r="K57" s="10">
        <v>420.58</v>
      </c>
      <c r="L57" s="11">
        <v>296.59999999999997</v>
      </c>
      <c r="M57" s="12">
        <f t="shared" si="29"/>
        <v>5434.2748259999425</v>
      </c>
      <c r="N57" s="13">
        <f t="shared" si="33"/>
        <v>0.31106858308957458</v>
      </c>
      <c r="O57" s="14">
        <v>46214</v>
      </c>
      <c r="P57" s="15" t="s">
        <v>427</v>
      </c>
    </row>
    <row r="58" spans="3:16" ht="15.75" thickBot="1" x14ac:dyDescent="0.3">
      <c r="C58" s="16" t="s">
        <v>49</v>
      </c>
      <c r="D58" s="17" t="s">
        <v>16</v>
      </c>
      <c r="E58" s="17" t="s">
        <v>60</v>
      </c>
      <c r="F58" s="18" t="s">
        <v>61</v>
      </c>
      <c r="G58" s="31">
        <v>32154</v>
      </c>
      <c r="H58" s="32">
        <v>25.0000000000007</v>
      </c>
      <c r="I58" s="32">
        <v>35.658199999999802</v>
      </c>
      <c r="J58" s="32">
        <v>46.685899999999698</v>
      </c>
      <c r="K58" s="10">
        <v>420.58</v>
      </c>
      <c r="L58" s="11">
        <v>296.59999999999997</v>
      </c>
      <c r="M58" s="12">
        <f t="shared" si="29"/>
        <v>28844.163695999825</v>
      </c>
      <c r="N58" s="19">
        <f t="shared" si="28"/>
        <v>0.89706299981339255</v>
      </c>
      <c r="O58" s="14">
        <v>46211</v>
      </c>
      <c r="P58" s="15" t="s">
        <v>366</v>
      </c>
    </row>
    <row r="59" spans="3:16" ht="15.75" thickBot="1" x14ac:dyDescent="0.3">
      <c r="C59" s="217" t="s">
        <v>62</v>
      </c>
      <c r="D59" s="218"/>
      <c r="E59" s="218"/>
      <c r="F59" s="218"/>
      <c r="G59" s="41">
        <v>60170.6</v>
      </c>
      <c r="H59" s="22">
        <v>215.400000000001</v>
      </c>
      <c r="I59" s="22">
        <v>18.2847000000002</v>
      </c>
      <c r="J59" s="22">
        <v>34.836400000000403</v>
      </c>
      <c r="K59" s="40"/>
      <c r="L59" s="40"/>
      <c r="M59" s="22">
        <f>SUM(M46:M58)</f>
        <v>178768.2960457913</v>
      </c>
      <c r="N59" s="23">
        <f t="shared" si="28"/>
        <v>2.9710239892205048</v>
      </c>
      <c r="O59" s="24"/>
      <c r="P59" s="42"/>
    </row>
  </sheetData>
  <mergeCells count="5">
    <mergeCell ref="C59:F59"/>
    <mergeCell ref="C2:P2"/>
    <mergeCell ref="C18:F18"/>
    <mergeCell ref="C31:F31"/>
    <mergeCell ref="U4:Z4"/>
  </mergeCells>
  <conditionalFormatting sqref="H4:N17">
    <cfRule type="cellIs" dxfId="140" priority="5" operator="greaterThan">
      <formula>0</formula>
    </cfRule>
    <cfRule type="cellIs" dxfId="139" priority="6" operator="lessThan">
      <formula>0</formula>
    </cfRule>
  </conditionalFormatting>
  <conditionalFormatting sqref="H20:N30">
    <cfRule type="cellIs" dxfId="138" priority="1" operator="greaterThan">
      <formula>0</formula>
    </cfRule>
    <cfRule type="cellIs" dxfId="137" priority="2" operator="lessThan">
      <formula>0</formula>
    </cfRule>
  </conditionalFormatting>
  <conditionalFormatting sqref="H34:N42">
    <cfRule type="cellIs" dxfId="136" priority="7" operator="greaterThan">
      <formula>0</formula>
    </cfRule>
    <cfRule type="cellIs" dxfId="135" priority="8" operator="lessThan">
      <formula>0</formula>
    </cfRule>
  </conditionalFormatting>
  <conditionalFormatting sqref="H46:N58">
    <cfRule type="cellIs" dxfId="134" priority="23" operator="greaterThan">
      <formula>0</formula>
    </cfRule>
    <cfRule type="cellIs" dxfId="133" priority="24" operator="lessThan">
      <formula>0</formula>
    </cfRule>
  </conditionalFormatting>
  <conditionalFormatting sqref="H18:O19 H31:O32">
    <cfRule type="cellIs" dxfId="132" priority="65" operator="greaterThan">
      <formula>0</formula>
    </cfRule>
    <cfRule type="cellIs" dxfId="131" priority="66" operator="lessThan">
      <formula>0</formula>
    </cfRule>
  </conditionalFormatting>
  <conditionalFormatting sqref="H43:O44">
    <cfRule type="cellIs" dxfId="130" priority="63" operator="greaterThan">
      <formula>0</formula>
    </cfRule>
    <cfRule type="cellIs" dxfId="129" priority="64" operator="lessThan">
      <formula>0</formula>
    </cfRule>
  </conditionalFormatting>
  <conditionalFormatting sqref="H59:O59">
    <cfRule type="cellIs" dxfId="128" priority="67" operator="greaterThan">
      <formula>0</formula>
    </cfRule>
    <cfRule type="cellIs" dxfId="127" priority="6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69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8" sqref="AC18:AE18"/>
    </sheetView>
  </sheetViews>
  <sheetFormatPr defaultRowHeight="15" x14ac:dyDescent="0.25"/>
  <cols>
    <col min="1" max="1" width="3.42578125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6" width="5" bestFit="1" customWidth="1"/>
    <col min="17" max="17" width="6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63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30" t="s">
        <v>64</v>
      </c>
      <c r="C2" s="232" t="s">
        <v>65</v>
      </c>
      <c r="D2" s="234" t="s">
        <v>66</v>
      </c>
      <c r="E2" s="235"/>
      <c r="F2" s="235"/>
      <c r="G2" s="235"/>
      <c r="H2" s="236"/>
      <c r="I2" s="227" t="s">
        <v>67</v>
      </c>
      <c r="J2" s="228"/>
      <c r="K2" s="228"/>
      <c r="L2" s="229"/>
      <c r="M2" s="227" t="s">
        <v>68</v>
      </c>
      <c r="N2" s="228"/>
      <c r="O2" s="228"/>
      <c r="P2" s="228"/>
      <c r="Q2" s="229"/>
      <c r="R2" s="227" t="s">
        <v>69</v>
      </c>
      <c r="S2" s="228"/>
      <c r="T2" s="229"/>
      <c r="U2" s="224" t="s">
        <v>70</v>
      </c>
      <c r="V2" s="225"/>
      <c r="W2" s="225"/>
      <c r="X2" s="225"/>
      <c r="Y2" s="225"/>
      <c r="Z2" s="225"/>
      <c r="AA2" s="225"/>
      <c r="AB2" s="226"/>
      <c r="AC2" s="227" t="s">
        <v>71</v>
      </c>
      <c r="AD2" s="228"/>
      <c r="AE2" s="228"/>
      <c r="AF2" s="228"/>
      <c r="AG2" s="229"/>
      <c r="AH2" s="227" t="s">
        <v>72</v>
      </c>
      <c r="AI2" s="228"/>
      <c r="AJ2" s="228"/>
      <c r="AK2" s="228"/>
      <c r="AL2" s="229"/>
      <c r="AM2" s="224" t="s">
        <v>73</v>
      </c>
      <c r="AN2" s="225"/>
      <c r="AO2" s="225"/>
      <c r="AP2" s="225"/>
      <c r="AQ2" s="226"/>
    </row>
    <row r="3" spans="1:46" x14ac:dyDescent="0.25">
      <c r="B3" s="231"/>
      <c r="C3" s="23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0</v>
      </c>
      <c r="E4" s="54">
        <v>0</v>
      </c>
      <c r="F4" s="55">
        <v>0</v>
      </c>
      <c r="G4" s="62">
        <f t="shared" ref="G4" si="0">+D4*E4%</f>
        <v>0</v>
      </c>
      <c r="H4" s="63">
        <f t="shared" ref="H4" si="1">+D4*F4%</f>
        <v>0</v>
      </c>
      <c r="I4" s="202">
        <v>707.5999999999998</v>
      </c>
      <c r="J4" s="202">
        <v>728.82799999999986</v>
      </c>
      <c r="K4" s="202">
        <v>4.4560910118711137</v>
      </c>
      <c r="L4" s="202">
        <v>8.311136235161106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728.82799999999986</v>
      </c>
      <c r="S4" s="62">
        <f t="shared" ref="S4" si="2">+J4*K4%+O4*P4%</f>
        <v>32.47723899999999</v>
      </c>
      <c r="T4" s="63">
        <f t="shared" ref="T4" si="3">+J4*L4%+O4*Q4%</f>
        <v>60.573887999999968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71">
        <v>729</v>
      </c>
      <c r="AI4" s="66">
        <v>4.45</v>
      </c>
      <c r="AJ4" s="66">
        <v>8.3000000000000007</v>
      </c>
      <c r="AK4" s="62">
        <f t="shared" ref="AK4:AK22" si="8">AH4*AI4%</f>
        <v>32.4405</v>
      </c>
      <c r="AL4" s="72">
        <f t="shared" ref="AL4:AL22" si="9">AH4*AJ4%</f>
        <v>60.507000000000005</v>
      </c>
      <c r="AM4" s="73">
        <f>+D4+R4-AC4-AH4</f>
        <v>-0.17200000000013915</v>
      </c>
      <c r="AN4" s="74">
        <f t="shared" ref="AN4:AO4" si="10">+G4+S4-AF4-AK4</f>
        <v>3.6738999999990085E-2</v>
      </c>
      <c r="AO4" s="74">
        <f t="shared" si="10"/>
        <v>6.6887999999963199E-2</v>
      </c>
      <c r="AP4" s="75">
        <f>(AN4+AO4)/(S4+T4)</f>
        <v>1.1136565815044169E-3</v>
      </c>
      <c r="AQ4" s="76">
        <f t="shared" ref="AQ4" si="11">($AP$1*AN4+$AQ$1*AO4)</f>
        <v>37.686645751957407</v>
      </c>
      <c r="AR4" s="77">
        <f t="shared" ref="AR4:AR65" si="12">(D4+J4+O4)-(X4+AH4)</f>
        <v>-0.17200000000013915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729</v>
      </c>
      <c r="E5" s="62">
        <v>4.45</v>
      </c>
      <c r="F5" s="62">
        <v>8.3000000000000007</v>
      </c>
      <c r="G5" s="62">
        <f t="shared" ref="G5:G65" si="14">+D5*E5%</f>
        <v>32.4405</v>
      </c>
      <c r="H5" s="63">
        <f t="shared" ref="H5:H65" si="15">+D5*F5%</f>
        <v>60.507000000000005</v>
      </c>
      <c r="I5" s="202">
        <v>2484.4</v>
      </c>
      <c r="J5" s="202">
        <v>2558.9320000000002</v>
      </c>
      <c r="K5" s="202">
        <v>3.6204797939140243</v>
      </c>
      <c r="L5" s="202">
        <v>8.0191957816776682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6">+J5+O5</f>
        <v>2558.9320000000002</v>
      </c>
      <c r="S5" s="62">
        <f t="shared" ref="S5:S65" si="17">+J5*K5%+O5*P5%</f>
        <v>92.645616000000032</v>
      </c>
      <c r="T5" s="63">
        <f t="shared" ref="T5:T65" si="18">+J5*L5%+O5*Q5%</f>
        <v>205.20576700000001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9">X5*Y5%</f>
        <v>0</v>
      </c>
      <c r="AB5" s="63">
        <f t="shared" ref="AB5:AB65" si="20">X5*Z5%</f>
        <v>0</v>
      </c>
      <c r="AC5" s="69"/>
      <c r="AD5" s="70"/>
      <c r="AE5" s="70"/>
      <c r="AF5" s="62">
        <f t="shared" ref="AF5:AF65" si="21">AC5*AD5%</f>
        <v>0</v>
      </c>
      <c r="AG5" s="63">
        <f t="shared" ref="AG5:AG65" si="22">AC5*AE5%</f>
        <v>0</v>
      </c>
      <c r="AH5" s="71">
        <v>3288</v>
      </c>
      <c r="AI5" s="66">
        <v>3.8</v>
      </c>
      <c r="AJ5" s="66">
        <v>8.11</v>
      </c>
      <c r="AK5" s="62">
        <f t="shared" si="8"/>
        <v>124.944</v>
      </c>
      <c r="AL5" s="72">
        <f t="shared" si="9"/>
        <v>266.65679999999998</v>
      </c>
      <c r="AM5" s="73">
        <f t="shared" ref="AM5:AM65" si="23">+D5+R5-AC5-AH5</f>
        <v>-6.7999999999756255E-2</v>
      </c>
      <c r="AN5" s="74">
        <f t="shared" ref="AN5:AN65" si="24">+G5+S5-AF5-AK5</f>
        <v>0.14211600000002989</v>
      </c>
      <c r="AO5" s="74">
        <f t="shared" ref="AO5:AO65" si="25">+H5+T5-AG5-AL5</f>
        <v>-0.94403299999999035</v>
      </c>
      <c r="AP5" s="75">
        <f t="shared" ref="AP5:AP65" si="26">(AN5+AO5)/(S5+T5)</f>
        <v>-2.6923393536835124E-3</v>
      </c>
      <c r="AQ5" s="76">
        <f t="shared" ref="AQ5:AQ65" si="27">($AP$1*AN5+$AQ$1*AO5)</f>
        <v>-214.43811586794902</v>
      </c>
      <c r="AR5" s="77">
        <f t="shared" si="12"/>
        <v>-6.7999999999756255E-2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3288</v>
      </c>
      <c r="E6" s="62">
        <v>3.8</v>
      </c>
      <c r="F6" s="62">
        <v>8.11</v>
      </c>
      <c r="G6" s="62">
        <f t="shared" si="14"/>
        <v>124.944</v>
      </c>
      <c r="H6" s="63">
        <f t="shared" si="15"/>
        <v>266.65679999999998</v>
      </c>
      <c r="I6" s="202">
        <v>742.49999999999989</v>
      </c>
      <c r="J6" s="202">
        <v>764.77499999999986</v>
      </c>
      <c r="K6" s="202">
        <v>4.5745454545454542</v>
      </c>
      <c r="L6" s="202">
        <v>8.3411313131313136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6"/>
        <v>764.77499999999986</v>
      </c>
      <c r="S6" s="62">
        <f t="shared" si="17"/>
        <v>34.984979999999993</v>
      </c>
      <c r="T6" s="63">
        <f t="shared" si="18"/>
        <v>63.790886999999998</v>
      </c>
      <c r="U6" s="64" t="s">
        <v>171</v>
      </c>
      <c r="V6" s="65" t="s">
        <v>214</v>
      </c>
      <c r="W6" s="66" t="s">
        <v>149</v>
      </c>
      <c r="X6" s="67">
        <v>3130</v>
      </c>
      <c r="Y6" s="68">
        <v>4.1500000000000004</v>
      </c>
      <c r="Z6" s="68">
        <v>8.24</v>
      </c>
      <c r="AA6" s="62">
        <f t="shared" si="19"/>
        <v>129.89500000000001</v>
      </c>
      <c r="AB6" s="63">
        <f t="shared" si="20"/>
        <v>257.91199999999998</v>
      </c>
      <c r="AC6" s="69">
        <v>3110</v>
      </c>
      <c r="AD6" s="70">
        <v>4</v>
      </c>
      <c r="AE6" s="70">
        <v>7.96</v>
      </c>
      <c r="AF6" s="62">
        <f t="shared" si="21"/>
        <v>124.4</v>
      </c>
      <c r="AG6" s="63">
        <f t="shared" si="22"/>
        <v>247.55600000000001</v>
      </c>
      <c r="AH6" s="71">
        <v>923</v>
      </c>
      <c r="AI6" s="66">
        <v>3.94</v>
      </c>
      <c r="AJ6" s="66">
        <v>8.24</v>
      </c>
      <c r="AK6" s="62">
        <f t="shared" si="8"/>
        <v>36.366199999999999</v>
      </c>
      <c r="AL6" s="72">
        <f t="shared" si="9"/>
        <v>76.055199999999999</v>
      </c>
      <c r="AM6" s="73">
        <f t="shared" si="23"/>
        <v>19.774999999999636</v>
      </c>
      <c r="AN6" s="74">
        <f t="shared" si="24"/>
        <v>-0.83722000000000918</v>
      </c>
      <c r="AO6" s="74">
        <f t="shared" si="25"/>
        <v>6.8364869999999627</v>
      </c>
      <c r="AP6" s="75">
        <f t="shared" si="26"/>
        <v>6.0736161394563656E-2</v>
      </c>
      <c r="AQ6" s="76">
        <f t="shared" si="27"/>
        <v>1645.1555360804982</v>
      </c>
      <c r="AR6" s="77">
        <f t="shared" si="12"/>
        <v>-0.2250000000003638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923</v>
      </c>
      <c r="E7" s="62">
        <v>3.94</v>
      </c>
      <c r="F7" s="62">
        <v>8.24</v>
      </c>
      <c r="G7" s="62">
        <f t="shared" si="14"/>
        <v>36.366199999999999</v>
      </c>
      <c r="H7" s="63">
        <f t="shared" si="15"/>
        <v>76.055199999999999</v>
      </c>
      <c r="I7" s="202">
        <v>1805.2</v>
      </c>
      <c r="J7" s="202">
        <v>1859.356</v>
      </c>
      <c r="K7" s="202">
        <v>3.5941114557943723</v>
      </c>
      <c r="L7" s="202">
        <v>8.0980445380013286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6"/>
        <v>1859.356</v>
      </c>
      <c r="S7" s="62">
        <f t="shared" si="17"/>
        <v>66.827327000000011</v>
      </c>
      <c r="T7" s="63">
        <f t="shared" si="18"/>
        <v>150.57147699999999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9"/>
        <v>0</v>
      </c>
      <c r="AB7" s="63">
        <f t="shared" si="20"/>
        <v>0</v>
      </c>
      <c r="AC7" s="69"/>
      <c r="AD7" s="70"/>
      <c r="AE7" s="70"/>
      <c r="AF7" s="62">
        <f t="shared" si="21"/>
        <v>0</v>
      </c>
      <c r="AG7" s="63">
        <f t="shared" si="22"/>
        <v>0</v>
      </c>
      <c r="AH7" s="71">
        <v>2782</v>
      </c>
      <c r="AI7" s="71">
        <v>3.69</v>
      </c>
      <c r="AJ7" s="71">
        <v>8.1</v>
      </c>
      <c r="AK7" s="62">
        <f t="shared" si="8"/>
        <v>102.6558</v>
      </c>
      <c r="AL7" s="72">
        <f t="shared" si="9"/>
        <v>225.34200000000001</v>
      </c>
      <c r="AM7" s="73">
        <f t="shared" si="23"/>
        <v>0.35599999999976717</v>
      </c>
      <c r="AN7" s="74">
        <f t="shared" si="24"/>
        <v>0.53772700000001805</v>
      </c>
      <c r="AO7" s="74">
        <f t="shared" si="25"/>
        <v>1.2846769999999594</v>
      </c>
      <c r="AP7" s="75">
        <f t="shared" si="26"/>
        <v>8.3827692078746567E-3</v>
      </c>
      <c r="AQ7" s="76">
        <f t="shared" si="27"/>
        <v>643.14464924064134</v>
      </c>
      <c r="AR7" s="77">
        <f t="shared" si="12"/>
        <v>0.35599999999976717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2782</v>
      </c>
      <c r="E8" s="62">
        <v>3.69</v>
      </c>
      <c r="F8" s="62">
        <v>8.1</v>
      </c>
      <c r="G8" s="62">
        <f t="shared" si="14"/>
        <v>102.6558</v>
      </c>
      <c r="H8" s="63">
        <f t="shared" si="15"/>
        <v>225.34200000000001</v>
      </c>
      <c r="I8" s="202">
        <v>780.4</v>
      </c>
      <c r="J8" s="202">
        <v>803.81200000000001</v>
      </c>
      <c r="K8" s="202">
        <v>4.3227703741670949</v>
      </c>
      <c r="L8" s="202">
        <v>8.2282034853921076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6"/>
        <v>803.81200000000001</v>
      </c>
      <c r="S8" s="62">
        <f t="shared" si="17"/>
        <v>34.746947000000006</v>
      </c>
      <c r="T8" s="63">
        <f t="shared" si="18"/>
        <v>66.13928700000001</v>
      </c>
      <c r="U8" s="64" t="s">
        <v>171</v>
      </c>
      <c r="V8" s="65" t="s">
        <v>291</v>
      </c>
      <c r="W8" s="66" t="s">
        <v>149</v>
      </c>
      <c r="X8" s="67">
        <v>3130</v>
      </c>
      <c r="Y8" s="68">
        <v>4.1500000000000004</v>
      </c>
      <c r="Z8" s="68">
        <v>8.24</v>
      </c>
      <c r="AA8" s="62">
        <f t="shared" si="19"/>
        <v>129.89500000000001</v>
      </c>
      <c r="AB8" s="63">
        <f t="shared" si="20"/>
        <v>257.91199999999998</v>
      </c>
      <c r="AC8" s="69">
        <v>3120</v>
      </c>
      <c r="AD8" s="70">
        <v>3.95</v>
      </c>
      <c r="AE8" s="70">
        <v>7.88</v>
      </c>
      <c r="AF8" s="62">
        <f t="shared" si="21"/>
        <v>123.24</v>
      </c>
      <c r="AG8" s="63">
        <f t="shared" si="22"/>
        <v>245.85599999999999</v>
      </c>
      <c r="AH8" s="71">
        <v>457</v>
      </c>
      <c r="AI8" s="71">
        <v>3.82</v>
      </c>
      <c r="AJ8" s="71">
        <v>8.1199999999999992</v>
      </c>
      <c r="AK8" s="62">
        <f t="shared" si="8"/>
        <v>17.4574</v>
      </c>
      <c r="AL8" s="72">
        <f t="shared" si="9"/>
        <v>37.108399999999996</v>
      </c>
      <c r="AM8" s="73">
        <f t="shared" si="23"/>
        <v>8.8119999999998981</v>
      </c>
      <c r="AN8" s="74">
        <f t="shared" si="24"/>
        <v>-3.2946529999999896</v>
      </c>
      <c r="AO8" s="74">
        <f t="shared" si="25"/>
        <v>8.5168870000000183</v>
      </c>
      <c r="AP8" s="75">
        <f t="shared" si="26"/>
        <v>5.1763593435354402E-2</v>
      </c>
      <c r="AQ8" s="76">
        <f t="shared" si="27"/>
        <v>967.54383914055597</v>
      </c>
      <c r="AR8" s="90">
        <f t="shared" ref="AR8:AR21" si="28">(D8+J8+O8)-(X8+AH8)</f>
        <v>-1.1880000000001019</v>
      </c>
    </row>
    <row r="9" spans="1:46" x14ac:dyDescent="0.25">
      <c r="A9" t="str">
        <f t="shared" si="13"/>
        <v>46206E</v>
      </c>
      <c r="B9" s="51">
        <f t="shared" ref="B9:B65" si="29">+B7+1</f>
        <v>46206</v>
      </c>
      <c r="C9" s="52" t="s">
        <v>88</v>
      </c>
      <c r="D9" s="91">
        <v>457</v>
      </c>
      <c r="E9" s="62">
        <v>3.82</v>
      </c>
      <c r="F9" s="62">
        <v>8.1199999999999992</v>
      </c>
      <c r="G9" s="62">
        <f t="shared" si="14"/>
        <v>17.4574</v>
      </c>
      <c r="H9" s="63">
        <f t="shared" si="15"/>
        <v>37.108399999999996</v>
      </c>
      <c r="I9" s="202">
        <v>1969.7</v>
      </c>
      <c r="J9" s="202">
        <v>2028.7910000000002</v>
      </c>
      <c r="K9" s="202">
        <v>3.6246890389399407</v>
      </c>
      <c r="L9" s="202">
        <v>8.1042036858404813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6"/>
        <v>2028.7910000000002</v>
      </c>
      <c r="S9" s="62">
        <f t="shared" si="17"/>
        <v>73.537365000000008</v>
      </c>
      <c r="T9" s="63">
        <f t="shared" si="18"/>
        <v>164.41735499999999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9"/>
        <v>0</v>
      </c>
      <c r="AB9" s="63">
        <f t="shared" si="20"/>
        <v>0</v>
      </c>
      <c r="AC9" s="69"/>
      <c r="AD9" s="70"/>
      <c r="AE9" s="70"/>
      <c r="AF9" s="62">
        <f t="shared" si="21"/>
        <v>0</v>
      </c>
      <c r="AG9" s="63">
        <f t="shared" si="22"/>
        <v>0</v>
      </c>
      <c r="AH9" s="82">
        <v>2485</v>
      </c>
      <c r="AI9" s="82">
        <v>3.65</v>
      </c>
      <c r="AJ9" s="82">
        <v>8.08</v>
      </c>
      <c r="AK9" s="62">
        <f t="shared" si="8"/>
        <v>90.702500000000001</v>
      </c>
      <c r="AL9" s="72">
        <f t="shared" si="9"/>
        <v>200.78799999999998</v>
      </c>
      <c r="AM9" s="73">
        <f t="shared" si="23"/>
        <v>0.79100000000016735</v>
      </c>
      <c r="AN9" s="74">
        <f t="shared" si="24"/>
        <v>0.29226500000000044</v>
      </c>
      <c r="AO9" s="74">
        <f t="shared" si="25"/>
        <v>0.73775499999999283</v>
      </c>
      <c r="AP9" s="75">
        <f t="shared" si="26"/>
        <v>4.3286386586489783E-3</v>
      </c>
      <c r="AQ9" s="76">
        <f t="shared" si="27"/>
        <v>361.39389930905531</v>
      </c>
      <c r="AR9" s="90">
        <f t="shared" si="28"/>
        <v>0.79100000000016735</v>
      </c>
    </row>
    <row r="10" spans="1:46" x14ac:dyDescent="0.25">
      <c r="A10" t="str">
        <f t="shared" si="13"/>
        <v>46207M</v>
      </c>
      <c r="B10" s="51">
        <f t="shared" si="29"/>
        <v>46207</v>
      </c>
      <c r="C10" s="52" t="s">
        <v>87</v>
      </c>
      <c r="D10" s="91">
        <v>2485</v>
      </c>
      <c r="E10" s="62">
        <v>3.65</v>
      </c>
      <c r="F10" s="62">
        <v>8.08</v>
      </c>
      <c r="G10" s="62">
        <f t="shared" si="14"/>
        <v>90.702500000000001</v>
      </c>
      <c r="H10" s="63">
        <f t="shared" si="15"/>
        <v>200.78799999999998</v>
      </c>
      <c r="I10" s="202">
        <v>794.20000000000016</v>
      </c>
      <c r="J10" s="202">
        <v>818.02600000000018</v>
      </c>
      <c r="K10" s="202">
        <v>4.602556031226392</v>
      </c>
      <c r="L10" s="202">
        <v>8.3408964996222643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6"/>
        <v>818.02600000000018</v>
      </c>
      <c r="S10" s="62">
        <f t="shared" si="17"/>
        <v>37.650105000000018</v>
      </c>
      <c r="T10" s="63">
        <f t="shared" si="18"/>
        <v>68.230702000000036</v>
      </c>
      <c r="U10" s="64" t="s">
        <v>169</v>
      </c>
      <c r="V10" s="135" t="s">
        <v>292</v>
      </c>
      <c r="W10" s="66" t="s">
        <v>184</v>
      </c>
      <c r="X10" s="67">
        <v>2950</v>
      </c>
      <c r="Y10" s="68">
        <v>4</v>
      </c>
      <c r="Z10" s="68">
        <v>8.2100000000000009</v>
      </c>
      <c r="AA10" s="62">
        <f t="shared" si="19"/>
        <v>118</v>
      </c>
      <c r="AB10" s="63">
        <f t="shared" si="20"/>
        <v>242.19500000000002</v>
      </c>
      <c r="AC10" s="69">
        <v>2950</v>
      </c>
      <c r="AD10" s="70">
        <v>3.95</v>
      </c>
      <c r="AE10" s="70">
        <v>8.07</v>
      </c>
      <c r="AF10" s="62">
        <f t="shared" si="21"/>
        <v>116.52500000000001</v>
      </c>
      <c r="AG10" s="63">
        <f t="shared" si="22"/>
        <v>238.06500000000003</v>
      </c>
      <c r="AH10" s="71">
        <v>353</v>
      </c>
      <c r="AI10" s="71">
        <v>3.86</v>
      </c>
      <c r="AJ10" s="71">
        <v>8.14</v>
      </c>
      <c r="AK10" s="62">
        <f t="shared" si="8"/>
        <v>13.625799999999998</v>
      </c>
      <c r="AL10" s="72">
        <f t="shared" si="9"/>
        <v>28.734200000000001</v>
      </c>
      <c r="AM10" s="73">
        <f t="shared" si="23"/>
        <v>2.6000000000294676E-2</v>
      </c>
      <c r="AN10" s="74">
        <f t="shared" si="24"/>
        <v>-1.7981949999999927</v>
      </c>
      <c r="AO10" s="74">
        <f t="shared" si="25"/>
        <v>2.2195019999999914</v>
      </c>
      <c r="AP10" s="75">
        <f t="shared" si="26"/>
        <v>3.9790686521684569E-3</v>
      </c>
      <c r="AQ10" s="76">
        <f t="shared" si="27"/>
        <v>-199.37013246092556</v>
      </c>
      <c r="AR10" s="90">
        <f t="shared" si="28"/>
        <v>2.6000000000294676E-2</v>
      </c>
    </row>
    <row r="11" spans="1:46" x14ac:dyDescent="0.25">
      <c r="A11" t="str">
        <f t="shared" si="13"/>
        <v>46207E</v>
      </c>
      <c r="B11" s="51">
        <f t="shared" si="29"/>
        <v>46207</v>
      </c>
      <c r="C11" s="52" t="s">
        <v>88</v>
      </c>
      <c r="D11" s="91">
        <v>353</v>
      </c>
      <c r="E11" s="62">
        <v>3.86</v>
      </c>
      <c r="F11" s="62">
        <v>8.14</v>
      </c>
      <c r="G11" s="62">
        <f t="shared" si="14"/>
        <v>13.625799999999998</v>
      </c>
      <c r="H11" s="63">
        <f t="shared" si="15"/>
        <v>28.734200000000001</v>
      </c>
      <c r="I11" s="202">
        <v>941.1</v>
      </c>
      <c r="J11" s="202">
        <v>969.33300000000008</v>
      </c>
      <c r="K11" s="202">
        <v>3.6131654446923824</v>
      </c>
      <c r="L11" s="202">
        <v>8.014419296567846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6"/>
        <v>969.33300000000008</v>
      </c>
      <c r="S11" s="62">
        <f t="shared" si="17"/>
        <v>35.023605000000011</v>
      </c>
      <c r="T11" s="63">
        <f t="shared" si="18"/>
        <v>77.686411000000007</v>
      </c>
      <c r="U11" s="64" t="s">
        <v>167</v>
      </c>
      <c r="V11" s="13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9"/>
        <v>0</v>
      </c>
      <c r="AB11" s="63">
        <f t="shared" si="20"/>
        <v>0</v>
      </c>
      <c r="AC11" s="69"/>
      <c r="AD11" s="70"/>
      <c r="AE11" s="70"/>
      <c r="AF11" s="62">
        <f t="shared" si="21"/>
        <v>0</v>
      </c>
      <c r="AG11" s="63">
        <f t="shared" si="22"/>
        <v>0</v>
      </c>
      <c r="AH11" s="71">
        <v>1322</v>
      </c>
      <c r="AI11" s="71">
        <v>3.66</v>
      </c>
      <c r="AJ11" s="71">
        <v>8.0399999999999991</v>
      </c>
      <c r="AK11" s="62">
        <f t="shared" si="8"/>
        <v>48.385199999999998</v>
      </c>
      <c r="AL11" s="72">
        <f t="shared" si="9"/>
        <v>106.28879999999998</v>
      </c>
      <c r="AM11" s="73">
        <f t="shared" si="23"/>
        <v>0.33300000000008367</v>
      </c>
      <c r="AN11" s="74">
        <f t="shared" si="24"/>
        <v>0.26420500000001113</v>
      </c>
      <c r="AO11" s="74">
        <f t="shared" si="25"/>
        <v>0.13181100000002743</v>
      </c>
      <c r="AP11" s="75">
        <f t="shared" si="26"/>
        <v>3.513583034182503E-3</v>
      </c>
      <c r="AQ11" s="76">
        <f t="shared" si="27"/>
        <v>166.43532247951819</v>
      </c>
      <c r="AR11" s="90">
        <f t="shared" si="28"/>
        <v>0.33300000000008367</v>
      </c>
    </row>
    <row r="12" spans="1:46" x14ac:dyDescent="0.25">
      <c r="A12" t="str">
        <f t="shared" si="13"/>
        <v>46208M</v>
      </c>
      <c r="B12" s="51">
        <f t="shared" si="29"/>
        <v>46208</v>
      </c>
      <c r="C12" s="52" t="s">
        <v>87</v>
      </c>
      <c r="D12" s="91">
        <v>1322</v>
      </c>
      <c r="E12" s="62">
        <v>3.66</v>
      </c>
      <c r="F12" s="62">
        <v>8.0399999999999991</v>
      </c>
      <c r="G12" s="62">
        <f t="shared" si="14"/>
        <v>48.385199999999998</v>
      </c>
      <c r="H12" s="63">
        <f t="shared" si="15"/>
        <v>106.28879999999998</v>
      </c>
      <c r="I12" s="202">
        <v>726.2</v>
      </c>
      <c r="J12" s="202">
        <v>747.9860000000001</v>
      </c>
      <c r="K12" s="202">
        <v>4.3811071330212066</v>
      </c>
      <c r="L12" s="202">
        <v>8.1813963095565949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6"/>
        <v>747.9860000000001</v>
      </c>
      <c r="S12" s="62">
        <f t="shared" si="17"/>
        <v>32.770068000000009</v>
      </c>
      <c r="T12" s="63">
        <f t="shared" si="18"/>
        <v>61.195698999999998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9"/>
        <v>0</v>
      </c>
      <c r="AB12" s="63">
        <f t="shared" si="20"/>
        <v>0</v>
      </c>
      <c r="AC12" s="69"/>
      <c r="AD12" s="70"/>
      <c r="AE12" s="70"/>
      <c r="AF12" s="62">
        <f t="shared" si="21"/>
        <v>0</v>
      </c>
      <c r="AG12" s="63">
        <f t="shared" si="22"/>
        <v>0</v>
      </c>
      <c r="AH12" s="71">
        <v>2070</v>
      </c>
      <c r="AI12" s="71">
        <v>3.91</v>
      </c>
      <c r="AJ12" s="71">
        <v>8.08</v>
      </c>
      <c r="AK12" s="62">
        <f t="shared" si="8"/>
        <v>80.937000000000012</v>
      </c>
      <c r="AL12" s="72">
        <f t="shared" si="9"/>
        <v>167.256</v>
      </c>
      <c r="AM12" s="73">
        <f t="shared" si="23"/>
        <v>-1.4000000000123691E-2</v>
      </c>
      <c r="AN12" s="74">
        <f t="shared" si="24"/>
        <v>0.2182679999999948</v>
      </c>
      <c r="AO12" s="74">
        <f t="shared" si="25"/>
        <v>0.22849899999997092</v>
      </c>
      <c r="AP12" s="75">
        <f t="shared" si="26"/>
        <v>4.7545719495905962E-3</v>
      </c>
      <c r="AQ12" s="76">
        <f t="shared" si="27"/>
        <v>173.31829412835091</v>
      </c>
      <c r="AR12" s="90">
        <f t="shared" si="28"/>
        <v>-1.4000000000123691E-2</v>
      </c>
    </row>
    <row r="13" spans="1:46" x14ac:dyDescent="0.25">
      <c r="A13" t="str">
        <f t="shared" si="13"/>
        <v>46208E</v>
      </c>
      <c r="B13" s="51">
        <f t="shared" si="29"/>
        <v>46208</v>
      </c>
      <c r="C13" s="52" t="s">
        <v>88</v>
      </c>
      <c r="D13" s="91">
        <v>2070</v>
      </c>
      <c r="E13" s="62">
        <v>3.91</v>
      </c>
      <c r="F13" s="62">
        <v>8.08</v>
      </c>
      <c r="G13" s="62">
        <f t="shared" si="14"/>
        <v>80.937000000000012</v>
      </c>
      <c r="H13" s="63">
        <f t="shared" si="15"/>
        <v>167.256</v>
      </c>
      <c r="I13" s="202">
        <v>1107.9999999999993</v>
      </c>
      <c r="J13" s="202">
        <v>1141.2399999999993</v>
      </c>
      <c r="K13" s="202">
        <v>3.6536913357400724</v>
      </c>
      <c r="L13" s="202">
        <v>7.9899819494584845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6"/>
        <v>1141.2399999999993</v>
      </c>
      <c r="S13" s="62">
        <f t="shared" si="17"/>
        <v>41.697386999999978</v>
      </c>
      <c r="T13" s="63">
        <f t="shared" si="18"/>
        <v>91.184869999999947</v>
      </c>
      <c r="U13" s="64" t="s">
        <v>167</v>
      </c>
      <c r="V13" s="13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9"/>
        <v>0</v>
      </c>
      <c r="AB13" s="63">
        <f t="shared" si="20"/>
        <v>0</v>
      </c>
      <c r="AC13" s="69"/>
      <c r="AD13" s="70"/>
      <c r="AE13" s="70"/>
      <c r="AF13" s="62">
        <f t="shared" si="21"/>
        <v>0</v>
      </c>
      <c r="AG13" s="63">
        <f t="shared" si="22"/>
        <v>0</v>
      </c>
      <c r="AH13" s="71">
        <v>3211</v>
      </c>
      <c r="AI13" s="71">
        <v>3.83</v>
      </c>
      <c r="AJ13" s="71">
        <v>8.0399999999999991</v>
      </c>
      <c r="AK13" s="62">
        <f t="shared" si="8"/>
        <v>122.9813</v>
      </c>
      <c r="AL13" s="72">
        <f t="shared" si="9"/>
        <v>258.16439999999994</v>
      </c>
      <c r="AM13" s="73">
        <f t="shared" si="23"/>
        <v>0.23999999999932697</v>
      </c>
      <c r="AN13" s="74">
        <f t="shared" si="24"/>
        <v>-0.3469130000000149</v>
      </c>
      <c r="AO13" s="74">
        <f t="shared" si="25"/>
        <v>0.27647000000001754</v>
      </c>
      <c r="AP13" s="75">
        <f t="shared" si="26"/>
        <v>-5.3011592059275009E-4</v>
      </c>
      <c r="AQ13" s="76">
        <f t="shared" si="27"/>
        <v>-83.902683555389643</v>
      </c>
      <c r="AR13" s="90">
        <f t="shared" si="28"/>
        <v>0.23999999999932697</v>
      </c>
    </row>
    <row r="14" spans="1:46" x14ac:dyDescent="0.25">
      <c r="A14" t="str">
        <f t="shared" si="13"/>
        <v>46209M</v>
      </c>
      <c r="B14" s="51">
        <f t="shared" si="29"/>
        <v>46209</v>
      </c>
      <c r="C14" s="52" t="s">
        <v>87</v>
      </c>
      <c r="D14" s="91">
        <v>3211</v>
      </c>
      <c r="E14" s="62">
        <v>3.83</v>
      </c>
      <c r="F14" s="62">
        <v>8.0399999999999991</v>
      </c>
      <c r="G14" s="62">
        <f t="shared" si="14"/>
        <v>122.9813</v>
      </c>
      <c r="H14" s="63">
        <f t="shared" si="15"/>
        <v>258.16439999999994</v>
      </c>
      <c r="I14" s="202">
        <v>701.49999999999989</v>
      </c>
      <c r="J14" s="202">
        <v>722.54499999999985</v>
      </c>
      <c r="K14" s="202">
        <v>4.3668709907341396</v>
      </c>
      <c r="L14" s="202">
        <v>8.2348396293656414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6"/>
        <v>722.54499999999985</v>
      </c>
      <c r="S14" s="62">
        <f t="shared" si="17"/>
        <v>31.552607999999982</v>
      </c>
      <c r="T14" s="63">
        <f t="shared" si="18"/>
        <v>59.500421999999958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9"/>
        <v>0</v>
      </c>
      <c r="AB14" s="63">
        <f t="shared" si="20"/>
        <v>0</v>
      </c>
      <c r="AC14" s="69"/>
      <c r="AD14" s="70"/>
      <c r="AE14" s="70"/>
      <c r="AF14" s="62">
        <f t="shared" si="21"/>
        <v>0</v>
      </c>
      <c r="AG14" s="63">
        <f t="shared" si="22"/>
        <v>0</v>
      </c>
      <c r="AH14" s="89">
        <v>3933</v>
      </c>
      <c r="AI14" s="71">
        <v>3.91</v>
      </c>
      <c r="AJ14" s="71">
        <v>8.07</v>
      </c>
      <c r="AK14" s="62">
        <f t="shared" si="8"/>
        <v>153.78030000000001</v>
      </c>
      <c r="AL14" s="72">
        <f t="shared" si="9"/>
        <v>317.3931</v>
      </c>
      <c r="AM14" s="73">
        <f t="shared" si="23"/>
        <v>0.54500000000007276</v>
      </c>
      <c r="AN14" s="74">
        <f t="shared" si="24"/>
        <v>0.75360799999998562</v>
      </c>
      <c r="AO14" s="74">
        <f t="shared" si="25"/>
        <v>0.27172199999989743</v>
      </c>
      <c r="AP14" s="75">
        <f t="shared" si="26"/>
        <v>1.1260800436843054E-2</v>
      </c>
      <c r="AQ14" s="76">
        <f t="shared" si="27"/>
        <v>443.51149123859466</v>
      </c>
      <c r="AR14" s="90">
        <f t="shared" si="28"/>
        <v>0.54500000000007276</v>
      </c>
    </row>
    <row r="15" spans="1:46" x14ac:dyDescent="0.25">
      <c r="A15" t="str">
        <f t="shared" si="13"/>
        <v>46209E</v>
      </c>
      <c r="B15" s="51">
        <f t="shared" si="29"/>
        <v>46209</v>
      </c>
      <c r="C15" s="52" t="s">
        <v>88</v>
      </c>
      <c r="D15" s="91">
        <v>3933</v>
      </c>
      <c r="E15" s="62">
        <v>3.91</v>
      </c>
      <c r="F15" s="62">
        <v>8.07</v>
      </c>
      <c r="G15" s="62">
        <f t="shared" si="14"/>
        <v>153.78030000000001</v>
      </c>
      <c r="H15" s="63">
        <f t="shared" si="15"/>
        <v>317.3931</v>
      </c>
      <c r="I15" s="202">
        <v>2317.2000000000003</v>
      </c>
      <c r="J15" s="202">
        <v>2386.7160000000003</v>
      </c>
      <c r="K15" s="202">
        <v>3.7019376834110123</v>
      </c>
      <c r="L15" s="202">
        <v>8.00342223373036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6"/>
        <v>2386.7160000000003</v>
      </c>
      <c r="S15" s="62">
        <f t="shared" si="17"/>
        <v>88.354738999999981</v>
      </c>
      <c r="T15" s="63">
        <f t="shared" si="18"/>
        <v>191.01895899999994</v>
      </c>
      <c r="U15" s="64" t="s">
        <v>171</v>
      </c>
      <c r="V15" s="135" t="s">
        <v>293</v>
      </c>
      <c r="W15" s="66" t="s">
        <v>184</v>
      </c>
      <c r="X15" s="67">
        <v>6280</v>
      </c>
      <c r="Y15" s="68">
        <v>4.2500000000000009</v>
      </c>
      <c r="Z15" s="68">
        <v>8.26</v>
      </c>
      <c r="AA15" s="62">
        <f t="shared" si="19"/>
        <v>266.90000000000009</v>
      </c>
      <c r="AB15" s="63">
        <f t="shared" si="20"/>
        <v>518.72799999999995</v>
      </c>
      <c r="AC15" s="69">
        <v>6290</v>
      </c>
      <c r="AD15" s="70">
        <v>4.1499999999999995</v>
      </c>
      <c r="AE15" s="70">
        <v>8.24</v>
      </c>
      <c r="AF15" s="62">
        <f t="shared" si="21"/>
        <v>261.03499999999997</v>
      </c>
      <c r="AG15" s="63">
        <f t="shared" si="22"/>
        <v>518.29600000000005</v>
      </c>
      <c r="AH15" s="89">
        <v>40</v>
      </c>
      <c r="AI15" s="66">
        <v>3.82</v>
      </c>
      <c r="AJ15" s="66">
        <v>8.0299999999999994</v>
      </c>
      <c r="AK15" s="62">
        <f t="shared" si="8"/>
        <v>1.528</v>
      </c>
      <c r="AL15" s="72">
        <f t="shared" si="9"/>
        <v>3.2119999999999997</v>
      </c>
      <c r="AM15" s="73">
        <f t="shared" si="23"/>
        <v>-10.283999999999651</v>
      </c>
      <c r="AN15" s="74">
        <f t="shared" si="24"/>
        <v>-20.427960999999961</v>
      </c>
      <c r="AO15" s="74">
        <f t="shared" si="25"/>
        <v>-13.095941000000106</v>
      </c>
      <c r="AP15" s="75">
        <f t="shared" si="26"/>
        <v>-0.11999662903127005</v>
      </c>
      <c r="AQ15" s="76">
        <f t="shared" si="27"/>
        <v>-13738.417860354424</v>
      </c>
      <c r="AR15" s="90">
        <f t="shared" si="28"/>
        <v>-0.28399999999965075</v>
      </c>
    </row>
    <row r="16" spans="1:46" x14ac:dyDescent="0.25">
      <c r="A16" t="str">
        <f t="shared" si="13"/>
        <v>46210M</v>
      </c>
      <c r="B16" s="51">
        <f t="shared" si="29"/>
        <v>46210</v>
      </c>
      <c r="C16" s="52" t="s">
        <v>87</v>
      </c>
      <c r="D16" s="79">
        <v>40</v>
      </c>
      <c r="E16" s="62">
        <v>3.82</v>
      </c>
      <c r="F16" s="62">
        <v>8.0299999999999994</v>
      </c>
      <c r="G16" s="62">
        <f t="shared" si="14"/>
        <v>1.528</v>
      </c>
      <c r="H16" s="63">
        <f t="shared" si="15"/>
        <v>3.2119999999999997</v>
      </c>
      <c r="I16" s="202">
        <v>781.2</v>
      </c>
      <c r="J16" s="202">
        <v>804.63600000000008</v>
      </c>
      <c r="K16" s="202">
        <v>4.1878392217101883</v>
      </c>
      <c r="L16" s="202">
        <v>8.1912314388120819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6"/>
        <v>804.63600000000008</v>
      </c>
      <c r="S16" s="62">
        <f t="shared" si="17"/>
        <v>33.696861999999996</v>
      </c>
      <c r="T16" s="63">
        <f t="shared" si="18"/>
        <v>65.909596999999991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9"/>
        <v>0</v>
      </c>
      <c r="AB16" s="63">
        <f t="shared" si="20"/>
        <v>0</v>
      </c>
      <c r="AC16" s="69"/>
      <c r="AD16" s="70"/>
      <c r="AE16" s="70"/>
      <c r="AF16" s="62">
        <f t="shared" si="21"/>
        <v>0</v>
      </c>
      <c r="AG16" s="63">
        <f t="shared" si="22"/>
        <v>0</v>
      </c>
      <c r="AH16" s="96">
        <v>845</v>
      </c>
      <c r="AI16" s="71">
        <v>4.16</v>
      </c>
      <c r="AJ16" s="71">
        <v>8.17</v>
      </c>
      <c r="AK16" s="62">
        <f t="shared" si="8"/>
        <v>35.152000000000001</v>
      </c>
      <c r="AL16" s="72">
        <f t="shared" si="9"/>
        <v>69.03649999999999</v>
      </c>
      <c r="AM16" s="73">
        <f t="shared" si="23"/>
        <v>-0.36399999999991905</v>
      </c>
      <c r="AN16" s="74">
        <f t="shared" si="24"/>
        <v>7.2861999999993543E-2</v>
      </c>
      <c r="AO16" s="74">
        <f t="shared" si="25"/>
        <v>8.5097000000004641E-2</v>
      </c>
      <c r="AP16" s="75">
        <f t="shared" si="26"/>
        <v>1.5858308947615356E-3</v>
      </c>
      <c r="AQ16" s="76">
        <f t="shared" si="27"/>
        <v>60.498356320681495</v>
      </c>
      <c r="AR16" s="90">
        <f t="shared" si="28"/>
        <v>-0.36399999999991905</v>
      </c>
    </row>
    <row r="17" spans="1:48" x14ac:dyDescent="0.25">
      <c r="A17" t="str">
        <f t="shared" si="13"/>
        <v>46210E</v>
      </c>
      <c r="B17" s="51">
        <f t="shared" si="29"/>
        <v>46210</v>
      </c>
      <c r="C17" s="52" t="s">
        <v>88</v>
      </c>
      <c r="D17" s="79">
        <v>845</v>
      </c>
      <c r="E17" s="62">
        <v>4.16</v>
      </c>
      <c r="F17" s="62">
        <v>8.17</v>
      </c>
      <c r="G17" s="62">
        <f t="shared" si="14"/>
        <v>35.152000000000001</v>
      </c>
      <c r="H17" s="63">
        <f t="shared" si="15"/>
        <v>69.03649999999999</v>
      </c>
      <c r="I17" s="202">
        <v>2510.3000000000002</v>
      </c>
      <c r="J17" s="202">
        <v>2585.6090000000004</v>
      </c>
      <c r="K17" s="202">
        <v>3.5684858383460152</v>
      </c>
      <c r="L17" s="202">
        <v>8.0651157232203321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6"/>
        <v>2585.6090000000004</v>
      </c>
      <c r="S17" s="62">
        <f t="shared" si="17"/>
        <v>92.267091000000036</v>
      </c>
      <c r="T17" s="63">
        <f t="shared" si="18"/>
        <v>208.53235800000004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9"/>
        <v>0</v>
      </c>
      <c r="AB17" s="63">
        <f t="shared" si="20"/>
        <v>0</v>
      </c>
      <c r="AC17" s="69"/>
      <c r="AD17" s="70"/>
      <c r="AE17" s="70"/>
      <c r="AF17" s="62">
        <f t="shared" si="21"/>
        <v>0</v>
      </c>
      <c r="AG17" s="63">
        <f t="shared" si="22"/>
        <v>0</v>
      </c>
      <c r="AH17" s="96">
        <v>3431</v>
      </c>
      <c r="AI17" s="66">
        <v>3.7</v>
      </c>
      <c r="AJ17" s="66">
        <v>8.1</v>
      </c>
      <c r="AK17" s="62">
        <f t="shared" si="8"/>
        <v>126.94700000000002</v>
      </c>
      <c r="AL17" s="72">
        <f>AH17*AJ17%</f>
        <v>277.911</v>
      </c>
      <c r="AM17" s="73">
        <f t="shared" si="23"/>
        <v>-0.39099999999962165</v>
      </c>
      <c r="AN17" s="74">
        <f t="shared" si="24"/>
        <v>0.47209100000002024</v>
      </c>
      <c r="AO17" s="74">
        <f t="shared" si="25"/>
        <v>-0.34214199999996708</v>
      </c>
      <c r="AP17" s="75">
        <f t="shared" si="26"/>
        <v>4.3201209454360776E-4</v>
      </c>
      <c r="AQ17" s="76">
        <f t="shared" si="27"/>
        <v>124.3866072975819</v>
      </c>
      <c r="AR17" s="90">
        <f t="shared" si="28"/>
        <v>-0.39099999999962165</v>
      </c>
    </row>
    <row r="18" spans="1:48" x14ac:dyDescent="0.25">
      <c r="A18" t="str">
        <f t="shared" si="13"/>
        <v>46211M</v>
      </c>
      <c r="B18" s="51">
        <f t="shared" si="29"/>
        <v>46211</v>
      </c>
      <c r="C18" s="52" t="s">
        <v>87</v>
      </c>
      <c r="D18" s="79">
        <v>3431</v>
      </c>
      <c r="E18" s="62">
        <v>3.7</v>
      </c>
      <c r="F18" s="62">
        <v>8.1</v>
      </c>
      <c r="G18" s="62">
        <f t="shared" si="14"/>
        <v>126.94700000000002</v>
      </c>
      <c r="H18" s="63">
        <f t="shared" si="15"/>
        <v>277.911</v>
      </c>
      <c r="I18" s="202">
        <v>1047.5</v>
      </c>
      <c r="J18" s="202">
        <v>1078.925</v>
      </c>
      <c r="K18" s="202">
        <v>4.1439809069212412</v>
      </c>
      <c r="L18" s="202">
        <v>8.1644582338902172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6"/>
        <v>1078.925</v>
      </c>
      <c r="S18" s="62">
        <f t="shared" si="17"/>
        <v>44.710446000000005</v>
      </c>
      <c r="T18" s="63">
        <f t="shared" si="18"/>
        <v>88.088381000000027</v>
      </c>
      <c r="U18" s="64" t="s">
        <v>210</v>
      </c>
      <c r="V18" s="65" t="s">
        <v>294</v>
      </c>
      <c r="W18" s="66" t="s">
        <v>260</v>
      </c>
      <c r="X18" s="67">
        <v>4700</v>
      </c>
      <c r="Y18" s="68">
        <v>4.05</v>
      </c>
      <c r="Z18" s="68">
        <v>8.2200000000000006</v>
      </c>
      <c r="AA18" s="62">
        <f t="shared" si="19"/>
        <v>190.35</v>
      </c>
      <c r="AB18" s="63">
        <f t="shared" si="20"/>
        <v>386.34000000000003</v>
      </c>
      <c r="AC18" s="69">
        <v>4790</v>
      </c>
      <c r="AD18" s="70">
        <v>4</v>
      </c>
      <c r="AE18" s="70">
        <v>8.08</v>
      </c>
      <c r="AF18" s="62">
        <f t="shared" si="21"/>
        <v>191.6</v>
      </c>
      <c r="AG18" s="63">
        <f t="shared" si="22"/>
        <v>387.03199999999998</v>
      </c>
      <c r="AH18" s="96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23"/>
        <v>-280.07499999999982</v>
      </c>
      <c r="AN18" s="74">
        <f t="shared" si="24"/>
        <v>-19.942553999999973</v>
      </c>
      <c r="AO18" s="74">
        <f t="shared" si="25"/>
        <v>-21.032618999999954</v>
      </c>
      <c r="AP18" s="75">
        <f t="shared" si="26"/>
        <v>-0.30855071483425017</v>
      </c>
      <c r="AQ18" s="76">
        <f t="shared" si="27"/>
        <v>-15882.128403228018</v>
      </c>
      <c r="AR18" s="90">
        <f t="shared" si="28"/>
        <v>-190.07499999999982</v>
      </c>
    </row>
    <row r="19" spans="1:48" x14ac:dyDescent="0.25">
      <c r="A19" t="str">
        <f t="shared" si="13"/>
        <v>46211E</v>
      </c>
      <c r="B19" s="51">
        <f t="shared" si="29"/>
        <v>46211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14"/>
        <v>0</v>
      </c>
      <c r="H19" s="63">
        <f t="shared" si="15"/>
        <v>0</v>
      </c>
      <c r="I19" s="202">
        <v>2528.6999999999998</v>
      </c>
      <c r="J19" s="202">
        <v>2604.5609999999997</v>
      </c>
      <c r="K19" s="202">
        <v>3.6025190809506862</v>
      </c>
      <c r="L19" s="202">
        <v>7.993182267568316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6"/>
        <v>2604.5609999999997</v>
      </c>
      <c r="S19" s="62">
        <f t="shared" si="17"/>
        <v>93.829806999999988</v>
      </c>
      <c r="T19" s="63">
        <f t="shared" si="18"/>
        <v>208.18730799999997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9"/>
        <v>0</v>
      </c>
      <c r="AB19" s="63">
        <f t="shared" si="20"/>
        <v>0</v>
      </c>
      <c r="AC19" s="69"/>
      <c r="AD19" s="70"/>
      <c r="AE19" s="70"/>
      <c r="AF19" s="62">
        <f t="shared" si="21"/>
        <v>0</v>
      </c>
      <c r="AG19" s="63">
        <f t="shared" si="22"/>
        <v>0</v>
      </c>
      <c r="AH19" s="96">
        <v>2605</v>
      </c>
      <c r="AI19" s="71">
        <v>3.59</v>
      </c>
      <c r="AJ19" s="71">
        <v>8.0500000000000007</v>
      </c>
      <c r="AK19" s="62">
        <f t="shared" si="8"/>
        <v>93.519500000000008</v>
      </c>
      <c r="AL19" s="72">
        <f t="shared" si="9"/>
        <v>209.70250000000001</v>
      </c>
      <c r="AM19" s="73">
        <f t="shared" si="23"/>
        <v>-0.43900000000030559</v>
      </c>
      <c r="AN19" s="74">
        <f t="shared" si="24"/>
        <v>0.31030699999998035</v>
      </c>
      <c r="AO19" s="74">
        <f t="shared" si="25"/>
        <v>-1.5151920000000416</v>
      </c>
      <c r="AP19" s="75">
        <f t="shared" si="26"/>
        <v>-3.9894593390843473E-3</v>
      </c>
      <c r="AQ19" s="76">
        <f t="shared" si="27"/>
        <v>-304.67390210280814</v>
      </c>
      <c r="AR19" s="90">
        <f t="shared" si="28"/>
        <v>-0.43900000000030559</v>
      </c>
    </row>
    <row r="20" spans="1:48" x14ac:dyDescent="0.25">
      <c r="A20" t="str">
        <f t="shared" si="13"/>
        <v>46212M</v>
      </c>
      <c r="B20" s="51">
        <f t="shared" si="29"/>
        <v>46212</v>
      </c>
      <c r="C20" s="52" t="s">
        <v>87</v>
      </c>
      <c r="D20" s="79">
        <v>2605</v>
      </c>
      <c r="E20" s="62">
        <v>3.59</v>
      </c>
      <c r="F20" s="62">
        <v>8.0500000000000007</v>
      </c>
      <c r="G20" s="62">
        <f t="shared" si="14"/>
        <v>93.519500000000008</v>
      </c>
      <c r="H20" s="63">
        <f t="shared" si="15"/>
        <v>209.70250000000001</v>
      </c>
      <c r="I20" s="202">
        <v>1341.4</v>
      </c>
      <c r="J20" s="202">
        <v>1381.6420000000001</v>
      </c>
      <c r="K20" s="202">
        <v>4.003809452810497</v>
      </c>
      <c r="L20" s="202">
        <v>8.11241985984792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6"/>
        <v>1381.6420000000001</v>
      </c>
      <c r="S20" s="62">
        <f t="shared" si="17"/>
        <v>55.318313000000011</v>
      </c>
      <c r="T20" s="63">
        <f t="shared" si="18"/>
        <v>112.08460000000001</v>
      </c>
      <c r="U20" s="64" t="s">
        <v>171</v>
      </c>
      <c r="V20" s="65" t="s">
        <v>384</v>
      </c>
      <c r="W20" s="66" t="s">
        <v>149</v>
      </c>
      <c r="X20" s="67">
        <v>3130</v>
      </c>
      <c r="Y20" s="68">
        <v>3.9</v>
      </c>
      <c r="Z20" s="68">
        <v>8.19</v>
      </c>
      <c r="AA20" s="62">
        <f t="shared" si="19"/>
        <v>122.07</v>
      </c>
      <c r="AB20" s="63">
        <f t="shared" si="20"/>
        <v>256.34699999999998</v>
      </c>
      <c r="AC20" s="215">
        <v>3130</v>
      </c>
      <c r="AD20" s="216">
        <v>3.9</v>
      </c>
      <c r="AE20" s="216">
        <v>8.19</v>
      </c>
      <c r="AF20" s="62">
        <f t="shared" si="21"/>
        <v>122.07</v>
      </c>
      <c r="AG20" s="63">
        <f t="shared" si="22"/>
        <v>256.34699999999998</v>
      </c>
      <c r="AH20" s="96">
        <v>857</v>
      </c>
      <c r="AI20" s="66">
        <v>3.73</v>
      </c>
      <c r="AJ20" s="66">
        <v>8.07</v>
      </c>
      <c r="AK20" s="62">
        <f t="shared" si="8"/>
        <v>31.966100000000001</v>
      </c>
      <c r="AL20" s="72">
        <f t="shared" si="9"/>
        <v>69.159900000000007</v>
      </c>
      <c r="AM20" s="73">
        <f t="shared" si="23"/>
        <v>-0.35800000000017462</v>
      </c>
      <c r="AN20" s="74">
        <f t="shared" si="24"/>
        <v>-5.1982869999999828</v>
      </c>
      <c r="AO20" s="74">
        <f t="shared" si="25"/>
        <v>-3.719799999999978</v>
      </c>
      <c r="AP20" s="75">
        <f t="shared" si="26"/>
        <v>-5.3273188860219894E-2</v>
      </c>
      <c r="AQ20" s="76">
        <f t="shared" si="27"/>
        <v>-3611.9930736007391</v>
      </c>
      <c r="AR20" s="90">
        <f t="shared" si="28"/>
        <v>-0.35800000000017462</v>
      </c>
    </row>
    <row r="21" spans="1:48" x14ac:dyDescent="0.25">
      <c r="A21" t="str">
        <f t="shared" si="13"/>
        <v>46212E</v>
      </c>
      <c r="B21" s="51">
        <f t="shared" si="29"/>
        <v>46212</v>
      </c>
      <c r="C21" s="52" t="s">
        <v>88</v>
      </c>
      <c r="D21" s="79">
        <v>857</v>
      </c>
      <c r="E21" s="62">
        <v>3.73</v>
      </c>
      <c r="F21" s="62">
        <v>8.07</v>
      </c>
      <c r="G21" s="62">
        <f t="shared" si="14"/>
        <v>31.966100000000001</v>
      </c>
      <c r="H21" s="63">
        <f t="shared" si="15"/>
        <v>69.159900000000007</v>
      </c>
      <c r="I21" s="202">
        <v>2748.7000000000003</v>
      </c>
      <c r="J21" s="202">
        <v>2831.1610000000005</v>
      </c>
      <c r="K21" s="202">
        <v>3.5977516644231815</v>
      </c>
      <c r="L21" s="202">
        <v>8.0772146833048346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6"/>
        <v>2831.1610000000005</v>
      </c>
      <c r="S21" s="62">
        <f t="shared" si="17"/>
        <v>101.858142</v>
      </c>
      <c r="T21" s="63">
        <f t="shared" si="18"/>
        <v>228.67895200000001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9"/>
        <v>0</v>
      </c>
      <c r="AB21" s="63">
        <f t="shared" si="20"/>
        <v>0</v>
      </c>
      <c r="AC21" s="69"/>
      <c r="AD21" s="70"/>
      <c r="AE21" s="70"/>
      <c r="AF21" s="62">
        <f t="shared" si="21"/>
        <v>0</v>
      </c>
      <c r="AG21" s="63">
        <f t="shared" si="22"/>
        <v>0</v>
      </c>
      <c r="AH21" s="96">
        <v>3688</v>
      </c>
      <c r="AI21" s="66">
        <v>3.63</v>
      </c>
      <c r="AJ21" s="66">
        <v>8.09</v>
      </c>
      <c r="AK21" s="62">
        <f t="shared" si="8"/>
        <v>133.87440000000001</v>
      </c>
      <c r="AL21" s="72">
        <f t="shared" si="9"/>
        <v>298.35919999999999</v>
      </c>
      <c r="AM21" s="73">
        <f t="shared" si="23"/>
        <v>0.16100000000051296</v>
      </c>
      <c r="AN21" s="74">
        <f t="shared" si="24"/>
        <v>-5.0158000000010361E-2</v>
      </c>
      <c r="AO21" s="74">
        <f t="shared" si="25"/>
        <v>-0.52034799999995585</v>
      </c>
      <c r="AP21" s="75">
        <f t="shared" si="26"/>
        <v>-1.7259969012735563E-3</v>
      </c>
      <c r="AQ21" s="76">
        <f t="shared" si="27"/>
        <v>-179.94214505979346</v>
      </c>
      <c r="AR21" s="90">
        <f t="shared" si="28"/>
        <v>0.16100000000051296</v>
      </c>
    </row>
    <row r="22" spans="1:48" x14ac:dyDescent="0.25">
      <c r="A22" t="str">
        <f t="shared" si="13"/>
        <v>46213M</v>
      </c>
      <c r="B22" s="51">
        <f t="shared" si="29"/>
        <v>46213</v>
      </c>
      <c r="C22" s="52" t="s">
        <v>87</v>
      </c>
      <c r="D22" s="79"/>
      <c r="E22" s="62"/>
      <c r="F22" s="62"/>
      <c r="G22" s="62">
        <f t="shared" si="14"/>
        <v>0</v>
      </c>
      <c r="H22" s="63">
        <f t="shared" si="15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6"/>
        <v>0</v>
      </c>
      <c r="S22" s="62">
        <f t="shared" si="17"/>
        <v>0</v>
      </c>
      <c r="T22" s="63">
        <f t="shared" si="18"/>
        <v>0</v>
      </c>
      <c r="U22" s="64"/>
      <c r="V22" s="65"/>
      <c r="W22" s="66"/>
      <c r="X22" s="67"/>
      <c r="Y22" s="68"/>
      <c r="Z22" s="68"/>
      <c r="AA22" s="62">
        <f t="shared" si="19"/>
        <v>0</v>
      </c>
      <c r="AB22" s="63">
        <f t="shared" si="20"/>
        <v>0</v>
      </c>
      <c r="AC22" s="69"/>
      <c r="AD22" s="70"/>
      <c r="AE22" s="70"/>
      <c r="AF22" s="62">
        <f t="shared" si="21"/>
        <v>0</v>
      </c>
      <c r="AG22" s="63">
        <f t="shared" si="22"/>
        <v>0</v>
      </c>
      <c r="AH22" s="96"/>
      <c r="AI22" s="66"/>
      <c r="AJ22" s="66"/>
      <c r="AK22" s="62">
        <f t="shared" si="8"/>
        <v>0</v>
      </c>
      <c r="AL22" s="72">
        <f t="shared" si="9"/>
        <v>0</v>
      </c>
      <c r="AM22" s="73">
        <f t="shared" si="23"/>
        <v>0</v>
      </c>
      <c r="AN22" s="74">
        <f t="shared" si="24"/>
        <v>0</v>
      </c>
      <c r="AO22" s="74">
        <f t="shared" si="25"/>
        <v>0</v>
      </c>
      <c r="AP22" s="75" t="e">
        <f t="shared" si="26"/>
        <v>#DIV/0!</v>
      </c>
      <c r="AQ22" s="76">
        <f t="shared" si="27"/>
        <v>0</v>
      </c>
      <c r="AR22" s="90">
        <f t="shared" ref="AR22:AR33" si="30">(D22+J22+O22)-(X22+AH22)</f>
        <v>0</v>
      </c>
      <c r="AT22" s="83"/>
      <c r="AU22" s="83"/>
    </row>
    <row r="23" spans="1:48" x14ac:dyDescent="0.25">
      <c r="A23" t="str">
        <f t="shared" si="13"/>
        <v>46213E</v>
      </c>
      <c r="B23" s="51">
        <f t="shared" si="29"/>
        <v>46213</v>
      </c>
      <c r="C23" s="52" t="s">
        <v>88</v>
      </c>
      <c r="D23" s="79"/>
      <c r="E23" s="62"/>
      <c r="F23" s="62"/>
      <c r="G23" s="62">
        <f t="shared" si="14"/>
        <v>0</v>
      </c>
      <c r="H23" s="63">
        <f t="shared" si="15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6"/>
        <v>0</v>
      </c>
      <c r="S23" s="62">
        <f t="shared" si="17"/>
        <v>0</v>
      </c>
      <c r="T23" s="63">
        <f t="shared" si="18"/>
        <v>0</v>
      </c>
      <c r="U23" s="64"/>
      <c r="V23" s="65"/>
      <c r="W23" s="66"/>
      <c r="X23" s="67"/>
      <c r="Y23" s="68"/>
      <c r="Z23" s="68"/>
      <c r="AA23" s="62">
        <f t="shared" si="19"/>
        <v>0</v>
      </c>
      <c r="AB23" s="63">
        <f t="shared" si="20"/>
        <v>0</v>
      </c>
      <c r="AC23" s="69"/>
      <c r="AD23" s="70"/>
      <c r="AE23" s="70"/>
      <c r="AF23" s="62">
        <f t="shared" si="21"/>
        <v>0</v>
      </c>
      <c r="AG23" s="63">
        <f t="shared" si="22"/>
        <v>0</v>
      </c>
      <c r="AH23" s="96"/>
      <c r="AI23" s="66"/>
      <c r="AJ23" s="84"/>
      <c r="AK23" s="62">
        <f t="shared" ref="AK23:AK36" si="31">AH23*AI23%</f>
        <v>0</v>
      </c>
      <c r="AL23" s="72">
        <f t="shared" ref="AL23:AL36" si="32">AH23*AJ23%</f>
        <v>0</v>
      </c>
      <c r="AM23" s="73">
        <f t="shared" si="23"/>
        <v>0</v>
      </c>
      <c r="AN23" s="74">
        <f t="shared" si="24"/>
        <v>0</v>
      </c>
      <c r="AO23" s="74">
        <f t="shared" si="25"/>
        <v>0</v>
      </c>
      <c r="AP23" s="75" t="e">
        <f t="shared" si="26"/>
        <v>#DIV/0!</v>
      </c>
      <c r="AQ23" s="76">
        <f t="shared" si="27"/>
        <v>0</v>
      </c>
      <c r="AR23" s="90">
        <f t="shared" si="30"/>
        <v>0</v>
      </c>
      <c r="AU23" s="83"/>
    </row>
    <row r="24" spans="1:48" x14ac:dyDescent="0.25">
      <c r="A24" t="str">
        <f t="shared" si="13"/>
        <v>46214M</v>
      </c>
      <c r="B24" s="51">
        <f t="shared" si="29"/>
        <v>46214</v>
      </c>
      <c r="C24" s="52" t="s">
        <v>87</v>
      </c>
      <c r="D24" s="79"/>
      <c r="E24" s="62"/>
      <c r="F24" s="62"/>
      <c r="G24" s="62">
        <f t="shared" si="14"/>
        <v>0</v>
      </c>
      <c r="H24" s="63">
        <f t="shared" si="15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6"/>
        <v>0</v>
      </c>
      <c r="S24" s="62">
        <f t="shared" si="17"/>
        <v>0</v>
      </c>
      <c r="T24" s="63">
        <f t="shared" si="18"/>
        <v>0</v>
      </c>
      <c r="U24" s="64"/>
      <c r="V24" s="65"/>
      <c r="W24" s="66"/>
      <c r="X24" s="67"/>
      <c r="Y24" s="68"/>
      <c r="Z24" s="68"/>
      <c r="AA24" s="62">
        <f t="shared" si="19"/>
        <v>0</v>
      </c>
      <c r="AB24" s="63">
        <f t="shared" si="20"/>
        <v>0</v>
      </c>
      <c r="AC24" s="69"/>
      <c r="AD24" s="70"/>
      <c r="AE24" s="70"/>
      <c r="AF24" s="62">
        <f t="shared" si="21"/>
        <v>0</v>
      </c>
      <c r="AG24" s="63">
        <f t="shared" si="22"/>
        <v>0</v>
      </c>
      <c r="AH24" s="96"/>
      <c r="AI24" s="66"/>
      <c r="AJ24" s="66"/>
      <c r="AK24" s="62">
        <f t="shared" si="31"/>
        <v>0</v>
      </c>
      <c r="AL24" s="72">
        <f t="shared" si="32"/>
        <v>0</v>
      </c>
      <c r="AM24" s="73">
        <f t="shared" si="23"/>
        <v>0</v>
      </c>
      <c r="AN24" s="74">
        <f t="shared" si="24"/>
        <v>0</v>
      </c>
      <c r="AO24" s="74">
        <f t="shared" si="25"/>
        <v>0</v>
      </c>
      <c r="AP24" s="75" t="e">
        <f t="shared" si="26"/>
        <v>#DIV/0!</v>
      </c>
      <c r="AQ24" s="76">
        <f t="shared" si="27"/>
        <v>0</v>
      </c>
      <c r="AR24" s="90">
        <f t="shared" si="30"/>
        <v>0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29"/>
        <v>46214</v>
      </c>
      <c r="C25" s="52" t="s">
        <v>88</v>
      </c>
      <c r="D25" s="79"/>
      <c r="E25" s="62"/>
      <c r="F25" s="62"/>
      <c r="G25" s="62">
        <f t="shared" si="14"/>
        <v>0</v>
      </c>
      <c r="H25" s="63">
        <f t="shared" si="15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6"/>
        <v>0</v>
      </c>
      <c r="S25" s="62">
        <f t="shared" si="17"/>
        <v>0</v>
      </c>
      <c r="T25" s="63">
        <f t="shared" si="18"/>
        <v>0</v>
      </c>
      <c r="U25" s="64"/>
      <c r="V25" s="65"/>
      <c r="W25" s="66"/>
      <c r="X25" s="67"/>
      <c r="Y25" s="68"/>
      <c r="Z25" s="68"/>
      <c r="AA25" s="62">
        <f t="shared" si="19"/>
        <v>0</v>
      </c>
      <c r="AB25" s="63">
        <f t="shared" si="20"/>
        <v>0</v>
      </c>
      <c r="AC25" s="69"/>
      <c r="AD25" s="70"/>
      <c r="AE25" s="70"/>
      <c r="AF25" s="62">
        <f t="shared" si="21"/>
        <v>0</v>
      </c>
      <c r="AG25" s="63">
        <f t="shared" si="22"/>
        <v>0</v>
      </c>
      <c r="AH25" s="96"/>
      <c r="AI25" s="66"/>
      <c r="AJ25" s="66"/>
      <c r="AK25" s="62">
        <f t="shared" si="31"/>
        <v>0</v>
      </c>
      <c r="AL25" s="72">
        <f t="shared" si="32"/>
        <v>0</v>
      </c>
      <c r="AM25" s="73">
        <f t="shared" si="23"/>
        <v>0</v>
      </c>
      <c r="AN25" s="74">
        <f t="shared" si="24"/>
        <v>0</v>
      </c>
      <c r="AO25" s="74">
        <f t="shared" si="25"/>
        <v>0</v>
      </c>
      <c r="AP25" s="75" t="e">
        <f t="shared" si="26"/>
        <v>#DIV/0!</v>
      </c>
      <c r="AQ25" s="76">
        <f t="shared" si="27"/>
        <v>0</v>
      </c>
      <c r="AR25" s="90">
        <f t="shared" si="30"/>
        <v>0</v>
      </c>
    </row>
    <row r="26" spans="1:48" x14ac:dyDescent="0.25">
      <c r="A26" t="str">
        <f t="shared" si="13"/>
        <v>46215M</v>
      </c>
      <c r="B26" s="51">
        <f t="shared" si="29"/>
        <v>46215</v>
      </c>
      <c r="C26" s="52" t="s">
        <v>87</v>
      </c>
      <c r="D26" s="79"/>
      <c r="E26" s="62"/>
      <c r="F26" s="62"/>
      <c r="G26" s="62">
        <f t="shared" si="14"/>
        <v>0</v>
      </c>
      <c r="H26" s="63">
        <f t="shared" si="15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6"/>
        <v>0</v>
      </c>
      <c r="S26" s="62">
        <f t="shared" si="17"/>
        <v>0</v>
      </c>
      <c r="T26" s="63">
        <f t="shared" si="18"/>
        <v>0</v>
      </c>
      <c r="U26" s="64"/>
      <c r="V26" s="65"/>
      <c r="W26" s="66"/>
      <c r="X26" s="67"/>
      <c r="Y26" s="68"/>
      <c r="Z26" s="68"/>
      <c r="AA26" s="62">
        <f t="shared" si="19"/>
        <v>0</v>
      </c>
      <c r="AB26" s="63">
        <f t="shared" si="20"/>
        <v>0</v>
      </c>
      <c r="AC26" s="69"/>
      <c r="AD26" s="70"/>
      <c r="AE26" s="70"/>
      <c r="AF26" s="62">
        <f t="shared" si="21"/>
        <v>0</v>
      </c>
      <c r="AG26" s="63">
        <f t="shared" si="22"/>
        <v>0</v>
      </c>
      <c r="AH26" s="96"/>
      <c r="AI26" s="66"/>
      <c r="AJ26" s="66"/>
      <c r="AK26" s="62">
        <f t="shared" si="31"/>
        <v>0</v>
      </c>
      <c r="AL26" s="72">
        <f t="shared" si="32"/>
        <v>0</v>
      </c>
      <c r="AM26" s="73">
        <f t="shared" si="23"/>
        <v>0</v>
      </c>
      <c r="AN26" s="74">
        <f t="shared" si="24"/>
        <v>0</v>
      </c>
      <c r="AO26" s="74">
        <f t="shared" si="25"/>
        <v>0</v>
      </c>
      <c r="AP26" s="75" t="e">
        <f t="shared" si="26"/>
        <v>#DIV/0!</v>
      </c>
      <c r="AQ26" s="76">
        <f t="shared" si="27"/>
        <v>0</v>
      </c>
      <c r="AR26" s="90">
        <f t="shared" si="30"/>
        <v>0</v>
      </c>
    </row>
    <row r="27" spans="1:48" x14ac:dyDescent="0.25">
      <c r="A27" t="str">
        <f t="shared" si="13"/>
        <v>46215E</v>
      </c>
      <c r="B27" s="51">
        <f t="shared" si="29"/>
        <v>46215</v>
      </c>
      <c r="C27" s="52" t="s">
        <v>88</v>
      </c>
      <c r="D27" s="79"/>
      <c r="E27" s="62"/>
      <c r="F27" s="62"/>
      <c r="G27" s="62">
        <f t="shared" si="14"/>
        <v>0</v>
      </c>
      <c r="H27" s="63">
        <f t="shared" si="15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6"/>
        <v>0</v>
      </c>
      <c r="S27" s="62">
        <f t="shared" si="17"/>
        <v>0</v>
      </c>
      <c r="T27" s="63">
        <f t="shared" si="18"/>
        <v>0</v>
      </c>
      <c r="U27" s="64"/>
      <c r="V27" s="65"/>
      <c r="W27" s="66"/>
      <c r="X27" s="67"/>
      <c r="Y27" s="68"/>
      <c r="Z27" s="68"/>
      <c r="AA27" s="62">
        <f t="shared" si="19"/>
        <v>0</v>
      </c>
      <c r="AB27" s="63">
        <f t="shared" si="20"/>
        <v>0</v>
      </c>
      <c r="AC27" s="69"/>
      <c r="AD27" s="70"/>
      <c r="AE27" s="70"/>
      <c r="AF27" s="62">
        <f t="shared" si="21"/>
        <v>0</v>
      </c>
      <c r="AG27" s="63">
        <f t="shared" si="22"/>
        <v>0</v>
      </c>
      <c r="AH27" s="96"/>
      <c r="AI27" s="66"/>
      <c r="AJ27" s="66"/>
      <c r="AK27" s="62">
        <f t="shared" si="31"/>
        <v>0</v>
      </c>
      <c r="AL27" s="72">
        <f t="shared" si="32"/>
        <v>0</v>
      </c>
      <c r="AM27" s="73">
        <f t="shared" si="23"/>
        <v>0</v>
      </c>
      <c r="AN27" s="74">
        <f t="shared" si="24"/>
        <v>0</v>
      </c>
      <c r="AO27" s="74">
        <f t="shared" si="25"/>
        <v>0</v>
      </c>
      <c r="AP27" s="75" t="e">
        <f t="shared" si="26"/>
        <v>#DIV/0!</v>
      </c>
      <c r="AQ27" s="76">
        <f t="shared" si="27"/>
        <v>0</v>
      </c>
      <c r="AR27" s="90">
        <f t="shared" si="30"/>
        <v>0</v>
      </c>
    </row>
    <row r="28" spans="1:48" x14ac:dyDescent="0.25">
      <c r="A28" t="str">
        <f t="shared" si="13"/>
        <v>46216M</v>
      </c>
      <c r="B28" s="51">
        <f t="shared" si="29"/>
        <v>46216</v>
      </c>
      <c r="C28" s="52" t="s">
        <v>87</v>
      </c>
      <c r="D28" s="79"/>
      <c r="E28" s="62"/>
      <c r="F28" s="62"/>
      <c r="G28" s="62">
        <f t="shared" si="14"/>
        <v>0</v>
      </c>
      <c r="H28" s="63">
        <f t="shared" si="15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6"/>
        <v>0</v>
      </c>
      <c r="S28" s="62">
        <f t="shared" si="17"/>
        <v>0</v>
      </c>
      <c r="T28" s="63">
        <f t="shared" si="18"/>
        <v>0</v>
      </c>
      <c r="U28" s="64"/>
      <c r="V28" s="65"/>
      <c r="W28" s="66"/>
      <c r="X28" s="67"/>
      <c r="Y28" s="68"/>
      <c r="Z28" s="68"/>
      <c r="AA28" s="62">
        <f t="shared" si="19"/>
        <v>0</v>
      </c>
      <c r="AB28" s="63">
        <f t="shared" si="20"/>
        <v>0</v>
      </c>
      <c r="AC28" s="69"/>
      <c r="AD28" s="70"/>
      <c r="AE28" s="70"/>
      <c r="AF28" s="62">
        <f t="shared" si="21"/>
        <v>0</v>
      </c>
      <c r="AG28" s="63">
        <f t="shared" si="22"/>
        <v>0</v>
      </c>
      <c r="AH28" s="96"/>
      <c r="AI28" s="66"/>
      <c r="AJ28" s="66"/>
      <c r="AK28" s="62">
        <f t="shared" si="31"/>
        <v>0</v>
      </c>
      <c r="AL28" s="72">
        <f t="shared" si="32"/>
        <v>0</v>
      </c>
      <c r="AM28" s="73">
        <f t="shared" si="23"/>
        <v>0</v>
      </c>
      <c r="AN28" s="74">
        <f t="shared" si="24"/>
        <v>0</v>
      </c>
      <c r="AO28" s="74">
        <f t="shared" si="25"/>
        <v>0</v>
      </c>
      <c r="AP28" s="75" t="e">
        <f t="shared" si="26"/>
        <v>#DIV/0!</v>
      </c>
      <c r="AQ28" s="76">
        <f t="shared" si="27"/>
        <v>0</v>
      </c>
      <c r="AR28" s="90">
        <f t="shared" si="30"/>
        <v>0</v>
      </c>
    </row>
    <row r="29" spans="1:48" x14ac:dyDescent="0.25">
      <c r="A29" t="str">
        <f t="shared" si="13"/>
        <v>46216E</v>
      </c>
      <c r="B29" s="51">
        <f t="shared" si="29"/>
        <v>46216</v>
      </c>
      <c r="C29" s="52" t="s">
        <v>88</v>
      </c>
      <c r="D29" s="79"/>
      <c r="E29" s="62"/>
      <c r="F29" s="62"/>
      <c r="G29" s="62">
        <f t="shared" si="14"/>
        <v>0</v>
      </c>
      <c r="H29" s="63">
        <f t="shared" si="15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6"/>
        <v>0</v>
      </c>
      <c r="S29" s="62">
        <f t="shared" si="17"/>
        <v>0</v>
      </c>
      <c r="T29" s="63">
        <f t="shared" si="18"/>
        <v>0</v>
      </c>
      <c r="U29" s="64"/>
      <c r="V29" s="65"/>
      <c r="W29" s="66"/>
      <c r="X29" s="67"/>
      <c r="Y29" s="68"/>
      <c r="Z29" s="68"/>
      <c r="AA29" s="62">
        <f t="shared" si="19"/>
        <v>0</v>
      </c>
      <c r="AB29" s="63">
        <f t="shared" si="20"/>
        <v>0</v>
      </c>
      <c r="AC29" s="69"/>
      <c r="AD29" s="70"/>
      <c r="AE29" s="70"/>
      <c r="AF29" s="62">
        <f t="shared" si="21"/>
        <v>0</v>
      </c>
      <c r="AG29" s="63">
        <f t="shared" si="22"/>
        <v>0</v>
      </c>
      <c r="AH29" s="96"/>
      <c r="AI29" s="66"/>
      <c r="AJ29" s="66"/>
      <c r="AK29" s="62">
        <f t="shared" si="31"/>
        <v>0</v>
      </c>
      <c r="AL29" s="72">
        <f t="shared" si="32"/>
        <v>0</v>
      </c>
      <c r="AM29" s="73">
        <f t="shared" si="23"/>
        <v>0</v>
      </c>
      <c r="AN29" s="74">
        <f t="shared" si="24"/>
        <v>0</v>
      </c>
      <c r="AO29" s="74">
        <f t="shared" si="25"/>
        <v>0</v>
      </c>
      <c r="AP29" s="75" t="e">
        <f t="shared" si="26"/>
        <v>#DIV/0!</v>
      </c>
      <c r="AQ29" s="76">
        <f t="shared" si="27"/>
        <v>0</v>
      </c>
      <c r="AR29" s="90">
        <f t="shared" si="30"/>
        <v>0</v>
      </c>
    </row>
    <row r="30" spans="1:48" x14ac:dyDescent="0.25">
      <c r="A30" t="str">
        <f t="shared" si="13"/>
        <v>46217M</v>
      </c>
      <c r="B30" s="51">
        <f t="shared" si="29"/>
        <v>46217</v>
      </c>
      <c r="C30" s="52" t="s">
        <v>87</v>
      </c>
      <c r="D30" s="79"/>
      <c r="E30" s="62"/>
      <c r="F30" s="62"/>
      <c r="G30" s="62">
        <f t="shared" si="14"/>
        <v>0</v>
      </c>
      <c r="H30" s="63">
        <f t="shared" si="15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6"/>
        <v>0</v>
      </c>
      <c r="S30" s="62">
        <f t="shared" si="17"/>
        <v>0</v>
      </c>
      <c r="T30" s="63">
        <f t="shared" si="18"/>
        <v>0</v>
      </c>
      <c r="U30" s="64"/>
      <c r="V30" s="65"/>
      <c r="W30" s="66"/>
      <c r="X30" s="67"/>
      <c r="Y30" s="68"/>
      <c r="Z30" s="68"/>
      <c r="AA30" s="62">
        <f t="shared" si="19"/>
        <v>0</v>
      </c>
      <c r="AB30" s="63">
        <f t="shared" si="20"/>
        <v>0</v>
      </c>
      <c r="AC30" s="69"/>
      <c r="AD30" s="70"/>
      <c r="AE30" s="70"/>
      <c r="AF30" s="62">
        <f t="shared" si="21"/>
        <v>0</v>
      </c>
      <c r="AG30" s="63">
        <f t="shared" si="22"/>
        <v>0</v>
      </c>
      <c r="AH30" s="96"/>
      <c r="AI30" s="66"/>
      <c r="AJ30" s="66"/>
      <c r="AK30" s="62">
        <f t="shared" si="31"/>
        <v>0</v>
      </c>
      <c r="AL30" s="72">
        <f t="shared" si="32"/>
        <v>0</v>
      </c>
      <c r="AM30" s="73">
        <f t="shared" si="23"/>
        <v>0</v>
      </c>
      <c r="AN30" s="74">
        <f t="shared" si="24"/>
        <v>0</v>
      </c>
      <c r="AO30" s="74">
        <f t="shared" si="25"/>
        <v>0</v>
      </c>
      <c r="AP30" s="75" t="e">
        <f t="shared" si="26"/>
        <v>#DIV/0!</v>
      </c>
      <c r="AQ30" s="76">
        <f t="shared" si="27"/>
        <v>0</v>
      </c>
      <c r="AR30" s="90">
        <f t="shared" si="30"/>
        <v>0</v>
      </c>
    </row>
    <row r="31" spans="1:48" x14ac:dyDescent="0.25">
      <c r="A31" t="str">
        <f t="shared" si="13"/>
        <v>46217E</v>
      </c>
      <c r="B31" s="51">
        <f t="shared" si="29"/>
        <v>46217</v>
      </c>
      <c r="C31" s="52" t="s">
        <v>88</v>
      </c>
      <c r="D31" s="79"/>
      <c r="E31" s="62"/>
      <c r="F31" s="62"/>
      <c r="G31" s="62">
        <f t="shared" si="14"/>
        <v>0</v>
      </c>
      <c r="H31" s="63">
        <f t="shared" si="15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6"/>
        <v>0</v>
      </c>
      <c r="S31" s="62">
        <f t="shared" si="17"/>
        <v>0</v>
      </c>
      <c r="T31" s="63">
        <f t="shared" si="18"/>
        <v>0</v>
      </c>
      <c r="U31" s="64"/>
      <c r="V31" s="85"/>
      <c r="W31" s="66"/>
      <c r="X31" s="67"/>
      <c r="Y31" s="68"/>
      <c r="Z31" s="68"/>
      <c r="AA31" s="62">
        <f t="shared" si="19"/>
        <v>0</v>
      </c>
      <c r="AB31" s="63">
        <f t="shared" si="20"/>
        <v>0</v>
      </c>
      <c r="AC31" s="69"/>
      <c r="AD31" s="70"/>
      <c r="AE31" s="70"/>
      <c r="AF31" s="62">
        <f t="shared" si="21"/>
        <v>0</v>
      </c>
      <c r="AG31" s="63">
        <f t="shared" si="22"/>
        <v>0</v>
      </c>
      <c r="AH31" s="96"/>
      <c r="AI31" s="66"/>
      <c r="AJ31" s="66"/>
      <c r="AK31" s="62">
        <f t="shared" si="31"/>
        <v>0</v>
      </c>
      <c r="AL31" s="72">
        <f t="shared" si="32"/>
        <v>0</v>
      </c>
      <c r="AM31" s="73">
        <f t="shared" si="23"/>
        <v>0</v>
      </c>
      <c r="AN31" s="74">
        <f t="shared" si="24"/>
        <v>0</v>
      </c>
      <c r="AO31" s="74">
        <f t="shared" si="25"/>
        <v>0</v>
      </c>
      <c r="AP31" s="75" t="e">
        <f t="shared" si="26"/>
        <v>#DIV/0!</v>
      </c>
      <c r="AQ31" s="76">
        <f t="shared" si="27"/>
        <v>0</v>
      </c>
      <c r="AR31" s="90">
        <f t="shared" si="30"/>
        <v>0</v>
      </c>
    </row>
    <row r="32" spans="1:48" x14ac:dyDescent="0.25">
      <c r="A32" t="str">
        <f t="shared" si="13"/>
        <v>46218M</v>
      </c>
      <c r="B32" s="51">
        <f t="shared" si="29"/>
        <v>46218</v>
      </c>
      <c r="C32" s="52" t="s">
        <v>87</v>
      </c>
      <c r="D32" s="79"/>
      <c r="E32" s="62"/>
      <c r="F32" s="62"/>
      <c r="G32" s="62">
        <f t="shared" si="14"/>
        <v>0</v>
      </c>
      <c r="H32" s="63">
        <f t="shared" si="15"/>
        <v>0</v>
      </c>
      <c r="I32" s="202"/>
      <c r="J32" s="202"/>
      <c r="K32" s="202"/>
      <c r="L32" s="202"/>
      <c r="M32" s="58"/>
      <c r="N32" s="58"/>
      <c r="O32" s="59"/>
      <c r="P32" s="56"/>
      <c r="Q32" s="60"/>
      <c r="R32" s="61">
        <f t="shared" si="16"/>
        <v>0</v>
      </c>
      <c r="S32" s="62">
        <f t="shared" si="17"/>
        <v>0</v>
      </c>
      <c r="T32" s="63">
        <f t="shared" si="18"/>
        <v>0</v>
      </c>
      <c r="U32" s="64"/>
      <c r="V32" s="85"/>
      <c r="W32" s="66"/>
      <c r="X32" s="67"/>
      <c r="Y32" s="68"/>
      <c r="Z32" s="68"/>
      <c r="AA32" s="62">
        <f t="shared" si="19"/>
        <v>0</v>
      </c>
      <c r="AB32" s="63">
        <f t="shared" si="20"/>
        <v>0</v>
      </c>
      <c r="AC32" s="69"/>
      <c r="AD32" s="70"/>
      <c r="AE32" s="70"/>
      <c r="AF32" s="62">
        <f t="shared" si="21"/>
        <v>0</v>
      </c>
      <c r="AG32" s="63">
        <f t="shared" si="22"/>
        <v>0</v>
      </c>
      <c r="AH32" s="96"/>
      <c r="AI32" s="66"/>
      <c r="AJ32" s="66"/>
      <c r="AK32" s="62">
        <f t="shared" si="31"/>
        <v>0</v>
      </c>
      <c r="AL32" s="72">
        <f t="shared" si="32"/>
        <v>0</v>
      </c>
      <c r="AM32" s="73">
        <f t="shared" si="23"/>
        <v>0</v>
      </c>
      <c r="AN32" s="74">
        <f t="shared" si="24"/>
        <v>0</v>
      </c>
      <c r="AO32" s="74">
        <f t="shared" si="25"/>
        <v>0</v>
      </c>
      <c r="AP32" s="75" t="e">
        <f t="shared" si="26"/>
        <v>#DIV/0!</v>
      </c>
      <c r="AQ32" s="76">
        <f t="shared" si="27"/>
        <v>0</v>
      </c>
      <c r="AR32" s="90">
        <f t="shared" si="30"/>
        <v>0</v>
      </c>
    </row>
    <row r="33" spans="1:44" x14ac:dyDescent="0.25">
      <c r="A33" t="str">
        <f t="shared" si="13"/>
        <v>46218E</v>
      </c>
      <c r="B33" s="51">
        <f t="shared" si="29"/>
        <v>46218</v>
      </c>
      <c r="C33" s="52" t="s">
        <v>88</v>
      </c>
      <c r="D33" s="79"/>
      <c r="E33" s="62"/>
      <c r="F33" s="62"/>
      <c r="G33" s="62">
        <f t="shared" si="14"/>
        <v>0</v>
      </c>
      <c r="H33" s="63">
        <f t="shared" si="15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6"/>
        <v>0</v>
      </c>
      <c r="S33" s="62">
        <f t="shared" si="17"/>
        <v>0</v>
      </c>
      <c r="T33" s="63">
        <f t="shared" si="18"/>
        <v>0</v>
      </c>
      <c r="U33" s="64"/>
      <c r="V33" s="85"/>
      <c r="W33" s="66"/>
      <c r="X33" s="67"/>
      <c r="Y33" s="68"/>
      <c r="Z33" s="68"/>
      <c r="AA33" s="62">
        <f t="shared" si="19"/>
        <v>0</v>
      </c>
      <c r="AB33" s="63">
        <f t="shared" si="20"/>
        <v>0</v>
      </c>
      <c r="AC33" s="69"/>
      <c r="AD33" s="70"/>
      <c r="AE33" s="70"/>
      <c r="AF33" s="62">
        <f t="shared" si="21"/>
        <v>0</v>
      </c>
      <c r="AG33" s="63">
        <f t="shared" si="22"/>
        <v>0</v>
      </c>
      <c r="AH33" s="96"/>
      <c r="AI33" s="66"/>
      <c r="AJ33" s="66"/>
      <c r="AK33" s="62">
        <f t="shared" si="31"/>
        <v>0</v>
      </c>
      <c r="AL33" s="72">
        <f t="shared" si="32"/>
        <v>0</v>
      </c>
      <c r="AM33" s="73">
        <f t="shared" si="23"/>
        <v>0</v>
      </c>
      <c r="AN33" s="74">
        <f t="shared" si="24"/>
        <v>0</v>
      </c>
      <c r="AO33" s="74">
        <f t="shared" si="25"/>
        <v>0</v>
      </c>
      <c r="AP33" s="75" t="e">
        <f t="shared" si="26"/>
        <v>#DIV/0!</v>
      </c>
      <c r="AQ33" s="76">
        <f t="shared" si="27"/>
        <v>0</v>
      </c>
      <c r="AR33" s="90">
        <f t="shared" si="30"/>
        <v>0</v>
      </c>
    </row>
    <row r="34" spans="1:44" x14ac:dyDescent="0.25">
      <c r="A34" t="str">
        <f t="shared" si="13"/>
        <v>46219M</v>
      </c>
      <c r="B34" s="51">
        <f t="shared" si="29"/>
        <v>46219</v>
      </c>
      <c r="C34" s="52" t="s">
        <v>87</v>
      </c>
      <c r="D34" s="79"/>
      <c r="E34" s="62"/>
      <c r="F34" s="62"/>
      <c r="G34" s="62">
        <f t="shared" si="14"/>
        <v>0</v>
      </c>
      <c r="H34" s="63">
        <f t="shared" si="15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6"/>
        <v>0</v>
      </c>
      <c r="S34" s="62">
        <f t="shared" si="17"/>
        <v>0</v>
      </c>
      <c r="T34" s="63">
        <f t="shared" si="18"/>
        <v>0</v>
      </c>
      <c r="U34" s="64"/>
      <c r="V34" s="65"/>
      <c r="W34" s="66"/>
      <c r="X34" s="67"/>
      <c r="Y34" s="68"/>
      <c r="Z34" s="68"/>
      <c r="AA34" s="62">
        <f t="shared" si="19"/>
        <v>0</v>
      </c>
      <c r="AB34" s="63">
        <f t="shared" si="20"/>
        <v>0</v>
      </c>
      <c r="AC34" s="69"/>
      <c r="AD34" s="70"/>
      <c r="AE34" s="70"/>
      <c r="AF34" s="62">
        <f t="shared" si="21"/>
        <v>0</v>
      </c>
      <c r="AG34" s="63">
        <f t="shared" si="22"/>
        <v>0</v>
      </c>
      <c r="AH34" s="96"/>
      <c r="AI34" s="66"/>
      <c r="AJ34" s="66"/>
      <c r="AK34" s="62">
        <f t="shared" si="31"/>
        <v>0</v>
      </c>
      <c r="AL34" s="72">
        <f t="shared" si="32"/>
        <v>0</v>
      </c>
      <c r="AM34" s="73">
        <f t="shared" si="23"/>
        <v>0</v>
      </c>
      <c r="AN34" s="74">
        <f t="shared" si="24"/>
        <v>0</v>
      </c>
      <c r="AO34" s="74">
        <f t="shared" si="25"/>
        <v>0</v>
      </c>
      <c r="AP34" s="75" t="e">
        <f t="shared" si="26"/>
        <v>#DIV/0!</v>
      </c>
      <c r="AQ34" s="76">
        <f t="shared" si="27"/>
        <v>0</v>
      </c>
      <c r="AR34" s="77">
        <f>(D34+J34+O34)-(X34+AH34)</f>
        <v>0</v>
      </c>
    </row>
    <row r="35" spans="1:44" x14ac:dyDescent="0.25">
      <c r="A35" t="str">
        <f t="shared" si="13"/>
        <v>46219E</v>
      </c>
      <c r="B35" s="51">
        <f t="shared" si="29"/>
        <v>46219</v>
      </c>
      <c r="C35" s="52" t="s">
        <v>88</v>
      </c>
      <c r="D35" s="79"/>
      <c r="E35" s="62"/>
      <c r="F35" s="62"/>
      <c r="G35" s="62">
        <f t="shared" si="14"/>
        <v>0</v>
      </c>
      <c r="H35" s="63">
        <f t="shared" si="15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6"/>
        <v>0</v>
      </c>
      <c r="S35" s="62">
        <f t="shared" si="17"/>
        <v>0</v>
      </c>
      <c r="T35" s="63">
        <f t="shared" si="18"/>
        <v>0</v>
      </c>
      <c r="U35" s="64"/>
      <c r="V35" s="65"/>
      <c r="W35" s="66"/>
      <c r="X35" s="67"/>
      <c r="Y35" s="68"/>
      <c r="Z35" s="68"/>
      <c r="AA35" s="62">
        <f t="shared" si="19"/>
        <v>0</v>
      </c>
      <c r="AB35" s="63">
        <f t="shared" si="20"/>
        <v>0</v>
      </c>
      <c r="AC35" s="69"/>
      <c r="AD35" s="70"/>
      <c r="AE35" s="70"/>
      <c r="AF35" s="62">
        <f t="shared" si="21"/>
        <v>0</v>
      </c>
      <c r="AG35" s="63">
        <f t="shared" si="22"/>
        <v>0</v>
      </c>
      <c r="AH35" s="96"/>
      <c r="AI35" s="66"/>
      <c r="AJ35" s="66"/>
      <c r="AK35" s="62">
        <f t="shared" si="31"/>
        <v>0</v>
      </c>
      <c r="AL35" s="72">
        <f t="shared" si="32"/>
        <v>0</v>
      </c>
      <c r="AM35" s="73">
        <f t="shared" si="23"/>
        <v>0</v>
      </c>
      <c r="AN35" s="74">
        <f t="shared" si="24"/>
        <v>0</v>
      </c>
      <c r="AO35" s="74">
        <f t="shared" si="25"/>
        <v>0</v>
      </c>
      <c r="AP35" s="75" t="e">
        <f t="shared" si="26"/>
        <v>#DIV/0!</v>
      </c>
      <c r="AQ35" s="76">
        <f t="shared" si="27"/>
        <v>0</v>
      </c>
      <c r="AR35" s="77">
        <f t="shared" si="12"/>
        <v>0</v>
      </c>
    </row>
    <row r="36" spans="1:44" x14ac:dyDescent="0.25">
      <c r="A36" t="str">
        <f t="shared" si="13"/>
        <v>46220M</v>
      </c>
      <c r="B36" s="51">
        <f t="shared" si="29"/>
        <v>46220</v>
      </c>
      <c r="C36" s="52" t="s">
        <v>87</v>
      </c>
      <c r="D36" s="79"/>
      <c r="E36" s="62"/>
      <c r="F36" s="62"/>
      <c r="G36" s="62">
        <f t="shared" si="14"/>
        <v>0</v>
      </c>
      <c r="H36" s="63">
        <f t="shared" si="15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6"/>
        <v>0</v>
      </c>
      <c r="S36" s="62">
        <f t="shared" si="17"/>
        <v>0</v>
      </c>
      <c r="T36" s="63">
        <f t="shared" si="18"/>
        <v>0</v>
      </c>
      <c r="U36" s="64"/>
      <c r="V36" s="65"/>
      <c r="W36" s="66"/>
      <c r="X36" s="67"/>
      <c r="Y36" s="68"/>
      <c r="Z36" s="68"/>
      <c r="AA36" s="62">
        <f t="shared" si="19"/>
        <v>0</v>
      </c>
      <c r="AB36" s="63">
        <f t="shared" si="20"/>
        <v>0</v>
      </c>
      <c r="AC36" s="69"/>
      <c r="AD36" s="70"/>
      <c r="AE36" s="70"/>
      <c r="AF36" s="62">
        <f t="shared" si="21"/>
        <v>0</v>
      </c>
      <c r="AG36" s="63">
        <f t="shared" si="22"/>
        <v>0</v>
      </c>
      <c r="AH36" s="96"/>
      <c r="AI36" s="66"/>
      <c r="AJ36" s="66"/>
      <c r="AK36" s="62">
        <f t="shared" si="31"/>
        <v>0</v>
      </c>
      <c r="AL36" s="72">
        <f t="shared" si="32"/>
        <v>0</v>
      </c>
      <c r="AM36" s="73">
        <f t="shared" si="23"/>
        <v>0</v>
      </c>
      <c r="AN36" s="74">
        <f t="shared" si="24"/>
        <v>0</v>
      </c>
      <c r="AO36" s="74">
        <f t="shared" si="25"/>
        <v>0</v>
      </c>
      <c r="AP36" s="75" t="e">
        <f t="shared" si="26"/>
        <v>#DIV/0!</v>
      </c>
      <c r="AQ36" s="76">
        <f t="shared" si="27"/>
        <v>0</v>
      </c>
      <c r="AR36" s="90">
        <f t="shared" ref="AR36:AR49" si="33">(D36+J36+O36)-(X36+AH36)</f>
        <v>0</v>
      </c>
    </row>
    <row r="37" spans="1:44" x14ac:dyDescent="0.25">
      <c r="A37" t="str">
        <f t="shared" si="13"/>
        <v>46220E</v>
      </c>
      <c r="B37" s="51">
        <f t="shared" si="29"/>
        <v>46220</v>
      </c>
      <c r="C37" s="52" t="s">
        <v>88</v>
      </c>
      <c r="D37" s="79"/>
      <c r="E37" s="62"/>
      <c r="F37" s="62"/>
      <c r="G37" s="62">
        <f t="shared" si="14"/>
        <v>0</v>
      </c>
      <c r="H37" s="63">
        <f t="shared" si="15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6"/>
        <v>0</v>
      </c>
      <c r="S37" s="62">
        <f t="shared" si="17"/>
        <v>0</v>
      </c>
      <c r="T37" s="63">
        <f t="shared" si="18"/>
        <v>0</v>
      </c>
      <c r="U37" s="64"/>
      <c r="V37" s="85"/>
      <c r="W37" s="66"/>
      <c r="X37" s="67"/>
      <c r="Y37" s="68"/>
      <c r="Z37" s="68"/>
      <c r="AA37" s="62">
        <f t="shared" si="19"/>
        <v>0</v>
      </c>
      <c r="AB37" s="63">
        <f t="shared" si="20"/>
        <v>0</v>
      </c>
      <c r="AC37" s="69"/>
      <c r="AD37" s="70"/>
      <c r="AE37" s="70"/>
      <c r="AF37" s="62">
        <f t="shared" si="21"/>
        <v>0</v>
      </c>
      <c r="AG37" s="63">
        <f t="shared" si="22"/>
        <v>0</v>
      </c>
      <c r="AH37" s="96"/>
      <c r="AI37" s="66"/>
      <c r="AJ37" s="66"/>
      <c r="AK37" s="62">
        <f t="shared" ref="AK37:AK49" si="34">AH37*AI37%</f>
        <v>0</v>
      </c>
      <c r="AL37" s="72">
        <f t="shared" ref="AL37:AL49" si="35">AH37*AJ37%</f>
        <v>0</v>
      </c>
      <c r="AM37" s="73">
        <f t="shared" si="23"/>
        <v>0</v>
      </c>
      <c r="AN37" s="74">
        <f t="shared" si="24"/>
        <v>0</v>
      </c>
      <c r="AO37" s="74">
        <f t="shared" si="25"/>
        <v>0</v>
      </c>
      <c r="AP37" s="75" t="e">
        <f t="shared" si="26"/>
        <v>#DIV/0!</v>
      </c>
      <c r="AQ37" s="76">
        <f t="shared" si="27"/>
        <v>0</v>
      </c>
      <c r="AR37" s="90">
        <f t="shared" si="33"/>
        <v>0</v>
      </c>
    </row>
    <row r="38" spans="1:44" x14ac:dyDescent="0.25">
      <c r="A38" t="str">
        <f t="shared" si="13"/>
        <v>46221M</v>
      </c>
      <c r="B38" s="51">
        <f t="shared" si="29"/>
        <v>46221</v>
      </c>
      <c r="C38" s="52" t="s">
        <v>87</v>
      </c>
      <c r="D38" s="79"/>
      <c r="E38" s="62"/>
      <c r="F38" s="62"/>
      <c r="G38" s="62">
        <f t="shared" si="14"/>
        <v>0</v>
      </c>
      <c r="H38" s="63">
        <f t="shared" si="15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6"/>
        <v>0</v>
      </c>
      <c r="S38" s="62">
        <f t="shared" si="17"/>
        <v>0</v>
      </c>
      <c r="T38" s="63">
        <f t="shared" si="18"/>
        <v>0</v>
      </c>
      <c r="U38" s="64"/>
      <c r="V38" s="65"/>
      <c r="W38" s="66"/>
      <c r="X38" s="67"/>
      <c r="Y38" s="68"/>
      <c r="Z38" s="68"/>
      <c r="AA38" s="62">
        <f t="shared" si="19"/>
        <v>0</v>
      </c>
      <c r="AB38" s="63">
        <f t="shared" si="20"/>
        <v>0</v>
      </c>
      <c r="AC38" s="69"/>
      <c r="AD38" s="70"/>
      <c r="AE38" s="70"/>
      <c r="AF38" s="62">
        <f t="shared" si="21"/>
        <v>0</v>
      </c>
      <c r="AG38" s="63">
        <f t="shared" si="22"/>
        <v>0</v>
      </c>
      <c r="AH38" s="96"/>
      <c r="AI38" s="66"/>
      <c r="AJ38" s="66"/>
      <c r="AK38" s="62">
        <f t="shared" si="34"/>
        <v>0</v>
      </c>
      <c r="AL38" s="72">
        <f t="shared" si="35"/>
        <v>0</v>
      </c>
      <c r="AM38" s="73">
        <f t="shared" si="23"/>
        <v>0</v>
      </c>
      <c r="AN38" s="74">
        <f t="shared" si="24"/>
        <v>0</v>
      </c>
      <c r="AO38" s="74">
        <f t="shared" si="25"/>
        <v>0</v>
      </c>
      <c r="AP38" s="75" t="e">
        <f t="shared" si="26"/>
        <v>#DIV/0!</v>
      </c>
      <c r="AQ38" s="76">
        <f t="shared" si="27"/>
        <v>0</v>
      </c>
      <c r="AR38" s="90">
        <f t="shared" si="33"/>
        <v>0</v>
      </c>
    </row>
    <row r="39" spans="1:44" x14ac:dyDescent="0.25">
      <c r="A39" t="str">
        <f t="shared" si="13"/>
        <v>46221E</v>
      </c>
      <c r="B39" s="51">
        <f t="shared" si="29"/>
        <v>46221</v>
      </c>
      <c r="C39" s="52" t="s">
        <v>88</v>
      </c>
      <c r="D39" s="79"/>
      <c r="E39" s="62"/>
      <c r="F39" s="62"/>
      <c r="G39" s="62">
        <f t="shared" si="14"/>
        <v>0</v>
      </c>
      <c r="H39" s="63">
        <f t="shared" si="15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6"/>
        <v>0</v>
      </c>
      <c r="S39" s="62">
        <f t="shared" si="17"/>
        <v>0</v>
      </c>
      <c r="T39" s="63">
        <f t="shared" si="18"/>
        <v>0</v>
      </c>
      <c r="U39" s="64"/>
      <c r="V39" s="65"/>
      <c r="W39" s="66"/>
      <c r="X39" s="67"/>
      <c r="Y39" s="68"/>
      <c r="Z39" s="68"/>
      <c r="AA39" s="62">
        <f t="shared" si="19"/>
        <v>0</v>
      </c>
      <c r="AB39" s="63">
        <f t="shared" si="20"/>
        <v>0</v>
      </c>
      <c r="AC39" s="69"/>
      <c r="AD39" s="70"/>
      <c r="AE39" s="70"/>
      <c r="AF39" s="62">
        <f t="shared" si="21"/>
        <v>0</v>
      </c>
      <c r="AG39" s="63">
        <f t="shared" si="22"/>
        <v>0</v>
      </c>
      <c r="AH39" s="96"/>
      <c r="AI39" s="66"/>
      <c r="AJ39" s="66"/>
      <c r="AK39" s="62">
        <f t="shared" si="34"/>
        <v>0</v>
      </c>
      <c r="AL39" s="72">
        <f t="shared" si="35"/>
        <v>0</v>
      </c>
      <c r="AM39" s="73">
        <f t="shared" si="23"/>
        <v>0</v>
      </c>
      <c r="AN39" s="74">
        <f t="shared" si="24"/>
        <v>0</v>
      </c>
      <c r="AO39" s="74">
        <f t="shared" si="25"/>
        <v>0</v>
      </c>
      <c r="AP39" s="75" t="e">
        <f t="shared" si="26"/>
        <v>#DIV/0!</v>
      </c>
      <c r="AQ39" s="76">
        <f t="shared" si="27"/>
        <v>0</v>
      </c>
      <c r="AR39" s="90">
        <f t="shared" si="33"/>
        <v>0</v>
      </c>
    </row>
    <row r="40" spans="1:44" x14ac:dyDescent="0.25">
      <c r="A40" t="str">
        <f t="shared" si="13"/>
        <v>46222M</v>
      </c>
      <c r="B40" s="51">
        <f t="shared" si="29"/>
        <v>46222</v>
      </c>
      <c r="C40" s="52" t="s">
        <v>87</v>
      </c>
      <c r="D40" s="79"/>
      <c r="E40" s="62"/>
      <c r="F40" s="62"/>
      <c r="G40" s="62">
        <f t="shared" si="14"/>
        <v>0</v>
      </c>
      <c r="H40" s="63">
        <f t="shared" si="15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6"/>
        <v>0</v>
      </c>
      <c r="S40" s="62">
        <f t="shared" si="17"/>
        <v>0</v>
      </c>
      <c r="T40" s="63">
        <f t="shared" si="18"/>
        <v>0</v>
      </c>
      <c r="U40" s="64"/>
      <c r="V40" s="65"/>
      <c r="W40" s="66"/>
      <c r="X40" s="67"/>
      <c r="Y40" s="68"/>
      <c r="Z40" s="68"/>
      <c r="AA40" s="62">
        <f t="shared" si="19"/>
        <v>0</v>
      </c>
      <c r="AB40" s="63">
        <f t="shared" si="20"/>
        <v>0</v>
      </c>
      <c r="AC40" s="69"/>
      <c r="AD40" s="70"/>
      <c r="AE40" s="70"/>
      <c r="AF40" s="62">
        <f t="shared" si="21"/>
        <v>0</v>
      </c>
      <c r="AG40" s="63">
        <f t="shared" si="22"/>
        <v>0</v>
      </c>
      <c r="AH40" s="96"/>
      <c r="AI40" s="66"/>
      <c r="AJ40" s="66"/>
      <c r="AK40" s="62">
        <f t="shared" si="34"/>
        <v>0</v>
      </c>
      <c r="AL40" s="72">
        <f t="shared" si="35"/>
        <v>0</v>
      </c>
      <c r="AM40" s="73">
        <f t="shared" si="23"/>
        <v>0</v>
      </c>
      <c r="AN40" s="74">
        <f t="shared" si="24"/>
        <v>0</v>
      </c>
      <c r="AO40" s="74">
        <f t="shared" si="25"/>
        <v>0</v>
      </c>
      <c r="AP40" s="75" t="e">
        <f t="shared" si="26"/>
        <v>#DIV/0!</v>
      </c>
      <c r="AQ40" s="76">
        <f t="shared" si="27"/>
        <v>0</v>
      </c>
      <c r="AR40" s="90">
        <f t="shared" si="33"/>
        <v>0</v>
      </c>
    </row>
    <row r="41" spans="1:44" x14ac:dyDescent="0.25">
      <c r="A41" t="str">
        <f t="shared" si="13"/>
        <v>46222E</v>
      </c>
      <c r="B41" s="51">
        <f t="shared" si="29"/>
        <v>46222</v>
      </c>
      <c r="C41" s="52" t="s">
        <v>88</v>
      </c>
      <c r="D41" s="79"/>
      <c r="E41" s="62"/>
      <c r="F41" s="62"/>
      <c r="G41" s="62">
        <f t="shared" si="14"/>
        <v>0</v>
      </c>
      <c r="H41" s="63">
        <f t="shared" si="15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6"/>
        <v>0</v>
      </c>
      <c r="S41" s="62">
        <f t="shared" si="17"/>
        <v>0</v>
      </c>
      <c r="T41" s="63">
        <f t="shared" si="18"/>
        <v>0</v>
      </c>
      <c r="U41" s="64"/>
      <c r="V41" s="65"/>
      <c r="W41" s="66"/>
      <c r="X41" s="67"/>
      <c r="Y41" s="68"/>
      <c r="Z41" s="68"/>
      <c r="AA41" s="62">
        <f t="shared" si="19"/>
        <v>0</v>
      </c>
      <c r="AB41" s="63">
        <f t="shared" si="20"/>
        <v>0</v>
      </c>
      <c r="AC41" s="69"/>
      <c r="AD41" s="70"/>
      <c r="AE41" s="70"/>
      <c r="AF41" s="62">
        <f t="shared" si="21"/>
        <v>0</v>
      </c>
      <c r="AG41" s="63">
        <f t="shared" si="22"/>
        <v>0</v>
      </c>
      <c r="AH41" s="96"/>
      <c r="AI41" s="66"/>
      <c r="AJ41" s="66"/>
      <c r="AK41" s="62">
        <f t="shared" si="34"/>
        <v>0</v>
      </c>
      <c r="AL41" s="72">
        <f t="shared" si="35"/>
        <v>0</v>
      </c>
      <c r="AM41" s="73">
        <f t="shared" si="23"/>
        <v>0</v>
      </c>
      <c r="AN41" s="74">
        <f t="shared" si="24"/>
        <v>0</v>
      </c>
      <c r="AO41" s="74">
        <f t="shared" si="25"/>
        <v>0</v>
      </c>
      <c r="AP41" s="75" t="e">
        <f t="shared" si="26"/>
        <v>#DIV/0!</v>
      </c>
      <c r="AQ41" s="76">
        <f t="shared" si="27"/>
        <v>0</v>
      </c>
      <c r="AR41" s="90">
        <f t="shared" si="33"/>
        <v>0</v>
      </c>
    </row>
    <row r="42" spans="1:44" x14ac:dyDescent="0.25">
      <c r="A42" t="str">
        <f t="shared" si="13"/>
        <v>46223M</v>
      </c>
      <c r="B42" s="51">
        <f t="shared" si="29"/>
        <v>46223</v>
      </c>
      <c r="C42" s="52" t="s">
        <v>87</v>
      </c>
      <c r="D42" s="79"/>
      <c r="E42" s="62"/>
      <c r="F42" s="62"/>
      <c r="G42" s="62">
        <f t="shared" si="14"/>
        <v>0</v>
      </c>
      <c r="H42" s="63">
        <f t="shared" si="15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6"/>
        <v>0</v>
      </c>
      <c r="S42" s="62">
        <f t="shared" si="17"/>
        <v>0</v>
      </c>
      <c r="T42" s="63">
        <f t="shared" si="18"/>
        <v>0</v>
      </c>
      <c r="U42" s="64"/>
      <c r="V42" s="65"/>
      <c r="W42" s="66"/>
      <c r="X42" s="67"/>
      <c r="Y42" s="68"/>
      <c r="Z42" s="68"/>
      <c r="AA42" s="62">
        <f t="shared" si="19"/>
        <v>0</v>
      </c>
      <c r="AB42" s="63">
        <f t="shared" si="20"/>
        <v>0</v>
      </c>
      <c r="AC42" s="69"/>
      <c r="AD42" s="70"/>
      <c r="AE42" s="70"/>
      <c r="AF42" s="62">
        <f t="shared" si="21"/>
        <v>0</v>
      </c>
      <c r="AG42" s="63">
        <f t="shared" si="22"/>
        <v>0</v>
      </c>
      <c r="AH42" s="96"/>
      <c r="AI42" s="66"/>
      <c r="AJ42" s="66"/>
      <c r="AK42" s="62">
        <f t="shared" si="34"/>
        <v>0</v>
      </c>
      <c r="AL42" s="72">
        <f t="shared" si="35"/>
        <v>0</v>
      </c>
      <c r="AM42" s="73">
        <f t="shared" si="23"/>
        <v>0</v>
      </c>
      <c r="AN42" s="74">
        <f t="shared" si="24"/>
        <v>0</v>
      </c>
      <c r="AO42" s="74">
        <f t="shared" si="25"/>
        <v>0</v>
      </c>
      <c r="AP42" s="75" t="e">
        <f t="shared" si="26"/>
        <v>#DIV/0!</v>
      </c>
      <c r="AQ42" s="76">
        <f t="shared" si="27"/>
        <v>0</v>
      </c>
      <c r="AR42" s="90">
        <f t="shared" si="33"/>
        <v>0</v>
      </c>
    </row>
    <row r="43" spans="1:44" x14ac:dyDescent="0.25">
      <c r="A43" t="str">
        <f t="shared" si="13"/>
        <v>46223E</v>
      </c>
      <c r="B43" s="51">
        <f t="shared" si="29"/>
        <v>46223</v>
      </c>
      <c r="C43" s="52" t="s">
        <v>88</v>
      </c>
      <c r="D43" s="79"/>
      <c r="E43" s="62"/>
      <c r="F43" s="62"/>
      <c r="G43" s="62">
        <f t="shared" si="14"/>
        <v>0</v>
      </c>
      <c r="H43" s="63">
        <f t="shared" si="15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6"/>
        <v>0</v>
      </c>
      <c r="S43" s="62">
        <f t="shared" si="17"/>
        <v>0</v>
      </c>
      <c r="T43" s="63">
        <f t="shared" si="18"/>
        <v>0</v>
      </c>
      <c r="U43" s="64"/>
      <c r="V43" s="65"/>
      <c r="W43" s="66"/>
      <c r="X43" s="67"/>
      <c r="Y43" s="68"/>
      <c r="Z43" s="68"/>
      <c r="AA43" s="62">
        <f t="shared" si="19"/>
        <v>0</v>
      </c>
      <c r="AB43" s="63">
        <f t="shared" si="20"/>
        <v>0</v>
      </c>
      <c r="AC43" s="69"/>
      <c r="AD43" s="70"/>
      <c r="AE43" s="70"/>
      <c r="AF43" s="62">
        <f t="shared" si="21"/>
        <v>0</v>
      </c>
      <c r="AG43" s="63">
        <f t="shared" si="22"/>
        <v>0</v>
      </c>
      <c r="AH43" s="96"/>
      <c r="AI43" s="66"/>
      <c r="AJ43" s="66"/>
      <c r="AK43" s="62">
        <f t="shared" si="34"/>
        <v>0</v>
      </c>
      <c r="AL43" s="72">
        <f t="shared" si="35"/>
        <v>0</v>
      </c>
      <c r="AM43" s="73">
        <f t="shared" si="23"/>
        <v>0</v>
      </c>
      <c r="AN43" s="74">
        <f t="shared" si="24"/>
        <v>0</v>
      </c>
      <c r="AO43" s="74">
        <f t="shared" si="25"/>
        <v>0</v>
      </c>
      <c r="AP43" s="75" t="e">
        <f t="shared" si="26"/>
        <v>#DIV/0!</v>
      </c>
      <c r="AQ43" s="76">
        <f t="shared" si="27"/>
        <v>0</v>
      </c>
      <c r="AR43" s="90">
        <f t="shared" si="33"/>
        <v>0</v>
      </c>
    </row>
    <row r="44" spans="1:44" x14ac:dyDescent="0.25">
      <c r="A44" t="str">
        <f t="shared" si="13"/>
        <v>46224M</v>
      </c>
      <c r="B44" s="51">
        <f t="shared" si="29"/>
        <v>46224</v>
      </c>
      <c r="C44" s="52" t="s">
        <v>87</v>
      </c>
      <c r="D44" s="79"/>
      <c r="E44" s="62"/>
      <c r="F44" s="62"/>
      <c r="G44" s="62">
        <f t="shared" si="14"/>
        <v>0</v>
      </c>
      <c r="H44" s="63">
        <f t="shared" si="15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6"/>
        <v>0</v>
      </c>
      <c r="S44" s="62">
        <f t="shared" si="17"/>
        <v>0</v>
      </c>
      <c r="T44" s="63">
        <f t="shared" si="18"/>
        <v>0</v>
      </c>
      <c r="U44" s="64"/>
      <c r="V44" s="65"/>
      <c r="W44" s="66"/>
      <c r="X44" s="67"/>
      <c r="Y44" s="68"/>
      <c r="Z44" s="68"/>
      <c r="AA44" s="62">
        <f t="shared" si="19"/>
        <v>0</v>
      </c>
      <c r="AB44" s="63">
        <f t="shared" si="20"/>
        <v>0</v>
      </c>
      <c r="AC44" s="69"/>
      <c r="AD44" s="70"/>
      <c r="AE44" s="70"/>
      <c r="AF44" s="62">
        <f t="shared" si="21"/>
        <v>0</v>
      </c>
      <c r="AG44" s="63">
        <f t="shared" si="22"/>
        <v>0</v>
      </c>
      <c r="AH44" s="89"/>
      <c r="AI44" s="66"/>
      <c r="AJ44" s="66"/>
      <c r="AK44" s="62">
        <f t="shared" si="34"/>
        <v>0</v>
      </c>
      <c r="AL44" s="72">
        <f t="shared" si="35"/>
        <v>0</v>
      </c>
      <c r="AM44" s="73">
        <f t="shared" si="23"/>
        <v>0</v>
      </c>
      <c r="AN44" s="74">
        <f t="shared" si="24"/>
        <v>0</v>
      </c>
      <c r="AO44" s="74">
        <f t="shared" si="25"/>
        <v>0</v>
      </c>
      <c r="AP44" s="75" t="e">
        <f t="shared" si="26"/>
        <v>#DIV/0!</v>
      </c>
      <c r="AQ44" s="76">
        <f t="shared" si="27"/>
        <v>0</v>
      </c>
      <c r="AR44" s="90">
        <f t="shared" si="33"/>
        <v>0</v>
      </c>
    </row>
    <row r="45" spans="1:44" x14ac:dyDescent="0.25">
      <c r="A45" t="str">
        <f t="shared" si="13"/>
        <v>46224E</v>
      </c>
      <c r="B45" s="51">
        <f t="shared" si="29"/>
        <v>46224</v>
      </c>
      <c r="C45" s="52" t="s">
        <v>88</v>
      </c>
      <c r="D45" s="79"/>
      <c r="E45" s="62"/>
      <c r="F45" s="62"/>
      <c r="G45" s="62">
        <f t="shared" si="14"/>
        <v>0</v>
      </c>
      <c r="H45" s="63">
        <f t="shared" si="15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6"/>
        <v>0</v>
      </c>
      <c r="S45" s="62">
        <f t="shared" si="17"/>
        <v>0</v>
      </c>
      <c r="T45" s="63">
        <f t="shared" si="18"/>
        <v>0</v>
      </c>
      <c r="U45" s="64"/>
      <c r="V45" s="65"/>
      <c r="W45" s="66"/>
      <c r="X45" s="67"/>
      <c r="Y45" s="68"/>
      <c r="Z45" s="68"/>
      <c r="AA45" s="62">
        <f t="shared" si="19"/>
        <v>0</v>
      </c>
      <c r="AB45" s="63">
        <f t="shared" si="20"/>
        <v>0</v>
      </c>
      <c r="AC45" s="69"/>
      <c r="AD45" s="70"/>
      <c r="AE45" s="70"/>
      <c r="AF45" s="62">
        <f t="shared" si="21"/>
        <v>0</v>
      </c>
      <c r="AG45" s="63">
        <f t="shared" si="22"/>
        <v>0</v>
      </c>
      <c r="AH45" s="89"/>
      <c r="AI45" s="66"/>
      <c r="AJ45" s="66"/>
      <c r="AK45" s="62">
        <f t="shared" si="34"/>
        <v>0</v>
      </c>
      <c r="AL45" s="72">
        <f t="shared" si="35"/>
        <v>0</v>
      </c>
      <c r="AM45" s="73">
        <f t="shared" si="23"/>
        <v>0</v>
      </c>
      <c r="AN45" s="74">
        <f t="shared" si="24"/>
        <v>0</v>
      </c>
      <c r="AO45" s="74">
        <f t="shared" si="25"/>
        <v>0</v>
      </c>
      <c r="AP45" s="75" t="e">
        <f t="shared" si="26"/>
        <v>#DIV/0!</v>
      </c>
      <c r="AQ45" s="76">
        <f t="shared" si="27"/>
        <v>0</v>
      </c>
      <c r="AR45" s="90">
        <f t="shared" si="33"/>
        <v>0</v>
      </c>
    </row>
    <row r="46" spans="1:44" x14ac:dyDescent="0.25">
      <c r="A46" t="str">
        <f t="shared" si="13"/>
        <v>46225M</v>
      </c>
      <c r="B46" s="51">
        <f t="shared" si="29"/>
        <v>46225</v>
      </c>
      <c r="C46" s="52" t="s">
        <v>87</v>
      </c>
      <c r="D46" s="79"/>
      <c r="E46" s="62"/>
      <c r="F46" s="62"/>
      <c r="G46" s="62">
        <f t="shared" si="14"/>
        <v>0</v>
      </c>
      <c r="H46" s="63">
        <f t="shared" si="15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6"/>
        <v>0</v>
      </c>
      <c r="S46" s="62">
        <f t="shared" si="17"/>
        <v>0</v>
      </c>
      <c r="T46" s="63">
        <f t="shared" si="18"/>
        <v>0</v>
      </c>
      <c r="U46" s="64"/>
      <c r="V46" s="65"/>
      <c r="W46" s="66"/>
      <c r="X46" s="67"/>
      <c r="Y46" s="68"/>
      <c r="Z46" s="68"/>
      <c r="AA46" s="62">
        <f t="shared" si="19"/>
        <v>0</v>
      </c>
      <c r="AB46" s="63">
        <f t="shared" si="20"/>
        <v>0</v>
      </c>
      <c r="AC46" s="69"/>
      <c r="AD46" s="70"/>
      <c r="AE46" s="70"/>
      <c r="AF46" s="62">
        <f t="shared" si="21"/>
        <v>0</v>
      </c>
      <c r="AG46" s="63">
        <f t="shared" si="22"/>
        <v>0</v>
      </c>
      <c r="AH46" s="89"/>
      <c r="AI46" s="66"/>
      <c r="AJ46" s="66"/>
      <c r="AK46" s="62">
        <f t="shared" si="34"/>
        <v>0</v>
      </c>
      <c r="AL46" s="72">
        <f t="shared" si="35"/>
        <v>0</v>
      </c>
      <c r="AM46" s="73">
        <f t="shared" si="23"/>
        <v>0</v>
      </c>
      <c r="AN46" s="74">
        <f t="shared" si="24"/>
        <v>0</v>
      </c>
      <c r="AO46" s="74">
        <f t="shared" si="25"/>
        <v>0</v>
      </c>
      <c r="AP46" s="75" t="e">
        <f t="shared" si="26"/>
        <v>#DIV/0!</v>
      </c>
      <c r="AQ46" s="76">
        <f t="shared" si="27"/>
        <v>0</v>
      </c>
      <c r="AR46" s="90">
        <f t="shared" si="33"/>
        <v>0</v>
      </c>
    </row>
    <row r="47" spans="1:44" x14ac:dyDescent="0.25">
      <c r="A47" t="str">
        <f t="shared" si="13"/>
        <v>46225E</v>
      </c>
      <c r="B47" s="51">
        <f t="shared" si="29"/>
        <v>46225</v>
      </c>
      <c r="C47" s="52" t="s">
        <v>88</v>
      </c>
      <c r="D47" s="79"/>
      <c r="E47" s="62"/>
      <c r="F47" s="62"/>
      <c r="G47" s="62">
        <f t="shared" si="14"/>
        <v>0</v>
      </c>
      <c r="H47" s="63">
        <f t="shared" si="15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6"/>
        <v>0</v>
      </c>
      <c r="S47" s="62">
        <f t="shared" si="17"/>
        <v>0</v>
      </c>
      <c r="T47" s="63">
        <f t="shared" si="18"/>
        <v>0</v>
      </c>
      <c r="U47" s="64"/>
      <c r="V47" s="65"/>
      <c r="W47" s="66"/>
      <c r="X47" s="67"/>
      <c r="Y47" s="68"/>
      <c r="Z47" s="68"/>
      <c r="AA47" s="62">
        <f t="shared" si="19"/>
        <v>0</v>
      </c>
      <c r="AB47" s="63">
        <f t="shared" si="20"/>
        <v>0</v>
      </c>
      <c r="AC47" s="69"/>
      <c r="AD47" s="70"/>
      <c r="AE47" s="70"/>
      <c r="AF47" s="62">
        <f t="shared" si="21"/>
        <v>0</v>
      </c>
      <c r="AG47" s="63">
        <f t="shared" si="22"/>
        <v>0</v>
      </c>
      <c r="AH47" s="89"/>
      <c r="AI47" s="66"/>
      <c r="AJ47" s="66"/>
      <c r="AK47" s="62">
        <f t="shared" si="34"/>
        <v>0</v>
      </c>
      <c r="AL47" s="72">
        <f t="shared" si="35"/>
        <v>0</v>
      </c>
      <c r="AM47" s="73">
        <f t="shared" si="23"/>
        <v>0</v>
      </c>
      <c r="AN47" s="74">
        <f t="shared" si="24"/>
        <v>0</v>
      </c>
      <c r="AO47" s="74">
        <f t="shared" si="25"/>
        <v>0</v>
      </c>
      <c r="AP47" s="75" t="e">
        <f t="shared" si="26"/>
        <v>#DIV/0!</v>
      </c>
      <c r="AQ47" s="76">
        <f t="shared" si="27"/>
        <v>0</v>
      </c>
      <c r="AR47" s="90">
        <f t="shared" si="33"/>
        <v>0</v>
      </c>
    </row>
    <row r="48" spans="1:44" x14ac:dyDescent="0.25">
      <c r="A48" t="str">
        <f t="shared" si="13"/>
        <v>46226M</v>
      </c>
      <c r="B48" s="51">
        <f t="shared" si="29"/>
        <v>46226</v>
      </c>
      <c r="C48" s="52" t="s">
        <v>87</v>
      </c>
      <c r="D48" s="79"/>
      <c r="E48" s="62"/>
      <c r="F48" s="62"/>
      <c r="G48" s="62">
        <f t="shared" si="14"/>
        <v>0</v>
      </c>
      <c r="H48" s="63">
        <f t="shared" si="15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6"/>
        <v>0</v>
      </c>
      <c r="S48" s="62">
        <f t="shared" si="17"/>
        <v>0</v>
      </c>
      <c r="T48" s="63">
        <f t="shared" si="18"/>
        <v>0</v>
      </c>
      <c r="U48" s="64"/>
      <c r="V48" s="65"/>
      <c r="W48" s="66"/>
      <c r="X48" s="67"/>
      <c r="Y48" s="68"/>
      <c r="Z48" s="68"/>
      <c r="AA48" s="62">
        <f t="shared" si="19"/>
        <v>0</v>
      </c>
      <c r="AB48" s="63">
        <f t="shared" si="20"/>
        <v>0</v>
      </c>
      <c r="AC48" s="69"/>
      <c r="AD48" s="70"/>
      <c r="AE48" s="70"/>
      <c r="AF48" s="62">
        <f t="shared" si="21"/>
        <v>0</v>
      </c>
      <c r="AG48" s="63">
        <f t="shared" si="22"/>
        <v>0</v>
      </c>
      <c r="AH48" s="89"/>
      <c r="AI48" s="66"/>
      <c r="AJ48" s="66"/>
      <c r="AK48" s="62">
        <f t="shared" si="34"/>
        <v>0</v>
      </c>
      <c r="AL48" s="72">
        <f t="shared" si="35"/>
        <v>0</v>
      </c>
      <c r="AM48" s="73">
        <f t="shared" si="23"/>
        <v>0</v>
      </c>
      <c r="AN48" s="74">
        <f t="shared" si="24"/>
        <v>0</v>
      </c>
      <c r="AO48" s="74">
        <f t="shared" si="25"/>
        <v>0</v>
      </c>
      <c r="AP48" s="75" t="e">
        <f t="shared" si="26"/>
        <v>#DIV/0!</v>
      </c>
      <c r="AQ48" s="76">
        <f t="shared" si="27"/>
        <v>0</v>
      </c>
      <c r="AR48" s="90">
        <f t="shared" si="33"/>
        <v>0</v>
      </c>
    </row>
    <row r="49" spans="1:44" x14ac:dyDescent="0.25">
      <c r="A49" t="str">
        <f t="shared" si="13"/>
        <v>46226E</v>
      </c>
      <c r="B49" s="51">
        <f t="shared" si="29"/>
        <v>46226</v>
      </c>
      <c r="C49" s="52" t="s">
        <v>88</v>
      </c>
      <c r="D49" s="79"/>
      <c r="E49" s="62"/>
      <c r="F49" s="62"/>
      <c r="G49" s="62">
        <f t="shared" si="14"/>
        <v>0</v>
      </c>
      <c r="H49" s="63">
        <f t="shared" si="15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6"/>
        <v>0</v>
      </c>
      <c r="S49" s="62">
        <f t="shared" si="17"/>
        <v>0</v>
      </c>
      <c r="T49" s="63">
        <f t="shared" si="18"/>
        <v>0</v>
      </c>
      <c r="U49" s="64"/>
      <c r="V49" s="65"/>
      <c r="W49" s="66"/>
      <c r="X49" s="67"/>
      <c r="Y49" s="68"/>
      <c r="Z49" s="68"/>
      <c r="AA49" s="62">
        <f t="shared" si="19"/>
        <v>0</v>
      </c>
      <c r="AB49" s="63">
        <f t="shared" si="20"/>
        <v>0</v>
      </c>
      <c r="AC49" s="69"/>
      <c r="AD49" s="70"/>
      <c r="AE49" s="70"/>
      <c r="AF49" s="62">
        <f t="shared" si="21"/>
        <v>0</v>
      </c>
      <c r="AG49" s="63">
        <f t="shared" si="22"/>
        <v>0</v>
      </c>
      <c r="AH49" s="89"/>
      <c r="AI49" s="66"/>
      <c r="AJ49" s="66"/>
      <c r="AK49" s="62">
        <f t="shared" si="34"/>
        <v>0</v>
      </c>
      <c r="AL49" s="72">
        <f t="shared" si="35"/>
        <v>0</v>
      </c>
      <c r="AM49" s="73">
        <f t="shared" si="23"/>
        <v>0</v>
      </c>
      <c r="AN49" s="74">
        <f t="shared" si="24"/>
        <v>0</v>
      </c>
      <c r="AO49" s="74">
        <f t="shared" si="25"/>
        <v>0</v>
      </c>
      <c r="AP49" s="75" t="e">
        <f t="shared" si="26"/>
        <v>#DIV/0!</v>
      </c>
      <c r="AQ49" s="76">
        <f t="shared" si="27"/>
        <v>0</v>
      </c>
      <c r="AR49" s="90">
        <f t="shared" si="33"/>
        <v>0</v>
      </c>
    </row>
    <row r="50" spans="1:44" x14ac:dyDescent="0.25">
      <c r="A50" t="str">
        <f t="shared" si="13"/>
        <v>46227M</v>
      </c>
      <c r="B50" s="51">
        <f t="shared" si="29"/>
        <v>46227</v>
      </c>
      <c r="C50" s="52" t="s">
        <v>87</v>
      </c>
      <c r="D50" s="79"/>
      <c r="E50" s="62"/>
      <c r="F50" s="62"/>
      <c r="G50" s="62">
        <f t="shared" si="14"/>
        <v>0</v>
      </c>
      <c r="H50" s="63">
        <f t="shared" si="15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6"/>
        <v>0</v>
      </c>
      <c r="S50" s="62">
        <f t="shared" si="17"/>
        <v>0</v>
      </c>
      <c r="T50" s="63">
        <f t="shared" si="18"/>
        <v>0</v>
      </c>
      <c r="U50" s="64"/>
      <c r="V50" s="65"/>
      <c r="W50" s="66"/>
      <c r="X50" s="67"/>
      <c r="Y50" s="68"/>
      <c r="Z50" s="68"/>
      <c r="AA50" s="62">
        <f t="shared" si="19"/>
        <v>0</v>
      </c>
      <c r="AB50" s="63">
        <f t="shared" si="20"/>
        <v>0</v>
      </c>
      <c r="AC50" s="69"/>
      <c r="AD50" s="70"/>
      <c r="AE50" s="70"/>
      <c r="AF50" s="62">
        <f t="shared" si="21"/>
        <v>0</v>
      </c>
      <c r="AG50" s="63">
        <f t="shared" si="22"/>
        <v>0</v>
      </c>
      <c r="AH50" s="89"/>
      <c r="AI50" s="66"/>
      <c r="AJ50" s="66"/>
      <c r="AK50" s="62">
        <f t="shared" ref="AK50" si="36">AH50*AI50%</f>
        <v>0</v>
      </c>
      <c r="AL50" s="72">
        <f t="shared" ref="AL50" si="37">AH50*AJ50%</f>
        <v>0</v>
      </c>
      <c r="AM50" s="73">
        <f t="shared" si="23"/>
        <v>0</v>
      </c>
      <c r="AN50" s="74">
        <f t="shared" si="24"/>
        <v>0</v>
      </c>
      <c r="AO50" s="74">
        <f t="shared" si="25"/>
        <v>0</v>
      </c>
      <c r="AP50" s="75" t="e">
        <f t="shared" si="26"/>
        <v>#DIV/0!</v>
      </c>
      <c r="AQ50" s="76">
        <f t="shared" si="27"/>
        <v>0</v>
      </c>
      <c r="AR50" s="90">
        <f t="shared" ref="AR50:AR57" si="38">(D50+J50+O50)-(X50+AH50)</f>
        <v>0</v>
      </c>
    </row>
    <row r="51" spans="1:44" x14ac:dyDescent="0.25">
      <c r="A51" t="str">
        <f t="shared" si="13"/>
        <v>46227E</v>
      </c>
      <c r="B51" s="51">
        <f t="shared" si="29"/>
        <v>46227</v>
      </c>
      <c r="C51" s="52" t="s">
        <v>88</v>
      </c>
      <c r="D51" s="79"/>
      <c r="E51" s="62"/>
      <c r="F51" s="62"/>
      <c r="G51" s="62">
        <f t="shared" si="14"/>
        <v>0</v>
      </c>
      <c r="H51" s="63">
        <f t="shared" si="15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6"/>
        <v>0</v>
      </c>
      <c r="S51" s="62">
        <f t="shared" si="17"/>
        <v>0</v>
      </c>
      <c r="T51" s="63">
        <f t="shared" si="18"/>
        <v>0</v>
      </c>
      <c r="U51" s="64"/>
      <c r="V51" s="85"/>
      <c r="W51" s="66"/>
      <c r="X51" s="67"/>
      <c r="Y51" s="68"/>
      <c r="Z51" s="68"/>
      <c r="AA51" s="62">
        <f t="shared" si="19"/>
        <v>0</v>
      </c>
      <c r="AB51" s="63">
        <f t="shared" si="20"/>
        <v>0</v>
      </c>
      <c r="AC51" s="69"/>
      <c r="AD51" s="70"/>
      <c r="AE51" s="70"/>
      <c r="AF51" s="62">
        <f t="shared" si="21"/>
        <v>0</v>
      </c>
      <c r="AG51" s="63">
        <f t="shared" si="22"/>
        <v>0</v>
      </c>
      <c r="AH51" s="89"/>
      <c r="AI51" s="66"/>
      <c r="AJ51" s="66"/>
      <c r="AK51" s="62">
        <f t="shared" ref="AK51:AK63" si="39">AH51*AI51%</f>
        <v>0</v>
      </c>
      <c r="AL51" s="72">
        <f t="shared" ref="AL51:AL63" si="40">AH51*AJ51%</f>
        <v>0</v>
      </c>
      <c r="AM51" s="73">
        <f t="shared" si="23"/>
        <v>0</v>
      </c>
      <c r="AN51" s="74">
        <f t="shared" si="24"/>
        <v>0</v>
      </c>
      <c r="AO51" s="74">
        <f t="shared" si="25"/>
        <v>0</v>
      </c>
      <c r="AP51" s="75" t="e">
        <f t="shared" si="26"/>
        <v>#DIV/0!</v>
      </c>
      <c r="AQ51" s="76">
        <f t="shared" si="27"/>
        <v>0</v>
      </c>
      <c r="AR51" s="90">
        <f t="shared" si="38"/>
        <v>0</v>
      </c>
    </row>
    <row r="52" spans="1:44" x14ac:dyDescent="0.25">
      <c r="A52" t="str">
        <f t="shared" si="13"/>
        <v>46228M</v>
      </c>
      <c r="B52" s="51">
        <f t="shared" si="29"/>
        <v>46228</v>
      </c>
      <c r="C52" s="52" t="s">
        <v>87</v>
      </c>
      <c r="D52" s="79"/>
      <c r="E52" s="62"/>
      <c r="F52" s="62"/>
      <c r="G52" s="62">
        <f t="shared" si="14"/>
        <v>0</v>
      </c>
      <c r="H52" s="63">
        <f t="shared" si="15"/>
        <v>0</v>
      </c>
      <c r="I52" s="202"/>
      <c r="J52" s="202"/>
      <c r="K52" s="202"/>
      <c r="L52" s="202"/>
      <c r="M52" s="58"/>
      <c r="N52" s="58"/>
      <c r="O52" s="59"/>
      <c r="P52" s="56"/>
      <c r="Q52" s="60"/>
      <c r="R52" s="61">
        <f t="shared" si="16"/>
        <v>0</v>
      </c>
      <c r="S52" s="62">
        <f t="shared" si="17"/>
        <v>0</v>
      </c>
      <c r="T52" s="63">
        <f t="shared" si="18"/>
        <v>0</v>
      </c>
      <c r="U52" s="64"/>
      <c r="V52" s="85"/>
      <c r="W52" s="66"/>
      <c r="X52" s="67"/>
      <c r="Y52" s="68"/>
      <c r="Z52" s="68"/>
      <c r="AA52" s="62">
        <f t="shared" si="19"/>
        <v>0</v>
      </c>
      <c r="AB52" s="63">
        <f t="shared" si="20"/>
        <v>0</v>
      </c>
      <c r="AC52" s="69"/>
      <c r="AD52" s="70"/>
      <c r="AE52" s="70"/>
      <c r="AF52" s="62">
        <f t="shared" si="21"/>
        <v>0</v>
      </c>
      <c r="AG52" s="63">
        <f t="shared" si="22"/>
        <v>0</v>
      </c>
      <c r="AH52" s="89"/>
      <c r="AI52" s="66"/>
      <c r="AJ52" s="66"/>
      <c r="AK52" s="62">
        <f t="shared" si="39"/>
        <v>0</v>
      </c>
      <c r="AL52" s="72">
        <f t="shared" si="40"/>
        <v>0</v>
      </c>
      <c r="AM52" s="73">
        <f t="shared" si="23"/>
        <v>0</v>
      </c>
      <c r="AN52" s="74">
        <f t="shared" si="24"/>
        <v>0</v>
      </c>
      <c r="AO52" s="74">
        <f t="shared" si="25"/>
        <v>0</v>
      </c>
      <c r="AP52" s="75" t="e">
        <f t="shared" si="26"/>
        <v>#DIV/0!</v>
      </c>
      <c r="AQ52" s="76">
        <f t="shared" si="27"/>
        <v>0</v>
      </c>
      <c r="AR52" s="90">
        <f t="shared" si="38"/>
        <v>0</v>
      </c>
    </row>
    <row r="53" spans="1:44" x14ac:dyDescent="0.25">
      <c r="A53" t="str">
        <f t="shared" si="13"/>
        <v>46228E</v>
      </c>
      <c r="B53" s="51">
        <f t="shared" si="29"/>
        <v>46228</v>
      </c>
      <c r="C53" s="52" t="s">
        <v>88</v>
      </c>
      <c r="D53" s="79"/>
      <c r="E53" s="62"/>
      <c r="F53" s="62"/>
      <c r="G53" s="62">
        <f t="shared" si="14"/>
        <v>0</v>
      </c>
      <c r="H53" s="63">
        <f t="shared" si="15"/>
        <v>0</v>
      </c>
      <c r="I53" s="202"/>
      <c r="J53" s="202"/>
      <c r="K53" s="202"/>
      <c r="L53" s="202"/>
      <c r="M53" s="58"/>
      <c r="N53" s="58"/>
      <c r="O53" s="59"/>
      <c r="P53" s="56"/>
      <c r="Q53" s="60"/>
      <c r="R53" s="61">
        <f t="shared" si="16"/>
        <v>0</v>
      </c>
      <c r="S53" s="62">
        <f t="shared" si="17"/>
        <v>0</v>
      </c>
      <c r="T53" s="63">
        <f t="shared" si="18"/>
        <v>0</v>
      </c>
      <c r="U53" s="64"/>
      <c r="V53" s="65"/>
      <c r="W53" s="66"/>
      <c r="X53" s="67"/>
      <c r="Y53" s="68"/>
      <c r="Z53" s="68"/>
      <c r="AA53" s="62">
        <f t="shared" si="19"/>
        <v>0</v>
      </c>
      <c r="AB53" s="63">
        <f t="shared" si="20"/>
        <v>0</v>
      </c>
      <c r="AC53" s="69"/>
      <c r="AD53" s="70"/>
      <c r="AE53" s="70"/>
      <c r="AF53" s="62">
        <f t="shared" si="21"/>
        <v>0</v>
      </c>
      <c r="AG53" s="63">
        <f t="shared" si="22"/>
        <v>0</v>
      </c>
      <c r="AH53" s="89"/>
      <c r="AI53" s="66"/>
      <c r="AJ53" s="66"/>
      <c r="AK53" s="62">
        <f t="shared" si="39"/>
        <v>0</v>
      </c>
      <c r="AL53" s="72">
        <f t="shared" si="40"/>
        <v>0</v>
      </c>
      <c r="AM53" s="73">
        <f t="shared" si="23"/>
        <v>0</v>
      </c>
      <c r="AN53" s="74">
        <f t="shared" si="24"/>
        <v>0</v>
      </c>
      <c r="AO53" s="74">
        <f t="shared" si="25"/>
        <v>0</v>
      </c>
      <c r="AP53" s="75" t="e">
        <f t="shared" si="26"/>
        <v>#DIV/0!</v>
      </c>
      <c r="AQ53" s="76">
        <f t="shared" si="27"/>
        <v>0</v>
      </c>
      <c r="AR53" s="90">
        <f t="shared" si="38"/>
        <v>0</v>
      </c>
    </row>
    <row r="54" spans="1:44" x14ac:dyDescent="0.25">
      <c r="A54" t="str">
        <f t="shared" si="13"/>
        <v>46229M</v>
      </c>
      <c r="B54" s="51">
        <f t="shared" si="29"/>
        <v>46229</v>
      </c>
      <c r="C54" s="52" t="s">
        <v>87</v>
      </c>
      <c r="D54" s="79"/>
      <c r="E54" s="62"/>
      <c r="F54" s="62"/>
      <c r="G54" s="62">
        <f t="shared" si="14"/>
        <v>0</v>
      </c>
      <c r="H54" s="63">
        <f t="shared" si="15"/>
        <v>0</v>
      </c>
      <c r="I54" s="202"/>
      <c r="J54" s="202"/>
      <c r="K54" s="202"/>
      <c r="L54" s="202"/>
      <c r="M54" s="58"/>
      <c r="N54" s="58"/>
      <c r="O54" s="59"/>
      <c r="P54" s="56"/>
      <c r="Q54" s="60"/>
      <c r="R54" s="61">
        <f t="shared" si="16"/>
        <v>0</v>
      </c>
      <c r="S54" s="62">
        <f t="shared" si="17"/>
        <v>0</v>
      </c>
      <c r="T54" s="63">
        <f t="shared" si="18"/>
        <v>0</v>
      </c>
      <c r="U54" s="64"/>
      <c r="V54" s="65"/>
      <c r="W54" s="66"/>
      <c r="X54" s="67"/>
      <c r="Y54" s="68"/>
      <c r="Z54" s="68"/>
      <c r="AA54" s="62">
        <f t="shared" si="19"/>
        <v>0</v>
      </c>
      <c r="AB54" s="63">
        <f t="shared" si="20"/>
        <v>0</v>
      </c>
      <c r="AC54" s="69"/>
      <c r="AD54" s="70"/>
      <c r="AE54" s="70"/>
      <c r="AF54" s="62">
        <f t="shared" si="21"/>
        <v>0</v>
      </c>
      <c r="AG54" s="63">
        <f t="shared" si="22"/>
        <v>0</v>
      </c>
      <c r="AH54" s="89"/>
      <c r="AI54" s="66"/>
      <c r="AJ54" s="66"/>
      <c r="AK54" s="62">
        <f t="shared" si="39"/>
        <v>0</v>
      </c>
      <c r="AL54" s="72">
        <f t="shared" si="40"/>
        <v>0</v>
      </c>
      <c r="AM54" s="73">
        <f t="shared" si="23"/>
        <v>0</v>
      </c>
      <c r="AN54" s="74">
        <f t="shared" si="24"/>
        <v>0</v>
      </c>
      <c r="AO54" s="74">
        <f t="shared" si="25"/>
        <v>0</v>
      </c>
      <c r="AP54" s="75" t="e">
        <f t="shared" si="26"/>
        <v>#DIV/0!</v>
      </c>
      <c r="AQ54" s="76">
        <f t="shared" si="27"/>
        <v>0</v>
      </c>
      <c r="AR54" s="90">
        <f t="shared" si="38"/>
        <v>0</v>
      </c>
    </row>
    <row r="55" spans="1:44" x14ac:dyDescent="0.25">
      <c r="A55" t="str">
        <f t="shared" si="13"/>
        <v>46229E</v>
      </c>
      <c r="B55" s="51">
        <f t="shared" si="29"/>
        <v>46229</v>
      </c>
      <c r="C55" s="52" t="s">
        <v>88</v>
      </c>
      <c r="D55" s="79"/>
      <c r="E55" s="62"/>
      <c r="F55" s="62"/>
      <c r="G55" s="62">
        <f t="shared" si="14"/>
        <v>0</v>
      </c>
      <c r="H55" s="63">
        <f t="shared" si="15"/>
        <v>0</v>
      </c>
      <c r="I55" s="202"/>
      <c r="J55" s="202"/>
      <c r="K55" s="202"/>
      <c r="L55" s="202"/>
      <c r="M55" s="58"/>
      <c r="N55" s="58"/>
      <c r="O55" s="59"/>
      <c r="P55" s="56"/>
      <c r="Q55" s="60"/>
      <c r="R55" s="61">
        <f t="shared" si="16"/>
        <v>0</v>
      </c>
      <c r="S55" s="62">
        <f t="shared" si="17"/>
        <v>0</v>
      </c>
      <c r="T55" s="63">
        <f t="shared" si="18"/>
        <v>0</v>
      </c>
      <c r="U55" s="64"/>
      <c r="V55" s="65"/>
      <c r="W55" s="66"/>
      <c r="X55" s="67"/>
      <c r="Y55" s="68"/>
      <c r="Z55" s="68"/>
      <c r="AA55" s="62">
        <f t="shared" si="19"/>
        <v>0</v>
      </c>
      <c r="AB55" s="63">
        <f t="shared" si="20"/>
        <v>0</v>
      </c>
      <c r="AC55" s="69"/>
      <c r="AD55" s="70"/>
      <c r="AE55" s="70"/>
      <c r="AF55" s="62">
        <f t="shared" si="21"/>
        <v>0</v>
      </c>
      <c r="AG55" s="63">
        <f t="shared" si="22"/>
        <v>0</v>
      </c>
      <c r="AH55" s="89"/>
      <c r="AI55" s="66"/>
      <c r="AJ55" s="66"/>
      <c r="AK55" s="62">
        <f t="shared" si="39"/>
        <v>0</v>
      </c>
      <c r="AL55" s="72">
        <f t="shared" si="40"/>
        <v>0</v>
      </c>
      <c r="AM55" s="73">
        <f t="shared" si="23"/>
        <v>0</v>
      </c>
      <c r="AN55" s="74">
        <f t="shared" si="24"/>
        <v>0</v>
      </c>
      <c r="AO55" s="74">
        <f t="shared" si="25"/>
        <v>0</v>
      </c>
      <c r="AP55" s="75" t="e">
        <f t="shared" si="26"/>
        <v>#DIV/0!</v>
      </c>
      <c r="AQ55" s="76">
        <f t="shared" si="27"/>
        <v>0</v>
      </c>
      <c r="AR55" s="90">
        <f t="shared" si="38"/>
        <v>0</v>
      </c>
    </row>
    <row r="56" spans="1:44" x14ac:dyDescent="0.25">
      <c r="A56" t="str">
        <f t="shared" si="13"/>
        <v>46230M</v>
      </c>
      <c r="B56" s="51">
        <f t="shared" si="29"/>
        <v>46230</v>
      </c>
      <c r="C56" s="52" t="s">
        <v>87</v>
      </c>
      <c r="D56" s="79"/>
      <c r="E56" s="62"/>
      <c r="F56" s="62"/>
      <c r="G56" s="62">
        <f t="shared" si="14"/>
        <v>0</v>
      </c>
      <c r="H56" s="63">
        <f t="shared" si="15"/>
        <v>0</v>
      </c>
      <c r="I56" s="202"/>
      <c r="J56" s="202"/>
      <c r="K56" s="202"/>
      <c r="L56" s="202"/>
      <c r="M56" s="58"/>
      <c r="N56" s="58"/>
      <c r="O56" s="59"/>
      <c r="P56" s="56"/>
      <c r="Q56" s="60"/>
      <c r="R56" s="61">
        <f t="shared" si="16"/>
        <v>0</v>
      </c>
      <c r="S56" s="62">
        <f t="shared" si="17"/>
        <v>0</v>
      </c>
      <c r="T56" s="63">
        <f t="shared" si="18"/>
        <v>0</v>
      </c>
      <c r="U56" s="64"/>
      <c r="V56" s="65"/>
      <c r="W56" s="66"/>
      <c r="X56" s="67"/>
      <c r="Y56" s="68"/>
      <c r="Z56" s="68"/>
      <c r="AA56" s="62">
        <f t="shared" si="19"/>
        <v>0</v>
      </c>
      <c r="AB56" s="63">
        <f t="shared" si="20"/>
        <v>0</v>
      </c>
      <c r="AC56" s="69"/>
      <c r="AD56" s="70"/>
      <c r="AE56" s="70"/>
      <c r="AF56" s="62">
        <f t="shared" si="21"/>
        <v>0</v>
      </c>
      <c r="AG56" s="63">
        <f t="shared" si="22"/>
        <v>0</v>
      </c>
      <c r="AH56" s="89"/>
      <c r="AI56" s="66"/>
      <c r="AJ56" s="66"/>
      <c r="AK56" s="62">
        <f t="shared" si="39"/>
        <v>0</v>
      </c>
      <c r="AL56" s="72">
        <f t="shared" si="40"/>
        <v>0</v>
      </c>
      <c r="AM56" s="73">
        <f t="shared" si="23"/>
        <v>0</v>
      </c>
      <c r="AN56" s="74">
        <f t="shared" si="24"/>
        <v>0</v>
      </c>
      <c r="AO56" s="74">
        <f t="shared" si="25"/>
        <v>0</v>
      </c>
      <c r="AP56" s="75" t="e">
        <f t="shared" si="26"/>
        <v>#DIV/0!</v>
      </c>
      <c r="AQ56" s="76">
        <f t="shared" si="27"/>
        <v>0</v>
      </c>
      <c r="AR56" s="90">
        <f t="shared" si="38"/>
        <v>0</v>
      </c>
    </row>
    <row r="57" spans="1:44" x14ac:dyDescent="0.25">
      <c r="A57" t="str">
        <f t="shared" si="13"/>
        <v>46230E</v>
      </c>
      <c r="B57" s="51">
        <f t="shared" si="29"/>
        <v>46230</v>
      </c>
      <c r="C57" s="52" t="s">
        <v>88</v>
      </c>
      <c r="D57" s="79"/>
      <c r="E57" s="62"/>
      <c r="F57" s="62"/>
      <c r="G57" s="62">
        <f t="shared" si="14"/>
        <v>0</v>
      </c>
      <c r="H57" s="63">
        <f t="shared" si="15"/>
        <v>0</v>
      </c>
      <c r="I57" s="202"/>
      <c r="J57" s="202"/>
      <c r="K57" s="202"/>
      <c r="L57" s="202"/>
      <c r="M57" s="58"/>
      <c r="N57" s="58"/>
      <c r="O57" s="59"/>
      <c r="P57" s="56"/>
      <c r="Q57" s="60"/>
      <c r="R57" s="61">
        <f t="shared" si="16"/>
        <v>0</v>
      </c>
      <c r="S57" s="62">
        <f t="shared" si="17"/>
        <v>0</v>
      </c>
      <c r="T57" s="63">
        <f t="shared" si="18"/>
        <v>0</v>
      </c>
      <c r="U57" s="64"/>
      <c r="V57" s="65"/>
      <c r="W57" s="66"/>
      <c r="X57" s="67"/>
      <c r="Y57" s="68"/>
      <c r="Z57" s="68"/>
      <c r="AA57" s="62">
        <f t="shared" si="19"/>
        <v>0</v>
      </c>
      <c r="AB57" s="63">
        <f t="shared" si="20"/>
        <v>0</v>
      </c>
      <c r="AC57" s="69"/>
      <c r="AD57" s="70"/>
      <c r="AE57" s="70"/>
      <c r="AF57" s="62">
        <f t="shared" si="21"/>
        <v>0</v>
      </c>
      <c r="AG57" s="63">
        <f t="shared" si="22"/>
        <v>0</v>
      </c>
      <c r="AH57" s="89"/>
      <c r="AI57" s="66"/>
      <c r="AJ57" s="66"/>
      <c r="AK57" s="62">
        <f t="shared" si="39"/>
        <v>0</v>
      </c>
      <c r="AL57" s="72">
        <f t="shared" si="40"/>
        <v>0</v>
      </c>
      <c r="AM57" s="73">
        <f t="shared" si="23"/>
        <v>0</v>
      </c>
      <c r="AN57" s="74">
        <f t="shared" si="24"/>
        <v>0</v>
      </c>
      <c r="AO57" s="74">
        <f t="shared" si="25"/>
        <v>0</v>
      </c>
      <c r="AP57" s="75" t="e">
        <f t="shared" si="26"/>
        <v>#DIV/0!</v>
      </c>
      <c r="AQ57" s="76">
        <f t="shared" si="27"/>
        <v>0</v>
      </c>
      <c r="AR57" s="90">
        <f t="shared" si="38"/>
        <v>0</v>
      </c>
    </row>
    <row r="58" spans="1:44" x14ac:dyDescent="0.25">
      <c r="A58" t="str">
        <f t="shared" si="13"/>
        <v>46231M</v>
      </c>
      <c r="B58" s="51">
        <f t="shared" si="29"/>
        <v>46231</v>
      </c>
      <c r="C58" s="52" t="s">
        <v>87</v>
      </c>
      <c r="D58" s="79"/>
      <c r="E58" s="62"/>
      <c r="F58" s="62"/>
      <c r="G58" s="62">
        <f t="shared" si="14"/>
        <v>0</v>
      </c>
      <c r="H58" s="63">
        <f t="shared" si="15"/>
        <v>0</v>
      </c>
      <c r="I58" s="202"/>
      <c r="J58" s="202"/>
      <c r="K58" s="202"/>
      <c r="L58" s="202"/>
      <c r="M58" s="58"/>
      <c r="N58" s="58"/>
      <c r="O58" s="59"/>
      <c r="P58" s="56"/>
      <c r="Q58" s="60"/>
      <c r="R58" s="61">
        <f t="shared" si="16"/>
        <v>0</v>
      </c>
      <c r="S58" s="62">
        <f t="shared" si="17"/>
        <v>0</v>
      </c>
      <c r="T58" s="63">
        <f t="shared" si="18"/>
        <v>0</v>
      </c>
      <c r="U58" s="64"/>
      <c r="V58" s="65"/>
      <c r="W58" s="66"/>
      <c r="X58" s="67"/>
      <c r="Y58" s="68"/>
      <c r="Z58" s="68"/>
      <c r="AA58" s="62">
        <f t="shared" si="19"/>
        <v>0</v>
      </c>
      <c r="AB58" s="63">
        <f t="shared" si="20"/>
        <v>0</v>
      </c>
      <c r="AC58" s="69"/>
      <c r="AD58" s="70"/>
      <c r="AE58" s="70"/>
      <c r="AF58" s="62">
        <f t="shared" si="21"/>
        <v>0</v>
      </c>
      <c r="AG58" s="63">
        <f t="shared" si="22"/>
        <v>0</v>
      </c>
      <c r="AH58" s="89"/>
      <c r="AI58" s="66"/>
      <c r="AJ58" s="66"/>
      <c r="AK58" s="62">
        <f t="shared" si="39"/>
        <v>0</v>
      </c>
      <c r="AL58" s="72">
        <f t="shared" si="40"/>
        <v>0</v>
      </c>
      <c r="AM58" s="73">
        <f t="shared" si="23"/>
        <v>0</v>
      </c>
      <c r="AN58" s="74">
        <f t="shared" si="24"/>
        <v>0</v>
      </c>
      <c r="AO58" s="74">
        <f t="shared" si="25"/>
        <v>0</v>
      </c>
      <c r="AP58" s="75" t="e">
        <f t="shared" si="26"/>
        <v>#DIV/0!</v>
      </c>
      <c r="AQ58" s="76">
        <f t="shared" si="27"/>
        <v>0</v>
      </c>
      <c r="AR58" s="77">
        <f t="shared" si="12"/>
        <v>0</v>
      </c>
    </row>
    <row r="59" spans="1:44" x14ac:dyDescent="0.25">
      <c r="A59" t="str">
        <f t="shared" si="13"/>
        <v>46231E</v>
      </c>
      <c r="B59" s="51">
        <f t="shared" si="29"/>
        <v>46231</v>
      </c>
      <c r="C59" s="52" t="s">
        <v>88</v>
      </c>
      <c r="D59" s="79"/>
      <c r="E59" s="62"/>
      <c r="F59" s="62"/>
      <c r="G59" s="62">
        <f t="shared" si="14"/>
        <v>0</v>
      </c>
      <c r="H59" s="63">
        <f t="shared" si="15"/>
        <v>0</v>
      </c>
      <c r="I59" s="202"/>
      <c r="J59" s="202"/>
      <c r="K59" s="202"/>
      <c r="L59" s="202"/>
      <c r="M59" s="58"/>
      <c r="N59" s="58"/>
      <c r="O59" s="59"/>
      <c r="P59" s="56"/>
      <c r="Q59" s="60"/>
      <c r="R59" s="61">
        <f t="shared" si="16"/>
        <v>0</v>
      </c>
      <c r="S59" s="62">
        <f t="shared" si="17"/>
        <v>0</v>
      </c>
      <c r="T59" s="63">
        <f t="shared" si="18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21"/>
        <v>0</v>
      </c>
      <c r="AG59" s="63">
        <f t="shared" si="22"/>
        <v>0</v>
      </c>
      <c r="AH59" s="89"/>
      <c r="AI59" s="66"/>
      <c r="AJ59" s="66"/>
      <c r="AK59" s="62">
        <f t="shared" si="39"/>
        <v>0</v>
      </c>
      <c r="AL59" s="72">
        <f t="shared" si="40"/>
        <v>0</v>
      </c>
      <c r="AM59" s="73">
        <f t="shared" si="23"/>
        <v>0</v>
      </c>
      <c r="AN59" s="74">
        <f t="shared" si="24"/>
        <v>0</v>
      </c>
      <c r="AO59" s="74">
        <f t="shared" si="25"/>
        <v>0</v>
      </c>
      <c r="AP59" s="75" t="e">
        <f t="shared" si="26"/>
        <v>#DIV/0!</v>
      </c>
      <c r="AQ59" s="76">
        <f t="shared" si="27"/>
        <v>0</v>
      </c>
      <c r="AR59" s="77">
        <f t="shared" si="12"/>
        <v>0</v>
      </c>
    </row>
    <row r="60" spans="1:44" x14ac:dyDescent="0.25">
      <c r="A60" t="str">
        <f t="shared" si="13"/>
        <v>46232M</v>
      </c>
      <c r="B60" s="51">
        <f t="shared" si="29"/>
        <v>46232</v>
      </c>
      <c r="C60" s="52" t="s">
        <v>87</v>
      </c>
      <c r="D60" s="79"/>
      <c r="E60" s="62"/>
      <c r="F60" s="62"/>
      <c r="G60" s="62">
        <f t="shared" si="14"/>
        <v>0</v>
      </c>
      <c r="H60" s="63">
        <f t="shared" si="15"/>
        <v>0</v>
      </c>
      <c r="I60" s="202"/>
      <c r="J60" s="202"/>
      <c r="K60" s="202"/>
      <c r="L60" s="202"/>
      <c r="M60" s="58"/>
      <c r="N60" s="58"/>
      <c r="O60" s="59"/>
      <c r="P60" s="56"/>
      <c r="Q60" s="60"/>
      <c r="R60" s="61">
        <f t="shared" si="16"/>
        <v>0</v>
      </c>
      <c r="S60" s="62">
        <f t="shared" si="17"/>
        <v>0</v>
      </c>
      <c r="T60" s="63">
        <f t="shared" si="18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21"/>
        <v>0</v>
      </c>
      <c r="AG60" s="63">
        <f t="shared" si="22"/>
        <v>0</v>
      </c>
      <c r="AH60" s="89"/>
      <c r="AI60" s="66"/>
      <c r="AJ60" s="66"/>
      <c r="AK60" s="62">
        <f t="shared" si="39"/>
        <v>0</v>
      </c>
      <c r="AL60" s="72">
        <f t="shared" si="40"/>
        <v>0</v>
      </c>
      <c r="AM60" s="73">
        <f t="shared" si="23"/>
        <v>0</v>
      </c>
      <c r="AN60" s="74">
        <f t="shared" si="24"/>
        <v>0</v>
      </c>
      <c r="AO60" s="74">
        <f t="shared" si="25"/>
        <v>0</v>
      </c>
      <c r="AP60" s="75" t="e">
        <f t="shared" si="26"/>
        <v>#DIV/0!</v>
      </c>
      <c r="AQ60" s="76">
        <f t="shared" si="27"/>
        <v>0</v>
      </c>
      <c r="AR60" s="77">
        <f t="shared" si="12"/>
        <v>0</v>
      </c>
    </row>
    <row r="61" spans="1:44" x14ac:dyDescent="0.25">
      <c r="A61" t="str">
        <f t="shared" si="13"/>
        <v>46232E</v>
      </c>
      <c r="B61" s="51">
        <f t="shared" si="29"/>
        <v>46232</v>
      </c>
      <c r="C61" s="52" t="s">
        <v>88</v>
      </c>
      <c r="D61" s="79"/>
      <c r="E61" s="62"/>
      <c r="F61" s="62"/>
      <c r="G61" s="62">
        <f t="shared" si="14"/>
        <v>0</v>
      </c>
      <c r="H61" s="63">
        <f t="shared" si="15"/>
        <v>0</v>
      </c>
      <c r="I61" s="202"/>
      <c r="J61" s="202"/>
      <c r="K61" s="202"/>
      <c r="L61" s="202"/>
      <c r="M61" s="58"/>
      <c r="N61" s="58"/>
      <c r="O61" s="59"/>
      <c r="P61" s="56"/>
      <c r="Q61" s="60"/>
      <c r="R61" s="61">
        <f t="shared" si="16"/>
        <v>0</v>
      </c>
      <c r="S61" s="62">
        <f t="shared" si="17"/>
        <v>0</v>
      </c>
      <c r="T61" s="63">
        <f t="shared" si="18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21"/>
        <v>0</v>
      </c>
      <c r="AG61" s="63">
        <f t="shared" si="22"/>
        <v>0</v>
      </c>
      <c r="AH61" s="89"/>
      <c r="AI61" s="66"/>
      <c r="AJ61" s="66"/>
      <c r="AK61" s="62">
        <f t="shared" si="39"/>
        <v>0</v>
      </c>
      <c r="AL61" s="72">
        <f t="shared" si="40"/>
        <v>0</v>
      </c>
      <c r="AM61" s="73">
        <f t="shared" si="23"/>
        <v>0</v>
      </c>
      <c r="AN61" s="74">
        <f t="shared" si="24"/>
        <v>0</v>
      </c>
      <c r="AO61" s="74">
        <f t="shared" si="25"/>
        <v>0</v>
      </c>
      <c r="AP61" s="75" t="e">
        <f t="shared" si="26"/>
        <v>#DIV/0!</v>
      </c>
      <c r="AQ61" s="76">
        <f t="shared" si="27"/>
        <v>0</v>
      </c>
      <c r="AR61" s="77">
        <f t="shared" si="12"/>
        <v>0</v>
      </c>
    </row>
    <row r="62" spans="1:44" x14ac:dyDescent="0.25">
      <c r="A62" t="str">
        <f t="shared" si="13"/>
        <v>46233M</v>
      </c>
      <c r="B62" s="51">
        <f t="shared" si="29"/>
        <v>46233</v>
      </c>
      <c r="C62" s="52" t="s">
        <v>87</v>
      </c>
      <c r="D62" s="79"/>
      <c r="E62" s="62"/>
      <c r="F62" s="62"/>
      <c r="G62" s="62">
        <f t="shared" si="14"/>
        <v>0</v>
      </c>
      <c r="H62" s="63">
        <f t="shared" si="15"/>
        <v>0</v>
      </c>
      <c r="I62" s="202"/>
      <c r="J62" s="202"/>
      <c r="K62" s="202"/>
      <c r="L62" s="202"/>
      <c r="M62" s="58"/>
      <c r="N62" s="58"/>
      <c r="O62" s="59"/>
      <c r="P62" s="56"/>
      <c r="Q62" s="60"/>
      <c r="R62" s="61">
        <f t="shared" si="16"/>
        <v>0</v>
      </c>
      <c r="S62" s="62">
        <f t="shared" si="17"/>
        <v>0</v>
      </c>
      <c r="T62" s="63">
        <f t="shared" si="18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21"/>
        <v>0</v>
      </c>
      <c r="AG62" s="63">
        <f t="shared" si="22"/>
        <v>0</v>
      </c>
      <c r="AH62" s="89"/>
      <c r="AI62" s="66"/>
      <c r="AJ62" s="66"/>
      <c r="AK62" s="62">
        <f t="shared" si="39"/>
        <v>0</v>
      </c>
      <c r="AL62" s="72">
        <f t="shared" si="40"/>
        <v>0</v>
      </c>
      <c r="AM62" s="73">
        <f t="shared" si="23"/>
        <v>0</v>
      </c>
      <c r="AN62" s="74">
        <f t="shared" si="24"/>
        <v>0</v>
      </c>
      <c r="AO62" s="74">
        <f t="shared" si="25"/>
        <v>0</v>
      </c>
      <c r="AP62" s="75" t="e">
        <f t="shared" si="26"/>
        <v>#DIV/0!</v>
      </c>
      <c r="AQ62" s="76">
        <f t="shared" si="27"/>
        <v>0</v>
      </c>
      <c r="AR62" s="77">
        <f t="shared" si="12"/>
        <v>0</v>
      </c>
    </row>
    <row r="63" spans="1:44" x14ac:dyDescent="0.25">
      <c r="A63" t="str">
        <f t="shared" si="13"/>
        <v>46233E</v>
      </c>
      <c r="B63" s="51">
        <f t="shared" si="29"/>
        <v>46233</v>
      </c>
      <c r="C63" s="52" t="s">
        <v>88</v>
      </c>
      <c r="D63" s="79"/>
      <c r="E63" s="62"/>
      <c r="F63" s="62"/>
      <c r="G63" s="62">
        <f t="shared" si="14"/>
        <v>0</v>
      </c>
      <c r="H63" s="63">
        <f t="shared" si="15"/>
        <v>0</v>
      </c>
      <c r="I63" s="202"/>
      <c r="J63" s="202"/>
      <c r="K63" s="202"/>
      <c r="L63" s="202"/>
      <c r="M63" s="58"/>
      <c r="N63" s="58"/>
      <c r="O63" s="59"/>
      <c r="P63" s="56"/>
      <c r="Q63" s="60"/>
      <c r="R63" s="61">
        <f t="shared" si="16"/>
        <v>0</v>
      </c>
      <c r="S63" s="62">
        <f t="shared" si="17"/>
        <v>0</v>
      </c>
      <c r="T63" s="63">
        <f t="shared" si="18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21"/>
        <v>0</v>
      </c>
      <c r="AG63" s="63">
        <f t="shared" si="22"/>
        <v>0</v>
      </c>
      <c r="AH63" s="89"/>
      <c r="AI63" s="66"/>
      <c r="AJ63" s="66"/>
      <c r="AK63" s="62">
        <f t="shared" si="39"/>
        <v>0</v>
      </c>
      <c r="AL63" s="72">
        <f t="shared" si="40"/>
        <v>0</v>
      </c>
      <c r="AM63" s="73">
        <f t="shared" si="23"/>
        <v>0</v>
      </c>
      <c r="AN63" s="74">
        <f t="shared" si="24"/>
        <v>0</v>
      </c>
      <c r="AO63" s="74">
        <f t="shared" si="25"/>
        <v>0</v>
      </c>
      <c r="AP63" s="75" t="e">
        <f t="shared" si="26"/>
        <v>#DIV/0!</v>
      </c>
      <c r="AQ63" s="76">
        <f t="shared" si="27"/>
        <v>0</v>
      </c>
      <c r="AR63" s="77">
        <f t="shared" si="12"/>
        <v>0</v>
      </c>
    </row>
    <row r="64" spans="1:44" x14ac:dyDescent="0.25">
      <c r="A64" t="str">
        <f t="shared" si="13"/>
        <v>46234M</v>
      </c>
      <c r="B64" s="51">
        <f t="shared" si="29"/>
        <v>46234</v>
      </c>
      <c r="C64" s="52" t="s">
        <v>87</v>
      </c>
      <c r="D64" s="79"/>
      <c r="E64" s="62"/>
      <c r="F64" s="62"/>
      <c r="G64" s="62">
        <f t="shared" si="14"/>
        <v>0</v>
      </c>
      <c r="H64" s="63">
        <f t="shared" si="15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6"/>
        <v>0</v>
      </c>
      <c r="S64" s="62">
        <f t="shared" si="17"/>
        <v>0</v>
      </c>
      <c r="T64" s="63">
        <f t="shared" si="18"/>
        <v>0</v>
      </c>
      <c r="U64" s="64"/>
      <c r="V64" s="65"/>
      <c r="W64" s="66"/>
      <c r="X64" s="68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21"/>
        <v>0</v>
      </c>
      <c r="AG64" s="63">
        <f t="shared" si="22"/>
        <v>0</v>
      </c>
      <c r="AH64" s="71"/>
      <c r="AI64" s="71"/>
      <c r="AJ64" s="71"/>
      <c r="AK64" s="62">
        <f t="shared" ref="AK64:AK65" si="41">AH64*AI64%</f>
        <v>0</v>
      </c>
      <c r="AL64" s="72">
        <f t="shared" ref="AL64:AL65" si="42">AH64*AJ64%</f>
        <v>0</v>
      </c>
      <c r="AM64" s="73">
        <f t="shared" si="23"/>
        <v>0</v>
      </c>
      <c r="AN64" s="74">
        <f t="shared" si="24"/>
        <v>0</v>
      </c>
      <c r="AO64" s="74">
        <f t="shared" si="25"/>
        <v>0</v>
      </c>
      <c r="AP64" s="75" t="e">
        <f t="shared" si="26"/>
        <v>#DIV/0!</v>
      </c>
      <c r="AQ64" s="76">
        <f t="shared" si="27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29"/>
        <v>46234</v>
      </c>
      <c r="C65" s="52" t="s">
        <v>88</v>
      </c>
      <c r="D65" s="79"/>
      <c r="E65" s="62"/>
      <c r="F65" s="62"/>
      <c r="G65" s="62">
        <f t="shared" si="14"/>
        <v>0</v>
      </c>
      <c r="H65" s="63">
        <f t="shared" si="15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6"/>
        <v>0</v>
      </c>
      <c r="S65" s="62">
        <f t="shared" si="17"/>
        <v>0</v>
      </c>
      <c r="T65" s="63">
        <f t="shared" si="18"/>
        <v>0</v>
      </c>
      <c r="U65" s="64"/>
      <c r="V65" s="65"/>
      <c r="W65" s="66"/>
      <c r="X65" s="68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21"/>
        <v>0</v>
      </c>
      <c r="AG65" s="63">
        <f t="shared" si="22"/>
        <v>0</v>
      </c>
      <c r="AH65" s="71"/>
      <c r="AI65" s="71"/>
      <c r="AJ65" s="71"/>
      <c r="AK65" s="62">
        <f t="shared" si="41"/>
        <v>0</v>
      </c>
      <c r="AL65" s="72">
        <f t="shared" si="42"/>
        <v>0</v>
      </c>
      <c r="AM65" s="73">
        <f t="shared" si="23"/>
        <v>0</v>
      </c>
      <c r="AN65" s="74">
        <f t="shared" si="24"/>
        <v>0</v>
      </c>
      <c r="AO65" s="74">
        <f t="shared" si="25"/>
        <v>0</v>
      </c>
      <c r="AP65" s="75" t="e">
        <f t="shared" si="26"/>
        <v>#DIV/0!</v>
      </c>
      <c r="AQ65" s="76">
        <f t="shared" si="27"/>
        <v>0</v>
      </c>
      <c r="AR65" s="77">
        <f t="shared" si="12"/>
        <v>0</v>
      </c>
    </row>
    <row r="66" spans="1:44" x14ac:dyDescent="0.25">
      <c r="J66">
        <f>SUM(J4:J65)</f>
        <v>26816.873999999996</v>
      </c>
      <c r="X66" s="77"/>
      <c r="AH66" s="77"/>
      <c r="AI66" s="77"/>
      <c r="AJ66" s="77"/>
      <c r="AM66" s="83">
        <f>-SUM(AM4:AM65)</f>
        <v>261.12599999999975</v>
      </c>
      <c r="AN66" s="83">
        <f t="shared" ref="AN66:AO66" si="43">-SUM(AN4:AN65)</f>
        <v>48.795752999999905</v>
      </c>
      <c r="AO66" s="83">
        <f t="shared" si="43"/>
        <v>20.514280000000188</v>
      </c>
      <c r="AP66" s="83" t="e">
        <f>-SUM(AP4:AP65)</f>
        <v>#DIV/0!</v>
      </c>
      <c r="AQ66" s="126">
        <f>-SUM(AQ4:AQ65)</f>
        <v>29591.791675242617</v>
      </c>
    </row>
    <row r="67" spans="1:44" x14ac:dyDescent="0.25">
      <c r="Q67">
        <f>2126*27</f>
        <v>57402</v>
      </c>
      <c r="X67" s="77"/>
      <c r="AH67" s="86"/>
      <c r="AI67" s="86"/>
      <c r="AJ67" s="86"/>
    </row>
    <row r="68" spans="1:44" x14ac:dyDescent="0.25">
      <c r="Q68">
        <f>2600*37</f>
        <v>96200</v>
      </c>
      <c r="AH68" s="77"/>
      <c r="AI68" s="77"/>
      <c r="AJ68" s="77"/>
    </row>
    <row r="69" spans="1:44" x14ac:dyDescent="0.25">
      <c r="X69" s="77"/>
    </row>
  </sheetData>
  <autoFilter ref="D3:AQ66" xr:uid="{00000000-0009-0000-0000-000001000000}"/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6" priority="1" operator="lessThan">
      <formula>0.1</formula>
    </cfRule>
    <cfRule type="cellIs" dxfId="125" priority="2" operator="greaterThan">
      <formula>0.1</formula>
    </cfRule>
  </conditionalFormatting>
  <conditionalFormatting sqref="AP1:AQ1">
    <cfRule type="cellIs" dxfId="124" priority="13" operator="lessThan">
      <formula>1</formula>
    </cfRule>
  </conditionalFormatting>
  <conditionalFormatting sqref="AQ4:AQ65">
    <cfRule type="cellIs" dxfId="123" priority="11" operator="lessThan">
      <formula>0</formula>
    </cfRule>
    <cfRule type="cellIs" dxfId="122" priority="1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9"/>
  <sheetViews>
    <sheetView topLeftCell="A2" zoomScale="80" zoomScaleNormal="80" workbookViewId="0">
      <selection activeCell="O19" sqref="O19:Q19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154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30" t="s">
        <v>64</v>
      </c>
      <c r="C2" s="232" t="s">
        <v>65</v>
      </c>
      <c r="D2" s="234" t="s">
        <v>66</v>
      </c>
      <c r="E2" s="235"/>
      <c r="F2" s="235"/>
      <c r="G2" s="235"/>
      <c r="H2" s="236"/>
      <c r="I2" s="227" t="s">
        <v>67</v>
      </c>
      <c r="J2" s="228"/>
      <c r="K2" s="228"/>
      <c r="L2" s="229"/>
      <c r="M2" s="227" t="s">
        <v>68</v>
      </c>
      <c r="N2" s="228"/>
      <c r="O2" s="228"/>
      <c r="P2" s="228"/>
      <c r="Q2" s="229"/>
      <c r="R2" s="227" t="s">
        <v>69</v>
      </c>
      <c r="S2" s="228"/>
      <c r="T2" s="229"/>
      <c r="U2" s="224" t="s">
        <v>70</v>
      </c>
      <c r="V2" s="225"/>
      <c r="W2" s="225"/>
      <c r="X2" s="225"/>
      <c r="Y2" s="225"/>
      <c r="Z2" s="225"/>
      <c r="AA2" s="225"/>
      <c r="AB2" s="226"/>
      <c r="AC2" s="227" t="s">
        <v>71</v>
      </c>
      <c r="AD2" s="228"/>
      <c r="AE2" s="228"/>
      <c r="AF2" s="228"/>
      <c r="AG2" s="229"/>
      <c r="AH2" s="227" t="s">
        <v>72</v>
      </c>
      <c r="AI2" s="228"/>
      <c r="AJ2" s="228"/>
      <c r="AK2" s="228"/>
      <c r="AL2" s="229"/>
      <c r="AM2" s="224" t="s">
        <v>73</v>
      </c>
      <c r="AN2" s="225"/>
      <c r="AO2" s="225"/>
      <c r="AP2" s="225"/>
      <c r="AQ2" s="226"/>
    </row>
    <row r="3" spans="1:46" x14ac:dyDescent="0.25">
      <c r="B3" s="231"/>
      <c r="C3" s="23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0</v>
      </c>
      <c r="E4" s="54">
        <v>0</v>
      </c>
      <c r="F4" s="55">
        <v>0</v>
      </c>
      <c r="G4" s="62">
        <f t="shared" ref="G4:G65" si="0">+D4*E4%</f>
        <v>0</v>
      </c>
      <c r="H4" s="63">
        <f t="shared" ref="H4:H65" si="1">+D4*F4%</f>
        <v>0</v>
      </c>
      <c r="I4" s="202">
        <v>559.06000000000006</v>
      </c>
      <c r="J4" s="202">
        <v>575.83180000000004</v>
      </c>
      <c r="K4" s="202">
        <v>4.9612241977605249</v>
      </c>
      <c r="L4" s="202">
        <v>8.4924301506099518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575.83180000000004</v>
      </c>
      <c r="S4" s="62">
        <f t="shared" ref="S4:S65" si="2">+J4*K4%+O4*P4%</f>
        <v>28.568306599999993</v>
      </c>
      <c r="T4" s="63">
        <f t="shared" ref="T4:T65" si="3">+J4*L4%+O4*Q4%</f>
        <v>48.902113399999998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576</v>
      </c>
      <c r="AI4" s="66">
        <v>5</v>
      </c>
      <c r="AJ4" s="66">
        <v>8.5</v>
      </c>
      <c r="AK4" s="62">
        <f t="shared" ref="AK4:AK65" si="8">AH4*AI4%</f>
        <v>28.8</v>
      </c>
      <c r="AL4" s="72">
        <f t="shared" ref="AL4:AL65" si="9">AH4*AJ4%</f>
        <v>48.96</v>
      </c>
      <c r="AM4" s="73">
        <f>+D4+R4-AC4-AH4</f>
        <v>-0.16819999999995616</v>
      </c>
      <c r="AN4" s="74">
        <f t="shared" ref="AN4:AO19" si="10">+G4+S4-AF4-AK4</f>
        <v>-0.23169340000000815</v>
      </c>
      <c r="AO4" s="74">
        <f t="shared" si="10"/>
        <v>-5.7886600000003341E-2</v>
      </c>
      <c r="AP4" s="75">
        <f>(AN4+AO4)/(S4+T4)</f>
        <v>-3.7379428174006482E-3</v>
      </c>
      <c r="AQ4" s="76">
        <f t="shared" ref="AQ4:AQ65" si="11">($AP$1*AN4+$AQ$1*AO4)</f>
        <v>-128.67274085592481</v>
      </c>
      <c r="AR4" s="77">
        <f t="shared" ref="AR4:AR65" si="12">(D4+J4+O4)-(X4+AH4)</f>
        <v>-0.16819999999995616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576</v>
      </c>
      <c r="E5" s="62">
        <v>5</v>
      </c>
      <c r="F5" s="62">
        <v>8.5</v>
      </c>
      <c r="G5" s="62">
        <f t="shared" si="0"/>
        <v>28.8</v>
      </c>
      <c r="H5" s="63">
        <f t="shared" si="1"/>
        <v>48.96</v>
      </c>
      <c r="I5" s="202">
        <v>201.33</v>
      </c>
      <c r="J5" s="202">
        <v>207.36990000000003</v>
      </c>
      <c r="K5" s="202">
        <v>5.4829682610639248</v>
      </c>
      <c r="L5" s="202">
        <v>8.6711617742015594</v>
      </c>
      <c r="M5" s="58" t="s">
        <v>185</v>
      </c>
      <c r="N5" s="58">
        <v>87086</v>
      </c>
      <c r="O5" s="59">
        <v>1280</v>
      </c>
      <c r="P5" s="56">
        <v>4.2</v>
      </c>
      <c r="Q5" s="60">
        <v>8</v>
      </c>
      <c r="R5" s="61">
        <f t="shared" ref="R5:R65" si="14">+J5+O5</f>
        <v>1487.3699000000001</v>
      </c>
      <c r="S5" s="62">
        <f t="shared" si="2"/>
        <v>65.130025799999999</v>
      </c>
      <c r="T5" s="63">
        <f t="shared" si="3"/>
        <v>120.38137950000001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2063</v>
      </c>
      <c r="AI5" s="66">
        <v>4.55</v>
      </c>
      <c r="AJ5" s="66">
        <v>8.2100000000000009</v>
      </c>
      <c r="AK5" s="62">
        <f t="shared" si="8"/>
        <v>93.866500000000002</v>
      </c>
      <c r="AL5" s="72">
        <f t="shared" si="9"/>
        <v>169.37230000000002</v>
      </c>
      <c r="AM5" s="73">
        <f t="shared" ref="AM5:AM65" si="15">+D5+R5-AC5-AH5</f>
        <v>0.36990000000014334</v>
      </c>
      <c r="AN5" s="74">
        <f t="shared" si="10"/>
        <v>6.3525799999993637E-2</v>
      </c>
      <c r="AO5" s="74">
        <f t="shared" si="10"/>
        <v>-3.0920500000007678E-2</v>
      </c>
      <c r="AP5" s="75">
        <f t="shared" ref="AP5:AP65" si="16">(AN5+AO5)/(S5+T5)</f>
        <v>1.7575900493696471E-4</v>
      </c>
      <c r="AQ5" s="76">
        <f t="shared" si="11"/>
        <v>21.265799957813584</v>
      </c>
      <c r="AR5" s="77">
        <f t="shared" si="12"/>
        <v>0.36990000000014334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2063</v>
      </c>
      <c r="E6" s="62">
        <v>4.55</v>
      </c>
      <c r="F6" s="62">
        <v>8.2100000000000009</v>
      </c>
      <c r="G6" s="62">
        <f t="shared" si="0"/>
        <v>93.866500000000002</v>
      </c>
      <c r="H6" s="63">
        <f t="shared" si="1"/>
        <v>169.37230000000002</v>
      </c>
      <c r="I6" s="202">
        <v>670.6400000000001</v>
      </c>
      <c r="J6" s="202">
        <v>690.75920000000008</v>
      </c>
      <c r="K6" s="202">
        <v>4.7663739114875359</v>
      </c>
      <c r="L6" s="202">
        <v>8.567446021710607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4"/>
        <v>690.75920000000008</v>
      </c>
      <c r="S6" s="62">
        <f t="shared" si="2"/>
        <v>32.92416630000001</v>
      </c>
      <c r="T6" s="63">
        <f t="shared" si="3"/>
        <v>59.180421600000017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2754</v>
      </c>
      <c r="AI6" s="66">
        <v>4.6100000000000003</v>
      </c>
      <c r="AJ6" s="66">
        <v>8.3000000000000007</v>
      </c>
      <c r="AK6" s="62">
        <f t="shared" si="8"/>
        <v>126.9594</v>
      </c>
      <c r="AL6" s="72">
        <f t="shared" si="9"/>
        <v>228.58200000000002</v>
      </c>
      <c r="AM6" s="73">
        <f t="shared" si="15"/>
        <v>-0.24080000000003565</v>
      </c>
      <c r="AN6" s="74">
        <f t="shared" si="10"/>
        <v>-0.16873369999998999</v>
      </c>
      <c r="AO6" s="74">
        <f t="shared" si="10"/>
        <v>-2.9278399999981275E-2</v>
      </c>
      <c r="AP6" s="75">
        <f t="shared" si="16"/>
        <v>-2.1498614185751241E-3</v>
      </c>
      <c r="AQ6" s="76">
        <f t="shared" si="11"/>
        <v>-89.850654677531196</v>
      </c>
      <c r="AR6" s="77">
        <f t="shared" si="12"/>
        <v>-0.24080000000003565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2754</v>
      </c>
      <c r="E7" s="62">
        <v>4.6100000000000003</v>
      </c>
      <c r="F7" s="62">
        <v>8.3000000000000007</v>
      </c>
      <c r="G7" s="62">
        <f t="shared" si="0"/>
        <v>126.9594</v>
      </c>
      <c r="H7" s="63">
        <f t="shared" si="1"/>
        <v>228.58200000000002</v>
      </c>
      <c r="I7" s="202">
        <v>1004.5</v>
      </c>
      <c r="J7" s="202">
        <v>1034.635</v>
      </c>
      <c r="K7" s="202">
        <v>4.5035072175211575</v>
      </c>
      <c r="L7" s="202">
        <v>8.440634146341468</v>
      </c>
      <c r="M7" s="58" t="s">
        <v>185</v>
      </c>
      <c r="N7" s="58">
        <v>87087</v>
      </c>
      <c r="O7" s="59">
        <v>1010</v>
      </c>
      <c r="P7" s="56">
        <v>4.0999999999999996</v>
      </c>
      <c r="Q7" s="60">
        <v>8</v>
      </c>
      <c r="R7" s="61">
        <f t="shared" si="14"/>
        <v>2044.635</v>
      </c>
      <c r="S7" s="62">
        <f t="shared" si="2"/>
        <v>88.004861900000023</v>
      </c>
      <c r="T7" s="63">
        <f t="shared" si="3"/>
        <v>168.12975510000004</v>
      </c>
      <c r="U7" s="64" t="s">
        <v>171</v>
      </c>
      <c r="V7" s="65" t="s">
        <v>215</v>
      </c>
      <c r="W7" s="66" t="s">
        <v>184</v>
      </c>
      <c r="X7" s="67">
        <v>3150</v>
      </c>
      <c r="Y7" s="68">
        <v>4.2</v>
      </c>
      <c r="Z7" s="68">
        <v>8.1300000000000008</v>
      </c>
      <c r="AA7" s="62">
        <f t="shared" si="4"/>
        <v>132.30000000000001</v>
      </c>
      <c r="AB7" s="63">
        <f t="shared" si="5"/>
        <v>256.09500000000003</v>
      </c>
      <c r="AC7" s="69">
        <v>3150</v>
      </c>
      <c r="AD7" s="70">
        <v>4.0999999999999996</v>
      </c>
      <c r="AE7" s="70">
        <v>7.85</v>
      </c>
      <c r="AF7" s="62">
        <f t="shared" si="6"/>
        <v>129.14999999999998</v>
      </c>
      <c r="AG7" s="63">
        <f t="shared" si="7"/>
        <v>247.27500000000001</v>
      </c>
      <c r="AH7" s="71">
        <v>1649</v>
      </c>
      <c r="AI7" s="71">
        <v>4.47</v>
      </c>
      <c r="AJ7" s="71">
        <v>8.25</v>
      </c>
      <c r="AK7" s="62">
        <f t="shared" si="8"/>
        <v>73.710299999999989</v>
      </c>
      <c r="AL7" s="72">
        <f t="shared" si="9"/>
        <v>136.04250000000002</v>
      </c>
      <c r="AM7" s="73">
        <f t="shared" si="15"/>
        <v>-0.36499999999978172</v>
      </c>
      <c r="AN7" s="74">
        <f t="shared" si="10"/>
        <v>12.103961900000058</v>
      </c>
      <c r="AO7" s="74">
        <f t="shared" si="10"/>
        <v>13.394255100000038</v>
      </c>
      <c r="AP7" s="75">
        <f t="shared" si="16"/>
        <v>9.9550061989473651E-2</v>
      </c>
      <c r="AQ7" s="76">
        <f t="shared" si="11"/>
        <v>9827.807793592101</v>
      </c>
      <c r="AR7" s="77">
        <f t="shared" si="12"/>
        <v>-0.36499999999978172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1649</v>
      </c>
      <c r="E8" s="62">
        <v>4.47</v>
      </c>
      <c r="F8" s="62">
        <v>8.25</v>
      </c>
      <c r="G8" s="62">
        <f t="shared" si="0"/>
        <v>73.710299999999989</v>
      </c>
      <c r="H8" s="63">
        <f t="shared" si="1"/>
        <v>136.04250000000002</v>
      </c>
      <c r="I8" s="202">
        <v>605.04999999999995</v>
      </c>
      <c r="J8" s="202">
        <v>623.20150000000001</v>
      </c>
      <c r="K8" s="202">
        <v>4.8882307247334955</v>
      </c>
      <c r="L8" s="202">
        <v>8.6516833319560398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4"/>
        <v>623.20150000000001</v>
      </c>
      <c r="S8" s="62">
        <f t="shared" si="2"/>
        <v>30.463527200000016</v>
      </c>
      <c r="T8" s="63">
        <f t="shared" si="3"/>
        <v>53.917420300000018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2110</v>
      </c>
      <c r="AI8" s="71">
        <v>4.5599999999999996</v>
      </c>
      <c r="AJ8" s="71">
        <v>8.33</v>
      </c>
      <c r="AK8" s="62">
        <f t="shared" si="8"/>
        <v>96.215999999999994</v>
      </c>
      <c r="AL8" s="72">
        <f t="shared" si="9"/>
        <v>175.76300000000001</v>
      </c>
      <c r="AM8" s="73">
        <f t="shared" si="15"/>
        <v>162.20150000000012</v>
      </c>
      <c r="AN8" s="74">
        <f t="shared" si="10"/>
        <v>7.9578272000000112</v>
      </c>
      <c r="AO8" s="74">
        <f t="shared" si="10"/>
        <v>14.196920300000016</v>
      </c>
      <c r="AP8" s="75">
        <f t="shared" si="16"/>
        <v>0.2625562778848865</v>
      </c>
      <c r="AQ8" s="76">
        <f t="shared" si="11"/>
        <v>8075.8462100415363</v>
      </c>
      <c r="AR8" s="90">
        <f t="shared" si="12"/>
        <v>162.20150000000012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2110</v>
      </c>
      <c r="E9" s="62">
        <v>4.5599999999999996</v>
      </c>
      <c r="F9" s="62">
        <v>8.33</v>
      </c>
      <c r="G9" s="62">
        <f t="shared" si="0"/>
        <v>96.215999999999994</v>
      </c>
      <c r="H9" s="63">
        <f t="shared" si="1"/>
        <v>175.76300000000001</v>
      </c>
      <c r="I9" s="202">
        <v>1083.8200000000002</v>
      </c>
      <c r="J9" s="202">
        <v>1116.3346000000001</v>
      </c>
      <c r="K9" s="202">
        <v>4.5036740418150609</v>
      </c>
      <c r="L9" s="202">
        <v>8.2500941115683428</v>
      </c>
      <c r="M9" s="58" t="s">
        <v>185</v>
      </c>
      <c r="N9" s="58" t="s">
        <v>295</v>
      </c>
      <c r="O9" s="59">
        <v>1670</v>
      </c>
      <c r="P9" s="56">
        <v>4</v>
      </c>
      <c r="Q9" s="60">
        <v>8</v>
      </c>
      <c r="R9" s="61">
        <f t="shared" si="14"/>
        <v>2786.3346000000001</v>
      </c>
      <c r="S9" s="62">
        <f t="shared" si="2"/>
        <v>117.07607160000001</v>
      </c>
      <c r="T9" s="63">
        <f t="shared" si="3"/>
        <v>225.69865510000002</v>
      </c>
      <c r="U9" s="64" t="s">
        <v>171</v>
      </c>
      <c r="V9" s="65" t="s">
        <v>303</v>
      </c>
      <c r="W9" s="66" t="s">
        <v>181</v>
      </c>
      <c r="X9" s="67">
        <v>3150</v>
      </c>
      <c r="Y9" s="68">
        <v>4.2</v>
      </c>
      <c r="Z9" s="68">
        <v>8.0500000000000007</v>
      </c>
      <c r="AA9" s="62">
        <f t="shared" si="4"/>
        <v>132.30000000000001</v>
      </c>
      <c r="AB9" s="63">
        <f t="shared" si="5"/>
        <v>253.57500000000002</v>
      </c>
      <c r="AC9" s="69">
        <v>3170</v>
      </c>
      <c r="AD9" s="70">
        <v>4.1500000000000004</v>
      </c>
      <c r="AE9" s="70">
        <v>7.99</v>
      </c>
      <c r="AF9" s="62">
        <f t="shared" si="6"/>
        <v>131.55500000000001</v>
      </c>
      <c r="AG9" s="63">
        <f t="shared" si="7"/>
        <v>253.28299999999999</v>
      </c>
      <c r="AH9" s="82">
        <v>1746</v>
      </c>
      <c r="AI9" s="82">
        <v>4.3499999999999996</v>
      </c>
      <c r="AJ9" s="82">
        <v>8.18</v>
      </c>
      <c r="AK9" s="62">
        <f t="shared" si="8"/>
        <v>75.950999999999993</v>
      </c>
      <c r="AL9" s="72">
        <f t="shared" si="9"/>
        <v>142.8228</v>
      </c>
      <c r="AM9" s="73">
        <f t="shared" si="15"/>
        <v>-19.665399999999863</v>
      </c>
      <c r="AN9" s="74">
        <f t="shared" si="10"/>
        <v>5.7860715999999854</v>
      </c>
      <c r="AO9" s="74">
        <f t="shared" si="10"/>
        <v>5.3558551000000421</v>
      </c>
      <c r="AP9" s="75">
        <f t="shared" si="16"/>
        <v>3.2505099799121293E-2</v>
      </c>
      <c r="AQ9" s="76">
        <f t="shared" si="11"/>
        <v>4384.426641639945</v>
      </c>
      <c r="AR9" s="90">
        <f t="shared" si="12"/>
        <v>0.33460000000013679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1746</v>
      </c>
      <c r="E10" s="62">
        <v>4.3499999999999996</v>
      </c>
      <c r="F10" s="62">
        <v>8.18</v>
      </c>
      <c r="G10" s="62">
        <f t="shared" si="0"/>
        <v>75.950999999999993</v>
      </c>
      <c r="H10" s="63">
        <f t="shared" si="1"/>
        <v>142.8228</v>
      </c>
      <c r="I10" s="202">
        <v>646.32000000000005</v>
      </c>
      <c r="J10" s="202">
        <v>665.70960000000002</v>
      </c>
      <c r="K10" s="202">
        <v>4.8585220943186043</v>
      </c>
      <c r="L10" s="202">
        <v>8.300013924990715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4"/>
        <v>665.70960000000002</v>
      </c>
      <c r="S10" s="62">
        <f t="shared" si="2"/>
        <v>32.343648000000002</v>
      </c>
      <c r="T10" s="63">
        <f t="shared" si="3"/>
        <v>55.253989499999989</v>
      </c>
      <c r="U10" s="64" t="s">
        <v>167</v>
      </c>
      <c r="V10" s="13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2412</v>
      </c>
      <c r="AI10" s="71">
        <v>4.5</v>
      </c>
      <c r="AJ10" s="71">
        <v>8.2100000000000009</v>
      </c>
      <c r="AK10" s="62">
        <f t="shared" si="8"/>
        <v>108.53999999999999</v>
      </c>
      <c r="AL10" s="72">
        <f t="shared" si="9"/>
        <v>198.02520000000001</v>
      </c>
      <c r="AM10" s="73">
        <f t="shared" si="15"/>
        <v>-0.29039999999986321</v>
      </c>
      <c r="AN10" s="74">
        <f t="shared" si="10"/>
        <v>-0.24535199999999691</v>
      </c>
      <c r="AO10" s="74">
        <f t="shared" si="10"/>
        <v>5.1589499999977306E-2</v>
      </c>
      <c r="AP10" s="75">
        <f t="shared" si="16"/>
        <v>-2.2119603396840424E-3</v>
      </c>
      <c r="AQ10" s="76">
        <f t="shared" si="11"/>
        <v>-102.44902535672365</v>
      </c>
      <c r="AR10" s="90">
        <f t="shared" si="12"/>
        <v>-0.29039999999986321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2412</v>
      </c>
      <c r="E11" s="62">
        <v>4.5</v>
      </c>
      <c r="F11" s="62">
        <v>8.2100000000000009</v>
      </c>
      <c r="G11" s="62">
        <f t="shared" si="0"/>
        <v>108.53999999999999</v>
      </c>
      <c r="H11" s="63">
        <f t="shared" si="1"/>
        <v>198.02520000000001</v>
      </c>
      <c r="I11" s="202">
        <v>1103.24</v>
      </c>
      <c r="J11" s="202">
        <v>1136.3371999999999</v>
      </c>
      <c r="K11" s="202">
        <v>4.2164007831478196</v>
      </c>
      <c r="L11" s="202">
        <v>8.2083454189478289</v>
      </c>
      <c r="M11" s="58" t="s">
        <v>185</v>
      </c>
      <c r="N11" s="58" t="s">
        <v>296</v>
      </c>
      <c r="O11" s="59">
        <v>1030</v>
      </c>
      <c r="P11" s="56">
        <v>4.0999999999999996</v>
      </c>
      <c r="Q11" s="60">
        <v>8</v>
      </c>
      <c r="R11" s="61">
        <f t="shared" si="14"/>
        <v>2166.3371999999999</v>
      </c>
      <c r="S11" s="62">
        <f t="shared" si="2"/>
        <v>90.142530600000001</v>
      </c>
      <c r="T11" s="63">
        <f t="shared" si="3"/>
        <v>175.67448250000004</v>
      </c>
      <c r="U11" s="64" t="s">
        <v>180</v>
      </c>
      <c r="V11" s="13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4578</v>
      </c>
      <c r="AI11" s="71">
        <v>4.33</v>
      </c>
      <c r="AJ11" s="71">
        <v>8.16</v>
      </c>
      <c r="AK11" s="62">
        <f t="shared" si="8"/>
        <v>198.22739999999999</v>
      </c>
      <c r="AL11" s="72">
        <f t="shared" si="9"/>
        <v>373.56480000000005</v>
      </c>
      <c r="AM11" s="73">
        <f t="shared" si="15"/>
        <v>0.33719999999993888</v>
      </c>
      <c r="AN11" s="74">
        <f t="shared" si="10"/>
        <v>0.45513060000001815</v>
      </c>
      <c r="AO11" s="74">
        <f t="shared" si="10"/>
        <v>0.13488250000000335</v>
      </c>
      <c r="AP11" s="75">
        <f t="shared" si="16"/>
        <v>2.2196212842782162E-3</v>
      </c>
      <c r="AQ11" s="76">
        <f t="shared" si="11"/>
        <v>259.10117413129586</v>
      </c>
      <c r="AR11" s="90">
        <f t="shared" si="12"/>
        <v>0.33719999999993888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4578</v>
      </c>
      <c r="E12" s="62">
        <v>4.33</v>
      </c>
      <c r="F12" s="62">
        <v>8.16</v>
      </c>
      <c r="G12" s="62">
        <f t="shared" si="0"/>
        <v>198.22739999999999</v>
      </c>
      <c r="H12" s="63">
        <f t="shared" si="1"/>
        <v>373.56480000000005</v>
      </c>
      <c r="I12" s="202">
        <v>581.52</v>
      </c>
      <c r="J12" s="202">
        <v>598.96559999999999</v>
      </c>
      <c r="K12" s="202">
        <v>4.8253439262622111</v>
      </c>
      <c r="L12" s="202">
        <v>8.2871698307882795</v>
      </c>
      <c r="M12" s="58" t="s">
        <v>165</v>
      </c>
      <c r="N12" s="58" t="s">
        <v>263</v>
      </c>
      <c r="O12" s="59">
        <v>3130</v>
      </c>
      <c r="P12" s="56">
        <v>4.2</v>
      </c>
      <c r="Q12" s="60">
        <v>8.15</v>
      </c>
      <c r="R12" s="61">
        <f t="shared" si="14"/>
        <v>3728.9656</v>
      </c>
      <c r="S12" s="62">
        <f t="shared" si="2"/>
        <v>160.36215020000003</v>
      </c>
      <c r="T12" s="63">
        <f t="shared" si="3"/>
        <v>304.73229650000002</v>
      </c>
      <c r="U12" s="64" t="s">
        <v>171</v>
      </c>
      <c r="V12" s="65" t="s">
        <v>304</v>
      </c>
      <c r="W12" s="66" t="s">
        <v>305</v>
      </c>
      <c r="X12" s="67">
        <v>6280</v>
      </c>
      <c r="Y12" s="68">
        <v>4.28</v>
      </c>
      <c r="Z12" s="68">
        <v>8.1999999999999993</v>
      </c>
      <c r="AA12" s="62">
        <f t="shared" si="4"/>
        <v>268.78400000000005</v>
      </c>
      <c r="AB12" s="63">
        <f t="shared" si="5"/>
        <v>514.95999999999992</v>
      </c>
      <c r="AC12" s="69">
        <v>6240</v>
      </c>
      <c r="AD12" s="70">
        <v>4.225480769230769</v>
      </c>
      <c r="AE12" s="70">
        <v>8.1296794871794873</v>
      </c>
      <c r="AF12" s="62">
        <f t="shared" si="6"/>
        <v>263.66999999999996</v>
      </c>
      <c r="AG12" s="63">
        <f t="shared" si="7"/>
        <v>507.29200000000003</v>
      </c>
      <c r="AH12" s="71">
        <v>2027</v>
      </c>
      <c r="AI12" s="71">
        <v>4.3099999999999996</v>
      </c>
      <c r="AJ12" s="71">
        <v>8.16</v>
      </c>
      <c r="AK12" s="62">
        <f t="shared" si="8"/>
        <v>87.363699999999994</v>
      </c>
      <c r="AL12" s="72">
        <f t="shared" si="9"/>
        <v>165.4032</v>
      </c>
      <c r="AM12" s="73">
        <f t="shared" si="15"/>
        <v>39.96559999999954</v>
      </c>
      <c r="AN12" s="74">
        <f t="shared" si="10"/>
        <v>7.5558502000000658</v>
      </c>
      <c r="AO12" s="74">
        <f t="shared" si="10"/>
        <v>5.6018965000000378</v>
      </c>
      <c r="AP12" s="75">
        <f t="shared" si="16"/>
        <v>2.8290483348830969E-2</v>
      </c>
      <c r="AQ12" s="76">
        <f t="shared" si="11"/>
        <v>5308.5500678213157</v>
      </c>
      <c r="AR12" s="90">
        <f t="shared" si="12"/>
        <v>-3.4400000000459841E-2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2027</v>
      </c>
      <c r="E13" s="62">
        <v>4.3099999999999996</v>
      </c>
      <c r="F13" s="62">
        <v>8.16</v>
      </c>
      <c r="G13" s="62">
        <f t="shared" si="0"/>
        <v>87.363699999999994</v>
      </c>
      <c r="H13" s="63">
        <f t="shared" si="1"/>
        <v>165.4032</v>
      </c>
      <c r="I13" s="202">
        <v>1006.7200000000001</v>
      </c>
      <c r="J13" s="202">
        <v>1036.9216000000001</v>
      </c>
      <c r="K13" s="202">
        <v>4.1624999999999988</v>
      </c>
      <c r="L13" s="202">
        <v>8.0943946678321659</v>
      </c>
      <c r="M13" s="58" t="s">
        <v>185</v>
      </c>
      <c r="N13" s="58" t="s">
        <v>297</v>
      </c>
      <c r="O13" s="59">
        <v>1300</v>
      </c>
      <c r="P13" s="56">
        <v>4.0999999999999996</v>
      </c>
      <c r="Q13" s="60">
        <v>7.8</v>
      </c>
      <c r="R13" s="61">
        <f t="shared" si="14"/>
        <v>2336.9216000000001</v>
      </c>
      <c r="S13" s="62">
        <f t="shared" si="2"/>
        <v>96.461861599999992</v>
      </c>
      <c r="T13" s="63">
        <f t="shared" si="3"/>
        <v>185.33252670000002</v>
      </c>
      <c r="U13" s="64" t="s">
        <v>167</v>
      </c>
      <c r="V13" s="13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4364</v>
      </c>
      <c r="AI13" s="71">
        <v>4.22</v>
      </c>
      <c r="AJ13" s="71">
        <v>8.0399999999999991</v>
      </c>
      <c r="AK13" s="62">
        <f t="shared" si="8"/>
        <v>184.16079999999997</v>
      </c>
      <c r="AL13" s="72">
        <f t="shared" si="9"/>
        <v>350.86559999999992</v>
      </c>
      <c r="AM13" s="73">
        <f t="shared" si="15"/>
        <v>-7.8400000000328873E-2</v>
      </c>
      <c r="AN13" s="74">
        <f t="shared" si="10"/>
        <v>-0.33523839999998017</v>
      </c>
      <c r="AO13" s="74">
        <f t="shared" si="10"/>
        <v>-0.1298732999999288</v>
      </c>
      <c r="AP13" s="75">
        <f t="shared" si="16"/>
        <v>-1.6505357072786992E-3</v>
      </c>
      <c r="AQ13" s="76">
        <f t="shared" si="11"/>
        <v>-199.98885916314086</v>
      </c>
      <c r="AR13" s="90">
        <f t="shared" si="12"/>
        <v>-7.8400000000328873E-2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4364</v>
      </c>
      <c r="E14" s="62">
        <v>4.22</v>
      </c>
      <c r="F14" s="62">
        <v>8.0399999999999991</v>
      </c>
      <c r="G14" s="62">
        <f t="shared" si="0"/>
        <v>184.16079999999997</v>
      </c>
      <c r="H14" s="63">
        <f t="shared" si="1"/>
        <v>350.86559999999992</v>
      </c>
      <c r="I14" s="202">
        <v>624.67000000000007</v>
      </c>
      <c r="J14" s="202">
        <v>643.41010000000006</v>
      </c>
      <c r="K14" s="202">
        <v>4.7318552195559249</v>
      </c>
      <c r="L14" s="202">
        <v>8.2116157331070792</v>
      </c>
      <c r="M14" s="58" t="s">
        <v>185</v>
      </c>
      <c r="N14" s="58" t="s">
        <v>298</v>
      </c>
      <c r="O14" s="59">
        <v>1070</v>
      </c>
      <c r="P14" s="56">
        <v>4.3</v>
      </c>
      <c r="Q14" s="60">
        <v>8</v>
      </c>
      <c r="R14" s="61">
        <f t="shared" si="14"/>
        <v>1713.4101000000001</v>
      </c>
      <c r="S14" s="62">
        <f t="shared" si="2"/>
        <v>76.455234399999995</v>
      </c>
      <c r="T14" s="63">
        <f t="shared" si="3"/>
        <v>138.43436500000001</v>
      </c>
      <c r="U14" s="64" t="s">
        <v>174</v>
      </c>
      <c r="V14" s="65" t="s">
        <v>306</v>
      </c>
      <c r="W14" s="66" t="s">
        <v>305</v>
      </c>
      <c r="X14" s="67">
        <v>6550</v>
      </c>
      <c r="Y14" s="68">
        <v>4.3999999999999995</v>
      </c>
      <c r="Z14" s="68">
        <v>8.23</v>
      </c>
      <c r="AA14" s="62">
        <f t="shared" si="4"/>
        <v>288.2</v>
      </c>
      <c r="AB14" s="63">
        <f t="shared" si="5"/>
        <v>539.06499999999994</v>
      </c>
      <c r="AC14" s="69">
        <v>6480</v>
      </c>
      <c r="AD14" s="70">
        <v>4.3500000000000005</v>
      </c>
      <c r="AE14" s="70">
        <v>8.09</v>
      </c>
      <c r="AF14" s="62">
        <f t="shared" si="6"/>
        <v>281.88000000000005</v>
      </c>
      <c r="AG14" s="63">
        <f t="shared" si="7"/>
        <v>524.23199999999997</v>
      </c>
      <c r="AH14" s="89">
        <v>0</v>
      </c>
      <c r="AI14" s="71">
        <v>0</v>
      </c>
      <c r="AJ14" s="71">
        <v>0</v>
      </c>
      <c r="AK14" s="62">
        <f t="shared" si="8"/>
        <v>0</v>
      </c>
      <c r="AL14" s="72">
        <f t="shared" si="9"/>
        <v>0</v>
      </c>
      <c r="AM14" s="73">
        <f t="shared" si="15"/>
        <v>-402.58989999999994</v>
      </c>
      <c r="AN14" s="74">
        <f t="shared" si="10"/>
        <v>-21.263965600000063</v>
      </c>
      <c r="AO14" s="74">
        <f t="shared" si="10"/>
        <v>-34.932035000000042</v>
      </c>
      <c r="AP14" s="75">
        <f t="shared" si="16"/>
        <v>-0.26151103057991976</v>
      </c>
      <c r="AQ14" s="76">
        <f t="shared" si="11"/>
        <v>-20679.861036548056</v>
      </c>
      <c r="AR14" s="90">
        <f t="shared" si="12"/>
        <v>-472.58989999999994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0"/>
        <v>0</v>
      </c>
      <c r="H15" s="63">
        <f t="shared" si="1"/>
        <v>0</v>
      </c>
      <c r="I15" s="202">
        <v>1003.4599999999999</v>
      </c>
      <c r="J15" s="202">
        <v>1033.5637999999999</v>
      </c>
      <c r="K15" s="202">
        <v>4.1482988858549419</v>
      </c>
      <c r="L15" s="202">
        <v>8.1678442588643261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4"/>
        <v>1033.5637999999999</v>
      </c>
      <c r="S15" s="62">
        <f t="shared" si="2"/>
        <v>42.875315599999993</v>
      </c>
      <c r="T15" s="63">
        <f t="shared" si="3"/>
        <v>84.41988149999996</v>
      </c>
      <c r="U15" s="64" t="s">
        <v>167</v>
      </c>
      <c r="V15" s="13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1033.5999999999999</v>
      </c>
      <c r="AI15" s="66">
        <v>4.2</v>
      </c>
      <c r="AJ15" s="66">
        <v>8.1999999999999993</v>
      </c>
      <c r="AK15" s="62">
        <f t="shared" si="8"/>
        <v>43.411200000000001</v>
      </c>
      <c r="AL15" s="72">
        <f t="shared" si="9"/>
        <v>84.755199999999988</v>
      </c>
      <c r="AM15" s="73">
        <f t="shared" si="15"/>
        <v>-3.6200000000008004E-2</v>
      </c>
      <c r="AN15" s="74">
        <f t="shared" si="10"/>
        <v>-0.53588440000000759</v>
      </c>
      <c r="AO15" s="74">
        <f t="shared" si="10"/>
        <v>-0.33531850000002805</v>
      </c>
      <c r="AP15" s="75">
        <f t="shared" si="16"/>
        <v>-6.8439573514752503E-3</v>
      </c>
      <c r="AQ15" s="76">
        <f t="shared" si="11"/>
        <v>-357.93480089514219</v>
      </c>
      <c r="AR15" s="90">
        <f t="shared" si="12"/>
        <v>-3.6200000000008004E-2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1033.5999999999999</v>
      </c>
      <c r="E16" s="62">
        <v>4.2</v>
      </c>
      <c r="F16" s="62">
        <v>8.1999999999999993</v>
      </c>
      <c r="G16" s="62">
        <f t="shared" si="0"/>
        <v>43.411200000000001</v>
      </c>
      <c r="H16" s="63">
        <f t="shared" si="1"/>
        <v>84.755199999999988</v>
      </c>
      <c r="I16" s="202">
        <v>686.61</v>
      </c>
      <c r="J16" s="202">
        <v>707.20830000000001</v>
      </c>
      <c r="K16" s="202">
        <v>4.5131690479311404</v>
      </c>
      <c r="L16" s="202">
        <v>8.2835918498128471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707.20830000000001</v>
      </c>
      <c r="S16" s="62">
        <f t="shared" si="2"/>
        <v>31.917506100000004</v>
      </c>
      <c r="T16" s="63">
        <f t="shared" si="3"/>
        <v>58.582249099999991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7"/>
        <v>0</v>
      </c>
      <c r="AH16" s="96">
        <v>1741</v>
      </c>
      <c r="AI16" s="71">
        <v>4.32</v>
      </c>
      <c r="AJ16" s="71">
        <v>8.23</v>
      </c>
      <c r="AK16" s="62">
        <f t="shared" si="8"/>
        <v>75.211200000000005</v>
      </c>
      <c r="AL16" s="72">
        <f t="shared" si="9"/>
        <v>143.2843</v>
      </c>
      <c r="AM16" s="73">
        <f t="shared" si="15"/>
        <v>-0.19170000000008258</v>
      </c>
      <c r="AN16" s="74">
        <f t="shared" si="10"/>
        <v>0.11750609999999995</v>
      </c>
      <c r="AO16" s="74">
        <f t="shared" si="10"/>
        <v>5.3149099999984628E-2</v>
      </c>
      <c r="AP16" s="75">
        <f t="shared" si="16"/>
        <v>1.8856979184401659E-3</v>
      </c>
      <c r="AQ16" s="76">
        <f t="shared" si="11"/>
        <v>72.38318774309225</v>
      </c>
      <c r="AR16" s="90">
        <f t="shared" si="12"/>
        <v>-0.19170000000008258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1741</v>
      </c>
      <c r="E17" s="62">
        <v>4.32</v>
      </c>
      <c r="F17" s="62">
        <v>8.23</v>
      </c>
      <c r="G17" s="62">
        <f t="shared" si="0"/>
        <v>75.211200000000005</v>
      </c>
      <c r="H17" s="63">
        <f t="shared" si="1"/>
        <v>143.2843</v>
      </c>
      <c r="I17" s="202">
        <v>965.84000000000026</v>
      </c>
      <c r="J17" s="202">
        <v>994.81520000000035</v>
      </c>
      <c r="K17" s="202">
        <v>4.2144288909136085</v>
      </c>
      <c r="L17" s="202">
        <v>8.2241292553632093</v>
      </c>
      <c r="M17" s="58" t="s">
        <v>299</v>
      </c>
      <c r="N17" s="58" t="s">
        <v>300</v>
      </c>
      <c r="O17" s="59">
        <v>3910</v>
      </c>
      <c r="P17" s="56">
        <v>4.2000000000000011</v>
      </c>
      <c r="Q17" s="60">
        <v>8.07</v>
      </c>
      <c r="R17" s="61">
        <f t="shared" si="14"/>
        <v>4904.8152</v>
      </c>
      <c r="S17" s="62">
        <f t="shared" si="2"/>
        <v>206.14577920000005</v>
      </c>
      <c r="T17" s="63">
        <f t="shared" si="3"/>
        <v>397.35188790000007</v>
      </c>
      <c r="U17" s="64" t="s">
        <v>174</v>
      </c>
      <c r="V17" s="65" t="s">
        <v>307</v>
      </c>
      <c r="W17" s="66" t="s">
        <v>181</v>
      </c>
      <c r="X17" s="67">
        <v>7100</v>
      </c>
      <c r="Y17" s="68">
        <v>4.33</v>
      </c>
      <c r="Z17" s="68">
        <v>8.09</v>
      </c>
      <c r="AA17" s="62">
        <f t="shared" si="4"/>
        <v>307.43</v>
      </c>
      <c r="AB17" s="63">
        <f t="shared" si="5"/>
        <v>574.39</v>
      </c>
      <c r="AC17" s="69">
        <v>7100</v>
      </c>
      <c r="AD17" s="70">
        <v>4.33</v>
      </c>
      <c r="AE17" s="70">
        <v>8.09</v>
      </c>
      <c r="AF17" s="62">
        <f t="shared" si="6"/>
        <v>307.43</v>
      </c>
      <c r="AG17" s="63">
        <f t="shared" si="7"/>
        <v>574.39</v>
      </c>
      <c r="AH17" s="96">
        <v>0</v>
      </c>
      <c r="AI17" s="66">
        <v>0</v>
      </c>
      <c r="AJ17" s="66">
        <v>0</v>
      </c>
      <c r="AK17" s="62">
        <f t="shared" si="8"/>
        <v>0</v>
      </c>
      <c r="AL17" s="72">
        <f>AH17*AJ17%</f>
        <v>0</v>
      </c>
      <c r="AM17" s="73">
        <f t="shared" si="15"/>
        <v>-454.1848</v>
      </c>
      <c r="AN17" s="74">
        <f t="shared" si="10"/>
        <v>-26.073020799999938</v>
      </c>
      <c r="AO17" s="74">
        <f t="shared" si="10"/>
        <v>-33.753812099999891</v>
      </c>
      <c r="AP17" s="75">
        <f t="shared" si="16"/>
        <v>-9.9133494894001736E-2</v>
      </c>
      <c r="AQ17" s="76">
        <f t="shared" si="11"/>
        <v>-22637.901308297816</v>
      </c>
      <c r="AR17" s="90">
        <f t="shared" si="12"/>
        <v>-454.18479999999909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0</v>
      </c>
      <c r="E18" s="62">
        <v>0</v>
      </c>
      <c r="F18" s="62">
        <v>0</v>
      </c>
      <c r="G18" s="62">
        <f t="shared" si="0"/>
        <v>0</v>
      </c>
      <c r="H18" s="63">
        <f t="shared" si="1"/>
        <v>0</v>
      </c>
      <c r="I18" s="202">
        <v>648.8900000000001</v>
      </c>
      <c r="J18" s="202">
        <v>668.35670000000016</v>
      </c>
      <c r="K18" s="202">
        <v>4.7709920017260234</v>
      </c>
      <c r="L18" s="202">
        <v>8.3627409884572099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4"/>
        <v>668.35670000000016</v>
      </c>
      <c r="S18" s="62">
        <f t="shared" si="2"/>
        <v>31.887244700000004</v>
      </c>
      <c r="T18" s="63">
        <f t="shared" si="3"/>
        <v>55.892939699999999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6">
        <v>668</v>
      </c>
      <c r="AI18" s="71">
        <v>4.8</v>
      </c>
      <c r="AJ18" s="71">
        <v>8.4</v>
      </c>
      <c r="AK18" s="62">
        <f t="shared" si="8"/>
        <v>32.064</v>
      </c>
      <c r="AL18" s="72">
        <f t="shared" si="9"/>
        <v>56.112000000000002</v>
      </c>
      <c r="AM18" s="73">
        <f t="shared" si="15"/>
        <v>0.35670000000015989</v>
      </c>
      <c r="AN18" s="74">
        <f t="shared" si="10"/>
        <v>-0.1767552999999964</v>
      </c>
      <c r="AO18" s="74">
        <f t="shared" si="10"/>
        <v>-0.21906030000000243</v>
      </c>
      <c r="AP18" s="75">
        <f t="shared" si="16"/>
        <v>-4.509168016739765E-3</v>
      </c>
      <c r="AQ18" s="76">
        <f t="shared" si="11"/>
        <v>-150.54328406648818</v>
      </c>
      <c r="AR18" s="90">
        <f t="shared" si="12"/>
        <v>0.35670000000015989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668</v>
      </c>
      <c r="E19" s="62">
        <v>4.8</v>
      </c>
      <c r="F19" s="62">
        <v>8.4</v>
      </c>
      <c r="G19" s="62">
        <f t="shared" si="0"/>
        <v>32.064</v>
      </c>
      <c r="H19" s="63">
        <f t="shared" si="1"/>
        <v>56.112000000000002</v>
      </c>
      <c r="I19" s="202">
        <v>1027.3599999999999</v>
      </c>
      <c r="J19" s="202">
        <v>1058.1807999999999</v>
      </c>
      <c r="K19" s="202">
        <v>4.1903831178944095</v>
      </c>
      <c r="L19" s="202">
        <v>8.2399090873695684</v>
      </c>
      <c r="M19" s="58" t="s">
        <v>301</v>
      </c>
      <c r="N19" s="58" t="s">
        <v>302</v>
      </c>
      <c r="O19" s="59">
        <v>1310</v>
      </c>
      <c r="P19" s="56">
        <v>4.2</v>
      </c>
      <c r="Q19" s="60">
        <v>8</v>
      </c>
      <c r="R19" s="61">
        <f t="shared" si="14"/>
        <v>2368.1808000000001</v>
      </c>
      <c r="S19" s="62">
        <f t="shared" si="2"/>
        <v>99.361829600000007</v>
      </c>
      <c r="T19" s="63">
        <f t="shared" si="3"/>
        <v>191.99313589999997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6">
        <v>3036</v>
      </c>
      <c r="AI19" s="71">
        <v>4.33</v>
      </c>
      <c r="AJ19" s="71">
        <v>8.15</v>
      </c>
      <c r="AK19" s="62">
        <f t="shared" si="8"/>
        <v>131.4588</v>
      </c>
      <c r="AL19" s="72">
        <f t="shared" si="9"/>
        <v>247.434</v>
      </c>
      <c r="AM19" s="73">
        <f t="shared" si="15"/>
        <v>0.18080000000009022</v>
      </c>
      <c r="AN19" s="74">
        <f t="shared" si="10"/>
        <v>-3.2970399999982192E-2</v>
      </c>
      <c r="AO19" s="74">
        <f t="shared" si="10"/>
        <v>0.67113589999996748</v>
      </c>
      <c r="AP19" s="75">
        <f t="shared" si="16"/>
        <v>2.1903367903986703E-3</v>
      </c>
      <c r="AQ19" s="76">
        <f t="shared" si="11"/>
        <v>185.15587698656617</v>
      </c>
      <c r="AR19" s="90">
        <f t="shared" si="12"/>
        <v>0.18080000000009022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3036</v>
      </c>
      <c r="E20" s="62">
        <v>4.33</v>
      </c>
      <c r="F20" s="62">
        <v>8.15</v>
      </c>
      <c r="G20" s="62">
        <f t="shared" si="0"/>
        <v>131.4588</v>
      </c>
      <c r="H20" s="63">
        <f t="shared" si="1"/>
        <v>247.434</v>
      </c>
      <c r="I20" s="202">
        <v>639.54</v>
      </c>
      <c r="J20" s="202">
        <v>658.72619999999995</v>
      </c>
      <c r="K20" s="202">
        <v>4.7573552866122535</v>
      </c>
      <c r="L20" s="202">
        <v>8.2505034868811951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4"/>
        <v>658.72619999999995</v>
      </c>
      <c r="S20" s="62">
        <f t="shared" si="2"/>
        <v>31.337945700000002</v>
      </c>
      <c r="T20" s="63">
        <f t="shared" si="3"/>
        <v>54.348228099999986</v>
      </c>
      <c r="U20" s="64" t="s">
        <v>171</v>
      </c>
      <c r="V20" s="65" t="s">
        <v>385</v>
      </c>
      <c r="W20" s="66" t="s">
        <v>184</v>
      </c>
      <c r="X20" s="67">
        <v>3150</v>
      </c>
      <c r="Y20" s="68">
        <v>4.45</v>
      </c>
      <c r="Z20" s="68">
        <v>8.3000000000000007</v>
      </c>
      <c r="AA20" s="62">
        <f t="shared" si="4"/>
        <v>140.17500000000001</v>
      </c>
      <c r="AB20" s="63">
        <f t="shared" si="5"/>
        <v>261.45</v>
      </c>
      <c r="AC20" s="215">
        <v>3150</v>
      </c>
      <c r="AD20" s="216">
        <v>4.45</v>
      </c>
      <c r="AE20" s="216">
        <v>8.3000000000000007</v>
      </c>
      <c r="AF20" s="62">
        <f t="shared" si="6"/>
        <v>140.17500000000001</v>
      </c>
      <c r="AG20" s="63">
        <f t="shared" si="7"/>
        <v>261.45</v>
      </c>
      <c r="AH20" s="96">
        <v>545</v>
      </c>
      <c r="AI20" s="66">
        <v>4.41</v>
      </c>
      <c r="AJ20" s="66">
        <v>8.17</v>
      </c>
      <c r="AK20" s="62">
        <f t="shared" si="8"/>
        <v>24.034500000000001</v>
      </c>
      <c r="AL20" s="72">
        <f t="shared" si="9"/>
        <v>44.526499999999999</v>
      </c>
      <c r="AM20" s="73">
        <f t="shared" si="15"/>
        <v>-0.27379999999993743</v>
      </c>
      <c r="AN20" s="74">
        <f t="shared" ref="AN20:AO65" si="18">+G20+S20-AF20-AK20</f>
        <v>-1.4127543000000102</v>
      </c>
      <c r="AO20" s="74">
        <f t="shared" si="18"/>
        <v>-4.1942718999999897</v>
      </c>
      <c r="AP20" s="75">
        <f t="shared" si="16"/>
        <v>-6.5436767115863451E-2</v>
      </c>
      <c r="AQ20" s="76">
        <f t="shared" si="11"/>
        <v>-1935.0215157508781</v>
      </c>
      <c r="AR20" s="90">
        <f t="shared" si="12"/>
        <v>-0.27379999999993743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545</v>
      </c>
      <c r="E21" s="62">
        <v>4.41</v>
      </c>
      <c r="F21" s="62">
        <v>8.17</v>
      </c>
      <c r="G21" s="62">
        <f t="shared" si="0"/>
        <v>24.034500000000001</v>
      </c>
      <c r="H21" s="63">
        <f t="shared" si="1"/>
        <v>44.526499999999999</v>
      </c>
      <c r="I21" s="202">
        <v>1013.9599999999997</v>
      </c>
      <c r="J21" s="202">
        <v>1044.3787999999997</v>
      </c>
      <c r="K21" s="202">
        <v>4.2374087735216381</v>
      </c>
      <c r="L21" s="202">
        <v>8.0157264586374239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4"/>
        <v>1044.3787999999997</v>
      </c>
      <c r="S21" s="62">
        <f t="shared" si="2"/>
        <v>44.254598899999991</v>
      </c>
      <c r="T21" s="63">
        <f t="shared" si="3"/>
        <v>83.714547799999991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6">
        <v>1589</v>
      </c>
      <c r="AI21" s="66">
        <v>4.2699999999999996</v>
      </c>
      <c r="AJ21" s="66">
        <v>8.06</v>
      </c>
      <c r="AK21" s="62">
        <f t="shared" si="8"/>
        <v>67.85029999999999</v>
      </c>
      <c r="AL21" s="72">
        <f t="shared" si="9"/>
        <v>128.07340000000002</v>
      </c>
      <c r="AM21" s="73">
        <f t="shared" si="15"/>
        <v>0.37879999999972824</v>
      </c>
      <c r="AN21" s="74">
        <f t="shared" si="18"/>
        <v>0.43879890000000898</v>
      </c>
      <c r="AO21" s="74">
        <f t="shared" si="18"/>
        <v>0.16764779999996904</v>
      </c>
      <c r="AP21" s="75">
        <f t="shared" si="16"/>
        <v>4.7390071406952505E-3</v>
      </c>
      <c r="AQ21" s="76">
        <f t="shared" si="11"/>
        <v>261.06617639937645</v>
      </c>
      <c r="AR21" s="90">
        <f t="shared" si="12"/>
        <v>0.37879999999972824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/>
      <c r="E22" s="62"/>
      <c r="F22" s="62"/>
      <c r="G22" s="62">
        <f t="shared" si="0"/>
        <v>0</v>
      </c>
      <c r="H22" s="63">
        <f t="shared" si="1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4"/>
        <v>0</v>
      </c>
      <c r="S22" s="62">
        <f t="shared" si="2"/>
        <v>0</v>
      </c>
      <c r="T22" s="63">
        <f t="shared" si="3"/>
        <v>0</v>
      </c>
      <c r="U22" s="64"/>
      <c r="V22" s="65"/>
      <c r="W22" s="66"/>
      <c r="X22" s="67"/>
      <c r="Y22" s="68"/>
      <c r="Z22" s="68"/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6"/>
      <c r="AI22" s="66"/>
      <c r="AJ22" s="66"/>
      <c r="AK22" s="62">
        <f t="shared" si="8"/>
        <v>0</v>
      </c>
      <c r="AL22" s="72">
        <f t="shared" si="9"/>
        <v>0</v>
      </c>
      <c r="AM22" s="73">
        <f t="shared" si="15"/>
        <v>0</v>
      </c>
      <c r="AN22" s="74">
        <f t="shared" si="18"/>
        <v>0</v>
      </c>
      <c r="AO22" s="74">
        <f t="shared" si="18"/>
        <v>0</v>
      </c>
      <c r="AP22" s="75" t="e">
        <f t="shared" si="16"/>
        <v>#DIV/0!</v>
      </c>
      <c r="AQ22" s="76">
        <f t="shared" si="11"/>
        <v>0</v>
      </c>
      <c r="AR22" s="90">
        <f t="shared" si="12"/>
        <v>0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/>
      <c r="E23" s="62"/>
      <c r="F23" s="62"/>
      <c r="G23" s="62">
        <f t="shared" si="0"/>
        <v>0</v>
      </c>
      <c r="H23" s="63">
        <f t="shared" si="1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4"/>
        <v>0</v>
      </c>
      <c r="S23" s="62">
        <f t="shared" si="2"/>
        <v>0</v>
      </c>
      <c r="T23" s="63">
        <f t="shared" si="3"/>
        <v>0</v>
      </c>
      <c r="U23" s="64"/>
      <c r="V23" s="65"/>
      <c r="W23" s="66"/>
      <c r="X23" s="67"/>
      <c r="Y23" s="68"/>
      <c r="Z23" s="68"/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6"/>
      <c r="AI23" s="66"/>
      <c r="AJ23" s="84"/>
      <c r="AK23" s="62">
        <f t="shared" si="8"/>
        <v>0</v>
      </c>
      <c r="AL23" s="72">
        <f t="shared" si="9"/>
        <v>0</v>
      </c>
      <c r="AM23" s="73">
        <f t="shared" si="15"/>
        <v>0</v>
      </c>
      <c r="AN23" s="74">
        <f t="shared" si="18"/>
        <v>0</v>
      </c>
      <c r="AO23" s="74">
        <f t="shared" si="18"/>
        <v>0</v>
      </c>
      <c r="AP23" s="75" t="e">
        <f t="shared" si="16"/>
        <v>#DIV/0!</v>
      </c>
      <c r="AQ23" s="76">
        <f t="shared" si="11"/>
        <v>0</v>
      </c>
      <c r="AR23" s="90">
        <f t="shared" si="12"/>
        <v>0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/>
      <c r="E24" s="62"/>
      <c r="F24" s="62"/>
      <c r="G24" s="62">
        <f t="shared" si="0"/>
        <v>0</v>
      </c>
      <c r="H24" s="63">
        <f t="shared" si="1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4"/>
        <v>0</v>
      </c>
      <c r="S24" s="62">
        <f t="shared" si="2"/>
        <v>0</v>
      </c>
      <c r="T24" s="63">
        <f t="shared" si="3"/>
        <v>0</v>
      </c>
      <c r="U24" s="64"/>
      <c r="V24" s="65"/>
      <c r="W24" s="66"/>
      <c r="X24" s="67"/>
      <c r="Y24" s="68"/>
      <c r="Z24" s="68"/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6"/>
      <c r="AI24" s="66"/>
      <c r="AJ24" s="66"/>
      <c r="AK24" s="62">
        <f t="shared" si="8"/>
        <v>0</v>
      </c>
      <c r="AL24" s="72">
        <f t="shared" si="9"/>
        <v>0</v>
      </c>
      <c r="AM24" s="73">
        <f t="shared" si="15"/>
        <v>0</v>
      </c>
      <c r="AN24" s="74">
        <f t="shared" si="18"/>
        <v>0</v>
      </c>
      <c r="AO24" s="74">
        <f t="shared" si="18"/>
        <v>0</v>
      </c>
      <c r="AP24" s="75" t="e">
        <f t="shared" si="16"/>
        <v>#DIV/0!</v>
      </c>
      <c r="AQ24" s="76">
        <f t="shared" si="11"/>
        <v>0</v>
      </c>
      <c r="AR24" s="90">
        <f t="shared" si="12"/>
        <v>0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/>
      <c r="E25" s="62"/>
      <c r="F25" s="62"/>
      <c r="G25" s="62">
        <f t="shared" si="0"/>
        <v>0</v>
      </c>
      <c r="H25" s="63">
        <f t="shared" si="1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4"/>
        <v>0</v>
      </c>
      <c r="S25" s="62">
        <f t="shared" si="2"/>
        <v>0</v>
      </c>
      <c r="T25" s="63">
        <f t="shared" si="3"/>
        <v>0</v>
      </c>
      <c r="U25" s="64"/>
      <c r="V25" s="65"/>
      <c r="W25" s="66"/>
      <c r="X25" s="67"/>
      <c r="Y25" s="68"/>
      <c r="Z25" s="68"/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6"/>
      <c r="AI25" s="66"/>
      <c r="AJ25" s="66"/>
      <c r="AK25" s="62">
        <f t="shared" si="8"/>
        <v>0</v>
      </c>
      <c r="AL25" s="72">
        <f t="shared" si="9"/>
        <v>0</v>
      </c>
      <c r="AM25" s="73">
        <f t="shared" si="15"/>
        <v>0</v>
      </c>
      <c r="AN25" s="74">
        <f t="shared" si="18"/>
        <v>0</v>
      </c>
      <c r="AO25" s="74">
        <f t="shared" si="18"/>
        <v>0</v>
      </c>
      <c r="AP25" s="75" t="e">
        <f t="shared" si="16"/>
        <v>#DIV/0!</v>
      </c>
      <c r="AQ25" s="76">
        <f t="shared" si="11"/>
        <v>0</v>
      </c>
      <c r="AR25" s="90">
        <f t="shared" si="12"/>
        <v>0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6"/>
      <c r="AI26" s="66"/>
      <c r="AJ26" s="66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6"/>
      <c r="AI27" s="66"/>
      <c r="AJ27" s="66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6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6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6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6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2"/>
      <c r="J32" s="202"/>
      <c r="K32" s="202"/>
      <c r="L32" s="202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6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6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6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6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6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6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6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6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6"/>
      <c r="AI40" s="66"/>
      <c r="AJ40" s="66"/>
      <c r="AK40" s="62">
        <f t="shared" si="8"/>
        <v>0</v>
      </c>
      <c r="AL40" s="72">
        <f>AH40*AJ40%</f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6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6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6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2"/>
      <c r="J52" s="202"/>
      <c r="K52" s="202"/>
      <c r="L52" s="202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2"/>
      <c r="J53" s="202"/>
      <c r="K53" s="202"/>
      <c r="L53" s="202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2"/>
      <c r="J54" s="202"/>
      <c r="K54" s="202"/>
      <c r="L54" s="202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2"/>
      <c r="J55" s="202"/>
      <c r="K55" s="202"/>
      <c r="L55" s="202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2"/>
      <c r="J56" s="202"/>
      <c r="K56" s="202"/>
      <c r="L56" s="202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2"/>
      <c r="J57" s="202"/>
      <c r="K57" s="202"/>
      <c r="L57" s="202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2"/>
      <c r="J58" s="202"/>
      <c r="K58" s="202"/>
      <c r="L58" s="202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2"/>
      <c r="J59" s="202"/>
      <c r="K59" s="202"/>
      <c r="L59" s="202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2"/>
      <c r="J60" s="202"/>
      <c r="K60" s="202"/>
      <c r="L60" s="202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2"/>
      <c r="J61" s="202"/>
      <c r="K61" s="202"/>
      <c r="L61" s="202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2"/>
      <c r="J62" s="202"/>
      <c r="K62" s="202"/>
      <c r="L62" s="202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2"/>
      <c r="J63" s="202"/>
      <c r="K63" s="202"/>
      <c r="L63" s="202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14494.705900000001</v>
      </c>
      <c r="X66" s="77"/>
      <c r="AH66" s="77"/>
      <c r="AI66" s="77"/>
      <c r="AJ66" s="77"/>
      <c r="AM66" s="83">
        <f>-SUM(AM4:AM65)</f>
        <v>674.29410000000007</v>
      </c>
      <c r="AN66" s="83">
        <f t="shared" ref="AN66:AO66" si="19">-SUM(AN4:AN65)</f>
        <v>15.997695999999834</v>
      </c>
      <c r="AO66" s="83">
        <f t="shared" si="19"/>
        <v>34.055124799999838</v>
      </c>
      <c r="AP66" s="83" t="e">
        <f>-SUM(AP4:AP65)</f>
        <v>#DIV/0!</v>
      </c>
      <c r="AQ66" s="126">
        <f>-SUM(AQ4:AQ65)</f>
        <v>17886.620297298658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1" priority="1" operator="lessThan">
      <formula>0.1</formula>
    </cfRule>
    <cfRule type="cellIs" dxfId="120" priority="2" operator="greaterThan">
      <formula>0.1</formula>
    </cfRule>
  </conditionalFormatting>
  <conditionalFormatting sqref="AP1:AQ1">
    <cfRule type="cellIs" dxfId="119" priority="5" operator="lessThan">
      <formula>1</formula>
    </cfRule>
  </conditionalFormatting>
  <conditionalFormatting sqref="AQ4:AQ65">
    <cfRule type="cellIs" dxfId="118" priority="3" operator="lessThan">
      <formula>0</formula>
    </cfRule>
    <cfRule type="cellIs" dxfId="117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9"/>
  <sheetViews>
    <sheetView zoomScale="80" zoomScaleNormal="80" workbookViewId="0">
      <selection activeCell="AH8" sqref="AH8:AJ21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161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30" t="s">
        <v>64</v>
      </c>
      <c r="C2" s="232" t="s">
        <v>65</v>
      </c>
      <c r="D2" s="234" t="s">
        <v>66</v>
      </c>
      <c r="E2" s="235"/>
      <c r="F2" s="235"/>
      <c r="G2" s="235"/>
      <c r="H2" s="236"/>
      <c r="I2" s="227" t="s">
        <v>67</v>
      </c>
      <c r="J2" s="228"/>
      <c r="K2" s="228"/>
      <c r="L2" s="229"/>
      <c r="M2" s="227" t="s">
        <v>68</v>
      </c>
      <c r="N2" s="228"/>
      <c r="O2" s="228"/>
      <c r="P2" s="228"/>
      <c r="Q2" s="229"/>
      <c r="R2" s="227" t="s">
        <v>69</v>
      </c>
      <c r="S2" s="228"/>
      <c r="T2" s="229"/>
      <c r="U2" s="224" t="s">
        <v>70</v>
      </c>
      <c r="V2" s="225"/>
      <c r="W2" s="225"/>
      <c r="X2" s="225"/>
      <c r="Y2" s="225"/>
      <c r="Z2" s="225"/>
      <c r="AA2" s="225"/>
      <c r="AB2" s="226"/>
      <c r="AC2" s="227" t="s">
        <v>71</v>
      </c>
      <c r="AD2" s="228"/>
      <c r="AE2" s="228"/>
      <c r="AF2" s="228"/>
      <c r="AG2" s="229"/>
      <c r="AH2" s="227" t="s">
        <v>72</v>
      </c>
      <c r="AI2" s="228"/>
      <c r="AJ2" s="228"/>
      <c r="AK2" s="228"/>
      <c r="AL2" s="229"/>
      <c r="AM2" s="224" t="s">
        <v>73</v>
      </c>
      <c r="AN2" s="225"/>
      <c r="AO2" s="225"/>
      <c r="AP2" s="225"/>
      <c r="AQ2" s="226"/>
    </row>
    <row r="3" spans="1:46" x14ac:dyDescent="0.25">
      <c r="B3" s="231"/>
      <c r="C3" s="23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2544</v>
      </c>
      <c r="E4" s="54">
        <v>4.51</v>
      </c>
      <c r="F4" s="55">
        <v>8.24</v>
      </c>
      <c r="G4" s="62">
        <f t="shared" ref="G4:G65" si="0">+D4*E4%</f>
        <v>114.73440000000001</v>
      </c>
      <c r="H4" s="63">
        <f t="shared" ref="H4:H65" si="1">+D4*F4%</f>
        <v>209.62559999999999</v>
      </c>
      <c r="I4" s="202">
        <v>309.95</v>
      </c>
      <c r="J4" s="202">
        <v>319.24849999999998</v>
      </c>
      <c r="K4" s="202">
        <v>5.5309404742700439</v>
      </c>
      <c r="L4" s="202">
        <v>8.5948636876915643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319.24849999999998</v>
      </c>
      <c r="S4" s="62">
        <f t="shared" ref="S4:S65" si="2">+J4*K4%+O4*P4%</f>
        <v>17.6574445</v>
      </c>
      <c r="T4" s="63">
        <f t="shared" ref="T4:T65" si="3">+J4*L4%+O4*Q4%</f>
        <v>27.438973400000002</v>
      </c>
      <c r="U4" s="64" t="s">
        <v>186</v>
      </c>
      <c r="V4" s="65" t="s">
        <v>219</v>
      </c>
      <c r="W4" s="66" t="s">
        <v>149</v>
      </c>
      <c r="X4" s="67">
        <v>1280</v>
      </c>
      <c r="Y4" s="68">
        <v>4.2</v>
      </c>
      <c r="Z4" s="68">
        <v>8</v>
      </c>
      <c r="AA4" s="62">
        <f t="shared" ref="AA4:AA65" si="4">X4*Y4%</f>
        <v>53.760000000000005</v>
      </c>
      <c r="AB4" s="63">
        <f t="shared" ref="AB4:AB65" si="5">X4*Z4%</f>
        <v>102.4</v>
      </c>
      <c r="AC4" s="69">
        <v>1280</v>
      </c>
      <c r="AD4" s="70">
        <v>4.2</v>
      </c>
      <c r="AE4" s="70">
        <v>8</v>
      </c>
      <c r="AF4" s="62">
        <f t="shared" ref="AF4:AF65" si="6">AC4*AD4%</f>
        <v>53.760000000000005</v>
      </c>
      <c r="AG4" s="63">
        <f t="shared" ref="AG4:AG65" si="7">AC4*AE4%</f>
        <v>102.4</v>
      </c>
      <c r="AH4" s="71">
        <v>1580</v>
      </c>
      <c r="AI4" s="66">
        <v>4.62</v>
      </c>
      <c r="AJ4" s="66">
        <v>8.2799999999999994</v>
      </c>
      <c r="AK4" s="62">
        <f t="shared" ref="AK4:AK65" si="8">AH4*AI4%</f>
        <v>72.995999999999995</v>
      </c>
      <c r="AL4" s="72">
        <f t="shared" ref="AL4:AL65" si="9">AH4*AJ4%</f>
        <v>130.82399999999998</v>
      </c>
      <c r="AM4" s="73">
        <f>+D4+R4-AC4-AH4</f>
        <v>3.2485000000001492</v>
      </c>
      <c r="AN4" s="74">
        <f t="shared" ref="AN4:AO19" si="10">+G4+S4-AF4-AK4</f>
        <v>5.6358445000000188</v>
      </c>
      <c r="AO4" s="74">
        <f t="shared" si="10"/>
        <v>3.8405734000000109</v>
      </c>
      <c r="AP4" s="75">
        <f>(AN4+AO4)/(S4+T4)</f>
        <v>0.21013682108884371</v>
      </c>
      <c r="AQ4" s="76">
        <f t="shared" ref="AQ4:AQ65" si="11">($AP$1*AN4+$AQ$1*AO4)</f>
        <v>3858.4242513968779</v>
      </c>
      <c r="AR4" s="77">
        <f t="shared" ref="AR4:AR65" si="12">(D4+J4+O4)-(X4+AH4)</f>
        <v>3.2485000000001492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1580</v>
      </c>
      <c r="E5" s="62">
        <v>4.62</v>
      </c>
      <c r="F5" s="62">
        <v>8.2799999999999994</v>
      </c>
      <c r="G5" s="62">
        <f t="shared" si="0"/>
        <v>72.995999999999995</v>
      </c>
      <c r="H5" s="63">
        <f t="shared" si="1"/>
        <v>130.82399999999998</v>
      </c>
      <c r="I5" s="202">
        <v>1000.6299999999999</v>
      </c>
      <c r="J5" s="202">
        <v>1030.6488999999999</v>
      </c>
      <c r="K5" s="202">
        <v>4.434939987807681</v>
      </c>
      <c r="L5" s="202">
        <v>8.1493269240378581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1030.6488999999999</v>
      </c>
      <c r="S5" s="62">
        <f t="shared" si="2"/>
        <v>45.708660199999997</v>
      </c>
      <c r="T5" s="63">
        <f t="shared" si="3"/>
        <v>83.990948300000014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2611</v>
      </c>
      <c r="AI5" s="66">
        <v>4.53</v>
      </c>
      <c r="AJ5" s="66">
        <v>8.25</v>
      </c>
      <c r="AK5" s="62">
        <f t="shared" si="8"/>
        <v>118.2783</v>
      </c>
      <c r="AL5" s="72">
        <f t="shared" si="9"/>
        <v>215.4075</v>
      </c>
      <c r="AM5" s="73">
        <f t="shared" ref="AM5:AM65" si="15">+D5+R5-AC5-AH5</f>
        <v>-0.3510999999998603</v>
      </c>
      <c r="AN5" s="74">
        <f t="shared" si="10"/>
        <v>0.42636019999999064</v>
      </c>
      <c r="AO5" s="74">
        <f t="shared" si="10"/>
        <v>-0.59255170000000135</v>
      </c>
      <c r="AP5" s="75">
        <f t="shared" ref="AP5:AP65" si="16">(AN5+AO5)/(S5+T5)</f>
        <v>-1.2813569903721853E-3</v>
      </c>
      <c r="AQ5" s="76">
        <f t="shared" si="11"/>
        <v>27.415993648594821</v>
      </c>
      <c r="AR5" s="77">
        <f t="shared" si="12"/>
        <v>-0.3510999999998603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2611</v>
      </c>
      <c r="E6" s="62">
        <v>4.53</v>
      </c>
      <c r="F6" s="62">
        <v>8.25</v>
      </c>
      <c r="G6" s="62">
        <f t="shared" si="0"/>
        <v>118.2783</v>
      </c>
      <c r="H6" s="63">
        <f t="shared" si="1"/>
        <v>215.4075</v>
      </c>
      <c r="I6" s="202">
        <v>274.96999999999997</v>
      </c>
      <c r="J6" s="202">
        <v>283.21909999999997</v>
      </c>
      <c r="K6" s="202">
        <v>5.4145797723388007</v>
      </c>
      <c r="L6" s="202">
        <v>8.6891551805651535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283.21909999999997</v>
      </c>
      <c r="S6" s="62">
        <f t="shared" si="2"/>
        <v>15.335124099999998</v>
      </c>
      <c r="T6" s="63">
        <f t="shared" si="3"/>
        <v>24.609347099999997</v>
      </c>
      <c r="U6" s="64" t="s">
        <v>186</v>
      </c>
      <c r="V6" s="65" t="s">
        <v>220</v>
      </c>
      <c r="W6" s="66" t="s">
        <v>149</v>
      </c>
      <c r="X6" s="67">
        <v>1010</v>
      </c>
      <c r="Y6" s="68">
        <v>4.0999999999999996</v>
      </c>
      <c r="Z6" s="68">
        <v>8</v>
      </c>
      <c r="AA6" s="62">
        <f t="shared" si="4"/>
        <v>41.41</v>
      </c>
      <c r="AB6" s="63">
        <f t="shared" si="5"/>
        <v>80.8</v>
      </c>
      <c r="AC6" s="69">
        <v>1010</v>
      </c>
      <c r="AD6" s="70">
        <v>4.0999999999999996</v>
      </c>
      <c r="AE6" s="70">
        <v>8</v>
      </c>
      <c r="AF6" s="62">
        <f t="shared" si="6"/>
        <v>41.41</v>
      </c>
      <c r="AG6" s="63">
        <f t="shared" si="7"/>
        <v>80.8</v>
      </c>
      <c r="AH6" s="71">
        <v>1885</v>
      </c>
      <c r="AI6" s="66">
        <v>4.6100000000000003</v>
      </c>
      <c r="AJ6" s="66">
        <v>8.2899999999999991</v>
      </c>
      <c r="AK6" s="62">
        <f t="shared" si="8"/>
        <v>86.898499999999999</v>
      </c>
      <c r="AL6" s="72">
        <f t="shared" si="9"/>
        <v>156.26649999999998</v>
      </c>
      <c r="AM6" s="73">
        <f t="shared" si="15"/>
        <v>-0.78090000000020154</v>
      </c>
      <c r="AN6" s="74">
        <f t="shared" si="10"/>
        <v>5.304924100000008</v>
      </c>
      <c r="AO6" s="74">
        <f t="shared" si="10"/>
        <v>2.9503471000000161</v>
      </c>
      <c r="AP6" s="75">
        <f t="shared" si="16"/>
        <v>0.20666868159716745</v>
      </c>
      <c r="AQ6" s="76">
        <f t="shared" si="11"/>
        <v>3432.7913773201471</v>
      </c>
      <c r="AR6" s="77">
        <f t="shared" si="12"/>
        <v>-0.78090000000020154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1885</v>
      </c>
      <c r="E7" s="62">
        <v>4.6100000000000003</v>
      </c>
      <c r="F7" s="62">
        <v>8.2899999999999991</v>
      </c>
      <c r="G7" s="62">
        <f t="shared" si="0"/>
        <v>86.898499999999999</v>
      </c>
      <c r="H7" s="63">
        <f t="shared" si="1"/>
        <v>156.26649999999998</v>
      </c>
      <c r="I7" s="202">
        <v>1184.79</v>
      </c>
      <c r="J7" s="202">
        <v>1220.3336999999999</v>
      </c>
      <c r="K7" s="202">
        <v>4.3576296221271269</v>
      </c>
      <c r="L7" s="202">
        <v>8.1737911359819027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1220.3336999999999</v>
      </c>
      <c r="S7" s="62">
        <f t="shared" si="2"/>
        <v>53.17762279999998</v>
      </c>
      <c r="T7" s="63">
        <f t="shared" si="3"/>
        <v>99.747527799999986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3105</v>
      </c>
      <c r="AI7" s="71">
        <v>4.5199999999999996</v>
      </c>
      <c r="AJ7" s="71">
        <v>8.25</v>
      </c>
      <c r="AK7" s="62">
        <f t="shared" si="8"/>
        <v>140.346</v>
      </c>
      <c r="AL7" s="72">
        <f t="shared" si="9"/>
        <v>256.16250000000002</v>
      </c>
      <c r="AM7" s="73">
        <f t="shared" si="15"/>
        <v>0.33370000000013533</v>
      </c>
      <c r="AN7" s="74">
        <f t="shared" si="10"/>
        <v>-0.26987720000002469</v>
      </c>
      <c r="AO7" s="74">
        <f t="shared" si="10"/>
        <v>-0.14847220000007155</v>
      </c>
      <c r="AP7" s="75">
        <f t="shared" si="16"/>
        <v>-2.7356481151642321E-3</v>
      </c>
      <c r="AQ7" s="76">
        <f t="shared" si="11"/>
        <v>-174.1508802628565</v>
      </c>
      <c r="AR7" s="77">
        <f t="shared" si="12"/>
        <v>0.33370000000013533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3105</v>
      </c>
      <c r="E8" s="62">
        <v>4.5199999999999996</v>
      </c>
      <c r="F8" s="62">
        <v>8.25</v>
      </c>
      <c r="G8" s="62">
        <f t="shared" si="0"/>
        <v>140.346</v>
      </c>
      <c r="H8" s="63">
        <f t="shared" si="1"/>
        <v>256.16250000000002</v>
      </c>
      <c r="I8" s="202">
        <v>264.57</v>
      </c>
      <c r="J8" s="202">
        <v>272.50709999999998</v>
      </c>
      <c r="K8" s="202">
        <v>5.4372151037532594</v>
      </c>
      <c r="L8" s="202">
        <v>8.5982575499867711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272.50709999999998</v>
      </c>
      <c r="S8" s="62">
        <f t="shared" si="2"/>
        <v>14.816797199999998</v>
      </c>
      <c r="T8" s="63">
        <f t="shared" si="3"/>
        <v>23.430862299999998</v>
      </c>
      <c r="U8" s="64" t="s">
        <v>186</v>
      </c>
      <c r="V8" s="65" t="s">
        <v>295</v>
      </c>
      <c r="W8" s="66" t="s">
        <v>149</v>
      </c>
      <c r="X8" s="67">
        <v>1670</v>
      </c>
      <c r="Y8" s="68">
        <v>4</v>
      </c>
      <c r="Z8" s="68">
        <v>8</v>
      </c>
      <c r="AA8" s="62">
        <f t="shared" si="4"/>
        <v>66.8</v>
      </c>
      <c r="AB8" s="63">
        <f t="shared" si="5"/>
        <v>133.6</v>
      </c>
      <c r="AC8" s="69">
        <v>1670</v>
      </c>
      <c r="AD8" s="70">
        <v>4</v>
      </c>
      <c r="AE8" s="70">
        <v>8</v>
      </c>
      <c r="AF8" s="62">
        <f t="shared" si="6"/>
        <v>66.8</v>
      </c>
      <c r="AG8" s="63">
        <f t="shared" si="7"/>
        <v>133.6</v>
      </c>
      <c r="AH8" s="71">
        <v>1507</v>
      </c>
      <c r="AI8" s="71">
        <v>4.5999999999999996</v>
      </c>
      <c r="AJ8" s="71">
        <v>8.2799999999999994</v>
      </c>
      <c r="AK8" s="62">
        <f t="shared" si="8"/>
        <v>69.322000000000003</v>
      </c>
      <c r="AL8" s="72">
        <f t="shared" si="9"/>
        <v>124.7796</v>
      </c>
      <c r="AM8" s="73">
        <f t="shared" si="15"/>
        <v>200.50709999999981</v>
      </c>
      <c r="AN8" s="74">
        <f t="shared" si="10"/>
        <v>19.0407972</v>
      </c>
      <c r="AO8" s="74">
        <f t="shared" si="10"/>
        <v>21.213762300000027</v>
      </c>
      <c r="AP8" s="75">
        <f t="shared" si="16"/>
        <v>1.0524711845439858</v>
      </c>
      <c r="AQ8" s="76">
        <f t="shared" si="11"/>
        <v>15503.055717587184</v>
      </c>
      <c r="AR8" s="90">
        <f t="shared" si="12"/>
        <v>200.50709999999981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1507</v>
      </c>
      <c r="E9" s="62">
        <v>4.5999999999999996</v>
      </c>
      <c r="F9" s="62">
        <v>8.2799999999999994</v>
      </c>
      <c r="G9" s="62">
        <f t="shared" si="0"/>
        <v>69.322000000000003</v>
      </c>
      <c r="H9" s="63">
        <f t="shared" si="1"/>
        <v>124.7796</v>
      </c>
      <c r="I9" s="202">
        <v>939.01</v>
      </c>
      <c r="J9" s="202">
        <v>967.18029999999999</v>
      </c>
      <c r="K9" s="202">
        <v>4.3473275044994191</v>
      </c>
      <c r="L9" s="202">
        <v>8.2749076154673542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967.18029999999999</v>
      </c>
      <c r="S9" s="62">
        <f t="shared" si="2"/>
        <v>42.046495199999988</v>
      </c>
      <c r="T9" s="63">
        <f t="shared" si="3"/>
        <v>80.033276299999997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2475</v>
      </c>
      <c r="AI9" s="82">
        <v>4.4800000000000004</v>
      </c>
      <c r="AJ9" s="82">
        <v>8.2799999999999994</v>
      </c>
      <c r="AK9" s="62">
        <f t="shared" si="8"/>
        <v>110.88000000000001</v>
      </c>
      <c r="AL9" s="72">
        <f t="shared" si="9"/>
        <v>204.93</v>
      </c>
      <c r="AM9" s="73">
        <f t="shared" si="15"/>
        <v>-0.81970000000001164</v>
      </c>
      <c r="AN9" s="74">
        <f t="shared" si="10"/>
        <v>0.48849519999997426</v>
      </c>
      <c r="AO9" s="74">
        <f t="shared" si="10"/>
        <v>-0.1171237000000076</v>
      </c>
      <c r="AP9" s="75">
        <f t="shared" si="16"/>
        <v>3.0420396060453526E-3</v>
      </c>
      <c r="AQ9" s="76">
        <f t="shared" si="11"/>
        <v>199.66033691772279</v>
      </c>
      <c r="AR9" s="90">
        <f t="shared" si="12"/>
        <v>-0.81970000000001164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2475</v>
      </c>
      <c r="E10" s="62">
        <v>4.4800000000000004</v>
      </c>
      <c r="F10" s="62">
        <v>8.2799999999999994</v>
      </c>
      <c r="G10" s="62">
        <f t="shared" si="0"/>
        <v>110.88000000000001</v>
      </c>
      <c r="H10" s="63">
        <f t="shared" si="1"/>
        <v>204.93</v>
      </c>
      <c r="I10" s="202">
        <v>538.92999999999995</v>
      </c>
      <c r="J10" s="202">
        <v>555.09789999999998</v>
      </c>
      <c r="K10" s="202">
        <v>4.994012209377841</v>
      </c>
      <c r="L10" s="202">
        <v>8.3658879631863137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555.09789999999998</v>
      </c>
      <c r="S10" s="62">
        <f t="shared" si="2"/>
        <v>27.721656899999999</v>
      </c>
      <c r="T10" s="63">
        <f t="shared" si="3"/>
        <v>46.438868399999997</v>
      </c>
      <c r="U10" s="64" t="s">
        <v>186</v>
      </c>
      <c r="V10" s="65" t="s">
        <v>296</v>
      </c>
      <c r="W10" s="66" t="s">
        <v>149</v>
      </c>
      <c r="X10" s="67">
        <v>1030</v>
      </c>
      <c r="Y10" s="68">
        <v>4.0999999999999996</v>
      </c>
      <c r="Z10" s="68">
        <v>8</v>
      </c>
      <c r="AA10" s="62">
        <f t="shared" si="4"/>
        <v>42.23</v>
      </c>
      <c r="AB10" s="63">
        <f t="shared" si="5"/>
        <v>82.4</v>
      </c>
      <c r="AC10" s="69">
        <v>1030</v>
      </c>
      <c r="AD10" s="70">
        <v>4.0999999999999996</v>
      </c>
      <c r="AE10" s="70">
        <v>8</v>
      </c>
      <c r="AF10" s="62">
        <f t="shared" si="6"/>
        <v>42.23</v>
      </c>
      <c r="AG10" s="63">
        <f t="shared" si="7"/>
        <v>82.4</v>
      </c>
      <c r="AH10" s="71">
        <v>2000</v>
      </c>
      <c r="AI10" s="71">
        <v>4.57</v>
      </c>
      <c r="AJ10" s="71">
        <v>8.3000000000000007</v>
      </c>
      <c r="AK10" s="62">
        <f t="shared" si="8"/>
        <v>91.4</v>
      </c>
      <c r="AL10" s="72">
        <f t="shared" si="9"/>
        <v>166</v>
      </c>
      <c r="AM10" s="73">
        <f t="shared" si="15"/>
        <v>9.7899999999754073E-2</v>
      </c>
      <c r="AN10" s="74">
        <f t="shared" si="10"/>
        <v>4.9716569000000277</v>
      </c>
      <c r="AO10" s="74">
        <f t="shared" si="10"/>
        <v>2.968868399999991</v>
      </c>
      <c r="AP10" s="75">
        <f t="shared" si="16"/>
        <v>0.10707212857350162</v>
      </c>
      <c r="AQ10" s="76">
        <f t="shared" si="11"/>
        <v>3278.1926055279264</v>
      </c>
      <c r="AR10" s="90">
        <f t="shared" si="12"/>
        <v>9.7899999999754073E-2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2000</v>
      </c>
      <c r="E11" s="62">
        <v>4.57</v>
      </c>
      <c r="F11" s="62">
        <v>8.3000000000000007</v>
      </c>
      <c r="G11" s="62">
        <f t="shared" si="0"/>
        <v>91.4</v>
      </c>
      <c r="H11" s="63">
        <f t="shared" si="1"/>
        <v>166</v>
      </c>
      <c r="I11" s="202">
        <v>641.6</v>
      </c>
      <c r="J11" s="202">
        <v>660.84800000000007</v>
      </c>
      <c r="K11" s="202">
        <v>4.2500903990024934</v>
      </c>
      <c r="L11" s="202">
        <v>8.070829177057357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660.84800000000007</v>
      </c>
      <c r="S11" s="62">
        <f t="shared" si="2"/>
        <v>28.086637400000001</v>
      </c>
      <c r="T11" s="63">
        <f t="shared" si="3"/>
        <v>53.335913200000007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2661</v>
      </c>
      <c r="AI11" s="71">
        <v>4.4800000000000004</v>
      </c>
      <c r="AJ11" s="71">
        <v>8.25</v>
      </c>
      <c r="AK11" s="62">
        <f t="shared" si="8"/>
        <v>119.21280000000002</v>
      </c>
      <c r="AL11" s="72">
        <f t="shared" si="9"/>
        <v>219.5325</v>
      </c>
      <c r="AM11" s="73">
        <f t="shared" si="15"/>
        <v>-0.15200000000004366</v>
      </c>
      <c r="AN11" s="74">
        <f t="shared" si="10"/>
        <v>0.27383739999999079</v>
      </c>
      <c r="AO11" s="74">
        <f t="shared" si="10"/>
        <v>-0.19658680000000572</v>
      </c>
      <c r="AP11" s="75">
        <f t="shared" si="16"/>
        <v>9.4876173038953E-4</v>
      </c>
      <c r="AQ11" s="76">
        <f t="shared" si="11"/>
        <v>72.711786644729628</v>
      </c>
      <c r="AR11" s="90">
        <f t="shared" si="12"/>
        <v>-0.15200000000004366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2661</v>
      </c>
      <c r="E12" s="62">
        <v>4.4800000000000004</v>
      </c>
      <c r="F12" s="62">
        <v>8.25</v>
      </c>
      <c r="G12" s="62">
        <f t="shared" si="0"/>
        <v>119.21280000000002</v>
      </c>
      <c r="H12" s="63">
        <f t="shared" si="1"/>
        <v>219.5325</v>
      </c>
      <c r="I12" s="202">
        <v>223.4</v>
      </c>
      <c r="J12" s="202">
        <v>230.102</v>
      </c>
      <c r="K12" s="202">
        <v>5.110689346463742</v>
      </c>
      <c r="L12" s="202">
        <v>8.5202282900626667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230.102</v>
      </c>
      <c r="S12" s="62">
        <f t="shared" si="2"/>
        <v>11.759798399999999</v>
      </c>
      <c r="T12" s="63">
        <f t="shared" si="3"/>
        <v>19.605215699999995</v>
      </c>
      <c r="U12" s="64" t="s">
        <v>186</v>
      </c>
      <c r="V12" s="65" t="s">
        <v>297</v>
      </c>
      <c r="W12" s="66" t="s">
        <v>149</v>
      </c>
      <c r="X12" s="67">
        <v>1300</v>
      </c>
      <c r="Y12" s="68">
        <v>4.0999999999999996</v>
      </c>
      <c r="Z12" s="68">
        <v>7.8</v>
      </c>
      <c r="AA12" s="62">
        <f t="shared" si="4"/>
        <v>53.29999999999999</v>
      </c>
      <c r="AB12" s="63">
        <f t="shared" si="5"/>
        <v>101.4</v>
      </c>
      <c r="AC12" s="69">
        <v>1300</v>
      </c>
      <c r="AD12" s="70">
        <v>4.0999999999999996</v>
      </c>
      <c r="AE12" s="70">
        <v>7.8</v>
      </c>
      <c r="AF12" s="62">
        <f t="shared" si="6"/>
        <v>53.29999999999999</v>
      </c>
      <c r="AG12" s="63">
        <f t="shared" si="7"/>
        <v>101.4</v>
      </c>
      <c r="AH12" s="71">
        <v>1591</v>
      </c>
      <c r="AI12" s="71">
        <v>4.53</v>
      </c>
      <c r="AJ12" s="71">
        <v>8.27</v>
      </c>
      <c r="AK12" s="62">
        <f t="shared" si="8"/>
        <v>72.072299999999998</v>
      </c>
      <c r="AL12" s="72">
        <f t="shared" si="9"/>
        <v>131.57569999999998</v>
      </c>
      <c r="AM12" s="73">
        <f t="shared" si="15"/>
        <v>0.10199999999986176</v>
      </c>
      <c r="AN12" s="74">
        <f t="shared" si="10"/>
        <v>5.6002984000000282</v>
      </c>
      <c r="AO12" s="74">
        <f t="shared" si="10"/>
        <v>6.162015700000012</v>
      </c>
      <c r="AP12" s="75">
        <f t="shared" si="16"/>
        <v>0.37501383109532993</v>
      </c>
      <c r="AQ12" s="76">
        <f t="shared" si="11"/>
        <v>4536.594495632673</v>
      </c>
      <c r="AR12" s="90">
        <f t="shared" si="12"/>
        <v>0.10199999999986176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1591</v>
      </c>
      <c r="E13" s="62">
        <v>4.53</v>
      </c>
      <c r="F13" s="62">
        <v>8.27</v>
      </c>
      <c r="G13" s="62">
        <f t="shared" si="0"/>
        <v>72.072299999999998</v>
      </c>
      <c r="H13" s="63">
        <f t="shared" si="1"/>
        <v>131.57569999999998</v>
      </c>
      <c r="I13" s="202">
        <v>891.43000000000006</v>
      </c>
      <c r="J13" s="202">
        <v>918.17290000000014</v>
      </c>
      <c r="K13" s="202">
        <v>4.2672559819615667</v>
      </c>
      <c r="L13" s="202">
        <v>8.2670888347935332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918.17290000000014</v>
      </c>
      <c r="S13" s="62">
        <f t="shared" si="2"/>
        <v>39.180788</v>
      </c>
      <c r="T13" s="63">
        <f t="shared" si="3"/>
        <v>75.906169300000002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2509</v>
      </c>
      <c r="AI13" s="71">
        <v>4.45</v>
      </c>
      <c r="AJ13" s="71">
        <v>8.2799999999999994</v>
      </c>
      <c r="AK13" s="62">
        <f t="shared" si="8"/>
        <v>111.65050000000001</v>
      </c>
      <c r="AL13" s="72">
        <f t="shared" si="9"/>
        <v>207.74519999999998</v>
      </c>
      <c r="AM13" s="73">
        <f t="shared" si="15"/>
        <v>0.17290000000002692</v>
      </c>
      <c r="AN13" s="74">
        <f t="shared" si="10"/>
        <v>-0.39741200000001697</v>
      </c>
      <c r="AO13" s="74">
        <f t="shared" si="10"/>
        <v>-0.26333070000001157</v>
      </c>
      <c r="AP13" s="75">
        <f t="shared" si="16"/>
        <v>-5.7412474488977442E-3</v>
      </c>
      <c r="AQ13" s="76">
        <f t="shared" si="11"/>
        <v>-269.83460068565569</v>
      </c>
      <c r="AR13" s="90">
        <f t="shared" si="12"/>
        <v>0.17290000000002692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2509</v>
      </c>
      <c r="E14" s="62">
        <v>4.45</v>
      </c>
      <c r="F14" s="62">
        <v>8.2799999999999994</v>
      </c>
      <c r="G14" s="62">
        <f t="shared" si="0"/>
        <v>111.65050000000001</v>
      </c>
      <c r="H14" s="63">
        <f t="shared" si="1"/>
        <v>207.74519999999998</v>
      </c>
      <c r="I14" s="202">
        <v>263.51</v>
      </c>
      <c r="J14" s="202">
        <v>271.4153</v>
      </c>
      <c r="K14" s="202">
        <v>5.8492087586808861</v>
      </c>
      <c r="L14" s="202">
        <v>8.7953360403779755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271.4153</v>
      </c>
      <c r="S14" s="62">
        <f t="shared" si="2"/>
        <v>15.875647500000003</v>
      </c>
      <c r="T14" s="63">
        <f t="shared" si="3"/>
        <v>23.871887700000002</v>
      </c>
      <c r="U14" s="64" t="s">
        <v>186</v>
      </c>
      <c r="V14" s="65" t="s">
        <v>298</v>
      </c>
      <c r="W14" s="66" t="s">
        <v>149</v>
      </c>
      <c r="X14" s="67">
        <v>1070</v>
      </c>
      <c r="Y14" s="68">
        <v>4.3</v>
      </c>
      <c r="Z14" s="68">
        <v>8</v>
      </c>
      <c r="AA14" s="62">
        <f t="shared" si="4"/>
        <v>46.01</v>
      </c>
      <c r="AB14" s="63">
        <f t="shared" si="5"/>
        <v>85.600000000000009</v>
      </c>
      <c r="AC14" s="69">
        <v>1070</v>
      </c>
      <c r="AD14" s="70">
        <v>4.3</v>
      </c>
      <c r="AE14" s="70">
        <v>8</v>
      </c>
      <c r="AF14" s="62">
        <f t="shared" si="6"/>
        <v>46.01</v>
      </c>
      <c r="AG14" s="63">
        <f t="shared" si="7"/>
        <v>85.600000000000009</v>
      </c>
      <c r="AH14" s="89">
        <v>1710</v>
      </c>
      <c r="AI14" s="71">
        <v>4.5999999999999996</v>
      </c>
      <c r="AJ14" s="71">
        <v>8.33</v>
      </c>
      <c r="AK14" s="62">
        <f t="shared" si="8"/>
        <v>78.66</v>
      </c>
      <c r="AL14" s="72">
        <f t="shared" si="9"/>
        <v>142.44300000000001</v>
      </c>
      <c r="AM14" s="73">
        <f t="shared" si="15"/>
        <v>0.41530000000011569</v>
      </c>
      <c r="AN14" s="74">
        <f t="shared" si="10"/>
        <v>2.85614750000002</v>
      </c>
      <c r="AO14" s="74">
        <f t="shared" si="10"/>
        <v>3.5740876999999784</v>
      </c>
      <c r="AP14" s="75">
        <f t="shared" si="16"/>
        <v>0.16177695466258743</v>
      </c>
      <c r="AQ14" s="76">
        <f t="shared" si="11"/>
        <v>2442.8792789370291</v>
      </c>
      <c r="AR14" s="90">
        <f t="shared" si="12"/>
        <v>0.41530000000011569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1710</v>
      </c>
      <c r="E15" s="62">
        <v>4.5999999999999996</v>
      </c>
      <c r="F15" s="62">
        <v>8.33</v>
      </c>
      <c r="G15" s="62">
        <f t="shared" si="0"/>
        <v>78.66</v>
      </c>
      <c r="H15" s="63">
        <f t="shared" si="1"/>
        <v>142.44300000000001</v>
      </c>
      <c r="I15" s="202">
        <v>582.39</v>
      </c>
      <c r="J15" s="202">
        <v>599.86170000000004</v>
      </c>
      <c r="K15" s="202">
        <v>4.3363004172461741</v>
      </c>
      <c r="L15" s="202">
        <v>8.365153934648605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599.86170000000004</v>
      </c>
      <c r="S15" s="62">
        <f t="shared" si="2"/>
        <v>26.011805399999997</v>
      </c>
      <c r="T15" s="63">
        <f t="shared" si="3"/>
        <v>50.179354600000011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2310</v>
      </c>
      <c r="AI15" s="66">
        <v>4.5199999999999996</v>
      </c>
      <c r="AJ15" s="66">
        <v>8.35</v>
      </c>
      <c r="AK15" s="62">
        <f t="shared" si="8"/>
        <v>104.41199999999999</v>
      </c>
      <c r="AL15" s="72">
        <f t="shared" si="9"/>
        <v>192.88499999999999</v>
      </c>
      <c r="AM15" s="73">
        <f t="shared" si="15"/>
        <v>-0.13830000000007203</v>
      </c>
      <c r="AN15" s="74">
        <f t="shared" si="10"/>
        <v>0.25980540000000474</v>
      </c>
      <c r="AO15" s="74">
        <f t="shared" si="10"/>
        <v>-0.26264539999996828</v>
      </c>
      <c r="AP15" s="75">
        <f t="shared" si="16"/>
        <v>-3.7274665459398939E-5</v>
      </c>
      <c r="AQ15" s="76">
        <f t="shared" si="11"/>
        <v>46.18499134071881</v>
      </c>
      <c r="AR15" s="90">
        <f t="shared" si="12"/>
        <v>-0.13830000000007203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2310</v>
      </c>
      <c r="E16" s="62">
        <v>4.5199999999999996</v>
      </c>
      <c r="F16" s="62">
        <v>8.35</v>
      </c>
      <c r="G16" s="62">
        <f t="shared" si="0"/>
        <v>104.41199999999999</v>
      </c>
      <c r="H16" s="63">
        <f t="shared" si="1"/>
        <v>192.88499999999999</v>
      </c>
      <c r="I16" s="202">
        <v>292.84000000000003</v>
      </c>
      <c r="J16" s="202">
        <v>301.62520000000006</v>
      </c>
      <c r="K16" s="202">
        <v>5.4990950689796474</v>
      </c>
      <c r="L16" s="202">
        <v>8.6391749760961609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301.62520000000006</v>
      </c>
      <c r="S16" s="62">
        <f t="shared" si="2"/>
        <v>16.586656500000004</v>
      </c>
      <c r="T16" s="63">
        <f t="shared" si="3"/>
        <v>26.057928800000003</v>
      </c>
      <c r="U16" s="64" t="s">
        <v>186</v>
      </c>
      <c r="V16" s="65" t="s">
        <v>308</v>
      </c>
      <c r="W16" s="66" t="s">
        <v>149</v>
      </c>
      <c r="X16" s="67">
        <v>1730</v>
      </c>
      <c r="Y16" s="68">
        <v>4.2</v>
      </c>
      <c r="Z16" s="68">
        <v>8</v>
      </c>
      <c r="AA16" s="62">
        <f t="shared" si="4"/>
        <v>72.660000000000011</v>
      </c>
      <c r="AB16" s="63">
        <f t="shared" si="5"/>
        <v>138.4</v>
      </c>
      <c r="AC16" s="69">
        <v>1730</v>
      </c>
      <c r="AD16" s="70">
        <v>4.2</v>
      </c>
      <c r="AE16" s="70">
        <v>8</v>
      </c>
      <c r="AF16" s="62">
        <f t="shared" si="6"/>
        <v>72.660000000000011</v>
      </c>
      <c r="AG16" s="63">
        <f t="shared" si="7"/>
        <v>138.4</v>
      </c>
      <c r="AH16" s="96">
        <v>881</v>
      </c>
      <c r="AI16" s="71">
        <v>4.63</v>
      </c>
      <c r="AJ16" s="71">
        <v>8.3800000000000008</v>
      </c>
      <c r="AK16" s="62">
        <f t="shared" si="8"/>
        <v>40.790300000000002</v>
      </c>
      <c r="AL16" s="72">
        <f t="shared" si="9"/>
        <v>73.827800000000011</v>
      </c>
      <c r="AM16" s="73">
        <f t="shared" si="15"/>
        <v>0.6251999999999498</v>
      </c>
      <c r="AN16" s="74">
        <f t="shared" si="10"/>
        <v>7.5483564999999828</v>
      </c>
      <c r="AO16" s="74">
        <f t="shared" si="10"/>
        <v>6.715128799999988</v>
      </c>
      <c r="AP16" s="75">
        <f t="shared" si="16"/>
        <v>0.33447353748800485</v>
      </c>
      <c r="AQ16" s="76">
        <f t="shared" si="11"/>
        <v>5638.3522643652677</v>
      </c>
      <c r="AR16" s="90">
        <f t="shared" si="12"/>
        <v>0.6251999999999498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881</v>
      </c>
      <c r="E17" s="62">
        <v>4.63</v>
      </c>
      <c r="F17" s="62">
        <v>8.3800000000000008</v>
      </c>
      <c r="G17" s="62">
        <f t="shared" si="0"/>
        <v>40.790300000000002</v>
      </c>
      <c r="H17" s="63">
        <f t="shared" si="1"/>
        <v>73.827800000000011</v>
      </c>
      <c r="I17" s="202">
        <v>1420.6000000000001</v>
      </c>
      <c r="J17" s="202">
        <v>1463.2180000000001</v>
      </c>
      <c r="K17" s="202">
        <v>4.5097099816978741</v>
      </c>
      <c r="L17" s="202">
        <v>8.4243495706039706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1463.2180000000001</v>
      </c>
      <c r="S17" s="62">
        <f t="shared" si="2"/>
        <v>65.98688820000001</v>
      </c>
      <c r="T17" s="63">
        <f t="shared" si="3"/>
        <v>123.26659930000001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6">
        <v>2344</v>
      </c>
      <c r="AI17" s="66">
        <v>4.55</v>
      </c>
      <c r="AJ17" s="66">
        <v>8.39</v>
      </c>
      <c r="AK17" s="62">
        <f t="shared" si="8"/>
        <v>106.652</v>
      </c>
      <c r="AL17" s="72">
        <f>AH17*AJ17%</f>
        <v>196.66159999999999</v>
      </c>
      <c r="AM17" s="73">
        <f t="shared" si="15"/>
        <v>0.2179999999998472</v>
      </c>
      <c r="AN17" s="74">
        <f t="shared" si="10"/>
        <v>0.12518820000001085</v>
      </c>
      <c r="AO17" s="74">
        <f t="shared" si="10"/>
        <v>0.43279930000002764</v>
      </c>
      <c r="AP17" s="75">
        <f t="shared" si="16"/>
        <v>2.9483604628424008E-3</v>
      </c>
      <c r="AQ17" s="76">
        <f t="shared" si="11"/>
        <v>189.77654187790915</v>
      </c>
      <c r="AR17" s="90">
        <f t="shared" si="12"/>
        <v>0.2179999999998472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2344</v>
      </c>
      <c r="E18" s="62">
        <v>4.55</v>
      </c>
      <c r="F18" s="62">
        <v>8.39</v>
      </c>
      <c r="G18" s="62">
        <f t="shared" si="0"/>
        <v>106.652</v>
      </c>
      <c r="H18" s="63">
        <f t="shared" si="1"/>
        <v>196.66159999999999</v>
      </c>
      <c r="I18" s="202">
        <v>300.40999999999997</v>
      </c>
      <c r="J18" s="202">
        <v>309.42229999999995</v>
      </c>
      <c r="K18" s="202">
        <v>5.5115641955993482</v>
      </c>
      <c r="L18" s="202">
        <v>8.6965613661329524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309.42229999999995</v>
      </c>
      <c r="S18" s="62">
        <f t="shared" si="2"/>
        <v>17.054008699999997</v>
      </c>
      <c r="T18" s="63">
        <f t="shared" si="3"/>
        <v>26.909100200000001</v>
      </c>
      <c r="U18" s="64" t="s">
        <v>186</v>
      </c>
      <c r="V18" s="65" t="s">
        <v>302</v>
      </c>
      <c r="W18" s="66" t="s">
        <v>149</v>
      </c>
      <c r="X18" s="67">
        <v>1310</v>
      </c>
      <c r="Y18" s="68">
        <v>4.2</v>
      </c>
      <c r="Z18" s="68">
        <v>8</v>
      </c>
      <c r="AA18" s="62">
        <f t="shared" si="4"/>
        <v>55.02</v>
      </c>
      <c r="AB18" s="63">
        <f t="shared" si="5"/>
        <v>104.8</v>
      </c>
      <c r="AC18" s="69">
        <v>1310</v>
      </c>
      <c r="AD18" s="70">
        <v>4.2</v>
      </c>
      <c r="AE18" s="70">
        <v>8</v>
      </c>
      <c r="AF18" s="62">
        <f t="shared" si="6"/>
        <v>55.02</v>
      </c>
      <c r="AG18" s="63">
        <f t="shared" si="7"/>
        <v>104.8</v>
      </c>
      <c r="AH18" s="96">
        <v>1343</v>
      </c>
      <c r="AI18" s="71">
        <v>4.66</v>
      </c>
      <c r="AJ18" s="71">
        <v>8.43</v>
      </c>
      <c r="AK18" s="62">
        <f t="shared" si="8"/>
        <v>62.583800000000004</v>
      </c>
      <c r="AL18" s="72">
        <f t="shared" si="9"/>
        <v>113.2149</v>
      </c>
      <c r="AM18" s="73">
        <f t="shared" si="15"/>
        <v>0.42230000000017753</v>
      </c>
      <c r="AN18" s="74">
        <f t="shared" si="10"/>
        <v>6.1022086999999985</v>
      </c>
      <c r="AO18" s="74">
        <f t="shared" si="10"/>
        <v>5.5558002000000073</v>
      </c>
      <c r="AP18" s="75">
        <f t="shared" si="16"/>
        <v>0.26517708123230582</v>
      </c>
      <c r="AQ18" s="76">
        <f t="shared" si="11"/>
        <v>4596.2225847590989</v>
      </c>
      <c r="AR18" s="90">
        <f t="shared" si="12"/>
        <v>0.42230000000017753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1343</v>
      </c>
      <c r="E19" s="62">
        <v>4.66</v>
      </c>
      <c r="F19" s="62">
        <v>8.43</v>
      </c>
      <c r="G19" s="62">
        <f t="shared" si="0"/>
        <v>62.583800000000004</v>
      </c>
      <c r="H19" s="63">
        <f t="shared" si="1"/>
        <v>113.2149</v>
      </c>
      <c r="I19" s="202">
        <v>1308.8500000000001</v>
      </c>
      <c r="J19" s="202">
        <v>1348.1155000000001</v>
      </c>
      <c r="K19" s="202">
        <v>4.4776345646941982</v>
      </c>
      <c r="L19" s="202">
        <v>8.1877289223364045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1348.1155000000001</v>
      </c>
      <c r="S19" s="62">
        <f t="shared" si="2"/>
        <v>60.363685600000018</v>
      </c>
      <c r="T19" s="63">
        <f t="shared" si="3"/>
        <v>110.38004270000003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6">
        <v>2691</v>
      </c>
      <c r="AI19" s="71">
        <v>4.58</v>
      </c>
      <c r="AJ19" s="71">
        <v>8.31</v>
      </c>
      <c r="AK19" s="62">
        <f t="shared" si="8"/>
        <v>123.2478</v>
      </c>
      <c r="AL19" s="72">
        <f t="shared" si="9"/>
        <v>223.62210000000002</v>
      </c>
      <c r="AM19" s="73">
        <f t="shared" si="15"/>
        <v>0.11549999999988358</v>
      </c>
      <c r="AN19" s="74">
        <f t="shared" si="10"/>
        <v>-0.30031439999997644</v>
      </c>
      <c r="AO19" s="74">
        <f t="shared" si="10"/>
        <v>-2.7157299999970519E-2</v>
      </c>
      <c r="AP19" s="75">
        <f t="shared" si="16"/>
        <v>-1.9179134909399005E-3</v>
      </c>
      <c r="AQ19" s="76">
        <f t="shared" si="11"/>
        <v>-152.44421294210653</v>
      </c>
      <c r="AR19" s="90">
        <f t="shared" si="12"/>
        <v>0.11549999999988358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2691</v>
      </c>
      <c r="E20" s="62">
        <v>4.58</v>
      </c>
      <c r="F20" s="62">
        <v>8.31</v>
      </c>
      <c r="G20" s="62">
        <f t="shared" si="0"/>
        <v>123.2478</v>
      </c>
      <c r="H20" s="63">
        <f t="shared" si="1"/>
        <v>223.62210000000002</v>
      </c>
      <c r="I20" s="202">
        <v>317.39999999999998</v>
      </c>
      <c r="J20" s="202">
        <v>326.92199999999997</v>
      </c>
      <c r="K20" s="202">
        <v>5.5121235034656584</v>
      </c>
      <c r="L20" s="202">
        <v>8.6463169502205428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326.92199999999997</v>
      </c>
      <c r="S20" s="62">
        <f t="shared" si="2"/>
        <v>18.020344399999995</v>
      </c>
      <c r="T20" s="63">
        <f t="shared" si="3"/>
        <v>28.266712299999998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7"/>
        <v>0</v>
      </c>
      <c r="AH20" s="96">
        <v>3018</v>
      </c>
      <c r="AI20" s="66">
        <v>4.68</v>
      </c>
      <c r="AJ20" s="66">
        <v>8.34</v>
      </c>
      <c r="AK20" s="62">
        <f t="shared" si="8"/>
        <v>141.24239999999998</v>
      </c>
      <c r="AL20" s="72">
        <f t="shared" si="9"/>
        <v>251.7012</v>
      </c>
      <c r="AM20" s="73">
        <f t="shared" si="15"/>
        <v>-7.7999999999974534E-2</v>
      </c>
      <c r="AN20" s="74">
        <f t="shared" ref="AN20:AO65" si="18">+G20+S20-AF20-AK20</f>
        <v>2.5744400000007772E-2</v>
      </c>
      <c r="AO20" s="74">
        <f t="shared" si="18"/>
        <v>0.18761230000001206</v>
      </c>
      <c r="AP20" s="75">
        <f t="shared" si="16"/>
        <v>4.6094246472150359E-3</v>
      </c>
      <c r="AQ20" s="76">
        <f t="shared" si="11"/>
        <v>68.559235717635318</v>
      </c>
      <c r="AR20" s="90">
        <f t="shared" si="12"/>
        <v>-7.7999999999974534E-2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3018</v>
      </c>
      <c r="E21" s="62">
        <v>4.68</v>
      </c>
      <c r="F21" s="62">
        <v>8.34</v>
      </c>
      <c r="G21" s="62">
        <f t="shared" si="0"/>
        <v>141.24239999999998</v>
      </c>
      <c r="H21" s="63">
        <f t="shared" si="1"/>
        <v>251.7012</v>
      </c>
      <c r="I21" s="202">
        <v>1113.8100000000002</v>
      </c>
      <c r="J21" s="202">
        <v>1147.2243000000003</v>
      </c>
      <c r="K21" s="202">
        <v>4.5278467602194263</v>
      </c>
      <c r="L21" s="202">
        <v>8.2069607922356589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1147.2243000000003</v>
      </c>
      <c r="S21" s="62">
        <f t="shared" si="2"/>
        <v>51.944558300000004</v>
      </c>
      <c r="T21" s="63">
        <f t="shared" si="3"/>
        <v>94.152248500000013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6">
        <v>4165</v>
      </c>
      <c r="AI21" s="66">
        <v>4.63</v>
      </c>
      <c r="AJ21" s="66">
        <v>8.3000000000000007</v>
      </c>
      <c r="AK21" s="62">
        <f t="shared" si="8"/>
        <v>192.83950000000002</v>
      </c>
      <c r="AL21" s="72">
        <f t="shared" si="9"/>
        <v>345.69499999999999</v>
      </c>
      <c r="AM21" s="73">
        <f t="shared" si="15"/>
        <v>0.22429999999985739</v>
      </c>
      <c r="AN21" s="74">
        <f t="shared" si="18"/>
        <v>0.34745829999997113</v>
      </c>
      <c r="AO21" s="74">
        <f t="shared" si="18"/>
        <v>0.15844850000001998</v>
      </c>
      <c r="AP21" s="75">
        <f t="shared" si="16"/>
        <v>3.46281901077109E-3</v>
      </c>
      <c r="AQ21" s="76">
        <f t="shared" si="11"/>
        <v>214.41893683619702</v>
      </c>
      <c r="AR21" s="90">
        <f t="shared" si="12"/>
        <v>0.22429999999985739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/>
      <c r="E22" s="62"/>
      <c r="F22" s="62"/>
      <c r="G22" s="62">
        <f t="shared" si="0"/>
        <v>0</v>
      </c>
      <c r="H22" s="63">
        <f t="shared" si="1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4"/>
        <v>0</v>
      </c>
      <c r="S22" s="62">
        <f t="shared" si="2"/>
        <v>0</v>
      </c>
      <c r="T22" s="63">
        <f t="shared" si="3"/>
        <v>0</v>
      </c>
      <c r="U22" s="64"/>
      <c r="V22" s="65"/>
      <c r="W22" s="66"/>
      <c r="X22" s="67"/>
      <c r="Y22" s="68"/>
      <c r="Z22" s="68"/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6"/>
      <c r="AI22" s="66"/>
      <c r="AJ22" s="66"/>
      <c r="AK22" s="62">
        <f t="shared" si="8"/>
        <v>0</v>
      </c>
      <c r="AL22" s="72">
        <f t="shared" si="9"/>
        <v>0</v>
      </c>
      <c r="AM22" s="73">
        <f t="shared" si="15"/>
        <v>0</v>
      </c>
      <c r="AN22" s="74">
        <f t="shared" si="18"/>
        <v>0</v>
      </c>
      <c r="AO22" s="74">
        <f t="shared" si="18"/>
        <v>0</v>
      </c>
      <c r="AP22" s="75" t="e">
        <f t="shared" si="16"/>
        <v>#DIV/0!</v>
      </c>
      <c r="AQ22" s="76">
        <f t="shared" si="11"/>
        <v>0</v>
      </c>
      <c r="AR22" s="90">
        <f t="shared" si="12"/>
        <v>0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/>
      <c r="E23" s="62"/>
      <c r="F23" s="62"/>
      <c r="G23" s="62">
        <f t="shared" si="0"/>
        <v>0</v>
      </c>
      <c r="H23" s="63">
        <f t="shared" si="1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4"/>
        <v>0</v>
      </c>
      <c r="S23" s="62">
        <f t="shared" si="2"/>
        <v>0</v>
      </c>
      <c r="T23" s="63">
        <f t="shared" si="3"/>
        <v>0</v>
      </c>
      <c r="U23" s="64"/>
      <c r="V23" s="65"/>
      <c r="W23" s="66"/>
      <c r="X23" s="67"/>
      <c r="Y23" s="68"/>
      <c r="Z23" s="68"/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6"/>
      <c r="AI23" s="66"/>
      <c r="AJ23" s="84"/>
      <c r="AK23" s="62">
        <f t="shared" si="8"/>
        <v>0</v>
      </c>
      <c r="AL23" s="72">
        <f t="shared" si="9"/>
        <v>0</v>
      </c>
      <c r="AM23" s="73">
        <f t="shared" si="15"/>
        <v>0</v>
      </c>
      <c r="AN23" s="74">
        <f t="shared" si="18"/>
        <v>0</v>
      </c>
      <c r="AO23" s="74">
        <f t="shared" si="18"/>
        <v>0</v>
      </c>
      <c r="AP23" s="75" t="e">
        <f t="shared" si="16"/>
        <v>#DIV/0!</v>
      </c>
      <c r="AQ23" s="76">
        <f t="shared" si="11"/>
        <v>0</v>
      </c>
      <c r="AR23" s="90">
        <f t="shared" si="12"/>
        <v>0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/>
      <c r="E24" s="62"/>
      <c r="F24" s="62"/>
      <c r="G24" s="62">
        <f t="shared" si="0"/>
        <v>0</v>
      </c>
      <c r="H24" s="63">
        <f t="shared" si="1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4"/>
        <v>0</v>
      </c>
      <c r="S24" s="62">
        <f t="shared" si="2"/>
        <v>0</v>
      </c>
      <c r="T24" s="63">
        <f t="shared" si="3"/>
        <v>0</v>
      </c>
      <c r="U24" s="64"/>
      <c r="V24" s="65"/>
      <c r="W24" s="66"/>
      <c r="X24" s="67"/>
      <c r="Y24" s="68"/>
      <c r="Z24" s="68"/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6"/>
      <c r="AI24" s="66"/>
      <c r="AJ24" s="66"/>
      <c r="AK24" s="62">
        <f t="shared" si="8"/>
        <v>0</v>
      </c>
      <c r="AL24" s="72">
        <f t="shared" si="9"/>
        <v>0</v>
      </c>
      <c r="AM24" s="73">
        <f t="shared" si="15"/>
        <v>0</v>
      </c>
      <c r="AN24" s="74">
        <f t="shared" si="18"/>
        <v>0</v>
      </c>
      <c r="AO24" s="74">
        <f t="shared" si="18"/>
        <v>0</v>
      </c>
      <c r="AP24" s="75" t="e">
        <f t="shared" si="16"/>
        <v>#DIV/0!</v>
      </c>
      <c r="AQ24" s="76">
        <f t="shared" si="11"/>
        <v>0</v>
      </c>
      <c r="AR24" s="90">
        <f t="shared" si="12"/>
        <v>0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/>
      <c r="E25" s="62"/>
      <c r="F25" s="62"/>
      <c r="G25" s="62">
        <f t="shared" si="0"/>
        <v>0</v>
      </c>
      <c r="H25" s="63">
        <f t="shared" si="1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4"/>
        <v>0</v>
      </c>
      <c r="S25" s="62">
        <f t="shared" si="2"/>
        <v>0</v>
      </c>
      <c r="T25" s="63">
        <f t="shared" si="3"/>
        <v>0</v>
      </c>
      <c r="U25" s="64"/>
      <c r="V25" s="65"/>
      <c r="W25" s="66"/>
      <c r="X25" s="67"/>
      <c r="Y25" s="68"/>
      <c r="Z25" s="68"/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6"/>
      <c r="AI25" s="66"/>
      <c r="AJ25" s="66"/>
      <c r="AK25" s="62">
        <f t="shared" si="8"/>
        <v>0</v>
      </c>
      <c r="AL25" s="72">
        <f t="shared" si="9"/>
        <v>0</v>
      </c>
      <c r="AM25" s="73">
        <f t="shared" si="15"/>
        <v>0</v>
      </c>
      <c r="AN25" s="74">
        <f t="shared" si="18"/>
        <v>0</v>
      </c>
      <c r="AO25" s="74">
        <f t="shared" si="18"/>
        <v>0</v>
      </c>
      <c r="AP25" s="75" t="e">
        <f t="shared" si="16"/>
        <v>#DIV/0!</v>
      </c>
      <c r="AQ25" s="76">
        <f t="shared" si="11"/>
        <v>0</v>
      </c>
      <c r="AR25" s="90">
        <f t="shared" si="12"/>
        <v>0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6"/>
      <c r="AI26" s="66"/>
      <c r="AJ26" s="66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6"/>
      <c r="AI27" s="66"/>
      <c r="AJ27" s="66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6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6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6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6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2"/>
      <c r="J32" s="202"/>
      <c r="K32" s="202"/>
      <c r="L32" s="202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6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6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6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6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6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6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6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6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6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6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6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6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2"/>
      <c r="J52" s="202"/>
      <c r="K52" s="202"/>
      <c r="L52" s="202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2"/>
      <c r="J53" s="202"/>
      <c r="K53" s="202"/>
      <c r="L53" s="202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2"/>
      <c r="J54" s="202"/>
      <c r="K54" s="202"/>
      <c r="L54" s="202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2"/>
      <c r="J55" s="202"/>
      <c r="K55" s="202"/>
      <c r="L55" s="202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2"/>
      <c r="J56" s="202"/>
      <c r="K56" s="202"/>
      <c r="L56" s="202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2"/>
      <c r="J57" s="202"/>
      <c r="K57" s="202"/>
      <c r="L57" s="202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2"/>
      <c r="J58" s="202"/>
      <c r="K58" s="202"/>
      <c r="L58" s="202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2"/>
      <c r="J59" s="202"/>
      <c r="K59" s="202"/>
      <c r="L59" s="202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2"/>
      <c r="J60" s="202"/>
      <c r="K60" s="202"/>
      <c r="L60" s="202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2"/>
      <c r="J61" s="202"/>
      <c r="K61" s="202"/>
      <c r="L61" s="202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2"/>
      <c r="J62" s="202"/>
      <c r="K62" s="202"/>
      <c r="L62" s="202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2"/>
      <c r="J63" s="202"/>
      <c r="K63" s="202"/>
      <c r="L63" s="202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12225.162700000001</v>
      </c>
      <c r="X66" s="77"/>
      <c r="AH66" s="77"/>
      <c r="AI66" s="77"/>
      <c r="AJ66" s="77"/>
      <c r="AM66" s="83">
        <f>-SUM(AM4:AM65)</f>
        <v>-204.1626999999994</v>
      </c>
      <c r="AN66" s="83">
        <f t="shared" ref="AN66:AO66" si="19">-SUM(AN4:AN65)</f>
        <v>-58.039519300000016</v>
      </c>
      <c r="AO66" s="83">
        <f t="shared" si="19"/>
        <v>-52.151575900000054</v>
      </c>
      <c r="AP66" s="83" t="e">
        <f>-SUM(AP4:AP65)</f>
        <v>#DIV/0!</v>
      </c>
      <c r="AQ66" s="126">
        <f>-SUM(AQ4:AQ65)</f>
        <v>-43508.810704619093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6" priority="1" operator="lessThan">
      <formula>0.1</formula>
    </cfRule>
    <cfRule type="cellIs" dxfId="115" priority="2" operator="greaterThan">
      <formula>0.1</formula>
    </cfRule>
  </conditionalFormatting>
  <conditionalFormatting sqref="AP1:AQ1">
    <cfRule type="cellIs" dxfId="114" priority="5" operator="lessThan">
      <formula>1</formula>
    </cfRule>
  </conditionalFormatting>
  <conditionalFormatting sqref="AQ4:AQ65">
    <cfRule type="cellIs" dxfId="113" priority="3" operator="lessThan">
      <formula>0</formula>
    </cfRule>
    <cfRule type="cellIs" dxfId="11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4" sqref="N4"/>
    </sheetView>
  </sheetViews>
  <sheetFormatPr defaultRowHeight="15" x14ac:dyDescent="0.25"/>
  <cols>
    <col min="1" max="1" width="3.42578125" customWidth="1"/>
    <col min="2" max="2" width="11.7109375" bestFit="1" customWidth="1"/>
    <col min="3" max="3" width="4.7109375" bestFit="1" customWidth="1"/>
    <col min="4" max="4" width="7.140625" bestFit="1" customWidth="1"/>
    <col min="5" max="5" width="6.28515625" customWidth="1"/>
    <col min="6" max="6" width="5.5703125" bestFit="1" customWidth="1"/>
    <col min="7" max="7" width="7.28515625" customWidth="1"/>
    <col min="8" max="9" width="7.5703125" bestFit="1" customWidth="1"/>
    <col min="10" max="10" width="8.7109375" bestFit="1" customWidth="1"/>
    <col min="11" max="12" width="7.28515625" bestFit="1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8.7109375" bestFit="1" customWidth="1"/>
    <col min="19" max="19" width="7.28515625" customWidth="1"/>
    <col min="20" max="20" width="7.5703125" customWidth="1"/>
    <col min="21" max="21" width="6.7109375" bestFit="1" customWidth="1"/>
    <col min="22" max="22" width="7.140625" bestFit="1" customWidth="1"/>
    <col min="23" max="23" width="12.42578125" bestFit="1" customWidth="1"/>
    <col min="24" max="24" width="7.42578125" bestFit="1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.42578125" customWidth="1"/>
    <col min="36" max="36" width="5.5703125" bestFit="1" customWidth="1"/>
    <col min="37" max="37" width="7.28515625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89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1474</v>
      </c>
      <c r="E4" s="88">
        <v>4.05</v>
      </c>
      <c r="F4" s="88">
        <v>8.18</v>
      </c>
      <c r="G4" s="62">
        <f t="shared" ref="G4" si="0">+D4*E4%</f>
        <v>59.697000000000003</v>
      </c>
      <c r="H4" s="63">
        <f t="shared" ref="H4" si="1">+D4*F4%</f>
        <v>120.5732</v>
      </c>
      <c r="I4" s="202">
        <v>4463.5</v>
      </c>
      <c r="J4" s="202">
        <v>4597.4049999999997</v>
      </c>
      <c r="K4" s="202">
        <v>4.054148090063852</v>
      </c>
      <c r="L4" s="202">
        <v>8.2085807102049984</v>
      </c>
      <c r="M4" s="58" t="s">
        <v>159</v>
      </c>
      <c r="N4" s="58" t="s">
        <v>221</v>
      </c>
      <c r="O4" s="59">
        <v>11290</v>
      </c>
      <c r="P4" s="56">
        <v>3.96</v>
      </c>
      <c r="Q4" s="60">
        <v>8.08</v>
      </c>
      <c r="R4" s="61">
        <f>+J4+O4</f>
        <v>15887.404999999999</v>
      </c>
      <c r="S4" s="62">
        <f t="shared" ref="S4" si="2">+J4*K4%+O4*P4%</f>
        <v>633.469607</v>
      </c>
      <c r="T4" s="63">
        <f t="shared" ref="T4" si="3">+J4*L4%+O4*Q4%</f>
        <v>1289.6137000000001</v>
      </c>
      <c r="U4" s="64" t="s">
        <v>213</v>
      </c>
      <c r="V4" s="65" t="s">
        <v>222</v>
      </c>
      <c r="W4" s="66" t="s">
        <v>182</v>
      </c>
      <c r="X4" s="67">
        <v>13020</v>
      </c>
      <c r="Y4" s="68">
        <v>4.0599999999999996</v>
      </c>
      <c r="Z4" s="68">
        <v>8.1199999999999992</v>
      </c>
      <c r="AA4" s="62">
        <f t="shared" ref="AA4" si="4">X4*Y4%</f>
        <v>528.61199999999997</v>
      </c>
      <c r="AB4" s="63">
        <f t="shared" ref="AB4" si="5">X4*Z4%</f>
        <v>1057.2239999999999</v>
      </c>
      <c r="AC4" s="69">
        <v>12980</v>
      </c>
      <c r="AD4" s="70">
        <v>4.0113636363636358</v>
      </c>
      <c r="AE4" s="70">
        <v>8.0822727272727271</v>
      </c>
      <c r="AF4" s="62">
        <f t="shared" ref="AF4" si="6">AC4*AD4%</f>
        <v>520.67499999999995</v>
      </c>
      <c r="AG4" s="62">
        <f t="shared" ref="AG4" si="7">AC4*AE4%</f>
        <v>1049.079</v>
      </c>
      <c r="AH4" s="89">
        <v>4342</v>
      </c>
      <c r="AI4" s="66">
        <v>3.99</v>
      </c>
      <c r="AJ4" s="66">
        <v>8.14</v>
      </c>
      <c r="AK4" s="62">
        <f t="shared" ref="AK4" si="8">AH4*AI4%</f>
        <v>173.24580000000003</v>
      </c>
      <c r="AL4" s="72">
        <f t="shared" ref="AL4" si="9">AH4*AJ4%</f>
        <v>353.43880000000001</v>
      </c>
      <c r="AM4" s="73">
        <f t="shared" ref="AM4" si="10">+D4+R4-AC4-AH4</f>
        <v>39.404999999998836</v>
      </c>
      <c r="AN4" s="74">
        <f t="shared" ref="AN4:AO4" si="11">+G4+S4-AF4-AK4</f>
        <v>-0.75419299999998657</v>
      </c>
      <c r="AO4" s="74">
        <f t="shared" si="11"/>
        <v>7.669100000000185</v>
      </c>
      <c r="AP4" s="75">
        <f t="shared" ref="AP4" si="12">(AN4+AO4)/(S4+T4)</f>
        <v>3.595739703438754E-3</v>
      </c>
      <c r="AQ4" s="76">
        <f t="shared" ref="AQ4" si="13">($AP$1*AN4+$AQ$1*AO4)</f>
        <v>1934.4128929662315</v>
      </c>
      <c r="AR4" s="90">
        <f t="shared" ref="AR4:AR65" si="14">(D4+J4+O4)-(X4+AH4)</f>
        <v>-0.59500000000116415</v>
      </c>
    </row>
    <row r="5" spans="1:44" x14ac:dyDescent="0.25">
      <c r="A5" t="str">
        <f t="shared" ref="A5:A65" si="15">CONCATENATE(B5,C5)</f>
        <v>46204E</v>
      </c>
      <c r="B5" s="51">
        <f>+B4</f>
        <v>46204</v>
      </c>
      <c r="C5" s="52" t="s">
        <v>88</v>
      </c>
      <c r="D5" s="91">
        <v>4342</v>
      </c>
      <c r="E5" s="62">
        <v>3.99</v>
      </c>
      <c r="F5" s="62">
        <v>8.14</v>
      </c>
      <c r="G5" s="62">
        <f t="shared" ref="G5:G65" si="16">+D5*E5%</f>
        <v>173.24580000000003</v>
      </c>
      <c r="H5" s="63">
        <f t="shared" ref="H5:H65" si="17">+D5*F5%</f>
        <v>353.43880000000001</v>
      </c>
      <c r="I5" s="202">
        <v>4842.3999999999987</v>
      </c>
      <c r="J5" s="202">
        <v>4987.6719999999987</v>
      </c>
      <c r="K5" s="202">
        <v>4.1320398975714516</v>
      </c>
      <c r="L5" s="202">
        <v>8.3110998678341321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4987.6719999999987</v>
      </c>
      <c r="S5" s="62">
        <f t="shared" ref="S5:S65" si="19">+J5*K5%+O5*P5%</f>
        <v>206.09259699999993</v>
      </c>
      <c r="T5" s="63">
        <f t="shared" ref="T5:T65" si="20">+J5*L5%+O5*Q5%</f>
        <v>414.53040099999987</v>
      </c>
      <c r="U5" s="64" t="s">
        <v>168</v>
      </c>
      <c r="V5" s="65" t="s">
        <v>223</v>
      </c>
      <c r="W5" s="66" t="s">
        <v>187</v>
      </c>
      <c r="X5" s="67">
        <v>9470</v>
      </c>
      <c r="Y5" s="68">
        <v>4.0999999999999996</v>
      </c>
      <c r="Z5" s="68">
        <v>8.23</v>
      </c>
      <c r="AA5" s="62">
        <f t="shared" ref="AA5:AA65" si="21">X5*Y5%</f>
        <v>388.26999999999992</v>
      </c>
      <c r="AB5" s="63">
        <f t="shared" ref="AB5:AB65" si="22">X5*Z5%</f>
        <v>779.38099999999997</v>
      </c>
      <c r="AC5" s="69">
        <v>9400</v>
      </c>
      <c r="AD5" s="70">
        <v>4.05</v>
      </c>
      <c r="AE5" s="70">
        <v>8.16</v>
      </c>
      <c r="AF5" s="62">
        <f t="shared" ref="AF5:AF65" si="23">AC5*AD5%</f>
        <v>380.7</v>
      </c>
      <c r="AG5" s="62">
        <f t="shared" ref="AG5:AG65" si="24">AC5*AE5%</f>
        <v>767.04000000000008</v>
      </c>
      <c r="AH5" s="89">
        <v>0</v>
      </c>
      <c r="AI5" s="66">
        <v>0</v>
      </c>
      <c r="AJ5" s="66">
        <v>0</v>
      </c>
      <c r="AK5" s="62">
        <f t="shared" ref="AK5:AK65" si="25">AH5*AI5%</f>
        <v>0</v>
      </c>
      <c r="AL5" s="72">
        <f t="shared" ref="AL5:AL65" si="26">AH5*AJ5%</f>
        <v>0</v>
      </c>
      <c r="AM5" s="73">
        <f t="shared" ref="AM5:AM65" si="27">+D5+R5-AC5-AH5</f>
        <v>-70.328000000001339</v>
      </c>
      <c r="AN5" s="74">
        <f t="shared" ref="AN5:AN65" si="28">+G5+S5-AF5-AK5</f>
        <v>-1.3616030000000023</v>
      </c>
      <c r="AO5" s="74">
        <f t="shared" ref="AO5:AO65" si="29">+H5+T5-AG5-AL5</f>
        <v>0.92920099999980721</v>
      </c>
      <c r="AP5" s="75">
        <f t="shared" ref="AP5:AP65" si="30">(AN5+AO5)/(S5+T5)</f>
        <v>-6.9672248916595133E-4</v>
      </c>
      <c r="AQ5" s="76">
        <f t="shared" ref="AQ5:AQ65" si="31">($AP$1*AN5+$AQ$1*AO5)</f>
        <v>-376.00712953301968</v>
      </c>
      <c r="AR5" s="90">
        <f t="shared" si="14"/>
        <v>-140.32800000000134</v>
      </c>
    </row>
    <row r="6" spans="1:44" x14ac:dyDescent="0.25">
      <c r="A6" t="str">
        <f t="shared" si="15"/>
        <v>46205M</v>
      </c>
      <c r="B6" s="51">
        <f>+B4+1</f>
        <v>46205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16"/>
        <v>0</v>
      </c>
      <c r="H6" s="63">
        <f t="shared" si="17"/>
        <v>0</v>
      </c>
      <c r="I6" s="202">
        <v>4351.7999999999993</v>
      </c>
      <c r="J6" s="202">
        <v>4482.3539999999994</v>
      </c>
      <c r="K6" s="202">
        <v>4.1616043935842635</v>
      </c>
      <c r="L6" s="202">
        <v>8.1799783997426356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4482.3539999999994</v>
      </c>
      <c r="S6" s="62">
        <f t="shared" si="19"/>
        <v>186.53784099999996</v>
      </c>
      <c r="T6" s="63">
        <f t="shared" si="20"/>
        <v>366.65558899999996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21"/>
        <v>0</v>
      </c>
      <c r="AB6" s="63">
        <f t="shared" si="22"/>
        <v>0</v>
      </c>
      <c r="AC6" s="69"/>
      <c r="AD6" s="70"/>
      <c r="AE6" s="70"/>
      <c r="AF6" s="62">
        <f t="shared" si="23"/>
        <v>0</v>
      </c>
      <c r="AG6" s="62">
        <f t="shared" si="24"/>
        <v>0</v>
      </c>
      <c r="AH6" s="89">
        <v>4377</v>
      </c>
      <c r="AI6" s="66">
        <v>4.1399999999999997</v>
      </c>
      <c r="AJ6" s="66">
        <v>8.17</v>
      </c>
      <c r="AK6" s="62">
        <f t="shared" si="25"/>
        <v>181.20779999999999</v>
      </c>
      <c r="AL6" s="72">
        <f t="shared" si="26"/>
        <v>357.60089999999997</v>
      </c>
      <c r="AM6" s="73">
        <f t="shared" si="27"/>
        <v>105.35399999999936</v>
      </c>
      <c r="AN6" s="74">
        <f t="shared" si="28"/>
        <v>5.3300409999999658</v>
      </c>
      <c r="AO6" s="74">
        <f t="shared" si="29"/>
        <v>9.0546889999999962</v>
      </c>
      <c r="AP6" s="75">
        <f t="shared" si="30"/>
        <v>2.600307454844495E-2</v>
      </c>
      <c r="AQ6" s="76">
        <f t="shared" si="31"/>
        <v>5273.0569203142695</v>
      </c>
      <c r="AR6" s="90">
        <f t="shared" si="14"/>
        <v>105.35399999999936</v>
      </c>
    </row>
    <row r="7" spans="1:44" x14ac:dyDescent="0.25">
      <c r="A7" t="str">
        <f t="shared" si="15"/>
        <v>46205E</v>
      </c>
      <c r="B7" s="51">
        <f>+B5+1</f>
        <v>46205</v>
      </c>
      <c r="C7" s="52" t="s">
        <v>88</v>
      </c>
      <c r="D7" s="91">
        <v>4377</v>
      </c>
      <c r="E7" s="62">
        <v>4.1399999999999997</v>
      </c>
      <c r="F7" s="62">
        <v>8.17</v>
      </c>
      <c r="G7" s="62">
        <f t="shared" si="16"/>
        <v>181.20779999999999</v>
      </c>
      <c r="H7" s="63">
        <f t="shared" si="17"/>
        <v>357.60089999999997</v>
      </c>
      <c r="I7" s="202">
        <v>4341.2999999999993</v>
      </c>
      <c r="J7" s="202">
        <v>4471.5389999999998</v>
      </c>
      <c r="K7" s="202">
        <v>3.8669085297030823</v>
      </c>
      <c r="L7" s="202">
        <v>8.1581784258171481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4471.5389999999998</v>
      </c>
      <c r="S7" s="62">
        <f t="shared" si="19"/>
        <v>172.91032299999989</v>
      </c>
      <c r="T7" s="63">
        <f t="shared" si="20"/>
        <v>364.79612999999978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21"/>
        <v>0</v>
      </c>
      <c r="AB7" s="63">
        <f t="shared" si="22"/>
        <v>0</v>
      </c>
      <c r="AC7" s="69"/>
      <c r="AD7" s="70"/>
      <c r="AE7" s="70"/>
      <c r="AF7" s="62">
        <f t="shared" si="23"/>
        <v>0</v>
      </c>
      <c r="AG7" s="62">
        <f t="shared" si="24"/>
        <v>0</v>
      </c>
      <c r="AH7" s="89">
        <v>8850</v>
      </c>
      <c r="AI7" s="66">
        <v>4</v>
      </c>
      <c r="AJ7" s="66">
        <v>8.17</v>
      </c>
      <c r="AK7" s="62">
        <f t="shared" si="25"/>
        <v>354</v>
      </c>
      <c r="AL7" s="72">
        <f t="shared" si="26"/>
        <v>723.04499999999996</v>
      </c>
      <c r="AM7" s="73">
        <f t="shared" si="27"/>
        <v>-1.4609999999993306</v>
      </c>
      <c r="AN7" s="74">
        <f t="shared" si="28"/>
        <v>0.11812299999985498</v>
      </c>
      <c r="AO7" s="74">
        <f t="shared" si="29"/>
        <v>-0.64797000000021399</v>
      </c>
      <c r="AP7" s="75">
        <f t="shared" si="30"/>
        <v>-9.853833760859838E-4</v>
      </c>
      <c r="AQ7" s="76">
        <f t="shared" si="31"/>
        <v>-137.29930045861727</v>
      </c>
      <c r="AR7" s="90">
        <f t="shared" si="14"/>
        <v>-1.4609999999993306</v>
      </c>
    </row>
    <row r="8" spans="1:44" x14ac:dyDescent="0.25">
      <c r="A8" t="str">
        <f t="shared" si="15"/>
        <v>46206M</v>
      </c>
      <c r="B8" s="51">
        <f>+B6+1</f>
        <v>46206</v>
      </c>
      <c r="C8" s="52" t="s">
        <v>87</v>
      </c>
      <c r="D8" s="91">
        <v>8850</v>
      </c>
      <c r="E8" s="62">
        <v>4</v>
      </c>
      <c r="F8" s="62">
        <v>8.17</v>
      </c>
      <c r="G8" s="62">
        <f t="shared" si="16"/>
        <v>354</v>
      </c>
      <c r="H8" s="63">
        <f t="shared" si="17"/>
        <v>723.04499999999996</v>
      </c>
      <c r="I8" s="202">
        <v>5235.5</v>
      </c>
      <c r="J8" s="202">
        <v>5392.5650000000005</v>
      </c>
      <c r="K8" s="202">
        <v>4.0472275809378306</v>
      </c>
      <c r="L8" s="202">
        <v>8.1323694012033201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5392.5650000000005</v>
      </c>
      <c r="S8" s="62">
        <f t="shared" si="19"/>
        <v>218.24937800000018</v>
      </c>
      <c r="T8" s="63">
        <f t="shared" si="20"/>
        <v>438.54330599999986</v>
      </c>
      <c r="U8" s="64" t="s">
        <v>311</v>
      </c>
      <c r="V8" s="65" t="s">
        <v>312</v>
      </c>
      <c r="W8" s="66" t="s">
        <v>187</v>
      </c>
      <c r="X8" s="67">
        <v>10070</v>
      </c>
      <c r="Y8" s="68">
        <v>4.2</v>
      </c>
      <c r="Z8" s="68">
        <v>8.25</v>
      </c>
      <c r="AA8" s="62">
        <f t="shared" si="21"/>
        <v>422.94000000000005</v>
      </c>
      <c r="AB8" s="63">
        <f t="shared" si="22"/>
        <v>830.77500000000009</v>
      </c>
      <c r="AC8" s="69">
        <v>10330</v>
      </c>
      <c r="AD8" s="70">
        <v>4.1500000000000004</v>
      </c>
      <c r="AE8" s="70">
        <v>8.17</v>
      </c>
      <c r="AF8" s="62">
        <f t="shared" si="23"/>
        <v>428.69500000000005</v>
      </c>
      <c r="AG8" s="62">
        <f t="shared" si="24"/>
        <v>843.9609999999999</v>
      </c>
      <c r="AH8" s="89">
        <v>4174</v>
      </c>
      <c r="AI8" s="66">
        <v>4.0199999999999996</v>
      </c>
      <c r="AJ8" s="66">
        <v>8.15</v>
      </c>
      <c r="AK8" s="62">
        <f t="shared" si="25"/>
        <v>167.79479999999998</v>
      </c>
      <c r="AL8" s="72">
        <f t="shared" si="26"/>
        <v>340.18100000000004</v>
      </c>
      <c r="AM8" s="73">
        <f t="shared" si="27"/>
        <v>-261.43499999999949</v>
      </c>
      <c r="AN8" s="74">
        <f t="shared" si="28"/>
        <v>-24.240421999999825</v>
      </c>
      <c r="AO8" s="74">
        <f t="shared" si="29"/>
        <v>-22.553694000000064</v>
      </c>
      <c r="AP8" s="75">
        <f t="shared" si="30"/>
        <v>-7.1246402616750054E-2</v>
      </c>
      <c r="AQ8" s="76">
        <f t="shared" si="31"/>
        <v>-18402.94227858229</v>
      </c>
      <c r="AR8" s="90">
        <f t="shared" ref="AR8:AR15" si="32">(D8+J8+O8)-(X8+AH8)</f>
        <v>-1.4349999999994907</v>
      </c>
    </row>
    <row r="9" spans="1:44" x14ac:dyDescent="0.25">
      <c r="A9" t="str">
        <f t="shared" si="15"/>
        <v>46206E</v>
      </c>
      <c r="B9" s="51">
        <f t="shared" ref="B9:B65" si="33">+B7+1</f>
        <v>46206</v>
      </c>
      <c r="C9" s="52" t="s">
        <v>88</v>
      </c>
      <c r="D9" s="91">
        <v>4174</v>
      </c>
      <c r="E9" s="62">
        <v>4.0199999999999996</v>
      </c>
      <c r="F9" s="62">
        <v>8.15</v>
      </c>
      <c r="G9" s="62">
        <f t="shared" si="16"/>
        <v>167.79479999999998</v>
      </c>
      <c r="H9" s="63">
        <f t="shared" si="17"/>
        <v>340.18100000000004</v>
      </c>
      <c r="I9" s="202">
        <v>4401</v>
      </c>
      <c r="J9" s="202">
        <v>4533.03</v>
      </c>
      <c r="K9" s="202">
        <v>3.9655532833446943</v>
      </c>
      <c r="L9" s="202">
        <v>8.2206339468302669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4533.03</v>
      </c>
      <c r="S9" s="62">
        <f t="shared" si="19"/>
        <v>179.75971999999999</v>
      </c>
      <c r="T9" s="63">
        <f t="shared" si="20"/>
        <v>372.64380299999999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21"/>
        <v>0</v>
      </c>
      <c r="AB9" s="63">
        <f t="shared" si="22"/>
        <v>0</v>
      </c>
      <c r="AC9" s="69"/>
      <c r="AD9" s="70"/>
      <c r="AE9" s="70"/>
      <c r="AF9" s="62">
        <f t="shared" si="23"/>
        <v>0</v>
      </c>
      <c r="AG9" s="62">
        <f t="shared" si="24"/>
        <v>0</v>
      </c>
      <c r="AH9" s="89">
        <v>8708</v>
      </c>
      <c r="AI9" s="66">
        <v>3.99</v>
      </c>
      <c r="AJ9" s="66">
        <v>8.19</v>
      </c>
      <c r="AK9" s="62">
        <f t="shared" si="25"/>
        <v>347.44920000000002</v>
      </c>
      <c r="AL9" s="72">
        <f t="shared" si="26"/>
        <v>713.18520000000001</v>
      </c>
      <c r="AM9" s="73">
        <f t="shared" si="27"/>
        <v>-0.97000000000116415</v>
      </c>
      <c r="AN9" s="74">
        <f t="shared" si="28"/>
        <v>0.10531999999994923</v>
      </c>
      <c r="AO9" s="74">
        <f t="shared" si="29"/>
        <v>-0.3603970000000345</v>
      </c>
      <c r="AP9" s="75">
        <f t="shared" si="30"/>
        <v>-4.617584598570442E-4</v>
      </c>
      <c r="AQ9" s="76">
        <f t="shared" si="31"/>
        <v>-57.326005272213678</v>
      </c>
      <c r="AR9" s="90">
        <f t="shared" si="32"/>
        <v>-0.97000000000116415</v>
      </c>
    </row>
    <row r="10" spans="1:44" x14ac:dyDescent="0.25">
      <c r="A10" t="str">
        <f t="shared" si="15"/>
        <v>46207M</v>
      </c>
      <c r="B10" s="51">
        <f t="shared" si="33"/>
        <v>46207</v>
      </c>
      <c r="C10" s="52" t="s">
        <v>87</v>
      </c>
      <c r="D10" s="91">
        <v>8708</v>
      </c>
      <c r="E10" s="62">
        <v>3.99</v>
      </c>
      <c r="F10" s="62">
        <v>8.19</v>
      </c>
      <c r="G10" s="62">
        <f t="shared" si="16"/>
        <v>347.44920000000002</v>
      </c>
      <c r="H10" s="63">
        <f t="shared" si="17"/>
        <v>713.18520000000001</v>
      </c>
      <c r="I10" s="202">
        <v>4145.3</v>
      </c>
      <c r="J10" s="202">
        <v>4269.6590000000006</v>
      </c>
      <c r="K10" s="202">
        <v>4.2052420813933846</v>
      </c>
      <c r="L10" s="202">
        <v>8.2220201191711055</v>
      </c>
      <c r="M10" s="58" t="s">
        <v>159</v>
      </c>
      <c r="N10" s="58" t="s">
        <v>309</v>
      </c>
      <c r="O10" s="59">
        <v>5900</v>
      </c>
      <c r="P10" s="56">
        <v>4.05</v>
      </c>
      <c r="Q10" s="60">
        <v>8.15</v>
      </c>
      <c r="R10" s="61">
        <f t="shared" si="18"/>
        <v>10169.659</v>
      </c>
      <c r="S10" s="62">
        <f t="shared" si="19"/>
        <v>418.49949700000002</v>
      </c>
      <c r="T10" s="63">
        <f t="shared" si="20"/>
        <v>831.90222199999994</v>
      </c>
      <c r="U10" s="64" t="s">
        <v>213</v>
      </c>
      <c r="V10" s="65" t="s">
        <v>313</v>
      </c>
      <c r="W10" s="66" t="s">
        <v>314</v>
      </c>
      <c r="X10" s="67">
        <v>15970</v>
      </c>
      <c r="Y10" s="68">
        <v>4.1900000000000004</v>
      </c>
      <c r="Z10" s="68">
        <v>8.2899999999999991</v>
      </c>
      <c r="AA10" s="62">
        <f t="shared" si="21"/>
        <v>669.14300000000014</v>
      </c>
      <c r="AB10" s="63">
        <f t="shared" si="22"/>
        <v>1323.9129999999998</v>
      </c>
      <c r="AC10" s="69">
        <v>15910</v>
      </c>
      <c r="AD10" s="70">
        <v>4.1443746071653038</v>
      </c>
      <c r="AE10" s="70">
        <v>8.2129164047768697</v>
      </c>
      <c r="AF10" s="62">
        <f t="shared" si="23"/>
        <v>659.36999999999989</v>
      </c>
      <c r="AG10" s="62">
        <f t="shared" si="24"/>
        <v>1306.675</v>
      </c>
      <c r="AH10" s="89">
        <v>2915</v>
      </c>
      <c r="AI10" s="66">
        <v>4.0599999999999996</v>
      </c>
      <c r="AJ10" s="66">
        <v>8.18</v>
      </c>
      <c r="AK10" s="62">
        <f t="shared" si="25"/>
        <v>118.34899999999999</v>
      </c>
      <c r="AL10" s="72">
        <f t="shared" si="26"/>
        <v>238.447</v>
      </c>
      <c r="AM10" s="73">
        <f t="shared" si="27"/>
        <v>52.658999999999651</v>
      </c>
      <c r="AN10" s="74">
        <f t="shared" si="28"/>
        <v>-11.770302999999842</v>
      </c>
      <c r="AO10" s="74">
        <f t="shared" si="29"/>
        <v>-3.4577999999896747E-2</v>
      </c>
      <c r="AP10" s="75">
        <f t="shared" si="30"/>
        <v>-9.4408707382781024E-3</v>
      </c>
      <c r="AQ10" s="76">
        <f t="shared" si="31"/>
        <v>-5666.3694759602786</v>
      </c>
      <c r="AR10" s="90">
        <f t="shared" si="32"/>
        <v>-7.3410000000003492</v>
      </c>
    </row>
    <row r="11" spans="1:44" ht="14.25" customHeight="1" x14ac:dyDescent="0.25">
      <c r="A11" t="str">
        <f t="shared" si="15"/>
        <v>46207E</v>
      </c>
      <c r="B11" s="51">
        <f t="shared" si="33"/>
        <v>46207</v>
      </c>
      <c r="C11" s="52" t="s">
        <v>88</v>
      </c>
      <c r="D11" s="91">
        <v>2915</v>
      </c>
      <c r="E11" s="62">
        <v>4.0599999999999996</v>
      </c>
      <c r="F11" s="62">
        <v>8.18</v>
      </c>
      <c r="G11" s="62">
        <f t="shared" si="16"/>
        <v>118.34899999999999</v>
      </c>
      <c r="H11" s="63">
        <f t="shared" si="17"/>
        <v>238.447</v>
      </c>
      <c r="I11" s="202">
        <v>4211.3</v>
      </c>
      <c r="J11" s="202">
        <v>4337.6390000000001</v>
      </c>
      <c r="K11" s="202">
        <v>4.0602474295348232</v>
      </c>
      <c r="L11" s="202">
        <v>8.1991570298957601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4337.6390000000001</v>
      </c>
      <c r="S11" s="62">
        <f t="shared" si="19"/>
        <v>176.118876</v>
      </c>
      <c r="T11" s="63">
        <f t="shared" si="20"/>
        <v>355.64983300000011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1"/>
        <v>0</v>
      </c>
      <c r="AB11" s="63">
        <f t="shared" si="22"/>
        <v>0</v>
      </c>
      <c r="AC11" s="69"/>
      <c r="AD11" s="70"/>
      <c r="AE11" s="70"/>
      <c r="AF11" s="62">
        <f t="shared" si="23"/>
        <v>0</v>
      </c>
      <c r="AG11" s="62">
        <f t="shared" si="24"/>
        <v>0</v>
      </c>
      <c r="AH11" s="89">
        <v>7254</v>
      </c>
      <c r="AI11" s="66">
        <v>4.0599999999999996</v>
      </c>
      <c r="AJ11" s="66">
        <v>8.19</v>
      </c>
      <c r="AK11" s="62">
        <f t="shared" si="25"/>
        <v>294.51239999999996</v>
      </c>
      <c r="AL11" s="72">
        <f t="shared" si="26"/>
        <v>594.10260000000005</v>
      </c>
      <c r="AM11" s="73">
        <f t="shared" si="27"/>
        <v>-1.3609999999998763</v>
      </c>
      <c r="AN11" s="74">
        <f t="shared" si="28"/>
        <v>-4.4523999999967145E-2</v>
      </c>
      <c r="AO11" s="74">
        <f t="shared" si="29"/>
        <v>-5.7669999999916399E-3</v>
      </c>
      <c r="AP11" s="75">
        <f t="shared" si="30"/>
        <v>-9.4573071240938269E-5</v>
      </c>
      <c r="AQ11" s="76">
        <f t="shared" si="31"/>
        <v>-23.122396256255961</v>
      </c>
      <c r="AR11" s="90">
        <f t="shared" si="32"/>
        <v>-1.3609999999998763</v>
      </c>
    </row>
    <row r="12" spans="1:44" x14ac:dyDescent="0.25">
      <c r="A12" t="str">
        <f t="shared" si="15"/>
        <v>46208M</v>
      </c>
      <c r="B12" s="51">
        <f t="shared" si="33"/>
        <v>46208</v>
      </c>
      <c r="C12" s="52" t="s">
        <v>87</v>
      </c>
      <c r="D12" s="91">
        <v>7254</v>
      </c>
      <c r="E12" s="62">
        <v>4.0599999999999996</v>
      </c>
      <c r="F12" s="62">
        <v>8.19</v>
      </c>
      <c r="G12" s="62">
        <f t="shared" si="16"/>
        <v>294.51239999999996</v>
      </c>
      <c r="H12" s="63">
        <f t="shared" si="17"/>
        <v>594.10260000000005</v>
      </c>
      <c r="I12" s="202">
        <v>4097.8</v>
      </c>
      <c r="J12" s="202">
        <v>4220.7340000000004</v>
      </c>
      <c r="K12" s="202">
        <v>4.4225974913368145</v>
      </c>
      <c r="L12" s="202">
        <v>8.2752623358875503</v>
      </c>
      <c r="M12" s="58" t="s">
        <v>159</v>
      </c>
      <c r="N12" s="58" t="s">
        <v>310</v>
      </c>
      <c r="O12" s="59">
        <v>6575</v>
      </c>
      <c r="P12" s="56">
        <v>3.65</v>
      </c>
      <c r="Q12" s="60">
        <v>8.15</v>
      </c>
      <c r="R12" s="61">
        <f t="shared" si="18"/>
        <v>10795.734</v>
      </c>
      <c r="S12" s="62">
        <f t="shared" si="19"/>
        <v>426.65357599999999</v>
      </c>
      <c r="T12" s="63">
        <f t="shared" si="20"/>
        <v>885.13931100000013</v>
      </c>
      <c r="U12" s="64" t="s">
        <v>311</v>
      </c>
      <c r="V12" s="65" t="s">
        <v>315</v>
      </c>
      <c r="W12" s="66" t="s">
        <v>187</v>
      </c>
      <c r="X12" s="67">
        <v>10070</v>
      </c>
      <c r="Y12" s="68">
        <v>4.3</v>
      </c>
      <c r="Z12" s="68">
        <v>8.33</v>
      </c>
      <c r="AA12" s="62">
        <f t="shared" si="21"/>
        <v>433.01</v>
      </c>
      <c r="AB12" s="63">
        <f t="shared" si="22"/>
        <v>838.83100000000002</v>
      </c>
      <c r="AC12" s="69">
        <v>10020</v>
      </c>
      <c r="AD12" s="70">
        <v>4.2516966067864272</v>
      </c>
      <c r="AE12" s="70">
        <v>8.1983033932135729</v>
      </c>
      <c r="AF12" s="62">
        <f t="shared" si="23"/>
        <v>426.02000000000004</v>
      </c>
      <c r="AG12" s="62">
        <f t="shared" si="24"/>
        <v>821.47</v>
      </c>
      <c r="AH12" s="89">
        <v>8235</v>
      </c>
      <c r="AI12" s="66">
        <v>4.0199999999999996</v>
      </c>
      <c r="AJ12" s="66">
        <v>8.1999999999999993</v>
      </c>
      <c r="AK12" s="62">
        <f t="shared" si="25"/>
        <v>331.04699999999991</v>
      </c>
      <c r="AL12" s="72">
        <f t="shared" si="26"/>
        <v>675.26999999999987</v>
      </c>
      <c r="AM12" s="73">
        <f t="shared" si="27"/>
        <v>-205.26599999999962</v>
      </c>
      <c r="AN12" s="74">
        <f t="shared" si="28"/>
        <v>-35.90102399999995</v>
      </c>
      <c r="AO12" s="74">
        <f t="shared" si="29"/>
        <v>-17.498088999999823</v>
      </c>
      <c r="AP12" s="75">
        <f t="shared" si="30"/>
        <v>-4.0706969468420187E-2</v>
      </c>
      <c r="AQ12" s="76">
        <f t="shared" si="31"/>
        <v>-22492.132360577591</v>
      </c>
      <c r="AR12" s="90">
        <f t="shared" si="32"/>
        <v>-255.26599999999962</v>
      </c>
    </row>
    <row r="13" spans="1:44" x14ac:dyDescent="0.25">
      <c r="A13" t="str">
        <f t="shared" si="15"/>
        <v>46208E</v>
      </c>
      <c r="B13" s="51">
        <f t="shared" si="33"/>
        <v>46208</v>
      </c>
      <c r="C13" s="52" t="s">
        <v>88</v>
      </c>
      <c r="D13" s="91">
        <v>8235</v>
      </c>
      <c r="E13" s="62">
        <v>4.0199999999999996</v>
      </c>
      <c r="F13" s="62">
        <v>8.1999999999999993</v>
      </c>
      <c r="G13" s="62">
        <f t="shared" si="16"/>
        <v>331.04699999999991</v>
      </c>
      <c r="H13" s="63">
        <f t="shared" si="17"/>
        <v>675.26999999999987</v>
      </c>
      <c r="I13" s="202">
        <v>5341.8000000000011</v>
      </c>
      <c r="J13" s="202">
        <v>5502.054000000001</v>
      </c>
      <c r="K13" s="202">
        <v>4.0856565202740649</v>
      </c>
      <c r="L13" s="202">
        <v>8.1371915833614121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5502.054000000001</v>
      </c>
      <c r="S13" s="62">
        <f t="shared" si="19"/>
        <v>224.79502800000003</v>
      </c>
      <c r="T13" s="63">
        <f t="shared" si="20"/>
        <v>447.71267499999999</v>
      </c>
      <c r="U13" s="64" t="s">
        <v>168</v>
      </c>
      <c r="V13" s="65" t="s">
        <v>316</v>
      </c>
      <c r="W13" s="66" t="s">
        <v>182</v>
      </c>
      <c r="X13" s="67">
        <v>9870</v>
      </c>
      <c r="Y13" s="68">
        <v>4.05</v>
      </c>
      <c r="Z13" s="68">
        <v>8.2799999999999994</v>
      </c>
      <c r="AA13" s="62">
        <f t="shared" si="21"/>
        <v>399.73500000000001</v>
      </c>
      <c r="AB13" s="63">
        <f t="shared" si="22"/>
        <v>817.23599999999999</v>
      </c>
      <c r="AC13" s="69">
        <v>9840</v>
      </c>
      <c r="AD13" s="70">
        <v>3.8499999999999996</v>
      </c>
      <c r="AE13" s="70">
        <v>8.1799999999999979</v>
      </c>
      <c r="AF13" s="62">
        <f t="shared" si="23"/>
        <v>378.84</v>
      </c>
      <c r="AG13" s="62">
        <f t="shared" si="24"/>
        <v>804.91199999999981</v>
      </c>
      <c r="AH13" s="89">
        <v>3918</v>
      </c>
      <c r="AI13" s="66">
        <v>4.05</v>
      </c>
      <c r="AJ13" s="66">
        <v>8.18</v>
      </c>
      <c r="AK13" s="62">
        <f t="shared" si="25"/>
        <v>158.679</v>
      </c>
      <c r="AL13" s="72">
        <f t="shared" si="26"/>
        <v>320.49239999999998</v>
      </c>
      <c r="AM13" s="73">
        <f t="shared" si="27"/>
        <v>-20.945999999999913</v>
      </c>
      <c r="AN13" s="74">
        <f t="shared" si="28"/>
        <v>18.323027999999937</v>
      </c>
      <c r="AO13" s="74">
        <f t="shared" si="29"/>
        <v>-2.4217250000000377</v>
      </c>
      <c r="AP13" s="75">
        <f t="shared" si="30"/>
        <v>2.3644789389125998E-2</v>
      </c>
      <c r="AQ13" s="76">
        <f t="shared" si="31"/>
        <v>8079.5262250019114</v>
      </c>
      <c r="AR13" s="90">
        <f t="shared" si="32"/>
        <v>-50.945999999999913</v>
      </c>
    </row>
    <row r="14" spans="1:44" x14ac:dyDescent="0.25">
      <c r="A14" t="str">
        <f t="shared" si="15"/>
        <v>46209M</v>
      </c>
      <c r="B14" s="51">
        <f t="shared" si="33"/>
        <v>46209</v>
      </c>
      <c r="C14" s="52" t="s">
        <v>87</v>
      </c>
      <c r="D14" s="91">
        <v>3918</v>
      </c>
      <c r="E14" s="62">
        <v>4.05</v>
      </c>
      <c r="F14" s="62">
        <v>8.18</v>
      </c>
      <c r="G14" s="62">
        <f t="shared" si="16"/>
        <v>158.679</v>
      </c>
      <c r="H14" s="63">
        <f t="shared" si="17"/>
        <v>320.49239999999998</v>
      </c>
      <c r="I14" s="202">
        <v>4272</v>
      </c>
      <c r="J14" s="202">
        <v>4400.16</v>
      </c>
      <c r="K14" s="202">
        <v>4.3904049625468184</v>
      </c>
      <c r="L14" s="202">
        <v>8.3346722846441974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4400.16</v>
      </c>
      <c r="S14" s="62">
        <f t="shared" si="19"/>
        <v>193.18484300000009</v>
      </c>
      <c r="T14" s="63">
        <f t="shared" si="20"/>
        <v>366.73891600000007</v>
      </c>
      <c r="U14" s="64" t="s">
        <v>311</v>
      </c>
      <c r="V14" s="65" t="s">
        <v>317</v>
      </c>
      <c r="W14" s="66" t="s">
        <v>187</v>
      </c>
      <c r="X14" s="67">
        <v>10070</v>
      </c>
      <c r="Y14" s="68">
        <v>4.3</v>
      </c>
      <c r="Z14" s="68">
        <v>8.33</v>
      </c>
      <c r="AA14" s="62">
        <f t="shared" si="21"/>
        <v>433.01</v>
      </c>
      <c r="AB14" s="63">
        <f t="shared" si="22"/>
        <v>838.83100000000002</v>
      </c>
      <c r="AC14" s="69">
        <v>10030</v>
      </c>
      <c r="AD14" s="70">
        <v>4.1257228315054837</v>
      </c>
      <c r="AE14" s="70">
        <v>7.9902891326021939</v>
      </c>
      <c r="AF14" s="62">
        <f t="shared" si="23"/>
        <v>413.81</v>
      </c>
      <c r="AG14" s="62">
        <f t="shared" si="24"/>
        <v>801.42600000000004</v>
      </c>
      <c r="AH14" s="89">
        <v>0</v>
      </c>
      <c r="AI14" s="66">
        <v>0</v>
      </c>
      <c r="AJ14" s="66">
        <v>0</v>
      </c>
      <c r="AK14" s="62">
        <f t="shared" si="25"/>
        <v>0</v>
      </c>
      <c r="AL14" s="72">
        <f t="shared" si="26"/>
        <v>0</v>
      </c>
      <c r="AM14" s="73">
        <f t="shared" si="27"/>
        <v>-1711.8400000000001</v>
      </c>
      <c r="AN14" s="74">
        <f t="shared" si="28"/>
        <v>-61.946156999999914</v>
      </c>
      <c r="AO14" s="74">
        <f t="shared" si="29"/>
        <v>-114.19468399999994</v>
      </c>
      <c r="AP14" s="75">
        <f t="shared" si="30"/>
        <v>-0.3145800444592311</v>
      </c>
      <c r="AQ14" s="76">
        <f t="shared" si="31"/>
        <v>-63967.43580305748</v>
      </c>
      <c r="AR14" s="90">
        <f t="shared" si="32"/>
        <v>-1751.8400000000001</v>
      </c>
    </row>
    <row r="15" spans="1:44" x14ac:dyDescent="0.25">
      <c r="A15" t="str">
        <f t="shared" si="15"/>
        <v>46209E</v>
      </c>
      <c r="B15" s="51">
        <f t="shared" si="33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16"/>
        <v>0</v>
      </c>
      <c r="H15" s="63">
        <f t="shared" si="17"/>
        <v>0</v>
      </c>
      <c r="I15" s="202">
        <v>4406</v>
      </c>
      <c r="J15" s="202">
        <v>4538.18</v>
      </c>
      <c r="K15" s="202">
        <v>4.0982682705401707</v>
      </c>
      <c r="L15" s="202">
        <v>8.2560485701316395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4538.18</v>
      </c>
      <c r="S15" s="62">
        <f t="shared" si="19"/>
        <v>185.98679099999993</v>
      </c>
      <c r="T15" s="63">
        <f t="shared" si="20"/>
        <v>374.67434500000007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1"/>
        <v>0</v>
      </c>
      <c r="AB15" s="63">
        <f t="shared" si="22"/>
        <v>0</v>
      </c>
      <c r="AC15" s="69"/>
      <c r="AD15" s="70"/>
      <c r="AE15" s="70"/>
      <c r="AF15" s="62">
        <f t="shared" si="23"/>
        <v>0</v>
      </c>
      <c r="AG15" s="62">
        <f t="shared" si="24"/>
        <v>0</v>
      </c>
      <c r="AH15" s="89">
        <v>4539</v>
      </c>
      <c r="AI15" s="66">
        <v>4.0999999999999996</v>
      </c>
      <c r="AJ15" s="66">
        <v>8.26</v>
      </c>
      <c r="AK15" s="62">
        <f t="shared" si="25"/>
        <v>186.09899999999999</v>
      </c>
      <c r="AL15" s="72">
        <f t="shared" si="26"/>
        <v>374.92139999999995</v>
      </c>
      <c r="AM15" s="73">
        <f t="shared" si="27"/>
        <v>-0.81999999999970896</v>
      </c>
      <c r="AN15" s="74">
        <f t="shared" si="28"/>
        <v>-0.11220900000006395</v>
      </c>
      <c r="AO15" s="74">
        <f t="shared" si="29"/>
        <v>-0.24705499999987524</v>
      </c>
      <c r="AP15" s="75">
        <f t="shared" si="30"/>
        <v>-6.4078634478409652E-4</v>
      </c>
      <c r="AQ15" s="76">
        <f t="shared" si="31"/>
        <v>-127.91084959200307</v>
      </c>
      <c r="AR15" s="90">
        <f t="shared" si="32"/>
        <v>-0.81999999999970896</v>
      </c>
    </row>
    <row r="16" spans="1:44" x14ac:dyDescent="0.25">
      <c r="A16" t="str">
        <f t="shared" si="15"/>
        <v>46210M</v>
      </c>
      <c r="B16" s="51">
        <f t="shared" si="33"/>
        <v>46210</v>
      </c>
      <c r="C16" s="52" t="s">
        <v>87</v>
      </c>
      <c r="D16" s="91">
        <v>4539</v>
      </c>
      <c r="E16" s="62">
        <v>4.0999999999999996</v>
      </c>
      <c r="F16" s="62">
        <v>8.26</v>
      </c>
      <c r="G16" s="62">
        <f t="shared" si="16"/>
        <v>186.09899999999999</v>
      </c>
      <c r="H16" s="63">
        <f t="shared" si="17"/>
        <v>374.92139999999995</v>
      </c>
      <c r="I16" s="202">
        <v>4827.7000000000016</v>
      </c>
      <c r="J16" s="202">
        <v>4972.5310000000018</v>
      </c>
      <c r="K16" s="202">
        <v>4.1540775110300983</v>
      </c>
      <c r="L16" s="202">
        <v>8.2609669200654565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4972.5310000000018</v>
      </c>
      <c r="S16" s="62">
        <f t="shared" si="19"/>
        <v>206.56279200000014</v>
      </c>
      <c r="T16" s="63">
        <f t="shared" si="20"/>
        <v>410.77914100000015</v>
      </c>
      <c r="U16" s="64" t="s">
        <v>189</v>
      </c>
      <c r="V16" s="65" t="s">
        <v>387</v>
      </c>
      <c r="W16" s="66" t="s">
        <v>187</v>
      </c>
      <c r="X16" s="67">
        <v>10000</v>
      </c>
      <c r="Y16" s="68">
        <v>4.25</v>
      </c>
      <c r="Z16" s="68">
        <v>8.26</v>
      </c>
      <c r="AA16" s="62">
        <f t="shared" si="21"/>
        <v>425.00000000000006</v>
      </c>
      <c r="AB16" s="63">
        <f t="shared" si="22"/>
        <v>825.99999999999989</v>
      </c>
      <c r="AC16" s="69">
        <v>9970</v>
      </c>
      <c r="AD16" s="70">
        <v>4.2</v>
      </c>
      <c r="AE16" s="70">
        <v>8.19</v>
      </c>
      <c r="AF16" s="62">
        <f t="shared" si="23"/>
        <v>418.74</v>
      </c>
      <c r="AG16" s="62">
        <f t="shared" si="24"/>
        <v>816.54300000000001</v>
      </c>
      <c r="AH16" s="89">
        <v>150</v>
      </c>
      <c r="AI16" s="66">
        <v>4.17</v>
      </c>
      <c r="AJ16" s="66">
        <v>8.27</v>
      </c>
      <c r="AK16" s="62">
        <f t="shared" si="25"/>
        <v>6.2549999999999999</v>
      </c>
      <c r="AL16" s="72">
        <f t="shared" si="26"/>
        <v>12.404999999999999</v>
      </c>
      <c r="AM16" s="73">
        <f t="shared" si="27"/>
        <v>-608.46899999999732</v>
      </c>
      <c r="AN16" s="74">
        <f t="shared" si="28"/>
        <v>-32.333207999999907</v>
      </c>
      <c r="AO16" s="74">
        <f t="shared" si="29"/>
        <v>-43.24745899999985</v>
      </c>
      <c r="AP16" s="75">
        <f t="shared" si="30"/>
        <v>-0.12242918058832028</v>
      </c>
      <c r="AQ16" s="76">
        <f t="shared" si="31"/>
        <v>-28489.387733868662</v>
      </c>
      <c r="AR16" s="90">
        <f t="shared" si="14"/>
        <v>-638.46899999999732</v>
      </c>
    </row>
    <row r="17" spans="1:48" x14ac:dyDescent="0.25">
      <c r="A17" t="str">
        <f t="shared" si="15"/>
        <v>46210E</v>
      </c>
      <c r="B17" s="51">
        <f t="shared" si="33"/>
        <v>46210</v>
      </c>
      <c r="C17" s="52" t="s">
        <v>88</v>
      </c>
      <c r="D17" s="91">
        <v>150</v>
      </c>
      <c r="E17" s="62">
        <v>4.17</v>
      </c>
      <c r="F17" s="62">
        <v>8.27</v>
      </c>
      <c r="G17" s="62">
        <f t="shared" si="16"/>
        <v>6.2549999999999999</v>
      </c>
      <c r="H17" s="63">
        <f t="shared" si="17"/>
        <v>12.404999999999999</v>
      </c>
      <c r="I17" s="202">
        <v>4737</v>
      </c>
      <c r="J17" s="202">
        <v>4879.1099999999997</v>
      </c>
      <c r="K17" s="202">
        <v>4.022581802828797</v>
      </c>
      <c r="L17" s="202">
        <v>8.2189972556470359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4879.1099999999997</v>
      </c>
      <c r="S17" s="62">
        <f t="shared" si="19"/>
        <v>196.26619100000011</v>
      </c>
      <c r="T17" s="63">
        <f t="shared" si="20"/>
        <v>401.01391700000005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21"/>
        <v>0</v>
      </c>
      <c r="AB17" s="63">
        <f t="shared" si="22"/>
        <v>0</v>
      </c>
      <c r="AC17" s="69"/>
      <c r="AD17" s="70"/>
      <c r="AE17" s="70"/>
      <c r="AF17" s="62">
        <f t="shared" si="23"/>
        <v>0</v>
      </c>
      <c r="AG17" s="62">
        <f t="shared" si="24"/>
        <v>0</v>
      </c>
      <c r="AH17" s="89">
        <v>5030</v>
      </c>
      <c r="AI17" s="66">
        <v>4.03</v>
      </c>
      <c r="AJ17" s="66">
        <v>8.2200000000000006</v>
      </c>
      <c r="AK17" s="62">
        <f t="shared" si="25"/>
        <v>202.709</v>
      </c>
      <c r="AL17" s="72">
        <f t="shared" si="26"/>
        <v>413.46600000000007</v>
      </c>
      <c r="AM17" s="73">
        <f t="shared" si="27"/>
        <v>-0.89000000000032742</v>
      </c>
      <c r="AN17" s="74">
        <f t="shared" si="28"/>
        <v>-0.18780899999990197</v>
      </c>
      <c r="AO17" s="74">
        <f t="shared" si="29"/>
        <v>-4.7083000000043285E-2</v>
      </c>
      <c r="AP17" s="75">
        <f t="shared" si="30"/>
        <v>-3.9326941723621776E-4</v>
      </c>
      <c r="AQ17" s="76">
        <f t="shared" si="31"/>
        <v>-104.34927635469248</v>
      </c>
      <c r="AR17" s="90">
        <f t="shared" si="14"/>
        <v>-0.89000000000032742</v>
      </c>
    </row>
    <row r="18" spans="1:48" x14ac:dyDescent="0.25">
      <c r="A18" t="str">
        <f t="shared" si="15"/>
        <v>46211M</v>
      </c>
      <c r="B18" s="51">
        <f t="shared" si="33"/>
        <v>46211</v>
      </c>
      <c r="C18" s="52" t="s">
        <v>87</v>
      </c>
      <c r="D18" s="91">
        <v>5030</v>
      </c>
      <c r="E18" s="62">
        <v>4.03</v>
      </c>
      <c r="F18" s="62">
        <v>8.2200000000000006</v>
      </c>
      <c r="G18" s="62">
        <f t="shared" si="16"/>
        <v>202.709</v>
      </c>
      <c r="H18" s="63">
        <f t="shared" si="17"/>
        <v>413.46600000000007</v>
      </c>
      <c r="I18" s="202">
        <v>5330.0000000000018</v>
      </c>
      <c r="J18" s="202">
        <v>5489.9000000000024</v>
      </c>
      <c r="K18" s="202">
        <v>4.2379793621013135</v>
      </c>
      <c r="L18" s="202">
        <v>8.1835459662288965</v>
      </c>
      <c r="M18" s="58" t="s">
        <v>159</v>
      </c>
      <c r="N18" s="58" t="s">
        <v>386</v>
      </c>
      <c r="O18" s="59">
        <v>2274</v>
      </c>
      <c r="P18" s="56">
        <v>3.7</v>
      </c>
      <c r="Q18" s="60">
        <v>8.14</v>
      </c>
      <c r="R18" s="61">
        <f t="shared" si="18"/>
        <v>7763.9000000000024</v>
      </c>
      <c r="S18" s="62">
        <f t="shared" si="19"/>
        <v>316.79882900000013</v>
      </c>
      <c r="T18" s="63">
        <f t="shared" si="20"/>
        <v>634.3720900000003</v>
      </c>
      <c r="U18" s="64" t="s">
        <v>168</v>
      </c>
      <c r="V18" s="65" t="s">
        <v>388</v>
      </c>
      <c r="W18" s="66" t="s">
        <v>187</v>
      </c>
      <c r="X18" s="67">
        <v>9870</v>
      </c>
      <c r="Y18" s="68">
        <v>4.0999999999999996</v>
      </c>
      <c r="Z18" s="68">
        <v>8.2899999999999991</v>
      </c>
      <c r="AA18" s="62">
        <f t="shared" si="21"/>
        <v>404.66999999999996</v>
      </c>
      <c r="AB18" s="63">
        <f t="shared" si="22"/>
        <v>818.22299999999984</v>
      </c>
      <c r="AC18" s="69">
        <v>9830</v>
      </c>
      <c r="AD18" s="70">
        <v>4.05</v>
      </c>
      <c r="AE18" s="70">
        <v>8.2200000000000006</v>
      </c>
      <c r="AF18" s="62">
        <f t="shared" si="23"/>
        <v>398.11500000000001</v>
      </c>
      <c r="AG18" s="62">
        <f t="shared" si="24"/>
        <v>808.02600000000007</v>
      </c>
      <c r="AH18" s="89">
        <v>2924</v>
      </c>
      <c r="AI18" s="66">
        <v>4.0599999999999996</v>
      </c>
      <c r="AJ18" s="66">
        <v>8.19</v>
      </c>
      <c r="AK18" s="62">
        <f t="shared" si="25"/>
        <v>118.7144</v>
      </c>
      <c r="AL18" s="72">
        <f t="shared" si="26"/>
        <v>239.47560000000001</v>
      </c>
      <c r="AM18" s="73">
        <f t="shared" si="27"/>
        <v>39.900000000001455</v>
      </c>
      <c r="AN18" s="74">
        <f t="shared" si="28"/>
        <v>2.6784290000001221</v>
      </c>
      <c r="AO18" s="74">
        <f t="shared" si="29"/>
        <v>0.3364900000003388</v>
      </c>
      <c r="AP18" s="75">
        <f t="shared" si="30"/>
        <v>3.1696921549810961E-3</v>
      </c>
      <c r="AQ18" s="76">
        <f t="shared" si="31"/>
        <v>1387.8480671845141</v>
      </c>
      <c r="AR18" s="90">
        <f>(D18+J18+O18)-(X18+AH18)</f>
        <v>-9.9999999998544808E-2</v>
      </c>
    </row>
    <row r="19" spans="1:48" x14ac:dyDescent="0.25">
      <c r="A19" t="str">
        <f t="shared" si="15"/>
        <v>46211E</v>
      </c>
      <c r="B19" s="51">
        <f t="shared" si="33"/>
        <v>46211</v>
      </c>
      <c r="C19" s="52" t="s">
        <v>88</v>
      </c>
      <c r="D19" s="91">
        <v>2924</v>
      </c>
      <c r="E19" s="62">
        <v>4.0599999999999996</v>
      </c>
      <c r="F19" s="62">
        <v>8.19</v>
      </c>
      <c r="G19" s="62">
        <f t="shared" si="16"/>
        <v>118.7144</v>
      </c>
      <c r="H19" s="63">
        <f t="shared" si="17"/>
        <v>239.47560000000001</v>
      </c>
      <c r="I19" s="202">
        <v>4775.5000000000009</v>
      </c>
      <c r="J19" s="202">
        <v>4918.7650000000012</v>
      </c>
      <c r="K19" s="202">
        <v>4.1291466862108672</v>
      </c>
      <c r="L19" s="202">
        <v>8.1674714689561299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4918.7650000000012</v>
      </c>
      <c r="S19" s="62">
        <f t="shared" si="19"/>
        <v>203.10302200000004</v>
      </c>
      <c r="T19" s="63">
        <f t="shared" si="20"/>
        <v>401.73872800000004</v>
      </c>
      <c r="U19" s="64" t="s">
        <v>210</v>
      </c>
      <c r="V19" s="65" t="s">
        <v>389</v>
      </c>
      <c r="W19" s="66" t="s">
        <v>182</v>
      </c>
      <c r="X19" s="67">
        <v>5200</v>
      </c>
      <c r="Y19" s="68">
        <v>4.25</v>
      </c>
      <c r="Z19" s="68">
        <v>8.32</v>
      </c>
      <c r="AA19" s="62">
        <f t="shared" si="21"/>
        <v>221.00000000000003</v>
      </c>
      <c r="AB19" s="63">
        <f t="shared" si="22"/>
        <v>432.64</v>
      </c>
      <c r="AC19" s="69">
        <v>5230</v>
      </c>
      <c r="AD19" s="70">
        <v>4.2</v>
      </c>
      <c r="AE19" s="70">
        <v>8.25</v>
      </c>
      <c r="AF19" s="62">
        <f t="shared" si="23"/>
        <v>219.66000000000003</v>
      </c>
      <c r="AG19" s="62">
        <f t="shared" si="24"/>
        <v>431.47500000000002</v>
      </c>
      <c r="AH19" s="89">
        <v>2646</v>
      </c>
      <c r="AI19" s="66">
        <v>4.0999999999999996</v>
      </c>
      <c r="AJ19" s="66">
        <v>8.18</v>
      </c>
      <c r="AK19" s="62">
        <f t="shared" si="25"/>
        <v>108.48599999999999</v>
      </c>
      <c r="AL19" s="72">
        <f t="shared" si="26"/>
        <v>216.44280000000001</v>
      </c>
      <c r="AM19" s="73">
        <f t="shared" si="27"/>
        <v>-33.234999999998763</v>
      </c>
      <c r="AN19" s="74">
        <f t="shared" si="28"/>
        <v>-6.3285779999999932</v>
      </c>
      <c r="AO19" s="74">
        <f t="shared" si="29"/>
        <v>-6.703472000000005</v>
      </c>
      <c r="AP19" s="75">
        <f t="shared" si="30"/>
        <v>-2.1546214361029142E-2</v>
      </c>
      <c r="AQ19" s="76">
        <f t="shared" si="31"/>
        <v>-5048.7178878598152</v>
      </c>
      <c r="AR19" s="90">
        <f>(D19+J19+O19)-(X19+AH19)</f>
        <v>-3.2349999999987631</v>
      </c>
    </row>
    <row r="20" spans="1:48" x14ac:dyDescent="0.25">
      <c r="A20" t="str">
        <f t="shared" si="15"/>
        <v>46212M</v>
      </c>
      <c r="B20" s="51">
        <f t="shared" si="33"/>
        <v>46212</v>
      </c>
      <c r="C20" s="52" t="s">
        <v>87</v>
      </c>
      <c r="D20" s="91">
        <v>2646</v>
      </c>
      <c r="E20" s="62">
        <v>4.0999999999999996</v>
      </c>
      <c r="F20" s="62">
        <v>8.18</v>
      </c>
      <c r="G20" s="62">
        <f t="shared" si="16"/>
        <v>108.48599999999999</v>
      </c>
      <c r="H20" s="63">
        <f t="shared" si="17"/>
        <v>216.44280000000001</v>
      </c>
      <c r="I20" s="202">
        <v>5505.6999999999989</v>
      </c>
      <c r="J20" s="202">
        <v>5670.8709999999992</v>
      </c>
      <c r="K20" s="202">
        <v>4.2201645567321133</v>
      </c>
      <c r="L20" s="202">
        <v>8.1765661042192637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5670.8709999999992</v>
      </c>
      <c r="S20" s="62">
        <f t="shared" si="19"/>
        <v>239.32008799999991</v>
      </c>
      <c r="T20" s="63">
        <f t="shared" si="20"/>
        <v>463.68251599999996</v>
      </c>
      <c r="U20" s="64" t="s">
        <v>167</v>
      </c>
      <c r="V20" s="65" t="s">
        <v>180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1"/>
        <v>0</v>
      </c>
      <c r="AB20" s="63">
        <f t="shared" si="22"/>
        <v>0</v>
      </c>
      <c r="AC20" s="69"/>
      <c r="AD20" s="70"/>
      <c r="AE20" s="70"/>
      <c r="AF20" s="62">
        <f t="shared" si="23"/>
        <v>0</v>
      </c>
      <c r="AG20" s="62">
        <f t="shared" si="24"/>
        <v>0</v>
      </c>
      <c r="AH20" s="89">
        <v>8332</v>
      </c>
      <c r="AI20" s="66">
        <v>4.18</v>
      </c>
      <c r="AJ20" s="66">
        <v>8.18</v>
      </c>
      <c r="AK20" s="62">
        <f t="shared" si="25"/>
        <v>348.27759999999995</v>
      </c>
      <c r="AL20" s="72">
        <f t="shared" si="26"/>
        <v>681.55759999999998</v>
      </c>
      <c r="AM20" s="73">
        <f t="shared" si="27"/>
        <v>-15.129000000000815</v>
      </c>
      <c r="AN20" s="74">
        <f t="shared" si="28"/>
        <v>-0.47151200000001836</v>
      </c>
      <c r="AO20" s="74">
        <f t="shared" si="29"/>
        <v>-1.4322839999999815</v>
      </c>
      <c r="AP20" s="75">
        <f t="shared" si="30"/>
        <v>-2.7080923870944867E-3</v>
      </c>
      <c r="AQ20" s="76">
        <f t="shared" si="31"/>
        <v>-655.53316910612659</v>
      </c>
      <c r="AR20" s="90">
        <f>(D20+J20+O20)-(X20+AH20)</f>
        <v>-15.129000000000815</v>
      </c>
    </row>
    <row r="21" spans="1:48" x14ac:dyDescent="0.25">
      <c r="A21" t="str">
        <f t="shared" si="15"/>
        <v>46212E</v>
      </c>
      <c r="B21" s="51">
        <f t="shared" si="33"/>
        <v>46212</v>
      </c>
      <c r="C21" s="52" t="s">
        <v>88</v>
      </c>
      <c r="D21" s="91">
        <v>8332</v>
      </c>
      <c r="E21" s="62">
        <v>4.18</v>
      </c>
      <c r="F21" s="62">
        <v>8.18</v>
      </c>
      <c r="G21" s="62">
        <f t="shared" si="16"/>
        <v>348.27759999999995</v>
      </c>
      <c r="H21" s="63">
        <f t="shared" si="17"/>
        <v>681.55759999999998</v>
      </c>
      <c r="I21" s="202">
        <v>6786.0000000000027</v>
      </c>
      <c r="J21" s="202">
        <v>6989.5800000000027</v>
      </c>
      <c r="K21" s="202">
        <v>4.1389419392867648</v>
      </c>
      <c r="L21" s="202">
        <v>8.2670453875626251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6989.5800000000027</v>
      </c>
      <c r="S21" s="62">
        <f t="shared" si="19"/>
        <v>289.29465799999997</v>
      </c>
      <c r="T21" s="63">
        <f t="shared" si="20"/>
        <v>577.83175099999994</v>
      </c>
      <c r="U21" s="64" t="s">
        <v>168</v>
      </c>
      <c r="V21" s="65" t="s">
        <v>390</v>
      </c>
      <c r="W21" s="66" t="s">
        <v>182</v>
      </c>
      <c r="X21" s="67">
        <v>9870</v>
      </c>
      <c r="Y21" s="68">
        <v>4.3</v>
      </c>
      <c r="Z21" s="68">
        <v>8.39</v>
      </c>
      <c r="AA21" s="62">
        <f t="shared" si="21"/>
        <v>424.40999999999997</v>
      </c>
      <c r="AB21" s="63">
        <f t="shared" si="22"/>
        <v>828.09300000000007</v>
      </c>
      <c r="AC21" s="215">
        <v>9870</v>
      </c>
      <c r="AD21" s="216">
        <v>4.3</v>
      </c>
      <c r="AE21" s="216">
        <v>8.39</v>
      </c>
      <c r="AF21" s="62">
        <f t="shared" si="23"/>
        <v>424.40999999999997</v>
      </c>
      <c r="AG21" s="62">
        <f t="shared" si="24"/>
        <v>828.09300000000007</v>
      </c>
      <c r="AH21" s="89">
        <v>3047</v>
      </c>
      <c r="AI21" s="66">
        <v>4.12</v>
      </c>
      <c r="AJ21" s="66">
        <v>8.2100000000000009</v>
      </c>
      <c r="AK21" s="62">
        <f t="shared" si="25"/>
        <v>125.5364</v>
      </c>
      <c r="AL21" s="72">
        <f t="shared" si="26"/>
        <v>250.15870000000001</v>
      </c>
      <c r="AM21" s="73">
        <f t="shared" si="27"/>
        <v>2404.5800000000017</v>
      </c>
      <c r="AN21" s="74">
        <f t="shared" si="28"/>
        <v>87.625857999999951</v>
      </c>
      <c r="AO21" s="74">
        <f t="shared" si="29"/>
        <v>181.13765099999972</v>
      </c>
      <c r="AP21" s="75">
        <f t="shared" si="30"/>
        <v>0.30994732280146675</v>
      </c>
      <c r="AQ21" s="76">
        <f t="shared" si="31"/>
        <v>96356.190572033709</v>
      </c>
      <c r="AR21" s="90">
        <f>(D21+J21+O21)-(X21+AH21)</f>
        <v>2404.5800000000017</v>
      </c>
    </row>
    <row r="22" spans="1:48" x14ac:dyDescent="0.25">
      <c r="A22" t="str">
        <f t="shared" si="15"/>
        <v>46213M</v>
      </c>
      <c r="B22" s="51">
        <f t="shared" si="33"/>
        <v>46213</v>
      </c>
      <c r="C22" s="52" t="s">
        <v>87</v>
      </c>
      <c r="D22" s="91"/>
      <c r="E22" s="62"/>
      <c r="F22" s="62"/>
      <c r="G22" s="62">
        <f t="shared" si="16"/>
        <v>0</v>
      </c>
      <c r="H22" s="63">
        <f t="shared" si="17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8"/>
        <v>0</v>
      </c>
      <c r="S22" s="62">
        <f t="shared" si="19"/>
        <v>0</v>
      </c>
      <c r="T22" s="63">
        <f t="shared" si="20"/>
        <v>0</v>
      </c>
      <c r="U22" s="64"/>
      <c r="V22" s="65"/>
      <c r="W22" s="66"/>
      <c r="X22" s="67"/>
      <c r="Y22" s="68"/>
      <c r="Z22" s="68"/>
      <c r="AA22" s="62">
        <f t="shared" si="21"/>
        <v>0</v>
      </c>
      <c r="AB22" s="63">
        <f t="shared" si="22"/>
        <v>0</v>
      </c>
      <c r="AC22" s="69"/>
      <c r="AD22" s="70"/>
      <c r="AE22" s="70"/>
      <c r="AF22" s="62">
        <f t="shared" si="23"/>
        <v>0</v>
      </c>
      <c r="AG22" s="62">
        <f t="shared" si="24"/>
        <v>0</v>
      </c>
      <c r="AH22" s="89"/>
      <c r="AI22" s="66"/>
      <c r="AJ22" s="66"/>
      <c r="AK22" s="62">
        <f t="shared" si="25"/>
        <v>0</v>
      </c>
      <c r="AL22" s="72">
        <f t="shared" si="26"/>
        <v>0</v>
      </c>
      <c r="AM22" s="73">
        <f t="shared" si="27"/>
        <v>0</v>
      </c>
      <c r="AN22" s="74">
        <f t="shared" si="28"/>
        <v>0</v>
      </c>
      <c r="AO22" s="74">
        <f t="shared" si="29"/>
        <v>0</v>
      </c>
      <c r="AP22" s="75" t="e">
        <f t="shared" si="30"/>
        <v>#DIV/0!</v>
      </c>
      <c r="AQ22" s="76">
        <f t="shared" si="31"/>
        <v>0</v>
      </c>
      <c r="AR22" s="90">
        <f t="shared" si="14"/>
        <v>0</v>
      </c>
      <c r="AT22" s="83"/>
      <c r="AU22" s="83"/>
    </row>
    <row r="23" spans="1:48" x14ac:dyDescent="0.25">
      <c r="A23" t="str">
        <f t="shared" si="15"/>
        <v>46213E</v>
      </c>
      <c r="B23" s="51">
        <f t="shared" si="33"/>
        <v>46213</v>
      </c>
      <c r="C23" s="52" t="s">
        <v>88</v>
      </c>
      <c r="D23" s="91"/>
      <c r="E23" s="62"/>
      <c r="F23" s="62"/>
      <c r="G23" s="62">
        <f t="shared" si="16"/>
        <v>0</v>
      </c>
      <c r="H23" s="63">
        <f t="shared" si="17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8"/>
        <v>0</v>
      </c>
      <c r="S23" s="62">
        <f t="shared" si="19"/>
        <v>0</v>
      </c>
      <c r="T23" s="63">
        <f t="shared" si="20"/>
        <v>0</v>
      </c>
      <c r="U23" s="64"/>
      <c r="V23" s="65"/>
      <c r="W23" s="66"/>
      <c r="X23" s="67"/>
      <c r="Y23" s="68"/>
      <c r="Z23" s="68"/>
      <c r="AA23" s="62">
        <f t="shared" si="21"/>
        <v>0</v>
      </c>
      <c r="AB23" s="63">
        <f t="shared" si="22"/>
        <v>0</v>
      </c>
      <c r="AC23" s="69"/>
      <c r="AD23" s="70"/>
      <c r="AE23" s="70"/>
      <c r="AF23" s="62">
        <f t="shared" si="23"/>
        <v>0</v>
      </c>
      <c r="AG23" s="62">
        <f t="shared" si="24"/>
        <v>0</v>
      </c>
      <c r="AH23" s="89"/>
      <c r="AI23" s="66"/>
      <c r="AJ23" s="66"/>
      <c r="AK23" s="62">
        <f t="shared" si="25"/>
        <v>0</v>
      </c>
      <c r="AL23" s="72">
        <f t="shared" si="26"/>
        <v>0</v>
      </c>
      <c r="AM23" s="73">
        <f t="shared" si="27"/>
        <v>0</v>
      </c>
      <c r="AN23" s="74">
        <f t="shared" si="28"/>
        <v>0</v>
      </c>
      <c r="AO23" s="74">
        <f t="shared" si="29"/>
        <v>0</v>
      </c>
      <c r="AP23" s="75" t="e">
        <f t="shared" si="30"/>
        <v>#DIV/0!</v>
      </c>
      <c r="AQ23" s="76">
        <f t="shared" si="31"/>
        <v>0</v>
      </c>
      <c r="AR23" s="90">
        <f t="shared" si="14"/>
        <v>0</v>
      </c>
      <c r="AU23" s="83"/>
    </row>
    <row r="24" spans="1:48" x14ac:dyDescent="0.25">
      <c r="A24" t="str">
        <f t="shared" si="15"/>
        <v>46214M</v>
      </c>
      <c r="B24" s="51">
        <f t="shared" si="33"/>
        <v>46214</v>
      </c>
      <c r="C24" s="52" t="s">
        <v>87</v>
      </c>
      <c r="D24" s="91"/>
      <c r="E24" s="62"/>
      <c r="F24" s="62"/>
      <c r="G24" s="62">
        <f t="shared" si="16"/>
        <v>0</v>
      </c>
      <c r="H24" s="63">
        <f t="shared" si="17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8"/>
        <v>0</v>
      </c>
      <c r="S24" s="62">
        <f t="shared" si="19"/>
        <v>0</v>
      </c>
      <c r="T24" s="63">
        <f t="shared" si="20"/>
        <v>0</v>
      </c>
      <c r="U24" s="64"/>
      <c r="V24" s="65"/>
      <c r="W24" s="66"/>
      <c r="X24" s="67"/>
      <c r="Y24" s="68"/>
      <c r="Z24" s="68"/>
      <c r="AA24" s="62">
        <f t="shared" si="21"/>
        <v>0</v>
      </c>
      <c r="AB24" s="63">
        <f t="shared" si="22"/>
        <v>0</v>
      </c>
      <c r="AC24" s="69"/>
      <c r="AD24" s="70"/>
      <c r="AE24" s="70"/>
      <c r="AF24" s="62">
        <f t="shared" si="23"/>
        <v>0</v>
      </c>
      <c r="AG24" s="62">
        <f t="shared" si="24"/>
        <v>0</v>
      </c>
      <c r="AH24" s="89"/>
      <c r="AI24" s="66"/>
      <c r="AJ24" s="66"/>
      <c r="AK24" s="62">
        <f t="shared" si="25"/>
        <v>0</v>
      </c>
      <c r="AL24" s="72">
        <f t="shared" si="26"/>
        <v>0</v>
      </c>
      <c r="AM24" s="73">
        <f t="shared" si="27"/>
        <v>0</v>
      </c>
      <c r="AN24" s="74">
        <f t="shared" si="28"/>
        <v>0</v>
      </c>
      <c r="AO24" s="74">
        <f t="shared" si="29"/>
        <v>0</v>
      </c>
      <c r="AP24" s="75" t="e">
        <f t="shared" si="30"/>
        <v>#DIV/0!</v>
      </c>
      <c r="AQ24" s="76">
        <f t="shared" si="31"/>
        <v>0</v>
      </c>
      <c r="AR24" s="90">
        <f t="shared" si="14"/>
        <v>0</v>
      </c>
      <c r="AT24" s="77"/>
      <c r="AU24" s="77"/>
      <c r="AV24" s="77"/>
    </row>
    <row r="25" spans="1:48" x14ac:dyDescent="0.25">
      <c r="A25" t="str">
        <f t="shared" si="15"/>
        <v>46214E</v>
      </c>
      <c r="B25" s="51">
        <f t="shared" si="33"/>
        <v>46214</v>
      </c>
      <c r="C25" s="52" t="s">
        <v>88</v>
      </c>
      <c r="D25" s="91"/>
      <c r="E25" s="62"/>
      <c r="F25" s="62"/>
      <c r="G25" s="62">
        <f t="shared" si="16"/>
        <v>0</v>
      </c>
      <c r="H25" s="63">
        <f t="shared" si="17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8"/>
        <v>0</v>
      </c>
      <c r="S25" s="62">
        <f t="shared" si="19"/>
        <v>0</v>
      </c>
      <c r="T25" s="63">
        <f t="shared" si="20"/>
        <v>0</v>
      </c>
      <c r="U25" s="64"/>
      <c r="V25" s="65"/>
      <c r="W25" s="66"/>
      <c r="X25" s="67"/>
      <c r="Y25" s="68"/>
      <c r="Z25" s="68"/>
      <c r="AA25" s="62">
        <f t="shared" si="21"/>
        <v>0</v>
      </c>
      <c r="AB25" s="63">
        <f t="shared" si="22"/>
        <v>0</v>
      </c>
      <c r="AC25" s="69"/>
      <c r="AD25" s="70"/>
      <c r="AE25" s="70"/>
      <c r="AF25" s="62">
        <f t="shared" si="23"/>
        <v>0</v>
      </c>
      <c r="AG25" s="62">
        <f t="shared" si="24"/>
        <v>0</v>
      </c>
      <c r="AH25" s="89"/>
      <c r="AI25" s="66"/>
      <c r="AJ25" s="66"/>
      <c r="AK25" s="62">
        <f t="shared" si="25"/>
        <v>0</v>
      </c>
      <c r="AL25" s="72">
        <f t="shared" si="26"/>
        <v>0</v>
      </c>
      <c r="AM25" s="73">
        <f t="shared" si="27"/>
        <v>0</v>
      </c>
      <c r="AN25" s="74">
        <f t="shared" si="28"/>
        <v>0</v>
      </c>
      <c r="AO25" s="74">
        <f t="shared" si="29"/>
        <v>0</v>
      </c>
      <c r="AP25" s="75" t="e">
        <f t="shared" si="30"/>
        <v>#DIV/0!</v>
      </c>
      <c r="AQ25" s="76">
        <f t="shared" si="31"/>
        <v>0</v>
      </c>
      <c r="AR25" s="90">
        <f t="shared" si="14"/>
        <v>0</v>
      </c>
    </row>
    <row r="26" spans="1:48" x14ac:dyDescent="0.25">
      <c r="A26" t="str">
        <f t="shared" si="15"/>
        <v>46215M</v>
      </c>
      <c r="B26" s="51">
        <f t="shared" si="33"/>
        <v>46215</v>
      </c>
      <c r="C26" s="52" t="s">
        <v>87</v>
      </c>
      <c r="D26" s="91"/>
      <c r="E26" s="62"/>
      <c r="F26" s="62"/>
      <c r="G26" s="62">
        <f t="shared" si="16"/>
        <v>0</v>
      </c>
      <c r="H26" s="63">
        <f t="shared" si="17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8"/>
        <v>0</v>
      </c>
      <c r="S26" s="62">
        <f t="shared" si="19"/>
        <v>0</v>
      </c>
      <c r="T26" s="63">
        <f t="shared" si="20"/>
        <v>0</v>
      </c>
      <c r="U26" s="64"/>
      <c r="V26" s="65"/>
      <c r="W26" s="66"/>
      <c r="X26" s="67"/>
      <c r="Y26" s="68"/>
      <c r="Z26" s="68"/>
      <c r="AA26" s="62">
        <f t="shared" si="21"/>
        <v>0</v>
      </c>
      <c r="AB26" s="63">
        <f t="shared" si="22"/>
        <v>0</v>
      </c>
      <c r="AC26" s="69"/>
      <c r="AD26" s="70"/>
      <c r="AE26" s="70"/>
      <c r="AF26" s="62">
        <f t="shared" si="23"/>
        <v>0</v>
      </c>
      <c r="AG26" s="62">
        <f t="shared" si="24"/>
        <v>0</v>
      </c>
      <c r="AH26" s="89"/>
      <c r="AI26" s="66"/>
      <c r="AJ26" s="66"/>
      <c r="AK26" s="62">
        <f t="shared" si="25"/>
        <v>0</v>
      </c>
      <c r="AL26" s="72">
        <f t="shared" si="26"/>
        <v>0</v>
      </c>
      <c r="AM26" s="73">
        <f t="shared" si="27"/>
        <v>0</v>
      </c>
      <c r="AN26" s="74">
        <f t="shared" si="28"/>
        <v>0</v>
      </c>
      <c r="AO26" s="74">
        <f t="shared" si="29"/>
        <v>0</v>
      </c>
      <c r="AP26" s="75" t="e">
        <f t="shared" si="30"/>
        <v>#DIV/0!</v>
      </c>
      <c r="AQ26" s="76">
        <f t="shared" si="31"/>
        <v>0</v>
      </c>
      <c r="AR26" s="90">
        <f t="shared" si="14"/>
        <v>0</v>
      </c>
    </row>
    <row r="27" spans="1:48" x14ac:dyDescent="0.25">
      <c r="A27" t="str">
        <f t="shared" si="15"/>
        <v>46215E</v>
      </c>
      <c r="B27" s="51">
        <f t="shared" si="33"/>
        <v>46215</v>
      </c>
      <c r="C27" s="52" t="s">
        <v>88</v>
      </c>
      <c r="D27" s="91"/>
      <c r="E27" s="62"/>
      <c r="F27" s="62"/>
      <c r="G27" s="62">
        <f t="shared" si="16"/>
        <v>0</v>
      </c>
      <c r="H27" s="63">
        <f t="shared" si="17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8"/>
        <v>0</v>
      </c>
      <c r="S27" s="62">
        <f t="shared" si="19"/>
        <v>0</v>
      </c>
      <c r="T27" s="63">
        <f t="shared" si="20"/>
        <v>0</v>
      </c>
      <c r="U27" s="64"/>
      <c r="V27" s="65"/>
      <c r="W27" s="66"/>
      <c r="X27" s="67"/>
      <c r="Y27" s="68"/>
      <c r="Z27" s="68"/>
      <c r="AA27" s="62">
        <f t="shared" si="21"/>
        <v>0</v>
      </c>
      <c r="AB27" s="63">
        <f t="shared" si="22"/>
        <v>0</v>
      </c>
      <c r="AC27" s="69"/>
      <c r="AD27" s="70"/>
      <c r="AE27" s="70"/>
      <c r="AF27" s="62">
        <f t="shared" si="23"/>
        <v>0</v>
      </c>
      <c r="AG27" s="62">
        <f t="shared" si="24"/>
        <v>0</v>
      </c>
      <c r="AH27" s="89"/>
      <c r="AI27" s="66"/>
      <c r="AJ27" s="66"/>
      <c r="AK27" s="62">
        <f t="shared" si="25"/>
        <v>0</v>
      </c>
      <c r="AL27" s="72">
        <f t="shared" si="26"/>
        <v>0</v>
      </c>
      <c r="AM27" s="73">
        <f t="shared" si="27"/>
        <v>0</v>
      </c>
      <c r="AN27" s="74">
        <f t="shared" si="28"/>
        <v>0</v>
      </c>
      <c r="AO27" s="74">
        <f t="shared" si="29"/>
        <v>0</v>
      </c>
      <c r="AP27" s="75" t="e">
        <f t="shared" si="30"/>
        <v>#DIV/0!</v>
      </c>
      <c r="AQ27" s="76">
        <f t="shared" si="31"/>
        <v>0</v>
      </c>
      <c r="AR27" s="90">
        <f t="shared" si="14"/>
        <v>0</v>
      </c>
    </row>
    <row r="28" spans="1:48" x14ac:dyDescent="0.25">
      <c r="A28" t="str">
        <f t="shared" si="15"/>
        <v>46216M</v>
      </c>
      <c r="B28" s="51">
        <f t="shared" si="33"/>
        <v>46216</v>
      </c>
      <c r="C28" s="52" t="s">
        <v>87</v>
      </c>
      <c r="D28" s="91"/>
      <c r="E28" s="62"/>
      <c r="F28" s="62"/>
      <c r="G28" s="62">
        <f t="shared" si="16"/>
        <v>0</v>
      </c>
      <c r="H28" s="63">
        <f t="shared" si="17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8"/>
        <v>0</v>
      </c>
      <c r="S28" s="62">
        <f t="shared" si="19"/>
        <v>0</v>
      </c>
      <c r="T28" s="63">
        <f t="shared" si="20"/>
        <v>0</v>
      </c>
      <c r="U28" s="64"/>
      <c r="V28" s="65"/>
      <c r="W28" s="66"/>
      <c r="X28" s="67"/>
      <c r="Y28" s="68"/>
      <c r="Z28" s="68"/>
      <c r="AA28" s="62">
        <f t="shared" si="21"/>
        <v>0</v>
      </c>
      <c r="AB28" s="63">
        <f t="shared" si="22"/>
        <v>0</v>
      </c>
      <c r="AC28" s="69"/>
      <c r="AD28" s="70"/>
      <c r="AE28" s="70"/>
      <c r="AF28" s="62">
        <f t="shared" si="23"/>
        <v>0</v>
      </c>
      <c r="AG28" s="62">
        <f t="shared" si="24"/>
        <v>0</v>
      </c>
      <c r="AH28" s="89"/>
      <c r="AI28" s="66"/>
      <c r="AJ28" s="66"/>
      <c r="AK28" s="62">
        <f t="shared" si="25"/>
        <v>0</v>
      </c>
      <c r="AL28" s="72">
        <f t="shared" si="26"/>
        <v>0</v>
      </c>
      <c r="AM28" s="73">
        <f t="shared" si="27"/>
        <v>0</v>
      </c>
      <c r="AN28" s="74">
        <f t="shared" si="28"/>
        <v>0</v>
      </c>
      <c r="AO28" s="74">
        <f t="shared" si="29"/>
        <v>0</v>
      </c>
      <c r="AP28" s="75" t="e">
        <f t="shared" si="30"/>
        <v>#DIV/0!</v>
      </c>
      <c r="AQ28" s="76">
        <f t="shared" si="31"/>
        <v>0</v>
      </c>
      <c r="AR28" s="90">
        <f t="shared" si="14"/>
        <v>0</v>
      </c>
    </row>
    <row r="29" spans="1:48" x14ac:dyDescent="0.25">
      <c r="A29" t="str">
        <f t="shared" si="15"/>
        <v>46216E</v>
      </c>
      <c r="B29" s="51">
        <f t="shared" si="33"/>
        <v>46216</v>
      </c>
      <c r="C29" s="52" t="s">
        <v>88</v>
      </c>
      <c r="D29" s="91"/>
      <c r="E29" s="62"/>
      <c r="F29" s="62"/>
      <c r="G29" s="62">
        <f t="shared" si="16"/>
        <v>0</v>
      </c>
      <c r="H29" s="63">
        <f t="shared" si="17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8"/>
        <v>0</v>
      </c>
      <c r="S29" s="62">
        <f t="shared" si="19"/>
        <v>0</v>
      </c>
      <c r="T29" s="63">
        <f t="shared" si="20"/>
        <v>0</v>
      </c>
      <c r="U29" s="64"/>
      <c r="V29" s="65"/>
      <c r="W29" s="66"/>
      <c r="X29" s="67"/>
      <c r="Y29" s="68"/>
      <c r="Z29" s="68"/>
      <c r="AA29" s="62">
        <f t="shared" si="21"/>
        <v>0</v>
      </c>
      <c r="AB29" s="63">
        <f t="shared" si="22"/>
        <v>0</v>
      </c>
      <c r="AC29" s="69"/>
      <c r="AD29" s="70"/>
      <c r="AE29" s="70"/>
      <c r="AF29" s="62">
        <f t="shared" si="23"/>
        <v>0</v>
      </c>
      <c r="AG29" s="62">
        <f t="shared" si="24"/>
        <v>0</v>
      </c>
      <c r="AH29" s="89"/>
      <c r="AI29" s="66"/>
      <c r="AJ29" s="66"/>
      <c r="AK29" s="62">
        <f t="shared" si="25"/>
        <v>0</v>
      </c>
      <c r="AL29" s="72">
        <f t="shared" si="26"/>
        <v>0</v>
      </c>
      <c r="AM29" s="73">
        <f t="shared" si="27"/>
        <v>0</v>
      </c>
      <c r="AN29" s="74">
        <f t="shared" si="28"/>
        <v>0</v>
      </c>
      <c r="AO29" s="74">
        <f t="shared" si="29"/>
        <v>0</v>
      </c>
      <c r="AP29" s="75" t="e">
        <f t="shared" si="30"/>
        <v>#DIV/0!</v>
      </c>
      <c r="AQ29" s="76">
        <f t="shared" si="31"/>
        <v>0</v>
      </c>
      <c r="AR29" s="90">
        <f t="shared" si="14"/>
        <v>0</v>
      </c>
    </row>
    <row r="30" spans="1:48" x14ac:dyDescent="0.25">
      <c r="A30" t="str">
        <f t="shared" si="15"/>
        <v>46217M</v>
      </c>
      <c r="B30" s="51">
        <f t="shared" si="33"/>
        <v>46217</v>
      </c>
      <c r="C30" s="52" t="s">
        <v>87</v>
      </c>
      <c r="D30" s="91"/>
      <c r="E30" s="62"/>
      <c r="F30" s="62"/>
      <c r="G30" s="62">
        <f t="shared" si="16"/>
        <v>0</v>
      </c>
      <c r="H30" s="63">
        <f t="shared" si="17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8"/>
        <v>0</v>
      </c>
      <c r="S30" s="62">
        <f t="shared" si="19"/>
        <v>0</v>
      </c>
      <c r="T30" s="63">
        <f t="shared" si="20"/>
        <v>0</v>
      </c>
      <c r="U30" s="64"/>
      <c r="V30" s="65"/>
      <c r="W30" s="66"/>
      <c r="X30" s="67"/>
      <c r="Y30" s="68"/>
      <c r="Z30" s="68"/>
      <c r="AA30" s="62">
        <f t="shared" si="21"/>
        <v>0</v>
      </c>
      <c r="AB30" s="63">
        <f t="shared" si="22"/>
        <v>0</v>
      </c>
      <c r="AC30" s="69"/>
      <c r="AD30" s="70"/>
      <c r="AE30" s="70"/>
      <c r="AF30" s="62">
        <f t="shared" si="23"/>
        <v>0</v>
      </c>
      <c r="AG30" s="62">
        <f t="shared" si="24"/>
        <v>0</v>
      </c>
      <c r="AH30" s="89"/>
      <c r="AI30" s="66"/>
      <c r="AJ30" s="66"/>
      <c r="AK30" s="62">
        <f t="shared" si="25"/>
        <v>0</v>
      </c>
      <c r="AL30" s="72">
        <f t="shared" si="26"/>
        <v>0</v>
      </c>
      <c r="AM30" s="73">
        <f t="shared" si="27"/>
        <v>0</v>
      </c>
      <c r="AN30" s="74">
        <f t="shared" si="28"/>
        <v>0</v>
      </c>
      <c r="AO30" s="74">
        <f t="shared" si="29"/>
        <v>0</v>
      </c>
      <c r="AP30" s="75" t="e">
        <f t="shared" si="30"/>
        <v>#DIV/0!</v>
      </c>
      <c r="AQ30" s="76">
        <f t="shared" si="31"/>
        <v>0</v>
      </c>
      <c r="AR30" s="90">
        <f t="shared" si="14"/>
        <v>0</v>
      </c>
    </row>
    <row r="31" spans="1:48" x14ac:dyDescent="0.25">
      <c r="A31" t="str">
        <f t="shared" si="15"/>
        <v>46217E</v>
      </c>
      <c r="B31" s="51">
        <f t="shared" si="33"/>
        <v>46217</v>
      </c>
      <c r="C31" s="52" t="s">
        <v>88</v>
      </c>
      <c r="D31" s="91"/>
      <c r="E31" s="62"/>
      <c r="F31" s="62"/>
      <c r="G31" s="62">
        <f t="shared" si="16"/>
        <v>0</v>
      </c>
      <c r="H31" s="63">
        <f t="shared" si="17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8"/>
        <v>0</v>
      </c>
      <c r="S31" s="62">
        <f t="shared" si="19"/>
        <v>0</v>
      </c>
      <c r="T31" s="63">
        <f t="shared" si="20"/>
        <v>0</v>
      </c>
      <c r="U31" s="64"/>
      <c r="V31" s="65"/>
      <c r="W31" s="66"/>
      <c r="X31" s="67"/>
      <c r="Y31" s="68"/>
      <c r="Z31" s="68"/>
      <c r="AA31" s="62">
        <f t="shared" si="21"/>
        <v>0</v>
      </c>
      <c r="AB31" s="63">
        <f t="shared" si="22"/>
        <v>0</v>
      </c>
      <c r="AC31" s="69"/>
      <c r="AD31" s="70"/>
      <c r="AE31" s="70"/>
      <c r="AF31" s="62">
        <f t="shared" si="23"/>
        <v>0</v>
      </c>
      <c r="AG31" s="62">
        <f t="shared" si="24"/>
        <v>0</v>
      </c>
      <c r="AH31" s="89"/>
      <c r="AI31" s="66"/>
      <c r="AJ31" s="66"/>
      <c r="AK31" s="62">
        <f t="shared" si="25"/>
        <v>0</v>
      </c>
      <c r="AL31" s="72">
        <f t="shared" si="26"/>
        <v>0</v>
      </c>
      <c r="AM31" s="73">
        <f t="shared" si="27"/>
        <v>0</v>
      </c>
      <c r="AN31" s="74">
        <f t="shared" si="28"/>
        <v>0</v>
      </c>
      <c r="AO31" s="74">
        <f t="shared" si="29"/>
        <v>0</v>
      </c>
      <c r="AP31" s="75" t="e">
        <f t="shared" si="30"/>
        <v>#DIV/0!</v>
      </c>
      <c r="AQ31" s="76">
        <f t="shared" si="31"/>
        <v>0</v>
      </c>
      <c r="AR31" s="90">
        <f t="shared" si="14"/>
        <v>0</v>
      </c>
    </row>
    <row r="32" spans="1:48" x14ac:dyDescent="0.25">
      <c r="A32" t="str">
        <f t="shared" si="15"/>
        <v>46218M</v>
      </c>
      <c r="B32" s="51">
        <f t="shared" si="33"/>
        <v>46218</v>
      </c>
      <c r="C32" s="52" t="s">
        <v>87</v>
      </c>
      <c r="D32" s="91"/>
      <c r="E32" s="62"/>
      <c r="F32" s="62"/>
      <c r="G32" s="62">
        <f t="shared" si="16"/>
        <v>0</v>
      </c>
      <c r="H32" s="63">
        <f t="shared" si="17"/>
        <v>0</v>
      </c>
      <c r="I32" s="202"/>
      <c r="J32" s="202"/>
      <c r="K32" s="202"/>
      <c r="L32" s="202"/>
      <c r="M32" s="58"/>
      <c r="N32" s="57"/>
      <c r="O32" s="59"/>
      <c r="P32" s="56"/>
      <c r="Q32" s="60"/>
      <c r="R32" s="61">
        <f t="shared" si="18"/>
        <v>0</v>
      </c>
      <c r="S32" s="62">
        <f t="shared" si="19"/>
        <v>0</v>
      </c>
      <c r="T32" s="63">
        <f t="shared" si="20"/>
        <v>0</v>
      </c>
      <c r="U32" s="64"/>
      <c r="V32" s="65"/>
      <c r="W32" s="66"/>
      <c r="X32" s="67"/>
      <c r="Y32" s="68"/>
      <c r="Z32" s="68"/>
      <c r="AA32" s="62">
        <f t="shared" si="21"/>
        <v>0</v>
      </c>
      <c r="AB32" s="63">
        <f t="shared" si="22"/>
        <v>0</v>
      </c>
      <c r="AC32" s="69"/>
      <c r="AD32" s="70"/>
      <c r="AE32" s="70"/>
      <c r="AF32" s="62">
        <f t="shared" si="23"/>
        <v>0</v>
      </c>
      <c r="AG32" s="62">
        <f t="shared" si="24"/>
        <v>0</v>
      </c>
      <c r="AH32" s="89"/>
      <c r="AI32" s="66"/>
      <c r="AJ32" s="66"/>
      <c r="AK32" s="62">
        <f t="shared" si="25"/>
        <v>0</v>
      </c>
      <c r="AL32" s="72">
        <f t="shared" si="26"/>
        <v>0</v>
      </c>
      <c r="AM32" s="73">
        <f t="shared" si="27"/>
        <v>0</v>
      </c>
      <c r="AN32" s="74">
        <f t="shared" si="28"/>
        <v>0</v>
      </c>
      <c r="AO32" s="74">
        <f t="shared" si="29"/>
        <v>0</v>
      </c>
      <c r="AP32" s="75" t="e">
        <f t="shared" si="30"/>
        <v>#DIV/0!</v>
      </c>
      <c r="AQ32" s="76">
        <f t="shared" si="31"/>
        <v>0</v>
      </c>
      <c r="AR32" s="90">
        <f t="shared" si="14"/>
        <v>0</v>
      </c>
    </row>
    <row r="33" spans="1:44" x14ac:dyDescent="0.25">
      <c r="A33" t="str">
        <f t="shared" si="15"/>
        <v>46218E</v>
      </c>
      <c r="B33" s="51">
        <f t="shared" si="33"/>
        <v>46218</v>
      </c>
      <c r="C33" s="52" t="s">
        <v>88</v>
      </c>
      <c r="D33" s="91"/>
      <c r="E33" s="62"/>
      <c r="F33" s="62"/>
      <c r="G33" s="62">
        <f t="shared" si="16"/>
        <v>0</v>
      </c>
      <c r="H33" s="63">
        <f t="shared" si="17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8"/>
        <v>0</v>
      </c>
      <c r="S33" s="62">
        <f t="shared" si="19"/>
        <v>0</v>
      </c>
      <c r="T33" s="63">
        <f t="shared" si="20"/>
        <v>0</v>
      </c>
      <c r="U33" s="64"/>
      <c r="V33" s="65"/>
      <c r="W33" s="66"/>
      <c r="X33" s="67"/>
      <c r="Y33" s="68"/>
      <c r="Z33" s="68"/>
      <c r="AA33" s="62">
        <f t="shared" si="21"/>
        <v>0</v>
      </c>
      <c r="AB33" s="63">
        <f t="shared" si="22"/>
        <v>0</v>
      </c>
      <c r="AC33" s="69"/>
      <c r="AD33" s="70"/>
      <c r="AE33" s="70"/>
      <c r="AF33" s="62">
        <f t="shared" si="23"/>
        <v>0</v>
      </c>
      <c r="AG33" s="62">
        <f t="shared" si="24"/>
        <v>0</v>
      </c>
      <c r="AH33" s="89"/>
      <c r="AI33" s="66"/>
      <c r="AJ33" s="66"/>
      <c r="AK33" s="62">
        <f t="shared" si="25"/>
        <v>0</v>
      </c>
      <c r="AL33" s="72">
        <f t="shared" si="26"/>
        <v>0</v>
      </c>
      <c r="AM33" s="73">
        <f t="shared" si="27"/>
        <v>0</v>
      </c>
      <c r="AN33" s="74">
        <f t="shared" si="28"/>
        <v>0</v>
      </c>
      <c r="AO33" s="74">
        <f t="shared" si="29"/>
        <v>0</v>
      </c>
      <c r="AP33" s="75" t="e">
        <f t="shared" si="30"/>
        <v>#DIV/0!</v>
      </c>
      <c r="AQ33" s="76">
        <f t="shared" si="31"/>
        <v>0</v>
      </c>
      <c r="AR33" s="90">
        <f t="shared" si="14"/>
        <v>0</v>
      </c>
    </row>
    <row r="34" spans="1:44" x14ac:dyDescent="0.25">
      <c r="A34" t="str">
        <f t="shared" si="15"/>
        <v>46219M</v>
      </c>
      <c r="B34" s="51">
        <f t="shared" si="33"/>
        <v>46219</v>
      </c>
      <c r="C34" s="52" t="s">
        <v>87</v>
      </c>
      <c r="D34" s="91"/>
      <c r="E34" s="62"/>
      <c r="F34" s="62"/>
      <c r="G34" s="62">
        <f t="shared" si="16"/>
        <v>0</v>
      </c>
      <c r="H34" s="63">
        <f t="shared" si="17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8"/>
        <v>0</v>
      </c>
      <c r="S34" s="62">
        <f t="shared" si="19"/>
        <v>0</v>
      </c>
      <c r="T34" s="63">
        <f t="shared" si="20"/>
        <v>0</v>
      </c>
      <c r="U34" s="64"/>
      <c r="V34" s="65"/>
      <c r="W34" s="66"/>
      <c r="X34" s="67"/>
      <c r="Y34" s="68"/>
      <c r="Z34" s="68"/>
      <c r="AA34" s="62">
        <f t="shared" si="21"/>
        <v>0</v>
      </c>
      <c r="AB34" s="63">
        <f t="shared" si="22"/>
        <v>0</v>
      </c>
      <c r="AC34" s="69"/>
      <c r="AD34" s="70"/>
      <c r="AE34" s="70"/>
      <c r="AF34" s="62">
        <f t="shared" si="23"/>
        <v>0</v>
      </c>
      <c r="AG34" s="62">
        <f t="shared" si="24"/>
        <v>0</v>
      </c>
      <c r="AH34" s="89"/>
      <c r="AI34" s="66"/>
      <c r="AJ34" s="66"/>
      <c r="AK34" s="62">
        <f t="shared" si="25"/>
        <v>0</v>
      </c>
      <c r="AL34" s="72">
        <f t="shared" si="26"/>
        <v>0</v>
      </c>
      <c r="AM34" s="73">
        <f t="shared" si="27"/>
        <v>0</v>
      </c>
      <c r="AN34" s="74">
        <f t="shared" si="28"/>
        <v>0</v>
      </c>
      <c r="AO34" s="74">
        <f t="shared" si="29"/>
        <v>0</v>
      </c>
      <c r="AP34" s="75" t="e">
        <f t="shared" si="30"/>
        <v>#DIV/0!</v>
      </c>
      <c r="AQ34" s="76">
        <f t="shared" si="31"/>
        <v>0</v>
      </c>
      <c r="AR34" s="90">
        <f t="shared" si="14"/>
        <v>0</v>
      </c>
    </row>
    <row r="35" spans="1:44" x14ac:dyDescent="0.25">
      <c r="A35" t="str">
        <f t="shared" si="15"/>
        <v>46219E</v>
      </c>
      <c r="B35" s="51">
        <f t="shared" si="33"/>
        <v>46219</v>
      </c>
      <c r="C35" s="52" t="s">
        <v>88</v>
      </c>
      <c r="D35" s="91"/>
      <c r="E35" s="62"/>
      <c r="F35" s="62"/>
      <c r="G35" s="62">
        <f t="shared" si="16"/>
        <v>0</v>
      </c>
      <c r="H35" s="63">
        <f t="shared" si="17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8"/>
        <v>0</v>
      </c>
      <c r="S35" s="62">
        <f t="shared" si="19"/>
        <v>0</v>
      </c>
      <c r="T35" s="63">
        <f t="shared" si="20"/>
        <v>0</v>
      </c>
      <c r="U35" s="64"/>
      <c r="V35" s="65"/>
      <c r="W35" s="66"/>
      <c r="X35" s="67"/>
      <c r="Y35" s="68"/>
      <c r="Z35" s="68"/>
      <c r="AA35" s="62">
        <f t="shared" si="21"/>
        <v>0</v>
      </c>
      <c r="AB35" s="63">
        <f t="shared" si="22"/>
        <v>0</v>
      </c>
      <c r="AC35" s="69"/>
      <c r="AD35" s="70"/>
      <c r="AE35" s="70"/>
      <c r="AF35" s="62">
        <f t="shared" si="23"/>
        <v>0</v>
      </c>
      <c r="AG35" s="62">
        <f t="shared" si="24"/>
        <v>0</v>
      </c>
      <c r="AH35" s="89"/>
      <c r="AI35" s="66"/>
      <c r="AJ35" s="66"/>
      <c r="AK35" s="62">
        <f t="shared" si="25"/>
        <v>0</v>
      </c>
      <c r="AL35" s="72">
        <f t="shared" si="26"/>
        <v>0</v>
      </c>
      <c r="AM35" s="73">
        <f t="shared" si="27"/>
        <v>0</v>
      </c>
      <c r="AN35" s="74">
        <f t="shared" si="28"/>
        <v>0</v>
      </c>
      <c r="AO35" s="74">
        <f t="shared" si="29"/>
        <v>0</v>
      </c>
      <c r="AP35" s="75" t="e">
        <f t="shared" si="30"/>
        <v>#DIV/0!</v>
      </c>
      <c r="AQ35" s="76">
        <f t="shared" si="31"/>
        <v>0</v>
      </c>
      <c r="AR35" s="90">
        <f t="shared" si="14"/>
        <v>0</v>
      </c>
    </row>
    <row r="36" spans="1:44" x14ac:dyDescent="0.25">
      <c r="A36" t="str">
        <f t="shared" si="15"/>
        <v>46220M</v>
      </c>
      <c r="B36" s="51">
        <f t="shared" si="33"/>
        <v>46220</v>
      </c>
      <c r="C36" s="52" t="s">
        <v>87</v>
      </c>
      <c r="D36" s="91"/>
      <c r="E36" s="62"/>
      <c r="F36" s="62"/>
      <c r="G36" s="62">
        <f t="shared" si="16"/>
        <v>0</v>
      </c>
      <c r="H36" s="63">
        <f t="shared" si="17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8"/>
        <v>0</v>
      </c>
      <c r="S36" s="62">
        <f t="shared" si="19"/>
        <v>0</v>
      </c>
      <c r="T36" s="63">
        <f t="shared" si="20"/>
        <v>0</v>
      </c>
      <c r="U36" s="64"/>
      <c r="V36" s="85"/>
      <c r="W36" s="66"/>
      <c r="X36" s="67"/>
      <c r="Y36" s="68"/>
      <c r="Z36" s="68"/>
      <c r="AA36" s="62">
        <f t="shared" si="21"/>
        <v>0</v>
      </c>
      <c r="AB36" s="63">
        <f t="shared" si="22"/>
        <v>0</v>
      </c>
      <c r="AC36" s="69"/>
      <c r="AD36" s="70"/>
      <c r="AE36" s="70"/>
      <c r="AF36" s="62">
        <f t="shared" si="23"/>
        <v>0</v>
      </c>
      <c r="AG36" s="62">
        <f t="shared" si="24"/>
        <v>0</v>
      </c>
      <c r="AH36" s="89"/>
      <c r="AI36" s="66"/>
      <c r="AJ36" s="66"/>
      <c r="AK36" s="62">
        <f t="shared" si="25"/>
        <v>0</v>
      </c>
      <c r="AL36" s="72">
        <f t="shared" si="26"/>
        <v>0</v>
      </c>
      <c r="AM36" s="73">
        <f t="shared" si="27"/>
        <v>0</v>
      </c>
      <c r="AN36" s="74">
        <f t="shared" si="28"/>
        <v>0</v>
      </c>
      <c r="AO36" s="74">
        <f t="shared" si="29"/>
        <v>0</v>
      </c>
      <c r="AP36" s="75" t="e">
        <f t="shared" si="30"/>
        <v>#DIV/0!</v>
      </c>
      <c r="AQ36" s="76">
        <f t="shared" si="31"/>
        <v>0</v>
      </c>
      <c r="AR36" s="90">
        <f t="shared" si="14"/>
        <v>0</v>
      </c>
    </row>
    <row r="37" spans="1:44" x14ac:dyDescent="0.25">
      <c r="A37" t="str">
        <f t="shared" si="15"/>
        <v>46220E</v>
      </c>
      <c r="B37" s="51">
        <f t="shared" si="33"/>
        <v>46220</v>
      </c>
      <c r="C37" s="52" t="s">
        <v>88</v>
      </c>
      <c r="D37" s="91"/>
      <c r="E37" s="62"/>
      <c r="F37" s="62"/>
      <c r="G37" s="62">
        <f t="shared" si="16"/>
        <v>0</v>
      </c>
      <c r="H37" s="63">
        <f t="shared" si="17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8"/>
        <v>0</v>
      </c>
      <c r="S37" s="62">
        <f t="shared" si="19"/>
        <v>0</v>
      </c>
      <c r="T37" s="63">
        <f t="shared" si="20"/>
        <v>0</v>
      </c>
      <c r="U37" s="64"/>
      <c r="V37" s="65"/>
      <c r="W37" s="66"/>
      <c r="X37" s="67"/>
      <c r="Y37" s="68"/>
      <c r="Z37" s="68"/>
      <c r="AA37" s="62">
        <f t="shared" si="21"/>
        <v>0</v>
      </c>
      <c r="AB37" s="63">
        <f t="shared" si="22"/>
        <v>0</v>
      </c>
      <c r="AC37" s="69"/>
      <c r="AD37" s="70"/>
      <c r="AE37" s="70"/>
      <c r="AF37" s="62">
        <f t="shared" si="23"/>
        <v>0</v>
      </c>
      <c r="AG37" s="62">
        <f t="shared" si="24"/>
        <v>0</v>
      </c>
      <c r="AH37" s="89"/>
      <c r="AI37" s="66"/>
      <c r="AJ37" s="66"/>
      <c r="AK37" s="62">
        <f t="shared" si="25"/>
        <v>0</v>
      </c>
      <c r="AL37" s="72">
        <f t="shared" si="26"/>
        <v>0</v>
      </c>
      <c r="AM37" s="73">
        <f t="shared" si="27"/>
        <v>0</v>
      </c>
      <c r="AN37" s="74">
        <f t="shared" si="28"/>
        <v>0</v>
      </c>
      <c r="AO37" s="74">
        <f t="shared" si="29"/>
        <v>0</v>
      </c>
      <c r="AP37" s="75" t="e">
        <f t="shared" si="30"/>
        <v>#DIV/0!</v>
      </c>
      <c r="AQ37" s="76">
        <f t="shared" si="31"/>
        <v>0</v>
      </c>
      <c r="AR37" s="90">
        <f t="shared" si="14"/>
        <v>0</v>
      </c>
    </row>
    <row r="38" spans="1:44" x14ac:dyDescent="0.25">
      <c r="A38" t="str">
        <f t="shared" si="15"/>
        <v>46221M</v>
      </c>
      <c r="B38" s="51">
        <f t="shared" si="33"/>
        <v>46221</v>
      </c>
      <c r="C38" s="52" t="s">
        <v>87</v>
      </c>
      <c r="D38" s="91"/>
      <c r="E38" s="62"/>
      <c r="F38" s="62"/>
      <c r="G38" s="62">
        <f t="shared" si="16"/>
        <v>0</v>
      </c>
      <c r="H38" s="63">
        <f t="shared" si="17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8"/>
        <v>0</v>
      </c>
      <c r="S38" s="62">
        <f t="shared" si="19"/>
        <v>0</v>
      </c>
      <c r="T38" s="63">
        <f t="shared" si="20"/>
        <v>0</v>
      </c>
      <c r="U38" s="64"/>
      <c r="V38" s="65"/>
      <c r="W38" s="66"/>
      <c r="X38" s="67"/>
      <c r="Y38" s="68"/>
      <c r="Z38" s="68"/>
      <c r="AA38" s="62">
        <f t="shared" si="21"/>
        <v>0</v>
      </c>
      <c r="AB38" s="63">
        <f t="shared" si="22"/>
        <v>0</v>
      </c>
      <c r="AC38" s="69"/>
      <c r="AD38" s="70"/>
      <c r="AE38" s="70"/>
      <c r="AF38" s="62">
        <f t="shared" si="23"/>
        <v>0</v>
      </c>
      <c r="AG38" s="62">
        <f t="shared" si="24"/>
        <v>0</v>
      </c>
      <c r="AH38" s="89"/>
      <c r="AI38" s="66"/>
      <c r="AJ38" s="66"/>
      <c r="AK38" s="62">
        <f t="shared" si="25"/>
        <v>0</v>
      </c>
      <c r="AL38" s="72">
        <f t="shared" si="26"/>
        <v>0</v>
      </c>
      <c r="AM38" s="73">
        <f t="shared" si="27"/>
        <v>0</v>
      </c>
      <c r="AN38" s="74">
        <f t="shared" si="28"/>
        <v>0</v>
      </c>
      <c r="AO38" s="74">
        <f t="shared" si="29"/>
        <v>0</v>
      </c>
      <c r="AP38" s="75" t="e">
        <f t="shared" si="30"/>
        <v>#DIV/0!</v>
      </c>
      <c r="AQ38" s="76">
        <f t="shared" si="31"/>
        <v>0</v>
      </c>
      <c r="AR38" s="90">
        <f t="shared" si="14"/>
        <v>0</v>
      </c>
    </row>
    <row r="39" spans="1:44" x14ac:dyDescent="0.25">
      <c r="A39" t="str">
        <f t="shared" si="15"/>
        <v>46221E</v>
      </c>
      <c r="B39" s="51">
        <f t="shared" si="33"/>
        <v>46221</v>
      </c>
      <c r="C39" s="52" t="s">
        <v>88</v>
      </c>
      <c r="D39" s="91"/>
      <c r="E39" s="62"/>
      <c r="F39" s="62"/>
      <c r="G39" s="62">
        <f t="shared" si="16"/>
        <v>0</v>
      </c>
      <c r="H39" s="63">
        <f t="shared" si="17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8"/>
        <v>0</v>
      </c>
      <c r="S39" s="62">
        <f t="shared" si="19"/>
        <v>0</v>
      </c>
      <c r="T39" s="63">
        <f t="shared" si="20"/>
        <v>0</v>
      </c>
      <c r="U39" s="64"/>
      <c r="V39" s="65"/>
      <c r="W39" s="66"/>
      <c r="X39" s="67"/>
      <c r="Y39" s="68"/>
      <c r="Z39" s="68"/>
      <c r="AA39" s="62">
        <f t="shared" si="21"/>
        <v>0</v>
      </c>
      <c r="AB39" s="63">
        <f t="shared" si="22"/>
        <v>0</v>
      </c>
      <c r="AC39" s="69"/>
      <c r="AD39" s="70"/>
      <c r="AE39" s="70"/>
      <c r="AF39" s="62">
        <f t="shared" si="23"/>
        <v>0</v>
      </c>
      <c r="AG39" s="62">
        <f t="shared" si="24"/>
        <v>0</v>
      </c>
      <c r="AH39" s="89"/>
      <c r="AI39" s="66"/>
      <c r="AJ39" s="66"/>
      <c r="AK39" s="62">
        <f t="shared" si="25"/>
        <v>0</v>
      </c>
      <c r="AL39" s="72">
        <f t="shared" si="26"/>
        <v>0</v>
      </c>
      <c r="AM39" s="73">
        <f t="shared" si="27"/>
        <v>0</v>
      </c>
      <c r="AN39" s="74">
        <f t="shared" si="28"/>
        <v>0</v>
      </c>
      <c r="AO39" s="74">
        <f t="shared" si="29"/>
        <v>0</v>
      </c>
      <c r="AP39" s="75" t="e">
        <f t="shared" si="30"/>
        <v>#DIV/0!</v>
      </c>
      <c r="AQ39" s="76">
        <f t="shared" si="31"/>
        <v>0</v>
      </c>
      <c r="AR39" s="90">
        <f t="shared" si="14"/>
        <v>0</v>
      </c>
    </row>
    <row r="40" spans="1:44" x14ac:dyDescent="0.25">
      <c r="A40" t="str">
        <f t="shared" si="15"/>
        <v>46222M</v>
      </c>
      <c r="B40" s="51">
        <f t="shared" si="33"/>
        <v>46222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21"/>
        <v>0</v>
      </c>
      <c r="AB40" s="63">
        <f t="shared" si="22"/>
        <v>0</v>
      </c>
      <c r="AC40" s="69"/>
      <c r="AD40" s="70"/>
      <c r="AE40" s="70"/>
      <c r="AF40" s="62">
        <f t="shared" si="23"/>
        <v>0</v>
      </c>
      <c r="AG40" s="62">
        <f t="shared" si="24"/>
        <v>0</v>
      </c>
      <c r="AH40" s="89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90">
        <f t="shared" si="14"/>
        <v>0</v>
      </c>
    </row>
    <row r="41" spans="1:44" x14ac:dyDescent="0.25">
      <c r="A41" t="str">
        <f t="shared" si="15"/>
        <v>46222E</v>
      </c>
      <c r="B41" s="51">
        <f t="shared" si="33"/>
        <v>46222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21"/>
        <v>0</v>
      </c>
      <c r="AB41" s="63">
        <f t="shared" si="22"/>
        <v>0</v>
      </c>
      <c r="AC41" s="69"/>
      <c r="AD41" s="70"/>
      <c r="AE41" s="70"/>
      <c r="AF41" s="62">
        <f t="shared" si="23"/>
        <v>0</v>
      </c>
      <c r="AG41" s="62">
        <f t="shared" si="24"/>
        <v>0</v>
      </c>
      <c r="AH41" s="89"/>
      <c r="AI41" s="66"/>
      <c r="AJ41" s="66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90">
        <f t="shared" si="14"/>
        <v>0</v>
      </c>
    </row>
    <row r="42" spans="1:44" x14ac:dyDescent="0.25">
      <c r="A42" t="str">
        <f t="shared" si="15"/>
        <v>46223M</v>
      </c>
      <c r="B42" s="51">
        <f t="shared" si="33"/>
        <v>46223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21"/>
        <v>0</v>
      </c>
      <c r="AB42" s="63">
        <f t="shared" si="22"/>
        <v>0</v>
      </c>
      <c r="AC42" s="69"/>
      <c r="AD42" s="70"/>
      <c r="AE42" s="70"/>
      <c r="AF42" s="62">
        <f t="shared" si="23"/>
        <v>0</v>
      </c>
      <c r="AG42" s="62">
        <f t="shared" si="24"/>
        <v>0</v>
      </c>
      <c r="AH42" s="89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90">
        <f t="shared" si="14"/>
        <v>0</v>
      </c>
    </row>
    <row r="43" spans="1:44" x14ac:dyDescent="0.25">
      <c r="A43" t="str">
        <f t="shared" si="15"/>
        <v>46223E</v>
      </c>
      <c r="B43" s="51">
        <f t="shared" si="33"/>
        <v>46223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21"/>
        <v>0</v>
      </c>
      <c r="AB43" s="63">
        <f t="shared" si="22"/>
        <v>0</v>
      </c>
      <c r="AC43" s="69"/>
      <c r="AD43" s="70"/>
      <c r="AE43" s="70"/>
      <c r="AF43" s="62">
        <f t="shared" si="23"/>
        <v>0</v>
      </c>
      <c r="AG43" s="62">
        <f t="shared" si="24"/>
        <v>0</v>
      </c>
      <c r="AH43" s="89"/>
      <c r="AI43" s="66"/>
      <c r="AJ43" s="66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90">
        <f t="shared" si="14"/>
        <v>0</v>
      </c>
    </row>
    <row r="44" spans="1:44" x14ac:dyDescent="0.25">
      <c r="A44" t="str">
        <f t="shared" si="15"/>
        <v>46224M</v>
      </c>
      <c r="B44" s="51">
        <f t="shared" si="33"/>
        <v>46224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21"/>
        <v>0</v>
      </c>
      <c r="AB44" s="63">
        <f t="shared" si="22"/>
        <v>0</v>
      </c>
      <c r="AC44" s="69"/>
      <c r="AD44" s="70"/>
      <c r="AE44" s="70"/>
      <c r="AF44" s="62">
        <f t="shared" si="23"/>
        <v>0</v>
      </c>
      <c r="AG44" s="62">
        <f t="shared" si="24"/>
        <v>0</v>
      </c>
      <c r="AH44" s="89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90">
        <f t="shared" si="14"/>
        <v>0</v>
      </c>
    </row>
    <row r="45" spans="1:44" x14ac:dyDescent="0.25">
      <c r="A45" t="str">
        <f t="shared" si="15"/>
        <v>46224E</v>
      </c>
      <c r="B45" s="51">
        <f t="shared" si="33"/>
        <v>46224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21"/>
        <v>0</v>
      </c>
      <c r="AB45" s="63">
        <f t="shared" si="22"/>
        <v>0</v>
      </c>
      <c r="AC45" s="69"/>
      <c r="AD45" s="70"/>
      <c r="AE45" s="70"/>
      <c r="AF45" s="62">
        <f t="shared" si="23"/>
        <v>0</v>
      </c>
      <c r="AG45" s="62">
        <f t="shared" si="24"/>
        <v>0</v>
      </c>
      <c r="AH45" s="89"/>
      <c r="AI45" s="66"/>
      <c r="AJ45" s="66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90">
        <f t="shared" si="14"/>
        <v>0</v>
      </c>
    </row>
    <row r="46" spans="1:44" x14ac:dyDescent="0.25">
      <c r="A46" t="str">
        <f t="shared" si="15"/>
        <v>46225M</v>
      </c>
      <c r="B46" s="51">
        <f t="shared" si="33"/>
        <v>46225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21"/>
        <v>0</v>
      </c>
      <c r="AB46" s="63">
        <f t="shared" si="22"/>
        <v>0</v>
      </c>
      <c r="AC46" s="69"/>
      <c r="AD46" s="70"/>
      <c r="AE46" s="70"/>
      <c r="AF46" s="62">
        <f t="shared" si="23"/>
        <v>0</v>
      </c>
      <c r="AG46" s="62">
        <f t="shared" si="24"/>
        <v>0</v>
      </c>
      <c r="AH46" s="89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90">
        <f t="shared" si="14"/>
        <v>0</v>
      </c>
    </row>
    <row r="47" spans="1:44" x14ac:dyDescent="0.25">
      <c r="A47" t="str">
        <f t="shared" si="15"/>
        <v>46225E</v>
      </c>
      <c r="B47" s="51">
        <f t="shared" si="33"/>
        <v>46225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21"/>
        <v>0</v>
      </c>
      <c r="AB47" s="63">
        <f t="shared" si="22"/>
        <v>0</v>
      </c>
      <c r="AC47" s="69"/>
      <c r="AD47" s="70"/>
      <c r="AE47" s="70"/>
      <c r="AF47" s="62">
        <f t="shared" si="23"/>
        <v>0</v>
      </c>
      <c r="AG47" s="62">
        <f t="shared" si="24"/>
        <v>0</v>
      </c>
      <c r="AH47" s="89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90">
        <f t="shared" si="14"/>
        <v>0</v>
      </c>
    </row>
    <row r="48" spans="1:44" x14ac:dyDescent="0.25">
      <c r="A48" t="str">
        <f t="shared" si="15"/>
        <v>46226M</v>
      </c>
      <c r="B48" s="51">
        <f t="shared" si="33"/>
        <v>46226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21"/>
        <v>0</v>
      </c>
      <c r="AB48" s="63">
        <f t="shared" si="22"/>
        <v>0</v>
      </c>
      <c r="AC48" s="69"/>
      <c r="AD48" s="70"/>
      <c r="AE48" s="70"/>
      <c r="AF48" s="62">
        <f t="shared" si="23"/>
        <v>0</v>
      </c>
      <c r="AG48" s="62">
        <f t="shared" si="24"/>
        <v>0</v>
      </c>
      <c r="AH48" s="89"/>
      <c r="AI48" s="66"/>
      <c r="AJ48" s="66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90">
        <f t="shared" si="14"/>
        <v>0</v>
      </c>
    </row>
    <row r="49" spans="1:44" x14ac:dyDescent="0.25">
      <c r="A49" t="str">
        <f t="shared" si="15"/>
        <v>46226E</v>
      </c>
      <c r="B49" s="51">
        <f t="shared" si="33"/>
        <v>46226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21"/>
        <v>0</v>
      </c>
      <c r="AB49" s="63">
        <f t="shared" si="22"/>
        <v>0</v>
      </c>
      <c r="AC49" s="69"/>
      <c r="AD49" s="70"/>
      <c r="AE49" s="70"/>
      <c r="AF49" s="62">
        <f t="shared" si="23"/>
        <v>0</v>
      </c>
      <c r="AG49" s="62">
        <f t="shared" si="24"/>
        <v>0</v>
      </c>
      <c r="AH49" s="89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90">
        <f t="shared" si="14"/>
        <v>0</v>
      </c>
    </row>
    <row r="50" spans="1:44" x14ac:dyDescent="0.25">
      <c r="A50" t="str">
        <f t="shared" si="15"/>
        <v>46227M</v>
      </c>
      <c r="B50" s="51">
        <f t="shared" si="33"/>
        <v>46227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21"/>
        <v>0</v>
      </c>
      <c r="AB50" s="63">
        <f t="shared" si="22"/>
        <v>0</v>
      </c>
      <c r="AC50" s="69"/>
      <c r="AD50" s="70"/>
      <c r="AE50" s="70"/>
      <c r="AF50" s="62">
        <f t="shared" si="23"/>
        <v>0</v>
      </c>
      <c r="AG50" s="62">
        <f t="shared" si="24"/>
        <v>0</v>
      </c>
      <c r="AH50" s="89"/>
      <c r="AI50" s="66"/>
      <c r="AJ50" s="66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90">
        <f t="shared" ref="AR50:AR62" si="34">(D50+J50+O50)-(X50+AH50)</f>
        <v>0</v>
      </c>
    </row>
    <row r="51" spans="1:44" x14ac:dyDescent="0.25">
      <c r="A51" t="str">
        <f t="shared" si="15"/>
        <v>46227E</v>
      </c>
      <c r="B51" s="51">
        <f t="shared" si="33"/>
        <v>46227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21"/>
        <v>0</v>
      </c>
      <c r="AB51" s="63">
        <f t="shared" si="22"/>
        <v>0</v>
      </c>
      <c r="AC51" s="69"/>
      <c r="AD51" s="70"/>
      <c r="AE51" s="70"/>
      <c r="AF51" s="62">
        <f t="shared" si="23"/>
        <v>0</v>
      </c>
      <c r="AG51" s="62">
        <f t="shared" si="24"/>
        <v>0</v>
      </c>
      <c r="AH51" s="89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90">
        <f t="shared" si="34"/>
        <v>0</v>
      </c>
    </row>
    <row r="52" spans="1:44" x14ac:dyDescent="0.25">
      <c r="A52" t="str">
        <f t="shared" si="15"/>
        <v>46228M</v>
      </c>
      <c r="B52" s="51">
        <f t="shared" si="33"/>
        <v>46228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8"/>
      <c r="J52" s="118"/>
      <c r="K52" s="202"/>
      <c r="L52" s="202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21"/>
        <v>0</v>
      </c>
      <c r="AB52" s="63">
        <f t="shared" si="22"/>
        <v>0</v>
      </c>
      <c r="AC52" s="69"/>
      <c r="AD52" s="70"/>
      <c r="AE52" s="70"/>
      <c r="AF52" s="62">
        <f t="shared" si="23"/>
        <v>0</v>
      </c>
      <c r="AG52" s="62">
        <f t="shared" si="24"/>
        <v>0</v>
      </c>
      <c r="AH52" s="89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90">
        <f t="shared" si="34"/>
        <v>0</v>
      </c>
    </row>
    <row r="53" spans="1:44" x14ac:dyDescent="0.25">
      <c r="A53" t="str">
        <f t="shared" si="15"/>
        <v>46228E</v>
      </c>
      <c r="B53" s="51">
        <f t="shared" si="33"/>
        <v>46228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8"/>
      <c r="J53" s="118"/>
      <c r="K53" s="202"/>
      <c r="L53" s="202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21"/>
        <v>0</v>
      </c>
      <c r="AB53" s="63">
        <f t="shared" si="22"/>
        <v>0</v>
      </c>
      <c r="AC53" s="69"/>
      <c r="AD53" s="70"/>
      <c r="AE53" s="70"/>
      <c r="AF53" s="62">
        <f t="shared" si="23"/>
        <v>0</v>
      </c>
      <c r="AG53" s="62">
        <f t="shared" si="24"/>
        <v>0</v>
      </c>
      <c r="AH53" s="89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90">
        <f t="shared" si="34"/>
        <v>0</v>
      </c>
    </row>
    <row r="54" spans="1:44" x14ac:dyDescent="0.25">
      <c r="A54" t="str">
        <f t="shared" si="15"/>
        <v>46229M</v>
      </c>
      <c r="B54" s="51">
        <f t="shared" si="33"/>
        <v>46229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8"/>
      <c r="J54" s="118"/>
      <c r="K54" s="202"/>
      <c r="L54" s="202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21"/>
        <v>0</v>
      </c>
      <c r="AB54" s="63">
        <f t="shared" si="22"/>
        <v>0</v>
      </c>
      <c r="AC54" s="69"/>
      <c r="AD54" s="70"/>
      <c r="AE54" s="70"/>
      <c r="AF54" s="62">
        <f t="shared" si="23"/>
        <v>0</v>
      </c>
      <c r="AG54" s="62">
        <f t="shared" si="24"/>
        <v>0</v>
      </c>
      <c r="AH54" s="89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90">
        <f t="shared" si="34"/>
        <v>0</v>
      </c>
    </row>
    <row r="55" spans="1:44" x14ac:dyDescent="0.25">
      <c r="A55" t="str">
        <f t="shared" si="15"/>
        <v>46229E</v>
      </c>
      <c r="B55" s="51">
        <f t="shared" si="33"/>
        <v>46229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8"/>
      <c r="J55" s="118"/>
      <c r="K55" s="202"/>
      <c r="L55" s="202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21"/>
        <v>0</v>
      </c>
      <c r="AB55" s="63">
        <f t="shared" si="22"/>
        <v>0</v>
      </c>
      <c r="AC55" s="69"/>
      <c r="AD55" s="70"/>
      <c r="AE55" s="70"/>
      <c r="AF55" s="62">
        <f t="shared" si="23"/>
        <v>0</v>
      </c>
      <c r="AG55" s="62">
        <f t="shared" si="24"/>
        <v>0</v>
      </c>
      <c r="AH55" s="89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90">
        <f t="shared" si="34"/>
        <v>0</v>
      </c>
    </row>
    <row r="56" spans="1:44" x14ac:dyDescent="0.25">
      <c r="A56" t="str">
        <f t="shared" si="15"/>
        <v>46230M</v>
      </c>
      <c r="B56" s="51">
        <f t="shared" si="33"/>
        <v>46230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8"/>
      <c r="J56" s="118"/>
      <c r="K56" s="202"/>
      <c r="L56" s="202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21"/>
        <v>0</v>
      </c>
      <c r="AB56" s="63">
        <f t="shared" si="22"/>
        <v>0</v>
      </c>
      <c r="AC56" s="69"/>
      <c r="AD56" s="70"/>
      <c r="AE56" s="70"/>
      <c r="AF56" s="62">
        <f t="shared" si="23"/>
        <v>0</v>
      </c>
      <c r="AG56" s="62">
        <f t="shared" si="24"/>
        <v>0</v>
      </c>
      <c r="AH56" s="89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90">
        <f t="shared" si="34"/>
        <v>0</v>
      </c>
    </row>
    <row r="57" spans="1:44" x14ac:dyDescent="0.25">
      <c r="A57" t="str">
        <f t="shared" si="15"/>
        <v>46230E</v>
      </c>
      <c r="B57" s="51">
        <f t="shared" si="33"/>
        <v>46230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8"/>
      <c r="J57" s="118"/>
      <c r="K57" s="202"/>
      <c r="L57" s="202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21"/>
        <v>0</v>
      </c>
      <c r="AB57" s="63">
        <f t="shared" si="22"/>
        <v>0</v>
      </c>
      <c r="AC57" s="69"/>
      <c r="AD57" s="70"/>
      <c r="AE57" s="70"/>
      <c r="AF57" s="62">
        <f t="shared" si="23"/>
        <v>0</v>
      </c>
      <c r="AG57" s="62">
        <f t="shared" si="24"/>
        <v>0</v>
      </c>
      <c r="AH57" s="89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90">
        <f t="shared" si="34"/>
        <v>0</v>
      </c>
    </row>
    <row r="58" spans="1:44" x14ac:dyDescent="0.25">
      <c r="A58" t="str">
        <f t="shared" si="15"/>
        <v>46231M</v>
      </c>
      <c r="B58" s="51">
        <f t="shared" si="33"/>
        <v>46231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8"/>
      <c r="J58" s="118"/>
      <c r="K58" s="202"/>
      <c r="L58" s="202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21"/>
        <v>0</v>
      </c>
      <c r="AB58" s="63">
        <f t="shared" si="22"/>
        <v>0</v>
      </c>
      <c r="AC58" s="69"/>
      <c r="AD58" s="70"/>
      <c r="AE58" s="70"/>
      <c r="AF58" s="62">
        <f t="shared" si="23"/>
        <v>0</v>
      </c>
      <c r="AG58" s="62">
        <f t="shared" si="24"/>
        <v>0</v>
      </c>
      <c r="AH58" s="89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90">
        <f t="shared" si="34"/>
        <v>0</v>
      </c>
    </row>
    <row r="59" spans="1:44" x14ac:dyDescent="0.25">
      <c r="A59" t="str">
        <f t="shared" si="15"/>
        <v>46231E</v>
      </c>
      <c r="B59" s="51">
        <f t="shared" si="33"/>
        <v>46231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8"/>
      <c r="J59" s="118"/>
      <c r="K59" s="202"/>
      <c r="L59" s="202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21"/>
        <v>0</v>
      </c>
      <c r="AB59" s="63">
        <f t="shared" si="22"/>
        <v>0</v>
      </c>
      <c r="AC59" s="69"/>
      <c r="AD59" s="70"/>
      <c r="AE59" s="70"/>
      <c r="AF59" s="62">
        <f t="shared" si="23"/>
        <v>0</v>
      </c>
      <c r="AG59" s="62">
        <f t="shared" si="24"/>
        <v>0</v>
      </c>
      <c r="AH59" s="89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90">
        <f t="shared" si="34"/>
        <v>0</v>
      </c>
    </row>
    <row r="60" spans="1:44" x14ac:dyDescent="0.25">
      <c r="A60" t="str">
        <f t="shared" si="15"/>
        <v>46232M</v>
      </c>
      <c r="B60" s="51">
        <f t="shared" si="33"/>
        <v>46232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8"/>
      <c r="J60" s="118"/>
      <c r="K60" s="202"/>
      <c r="L60" s="202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21"/>
        <v>0</v>
      </c>
      <c r="AB60" s="63">
        <f t="shared" si="22"/>
        <v>0</v>
      </c>
      <c r="AC60" s="69"/>
      <c r="AD60" s="70"/>
      <c r="AE60" s="70"/>
      <c r="AF60" s="62">
        <f t="shared" si="23"/>
        <v>0</v>
      </c>
      <c r="AG60" s="62">
        <f t="shared" si="24"/>
        <v>0</v>
      </c>
      <c r="AH60" s="89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90">
        <f t="shared" si="34"/>
        <v>0</v>
      </c>
    </row>
    <row r="61" spans="1:44" x14ac:dyDescent="0.25">
      <c r="A61" t="str">
        <f t="shared" si="15"/>
        <v>46232E</v>
      </c>
      <c r="B61" s="51">
        <f t="shared" si="33"/>
        <v>46232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8"/>
      <c r="J61" s="118"/>
      <c r="K61" s="202"/>
      <c r="L61" s="202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21"/>
        <v>0</v>
      </c>
      <c r="AB61" s="63">
        <f t="shared" si="22"/>
        <v>0</v>
      </c>
      <c r="AC61" s="69"/>
      <c r="AD61" s="70"/>
      <c r="AE61" s="70"/>
      <c r="AF61" s="62">
        <f t="shared" si="23"/>
        <v>0</v>
      </c>
      <c r="AG61" s="62">
        <f t="shared" si="24"/>
        <v>0</v>
      </c>
      <c r="AH61" s="89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90">
        <f t="shared" si="34"/>
        <v>0</v>
      </c>
    </row>
    <row r="62" spans="1:44" x14ac:dyDescent="0.25">
      <c r="A62" t="str">
        <f t="shared" si="15"/>
        <v>46233M</v>
      </c>
      <c r="B62" s="51">
        <f t="shared" si="33"/>
        <v>46233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8"/>
      <c r="J62" s="118"/>
      <c r="K62" s="202"/>
      <c r="L62" s="202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21"/>
        <v>0</v>
      </c>
      <c r="AB62" s="63">
        <f t="shared" si="22"/>
        <v>0</v>
      </c>
      <c r="AC62" s="69"/>
      <c r="AD62" s="70"/>
      <c r="AE62" s="70"/>
      <c r="AF62" s="62">
        <f t="shared" si="23"/>
        <v>0</v>
      </c>
      <c r="AG62" s="62">
        <f t="shared" si="24"/>
        <v>0</v>
      </c>
      <c r="AH62" s="89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90">
        <f t="shared" si="34"/>
        <v>0</v>
      </c>
    </row>
    <row r="63" spans="1:44" x14ac:dyDescent="0.25">
      <c r="A63" t="str">
        <f t="shared" si="15"/>
        <v>46233E</v>
      </c>
      <c r="B63" s="51">
        <f t="shared" si="33"/>
        <v>46233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8"/>
      <c r="J63" s="118"/>
      <c r="K63" s="202"/>
      <c r="L63" s="202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21"/>
        <v>0</v>
      </c>
      <c r="AB63" s="63">
        <f t="shared" si="22"/>
        <v>0</v>
      </c>
      <c r="AC63" s="69"/>
      <c r="AD63" s="70"/>
      <c r="AE63" s="70"/>
      <c r="AF63" s="62">
        <f t="shared" si="23"/>
        <v>0</v>
      </c>
      <c r="AG63" s="62">
        <f t="shared" si="24"/>
        <v>0</v>
      </c>
      <c r="AH63" s="89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90">
        <v>0</v>
      </c>
    </row>
    <row r="64" spans="1:44" x14ac:dyDescent="0.25">
      <c r="A64" t="str">
        <f t="shared" si="15"/>
        <v>46234M</v>
      </c>
      <c r="B64" s="51">
        <f t="shared" si="33"/>
        <v>46234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8"/>
      <c r="J64" s="118"/>
      <c r="K64" s="202"/>
      <c r="L64" s="202"/>
      <c r="M64" s="57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21"/>
        <v>0</v>
      </c>
      <c r="AB64" s="63">
        <f t="shared" si="22"/>
        <v>0</v>
      </c>
      <c r="AC64" s="69"/>
      <c r="AD64" s="70"/>
      <c r="AE64" s="70"/>
      <c r="AF64" s="62">
        <f t="shared" si="23"/>
        <v>0</v>
      </c>
      <c r="AG64" s="62">
        <f t="shared" si="24"/>
        <v>0</v>
      </c>
      <c r="AH64" s="89"/>
      <c r="AI64" s="71"/>
      <c r="AJ64" s="71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90">
        <f t="shared" si="14"/>
        <v>0</v>
      </c>
    </row>
    <row r="65" spans="1:44" x14ac:dyDescent="0.25">
      <c r="A65" t="str">
        <f t="shared" si="15"/>
        <v>46234E</v>
      </c>
      <c r="B65" s="51">
        <f t="shared" si="33"/>
        <v>46234</v>
      </c>
      <c r="C65" s="5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8"/>
      <c r="J65" s="118"/>
      <c r="K65" s="202"/>
      <c r="L65" s="202"/>
      <c r="M65" s="57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21"/>
        <v>0</v>
      </c>
      <c r="AB65" s="63">
        <f t="shared" si="22"/>
        <v>0</v>
      </c>
      <c r="AC65" s="69"/>
      <c r="AD65" s="70"/>
      <c r="AE65" s="70"/>
      <c r="AF65" s="62">
        <f t="shared" si="23"/>
        <v>0</v>
      </c>
      <c r="AG65" s="62">
        <f t="shared" si="24"/>
        <v>0</v>
      </c>
      <c r="AH65" s="89"/>
      <c r="AI65" s="71"/>
      <c r="AJ65" s="71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90">
        <f t="shared" si="14"/>
        <v>0</v>
      </c>
    </row>
    <row r="66" spans="1:44" x14ac:dyDescent="0.25">
      <c r="J66" s="83">
        <f>SUM(J4:J65)</f>
        <v>88653.748000000007</v>
      </c>
      <c r="R66" s="83">
        <f>SUM(R4:R65)</f>
        <v>114692.74800000002</v>
      </c>
      <c r="S66" s="83">
        <f t="shared" ref="S66:T66" si="35">SUM(S4:S65)</f>
        <v>4673.6036569999997</v>
      </c>
      <c r="T66" s="83">
        <f t="shared" si="35"/>
        <v>9398.0183740000011</v>
      </c>
      <c r="AH66" s="90"/>
      <c r="AI66" s="77"/>
      <c r="AJ66" s="77"/>
      <c r="AM66" s="83">
        <f>-SUM(AM4:AM65)</f>
        <v>290.25199999999677</v>
      </c>
      <c r="AN66" s="83">
        <f>-SUM(AN4:AN65)</f>
        <v>61.27074299999957</v>
      </c>
      <c r="AO66" s="83">
        <f>-SUM(AO4:AO65)</f>
        <v>10.267125999999706</v>
      </c>
      <c r="AQ66" s="126">
        <f>-SUM(AQ4:AQ65)</f>
        <v>32517.498988978419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1" priority="2" operator="lessThan">
      <formula>0.1</formula>
    </cfRule>
    <cfRule type="cellIs" dxfId="110" priority="3" operator="greaterThan">
      <formula>0.1</formula>
    </cfRule>
  </conditionalFormatting>
  <conditionalFormatting sqref="AP1:AQ1">
    <cfRule type="cellIs" dxfId="109" priority="1" operator="lessThan">
      <formula>1</formula>
    </cfRule>
  </conditionalFormatting>
  <conditionalFormatting sqref="AQ4:AQ65">
    <cfRule type="cellIs" dxfId="108" priority="12" operator="lessThan">
      <formula>0</formula>
    </cfRule>
    <cfRule type="cellIs" dxfId="107" priority="1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1" sqref="AC21:AE21"/>
    </sheetView>
  </sheetViews>
  <sheetFormatPr defaultRowHeight="15" x14ac:dyDescent="0.25"/>
  <cols>
    <col min="1" max="1" width="5.28515625" customWidth="1"/>
    <col min="2" max="2" width="9.7109375" customWidth="1"/>
    <col min="3" max="3" width="4.7109375" bestFit="1" customWidth="1"/>
    <col min="4" max="4" width="7.5703125" bestFit="1" customWidth="1"/>
    <col min="5" max="5" width="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7.42578125" customWidth="1"/>
    <col min="10" max="10" width="8" customWidth="1"/>
    <col min="11" max="11" width="6.140625" customWidth="1"/>
    <col min="12" max="12" width="5.7109375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7.5703125" customWidth="1"/>
    <col min="19" max="19" width="6.140625" customWidth="1"/>
    <col min="20" max="20" width="7.5703125" bestFit="1" customWidth="1"/>
    <col min="21" max="21" width="6.7109375" bestFit="1" customWidth="1"/>
    <col min="22" max="22" width="7.140625" bestFit="1" customWidth="1"/>
    <col min="23" max="23" width="8.85546875" customWidth="1"/>
    <col min="24" max="24" width="6.42578125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" bestFit="1" customWidth="1"/>
    <col min="36" max="37" width="6.5703125" bestFit="1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137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:G65" si="0">+D4*E4%</f>
        <v>0</v>
      </c>
      <c r="H4" s="63">
        <f t="shared" ref="H4:H65" si="1">+D4*F4%</f>
        <v>0</v>
      </c>
      <c r="I4" s="202">
        <v>1151.5000000000002</v>
      </c>
      <c r="J4" s="202">
        <v>1186.0450000000003</v>
      </c>
      <c r="K4" s="202">
        <v>4.4469821971341732</v>
      </c>
      <c r="L4" s="202">
        <v>8.2826139817629176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1186.0450000000003</v>
      </c>
      <c r="S4" s="62">
        <f t="shared" ref="S4:S65" si="3">+J4*K4%+O4*P4%</f>
        <v>52.743210000000012</v>
      </c>
      <c r="T4" s="63">
        <f t="shared" ref="T4:T65" si="4">+J4*L4%+O4*Q4%</f>
        <v>98.235529000000028</v>
      </c>
      <c r="U4" s="64" t="s">
        <v>180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1187</v>
      </c>
      <c r="AI4" s="66">
        <v>4.45</v>
      </c>
      <c r="AJ4" s="66">
        <v>8.2799999999999994</v>
      </c>
      <c r="AK4" s="62">
        <f t="shared" ref="AK4:AK65" si="9">AH4*AI4%</f>
        <v>52.821500000000007</v>
      </c>
      <c r="AL4" s="72">
        <f t="shared" ref="AL4:AL65" si="10">AH4*AJ4%</f>
        <v>98.283599999999993</v>
      </c>
      <c r="AM4" s="73">
        <f t="shared" ref="AM4:AM65" si="11">+D4+R4-AC4-AH4</f>
        <v>-0.95499999999969987</v>
      </c>
      <c r="AN4" s="74">
        <f t="shared" ref="AN4:AO19" si="12">+G4+S4-AF4-AK4</f>
        <v>-7.828999999999553E-2</v>
      </c>
      <c r="AO4" s="74">
        <f t="shared" si="12"/>
        <v>-4.807099999996467E-2</v>
      </c>
      <c r="AP4" s="75">
        <f t="shared" ref="AP4:AP65" si="13">(AN4+AO4)/(S4+T4)</f>
        <v>-8.3694565762640371E-4</v>
      </c>
      <c r="AQ4" s="76">
        <f t="shared" ref="AQ4:AQ65" si="14">($AP$1*AN4+$AQ$1*AO4)</f>
        <v>-52.017729607042739</v>
      </c>
      <c r="AR4" s="90">
        <f t="shared" ref="AR4:AR65" si="15">(D4+J4+O4)-(X4+AH4)</f>
        <v>-0.95499999999969987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1187</v>
      </c>
      <c r="E5" s="62">
        <v>4.45</v>
      </c>
      <c r="F5" s="62">
        <v>8.2799999999999994</v>
      </c>
      <c r="G5" s="62">
        <f t="shared" si="0"/>
        <v>52.821500000000007</v>
      </c>
      <c r="H5" s="63">
        <f t="shared" si="1"/>
        <v>98.283599999999993</v>
      </c>
      <c r="I5" s="202">
        <v>3189.8000000000006</v>
      </c>
      <c r="J5" s="202">
        <v>3285.4940000000006</v>
      </c>
      <c r="K5" s="202">
        <v>3.8768888331556841</v>
      </c>
      <c r="L5" s="202">
        <v>8.0946360273371383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3285.4940000000006</v>
      </c>
      <c r="S5" s="62">
        <f t="shared" si="3"/>
        <v>127.37495000000003</v>
      </c>
      <c r="T5" s="63">
        <f t="shared" si="4"/>
        <v>265.94878100000005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4473</v>
      </c>
      <c r="AI5" s="66">
        <v>4.03</v>
      </c>
      <c r="AJ5" s="66">
        <v>8.14</v>
      </c>
      <c r="AK5" s="62">
        <f t="shared" si="9"/>
        <v>180.2619</v>
      </c>
      <c r="AL5" s="72">
        <f t="shared" si="10"/>
        <v>364.10219999999998</v>
      </c>
      <c r="AM5" s="73">
        <f t="shared" si="11"/>
        <v>-0.50599999999940337</v>
      </c>
      <c r="AN5" s="74">
        <f t="shared" si="12"/>
        <v>-6.5449999999970032E-2</v>
      </c>
      <c r="AO5" s="74">
        <f t="shared" si="12"/>
        <v>0.13018100000005006</v>
      </c>
      <c r="AP5" s="75">
        <f t="shared" si="13"/>
        <v>1.6457435668960441E-4</v>
      </c>
      <c r="AQ5" s="76">
        <f t="shared" si="14"/>
        <v>7.5371953986809217</v>
      </c>
      <c r="AR5" s="90">
        <f t="shared" si="15"/>
        <v>-0.50599999999940337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4473</v>
      </c>
      <c r="E6" s="62">
        <v>4.03</v>
      </c>
      <c r="F6" s="62">
        <v>8.14</v>
      </c>
      <c r="G6" s="62">
        <f t="shared" si="0"/>
        <v>180.2619</v>
      </c>
      <c r="H6" s="63">
        <f t="shared" si="1"/>
        <v>364.10219999999998</v>
      </c>
      <c r="I6" s="202">
        <v>787.30000000000007</v>
      </c>
      <c r="J6" s="202">
        <v>810.9190000000001</v>
      </c>
      <c r="K6" s="202">
        <v>4.4900038104915536</v>
      </c>
      <c r="L6" s="202">
        <v>8.4000762098310684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810.9190000000001</v>
      </c>
      <c r="S6" s="62">
        <f t="shared" si="3"/>
        <v>36.410294000000007</v>
      </c>
      <c r="T6" s="63">
        <f t="shared" si="4"/>
        <v>68.11781400000001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5281</v>
      </c>
      <c r="AI6" s="66">
        <v>4.0999999999999996</v>
      </c>
      <c r="AJ6" s="66">
        <v>8.18</v>
      </c>
      <c r="AK6" s="62">
        <f t="shared" si="9"/>
        <v>216.52099999999999</v>
      </c>
      <c r="AL6" s="72">
        <f t="shared" si="10"/>
        <v>431.98579999999998</v>
      </c>
      <c r="AM6" s="73">
        <f t="shared" si="11"/>
        <v>2.918999999999869</v>
      </c>
      <c r="AN6" s="74">
        <f t="shared" si="12"/>
        <v>0.15119400000000383</v>
      </c>
      <c r="AO6" s="74">
        <f t="shared" si="12"/>
        <v>0.23421400000000858</v>
      </c>
      <c r="AP6" s="75">
        <f t="shared" si="13"/>
        <v>3.6871230846349228E-3</v>
      </c>
      <c r="AQ6" s="76">
        <f t="shared" si="14"/>
        <v>142.79864573156217</v>
      </c>
      <c r="AR6" s="90">
        <f t="shared" si="15"/>
        <v>2.918999999999869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5281</v>
      </c>
      <c r="E7" s="62">
        <v>4.0999999999999996</v>
      </c>
      <c r="F7" s="62">
        <v>8.18</v>
      </c>
      <c r="G7" s="62">
        <f t="shared" si="0"/>
        <v>216.52099999999999</v>
      </c>
      <c r="H7" s="63">
        <f t="shared" si="1"/>
        <v>431.98579999999998</v>
      </c>
      <c r="I7" s="202">
        <v>4210.3</v>
      </c>
      <c r="J7" s="202">
        <v>4336.6090000000004</v>
      </c>
      <c r="K7" s="202">
        <v>4.0064864736479588</v>
      </c>
      <c r="L7" s="202">
        <v>8.101596085789609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4336.6090000000004</v>
      </c>
      <c r="S7" s="62">
        <f t="shared" si="3"/>
        <v>173.74565300000003</v>
      </c>
      <c r="T7" s="63">
        <f t="shared" si="4"/>
        <v>351.33454499999993</v>
      </c>
      <c r="U7" s="64" t="s">
        <v>174</v>
      </c>
      <c r="V7" s="65" t="s">
        <v>224</v>
      </c>
      <c r="W7" s="66" t="s">
        <v>188</v>
      </c>
      <c r="X7" s="67">
        <v>7130</v>
      </c>
      <c r="Y7" s="68">
        <v>4.0999999999999996</v>
      </c>
      <c r="Z7" s="68">
        <v>8.11</v>
      </c>
      <c r="AA7" s="62">
        <f t="shared" si="5"/>
        <v>292.33</v>
      </c>
      <c r="AB7" s="63">
        <f t="shared" si="6"/>
        <v>578.24299999999994</v>
      </c>
      <c r="AC7" s="69">
        <v>7160</v>
      </c>
      <c r="AD7" s="70">
        <v>4.0000000000000009</v>
      </c>
      <c r="AE7" s="70">
        <v>8.0411173184357558</v>
      </c>
      <c r="AF7" s="62">
        <f t="shared" si="7"/>
        <v>286.40000000000003</v>
      </c>
      <c r="AG7" s="62">
        <f t="shared" si="8"/>
        <v>575.74400000000014</v>
      </c>
      <c r="AH7" s="89">
        <v>2488</v>
      </c>
      <c r="AI7" s="66">
        <v>4.0599999999999996</v>
      </c>
      <c r="AJ7" s="66">
        <v>8.14</v>
      </c>
      <c r="AK7" s="62">
        <f t="shared" si="9"/>
        <v>101.0128</v>
      </c>
      <c r="AL7" s="72">
        <f t="shared" si="10"/>
        <v>202.5232</v>
      </c>
      <c r="AM7" s="73">
        <f t="shared" si="11"/>
        <v>-30.390999999999622</v>
      </c>
      <c r="AN7" s="74">
        <f t="shared" si="12"/>
        <v>2.8538529999999867</v>
      </c>
      <c r="AO7" s="74">
        <f t="shared" si="12"/>
        <v>5.0531449999997164</v>
      </c>
      <c r="AP7" s="75">
        <f t="shared" si="13"/>
        <v>1.505864824100585E-2</v>
      </c>
      <c r="AQ7" s="76">
        <f t="shared" si="14"/>
        <v>2884.7411910352157</v>
      </c>
      <c r="AR7" s="90">
        <f t="shared" si="15"/>
        <v>-0.39099999999962165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2488</v>
      </c>
      <c r="E8" s="62">
        <v>4.0599999999999996</v>
      </c>
      <c r="F8" s="62">
        <v>8.14</v>
      </c>
      <c r="G8" s="62">
        <f t="shared" si="0"/>
        <v>101.0128</v>
      </c>
      <c r="H8" s="63">
        <f t="shared" si="1"/>
        <v>202.5232</v>
      </c>
      <c r="I8" s="202">
        <v>731.39999999999975</v>
      </c>
      <c r="J8" s="202">
        <v>753.34199999999976</v>
      </c>
      <c r="K8" s="202">
        <v>4.5911402789171438</v>
      </c>
      <c r="L8" s="202">
        <v>8.4923981405523641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753.34199999999976</v>
      </c>
      <c r="S8" s="62">
        <f t="shared" si="3"/>
        <v>34.586987999999977</v>
      </c>
      <c r="T8" s="63">
        <f t="shared" si="4"/>
        <v>63.976801999999971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>
        <v>3242</v>
      </c>
      <c r="AI8" s="66">
        <v>4.18</v>
      </c>
      <c r="AJ8" s="66">
        <v>8.2200000000000006</v>
      </c>
      <c r="AK8" s="62">
        <f t="shared" si="9"/>
        <v>135.51559999999998</v>
      </c>
      <c r="AL8" s="72">
        <f t="shared" si="10"/>
        <v>266.49240000000003</v>
      </c>
      <c r="AM8" s="73">
        <f t="shared" si="11"/>
        <v>-0.65800000000035652</v>
      </c>
      <c r="AN8" s="74">
        <f t="shared" si="12"/>
        <v>8.4188000000011698E-2</v>
      </c>
      <c r="AO8" s="74">
        <f t="shared" si="12"/>
        <v>7.6019999999630272E-3</v>
      </c>
      <c r="AP8" s="75">
        <f t="shared" si="13"/>
        <v>9.3127506561968413E-4</v>
      </c>
      <c r="AQ8" s="76">
        <f t="shared" si="14"/>
        <v>42.73180534158783</v>
      </c>
      <c r="AR8" s="90">
        <f t="shared" si="15"/>
        <v>-0.65800000000035652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3242</v>
      </c>
      <c r="E9" s="62">
        <v>4.18</v>
      </c>
      <c r="F9" s="62">
        <v>8.2200000000000006</v>
      </c>
      <c r="G9" s="62">
        <f t="shared" si="0"/>
        <v>135.51559999999998</v>
      </c>
      <c r="H9" s="63">
        <f t="shared" si="1"/>
        <v>266.49240000000003</v>
      </c>
      <c r="I9" s="202">
        <v>5595.9999999999991</v>
      </c>
      <c r="J9" s="202">
        <v>5763.8799999999992</v>
      </c>
      <c r="K9" s="202">
        <v>3.9045157255182277</v>
      </c>
      <c r="L9" s="202">
        <v>8.0822837741243738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5763.8799999999992</v>
      </c>
      <c r="S9" s="62">
        <f t="shared" si="3"/>
        <v>225.05160099999998</v>
      </c>
      <c r="T9" s="63">
        <f t="shared" si="4"/>
        <v>465.85313799999989</v>
      </c>
      <c r="U9" s="64" t="s">
        <v>169</v>
      </c>
      <c r="V9" s="65" t="s">
        <v>259</v>
      </c>
      <c r="W9" s="66" t="s">
        <v>260</v>
      </c>
      <c r="X9" s="67">
        <v>5900</v>
      </c>
      <c r="Y9" s="68">
        <v>4.05</v>
      </c>
      <c r="Z9" s="68">
        <v>8.15</v>
      </c>
      <c r="AA9" s="62">
        <f t="shared" si="5"/>
        <v>238.95000000000002</v>
      </c>
      <c r="AB9" s="63">
        <f t="shared" si="6"/>
        <v>480.85</v>
      </c>
      <c r="AC9" s="69">
        <v>5900</v>
      </c>
      <c r="AD9" s="70">
        <v>4.05</v>
      </c>
      <c r="AE9" s="70">
        <v>8.15</v>
      </c>
      <c r="AF9" s="62">
        <f t="shared" si="7"/>
        <v>238.95000000000002</v>
      </c>
      <c r="AG9" s="62">
        <f t="shared" si="8"/>
        <v>480.85</v>
      </c>
      <c r="AH9" s="89">
        <v>3106</v>
      </c>
      <c r="AI9" s="66">
        <v>4</v>
      </c>
      <c r="AJ9" s="66">
        <v>8.1300000000000008</v>
      </c>
      <c r="AK9" s="62">
        <f t="shared" si="9"/>
        <v>124.24000000000001</v>
      </c>
      <c r="AL9" s="72">
        <f t="shared" si="10"/>
        <v>252.51780000000002</v>
      </c>
      <c r="AM9" s="73">
        <f t="shared" si="11"/>
        <v>-0.12000000000080036</v>
      </c>
      <c r="AN9" s="74">
        <f t="shared" si="12"/>
        <v>-2.6227990000000716</v>
      </c>
      <c r="AO9" s="74">
        <f t="shared" si="12"/>
        <v>-1.0222620000001257</v>
      </c>
      <c r="AP9" s="75">
        <f t="shared" si="13"/>
        <v>-5.2757794153734964E-3</v>
      </c>
      <c r="AQ9" s="76">
        <f t="shared" si="14"/>
        <v>-1566.498650533965</v>
      </c>
      <c r="AR9" s="90">
        <f t="shared" si="15"/>
        <v>-0.12000000000080036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3106</v>
      </c>
      <c r="E10" s="62">
        <v>4</v>
      </c>
      <c r="F10" s="62">
        <v>8.1300000000000008</v>
      </c>
      <c r="G10" s="62">
        <f t="shared" si="0"/>
        <v>124.24000000000001</v>
      </c>
      <c r="H10" s="63">
        <f t="shared" si="1"/>
        <v>252.51780000000002</v>
      </c>
      <c r="I10" s="202">
        <v>726.30000000000007</v>
      </c>
      <c r="J10" s="202">
        <v>748.08900000000006</v>
      </c>
      <c r="K10" s="202">
        <v>4.7815916288035245</v>
      </c>
      <c r="L10" s="202">
        <v>8.4429161503510937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748.08900000000006</v>
      </c>
      <c r="S10" s="62">
        <f t="shared" si="3"/>
        <v>35.770561000000001</v>
      </c>
      <c r="T10" s="63">
        <f t="shared" si="4"/>
        <v>63.160526999999995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3855</v>
      </c>
      <c r="AI10" s="66">
        <v>4.1500000000000004</v>
      </c>
      <c r="AJ10" s="66">
        <v>8.19</v>
      </c>
      <c r="AK10" s="62">
        <f t="shared" si="9"/>
        <v>159.98250000000002</v>
      </c>
      <c r="AL10" s="72">
        <f t="shared" si="10"/>
        <v>315.72449999999998</v>
      </c>
      <c r="AM10" s="73">
        <f t="shared" si="11"/>
        <v>-0.91100000000005821</v>
      </c>
      <c r="AN10" s="74">
        <f t="shared" si="12"/>
        <v>2.8060999999979686E-2</v>
      </c>
      <c r="AO10" s="74">
        <f t="shared" si="12"/>
        <v>-4.617299999995339E-2</v>
      </c>
      <c r="AP10" s="75">
        <f t="shared" si="13"/>
        <v>-1.8307693128750093E-4</v>
      </c>
      <c r="AQ10" s="76">
        <f t="shared" si="14"/>
        <v>-0.34417865910341838</v>
      </c>
      <c r="AR10" s="90">
        <f t="shared" si="15"/>
        <v>-0.91100000000005821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3855</v>
      </c>
      <c r="E11" s="62">
        <v>4.1500000000000004</v>
      </c>
      <c r="F11" s="62">
        <v>8.19</v>
      </c>
      <c r="G11" s="62">
        <f t="shared" si="0"/>
        <v>159.98250000000002</v>
      </c>
      <c r="H11" s="63">
        <f t="shared" si="1"/>
        <v>315.72449999999998</v>
      </c>
      <c r="I11" s="202">
        <v>2135.6999999999998</v>
      </c>
      <c r="J11" s="202">
        <v>2199.7709999999997</v>
      </c>
      <c r="K11" s="202">
        <v>3.7745891276864736</v>
      </c>
      <c r="L11" s="202">
        <v>8.2267406470946298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2199.7709999999997</v>
      </c>
      <c r="S11" s="62">
        <f t="shared" si="3"/>
        <v>83.032317000000006</v>
      </c>
      <c r="T11" s="63">
        <f t="shared" si="4"/>
        <v>180.96945499999998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6138</v>
      </c>
      <c r="AI11" s="66">
        <v>4.01</v>
      </c>
      <c r="AJ11" s="66">
        <v>8.1999999999999993</v>
      </c>
      <c r="AK11" s="62">
        <f t="shared" si="9"/>
        <v>246.13379999999998</v>
      </c>
      <c r="AL11" s="72">
        <f t="shared" si="10"/>
        <v>503.31599999999992</v>
      </c>
      <c r="AM11" s="73">
        <f t="shared" si="11"/>
        <v>-83.229000000000269</v>
      </c>
      <c r="AN11" s="74">
        <f t="shared" si="12"/>
        <v>-3.1189829999999574</v>
      </c>
      <c r="AO11" s="74">
        <f t="shared" si="12"/>
        <v>-6.6220449999999573</v>
      </c>
      <c r="AP11" s="75">
        <f t="shared" si="13"/>
        <v>-3.6897585672265552E-2</v>
      </c>
      <c r="AQ11" s="76">
        <f t="shared" si="14"/>
        <v>-3482.0163679195307</v>
      </c>
      <c r="AR11" s="90">
        <f t="shared" si="15"/>
        <v>-83.229000000000269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6138</v>
      </c>
      <c r="E12" s="62">
        <v>4.01</v>
      </c>
      <c r="F12" s="62">
        <v>8.1999999999999993</v>
      </c>
      <c r="G12" s="62">
        <f t="shared" si="0"/>
        <v>246.13379999999998</v>
      </c>
      <c r="H12" s="63">
        <f t="shared" si="1"/>
        <v>503.31599999999992</v>
      </c>
      <c r="I12" s="202">
        <v>3654.8000000000015</v>
      </c>
      <c r="J12" s="202">
        <v>3764.4440000000018</v>
      </c>
      <c r="K12" s="202">
        <v>3.4305543394987419</v>
      </c>
      <c r="L12" s="202">
        <v>8.0671007989493297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3764.4440000000018</v>
      </c>
      <c r="S12" s="62">
        <f t="shared" si="3"/>
        <v>129.14129700000007</v>
      </c>
      <c r="T12" s="63">
        <f t="shared" si="4"/>
        <v>303.68149200000022</v>
      </c>
      <c r="U12" s="64" t="s">
        <v>174</v>
      </c>
      <c r="V12" s="65" t="s">
        <v>261</v>
      </c>
      <c r="W12" s="66" t="s">
        <v>187</v>
      </c>
      <c r="X12" s="67">
        <v>7130</v>
      </c>
      <c r="Y12" s="68">
        <v>3.6</v>
      </c>
      <c r="Z12" s="68">
        <v>8.16</v>
      </c>
      <c r="AA12" s="62">
        <f t="shared" si="5"/>
        <v>256.68</v>
      </c>
      <c r="AB12" s="63">
        <f t="shared" si="6"/>
        <v>581.80799999999999</v>
      </c>
      <c r="AC12" s="215">
        <v>7130</v>
      </c>
      <c r="AD12" s="216">
        <v>3.6</v>
      </c>
      <c r="AE12" s="216">
        <v>8.16</v>
      </c>
      <c r="AF12" s="62">
        <f t="shared" si="7"/>
        <v>256.68</v>
      </c>
      <c r="AG12" s="62">
        <f t="shared" si="8"/>
        <v>581.80799999999999</v>
      </c>
      <c r="AH12" s="89">
        <v>2990</v>
      </c>
      <c r="AI12" s="66">
        <v>3.79</v>
      </c>
      <c r="AJ12" s="66">
        <v>8.15</v>
      </c>
      <c r="AK12" s="62">
        <f t="shared" si="9"/>
        <v>113.32100000000001</v>
      </c>
      <c r="AL12" s="72">
        <f t="shared" si="10"/>
        <v>243.685</v>
      </c>
      <c r="AM12" s="73">
        <f t="shared" si="11"/>
        <v>-217.55599999999868</v>
      </c>
      <c r="AN12" s="74">
        <f t="shared" si="12"/>
        <v>5.2740970000000544</v>
      </c>
      <c r="AO12" s="74">
        <f t="shared" si="12"/>
        <v>-18.495507999999802</v>
      </c>
      <c r="AP12" s="75">
        <f t="shared" si="13"/>
        <v>-3.0546938229723711E-2</v>
      </c>
      <c r="AQ12" s="76">
        <f t="shared" si="14"/>
        <v>-3004.8647280298565</v>
      </c>
      <c r="AR12" s="90">
        <f t="shared" si="15"/>
        <v>-217.55599999999868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2990</v>
      </c>
      <c r="E13" s="62">
        <v>3.79</v>
      </c>
      <c r="F13" s="62">
        <v>8.15</v>
      </c>
      <c r="G13" s="62">
        <f t="shared" si="0"/>
        <v>113.32100000000001</v>
      </c>
      <c r="H13" s="63">
        <f t="shared" si="1"/>
        <v>243.685</v>
      </c>
      <c r="I13" s="202">
        <v>3432.3000000000006</v>
      </c>
      <c r="J13" s="202">
        <v>3535.2690000000007</v>
      </c>
      <c r="K13" s="202">
        <v>3.4545960434693934</v>
      </c>
      <c r="L13" s="202">
        <v>8.0693062960696906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3535.2690000000007</v>
      </c>
      <c r="S13" s="62">
        <f t="shared" si="3"/>
        <v>122.12926300000001</v>
      </c>
      <c r="T13" s="63">
        <f t="shared" si="4"/>
        <v>285.27168400000005</v>
      </c>
      <c r="U13" s="64" t="s">
        <v>168</v>
      </c>
      <c r="V13" s="65" t="s">
        <v>262</v>
      </c>
      <c r="W13" s="66" t="s">
        <v>260</v>
      </c>
      <c r="X13" s="67">
        <v>6575</v>
      </c>
      <c r="Y13" s="68">
        <v>3.65</v>
      </c>
      <c r="Z13" s="68">
        <v>8.15</v>
      </c>
      <c r="AA13" s="62">
        <f t="shared" si="5"/>
        <v>239.98749999999998</v>
      </c>
      <c r="AB13" s="63">
        <f t="shared" si="6"/>
        <v>535.86250000000007</v>
      </c>
      <c r="AC13" s="69">
        <v>6575</v>
      </c>
      <c r="AD13" s="70">
        <v>3.65</v>
      </c>
      <c r="AE13" s="70">
        <v>8.15</v>
      </c>
      <c r="AF13" s="62">
        <f t="shared" si="7"/>
        <v>239.98749999999998</v>
      </c>
      <c r="AG13" s="62">
        <f t="shared" si="8"/>
        <v>535.86250000000007</v>
      </c>
      <c r="AH13" s="89">
        <v>0</v>
      </c>
      <c r="AI13" s="66">
        <v>0</v>
      </c>
      <c r="AJ13" s="66">
        <v>0</v>
      </c>
      <c r="AK13" s="62">
        <f t="shared" si="9"/>
        <v>0</v>
      </c>
      <c r="AL13" s="72">
        <f t="shared" si="10"/>
        <v>0</v>
      </c>
      <c r="AM13" s="73">
        <f t="shared" si="11"/>
        <v>-49.730999999999767</v>
      </c>
      <c r="AN13" s="74">
        <f t="shared" si="12"/>
        <v>-4.5372369999999762</v>
      </c>
      <c r="AO13" s="74">
        <f t="shared" si="12"/>
        <v>-6.9058160000000726</v>
      </c>
      <c r="AP13" s="75">
        <f t="shared" si="13"/>
        <v>-2.8087939127937389E-2</v>
      </c>
      <c r="AQ13" s="76">
        <f t="shared" si="14"/>
        <v>-4248.5204622434703</v>
      </c>
      <c r="AR13" s="90">
        <f t="shared" si="15"/>
        <v>-49.730999999999767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0</v>
      </c>
      <c r="E14" s="62">
        <v>0</v>
      </c>
      <c r="F14" s="62">
        <v>0</v>
      </c>
      <c r="G14" s="62">
        <f t="shared" si="0"/>
        <v>0</v>
      </c>
      <c r="H14" s="63">
        <f t="shared" si="1"/>
        <v>0</v>
      </c>
      <c r="I14" s="202">
        <v>737.9</v>
      </c>
      <c r="J14" s="202">
        <v>760.03700000000003</v>
      </c>
      <c r="K14" s="202">
        <v>4.5558341238650231</v>
      </c>
      <c r="L14" s="202">
        <v>8.3826805800243971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760.03700000000003</v>
      </c>
      <c r="S14" s="62">
        <f t="shared" si="3"/>
        <v>34.626025000000013</v>
      </c>
      <c r="T14" s="63">
        <f t="shared" si="4"/>
        <v>63.711474000000031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761</v>
      </c>
      <c r="AI14" s="66">
        <v>4.5599999999999996</v>
      </c>
      <c r="AJ14" s="66">
        <v>8.3800000000000008</v>
      </c>
      <c r="AK14" s="62">
        <f t="shared" si="9"/>
        <v>34.701599999999999</v>
      </c>
      <c r="AL14" s="72">
        <f t="shared" si="10"/>
        <v>63.771800000000013</v>
      </c>
      <c r="AM14" s="73">
        <f t="shared" si="11"/>
        <v>-0.96299999999996544</v>
      </c>
      <c r="AN14" s="74">
        <f t="shared" si="12"/>
        <v>-7.5574999999986403E-2</v>
      </c>
      <c r="AO14" s="74">
        <f t="shared" si="12"/>
        <v>-6.0325999999982116E-2</v>
      </c>
      <c r="AP14" s="75">
        <f t="shared" si="13"/>
        <v>-1.3819855231417719E-3</v>
      </c>
      <c r="AQ14" s="76">
        <f t="shared" si="14"/>
        <v>-54.383347143225123</v>
      </c>
      <c r="AR14" s="90">
        <f t="shared" si="15"/>
        <v>-0.96299999999996544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761</v>
      </c>
      <c r="E15" s="62">
        <v>4.5599999999999996</v>
      </c>
      <c r="F15" s="62">
        <v>8.3800000000000008</v>
      </c>
      <c r="G15" s="62">
        <f t="shared" si="0"/>
        <v>34.701599999999999</v>
      </c>
      <c r="H15" s="63">
        <f t="shared" si="1"/>
        <v>63.771800000000013</v>
      </c>
      <c r="I15" s="202">
        <v>1280.2</v>
      </c>
      <c r="J15" s="202">
        <v>1318.606</v>
      </c>
      <c r="K15" s="202">
        <v>4.1088423683799409</v>
      </c>
      <c r="L15" s="202">
        <v>8.306444305577255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1318.606</v>
      </c>
      <c r="S15" s="62">
        <f t="shared" si="3"/>
        <v>54.179442000000009</v>
      </c>
      <c r="T15" s="63">
        <f t="shared" si="4"/>
        <v>109.52927300000003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2081</v>
      </c>
      <c r="AI15" s="66">
        <v>4.2699999999999996</v>
      </c>
      <c r="AJ15" s="66">
        <v>8.34</v>
      </c>
      <c r="AK15" s="62">
        <f t="shared" si="9"/>
        <v>88.858699999999985</v>
      </c>
      <c r="AL15" s="72">
        <f t="shared" si="10"/>
        <v>173.55539999999999</v>
      </c>
      <c r="AM15" s="73">
        <f t="shared" si="11"/>
        <v>-1.3940000000002328</v>
      </c>
      <c r="AN15" s="74">
        <f t="shared" si="12"/>
        <v>2.2342000000023177E-2</v>
      </c>
      <c r="AO15" s="74">
        <f t="shared" si="12"/>
        <v>-0.25432699999996089</v>
      </c>
      <c r="AP15" s="75">
        <f t="shared" si="13"/>
        <v>-1.417059562161597E-3</v>
      </c>
      <c r="AQ15" s="76">
        <f t="shared" si="14"/>
        <v>-65.432614198809546</v>
      </c>
      <c r="AR15" s="90">
        <f t="shared" si="15"/>
        <v>-1.3940000000002328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2081</v>
      </c>
      <c r="E16" s="62">
        <v>4.2699999999999996</v>
      </c>
      <c r="F16" s="62">
        <v>8.34</v>
      </c>
      <c r="G16" s="62">
        <f t="shared" si="0"/>
        <v>88.858699999999985</v>
      </c>
      <c r="H16" s="63">
        <f t="shared" si="1"/>
        <v>173.55539999999999</v>
      </c>
      <c r="I16" s="202">
        <v>1225.5999999999999</v>
      </c>
      <c r="J16" s="202">
        <v>1262.3679999999999</v>
      </c>
      <c r="K16" s="202">
        <v>4.317460835509138</v>
      </c>
      <c r="L16" s="202">
        <v>8.0875897519582249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1262.3679999999999</v>
      </c>
      <c r="S16" s="62">
        <f t="shared" si="3"/>
        <v>54.50224399999999</v>
      </c>
      <c r="T16" s="63">
        <f t="shared" si="4"/>
        <v>102.095145</v>
      </c>
      <c r="U16" s="64" t="s">
        <v>169</v>
      </c>
      <c r="V16" s="65" t="s">
        <v>362</v>
      </c>
      <c r="W16" s="66" t="s">
        <v>30</v>
      </c>
      <c r="X16" s="67">
        <v>2950</v>
      </c>
      <c r="Y16" s="68">
        <v>4.25</v>
      </c>
      <c r="Z16" s="68">
        <v>8.51</v>
      </c>
      <c r="AA16" s="62">
        <f t="shared" si="5"/>
        <v>125.37500000000001</v>
      </c>
      <c r="AB16" s="63">
        <f t="shared" si="6"/>
        <v>251.04499999999999</v>
      </c>
      <c r="AC16" s="69">
        <v>2960</v>
      </c>
      <c r="AD16" s="70">
        <v>4.2</v>
      </c>
      <c r="AE16" s="70">
        <v>8.31</v>
      </c>
      <c r="AF16" s="62">
        <f t="shared" si="7"/>
        <v>124.32000000000001</v>
      </c>
      <c r="AG16" s="62">
        <f t="shared" si="8"/>
        <v>245.97600000000003</v>
      </c>
      <c r="AH16" s="89">
        <v>394</v>
      </c>
      <c r="AI16" s="66">
        <v>4.29</v>
      </c>
      <c r="AJ16" s="66">
        <v>8.25</v>
      </c>
      <c r="AK16" s="62">
        <f t="shared" si="9"/>
        <v>16.9026</v>
      </c>
      <c r="AL16" s="72">
        <f t="shared" si="10"/>
        <v>32.505000000000003</v>
      </c>
      <c r="AM16" s="73">
        <f t="shared" si="11"/>
        <v>-10.632000000000062</v>
      </c>
      <c r="AN16" s="74">
        <f t="shared" si="12"/>
        <v>2.1383439999999538</v>
      </c>
      <c r="AO16" s="74">
        <f t="shared" si="12"/>
        <v>-2.8304550000000646</v>
      </c>
      <c r="AP16" s="75">
        <f t="shared" si="13"/>
        <v>-4.419684162167677E-3</v>
      </c>
      <c r="AQ16" s="76">
        <f t="shared" si="14"/>
        <v>179.84781311085055</v>
      </c>
      <c r="AR16" s="90">
        <f t="shared" si="15"/>
        <v>-0.63200000000006185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394</v>
      </c>
      <c r="E17" s="62">
        <v>4.29</v>
      </c>
      <c r="F17" s="62">
        <v>8.25</v>
      </c>
      <c r="G17" s="62">
        <f t="shared" si="0"/>
        <v>16.9026</v>
      </c>
      <c r="H17" s="63">
        <f t="shared" si="1"/>
        <v>32.505000000000003</v>
      </c>
      <c r="I17" s="202">
        <v>3250.5</v>
      </c>
      <c r="J17" s="202">
        <v>3348.0149999999999</v>
      </c>
      <c r="K17" s="202">
        <v>3.9693770189201674</v>
      </c>
      <c r="L17" s="202">
        <v>8.1275557606522106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3348.0149999999999</v>
      </c>
      <c r="S17" s="62">
        <f t="shared" si="3"/>
        <v>132.89533800000004</v>
      </c>
      <c r="T17" s="63">
        <f t="shared" si="4"/>
        <v>272.11178600000011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3743</v>
      </c>
      <c r="AI17" s="66">
        <v>4</v>
      </c>
      <c r="AJ17" s="66">
        <v>8.14</v>
      </c>
      <c r="AK17" s="62">
        <f t="shared" si="9"/>
        <v>149.72</v>
      </c>
      <c r="AL17" s="72">
        <f t="shared" si="10"/>
        <v>304.68020000000001</v>
      </c>
      <c r="AM17" s="73">
        <f t="shared" si="11"/>
        <v>-0.98500000000012733</v>
      </c>
      <c r="AN17" s="74">
        <f t="shared" si="12"/>
        <v>7.7938000000045804E-2</v>
      </c>
      <c r="AO17" s="74">
        <f t="shared" si="12"/>
        <v>-6.3413999999909265E-2</v>
      </c>
      <c r="AP17" s="75">
        <f t="shared" si="13"/>
        <v>3.5861097594264871E-5</v>
      </c>
      <c r="AQ17" s="76">
        <f t="shared" si="14"/>
        <v>18.459817147206355</v>
      </c>
      <c r="AR17" s="90">
        <f t="shared" si="15"/>
        <v>-0.98500000000012733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3743</v>
      </c>
      <c r="E18" s="62">
        <v>4</v>
      </c>
      <c r="F18" s="62">
        <v>8.14</v>
      </c>
      <c r="G18" s="62">
        <f t="shared" si="0"/>
        <v>149.72</v>
      </c>
      <c r="H18" s="63">
        <f t="shared" si="1"/>
        <v>304.68020000000001</v>
      </c>
      <c r="I18" s="202">
        <v>810.19999999999993</v>
      </c>
      <c r="J18" s="202">
        <v>834.50599999999997</v>
      </c>
      <c r="K18" s="202">
        <v>4.539274253270797</v>
      </c>
      <c r="L18" s="202">
        <v>8.4101333004196484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834.50599999999997</v>
      </c>
      <c r="S18" s="62">
        <f t="shared" si="3"/>
        <v>37.880515999999993</v>
      </c>
      <c r="T18" s="63">
        <f t="shared" si="4"/>
        <v>70.18306699999998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4579</v>
      </c>
      <c r="AI18" s="66">
        <v>4.0999999999999996</v>
      </c>
      <c r="AJ18" s="66">
        <v>8.19</v>
      </c>
      <c r="AK18" s="62">
        <f t="shared" si="9"/>
        <v>187.73899999999998</v>
      </c>
      <c r="AL18" s="72">
        <f t="shared" si="10"/>
        <v>375.02010000000001</v>
      </c>
      <c r="AM18" s="73">
        <f t="shared" si="11"/>
        <v>-1.4939999999996871</v>
      </c>
      <c r="AN18" s="74">
        <f t="shared" si="12"/>
        <v>-0.13848399999997696</v>
      </c>
      <c r="AO18" s="74">
        <f t="shared" si="12"/>
        <v>-0.156833000000006</v>
      </c>
      <c r="AP18" s="75">
        <f t="shared" si="13"/>
        <v>-2.7328077766955315E-3</v>
      </c>
      <c r="AQ18" s="76">
        <f t="shared" si="14"/>
        <v>-113.5161564516855</v>
      </c>
      <c r="AR18" s="90">
        <f>(D18+J18+O18)-(X18+AH18)</f>
        <v>-1.4939999999996871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4579</v>
      </c>
      <c r="E19" s="62">
        <v>4.0999999999999996</v>
      </c>
      <c r="F19" s="62">
        <v>8.19</v>
      </c>
      <c r="G19" s="62">
        <f t="shared" si="0"/>
        <v>187.73899999999998</v>
      </c>
      <c r="H19" s="63">
        <f t="shared" si="1"/>
        <v>375.02010000000001</v>
      </c>
      <c r="I19" s="202">
        <v>6111.8999999999987</v>
      </c>
      <c r="J19" s="202">
        <v>6295.2569999999987</v>
      </c>
      <c r="K19" s="202">
        <v>3.274119340957804</v>
      </c>
      <c r="L19" s="202">
        <v>8.0660661987270785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6295.2569999999987</v>
      </c>
      <c r="S19" s="62">
        <f t="shared" si="3"/>
        <v>206.11422699999997</v>
      </c>
      <c r="T19" s="63">
        <f t="shared" si="4"/>
        <v>507.77959700000025</v>
      </c>
      <c r="U19" s="64" t="s">
        <v>171</v>
      </c>
      <c r="V19" s="65" t="s">
        <v>363</v>
      </c>
      <c r="W19" s="66" t="s">
        <v>364</v>
      </c>
      <c r="X19" s="67">
        <v>8554</v>
      </c>
      <c r="Y19" s="68">
        <v>3.64</v>
      </c>
      <c r="Z19" s="68">
        <v>8.18</v>
      </c>
      <c r="AA19" s="62">
        <f t="shared" si="5"/>
        <v>311.36560000000003</v>
      </c>
      <c r="AB19" s="63">
        <f t="shared" si="6"/>
        <v>699.71719999999993</v>
      </c>
      <c r="AC19" s="215">
        <v>8554</v>
      </c>
      <c r="AD19" s="216">
        <v>3.64</v>
      </c>
      <c r="AE19" s="216">
        <v>8.18</v>
      </c>
      <c r="AF19" s="62">
        <f t="shared" si="7"/>
        <v>311.36560000000003</v>
      </c>
      <c r="AG19" s="62">
        <f t="shared" si="8"/>
        <v>699.71719999999993</v>
      </c>
      <c r="AH19" s="89">
        <v>2321</v>
      </c>
      <c r="AI19" s="66">
        <v>3.62</v>
      </c>
      <c r="AJ19" s="66">
        <v>8.1199999999999992</v>
      </c>
      <c r="AK19" s="62">
        <f t="shared" si="9"/>
        <v>84.020200000000003</v>
      </c>
      <c r="AL19" s="72">
        <f t="shared" si="10"/>
        <v>188.46519999999998</v>
      </c>
      <c r="AM19" s="73">
        <f t="shared" si="11"/>
        <v>-0.74300000000221189</v>
      </c>
      <c r="AN19" s="74">
        <f t="shared" si="12"/>
        <v>-1.5325730000000846</v>
      </c>
      <c r="AO19" s="74">
        <f t="shared" si="12"/>
        <v>-5.3827029999996512</v>
      </c>
      <c r="AP19" s="75">
        <f t="shared" si="13"/>
        <v>-9.6867009736166781E-3</v>
      </c>
      <c r="AQ19" s="76">
        <f t="shared" si="14"/>
        <v>-2348.5228352002323</v>
      </c>
      <c r="AR19" s="90">
        <f>(D19+J19+O19)-(X19+AH19)</f>
        <v>-0.74300000000221189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2321</v>
      </c>
      <c r="E20" s="62">
        <v>3.62</v>
      </c>
      <c r="F20" s="62">
        <v>8.1199999999999992</v>
      </c>
      <c r="G20" s="62">
        <f t="shared" si="0"/>
        <v>84.020200000000003</v>
      </c>
      <c r="H20" s="63">
        <f t="shared" si="1"/>
        <v>188.46519999999998</v>
      </c>
      <c r="I20" s="202">
        <v>4456.2000000000007</v>
      </c>
      <c r="J20" s="202">
        <v>4589.8860000000004</v>
      </c>
      <c r="K20" s="202">
        <v>4.1443292491360344</v>
      </c>
      <c r="L20" s="202">
        <v>8.0855257843005255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4589.8860000000004</v>
      </c>
      <c r="S20" s="62">
        <f t="shared" si="3"/>
        <v>190.21998799999997</v>
      </c>
      <c r="T20" s="63">
        <f t="shared" si="4"/>
        <v>371.11641600000002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6912</v>
      </c>
      <c r="AI20" s="66">
        <v>3.97</v>
      </c>
      <c r="AJ20" s="66">
        <v>8.1</v>
      </c>
      <c r="AK20" s="62">
        <f t="shared" si="9"/>
        <v>274.40640000000002</v>
      </c>
      <c r="AL20" s="72">
        <f t="shared" si="10"/>
        <v>559.87200000000007</v>
      </c>
      <c r="AM20" s="73">
        <f t="shared" si="11"/>
        <v>-1.113999999999578</v>
      </c>
      <c r="AN20" s="74">
        <f t="shared" ref="AN20:AO65" si="18">+G20+S20-AF20-AK20</f>
        <v>-0.16621200000003</v>
      </c>
      <c r="AO20" s="74">
        <f t="shared" si="18"/>
        <v>-0.29038400000013098</v>
      </c>
      <c r="AP20" s="75">
        <f t="shared" si="13"/>
        <v>-8.1340885206540245E-4</v>
      </c>
      <c r="AQ20" s="76">
        <f t="shared" si="14"/>
        <v>-166.83769845978651</v>
      </c>
      <c r="AR20" s="90">
        <f>(D20+J20+O20)-(X20+AH20)</f>
        <v>-1.113999999999578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6912</v>
      </c>
      <c r="E21" s="62">
        <v>3.97</v>
      </c>
      <c r="F21" s="62">
        <v>8.1</v>
      </c>
      <c r="G21" s="62">
        <f t="shared" si="0"/>
        <v>274.40640000000002</v>
      </c>
      <c r="H21" s="63">
        <f t="shared" si="1"/>
        <v>559.87200000000007</v>
      </c>
      <c r="I21" s="202">
        <v>4632.4000000000015</v>
      </c>
      <c r="J21" s="202">
        <v>4771.3720000000012</v>
      </c>
      <c r="K21" s="202">
        <v>3.9065624730161472</v>
      </c>
      <c r="L21" s="202">
        <v>8.1355733529056238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4771.3720000000012</v>
      </c>
      <c r="S21" s="62">
        <f t="shared" si="3"/>
        <v>186.39662800000005</v>
      </c>
      <c r="T21" s="63">
        <f t="shared" si="4"/>
        <v>388.17846900000023</v>
      </c>
      <c r="U21" s="64" t="s">
        <v>174</v>
      </c>
      <c r="V21" s="65" t="s">
        <v>391</v>
      </c>
      <c r="W21" s="66" t="s">
        <v>181</v>
      </c>
      <c r="X21" s="67">
        <v>7130</v>
      </c>
      <c r="Y21" s="68">
        <v>4</v>
      </c>
      <c r="Z21" s="68">
        <v>8.02</v>
      </c>
      <c r="AA21" s="62">
        <f t="shared" si="5"/>
        <v>285.2</v>
      </c>
      <c r="AB21" s="63">
        <f t="shared" si="6"/>
        <v>571.82599999999991</v>
      </c>
      <c r="AC21" s="215">
        <v>7130</v>
      </c>
      <c r="AD21" s="216">
        <v>4</v>
      </c>
      <c r="AE21" s="216">
        <v>8.02</v>
      </c>
      <c r="AF21" s="62">
        <f t="shared" si="7"/>
        <v>285.2</v>
      </c>
      <c r="AG21" s="62">
        <f t="shared" si="8"/>
        <v>571.82599999999991</v>
      </c>
      <c r="AH21" s="89">
        <v>4456</v>
      </c>
      <c r="AI21" s="66">
        <v>3.94</v>
      </c>
      <c r="AJ21" s="66">
        <v>8.11</v>
      </c>
      <c r="AK21" s="62">
        <f t="shared" si="9"/>
        <v>175.56639999999999</v>
      </c>
      <c r="AL21" s="72">
        <f t="shared" si="10"/>
        <v>361.38159999999993</v>
      </c>
      <c r="AM21" s="73">
        <f t="shared" si="11"/>
        <v>97.372000000001208</v>
      </c>
      <c r="AN21" s="74">
        <f t="shared" si="18"/>
        <v>3.6628000000064276E-2</v>
      </c>
      <c r="AO21" s="74">
        <f t="shared" si="18"/>
        <v>14.842869000000405</v>
      </c>
      <c r="AP21" s="75">
        <f t="shared" si="13"/>
        <v>2.589652262635473E-2</v>
      </c>
      <c r="AQ21" s="76">
        <f t="shared" si="14"/>
        <v>4462.9080728054605</v>
      </c>
      <c r="AR21" s="90">
        <f>(D21+J21+O21)-(X21+AH21)</f>
        <v>97.372000000001208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/>
      <c r="E22" s="62"/>
      <c r="F22" s="62"/>
      <c r="G22" s="62">
        <f t="shared" si="0"/>
        <v>0</v>
      </c>
      <c r="H22" s="63">
        <f t="shared" si="1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1"/>
        <v>0</v>
      </c>
      <c r="AN22" s="74">
        <f t="shared" si="18"/>
        <v>0</v>
      </c>
      <c r="AO22" s="74">
        <f t="shared" si="18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/>
      <c r="E23" s="62"/>
      <c r="F23" s="62"/>
      <c r="G23" s="62">
        <f t="shared" si="0"/>
        <v>0</v>
      </c>
      <c r="H23" s="63">
        <f t="shared" si="1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/>
      <c r="AI23" s="66"/>
      <c r="AJ23" s="66"/>
      <c r="AK23" s="62">
        <f t="shared" si="9"/>
        <v>0</v>
      </c>
      <c r="AL23" s="72">
        <f t="shared" si="10"/>
        <v>0</v>
      </c>
      <c r="AM23" s="73">
        <f t="shared" si="11"/>
        <v>0</v>
      </c>
      <c r="AN23" s="74">
        <f t="shared" si="18"/>
        <v>0</v>
      </c>
      <c r="AO23" s="74">
        <f t="shared" si="18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/>
      <c r="E24" s="62"/>
      <c r="F24" s="62"/>
      <c r="G24" s="62">
        <f t="shared" si="0"/>
        <v>0</v>
      </c>
      <c r="H24" s="63">
        <f t="shared" si="1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1"/>
        <v>0</v>
      </c>
      <c r="AN24" s="74">
        <f t="shared" si="18"/>
        <v>0</v>
      </c>
      <c r="AO24" s="74">
        <f t="shared" si="18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/>
      <c r="E25" s="62"/>
      <c r="F25" s="62"/>
      <c r="G25" s="62">
        <f t="shared" si="0"/>
        <v>0</v>
      </c>
      <c r="H25" s="63">
        <f t="shared" si="1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1"/>
        <v>0</v>
      </c>
      <c r="AN25" s="74">
        <f t="shared" si="18"/>
        <v>0</v>
      </c>
      <c r="AO25" s="74">
        <f t="shared" si="18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18"/>
        <v>0</v>
      </c>
      <c r="AO26" s="74">
        <f t="shared" si="18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18"/>
        <v>0</v>
      </c>
      <c r="AO27" s="74">
        <f t="shared" si="18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18"/>
        <v>0</v>
      </c>
      <c r="AO28" s="74">
        <f t="shared" si="18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18"/>
        <v>0</v>
      </c>
      <c r="AO29" s="74">
        <f t="shared" si="18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18"/>
        <v>0</v>
      </c>
      <c r="AO30" s="74">
        <f t="shared" si="18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18"/>
        <v>0</v>
      </c>
      <c r="AO31" s="74">
        <f t="shared" si="18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202"/>
      <c r="J32" s="202"/>
      <c r="K32" s="202"/>
      <c r="L32" s="202"/>
      <c r="M32" s="58"/>
      <c r="N32" s="57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18"/>
        <v>0</v>
      </c>
      <c r="AO32" s="74">
        <f t="shared" si="18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18"/>
        <v>0</v>
      </c>
      <c r="AO33" s="74">
        <f t="shared" si="18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18"/>
        <v>0</v>
      </c>
      <c r="AO34" s="74">
        <f t="shared" si="18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18"/>
        <v>0</v>
      </c>
      <c r="AO35" s="74">
        <f t="shared" si="18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/>
      <c r="E36" s="62"/>
      <c r="F36" s="62"/>
      <c r="G36" s="62">
        <f t="shared" si="0"/>
        <v>0</v>
      </c>
      <c r="H36" s="63">
        <f t="shared" si="1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1"/>
        <v>0</v>
      </c>
      <c r="AN36" s="74">
        <f t="shared" si="18"/>
        <v>0</v>
      </c>
      <c r="AO36" s="74">
        <f t="shared" si="18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/>
      <c r="E37" s="62"/>
      <c r="F37" s="62"/>
      <c r="G37" s="62">
        <f t="shared" si="0"/>
        <v>0</v>
      </c>
      <c r="H37" s="63">
        <f t="shared" si="1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1"/>
        <v>0</v>
      </c>
      <c r="AN37" s="74">
        <f t="shared" si="18"/>
        <v>0</v>
      </c>
      <c r="AO37" s="74">
        <f t="shared" si="18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/>
      <c r="E38" s="62"/>
      <c r="F38" s="62"/>
      <c r="G38" s="62">
        <f t="shared" si="0"/>
        <v>0</v>
      </c>
      <c r="H38" s="63">
        <f t="shared" si="1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66"/>
      <c r="AJ38" s="66"/>
      <c r="AK38" s="62">
        <f t="shared" si="9"/>
        <v>0</v>
      </c>
      <c r="AL38" s="72">
        <f t="shared" si="10"/>
        <v>0</v>
      </c>
      <c r="AM38" s="73">
        <f t="shared" si="11"/>
        <v>0</v>
      </c>
      <c r="AN38" s="74">
        <f t="shared" si="18"/>
        <v>0</v>
      </c>
      <c r="AO38" s="74">
        <f t="shared" si="18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/>
      <c r="E39" s="62"/>
      <c r="F39" s="62"/>
      <c r="G39" s="62">
        <f t="shared" si="0"/>
        <v>0</v>
      </c>
      <c r="H39" s="63">
        <f t="shared" si="1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1"/>
        <v>0</v>
      </c>
      <c r="AN39" s="74">
        <f t="shared" si="18"/>
        <v>0</v>
      </c>
      <c r="AO39" s="74">
        <f t="shared" si="18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18"/>
        <v>0</v>
      </c>
      <c r="AO40" s="74">
        <f t="shared" si="18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66"/>
      <c r="AJ41" s="66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18"/>
        <v>0</v>
      </c>
      <c r="AO41" s="74">
        <f t="shared" si="18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18"/>
        <v>0</v>
      </c>
      <c r="AO42" s="74">
        <f t="shared" si="18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66"/>
      <c r="AJ43" s="66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18"/>
        <v>0</v>
      </c>
      <c r="AO43" s="74">
        <f t="shared" si="18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18"/>
        <v>0</v>
      </c>
      <c r="AO44" s="74">
        <f t="shared" si="18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66"/>
      <c r="AJ45" s="66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18"/>
        <v>0</v>
      </c>
      <c r="AO45" s="74">
        <f t="shared" si="18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18"/>
        <v>0</v>
      </c>
      <c r="AO46" s="74">
        <f t="shared" si="18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18"/>
        <v>0</v>
      </c>
      <c r="AO47" s="74">
        <f t="shared" si="18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66"/>
      <c r="AJ48" s="66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18"/>
        <v>0</v>
      </c>
      <c r="AO48" s="74">
        <f t="shared" si="18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18"/>
        <v>0</v>
      </c>
      <c r="AO49" s="74">
        <f t="shared" si="18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66"/>
      <c r="AJ50" s="66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18"/>
        <v>0</v>
      </c>
      <c r="AO50" s="74">
        <f t="shared" si="18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18"/>
        <v>0</v>
      </c>
      <c r="AO51" s="74">
        <f t="shared" si="18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8"/>
      <c r="J52" s="118"/>
      <c r="K52" s="118"/>
      <c r="L52" s="118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18"/>
        <v>0</v>
      </c>
      <c r="AO52" s="74">
        <f t="shared" si="18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8"/>
      <c r="J53" s="118"/>
      <c r="K53" s="118"/>
      <c r="L53" s="118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18"/>
        <v>0</v>
      </c>
      <c r="AO53" s="74">
        <f t="shared" si="18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8"/>
      <c r="J54" s="118"/>
      <c r="K54" s="118"/>
      <c r="L54" s="118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8"/>
      <c r="J55" s="118"/>
      <c r="K55" s="118"/>
      <c r="L55" s="118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8"/>
      <c r="J56" s="118"/>
      <c r="K56" s="118"/>
      <c r="L56" s="118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8"/>
      <c r="J57" s="118"/>
      <c r="K57" s="118"/>
      <c r="L57" s="118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8"/>
      <c r="J58" s="118"/>
      <c r="K58" s="118"/>
      <c r="L58" s="118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8"/>
      <c r="J59" s="118"/>
      <c r="K59" s="118"/>
      <c r="L59" s="118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8"/>
      <c r="J60" s="118"/>
      <c r="K60" s="118"/>
      <c r="L60" s="118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8"/>
      <c r="J61" s="118"/>
      <c r="K61" s="118"/>
      <c r="L61" s="118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8"/>
      <c r="J62" s="118"/>
      <c r="K62" s="118"/>
      <c r="L62" s="118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8"/>
      <c r="J63" s="118"/>
      <c r="K63" s="118"/>
      <c r="L63" s="118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49563.909000000007</v>
      </c>
      <c r="R66" s="83">
        <f>SUM(R4:R65)</f>
        <v>49563.909000000007</v>
      </c>
      <c r="S66" s="83">
        <f t="shared" ref="S66:T66" si="19">SUM(S4:S65)</f>
        <v>1916.8005420000004</v>
      </c>
      <c r="T66" s="83">
        <f t="shared" si="19"/>
        <v>4031.2549940000008</v>
      </c>
      <c r="AH66" s="90"/>
      <c r="AI66" s="77"/>
      <c r="AJ66" s="77"/>
      <c r="AM66" s="83">
        <f>-SUM(AM4:AM65)</f>
        <v>301.09099999999944</v>
      </c>
      <c r="AN66" s="83">
        <f>-SUM(AN4:AN65)</f>
        <v>1.6689579999999253</v>
      </c>
      <c r="AO66" s="83">
        <f>-SUM(AO4:AO65)</f>
        <v>21.910305999999437</v>
      </c>
      <c r="AQ66" s="126">
        <f>-SUM(AQ4:AQ65)</f>
        <v>7363.9302278761434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6" priority="2" operator="lessThan">
      <formula>0.1</formula>
    </cfRule>
    <cfRule type="cellIs" dxfId="105" priority="3" operator="greaterThan">
      <formula>0.1</formula>
    </cfRule>
  </conditionalFormatting>
  <conditionalFormatting sqref="AP1:AQ1">
    <cfRule type="cellIs" dxfId="104" priority="1" operator="lessThan">
      <formula>1</formula>
    </cfRule>
  </conditionalFormatting>
  <conditionalFormatting sqref="AQ4:AQ65">
    <cfRule type="cellIs" dxfId="103" priority="4" operator="lessThan">
      <formula>0</formula>
    </cfRule>
    <cfRule type="cellIs" dxfId="102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O65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2.75" x14ac:dyDescent="0.25"/>
  <cols>
    <col min="1" max="1" width="11.7109375" style="129" customWidth="1"/>
    <col min="2" max="2" width="4.7109375" style="129" customWidth="1"/>
    <col min="3" max="6" width="9.28515625" style="129" bestFit="1" customWidth="1"/>
    <col min="7" max="7" width="8.7109375" style="129"/>
    <col min="8" max="9" width="9.28515625" style="129" bestFit="1" customWidth="1"/>
    <col min="10" max="10" width="10.28515625" style="129" bestFit="1" customWidth="1"/>
    <col min="11" max="15" width="9.28515625" style="129" bestFit="1" customWidth="1"/>
    <col min="16" max="16384" width="8.7109375" style="129"/>
  </cols>
  <sheetData>
    <row r="1" spans="1:15" ht="14.65" customHeight="1" x14ac:dyDescent="0.25">
      <c r="A1" s="251" t="s">
        <v>64</v>
      </c>
      <c r="B1" s="251" t="s">
        <v>65</v>
      </c>
      <c r="C1" s="251" t="s">
        <v>105</v>
      </c>
      <c r="D1" s="251"/>
      <c r="E1" s="251"/>
      <c r="F1" s="251"/>
      <c r="G1" s="251"/>
      <c r="H1" s="251"/>
      <c r="I1" s="251" t="s">
        <v>106</v>
      </c>
      <c r="J1" s="251"/>
      <c r="K1" s="251"/>
      <c r="L1" s="251"/>
      <c r="M1" s="251"/>
      <c r="N1" s="251"/>
      <c r="O1" s="251"/>
    </row>
    <row r="2" spans="1:15" x14ac:dyDescent="0.25">
      <c r="A2" s="251"/>
      <c r="B2" s="251"/>
      <c r="C2" s="130" t="s">
        <v>17</v>
      </c>
      <c r="D2" s="130" t="s">
        <v>18</v>
      </c>
      <c r="E2" s="130" t="s">
        <v>19</v>
      </c>
      <c r="F2" s="130" t="s">
        <v>20</v>
      </c>
      <c r="G2" s="130" t="s">
        <v>104</v>
      </c>
      <c r="H2" s="130" t="s">
        <v>21</v>
      </c>
      <c r="I2" s="130" t="s">
        <v>24</v>
      </c>
      <c r="J2" s="130" t="s">
        <v>25</v>
      </c>
      <c r="K2" s="130" t="s">
        <v>27</v>
      </c>
      <c r="L2" s="130" t="s">
        <v>28</v>
      </c>
      <c r="M2" s="130" t="s">
        <v>29</v>
      </c>
      <c r="N2" s="130" t="s">
        <v>30</v>
      </c>
      <c r="O2" s="130" t="s">
        <v>31</v>
      </c>
    </row>
    <row r="3" spans="1:15" x14ac:dyDescent="0.25">
      <c r="A3" s="131">
        <f>Manjhaul!B4</f>
        <v>46204</v>
      </c>
      <c r="B3" s="132" t="str">
        <f>Manjhaul!C4</f>
        <v>M</v>
      </c>
      <c r="C3" s="133">
        <f>Manjhaul!AQ4</f>
        <v>37.686645751957407</v>
      </c>
      <c r="D3" s="133">
        <f>'Sahibpur Kamal'!AQ4</f>
        <v>1934.4128929662315</v>
      </c>
      <c r="E3" s="133">
        <f>Dalsingsarai!AQ4</f>
        <v>290.7093430248616</v>
      </c>
      <c r="F3" s="133">
        <f>Musrigharari!AQ4</f>
        <v>-8245.021407499873</v>
      </c>
      <c r="G3" s="133"/>
      <c r="H3" s="133">
        <f>Buxar!AQ4</f>
        <v>432.9925914675776</v>
      </c>
      <c r="I3" s="133">
        <f>Laldiyara!AQ4</f>
        <v>25639.228581335428</v>
      </c>
      <c r="J3" s="133">
        <f>Asarganj!AQ4</f>
        <v>-4068.8079810492432</v>
      </c>
      <c r="K3" s="133">
        <f>Madhatpur!AQ4</f>
        <v>106.97099276453659</v>
      </c>
      <c r="L3" s="133">
        <f>Sonvarsha!AQ4</f>
        <v>375.39198397134476</v>
      </c>
      <c r="M3" s="133">
        <f>Araiya!AQ4</f>
        <v>8555.6573321296364</v>
      </c>
      <c r="N3" s="133">
        <f>Teghra!AQ4</f>
        <v>394.75266866765014</v>
      </c>
      <c r="O3" s="133">
        <f>Halsi!AQ4</f>
        <v>7459.7783148497838</v>
      </c>
    </row>
    <row r="4" spans="1:15" x14ac:dyDescent="0.25">
      <c r="A4" s="131">
        <f>Manjhaul!B5</f>
        <v>46204</v>
      </c>
      <c r="B4" s="132" t="str">
        <f>Manjhaul!C5</f>
        <v>E</v>
      </c>
      <c r="C4" s="133">
        <f>Manjhaul!AQ5</f>
        <v>-214.43811586794902</v>
      </c>
      <c r="D4" s="133">
        <f>'Sahibpur Kamal'!AQ5</f>
        <v>-376.00712953301968</v>
      </c>
      <c r="E4" s="133">
        <f>Dalsingsarai!AQ5</f>
        <v>8860.8144977166776</v>
      </c>
      <c r="F4" s="133">
        <f>Musrigharari!AQ5</f>
        <v>612.80881328256385</v>
      </c>
      <c r="G4" s="133"/>
      <c r="H4" s="133">
        <f>Buxar!AQ5</f>
        <v>8718.5860268423512</v>
      </c>
      <c r="I4" s="133">
        <f>Laldiyara!AQ5</f>
        <v>224.22356181820257</v>
      </c>
      <c r="J4" s="133">
        <f>Asarganj!AQ5</f>
        <v>-9362.7808191763033</v>
      </c>
      <c r="K4" s="133">
        <f>Madhatpur!AQ5</f>
        <v>1855.0641064529464</v>
      </c>
      <c r="L4" s="133">
        <f>Sonvarsha!AQ5</f>
        <v>-109.21127321018992</v>
      </c>
      <c r="M4" s="133">
        <f>Araiya!AQ5</f>
        <v>7650.9561107756708</v>
      </c>
      <c r="N4" s="133">
        <f>Teghra!AQ5</f>
        <v>-272.66843037730729</v>
      </c>
      <c r="O4" s="133">
        <f>Halsi!AQ5</f>
        <v>-42075.23869705847</v>
      </c>
    </row>
    <row r="5" spans="1:15" x14ac:dyDescent="0.25">
      <c r="A5" s="131">
        <f>Manjhaul!B6</f>
        <v>46205</v>
      </c>
      <c r="B5" s="132" t="str">
        <f>Manjhaul!C6</f>
        <v>M</v>
      </c>
      <c r="C5" s="133">
        <f>Manjhaul!AQ6</f>
        <v>1645.1555360804982</v>
      </c>
      <c r="D5" s="133">
        <f>'Sahibpur Kamal'!AQ6</f>
        <v>5273.0569203142695</v>
      </c>
      <c r="E5" s="133">
        <f>Dalsingsarai!AQ6</f>
        <v>-43484.112254801585</v>
      </c>
      <c r="F5" s="133">
        <f>Musrigharari!AQ6</f>
        <v>-136.1067811223482</v>
      </c>
      <c r="G5" s="133"/>
      <c r="H5" s="133">
        <f>Buxar!AQ6</f>
        <v>346.59154028900781</v>
      </c>
      <c r="I5" s="133">
        <f>Laldiyara!AQ6</f>
        <v>21599.578073240245</v>
      </c>
      <c r="J5" s="133">
        <f>Asarganj!AQ6</f>
        <v>572.362763041108</v>
      </c>
      <c r="K5" s="133">
        <f>Madhatpur!AQ6</f>
        <v>56.590284128640249</v>
      </c>
      <c r="L5" s="133">
        <f>Sonvarsha!AQ6</f>
        <v>-3.5333533741577412</v>
      </c>
      <c r="M5" s="133">
        <f>Araiya!AQ6</f>
        <v>700.16339011473804</v>
      </c>
      <c r="N5" s="133">
        <f>Teghra!AQ6</f>
        <v>3995.414466298188</v>
      </c>
      <c r="O5" s="133">
        <f>Halsi!AQ6</f>
        <v>5160.4690228401232</v>
      </c>
    </row>
    <row r="6" spans="1:15" x14ac:dyDescent="0.25">
      <c r="A6" s="131">
        <f>Manjhaul!B7</f>
        <v>46205</v>
      </c>
      <c r="B6" s="132" t="str">
        <f>Manjhaul!C7</f>
        <v>E</v>
      </c>
      <c r="C6" s="133">
        <f>Manjhaul!AQ7</f>
        <v>643.14464924064134</v>
      </c>
      <c r="D6" s="133">
        <f>'Sahibpur Kamal'!AQ7</f>
        <v>-137.29930045861727</v>
      </c>
      <c r="E6" s="133">
        <f>Dalsingsarai!AQ7</f>
        <v>35814.210566597219</v>
      </c>
      <c r="F6" s="133">
        <f>Musrigharari!AQ7</f>
        <v>1292.2710897318348</v>
      </c>
      <c r="G6" s="133"/>
      <c r="H6" s="133">
        <f>Buxar!AQ7</f>
        <v>15868.193481791539</v>
      </c>
      <c r="I6" s="133">
        <f>Laldiyara!AQ7</f>
        <v>-46538.986307726693</v>
      </c>
      <c r="J6" s="133">
        <f>Asarganj!AQ7</f>
        <v>13264.538476444704</v>
      </c>
      <c r="K6" s="133">
        <f>Madhatpur!AQ7</f>
        <v>154.83747181304639</v>
      </c>
      <c r="L6" s="133">
        <f>Sonvarsha!AQ7</f>
        <v>5644.9409099109043</v>
      </c>
      <c r="M6" s="133">
        <f>Araiya!AQ7</f>
        <v>-15363.69416792614</v>
      </c>
      <c r="N6" s="133">
        <f>Teghra!AQ7</f>
        <v>-5410.9993832773735</v>
      </c>
      <c r="O6" s="133">
        <f>Halsi!AQ7</f>
        <v>28500.742392104512</v>
      </c>
    </row>
    <row r="7" spans="1:15" x14ac:dyDescent="0.25">
      <c r="A7" s="131">
        <f>Manjhaul!B8</f>
        <v>46206</v>
      </c>
      <c r="B7" s="132" t="str">
        <f>Manjhaul!C8</f>
        <v>M</v>
      </c>
      <c r="C7" s="133">
        <f>Manjhaul!AQ8</f>
        <v>967.54383914055597</v>
      </c>
      <c r="D7" s="133">
        <f>'Sahibpur Kamal'!AQ8</f>
        <v>-18402.94227858229</v>
      </c>
      <c r="E7" s="133">
        <f>Dalsingsarai!AQ8</f>
        <v>856.25202886304169</v>
      </c>
      <c r="F7" s="133">
        <f>Musrigharari!AQ8</f>
        <v>604.98656329825542</v>
      </c>
      <c r="G7" s="133"/>
      <c r="H7" s="133">
        <f>Buxar!AQ8</f>
        <v>42.516957159854897</v>
      </c>
      <c r="I7" s="133">
        <f>Laldiyara!AQ8</f>
        <v>22051.461105183287</v>
      </c>
      <c r="J7" s="133">
        <f>Asarganj!AQ8</f>
        <v>792.44043297015151</v>
      </c>
      <c r="K7" s="133">
        <f>Madhatpur!AQ8</f>
        <v>44.971747923860875</v>
      </c>
      <c r="L7" s="133">
        <f>Sonvarsha!AQ8</f>
        <v>348.34051916533855</v>
      </c>
      <c r="M7" s="133">
        <f>Araiya!AQ8</f>
        <v>-3976.8466954205915</v>
      </c>
      <c r="N7" s="133">
        <f>Teghra!AQ8</f>
        <v>425.5501606510486</v>
      </c>
      <c r="O7" s="133">
        <f>Halsi!AQ8</f>
        <v>-6823.6488809885541</v>
      </c>
    </row>
    <row r="8" spans="1:15" x14ac:dyDescent="0.25">
      <c r="A8" s="131">
        <f>Manjhaul!B9</f>
        <v>46206</v>
      </c>
      <c r="B8" s="132" t="str">
        <f>Manjhaul!C9</f>
        <v>E</v>
      </c>
      <c r="C8" s="133">
        <f>Manjhaul!AQ9</f>
        <v>361.39389930905531</v>
      </c>
      <c r="D8" s="133">
        <f>'Sahibpur Kamal'!AQ9</f>
        <v>-57.326005272213678</v>
      </c>
      <c r="E8" s="133">
        <f>Dalsingsarai!AQ9</f>
        <v>-18123.41610341832</v>
      </c>
      <c r="F8" s="133">
        <f>Musrigharari!AQ9</f>
        <v>333.3411635625734</v>
      </c>
      <c r="G8" s="133"/>
      <c r="H8" s="133">
        <f>Buxar!AQ9</f>
        <v>291.34247488751578</v>
      </c>
      <c r="I8" s="133">
        <f>Laldiyara!AQ9</f>
        <v>10510.304320067062</v>
      </c>
      <c r="J8" s="133">
        <f>Asarganj!AQ9</f>
        <v>8268.4920064386388</v>
      </c>
      <c r="K8" s="133">
        <f>Madhatpur!AQ9</f>
        <v>140.3034939446473</v>
      </c>
      <c r="L8" s="133">
        <f>Sonvarsha!AQ9</f>
        <v>327.0847613656847</v>
      </c>
      <c r="M8" s="133">
        <f>Araiya!AQ9</f>
        <v>158.07874244957048</v>
      </c>
      <c r="N8" s="133">
        <f>Teghra!AQ9</f>
        <v>-1135.2108958719548</v>
      </c>
      <c r="O8" s="133">
        <f>Halsi!AQ9</f>
        <v>13138.982736025382</v>
      </c>
    </row>
    <row r="9" spans="1:15" x14ac:dyDescent="0.25">
      <c r="A9" s="131">
        <f>Manjhaul!B10</f>
        <v>46207</v>
      </c>
      <c r="B9" s="132" t="str">
        <f>Manjhaul!C10</f>
        <v>M</v>
      </c>
      <c r="C9" s="133">
        <f>Manjhaul!AQ10</f>
        <v>-199.37013246092556</v>
      </c>
      <c r="D9" s="133">
        <f>'Sahibpur Kamal'!AQ10</f>
        <v>-5666.3694759602786</v>
      </c>
      <c r="E9" s="133">
        <f>Dalsingsarai!AQ10</f>
        <v>314.05562193368723</v>
      </c>
      <c r="F9" s="133">
        <f>Musrigharari!AQ10</f>
        <v>396.40114325481187</v>
      </c>
      <c r="G9" s="133"/>
      <c r="H9" s="133">
        <f>Buxar!AQ10</f>
        <v>-21882.087185458662</v>
      </c>
      <c r="I9" s="133">
        <f>Laldiyara!AQ10</f>
        <v>56.437609055309139</v>
      </c>
      <c r="J9" s="133">
        <f>Asarganj!AQ10</f>
        <v>-2934.4288279315033</v>
      </c>
      <c r="K9" s="133">
        <f>Madhatpur!AQ10</f>
        <v>2222.0154186381915</v>
      </c>
      <c r="L9" s="133">
        <f>Sonvarsha!AQ10</f>
        <v>-128.34837296878572</v>
      </c>
      <c r="M9" s="133">
        <f>Araiya!AQ10</f>
        <v>-3382.3510010700447</v>
      </c>
      <c r="N9" s="133">
        <f>Teghra!AQ10</f>
        <v>-2240.4008320750545</v>
      </c>
      <c r="O9" s="133">
        <f>Halsi!AQ10</f>
        <v>-12710.957771737925</v>
      </c>
    </row>
    <row r="10" spans="1:15" x14ac:dyDescent="0.25">
      <c r="A10" s="131">
        <f>Manjhaul!B11</f>
        <v>46207</v>
      </c>
      <c r="B10" s="132" t="str">
        <f>Manjhaul!C11</f>
        <v>E</v>
      </c>
      <c r="C10" s="133">
        <f>Manjhaul!AQ11</f>
        <v>166.43532247951819</v>
      </c>
      <c r="D10" s="133">
        <f>'Sahibpur Kamal'!AQ11</f>
        <v>-23.122396256255961</v>
      </c>
      <c r="E10" s="133">
        <f>Dalsingsarai!AQ11</f>
        <v>699.7055611784283</v>
      </c>
      <c r="F10" s="133">
        <f>Musrigharari!AQ11</f>
        <v>249.85243620976365</v>
      </c>
      <c r="G10" s="133"/>
      <c r="H10" s="133">
        <f>Buxar!AQ11</f>
        <v>25.221064361284299</v>
      </c>
      <c r="I10" s="133">
        <f>Laldiyara!AQ11</f>
        <v>36681.308050543761</v>
      </c>
      <c r="J10" s="133">
        <f>Asarganj!AQ11</f>
        <v>-2232.9485373732205</v>
      </c>
      <c r="K10" s="133">
        <f>Madhatpur!AQ11</f>
        <v>71.416850547110172</v>
      </c>
      <c r="L10" s="133">
        <f>Sonvarsha!AQ11</f>
        <v>402.81387386073993</v>
      </c>
      <c r="M10" s="133">
        <f>Araiya!AQ11</f>
        <v>-3934.6377859038412</v>
      </c>
      <c r="N10" s="133">
        <f>Teghra!AQ11</f>
        <v>346.79783613054701</v>
      </c>
      <c r="O10" s="133">
        <f>Halsi!AQ11</f>
        <v>0.39596264613805943</v>
      </c>
    </row>
    <row r="11" spans="1:15" x14ac:dyDescent="0.25">
      <c r="A11" s="131">
        <f>Manjhaul!B12</f>
        <v>46208</v>
      </c>
      <c r="B11" s="132" t="str">
        <f>Manjhaul!C12</f>
        <v>M</v>
      </c>
      <c r="C11" s="133">
        <f>Manjhaul!AQ12</f>
        <v>173.31829412835091</v>
      </c>
      <c r="D11" s="133">
        <f>'Sahibpur Kamal'!AQ12</f>
        <v>-22492.132360577591</v>
      </c>
      <c r="E11" s="133">
        <f>Dalsingsarai!AQ12</f>
        <v>893.10957519375734</v>
      </c>
      <c r="F11" s="133">
        <f>Musrigharari!AQ12</f>
        <v>-2038.5399001465953</v>
      </c>
      <c r="G11" s="133"/>
      <c r="H11" s="133">
        <f>Buxar!AQ12</f>
        <v>89.788437399995942</v>
      </c>
      <c r="I11" s="133">
        <f>Laldiyara!AQ12</f>
        <v>157.55831456256738</v>
      </c>
      <c r="J11" s="133">
        <f>Asarganj!AQ12</f>
        <v>9052.3178388766719</v>
      </c>
      <c r="K11" s="133">
        <f>Madhatpur!AQ12</f>
        <v>94.219748100165447</v>
      </c>
      <c r="L11" s="133">
        <f>Sonvarsha!AQ12</f>
        <v>237.39264566949362</v>
      </c>
      <c r="M11" s="133">
        <f>Araiya!AQ12</f>
        <v>-1849.9095416846499</v>
      </c>
      <c r="N11" s="133">
        <f>Teghra!AQ12</f>
        <v>-3217.7062668341205</v>
      </c>
      <c r="O11" s="133">
        <f>Halsi!AQ12</f>
        <v>19269.991578817775</v>
      </c>
    </row>
    <row r="12" spans="1:15" x14ac:dyDescent="0.25">
      <c r="A12" s="131">
        <f>Manjhaul!B13</f>
        <v>46208</v>
      </c>
      <c r="B12" s="132" t="str">
        <f>Manjhaul!C13</f>
        <v>E</v>
      </c>
      <c r="C12" s="133">
        <f>Manjhaul!AQ13</f>
        <v>-83.902683555389643</v>
      </c>
      <c r="D12" s="133">
        <f>'Sahibpur Kamal'!AQ13</f>
        <v>8079.5262250019114</v>
      </c>
      <c r="E12" s="133">
        <f>Dalsingsarai!AQ13</f>
        <v>13815.602138885039</v>
      </c>
      <c r="F12" s="133">
        <f>Musrigharari!AQ13</f>
        <v>670.69303004356107</v>
      </c>
      <c r="G12" s="133"/>
      <c r="H12" s="133">
        <f>Buxar!AQ13</f>
        <v>-9799.5233512287905</v>
      </c>
      <c r="I12" s="133">
        <f>Laldiyara!AQ13</f>
        <v>9245.3070857990369</v>
      </c>
      <c r="J12" s="133">
        <f>Asarganj!AQ13</f>
        <v>535.94868937273759</v>
      </c>
      <c r="K12" s="133">
        <f>Madhatpur!AQ13</f>
        <v>149.09408782320972</v>
      </c>
      <c r="L12" s="133">
        <f>Sonvarsha!AQ13</f>
        <v>2037.3255823135264</v>
      </c>
      <c r="M12" s="133">
        <f>Araiya!AQ13</f>
        <v>1701.7042826047582</v>
      </c>
      <c r="N12" s="133">
        <f>Teghra!AQ13</f>
        <v>317.87378904979016</v>
      </c>
      <c r="O12" s="133">
        <f>Halsi!AQ13</f>
        <v>-25817.081180061014</v>
      </c>
    </row>
    <row r="13" spans="1:15" x14ac:dyDescent="0.25">
      <c r="A13" s="131">
        <f>Manjhaul!B14</f>
        <v>46209</v>
      </c>
      <c r="B13" s="132" t="str">
        <f>Manjhaul!C14</f>
        <v>M</v>
      </c>
      <c r="C13" s="133">
        <f>Manjhaul!AQ14</f>
        <v>443.51149123859466</v>
      </c>
      <c r="D13" s="133">
        <f>'Sahibpur Kamal'!AQ14</f>
        <v>-63967.43580305748</v>
      </c>
      <c r="E13" s="133">
        <f>Dalsingsarai!AQ14</f>
        <v>1195.1117587448366</v>
      </c>
      <c r="F13" s="133">
        <f>Musrigharari!AQ14</f>
        <v>868.85016649972499</v>
      </c>
      <c r="G13" s="133"/>
      <c r="H13" s="133">
        <f>Buxar!AQ14</f>
        <v>74.031470383886614</v>
      </c>
      <c r="I13" s="133">
        <f>Laldiyara!AQ14</f>
        <v>13126.01057740288</v>
      </c>
      <c r="J13" s="133">
        <f>Asarganj!AQ14</f>
        <v>-12440.732140925957</v>
      </c>
      <c r="K13" s="133">
        <f>Madhatpur!AQ14</f>
        <v>77.232445717438736</v>
      </c>
      <c r="L13" s="133">
        <f>Sonvarsha!AQ14</f>
        <v>1639.3627619896392</v>
      </c>
      <c r="M13" s="133">
        <f>Araiya!AQ14</f>
        <v>8691.9071976903761</v>
      </c>
      <c r="N13" s="133">
        <f>Teghra!AQ14</f>
        <v>461.51013532854483</v>
      </c>
      <c r="O13" s="133">
        <f>Halsi!AQ14</f>
        <v>21942.002594267567</v>
      </c>
    </row>
    <row r="14" spans="1:15" x14ac:dyDescent="0.25">
      <c r="A14" s="131">
        <f>Manjhaul!B15</f>
        <v>46209</v>
      </c>
      <c r="B14" s="132" t="str">
        <f>Manjhaul!C15</f>
        <v>E</v>
      </c>
      <c r="C14" s="133">
        <f>Manjhaul!AQ15</f>
        <v>-13738.417860354424</v>
      </c>
      <c r="D14" s="133">
        <f>'Sahibpur Kamal'!AQ15</f>
        <v>-127.91084959200307</v>
      </c>
      <c r="E14" s="133">
        <f>Dalsingsarai!AQ15</f>
        <v>-2041.7129092652626</v>
      </c>
      <c r="F14" s="133">
        <f>Musrigharari!AQ15</f>
        <v>-186.3707759308528</v>
      </c>
      <c r="G14" s="133"/>
      <c r="H14" s="133">
        <f>Buxar!AQ15</f>
        <v>26.03814327047106</v>
      </c>
      <c r="I14" s="133">
        <f>Laldiyara!AQ15</f>
        <v>12071.168795893493</v>
      </c>
      <c r="J14" s="133">
        <f>Asarganj!AQ15</f>
        <v>176.1960910327046</v>
      </c>
      <c r="K14" s="133">
        <f>Madhatpur!AQ15</f>
        <v>137.69977844382126</v>
      </c>
      <c r="L14" s="133">
        <f>Sonvarsha!AQ15</f>
        <v>85.291878919103056</v>
      </c>
      <c r="M14" s="133">
        <f>Araiya!AQ15</f>
        <v>363.21463475375288</v>
      </c>
      <c r="N14" s="133">
        <f>Teghra!AQ15</f>
        <v>10042.239251414825</v>
      </c>
      <c r="O14" s="133">
        <f>Halsi!AQ15</f>
        <v>-11382.99551870184</v>
      </c>
    </row>
    <row r="15" spans="1:15" x14ac:dyDescent="0.25">
      <c r="A15" s="131">
        <f>Manjhaul!B16</f>
        <v>46210</v>
      </c>
      <c r="B15" s="132" t="str">
        <f>Manjhaul!C16</f>
        <v>M</v>
      </c>
      <c r="C15" s="133">
        <f>Manjhaul!AQ16</f>
        <v>60.498356320681495</v>
      </c>
      <c r="D15" s="133">
        <f>'Sahibpur Kamal'!AQ16</f>
        <v>-28489.387733868662</v>
      </c>
      <c r="E15" s="133">
        <f>Dalsingsarai!AQ16</f>
        <v>332.79966157842432</v>
      </c>
      <c r="F15" s="133">
        <f>Musrigharari!AQ16</f>
        <v>580.47720985084288</v>
      </c>
      <c r="G15" s="133"/>
      <c r="H15" s="133">
        <f>Buxar!AQ16</f>
        <v>420.46326510896148</v>
      </c>
      <c r="I15" s="133">
        <f>Laldiyara!AQ16</f>
        <v>4628.7438792690236</v>
      </c>
      <c r="J15" s="133">
        <f>Asarganj!AQ16</f>
        <v>2166.2449577984444</v>
      </c>
      <c r="K15" s="133">
        <f>Madhatpur!AQ16</f>
        <v>93.049275324056325</v>
      </c>
      <c r="L15" s="133">
        <f>Sonvarsha!AQ16</f>
        <v>-85.155613888053267</v>
      </c>
      <c r="M15" s="133">
        <f>Araiya!AQ16</f>
        <v>-1876.3386235025407</v>
      </c>
      <c r="N15" s="133">
        <f>Teghra!AQ16</f>
        <v>249.00597281355149</v>
      </c>
      <c r="O15" s="133">
        <f>Halsi!AQ16</f>
        <v>25367.448737287887</v>
      </c>
    </row>
    <row r="16" spans="1:15" x14ac:dyDescent="0.25">
      <c r="A16" s="131">
        <f>Manjhaul!B17</f>
        <v>46210</v>
      </c>
      <c r="B16" s="132" t="str">
        <f>Manjhaul!C17</f>
        <v>E</v>
      </c>
      <c r="C16" s="133">
        <f>Manjhaul!AQ17</f>
        <v>124.3866072975819</v>
      </c>
      <c r="D16" s="133">
        <f>'Sahibpur Kamal'!AQ17</f>
        <v>-104.34927635469248</v>
      </c>
      <c r="E16" s="133">
        <f>Dalsingsarai!AQ17</f>
        <v>476.0881348125119</v>
      </c>
      <c r="F16" s="133">
        <f>Musrigharari!AQ17</f>
        <v>1903.9155628314054</v>
      </c>
      <c r="G16" s="133"/>
      <c r="H16" s="133">
        <f>Buxar!AQ17</f>
        <v>2952.082152130462</v>
      </c>
      <c r="I16" s="133">
        <f>Laldiyara!AQ17</f>
        <v>-711.40316496625474</v>
      </c>
      <c r="J16" s="133">
        <f>Asarganj!AQ17</f>
        <v>-8289.1299047834891</v>
      </c>
      <c r="K16" s="133">
        <f>Madhatpur!AQ17</f>
        <v>33.267286140233558</v>
      </c>
      <c r="L16" s="133">
        <f>Sonvarsha!AQ17</f>
        <v>184.95593096203905</v>
      </c>
      <c r="M16" s="133">
        <f>Araiya!AQ17</f>
        <v>4326.473708228471</v>
      </c>
      <c r="N16" s="133">
        <f>Teghra!AQ17</f>
        <v>-134.18442674982487</v>
      </c>
      <c r="O16" s="133">
        <f>Halsi!AQ17</f>
        <v>-16080.237549938765</v>
      </c>
    </row>
    <row r="17" spans="1:15" x14ac:dyDescent="0.25">
      <c r="A17" s="131">
        <f>Manjhaul!B18</f>
        <v>46211</v>
      </c>
      <c r="B17" s="132" t="str">
        <f>Manjhaul!C18</f>
        <v>M</v>
      </c>
      <c r="C17" s="133">
        <f>Manjhaul!AQ18</f>
        <v>-15882.128403228018</v>
      </c>
      <c r="D17" s="133">
        <f>'Sahibpur Kamal'!AQ18</f>
        <v>1387.8480671845141</v>
      </c>
      <c r="E17" s="133">
        <f>Dalsingsarai!AQ18</f>
        <v>250.86981871968857</v>
      </c>
      <c r="F17" s="133">
        <f>Musrigharari!AQ18</f>
        <v>2043.2840906610841</v>
      </c>
      <c r="G17" s="133"/>
      <c r="H17" s="133">
        <f>Buxar!AQ18</f>
        <v>210.39944953239205</v>
      </c>
      <c r="I17" s="133">
        <f>Laldiyara!AQ18</f>
        <v>28774.637899801597</v>
      </c>
      <c r="J17" s="133">
        <f>Asarganj!AQ18</f>
        <v>11101.477259107021</v>
      </c>
      <c r="K17" s="133">
        <f>Madhatpur!AQ18</f>
        <v>273.41169143497626</v>
      </c>
      <c r="L17" s="133">
        <f>Sonvarsha!AQ18</f>
        <v>120.50119463819976</v>
      </c>
      <c r="M17" s="133">
        <f>Araiya!AQ18</f>
        <v>2190.5313906077772</v>
      </c>
      <c r="N17" s="133">
        <f>Teghra!AQ18</f>
        <v>725.94329342288597</v>
      </c>
      <c r="O17" s="133">
        <f>Halsi!AQ18</f>
        <v>13000.715684266414</v>
      </c>
    </row>
    <row r="18" spans="1:15" x14ac:dyDescent="0.25">
      <c r="A18" s="131">
        <f>Manjhaul!B19</f>
        <v>46211</v>
      </c>
      <c r="B18" s="132" t="str">
        <f>Manjhaul!C19</f>
        <v>E</v>
      </c>
      <c r="C18" s="133">
        <f>Manjhaul!AQ19</f>
        <v>-304.67390210280814</v>
      </c>
      <c r="D18" s="133">
        <f>'Sahibpur Kamal'!AQ19</f>
        <v>-5048.7178878598152</v>
      </c>
      <c r="E18" s="133">
        <f>Dalsingsarai!AQ19</f>
        <v>776.65391054859901</v>
      </c>
      <c r="F18" s="133">
        <f>Musrigharari!AQ19</f>
        <v>478.29385695345286</v>
      </c>
      <c r="G18" s="133"/>
      <c r="H18" s="133">
        <f>Buxar!AQ19</f>
        <v>188.76004605212347</v>
      </c>
      <c r="I18" s="133">
        <f>Laldiyara!AQ19</f>
        <v>11166.240545063183</v>
      </c>
      <c r="J18" s="133">
        <f>Asarganj!AQ19</f>
        <v>-3363.5571381211535</v>
      </c>
      <c r="K18" s="133">
        <f>Madhatpur!AQ19</f>
        <v>4065.8973856766142</v>
      </c>
      <c r="L18" s="133">
        <f>Sonvarsha!AQ19</f>
        <v>1462.574808663521</v>
      </c>
      <c r="M18" s="133">
        <f>Araiya!AQ19</f>
        <v>118.11175728916973</v>
      </c>
      <c r="N18" s="133">
        <f>Teghra!AQ19</f>
        <v>5784.4690043285518</v>
      </c>
      <c r="O18" s="133">
        <f>Halsi!AQ19</f>
        <v>-13372.057742108787</v>
      </c>
    </row>
    <row r="19" spans="1:15" x14ac:dyDescent="0.25">
      <c r="A19" s="131">
        <f>Manjhaul!B20</f>
        <v>46212</v>
      </c>
      <c r="B19" s="132" t="str">
        <f>Manjhaul!C20</f>
        <v>M</v>
      </c>
      <c r="C19" s="133">
        <f>Manjhaul!AQ20</f>
        <v>-3611.9930736007391</v>
      </c>
      <c r="D19" s="133">
        <f>'Sahibpur Kamal'!AQ20</f>
        <v>-655.53316910612659</v>
      </c>
      <c r="E19" s="133">
        <f>Dalsingsarai!AQ20</f>
        <v>453.86591392480989</v>
      </c>
      <c r="F19" s="133">
        <f>Musrigharari!AQ20</f>
        <v>-8957.8455571563645</v>
      </c>
      <c r="G19" s="133"/>
      <c r="H19" s="133">
        <f>Buxar!AQ20</f>
        <v>-2554.2331909751547</v>
      </c>
      <c r="I19" s="133">
        <f>Laldiyara!AQ20</f>
        <v>120.59267587499731</v>
      </c>
      <c r="J19" s="133">
        <f>Asarganj!AQ20</f>
        <v>-11668.0503331617</v>
      </c>
      <c r="K19" s="133">
        <f>Madhatpur!AQ20</f>
        <v>127.21376342503856</v>
      </c>
      <c r="L19" s="133">
        <f>Sonvarsha!AQ20</f>
        <v>-17582.236927925584</v>
      </c>
      <c r="M19" s="133">
        <f>Araiya!AQ20</f>
        <v>5663.2758677097663</v>
      </c>
      <c r="N19" s="133">
        <f>Teghra!AQ20</f>
        <v>201.6842194538047</v>
      </c>
      <c r="O19" s="133">
        <f>Halsi!AQ20</f>
        <v>-22287.301070717796</v>
      </c>
    </row>
    <row r="20" spans="1:15" x14ac:dyDescent="0.25">
      <c r="A20" s="131">
        <f>Manjhaul!B21</f>
        <v>46212</v>
      </c>
      <c r="B20" s="132" t="str">
        <f>Manjhaul!C21</f>
        <v>E</v>
      </c>
      <c r="C20" s="133">
        <f>Manjhaul!AQ21</f>
        <v>-179.94214505979346</v>
      </c>
      <c r="D20" s="133">
        <f>'Sahibpur Kamal'!AQ21</f>
        <v>96356.190572033709</v>
      </c>
      <c r="E20" s="133">
        <f>Dalsingsarai!AQ21</f>
        <v>14976.794601998678</v>
      </c>
      <c r="F20" s="133">
        <f>Musrigharari!AQ21</f>
        <v>429.01291198110516</v>
      </c>
      <c r="G20" s="133"/>
      <c r="H20" s="133">
        <f>Buxar!AQ21</f>
        <v>272.55050606693015</v>
      </c>
      <c r="I20" s="133">
        <f>Laldiyara!AQ21</f>
        <v>-164764.80238266781</v>
      </c>
      <c r="J20" s="133">
        <f>Asarganj!AQ21</f>
        <v>728.0953083928099</v>
      </c>
      <c r="K20" s="133">
        <f>Madhatpur!AQ21</f>
        <v>171.46977580925181</v>
      </c>
      <c r="L20" s="133">
        <f>Sonvarsha!AQ21</f>
        <v>42.884859686216714</v>
      </c>
      <c r="M20" s="133">
        <f>Araiya!AQ21</f>
        <v>-14719.389086422347</v>
      </c>
      <c r="N20" s="133">
        <f>Teghra!AQ21</f>
        <v>-11544.49208433833</v>
      </c>
      <c r="O20" s="133">
        <f>Halsi!AQ21</f>
        <v>7667.3834081821415</v>
      </c>
    </row>
    <row r="21" spans="1:15" x14ac:dyDescent="0.25">
      <c r="A21" s="131">
        <f>Manjhaul!B22</f>
        <v>46213</v>
      </c>
      <c r="B21" s="132" t="str">
        <f>Manjhaul!C22</f>
        <v>M</v>
      </c>
      <c r="C21" s="133">
        <f>Manjhaul!AQ22</f>
        <v>0</v>
      </c>
      <c r="D21" s="133">
        <f>'Sahibpur Kamal'!AQ22</f>
        <v>0</v>
      </c>
      <c r="E21" s="133">
        <f>Dalsingsarai!AQ22</f>
        <v>0</v>
      </c>
      <c r="F21" s="133">
        <f>Musrigharari!AQ22</f>
        <v>0</v>
      </c>
      <c r="G21" s="133"/>
      <c r="H21" s="133">
        <f>Buxar!AQ22</f>
        <v>0</v>
      </c>
      <c r="I21" s="133">
        <f>Laldiyara!AQ22</f>
        <v>0</v>
      </c>
      <c r="J21" s="133">
        <f>Asarganj!AQ22</f>
        <v>0</v>
      </c>
      <c r="K21" s="133">
        <f>Madhatpur!AQ22</f>
        <v>0</v>
      </c>
      <c r="L21" s="133">
        <f>Sonvarsha!AQ22</f>
        <v>0</v>
      </c>
      <c r="M21" s="133">
        <f>Araiya!AQ22</f>
        <v>0</v>
      </c>
      <c r="N21" s="133">
        <f>Teghra!AQ22</f>
        <v>0</v>
      </c>
      <c r="O21" s="133">
        <f>Halsi!AQ22</f>
        <v>0</v>
      </c>
    </row>
    <row r="22" spans="1:15" x14ac:dyDescent="0.25">
      <c r="A22" s="131">
        <f>Manjhaul!B23</f>
        <v>46213</v>
      </c>
      <c r="B22" s="132" t="str">
        <f>Manjhaul!C23</f>
        <v>E</v>
      </c>
      <c r="C22" s="133">
        <f>Manjhaul!AQ23</f>
        <v>0</v>
      </c>
      <c r="D22" s="133">
        <f>'Sahibpur Kamal'!AQ23</f>
        <v>0</v>
      </c>
      <c r="E22" s="133">
        <f>Dalsingsarai!AQ23</f>
        <v>0</v>
      </c>
      <c r="F22" s="133">
        <f>Musrigharari!AQ23</f>
        <v>0</v>
      </c>
      <c r="G22" s="133"/>
      <c r="H22" s="133">
        <f>Buxar!AQ23</f>
        <v>0</v>
      </c>
      <c r="I22" s="133">
        <f>Laldiyara!AQ23</f>
        <v>0</v>
      </c>
      <c r="J22" s="133">
        <f>Asarganj!AQ23</f>
        <v>0</v>
      </c>
      <c r="K22" s="133">
        <f>Madhatpur!AQ23</f>
        <v>0</v>
      </c>
      <c r="L22" s="133">
        <f>Sonvarsha!AQ23</f>
        <v>0</v>
      </c>
      <c r="M22" s="133">
        <f>Araiya!AQ23</f>
        <v>0</v>
      </c>
      <c r="N22" s="133">
        <f>Teghra!AQ23</f>
        <v>0</v>
      </c>
      <c r="O22" s="133">
        <f>Halsi!AQ23</f>
        <v>0</v>
      </c>
    </row>
    <row r="23" spans="1:15" x14ac:dyDescent="0.25">
      <c r="A23" s="131">
        <f>Manjhaul!B24</f>
        <v>46214</v>
      </c>
      <c r="B23" s="132" t="str">
        <f>Manjhaul!C24</f>
        <v>M</v>
      </c>
      <c r="C23" s="133">
        <f>Manjhaul!AQ24</f>
        <v>0</v>
      </c>
      <c r="D23" s="133">
        <f>'Sahibpur Kamal'!AQ24</f>
        <v>0</v>
      </c>
      <c r="E23" s="133">
        <f>Dalsingsarai!AQ24</f>
        <v>0</v>
      </c>
      <c r="F23" s="133">
        <f>Musrigharari!AQ24</f>
        <v>0</v>
      </c>
      <c r="G23" s="133"/>
      <c r="H23" s="133">
        <f>Buxar!AQ24</f>
        <v>0</v>
      </c>
      <c r="I23" s="133">
        <f>Laldiyara!AQ24</f>
        <v>0</v>
      </c>
      <c r="J23" s="133">
        <f>Asarganj!AQ24</f>
        <v>0</v>
      </c>
      <c r="K23" s="133">
        <f>Madhatpur!AQ24</f>
        <v>0</v>
      </c>
      <c r="L23" s="133">
        <f>Sonvarsha!AQ24</f>
        <v>0</v>
      </c>
      <c r="M23" s="133">
        <f>Araiya!AQ24</f>
        <v>0</v>
      </c>
      <c r="N23" s="133">
        <f>Teghra!AQ24</f>
        <v>0</v>
      </c>
      <c r="O23" s="133">
        <f>Halsi!AQ24</f>
        <v>0</v>
      </c>
    </row>
    <row r="24" spans="1:15" x14ac:dyDescent="0.25">
      <c r="A24" s="131">
        <f>Manjhaul!B25</f>
        <v>46214</v>
      </c>
      <c r="B24" s="132" t="str">
        <f>Manjhaul!C25</f>
        <v>E</v>
      </c>
      <c r="C24" s="133">
        <f>Manjhaul!AQ25</f>
        <v>0</v>
      </c>
      <c r="D24" s="133">
        <f>'Sahibpur Kamal'!AQ25</f>
        <v>0</v>
      </c>
      <c r="E24" s="133">
        <f>Dalsingsarai!AQ25</f>
        <v>0</v>
      </c>
      <c r="F24" s="133">
        <f>Musrigharari!AQ25</f>
        <v>0</v>
      </c>
      <c r="G24" s="133"/>
      <c r="H24" s="133">
        <f>Buxar!AQ25</f>
        <v>0</v>
      </c>
      <c r="I24" s="133">
        <f>Laldiyara!AQ25</f>
        <v>0</v>
      </c>
      <c r="J24" s="133">
        <f>Asarganj!AQ25</f>
        <v>0</v>
      </c>
      <c r="K24" s="133">
        <f>Madhatpur!AQ25</f>
        <v>0</v>
      </c>
      <c r="L24" s="133">
        <f>Sonvarsha!AQ25</f>
        <v>0</v>
      </c>
      <c r="M24" s="133">
        <f>Araiya!AQ25</f>
        <v>0</v>
      </c>
      <c r="N24" s="133">
        <f>Teghra!AQ25</f>
        <v>0</v>
      </c>
      <c r="O24" s="133">
        <f>Halsi!AQ25</f>
        <v>0</v>
      </c>
    </row>
    <row r="25" spans="1:15" x14ac:dyDescent="0.25">
      <c r="A25" s="131">
        <f>Manjhaul!B26</f>
        <v>46215</v>
      </c>
      <c r="B25" s="132" t="str">
        <f>Manjhaul!C26</f>
        <v>M</v>
      </c>
      <c r="C25" s="133">
        <f>Manjhaul!AQ26</f>
        <v>0</v>
      </c>
      <c r="D25" s="133">
        <f>'Sahibpur Kamal'!AQ26</f>
        <v>0</v>
      </c>
      <c r="E25" s="133">
        <f>Dalsingsarai!AQ26</f>
        <v>0</v>
      </c>
      <c r="F25" s="133">
        <f>Musrigharari!AQ26</f>
        <v>0</v>
      </c>
      <c r="G25" s="133"/>
      <c r="H25" s="133">
        <f>Buxar!AQ26</f>
        <v>0</v>
      </c>
      <c r="I25" s="133">
        <f>Laldiyara!AQ26</f>
        <v>0</v>
      </c>
      <c r="J25" s="133">
        <f>Asarganj!AQ26</f>
        <v>0</v>
      </c>
      <c r="K25" s="133">
        <f>Madhatpur!AQ26</f>
        <v>0</v>
      </c>
      <c r="L25" s="133">
        <f>Sonvarsha!AQ26</f>
        <v>0</v>
      </c>
      <c r="M25" s="133">
        <f>Araiya!AQ26</f>
        <v>0</v>
      </c>
      <c r="N25" s="133">
        <f>Teghra!AQ26</f>
        <v>0</v>
      </c>
      <c r="O25" s="133">
        <f>Halsi!AQ26</f>
        <v>0</v>
      </c>
    </row>
    <row r="26" spans="1:15" x14ac:dyDescent="0.25">
      <c r="A26" s="131">
        <f>Manjhaul!B27</f>
        <v>46215</v>
      </c>
      <c r="B26" s="132" t="str">
        <f>Manjhaul!C27</f>
        <v>E</v>
      </c>
      <c r="C26" s="133">
        <f>Manjhaul!AQ27</f>
        <v>0</v>
      </c>
      <c r="D26" s="133">
        <f>'Sahibpur Kamal'!AQ27</f>
        <v>0</v>
      </c>
      <c r="E26" s="133">
        <f>Dalsingsarai!AQ27</f>
        <v>0</v>
      </c>
      <c r="F26" s="133">
        <f>Musrigharari!AQ27</f>
        <v>0</v>
      </c>
      <c r="G26" s="133"/>
      <c r="H26" s="133">
        <f>Buxar!AQ27</f>
        <v>0</v>
      </c>
      <c r="I26" s="133">
        <f>Laldiyara!AQ27</f>
        <v>0</v>
      </c>
      <c r="J26" s="133">
        <f>Asarganj!AQ27</f>
        <v>0</v>
      </c>
      <c r="K26" s="133">
        <f>Madhatpur!AQ27</f>
        <v>0</v>
      </c>
      <c r="L26" s="133">
        <f>Sonvarsha!AQ27</f>
        <v>0</v>
      </c>
      <c r="M26" s="133">
        <f>Araiya!AQ27</f>
        <v>0</v>
      </c>
      <c r="N26" s="133">
        <f>Teghra!AQ27</f>
        <v>0</v>
      </c>
      <c r="O26" s="133">
        <f>Halsi!AQ27</f>
        <v>0</v>
      </c>
    </row>
    <row r="27" spans="1:15" x14ac:dyDescent="0.25">
      <c r="A27" s="131">
        <f>Manjhaul!B28</f>
        <v>46216</v>
      </c>
      <c r="B27" s="132" t="str">
        <f>Manjhaul!C28</f>
        <v>M</v>
      </c>
      <c r="C27" s="133">
        <f>Manjhaul!AQ28</f>
        <v>0</v>
      </c>
      <c r="D27" s="133">
        <f>'Sahibpur Kamal'!AQ28</f>
        <v>0</v>
      </c>
      <c r="E27" s="133">
        <f>Dalsingsarai!AQ28</f>
        <v>0</v>
      </c>
      <c r="F27" s="133">
        <f>Musrigharari!AQ28</f>
        <v>0</v>
      </c>
      <c r="G27" s="133"/>
      <c r="H27" s="133">
        <f>Buxar!AQ28</f>
        <v>0</v>
      </c>
      <c r="I27" s="133">
        <f>Laldiyara!AQ28</f>
        <v>0</v>
      </c>
      <c r="J27" s="133">
        <f>Asarganj!AQ28</f>
        <v>0</v>
      </c>
      <c r="K27" s="133">
        <f>Madhatpur!AQ28</f>
        <v>0</v>
      </c>
      <c r="L27" s="133">
        <f>Sonvarsha!AQ28</f>
        <v>0</v>
      </c>
      <c r="M27" s="133">
        <f>Araiya!AQ28</f>
        <v>0</v>
      </c>
      <c r="N27" s="133">
        <f>Teghra!AQ28</f>
        <v>0</v>
      </c>
      <c r="O27" s="133">
        <f>Halsi!AQ28</f>
        <v>0</v>
      </c>
    </row>
    <row r="28" spans="1:15" x14ac:dyDescent="0.25">
      <c r="A28" s="131">
        <f>Manjhaul!B29</f>
        <v>46216</v>
      </c>
      <c r="B28" s="132" t="str">
        <f>Manjhaul!C29</f>
        <v>E</v>
      </c>
      <c r="C28" s="133">
        <f>Manjhaul!AQ29</f>
        <v>0</v>
      </c>
      <c r="D28" s="133">
        <f>'Sahibpur Kamal'!AQ29</f>
        <v>0</v>
      </c>
      <c r="E28" s="133">
        <f>Dalsingsarai!AQ29</f>
        <v>0</v>
      </c>
      <c r="F28" s="133">
        <f>Musrigharari!AQ29</f>
        <v>0</v>
      </c>
      <c r="G28" s="133"/>
      <c r="H28" s="133">
        <f>Buxar!AQ29</f>
        <v>0</v>
      </c>
      <c r="I28" s="133">
        <f>Laldiyara!AQ29</f>
        <v>0</v>
      </c>
      <c r="J28" s="133">
        <f>Asarganj!AQ29</f>
        <v>0</v>
      </c>
      <c r="K28" s="133">
        <f>Madhatpur!AQ29</f>
        <v>0</v>
      </c>
      <c r="L28" s="133">
        <f>Sonvarsha!AQ29</f>
        <v>0</v>
      </c>
      <c r="M28" s="133">
        <f>Araiya!AQ29</f>
        <v>0</v>
      </c>
      <c r="N28" s="133">
        <f>Teghra!AQ29</f>
        <v>0</v>
      </c>
      <c r="O28" s="133">
        <f>Halsi!AQ29</f>
        <v>0</v>
      </c>
    </row>
    <row r="29" spans="1:15" x14ac:dyDescent="0.25">
      <c r="A29" s="131">
        <f>Manjhaul!B30</f>
        <v>46217</v>
      </c>
      <c r="B29" s="132" t="str">
        <f>Manjhaul!C30</f>
        <v>M</v>
      </c>
      <c r="C29" s="133">
        <f>Manjhaul!AQ30</f>
        <v>0</v>
      </c>
      <c r="D29" s="133">
        <f>'Sahibpur Kamal'!AQ30</f>
        <v>0</v>
      </c>
      <c r="E29" s="133">
        <f>Dalsingsarai!AQ30</f>
        <v>0</v>
      </c>
      <c r="F29" s="133">
        <f>Musrigharari!AQ30</f>
        <v>0</v>
      </c>
      <c r="G29" s="133"/>
      <c r="H29" s="133">
        <f>Buxar!AQ30</f>
        <v>0</v>
      </c>
      <c r="I29" s="133">
        <f>Laldiyara!AQ30</f>
        <v>0</v>
      </c>
      <c r="J29" s="133">
        <f>Asarganj!AQ30</f>
        <v>0</v>
      </c>
      <c r="K29" s="133">
        <f>Madhatpur!AQ30</f>
        <v>0</v>
      </c>
      <c r="L29" s="133">
        <f>Sonvarsha!AQ30</f>
        <v>0</v>
      </c>
      <c r="M29" s="133">
        <f>Araiya!AQ30</f>
        <v>0</v>
      </c>
      <c r="N29" s="133">
        <f>Teghra!AQ30</f>
        <v>0</v>
      </c>
      <c r="O29" s="133">
        <f>Halsi!AQ30</f>
        <v>0</v>
      </c>
    </row>
    <row r="30" spans="1:15" x14ac:dyDescent="0.25">
      <c r="A30" s="131">
        <f>Manjhaul!B31</f>
        <v>46217</v>
      </c>
      <c r="B30" s="132" t="str">
        <f>Manjhaul!C31</f>
        <v>E</v>
      </c>
      <c r="C30" s="133">
        <f>Manjhaul!AQ31</f>
        <v>0</v>
      </c>
      <c r="D30" s="133">
        <f>'Sahibpur Kamal'!AQ31</f>
        <v>0</v>
      </c>
      <c r="E30" s="133">
        <f>Dalsingsarai!AQ31</f>
        <v>0</v>
      </c>
      <c r="F30" s="133">
        <f>Musrigharari!AQ31</f>
        <v>0</v>
      </c>
      <c r="G30" s="133"/>
      <c r="H30" s="133">
        <f>Buxar!AQ31</f>
        <v>0</v>
      </c>
      <c r="I30" s="133">
        <f>Laldiyara!AQ31</f>
        <v>0</v>
      </c>
      <c r="J30" s="133">
        <f>Asarganj!AQ31</f>
        <v>0</v>
      </c>
      <c r="K30" s="133">
        <f>Madhatpur!AQ31</f>
        <v>0</v>
      </c>
      <c r="L30" s="133">
        <f>Sonvarsha!AQ31</f>
        <v>0</v>
      </c>
      <c r="M30" s="133">
        <f>Araiya!AQ31</f>
        <v>0</v>
      </c>
      <c r="N30" s="133">
        <f>Teghra!AQ31</f>
        <v>0</v>
      </c>
      <c r="O30" s="133">
        <f>Halsi!AQ31</f>
        <v>0</v>
      </c>
    </row>
    <row r="31" spans="1:15" x14ac:dyDescent="0.25">
      <c r="A31" s="131">
        <f>Manjhaul!B32</f>
        <v>46218</v>
      </c>
      <c r="B31" s="132" t="str">
        <f>Manjhaul!C32</f>
        <v>M</v>
      </c>
      <c r="C31" s="133">
        <f>Manjhaul!AQ32</f>
        <v>0</v>
      </c>
      <c r="D31" s="133">
        <f>'Sahibpur Kamal'!AQ32</f>
        <v>0</v>
      </c>
      <c r="E31" s="133">
        <f>Dalsingsarai!AQ32</f>
        <v>0</v>
      </c>
      <c r="F31" s="133">
        <f>Musrigharari!AQ32</f>
        <v>0</v>
      </c>
      <c r="G31" s="133"/>
      <c r="H31" s="133">
        <f>Buxar!AQ32</f>
        <v>0</v>
      </c>
      <c r="I31" s="133">
        <f>Laldiyara!AQ32</f>
        <v>0</v>
      </c>
      <c r="J31" s="133">
        <f>Asarganj!AQ32</f>
        <v>0</v>
      </c>
      <c r="K31" s="133">
        <f>Madhatpur!AQ32</f>
        <v>0</v>
      </c>
      <c r="L31" s="133">
        <f>Sonvarsha!AQ32</f>
        <v>0</v>
      </c>
      <c r="M31" s="133">
        <f>Araiya!AQ32</f>
        <v>0</v>
      </c>
      <c r="N31" s="133">
        <f>Teghra!AQ32</f>
        <v>0</v>
      </c>
      <c r="O31" s="133">
        <f>Halsi!AQ32</f>
        <v>0</v>
      </c>
    </row>
    <row r="32" spans="1:15" x14ac:dyDescent="0.25">
      <c r="A32" s="131">
        <f>Manjhaul!B33</f>
        <v>46218</v>
      </c>
      <c r="B32" s="132" t="str">
        <f>Manjhaul!C33</f>
        <v>E</v>
      </c>
      <c r="C32" s="133">
        <f>Manjhaul!AQ33</f>
        <v>0</v>
      </c>
      <c r="D32" s="133">
        <f>'Sahibpur Kamal'!AQ33</f>
        <v>0</v>
      </c>
      <c r="E32" s="133">
        <f>Dalsingsarai!AQ33</f>
        <v>0</v>
      </c>
      <c r="F32" s="133">
        <f>Musrigharari!AQ33</f>
        <v>0</v>
      </c>
      <c r="G32" s="133"/>
      <c r="H32" s="133">
        <f>Buxar!AQ33</f>
        <v>0</v>
      </c>
      <c r="I32" s="133">
        <f>Laldiyara!AQ33</f>
        <v>0</v>
      </c>
      <c r="J32" s="133">
        <f>Asarganj!AQ33</f>
        <v>0</v>
      </c>
      <c r="K32" s="133">
        <f>Madhatpur!AQ33</f>
        <v>0</v>
      </c>
      <c r="L32" s="133">
        <f>Sonvarsha!AQ33</f>
        <v>0</v>
      </c>
      <c r="M32" s="133">
        <f>Araiya!AQ33</f>
        <v>0</v>
      </c>
      <c r="N32" s="133">
        <f>Teghra!AQ33</f>
        <v>0</v>
      </c>
      <c r="O32" s="133">
        <f>Halsi!AQ33</f>
        <v>0</v>
      </c>
    </row>
    <row r="33" spans="1:15" x14ac:dyDescent="0.25">
      <c r="A33" s="131">
        <f>Manjhaul!B34</f>
        <v>46219</v>
      </c>
      <c r="B33" s="132" t="str">
        <f>Manjhaul!C34</f>
        <v>M</v>
      </c>
      <c r="C33" s="133">
        <f>Manjhaul!AQ34</f>
        <v>0</v>
      </c>
      <c r="D33" s="133">
        <f>'Sahibpur Kamal'!AQ34</f>
        <v>0</v>
      </c>
      <c r="E33" s="133">
        <f>Dalsingsarai!AQ34</f>
        <v>0</v>
      </c>
      <c r="F33" s="133">
        <f>Musrigharari!AQ34</f>
        <v>0</v>
      </c>
      <c r="G33" s="133"/>
      <c r="H33" s="133">
        <f>Buxar!AQ34</f>
        <v>0</v>
      </c>
      <c r="I33" s="133">
        <f>Laldiyara!AQ34</f>
        <v>0</v>
      </c>
      <c r="J33" s="133">
        <f>Asarganj!AQ34</f>
        <v>0</v>
      </c>
      <c r="K33" s="133">
        <f>Madhatpur!AQ34</f>
        <v>0</v>
      </c>
      <c r="L33" s="133">
        <f>Sonvarsha!AQ34</f>
        <v>0</v>
      </c>
      <c r="M33" s="133">
        <f>Araiya!AQ34</f>
        <v>0</v>
      </c>
      <c r="N33" s="133">
        <f>Teghra!AQ34</f>
        <v>0</v>
      </c>
      <c r="O33" s="133">
        <f>Halsi!AQ34</f>
        <v>0</v>
      </c>
    </row>
    <row r="34" spans="1:15" x14ac:dyDescent="0.25">
      <c r="A34" s="131">
        <f>Manjhaul!B35</f>
        <v>46219</v>
      </c>
      <c r="B34" s="132" t="str">
        <f>Manjhaul!C35</f>
        <v>E</v>
      </c>
      <c r="C34" s="133">
        <f>Manjhaul!AQ35</f>
        <v>0</v>
      </c>
      <c r="D34" s="133">
        <f>'Sahibpur Kamal'!AQ35</f>
        <v>0</v>
      </c>
      <c r="E34" s="133">
        <f>Dalsingsarai!AQ35</f>
        <v>0</v>
      </c>
      <c r="F34" s="133">
        <f>Musrigharari!AQ35</f>
        <v>0</v>
      </c>
      <c r="G34" s="133"/>
      <c r="H34" s="133">
        <f>Buxar!AQ35</f>
        <v>0</v>
      </c>
      <c r="I34" s="133">
        <f>Laldiyara!AQ35</f>
        <v>0</v>
      </c>
      <c r="J34" s="133">
        <f>Asarganj!AQ35</f>
        <v>0</v>
      </c>
      <c r="K34" s="133">
        <f>Madhatpur!AQ35</f>
        <v>0</v>
      </c>
      <c r="L34" s="133">
        <f>Sonvarsha!AQ35</f>
        <v>0</v>
      </c>
      <c r="M34" s="133">
        <f>Araiya!AQ35</f>
        <v>0</v>
      </c>
      <c r="N34" s="133">
        <f>Teghra!AQ35</f>
        <v>0</v>
      </c>
      <c r="O34" s="133">
        <f>Halsi!AQ35</f>
        <v>0</v>
      </c>
    </row>
    <row r="35" spans="1:15" x14ac:dyDescent="0.25">
      <c r="A35" s="131">
        <f>Manjhaul!B36</f>
        <v>46220</v>
      </c>
      <c r="B35" s="132" t="str">
        <f>Manjhaul!C36</f>
        <v>M</v>
      </c>
      <c r="C35" s="133">
        <f>Manjhaul!AQ36</f>
        <v>0</v>
      </c>
      <c r="D35" s="133">
        <f>'Sahibpur Kamal'!AQ36</f>
        <v>0</v>
      </c>
      <c r="E35" s="133">
        <f>Dalsingsarai!AQ36</f>
        <v>0</v>
      </c>
      <c r="F35" s="133">
        <f>Musrigharari!AQ36</f>
        <v>0</v>
      </c>
      <c r="G35" s="133"/>
      <c r="H35" s="133">
        <f>Buxar!AQ36</f>
        <v>0</v>
      </c>
      <c r="I35" s="133">
        <f>Laldiyara!AQ36</f>
        <v>0</v>
      </c>
      <c r="J35" s="133">
        <f>Asarganj!AQ36</f>
        <v>0</v>
      </c>
      <c r="K35" s="133">
        <f>Madhatpur!AQ36</f>
        <v>0</v>
      </c>
      <c r="L35" s="133">
        <f>Sonvarsha!AQ36</f>
        <v>0</v>
      </c>
      <c r="M35" s="133">
        <f>Araiya!AQ36</f>
        <v>0</v>
      </c>
      <c r="N35" s="133">
        <f>Teghra!AQ36</f>
        <v>0</v>
      </c>
      <c r="O35" s="133">
        <f>Halsi!AQ36</f>
        <v>0</v>
      </c>
    </row>
    <row r="36" spans="1:15" x14ac:dyDescent="0.25">
      <c r="A36" s="131">
        <f>Manjhaul!B37</f>
        <v>46220</v>
      </c>
      <c r="B36" s="132" t="str">
        <f>Manjhaul!C37</f>
        <v>E</v>
      </c>
      <c r="C36" s="133">
        <f>Manjhaul!AQ37</f>
        <v>0</v>
      </c>
      <c r="D36" s="133">
        <f>'Sahibpur Kamal'!AQ37</f>
        <v>0</v>
      </c>
      <c r="E36" s="133">
        <f>Dalsingsarai!AQ37</f>
        <v>0</v>
      </c>
      <c r="F36" s="133">
        <f>Musrigharari!AQ37</f>
        <v>0</v>
      </c>
      <c r="G36" s="133"/>
      <c r="H36" s="133">
        <f>Buxar!AQ37</f>
        <v>0</v>
      </c>
      <c r="I36" s="133">
        <f>Laldiyara!AQ37</f>
        <v>0</v>
      </c>
      <c r="J36" s="133">
        <f>Asarganj!AQ37</f>
        <v>0</v>
      </c>
      <c r="K36" s="133">
        <f>Madhatpur!AQ37</f>
        <v>0</v>
      </c>
      <c r="L36" s="133">
        <f>Sonvarsha!AQ37</f>
        <v>0</v>
      </c>
      <c r="M36" s="133">
        <f>Araiya!AQ37</f>
        <v>0</v>
      </c>
      <c r="N36" s="133">
        <f>Teghra!AQ37</f>
        <v>0</v>
      </c>
      <c r="O36" s="133">
        <f>Halsi!AQ37</f>
        <v>0</v>
      </c>
    </row>
    <row r="37" spans="1:15" x14ac:dyDescent="0.25">
      <c r="A37" s="131">
        <f>Manjhaul!B38</f>
        <v>46221</v>
      </c>
      <c r="B37" s="132" t="str">
        <f>Manjhaul!C38</f>
        <v>M</v>
      </c>
      <c r="C37" s="133">
        <f>Manjhaul!AQ38</f>
        <v>0</v>
      </c>
      <c r="D37" s="133">
        <f>'Sahibpur Kamal'!AQ38</f>
        <v>0</v>
      </c>
      <c r="E37" s="133">
        <f>Dalsingsarai!AQ38</f>
        <v>0</v>
      </c>
      <c r="F37" s="133">
        <f>Musrigharari!AQ38</f>
        <v>0</v>
      </c>
      <c r="G37" s="133"/>
      <c r="H37" s="133">
        <f>Buxar!AQ38</f>
        <v>0</v>
      </c>
      <c r="I37" s="133">
        <f>Laldiyara!AQ38</f>
        <v>0</v>
      </c>
      <c r="J37" s="133">
        <f>Asarganj!AQ38</f>
        <v>0</v>
      </c>
      <c r="K37" s="133">
        <f>Madhatpur!AQ38</f>
        <v>0</v>
      </c>
      <c r="L37" s="133">
        <f>Sonvarsha!AQ38</f>
        <v>0</v>
      </c>
      <c r="M37" s="133">
        <f>Araiya!AQ38</f>
        <v>0</v>
      </c>
      <c r="N37" s="133">
        <f>Teghra!AQ38</f>
        <v>0</v>
      </c>
      <c r="O37" s="133">
        <f>Halsi!AQ38</f>
        <v>0</v>
      </c>
    </row>
    <row r="38" spans="1:15" x14ac:dyDescent="0.25">
      <c r="A38" s="131">
        <f>Manjhaul!B39</f>
        <v>46221</v>
      </c>
      <c r="B38" s="132" t="str">
        <f>Manjhaul!C39</f>
        <v>E</v>
      </c>
      <c r="C38" s="133">
        <f>Manjhaul!AQ39</f>
        <v>0</v>
      </c>
      <c r="D38" s="133">
        <f>'Sahibpur Kamal'!AQ39</f>
        <v>0</v>
      </c>
      <c r="E38" s="133">
        <f>Dalsingsarai!AQ39</f>
        <v>0</v>
      </c>
      <c r="F38" s="133">
        <f>Musrigharari!AQ39</f>
        <v>0</v>
      </c>
      <c r="G38" s="133"/>
      <c r="H38" s="133">
        <f>Buxar!AQ39</f>
        <v>0</v>
      </c>
      <c r="I38" s="133">
        <f>Laldiyara!AQ39</f>
        <v>0</v>
      </c>
      <c r="J38" s="133">
        <f>Asarganj!AQ39</f>
        <v>0</v>
      </c>
      <c r="K38" s="133">
        <f>Madhatpur!AQ39</f>
        <v>0</v>
      </c>
      <c r="L38" s="133">
        <f>Sonvarsha!AQ39</f>
        <v>0</v>
      </c>
      <c r="M38" s="133">
        <f>Araiya!AQ39</f>
        <v>0</v>
      </c>
      <c r="N38" s="133">
        <f>Teghra!AQ39</f>
        <v>0</v>
      </c>
      <c r="O38" s="133">
        <f>Halsi!AQ39</f>
        <v>0</v>
      </c>
    </row>
    <row r="39" spans="1:15" x14ac:dyDescent="0.25">
      <c r="A39" s="131">
        <f>Manjhaul!B40</f>
        <v>46222</v>
      </c>
      <c r="B39" s="132" t="str">
        <f>Manjhaul!C40</f>
        <v>M</v>
      </c>
      <c r="C39" s="133">
        <f>Manjhaul!AQ40</f>
        <v>0</v>
      </c>
      <c r="D39" s="133">
        <f>'Sahibpur Kamal'!AQ40</f>
        <v>0</v>
      </c>
      <c r="E39" s="133">
        <f>Dalsingsarai!AQ40</f>
        <v>0</v>
      </c>
      <c r="F39" s="133">
        <f>Musrigharari!AQ40</f>
        <v>0</v>
      </c>
      <c r="G39" s="133"/>
      <c r="H39" s="133">
        <f>Buxar!AQ40</f>
        <v>0</v>
      </c>
      <c r="I39" s="133">
        <f>Laldiyara!AQ40</f>
        <v>0</v>
      </c>
      <c r="J39" s="133">
        <f>Asarganj!AQ40</f>
        <v>0</v>
      </c>
      <c r="K39" s="133">
        <f>Madhatpur!AQ40</f>
        <v>0</v>
      </c>
      <c r="L39" s="133">
        <f>Sonvarsha!AQ40</f>
        <v>0</v>
      </c>
      <c r="M39" s="133">
        <f>Araiya!AQ40</f>
        <v>0</v>
      </c>
      <c r="N39" s="133">
        <f>Teghra!AQ40</f>
        <v>0</v>
      </c>
      <c r="O39" s="133">
        <f>Halsi!AQ40</f>
        <v>0</v>
      </c>
    </row>
    <row r="40" spans="1:15" x14ac:dyDescent="0.25">
      <c r="A40" s="131">
        <f>Manjhaul!B41</f>
        <v>46222</v>
      </c>
      <c r="B40" s="132" t="str">
        <f>Manjhaul!C41</f>
        <v>E</v>
      </c>
      <c r="C40" s="133">
        <f>Manjhaul!AQ41</f>
        <v>0</v>
      </c>
      <c r="D40" s="133">
        <f>'Sahibpur Kamal'!AQ41</f>
        <v>0</v>
      </c>
      <c r="E40" s="133">
        <f>Dalsingsarai!AQ41</f>
        <v>0</v>
      </c>
      <c r="F40" s="133">
        <f>Musrigharari!AQ41</f>
        <v>0</v>
      </c>
      <c r="G40" s="133"/>
      <c r="H40" s="133">
        <f>Buxar!AQ41</f>
        <v>0</v>
      </c>
      <c r="I40" s="133">
        <f>Laldiyara!AQ41</f>
        <v>0</v>
      </c>
      <c r="J40" s="133">
        <f>Asarganj!AQ41</f>
        <v>0</v>
      </c>
      <c r="K40" s="133">
        <f>Madhatpur!AQ41</f>
        <v>0</v>
      </c>
      <c r="L40" s="133">
        <f>Sonvarsha!AQ41</f>
        <v>0</v>
      </c>
      <c r="M40" s="133">
        <f>Araiya!AQ41</f>
        <v>0</v>
      </c>
      <c r="N40" s="133">
        <f>Teghra!AQ41</f>
        <v>0</v>
      </c>
      <c r="O40" s="133">
        <f>Halsi!AQ41</f>
        <v>0</v>
      </c>
    </row>
    <row r="41" spans="1:15" x14ac:dyDescent="0.25">
      <c r="A41" s="131">
        <f>Manjhaul!B42</f>
        <v>46223</v>
      </c>
      <c r="B41" s="132" t="str">
        <f>Manjhaul!C42</f>
        <v>M</v>
      </c>
      <c r="C41" s="133">
        <f>Manjhaul!AQ42</f>
        <v>0</v>
      </c>
      <c r="D41" s="133">
        <f>'Sahibpur Kamal'!AQ42</f>
        <v>0</v>
      </c>
      <c r="E41" s="133">
        <f>Dalsingsarai!AQ42</f>
        <v>0</v>
      </c>
      <c r="F41" s="133">
        <f>Musrigharari!AQ42</f>
        <v>0</v>
      </c>
      <c r="G41" s="133"/>
      <c r="H41" s="133">
        <f>Buxar!AQ42</f>
        <v>0</v>
      </c>
      <c r="I41" s="133">
        <f>Laldiyara!AQ42</f>
        <v>0</v>
      </c>
      <c r="J41" s="133">
        <f>Asarganj!AQ42</f>
        <v>0</v>
      </c>
      <c r="K41" s="133">
        <f>Madhatpur!AQ42</f>
        <v>0</v>
      </c>
      <c r="L41" s="133">
        <f>Sonvarsha!AQ42</f>
        <v>0</v>
      </c>
      <c r="M41" s="133">
        <f>Araiya!AQ42</f>
        <v>0</v>
      </c>
      <c r="N41" s="133">
        <f>Teghra!AQ42</f>
        <v>0</v>
      </c>
      <c r="O41" s="133">
        <f>Halsi!AQ42</f>
        <v>0</v>
      </c>
    </row>
    <row r="42" spans="1:15" x14ac:dyDescent="0.25">
      <c r="A42" s="131">
        <f>Manjhaul!B43</f>
        <v>46223</v>
      </c>
      <c r="B42" s="132" t="str">
        <f>Manjhaul!C43</f>
        <v>E</v>
      </c>
      <c r="C42" s="133">
        <f>Manjhaul!AQ43</f>
        <v>0</v>
      </c>
      <c r="D42" s="133">
        <f>'Sahibpur Kamal'!AQ43</f>
        <v>0</v>
      </c>
      <c r="E42" s="133">
        <f>Dalsingsarai!AQ43</f>
        <v>0</v>
      </c>
      <c r="F42" s="133">
        <f>Musrigharari!AQ43</f>
        <v>0</v>
      </c>
      <c r="G42" s="133"/>
      <c r="H42" s="133">
        <f>Buxar!AQ43</f>
        <v>0</v>
      </c>
      <c r="I42" s="133">
        <f>Laldiyara!AQ43</f>
        <v>0</v>
      </c>
      <c r="J42" s="133">
        <f>Asarganj!AQ43</f>
        <v>0</v>
      </c>
      <c r="K42" s="133">
        <f>Madhatpur!AQ43</f>
        <v>0</v>
      </c>
      <c r="L42" s="133">
        <f>Sonvarsha!AQ43</f>
        <v>0</v>
      </c>
      <c r="M42" s="133">
        <f>Araiya!AQ43</f>
        <v>0</v>
      </c>
      <c r="N42" s="133">
        <f>Teghra!AQ43</f>
        <v>0</v>
      </c>
      <c r="O42" s="133">
        <f>Halsi!AQ43</f>
        <v>0</v>
      </c>
    </row>
    <row r="43" spans="1:15" x14ac:dyDescent="0.25">
      <c r="A43" s="131">
        <f>Manjhaul!B44</f>
        <v>46224</v>
      </c>
      <c r="B43" s="132" t="str">
        <f>Manjhaul!C44</f>
        <v>M</v>
      </c>
      <c r="C43" s="133">
        <f>Manjhaul!AQ44</f>
        <v>0</v>
      </c>
      <c r="D43" s="133">
        <f>'Sahibpur Kamal'!AQ44</f>
        <v>0</v>
      </c>
      <c r="E43" s="133">
        <f>Dalsingsarai!AQ44</f>
        <v>0</v>
      </c>
      <c r="F43" s="133">
        <f>Musrigharari!AQ44</f>
        <v>0</v>
      </c>
      <c r="G43" s="133"/>
      <c r="H43" s="133">
        <f>Buxar!AQ44</f>
        <v>0</v>
      </c>
      <c r="I43" s="133">
        <f>Laldiyara!AQ44</f>
        <v>0</v>
      </c>
      <c r="J43" s="133">
        <f>Asarganj!AQ44</f>
        <v>0</v>
      </c>
      <c r="K43" s="133">
        <f>Madhatpur!AQ44</f>
        <v>0</v>
      </c>
      <c r="L43" s="133">
        <f>Sonvarsha!AQ44</f>
        <v>0</v>
      </c>
      <c r="M43" s="133">
        <f>Araiya!AQ44</f>
        <v>0</v>
      </c>
      <c r="N43" s="133">
        <f>Teghra!AQ44</f>
        <v>0</v>
      </c>
      <c r="O43" s="133">
        <f>Halsi!AQ44</f>
        <v>0</v>
      </c>
    </row>
    <row r="44" spans="1:15" x14ac:dyDescent="0.25">
      <c r="A44" s="131">
        <f>Manjhaul!B45</f>
        <v>46224</v>
      </c>
      <c r="B44" s="132" t="str">
        <f>Manjhaul!C45</f>
        <v>E</v>
      </c>
      <c r="C44" s="133">
        <f>Manjhaul!AQ45</f>
        <v>0</v>
      </c>
      <c r="D44" s="133">
        <f>'Sahibpur Kamal'!AQ45</f>
        <v>0</v>
      </c>
      <c r="E44" s="133">
        <f>Dalsingsarai!AQ45</f>
        <v>0</v>
      </c>
      <c r="F44" s="133">
        <f>Musrigharari!AQ45</f>
        <v>0</v>
      </c>
      <c r="G44" s="133"/>
      <c r="H44" s="133">
        <f>Buxar!AQ45</f>
        <v>0</v>
      </c>
      <c r="I44" s="133">
        <f>Laldiyara!AQ45</f>
        <v>0</v>
      </c>
      <c r="J44" s="133">
        <f>Asarganj!AQ45</f>
        <v>0</v>
      </c>
      <c r="K44" s="133">
        <f>Madhatpur!AQ45</f>
        <v>0</v>
      </c>
      <c r="L44" s="133">
        <f>Sonvarsha!AQ45</f>
        <v>0</v>
      </c>
      <c r="M44" s="133">
        <f>Araiya!AQ45</f>
        <v>0</v>
      </c>
      <c r="N44" s="133">
        <f>Teghra!AQ45</f>
        <v>0</v>
      </c>
      <c r="O44" s="133">
        <f>Halsi!AQ45</f>
        <v>0</v>
      </c>
    </row>
    <row r="45" spans="1:15" x14ac:dyDescent="0.25">
      <c r="A45" s="131">
        <f>Manjhaul!B46</f>
        <v>46225</v>
      </c>
      <c r="B45" s="132" t="str">
        <f>Manjhaul!C46</f>
        <v>M</v>
      </c>
      <c r="C45" s="133">
        <f>Manjhaul!AQ46</f>
        <v>0</v>
      </c>
      <c r="D45" s="133">
        <f>'Sahibpur Kamal'!AQ46</f>
        <v>0</v>
      </c>
      <c r="E45" s="133">
        <f>Dalsingsarai!AQ46</f>
        <v>0</v>
      </c>
      <c r="F45" s="133">
        <f>Musrigharari!AQ46</f>
        <v>0</v>
      </c>
      <c r="G45" s="133"/>
      <c r="H45" s="133">
        <f>Buxar!AQ46</f>
        <v>0</v>
      </c>
      <c r="I45" s="133">
        <f>Laldiyara!AQ46</f>
        <v>0</v>
      </c>
      <c r="J45" s="133">
        <f>Asarganj!AQ46</f>
        <v>0</v>
      </c>
      <c r="K45" s="133">
        <f>Madhatpur!AQ46</f>
        <v>0</v>
      </c>
      <c r="L45" s="133">
        <f>Sonvarsha!AQ46</f>
        <v>0</v>
      </c>
      <c r="M45" s="133">
        <f>Araiya!AQ46</f>
        <v>0</v>
      </c>
      <c r="N45" s="133">
        <f>Teghra!AQ46</f>
        <v>0</v>
      </c>
      <c r="O45" s="133">
        <f>Halsi!AQ46</f>
        <v>0</v>
      </c>
    </row>
    <row r="46" spans="1:15" x14ac:dyDescent="0.25">
      <c r="A46" s="131">
        <f>Manjhaul!B47</f>
        <v>46225</v>
      </c>
      <c r="B46" s="132" t="str">
        <f>Manjhaul!C47</f>
        <v>E</v>
      </c>
      <c r="C46" s="133">
        <f>Manjhaul!AQ47</f>
        <v>0</v>
      </c>
      <c r="D46" s="133">
        <f>'Sahibpur Kamal'!AQ47</f>
        <v>0</v>
      </c>
      <c r="E46" s="133">
        <f>Dalsingsarai!AQ47</f>
        <v>0</v>
      </c>
      <c r="F46" s="133">
        <f>Musrigharari!AQ47</f>
        <v>0</v>
      </c>
      <c r="G46" s="133"/>
      <c r="H46" s="133">
        <f>Buxar!AQ47</f>
        <v>0</v>
      </c>
      <c r="I46" s="133">
        <f>Laldiyara!AQ47</f>
        <v>0</v>
      </c>
      <c r="J46" s="133">
        <f>Asarganj!AQ47</f>
        <v>0</v>
      </c>
      <c r="K46" s="133">
        <f>Madhatpur!AQ47</f>
        <v>0</v>
      </c>
      <c r="L46" s="133">
        <f>Sonvarsha!AQ47</f>
        <v>0</v>
      </c>
      <c r="M46" s="133">
        <f>Araiya!AQ47</f>
        <v>0</v>
      </c>
      <c r="N46" s="133">
        <f>Teghra!AQ47</f>
        <v>0</v>
      </c>
      <c r="O46" s="133">
        <f>Halsi!AQ47</f>
        <v>0</v>
      </c>
    </row>
    <row r="47" spans="1:15" x14ac:dyDescent="0.25">
      <c r="A47" s="131">
        <f>Manjhaul!B48</f>
        <v>46226</v>
      </c>
      <c r="B47" s="132" t="str">
        <f>Manjhaul!C48</f>
        <v>M</v>
      </c>
      <c r="C47" s="133">
        <f>Manjhaul!AQ48</f>
        <v>0</v>
      </c>
      <c r="D47" s="133">
        <f>'Sahibpur Kamal'!AQ48</f>
        <v>0</v>
      </c>
      <c r="E47" s="133">
        <f>Dalsingsarai!AQ48</f>
        <v>0</v>
      </c>
      <c r="F47" s="133">
        <f>Musrigharari!AQ48</f>
        <v>0</v>
      </c>
      <c r="G47" s="133"/>
      <c r="H47" s="133">
        <f>Buxar!AQ48</f>
        <v>0</v>
      </c>
      <c r="I47" s="133">
        <f>Laldiyara!AQ48</f>
        <v>0</v>
      </c>
      <c r="J47" s="133">
        <f>Asarganj!AQ48</f>
        <v>0</v>
      </c>
      <c r="K47" s="133">
        <f>Madhatpur!AQ48</f>
        <v>0</v>
      </c>
      <c r="L47" s="133">
        <f>Sonvarsha!AQ48</f>
        <v>0</v>
      </c>
      <c r="M47" s="133">
        <f>Araiya!AQ48</f>
        <v>0</v>
      </c>
      <c r="N47" s="133">
        <f>Teghra!AQ48</f>
        <v>0</v>
      </c>
      <c r="O47" s="133">
        <f>Halsi!AQ48</f>
        <v>0</v>
      </c>
    </row>
    <row r="48" spans="1:15" x14ac:dyDescent="0.25">
      <c r="A48" s="131">
        <f>Manjhaul!B49</f>
        <v>46226</v>
      </c>
      <c r="B48" s="132" t="str">
        <f>Manjhaul!C49</f>
        <v>E</v>
      </c>
      <c r="C48" s="133">
        <f>Manjhaul!AQ49</f>
        <v>0</v>
      </c>
      <c r="D48" s="133">
        <f>'Sahibpur Kamal'!AQ49</f>
        <v>0</v>
      </c>
      <c r="E48" s="133">
        <f>Dalsingsarai!AQ49</f>
        <v>0</v>
      </c>
      <c r="F48" s="133">
        <f>Musrigharari!AQ49</f>
        <v>0</v>
      </c>
      <c r="G48" s="133"/>
      <c r="H48" s="133">
        <f>Buxar!AQ49</f>
        <v>0</v>
      </c>
      <c r="I48" s="133">
        <f>Laldiyara!AQ49</f>
        <v>0</v>
      </c>
      <c r="J48" s="133">
        <f>Asarganj!AQ49</f>
        <v>0</v>
      </c>
      <c r="K48" s="133">
        <f>Madhatpur!AQ49</f>
        <v>0</v>
      </c>
      <c r="L48" s="133">
        <f>Sonvarsha!AQ49</f>
        <v>0</v>
      </c>
      <c r="M48" s="133">
        <f>Araiya!AQ49</f>
        <v>0</v>
      </c>
      <c r="N48" s="133">
        <f>Teghra!AQ49</f>
        <v>0</v>
      </c>
      <c r="O48" s="133">
        <f>Halsi!AQ49</f>
        <v>0</v>
      </c>
    </row>
    <row r="49" spans="1:15" x14ac:dyDescent="0.25">
      <c r="A49" s="131">
        <f>Manjhaul!B50</f>
        <v>46227</v>
      </c>
      <c r="B49" s="132" t="str">
        <f>Manjhaul!C50</f>
        <v>M</v>
      </c>
      <c r="C49" s="133">
        <f>Manjhaul!AQ50</f>
        <v>0</v>
      </c>
      <c r="D49" s="133">
        <f>'Sahibpur Kamal'!AQ50</f>
        <v>0</v>
      </c>
      <c r="E49" s="133">
        <f>Dalsingsarai!AQ50</f>
        <v>0</v>
      </c>
      <c r="F49" s="133">
        <f>Musrigharari!AQ50</f>
        <v>0</v>
      </c>
      <c r="G49" s="133"/>
      <c r="H49" s="133">
        <f>Buxar!AQ50</f>
        <v>0</v>
      </c>
      <c r="I49" s="133">
        <f>Laldiyara!AQ50</f>
        <v>0</v>
      </c>
      <c r="J49" s="133">
        <f>Asarganj!AQ50</f>
        <v>0</v>
      </c>
      <c r="K49" s="133">
        <f>Madhatpur!AQ50</f>
        <v>0</v>
      </c>
      <c r="L49" s="133">
        <f>Sonvarsha!AQ50</f>
        <v>0</v>
      </c>
      <c r="M49" s="133">
        <f>Araiya!AQ50</f>
        <v>0</v>
      </c>
      <c r="N49" s="133">
        <f>Teghra!AQ50</f>
        <v>0</v>
      </c>
      <c r="O49" s="133">
        <f>Halsi!AQ50</f>
        <v>0</v>
      </c>
    </row>
    <row r="50" spans="1:15" x14ac:dyDescent="0.25">
      <c r="A50" s="131">
        <f>Manjhaul!B51</f>
        <v>46227</v>
      </c>
      <c r="B50" s="132" t="str">
        <f>Manjhaul!C51</f>
        <v>E</v>
      </c>
      <c r="C50" s="133">
        <f>Manjhaul!AQ51</f>
        <v>0</v>
      </c>
      <c r="D50" s="133">
        <f>'Sahibpur Kamal'!AQ51</f>
        <v>0</v>
      </c>
      <c r="E50" s="133">
        <f>Dalsingsarai!AQ51</f>
        <v>0</v>
      </c>
      <c r="F50" s="133">
        <f>Musrigharari!AQ51</f>
        <v>0</v>
      </c>
      <c r="G50" s="133"/>
      <c r="H50" s="133">
        <f>Buxar!AQ51</f>
        <v>0</v>
      </c>
      <c r="I50" s="133">
        <f>Laldiyara!AQ51</f>
        <v>0</v>
      </c>
      <c r="J50" s="133">
        <f>Asarganj!AQ51</f>
        <v>0</v>
      </c>
      <c r="K50" s="133">
        <f>Madhatpur!AQ51</f>
        <v>0</v>
      </c>
      <c r="L50" s="133">
        <f>Sonvarsha!AQ51</f>
        <v>0</v>
      </c>
      <c r="M50" s="133">
        <f>Araiya!AQ51</f>
        <v>0</v>
      </c>
      <c r="N50" s="133">
        <f>Teghra!AQ51</f>
        <v>0</v>
      </c>
      <c r="O50" s="133">
        <f>Halsi!AQ51</f>
        <v>0</v>
      </c>
    </row>
    <row r="51" spans="1:15" x14ac:dyDescent="0.25">
      <c r="A51" s="131">
        <f>Manjhaul!B52</f>
        <v>46228</v>
      </c>
      <c r="B51" s="132" t="str">
        <f>Manjhaul!C52</f>
        <v>M</v>
      </c>
      <c r="C51" s="133">
        <f>Manjhaul!AQ52</f>
        <v>0</v>
      </c>
      <c r="D51" s="133">
        <f>'Sahibpur Kamal'!AQ52</f>
        <v>0</v>
      </c>
      <c r="E51" s="133">
        <f>Dalsingsarai!AQ52</f>
        <v>0</v>
      </c>
      <c r="F51" s="133">
        <f>Musrigharari!AQ52</f>
        <v>0</v>
      </c>
      <c r="G51" s="133"/>
      <c r="H51" s="133">
        <f>Buxar!AQ52</f>
        <v>0</v>
      </c>
      <c r="I51" s="133">
        <f>Laldiyara!AQ52</f>
        <v>0</v>
      </c>
      <c r="J51" s="133">
        <f>Asarganj!AQ52</f>
        <v>0</v>
      </c>
      <c r="K51" s="133">
        <f>Madhatpur!AQ52</f>
        <v>0</v>
      </c>
      <c r="L51" s="133">
        <f>Sonvarsha!AQ52</f>
        <v>0</v>
      </c>
      <c r="M51" s="133">
        <f>Araiya!AQ52</f>
        <v>0</v>
      </c>
      <c r="N51" s="133">
        <f>Teghra!AQ52</f>
        <v>0</v>
      </c>
      <c r="O51" s="133">
        <f>Halsi!AQ52</f>
        <v>0</v>
      </c>
    </row>
    <row r="52" spans="1:15" x14ac:dyDescent="0.25">
      <c r="A52" s="131">
        <f>Manjhaul!B53</f>
        <v>46228</v>
      </c>
      <c r="B52" s="132" t="str">
        <f>Manjhaul!C53</f>
        <v>E</v>
      </c>
      <c r="C52" s="133">
        <f>Manjhaul!AQ53</f>
        <v>0</v>
      </c>
      <c r="D52" s="133">
        <f>'Sahibpur Kamal'!AQ53</f>
        <v>0</v>
      </c>
      <c r="E52" s="133">
        <f>Dalsingsarai!AQ53</f>
        <v>0</v>
      </c>
      <c r="F52" s="133">
        <f>Musrigharari!AQ53</f>
        <v>0</v>
      </c>
      <c r="G52" s="133"/>
      <c r="H52" s="133">
        <f>Buxar!AQ53</f>
        <v>0</v>
      </c>
      <c r="I52" s="133">
        <f>Laldiyara!AQ53</f>
        <v>0</v>
      </c>
      <c r="J52" s="133">
        <f>Asarganj!AQ53</f>
        <v>0</v>
      </c>
      <c r="K52" s="133">
        <f>Madhatpur!AQ53</f>
        <v>0</v>
      </c>
      <c r="L52" s="133">
        <f>Sonvarsha!AQ53</f>
        <v>0</v>
      </c>
      <c r="M52" s="133">
        <f>Araiya!AQ53</f>
        <v>0</v>
      </c>
      <c r="N52" s="133">
        <f>Teghra!AQ53</f>
        <v>0</v>
      </c>
      <c r="O52" s="133">
        <f>Halsi!AQ53</f>
        <v>0</v>
      </c>
    </row>
    <row r="53" spans="1:15" x14ac:dyDescent="0.25">
      <c r="A53" s="131">
        <f>Manjhaul!B54</f>
        <v>46229</v>
      </c>
      <c r="B53" s="132" t="str">
        <f>Manjhaul!C54</f>
        <v>M</v>
      </c>
      <c r="C53" s="133">
        <f>Manjhaul!AQ54</f>
        <v>0</v>
      </c>
      <c r="D53" s="133">
        <f>'Sahibpur Kamal'!AQ54</f>
        <v>0</v>
      </c>
      <c r="E53" s="133">
        <f>Dalsingsarai!AQ54</f>
        <v>0</v>
      </c>
      <c r="F53" s="133">
        <f>Musrigharari!AQ54</f>
        <v>0</v>
      </c>
      <c r="G53" s="133"/>
      <c r="H53" s="133">
        <f>Buxar!AQ54</f>
        <v>0</v>
      </c>
      <c r="I53" s="133">
        <f>Laldiyara!AQ54</f>
        <v>0</v>
      </c>
      <c r="J53" s="133">
        <f>Asarganj!AQ54</f>
        <v>0</v>
      </c>
      <c r="K53" s="133">
        <f>Madhatpur!AQ54</f>
        <v>0</v>
      </c>
      <c r="L53" s="133">
        <f>Sonvarsha!AQ54</f>
        <v>0</v>
      </c>
      <c r="M53" s="133">
        <f>Araiya!AQ54</f>
        <v>0</v>
      </c>
      <c r="N53" s="133">
        <f>Teghra!AQ54</f>
        <v>0</v>
      </c>
      <c r="O53" s="133">
        <f>Halsi!AQ54</f>
        <v>0</v>
      </c>
    </row>
    <row r="54" spans="1:15" x14ac:dyDescent="0.25">
      <c r="A54" s="131">
        <f>Manjhaul!B55</f>
        <v>46229</v>
      </c>
      <c r="B54" s="132" t="str">
        <f>Manjhaul!C55</f>
        <v>E</v>
      </c>
      <c r="C54" s="133">
        <f>Manjhaul!AQ55</f>
        <v>0</v>
      </c>
      <c r="D54" s="133">
        <f>'Sahibpur Kamal'!AQ55</f>
        <v>0</v>
      </c>
      <c r="E54" s="133">
        <f>Dalsingsarai!AQ55</f>
        <v>0</v>
      </c>
      <c r="F54" s="133">
        <f>Musrigharari!AQ55</f>
        <v>0</v>
      </c>
      <c r="G54" s="133"/>
      <c r="H54" s="133">
        <f>Buxar!AQ55</f>
        <v>0</v>
      </c>
      <c r="I54" s="133">
        <f>Laldiyara!AQ55</f>
        <v>0</v>
      </c>
      <c r="J54" s="133">
        <f>Asarganj!AQ55</f>
        <v>0</v>
      </c>
      <c r="K54" s="133">
        <f>Madhatpur!AQ55</f>
        <v>0</v>
      </c>
      <c r="L54" s="133">
        <f>Sonvarsha!AQ55</f>
        <v>0</v>
      </c>
      <c r="M54" s="133">
        <f>Araiya!AQ55</f>
        <v>0</v>
      </c>
      <c r="N54" s="133">
        <f>Teghra!AQ55</f>
        <v>0</v>
      </c>
      <c r="O54" s="133">
        <f>Halsi!AQ55</f>
        <v>0</v>
      </c>
    </row>
    <row r="55" spans="1:15" x14ac:dyDescent="0.25">
      <c r="A55" s="131">
        <f>Manjhaul!B56</f>
        <v>46230</v>
      </c>
      <c r="B55" s="132" t="str">
        <f>Manjhaul!C56</f>
        <v>M</v>
      </c>
      <c r="C55" s="133">
        <f>Manjhaul!AQ56</f>
        <v>0</v>
      </c>
      <c r="D55" s="133">
        <f>'Sahibpur Kamal'!AQ56</f>
        <v>0</v>
      </c>
      <c r="E55" s="133">
        <f>Dalsingsarai!AQ56</f>
        <v>0</v>
      </c>
      <c r="F55" s="133">
        <f>Musrigharari!AQ56</f>
        <v>0</v>
      </c>
      <c r="G55" s="133"/>
      <c r="H55" s="133">
        <f>Buxar!AQ56</f>
        <v>0</v>
      </c>
      <c r="I55" s="133">
        <f>Laldiyara!AQ56</f>
        <v>0</v>
      </c>
      <c r="J55" s="133">
        <f>Asarganj!AQ56</f>
        <v>0</v>
      </c>
      <c r="K55" s="133">
        <f>Madhatpur!AQ56</f>
        <v>0</v>
      </c>
      <c r="L55" s="133">
        <f>Sonvarsha!AQ56</f>
        <v>0</v>
      </c>
      <c r="M55" s="133">
        <f>Araiya!AQ56</f>
        <v>0</v>
      </c>
      <c r="N55" s="133">
        <f>Teghra!AQ56</f>
        <v>0</v>
      </c>
      <c r="O55" s="133">
        <f>Halsi!AQ56</f>
        <v>0</v>
      </c>
    </row>
    <row r="56" spans="1:15" x14ac:dyDescent="0.25">
      <c r="A56" s="131">
        <f>Manjhaul!B57</f>
        <v>46230</v>
      </c>
      <c r="B56" s="132" t="str">
        <f>Manjhaul!C57</f>
        <v>E</v>
      </c>
      <c r="C56" s="133">
        <f>Manjhaul!AQ57</f>
        <v>0</v>
      </c>
      <c r="D56" s="133">
        <f>'Sahibpur Kamal'!AQ57</f>
        <v>0</v>
      </c>
      <c r="E56" s="133">
        <f>Dalsingsarai!AQ57</f>
        <v>0</v>
      </c>
      <c r="F56" s="133">
        <f>Musrigharari!AQ57</f>
        <v>0</v>
      </c>
      <c r="G56" s="133"/>
      <c r="H56" s="133">
        <f>Buxar!AQ57</f>
        <v>0</v>
      </c>
      <c r="I56" s="133">
        <f>Laldiyara!AQ57</f>
        <v>0</v>
      </c>
      <c r="J56" s="133">
        <f>Asarganj!AQ57</f>
        <v>0</v>
      </c>
      <c r="K56" s="133">
        <f>Madhatpur!AQ57</f>
        <v>0</v>
      </c>
      <c r="L56" s="133">
        <f>Sonvarsha!AQ57</f>
        <v>0</v>
      </c>
      <c r="M56" s="133">
        <f>Araiya!AQ57</f>
        <v>0</v>
      </c>
      <c r="N56" s="133">
        <f>Teghra!AQ57</f>
        <v>0</v>
      </c>
      <c r="O56" s="133">
        <f>Halsi!AQ57</f>
        <v>0</v>
      </c>
    </row>
    <row r="57" spans="1:15" x14ac:dyDescent="0.25">
      <c r="A57" s="131">
        <f>Manjhaul!B58</f>
        <v>46231</v>
      </c>
      <c r="B57" s="132" t="str">
        <f>Manjhaul!C58</f>
        <v>M</v>
      </c>
      <c r="C57" s="133">
        <f>Manjhaul!AQ58</f>
        <v>0</v>
      </c>
      <c r="D57" s="133">
        <f>'Sahibpur Kamal'!AQ58</f>
        <v>0</v>
      </c>
      <c r="E57" s="133">
        <f>Dalsingsarai!AQ58</f>
        <v>0</v>
      </c>
      <c r="F57" s="133">
        <f>Musrigharari!AQ58</f>
        <v>0</v>
      </c>
      <c r="G57" s="133"/>
      <c r="H57" s="133">
        <f>Buxar!AQ58</f>
        <v>0</v>
      </c>
      <c r="I57" s="133">
        <f>Laldiyara!AQ58</f>
        <v>0</v>
      </c>
      <c r="J57" s="133">
        <f>Asarganj!AQ58</f>
        <v>0</v>
      </c>
      <c r="K57" s="133">
        <f>Madhatpur!AQ58</f>
        <v>0</v>
      </c>
      <c r="L57" s="133">
        <f>Sonvarsha!AQ58</f>
        <v>0</v>
      </c>
      <c r="M57" s="133">
        <f>Araiya!AQ58</f>
        <v>0</v>
      </c>
      <c r="N57" s="133">
        <f>Teghra!AQ58</f>
        <v>0</v>
      </c>
      <c r="O57" s="133">
        <f>Halsi!AQ58</f>
        <v>0</v>
      </c>
    </row>
    <row r="58" spans="1:15" x14ac:dyDescent="0.25">
      <c r="A58" s="131">
        <f>Manjhaul!B59</f>
        <v>46231</v>
      </c>
      <c r="B58" s="132" t="str">
        <f>Manjhaul!C59</f>
        <v>E</v>
      </c>
      <c r="C58" s="133">
        <f>Manjhaul!AQ59</f>
        <v>0</v>
      </c>
      <c r="D58" s="133">
        <f>'Sahibpur Kamal'!AQ59</f>
        <v>0</v>
      </c>
      <c r="E58" s="133">
        <f>Dalsingsarai!AQ59</f>
        <v>0</v>
      </c>
      <c r="F58" s="133">
        <f>Musrigharari!AQ59</f>
        <v>0</v>
      </c>
      <c r="G58" s="133"/>
      <c r="H58" s="133">
        <f>Buxar!AQ59</f>
        <v>0</v>
      </c>
      <c r="I58" s="133">
        <f>Laldiyara!AQ59</f>
        <v>0</v>
      </c>
      <c r="J58" s="133">
        <f>Asarganj!AQ59</f>
        <v>0</v>
      </c>
      <c r="K58" s="133">
        <f>Madhatpur!AQ59</f>
        <v>0</v>
      </c>
      <c r="L58" s="133">
        <f>Sonvarsha!AQ59</f>
        <v>0</v>
      </c>
      <c r="M58" s="133">
        <f>Araiya!AQ59</f>
        <v>0</v>
      </c>
      <c r="N58" s="133">
        <f>Teghra!AQ59</f>
        <v>0</v>
      </c>
      <c r="O58" s="133">
        <f>Halsi!AQ59</f>
        <v>0</v>
      </c>
    </row>
    <row r="59" spans="1:15" x14ac:dyDescent="0.25">
      <c r="A59" s="131">
        <f>Manjhaul!B60</f>
        <v>46232</v>
      </c>
      <c r="B59" s="132" t="str">
        <f>Manjhaul!C60</f>
        <v>M</v>
      </c>
      <c r="C59" s="133">
        <f>Manjhaul!AQ60</f>
        <v>0</v>
      </c>
      <c r="D59" s="133">
        <f>'Sahibpur Kamal'!AQ60</f>
        <v>0</v>
      </c>
      <c r="E59" s="133">
        <f>Dalsingsarai!AQ60</f>
        <v>0</v>
      </c>
      <c r="F59" s="133">
        <f>Musrigharari!AQ60</f>
        <v>0</v>
      </c>
      <c r="G59" s="133"/>
      <c r="H59" s="133">
        <f>Buxar!AQ60</f>
        <v>0</v>
      </c>
      <c r="I59" s="133">
        <f>Laldiyara!AQ60</f>
        <v>0</v>
      </c>
      <c r="J59" s="133">
        <f>Asarganj!AQ60</f>
        <v>0</v>
      </c>
      <c r="K59" s="133">
        <f>Madhatpur!AQ60</f>
        <v>0</v>
      </c>
      <c r="L59" s="133">
        <f>Sonvarsha!AQ60</f>
        <v>0</v>
      </c>
      <c r="M59" s="133" t="e">
        <f>Araiya!#REF!</f>
        <v>#REF!</v>
      </c>
      <c r="N59" s="133">
        <f>Teghra!AQ60</f>
        <v>0</v>
      </c>
      <c r="O59" s="133" t="e">
        <f>Halsi!#REF!</f>
        <v>#REF!</v>
      </c>
    </row>
    <row r="60" spans="1:15" x14ac:dyDescent="0.25">
      <c r="A60" s="131">
        <f>Manjhaul!B61</f>
        <v>46232</v>
      </c>
      <c r="B60" s="132" t="str">
        <f>Manjhaul!C61</f>
        <v>E</v>
      </c>
      <c r="C60" s="133">
        <f>Manjhaul!AQ61</f>
        <v>0</v>
      </c>
      <c r="D60" s="133">
        <f>'Sahibpur Kamal'!AQ61</f>
        <v>0</v>
      </c>
      <c r="E60" s="133">
        <f>Dalsingsarai!AQ61</f>
        <v>0</v>
      </c>
      <c r="F60" s="133">
        <f>Musrigharari!AQ61</f>
        <v>0</v>
      </c>
      <c r="G60" s="133"/>
      <c r="H60" s="133">
        <f>Buxar!AQ61</f>
        <v>0</v>
      </c>
      <c r="I60" s="133">
        <f>Laldiyara!AQ61</f>
        <v>0</v>
      </c>
      <c r="J60" s="133">
        <f>Asarganj!AQ61</f>
        <v>0</v>
      </c>
      <c r="K60" s="133">
        <f>Madhatpur!AQ61</f>
        <v>0</v>
      </c>
      <c r="L60" s="133">
        <f>Sonvarsha!AQ61</f>
        <v>0</v>
      </c>
      <c r="M60" s="133" t="e">
        <f>Araiya!#REF!</f>
        <v>#REF!</v>
      </c>
      <c r="N60" s="133">
        <f>Teghra!AQ61</f>
        <v>0</v>
      </c>
      <c r="O60" s="133" t="e">
        <f>Halsi!#REF!</f>
        <v>#REF!</v>
      </c>
    </row>
    <row r="61" spans="1:15" x14ac:dyDescent="0.25">
      <c r="A61" s="131">
        <f>Manjhaul!B62</f>
        <v>46233</v>
      </c>
      <c r="B61" s="132" t="str">
        <f>Manjhaul!C62</f>
        <v>M</v>
      </c>
      <c r="C61" s="133">
        <f>Manjhaul!AQ62</f>
        <v>0</v>
      </c>
      <c r="D61" s="133">
        <f>'Sahibpur Kamal'!AQ62</f>
        <v>0</v>
      </c>
      <c r="E61" s="133">
        <f>Dalsingsarai!AQ62</f>
        <v>0</v>
      </c>
      <c r="F61" s="133">
        <f>Musrigharari!AQ62</f>
        <v>0</v>
      </c>
      <c r="G61" s="133"/>
      <c r="H61" s="133">
        <f>Buxar!AQ62</f>
        <v>0</v>
      </c>
      <c r="I61" s="133">
        <f>Laldiyara!AQ62</f>
        <v>0</v>
      </c>
      <c r="J61" s="133">
        <f>Asarganj!AQ62</f>
        <v>0</v>
      </c>
      <c r="K61" s="133">
        <f>Madhatpur!AQ62</f>
        <v>0</v>
      </c>
      <c r="L61" s="133">
        <f>Sonvarsha!AQ62</f>
        <v>0</v>
      </c>
      <c r="M61" s="133" t="e">
        <f>Araiya!#REF!</f>
        <v>#REF!</v>
      </c>
      <c r="N61" s="133">
        <f>Teghra!AQ62</f>
        <v>0</v>
      </c>
      <c r="O61" s="133" t="e">
        <f>Halsi!#REF!</f>
        <v>#REF!</v>
      </c>
    </row>
    <row r="62" spans="1:15" x14ac:dyDescent="0.25">
      <c r="A62" s="131">
        <f>Manjhaul!B63</f>
        <v>46233</v>
      </c>
      <c r="B62" s="132" t="str">
        <f>Manjhaul!C63</f>
        <v>E</v>
      </c>
      <c r="C62" s="133">
        <f>Manjhaul!AQ63</f>
        <v>0</v>
      </c>
      <c r="D62" s="133">
        <f>'Sahibpur Kamal'!AQ63</f>
        <v>0</v>
      </c>
      <c r="E62" s="133">
        <f>Dalsingsarai!AQ63</f>
        <v>0</v>
      </c>
      <c r="F62" s="133">
        <f>Musrigharari!AQ63</f>
        <v>0</v>
      </c>
      <c r="G62" s="133"/>
      <c r="H62" s="133">
        <f>Buxar!AQ63</f>
        <v>0</v>
      </c>
      <c r="I62" s="133">
        <f>Laldiyara!AQ63</f>
        <v>0</v>
      </c>
      <c r="J62" s="133">
        <f>Asarganj!AQ63</f>
        <v>0</v>
      </c>
      <c r="K62" s="133">
        <f>Madhatpur!AQ63</f>
        <v>0</v>
      </c>
      <c r="L62" s="133">
        <f>Sonvarsha!AQ63</f>
        <v>0</v>
      </c>
      <c r="M62" s="133" t="e">
        <f>Araiya!#REF!</f>
        <v>#REF!</v>
      </c>
      <c r="N62" s="133">
        <f>Teghra!AQ63</f>
        <v>0</v>
      </c>
      <c r="O62" s="133" t="e">
        <f>Halsi!#REF!</f>
        <v>#REF!</v>
      </c>
    </row>
    <row r="63" spans="1:15" x14ac:dyDescent="0.25">
      <c r="A63" s="131">
        <f>Manjhaul!B64</f>
        <v>46234</v>
      </c>
      <c r="B63" s="132" t="str">
        <f>Manjhaul!C64</f>
        <v>M</v>
      </c>
      <c r="C63" s="133">
        <f>Manjhaul!AQ64</f>
        <v>0</v>
      </c>
      <c r="D63" s="133">
        <f>'Sahibpur Kamal'!AQ64</f>
        <v>0</v>
      </c>
      <c r="E63" s="133">
        <f>Dalsingsarai!AQ64</f>
        <v>0</v>
      </c>
      <c r="F63" s="133">
        <f>Musrigharari!AQ64</f>
        <v>0</v>
      </c>
      <c r="G63" s="133"/>
      <c r="H63" s="133">
        <f>Buxar!AQ64</f>
        <v>0</v>
      </c>
      <c r="I63" s="133">
        <f>Laldiyara!AQ64</f>
        <v>0</v>
      </c>
      <c r="J63" s="133">
        <f>Asarganj!AQ64</f>
        <v>0</v>
      </c>
      <c r="K63" s="133">
        <f>Madhatpur!AQ64</f>
        <v>0</v>
      </c>
      <c r="L63" s="133">
        <f>Sonvarsha!AQ64</f>
        <v>0</v>
      </c>
      <c r="M63" s="133" t="e">
        <f>Araiya!#REF!</f>
        <v>#REF!</v>
      </c>
      <c r="N63" s="133">
        <f>Teghra!AQ64</f>
        <v>0</v>
      </c>
      <c r="O63" s="133" t="e">
        <f>Halsi!#REF!</f>
        <v>#REF!</v>
      </c>
    </row>
    <row r="64" spans="1:15" x14ac:dyDescent="0.25">
      <c r="A64" s="131">
        <f>Manjhaul!B65</f>
        <v>46234</v>
      </c>
      <c r="B64" s="132" t="str">
        <f>Manjhaul!C65</f>
        <v>E</v>
      </c>
      <c r="C64" s="133">
        <f>Manjhaul!AQ65</f>
        <v>0</v>
      </c>
      <c r="D64" s="133">
        <f>'Sahibpur Kamal'!AQ65</f>
        <v>0</v>
      </c>
      <c r="E64" s="133">
        <f>Dalsingsarai!AQ65</f>
        <v>0</v>
      </c>
      <c r="F64" s="133">
        <f>Musrigharari!AQ65</f>
        <v>0</v>
      </c>
      <c r="G64" s="133"/>
      <c r="H64" s="133">
        <f>Buxar!AQ65</f>
        <v>0</v>
      </c>
      <c r="I64" s="133">
        <f>Laldiyara!AQ65</f>
        <v>0</v>
      </c>
      <c r="J64" s="133">
        <f>Asarganj!AQ65</f>
        <v>0</v>
      </c>
      <c r="K64" s="133">
        <f>Madhatpur!AQ65</f>
        <v>0</v>
      </c>
      <c r="L64" s="133">
        <f>Sonvarsha!AQ65</f>
        <v>0</v>
      </c>
      <c r="M64" s="133" t="e">
        <f>Araiya!#REF!</f>
        <v>#REF!</v>
      </c>
      <c r="N64" s="133">
        <f>Teghra!AQ65</f>
        <v>0</v>
      </c>
      <c r="O64" s="133" t="e">
        <f>Halsi!#REF!</f>
        <v>#REF!</v>
      </c>
    </row>
    <row r="65" spans="1:15" x14ac:dyDescent="0.25">
      <c r="A65" s="252" t="s">
        <v>107</v>
      </c>
      <c r="B65" s="252"/>
      <c r="C65" s="134">
        <f>SUM(C3:C64)</f>
        <v>-29591.791675242617</v>
      </c>
      <c r="D65" s="134">
        <f t="shared" ref="D65:O65" si="0">SUM(D3:D64)</f>
        <v>-32517.498988978419</v>
      </c>
      <c r="E65" s="134">
        <f t="shared" si="0"/>
        <v>16357.401866235092</v>
      </c>
      <c r="F65" s="134">
        <f t="shared" si="0"/>
        <v>-9099.6963836950545</v>
      </c>
      <c r="G65" s="134">
        <f t="shared" si="0"/>
        <v>0</v>
      </c>
      <c r="H65" s="134">
        <f t="shared" si="0"/>
        <v>-4276.2861209182547</v>
      </c>
      <c r="I65" s="134">
        <f t="shared" si="0"/>
        <v>-15962.39078045066</v>
      </c>
      <c r="J65" s="134">
        <f t="shared" si="0"/>
        <v>-7702.3218590475763</v>
      </c>
      <c r="K65" s="134">
        <f t="shared" si="0"/>
        <v>9874.7256041077853</v>
      </c>
      <c r="L65" s="134">
        <f t="shared" si="0"/>
        <v>-4999.6238302510174</v>
      </c>
      <c r="M65" s="134" t="e">
        <f t="shared" si="0"/>
        <v>#REF!</v>
      </c>
      <c r="N65" s="134">
        <f t="shared" si="0"/>
        <v>-1010.4215219645776</v>
      </c>
      <c r="O65" s="134" t="e">
        <f t="shared" si="0"/>
        <v>#REF!</v>
      </c>
    </row>
  </sheetData>
  <mergeCells count="5">
    <mergeCell ref="C1:H1"/>
    <mergeCell ref="I1:O1"/>
    <mergeCell ref="A1:A2"/>
    <mergeCell ref="B1:B2"/>
    <mergeCell ref="A65:B65"/>
  </mergeCells>
  <conditionalFormatting sqref="C3:O65">
    <cfRule type="cellIs" dxfId="101" priority="1" operator="greaterThan">
      <formula>0</formula>
    </cfRule>
    <cfRule type="cellIs" dxfId="10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9"/>
  <sheetViews>
    <sheetView zoomScale="80" zoomScaleNormal="80" workbookViewId="0">
      <selection activeCell="AH8" sqref="AH8:AJ21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7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164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30" t="s">
        <v>64</v>
      </c>
      <c r="C2" s="232" t="s">
        <v>65</v>
      </c>
      <c r="D2" s="234" t="s">
        <v>66</v>
      </c>
      <c r="E2" s="235"/>
      <c r="F2" s="235"/>
      <c r="G2" s="235"/>
      <c r="H2" s="236"/>
      <c r="I2" s="227" t="s">
        <v>67</v>
      </c>
      <c r="J2" s="228"/>
      <c r="K2" s="228"/>
      <c r="L2" s="229"/>
      <c r="M2" s="227" t="s">
        <v>68</v>
      </c>
      <c r="N2" s="228"/>
      <c r="O2" s="228"/>
      <c r="P2" s="228"/>
      <c r="Q2" s="229"/>
      <c r="R2" s="227" t="s">
        <v>69</v>
      </c>
      <c r="S2" s="228"/>
      <c r="T2" s="229"/>
      <c r="U2" s="224" t="s">
        <v>70</v>
      </c>
      <c r="V2" s="225"/>
      <c r="W2" s="225"/>
      <c r="X2" s="225"/>
      <c r="Y2" s="225"/>
      <c r="Z2" s="225"/>
      <c r="AA2" s="225"/>
      <c r="AB2" s="226"/>
      <c r="AC2" s="227" t="s">
        <v>71</v>
      </c>
      <c r="AD2" s="228"/>
      <c r="AE2" s="228"/>
      <c r="AF2" s="228"/>
      <c r="AG2" s="229"/>
      <c r="AH2" s="227" t="s">
        <v>72</v>
      </c>
      <c r="AI2" s="228"/>
      <c r="AJ2" s="228"/>
      <c r="AK2" s="228"/>
      <c r="AL2" s="229"/>
      <c r="AM2" s="224" t="s">
        <v>73</v>
      </c>
      <c r="AN2" s="225"/>
      <c r="AO2" s="225"/>
      <c r="AP2" s="225"/>
      <c r="AQ2" s="226"/>
    </row>
    <row r="3" spans="1:46" x14ac:dyDescent="0.25">
      <c r="B3" s="231"/>
      <c r="C3" s="23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70</v>
      </c>
      <c r="E4" s="54">
        <v>4.2</v>
      </c>
      <c r="F4" s="55">
        <v>8.1999999999999993</v>
      </c>
      <c r="G4" s="62">
        <f t="shared" ref="G4:G65" si="0">+D4*E4%</f>
        <v>2.9400000000000004</v>
      </c>
      <c r="H4" s="63">
        <f t="shared" ref="H4:H65" si="1">+D4*F4%</f>
        <v>5.7399999999999993</v>
      </c>
      <c r="I4" s="202">
        <v>344.59999999999997</v>
      </c>
      <c r="J4" s="202">
        <v>354.93799999999999</v>
      </c>
      <c r="K4" s="202">
        <v>4.3984329657573999</v>
      </c>
      <c r="L4" s="202">
        <v>8.199535693557749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354.93799999999999</v>
      </c>
      <c r="S4" s="62">
        <f t="shared" ref="S4:S65" si="2">+J4*K4%+O4*P4%</f>
        <v>15.611709999999999</v>
      </c>
      <c r="T4" s="63">
        <f t="shared" ref="T4:T65" si="3">+J4*L4%+O4*Q4%</f>
        <v>29.103268000000003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425</v>
      </c>
      <c r="AI4" s="66">
        <v>4.3499999999999996</v>
      </c>
      <c r="AJ4" s="66">
        <v>8.1999999999999993</v>
      </c>
      <c r="AK4" s="62">
        <f t="shared" ref="AK4:AK65" si="8">AH4*AI4%</f>
        <v>18.487499999999997</v>
      </c>
      <c r="AL4" s="72">
        <f t="shared" ref="AL4:AL65" si="9">AH4*AJ4%</f>
        <v>34.849999999999994</v>
      </c>
      <c r="AM4" s="73">
        <f>+D4+R4-AC4-AH4</f>
        <v>-6.2000000000011823E-2</v>
      </c>
      <c r="AN4" s="74">
        <f t="shared" ref="AN4:AO19" si="10">+G4+S4-AF4-AK4</f>
        <v>6.4210000000002765E-2</v>
      </c>
      <c r="AO4" s="74">
        <f t="shared" si="10"/>
        <v>-6.7319999999924107E-3</v>
      </c>
      <c r="AP4" s="75">
        <f>(AN4+AO4)/(S4+T4)</f>
        <v>1.285430577646943E-3</v>
      </c>
      <c r="AQ4" s="76">
        <f t="shared" ref="AQ4:AQ65" si="11">($AP$1*AN4+$AQ$1*AO4)</f>
        <v>28.838820737698622</v>
      </c>
      <c r="AR4" s="77">
        <f t="shared" ref="AR4:AR65" si="12">(D4+J4+O4)-(X4+AH4)</f>
        <v>-6.2000000000011823E-2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425</v>
      </c>
      <c r="E5" s="62">
        <v>4.3499999999999996</v>
      </c>
      <c r="F5" s="62">
        <v>8.1999999999999993</v>
      </c>
      <c r="G5" s="62">
        <f t="shared" si="0"/>
        <v>18.487499999999997</v>
      </c>
      <c r="H5" s="63">
        <f t="shared" si="1"/>
        <v>34.849999999999994</v>
      </c>
      <c r="I5" s="202">
        <v>421.29999999999995</v>
      </c>
      <c r="J5" s="202">
        <v>433.93899999999996</v>
      </c>
      <c r="K5" s="202">
        <v>3.9788037028245906</v>
      </c>
      <c r="L5" s="202">
        <v>8.2309755518632794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433.93899999999996</v>
      </c>
      <c r="S5" s="62">
        <f t="shared" si="2"/>
        <v>17.265580999999997</v>
      </c>
      <c r="T5" s="63">
        <f t="shared" si="3"/>
        <v>35.717412999999993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855</v>
      </c>
      <c r="AI5" s="66">
        <v>4.2</v>
      </c>
      <c r="AJ5" s="66">
        <v>8.2200000000000006</v>
      </c>
      <c r="AK5" s="62">
        <f t="shared" si="8"/>
        <v>35.910000000000004</v>
      </c>
      <c r="AL5" s="72">
        <f t="shared" si="9"/>
        <v>70.281000000000006</v>
      </c>
      <c r="AM5" s="73">
        <f t="shared" ref="AM5:AM65" si="15">+D5+R5-AC5-AH5</f>
        <v>3.9389999999999645</v>
      </c>
      <c r="AN5" s="74">
        <f t="shared" si="10"/>
        <v>-0.15691900000000913</v>
      </c>
      <c r="AO5" s="74">
        <f t="shared" si="10"/>
        <v>0.28641299999998182</v>
      </c>
      <c r="AP5" s="75">
        <f t="shared" ref="AP5:AP65" si="16">(AN5+AO5)/(S5+T5)</f>
        <v>2.4440672416506455E-3</v>
      </c>
      <c r="AQ5" s="76">
        <f t="shared" si="11"/>
        <v>10.373457052529204</v>
      </c>
      <c r="AR5" s="77">
        <f t="shared" si="12"/>
        <v>3.9389999999999645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855</v>
      </c>
      <c r="E6" s="62">
        <v>4.2</v>
      </c>
      <c r="F6" s="62">
        <v>8.2200000000000006</v>
      </c>
      <c r="G6" s="62">
        <f t="shared" si="0"/>
        <v>35.910000000000004</v>
      </c>
      <c r="H6" s="63">
        <f t="shared" si="1"/>
        <v>70.281000000000006</v>
      </c>
      <c r="I6" s="202">
        <v>379.09999999999997</v>
      </c>
      <c r="J6" s="202">
        <v>390.47299999999996</v>
      </c>
      <c r="K6" s="202">
        <v>4.1632814560801901</v>
      </c>
      <c r="L6" s="202">
        <v>8.18876285940385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390.47299999999996</v>
      </c>
      <c r="S6" s="62">
        <f t="shared" si="2"/>
        <v>16.256489999999999</v>
      </c>
      <c r="T6" s="63">
        <f t="shared" si="3"/>
        <v>31.974907999999992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1246</v>
      </c>
      <c r="AI6" s="66">
        <v>4.2</v>
      </c>
      <c r="AJ6" s="66">
        <v>8.2100000000000009</v>
      </c>
      <c r="AK6" s="62">
        <f t="shared" si="8"/>
        <v>52.332000000000001</v>
      </c>
      <c r="AL6" s="72">
        <f t="shared" si="9"/>
        <v>102.29660000000001</v>
      </c>
      <c r="AM6" s="73">
        <f t="shared" si="15"/>
        <v>-0.52700000000004366</v>
      </c>
      <c r="AN6" s="74">
        <f t="shared" si="10"/>
        <v>-0.1655099999999976</v>
      </c>
      <c r="AO6" s="74">
        <f t="shared" si="10"/>
        <v>-4.0692000000007056E-2</v>
      </c>
      <c r="AP6" s="75">
        <f t="shared" si="16"/>
        <v>-4.2752648388919741E-3</v>
      </c>
      <c r="AQ6" s="76">
        <f t="shared" si="11"/>
        <v>-91.719833497930182</v>
      </c>
      <c r="AR6" s="77">
        <f t="shared" si="12"/>
        <v>-0.52700000000004366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1246</v>
      </c>
      <c r="E7" s="62">
        <v>4.2</v>
      </c>
      <c r="F7" s="62">
        <v>8.2100000000000009</v>
      </c>
      <c r="G7" s="62">
        <f t="shared" si="0"/>
        <v>52.332000000000001</v>
      </c>
      <c r="H7" s="63">
        <f t="shared" si="1"/>
        <v>102.29660000000001</v>
      </c>
      <c r="I7" s="202">
        <v>454.80000000000007</v>
      </c>
      <c r="J7" s="202">
        <v>468.44400000000007</v>
      </c>
      <c r="K7" s="202">
        <v>3.8377088830255057</v>
      </c>
      <c r="L7" s="202">
        <v>8.0950087950747598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468.44400000000007</v>
      </c>
      <c r="S7" s="62">
        <f t="shared" si="2"/>
        <v>17.977517000000002</v>
      </c>
      <c r="T7" s="63">
        <f t="shared" si="3"/>
        <v>37.920583000000015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1756</v>
      </c>
      <c r="AI7" s="66">
        <v>4.0999999999999996</v>
      </c>
      <c r="AJ7" s="66">
        <v>8.16</v>
      </c>
      <c r="AK7" s="62">
        <f t="shared" si="8"/>
        <v>71.995999999999995</v>
      </c>
      <c r="AL7" s="72">
        <f t="shared" si="9"/>
        <v>143.28960000000001</v>
      </c>
      <c r="AM7" s="73">
        <f t="shared" si="15"/>
        <v>-41.55600000000004</v>
      </c>
      <c r="AN7" s="74">
        <f t="shared" si="10"/>
        <v>-1.6864829999999955</v>
      </c>
      <c r="AO7" s="74">
        <f t="shared" si="10"/>
        <v>-3.0724169999999731</v>
      </c>
      <c r="AP7" s="75">
        <f t="shared" si="16"/>
        <v>-8.5135272934142081E-2</v>
      </c>
      <c r="AQ7" s="76">
        <f t="shared" si="11"/>
        <v>-1730.5715097672826</v>
      </c>
      <c r="AR7" s="77">
        <f t="shared" si="12"/>
        <v>-41.55600000000004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1756</v>
      </c>
      <c r="E8" s="62">
        <v>4.0999999999999996</v>
      </c>
      <c r="F8" s="62">
        <v>8.16</v>
      </c>
      <c r="G8" s="62">
        <f t="shared" si="0"/>
        <v>71.995999999999995</v>
      </c>
      <c r="H8" s="63">
        <f t="shared" si="1"/>
        <v>143.28960000000001</v>
      </c>
      <c r="I8" s="202">
        <v>299</v>
      </c>
      <c r="J8" s="202">
        <v>307.97000000000003</v>
      </c>
      <c r="K8" s="202">
        <v>4.3914046822742474</v>
      </c>
      <c r="L8" s="202">
        <v>8.1870234113712375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307.97000000000003</v>
      </c>
      <c r="S8" s="62">
        <f t="shared" si="2"/>
        <v>13.524209000000003</v>
      </c>
      <c r="T8" s="63">
        <f t="shared" si="3"/>
        <v>25.213576000000003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2064</v>
      </c>
      <c r="AI8" s="66">
        <v>4.1399999999999997</v>
      </c>
      <c r="AJ8" s="66">
        <v>8.16</v>
      </c>
      <c r="AK8" s="62">
        <f t="shared" si="8"/>
        <v>85.449600000000004</v>
      </c>
      <c r="AL8" s="72">
        <f t="shared" si="9"/>
        <v>168.42240000000001</v>
      </c>
      <c r="AM8" s="73">
        <f t="shared" si="15"/>
        <v>-2.9999999999745341E-2</v>
      </c>
      <c r="AN8" s="74">
        <f t="shared" si="10"/>
        <v>7.0608999999990374E-2</v>
      </c>
      <c r="AO8" s="74">
        <f t="shared" si="10"/>
        <v>8.077599999998597E-2</v>
      </c>
      <c r="AP8" s="75">
        <f t="shared" si="16"/>
        <v>3.9079415614490173E-3</v>
      </c>
      <c r="AQ8" s="76">
        <f t="shared" si="11"/>
        <v>58.121615461327615</v>
      </c>
      <c r="AR8" s="90">
        <f t="shared" si="12"/>
        <v>-2.9999999999745341E-2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2064</v>
      </c>
      <c r="E9" s="62">
        <v>4.1399999999999997</v>
      </c>
      <c r="F9" s="62">
        <v>8.16</v>
      </c>
      <c r="G9" s="62">
        <f t="shared" si="0"/>
        <v>85.449600000000004</v>
      </c>
      <c r="H9" s="63">
        <f t="shared" si="1"/>
        <v>168.42240000000001</v>
      </c>
      <c r="I9" s="202">
        <v>413.2</v>
      </c>
      <c r="J9" s="202">
        <v>425.596</v>
      </c>
      <c r="K9" s="202">
        <v>3.8663359148112293</v>
      </c>
      <c r="L9" s="202">
        <v>8.1428848015488864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425.596</v>
      </c>
      <c r="S9" s="62">
        <f t="shared" si="2"/>
        <v>16.454971</v>
      </c>
      <c r="T9" s="63">
        <f t="shared" si="3"/>
        <v>34.655791999999998</v>
      </c>
      <c r="U9" s="64" t="s">
        <v>167</v>
      </c>
      <c r="V9" s="65" t="s">
        <v>180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71">
        <v>2490</v>
      </c>
      <c r="AI9" s="66">
        <v>4.0999999999999996</v>
      </c>
      <c r="AJ9" s="66">
        <v>8.16</v>
      </c>
      <c r="AK9" s="62">
        <f t="shared" si="8"/>
        <v>102.08999999999999</v>
      </c>
      <c r="AL9" s="72">
        <f t="shared" si="9"/>
        <v>203.18400000000003</v>
      </c>
      <c r="AM9" s="73">
        <f t="shared" si="15"/>
        <v>-0.40399999999999636</v>
      </c>
      <c r="AN9" s="74">
        <f t="shared" si="10"/>
        <v>-0.18542899999998497</v>
      </c>
      <c r="AO9" s="74">
        <f t="shared" si="10"/>
        <v>-0.10580800000002455</v>
      </c>
      <c r="AP9" s="75">
        <f t="shared" si="16"/>
        <v>-5.6981540267753298E-3</v>
      </c>
      <c r="AQ9" s="76">
        <f t="shared" si="11"/>
        <v>-120.79322359427276</v>
      </c>
      <c r="AR9" s="90">
        <f t="shared" si="12"/>
        <v>-0.40399999999999636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2490</v>
      </c>
      <c r="E10" s="62">
        <v>4.0999999999999996</v>
      </c>
      <c r="F10" s="62">
        <v>8.16</v>
      </c>
      <c r="G10" s="62">
        <f t="shared" si="0"/>
        <v>102.08999999999999</v>
      </c>
      <c r="H10" s="63">
        <f t="shared" si="1"/>
        <v>203.18400000000003</v>
      </c>
      <c r="I10" s="202">
        <v>334.8</v>
      </c>
      <c r="J10" s="202">
        <v>344.84399999999999</v>
      </c>
      <c r="K10" s="202">
        <v>4.4709677419354854</v>
      </c>
      <c r="L10" s="202">
        <v>8.2061529271206712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344.84399999999999</v>
      </c>
      <c r="S10" s="62">
        <f t="shared" si="2"/>
        <v>15.417864000000005</v>
      </c>
      <c r="T10" s="63">
        <f t="shared" si="3"/>
        <v>28.29842600000001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2835</v>
      </c>
      <c r="AI10" s="66">
        <v>4.1500000000000004</v>
      </c>
      <c r="AJ10" s="66">
        <v>8.16</v>
      </c>
      <c r="AK10" s="62">
        <f t="shared" si="8"/>
        <v>117.6525</v>
      </c>
      <c r="AL10" s="72">
        <f t="shared" si="9"/>
        <v>231.33600000000001</v>
      </c>
      <c r="AM10" s="73">
        <f t="shared" si="15"/>
        <v>-0.15599999999994907</v>
      </c>
      <c r="AN10" s="74">
        <f t="shared" si="10"/>
        <v>-0.14463600000000554</v>
      </c>
      <c r="AO10" s="74">
        <f t="shared" si="10"/>
        <v>0.14642600000001949</v>
      </c>
      <c r="AP10" s="75">
        <f t="shared" si="16"/>
        <v>4.0945835065462934E-5</v>
      </c>
      <c r="AQ10" s="76">
        <f t="shared" si="11"/>
        <v>-25.649021943898326</v>
      </c>
      <c r="AR10" s="90">
        <f t="shared" si="12"/>
        <v>-0.15599999999994907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2835</v>
      </c>
      <c r="E11" s="62">
        <v>4.1500000000000004</v>
      </c>
      <c r="F11" s="62">
        <v>8.16</v>
      </c>
      <c r="G11" s="62">
        <f t="shared" si="0"/>
        <v>117.6525</v>
      </c>
      <c r="H11" s="63">
        <f t="shared" si="1"/>
        <v>231.33600000000001</v>
      </c>
      <c r="I11" s="202">
        <v>413.6</v>
      </c>
      <c r="J11" s="202">
        <v>426.00800000000004</v>
      </c>
      <c r="K11" s="202">
        <v>3.9634429400386848</v>
      </c>
      <c r="L11" s="202">
        <v>8.1654738878143132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426.00800000000004</v>
      </c>
      <c r="S11" s="62">
        <f t="shared" si="2"/>
        <v>16.884584</v>
      </c>
      <c r="T11" s="63">
        <f t="shared" si="3"/>
        <v>34.785572000000002</v>
      </c>
      <c r="U11" s="64" t="s">
        <v>171</v>
      </c>
      <c r="V11" s="65" t="s">
        <v>263</v>
      </c>
      <c r="W11" s="66" t="s">
        <v>149</v>
      </c>
      <c r="X11" s="67">
        <v>3130</v>
      </c>
      <c r="Y11" s="68">
        <v>4.3499999999999996</v>
      </c>
      <c r="Z11" s="68">
        <v>8.15</v>
      </c>
      <c r="AA11" s="62">
        <f t="shared" si="4"/>
        <v>136.155</v>
      </c>
      <c r="AB11" s="63">
        <f t="shared" si="5"/>
        <v>255.095</v>
      </c>
      <c r="AC11" s="69">
        <v>3130</v>
      </c>
      <c r="AD11" s="70">
        <v>4.2</v>
      </c>
      <c r="AE11" s="70">
        <v>8.15</v>
      </c>
      <c r="AF11" s="62">
        <f t="shared" si="6"/>
        <v>131.46</v>
      </c>
      <c r="AG11" s="63">
        <f t="shared" si="7"/>
        <v>255.095</v>
      </c>
      <c r="AH11" s="71">
        <v>131</v>
      </c>
      <c r="AI11" s="66">
        <v>4.3</v>
      </c>
      <c r="AJ11" s="66">
        <v>8.1</v>
      </c>
      <c r="AK11" s="62">
        <f t="shared" si="8"/>
        <v>5.6329999999999991</v>
      </c>
      <c r="AL11" s="72">
        <f t="shared" si="9"/>
        <v>10.611000000000001</v>
      </c>
      <c r="AM11" s="73">
        <f t="shared" si="15"/>
        <v>7.9999999998108251E-3</v>
      </c>
      <c r="AN11" s="74">
        <f t="shared" si="10"/>
        <v>-2.5559160000000141</v>
      </c>
      <c r="AO11" s="74">
        <f t="shared" si="10"/>
        <v>0.41557200000001515</v>
      </c>
      <c r="AP11" s="75">
        <f t="shared" si="16"/>
        <v>-4.1423215366332526E-2</v>
      </c>
      <c r="AQ11" s="76">
        <f t="shared" si="11"/>
        <v>-1103.7407095643707</v>
      </c>
      <c r="AR11" s="90">
        <f t="shared" si="12"/>
        <v>7.9999999998108251E-3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131</v>
      </c>
      <c r="E12" s="62">
        <v>4.3</v>
      </c>
      <c r="F12" s="62">
        <v>8.1</v>
      </c>
      <c r="G12" s="62">
        <f t="shared" si="0"/>
        <v>5.6329999999999991</v>
      </c>
      <c r="H12" s="63">
        <f t="shared" si="1"/>
        <v>10.611000000000001</v>
      </c>
      <c r="I12" s="202">
        <v>333.5</v>
      </c>
      <c r="J12" s="202">
        <v>343.505</v>
      </c>
      <c r="K12" s="202">
        <v>4.599580209895052</v>
      </c>
      <c r="L12" s="202">
        <v>8.2233283358320843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343.505</v>
      </c>
      <c r="S12" s="62">
        <f t="shared" si="2"/>
        <v>15.799787999999998</v>
      </c>
      <c r="T12" s="63">
        <f t="shared" si="3"/>
        <v>28.247544000000001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475</v>
      </c>
      <c r="AI12" s="66">
        <v>4.5</v>
      </c>
      <c r="AJ12" s="66">
        <v>8.1999999999999993</v>
      </c>
      <c r="AK12" s="62">
        <f t="shared" si="8"/>
        <v>21.375</v>
      </c>
      <c r="AL12" s="72">
        <f t="shared" si="9"/>
        <v>38.949999999999996</v>
      </c>
      <c r="AM12" s="73">
        <f t="shared" si="15"/>
        <v>-0.49500000000000455</v>
      </c>
      <c r="AN12" s="74">
        <f t="shared" si="10"/>
        <v>5.7787999999995066E-2</v>
      </c>
      <c r="AO12" s="74">
        <f t="shared" si="10"/>
        <v>-9.1455999999993765E-2</v>
      </c>
      <c r="AP12" s="75">
        <f t="shared" si="16"/>
        <v>-7.643595757399949E-4</v>
      </c>
      <c r="AQ12" s="76">
        <f t="shared" si="11"/>
        <v>0.37875698089456478</v>
      </c>
      <c r="AR12" s="90">
        <f t="shared" si="12"/>
        <v>-0.49500000000000455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475</v>
      </c>
      <c r="E13" s="62">
        <v>4.5</v>
      </c>
      <c r="F13" s="62">
        <v>8.1999999999999993</v>
      </c>
      <c r="G13" s="62">
        <f t="shared" si="0"/>
        <v>21.375</v>
      </c>
      <c r="H13" s="63">
        <f t="shared" si="1"/>
        <v>38.949999999999996</v>
      </c>
      <c r="I13" s="202">
        <v>552.69999999999993</v>
      </c>
      <c r="J13" s="202">
        <v>569.28099999999995</v>
      </c>
      <c r="K13" s="202">
        <v>4.0055002713949701</v>
      </c>
      <c r="L13" s="202">
        <v>8.1142753754297079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569.28099999999995</v>
      </c>
      <c r="S13" s="62">
        <f t="shared" si="2"/>
        <v>22.802551999999999</v>
      </c>
      <c r="T13" s="63">
        <f t="shared" si="3"/>
        <v>46.193027999999991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1044</v>
      </c>
      <c r="AI13" s="66">
        <v>4.2300000000000004</v>
      </c>
      <c r="AJ13" s="66">
        <v>8.15</v>
      </c>
      <c r="AK13" s="62">
        <f t="shared" si="8"/>
        <v>44.161200000000008</v>
      </c>
      <c r="AL13" s="72">
        <f t="shared" si="9"/>
        <v>85.085999999999999</v>
      </c>
      <c r="AM13" s="73">
        <f t="shared" si="15"/>
        <v>0.28099999999994907</v>
      </c>
      <c r="AN13" s="74">
        <f t="shared" si="10"/>
        <v>1.6351999999990596E-2</v>
      </c>
      <c r="AO13" s="74">
        <f t="shared" si="10"/>
        <v>5.702799999998831E-2</v>
      </c>
      <c r="AP13" s="75">
        <f t="shared" si="16"/>
        <v>1.0635463894930503E-3</v>
      </c>
      <c r="AQ13" s="76">
        <f t="shared" si="11"/>
        <v>24.937046506744416</v>
      </c>
      <c r="AR13" s="90">
        <f t="shared" si="12"/>
        <v>0.28099999999994907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1044</v>
      </c>
      <c r="E14" s="62">
        <v>4.2300000000000004</v>
      </c>
      <c r="F14" s="62">
        <v>8.15</v>
      </c>
      <c r="G14" s="62">
        <f t="shared" si="0"/>
        <v>44.161200000000008</v>
      </c>
      <c r="H14" s="63">
        <f t="shared" si="1"/>
        <v>85.085999999999999</v>
      </c>
      <c r="I14" s="202">
        <v>309.60000000000002</v>
      </c>
      <c r="J14" s="202">
        <v>318.88800000000003</v>
      </c>
      <c r="K14" s="202">
        <v>4.6308139534883717</v>
      </c>
      <c r="L14" s="202">
        <v>8.2320736434108497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318.88800000000003</v>
      </c>
      <c r="S14" s="62">
        <f t="shared" si="2"/>
        <v>14.767110000000001</v>
      </c>
      <c r="T14" s="63">
        <f t="shared" si="3"/>
        <v>26.251094999999992</v>
      </c>
      <c r="U14" s="64" t="s">
        <v>180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71">
        <v>1363</v>
      </c>
      <c r="AI14" s="66">
        <v>4.32</v>
      </c>
      <c r="AJ14" s="66">
        <v>8.17</v>
      </c>
      <c r="AK14" s="62">
        <f t="shared" si="8"/>
        <v>58.881600000000006</v>
      </c>
      <c r="AL14" s="72">
        <f t="shared" si="9"/>
        <v>111.35709999999999</v>
      </c>
      <c r="AM14" s="73">
        <f t="shared" si="15"/>
        <v>-0.11200000000008004</v>
      </c>
      <c r="AN14" s="74">
        <f t="shared" si="10"/>
        <v>4.671000000000447E-2</v>
      </c>
      <c r="AO14" s="74">
        <f t="shared" si="10"/>
        <v>-2.0004999999997608E-2</v>
      </c>
      <c r="AP14" s="75">
        <f t="shared" si="16"/>
        <v>6.5105238027863156E-4</v>
      </c>
      <c r="AQ14" s="76">
        <f t="shared" si="11"/>
        <v>16.454355838278158</v>
      </c>
      <c r="AR14" s="90">
        <f t="shared" si="12"/>
        <v>-0.11200000000008004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1363</v>
      </c>
      <c r="E15" s="62">
        <v>4.32</v>
      </c>
      <c r="F15" s="62">
        <v>8.17</v>
      </c>
      <c r="G15" s="62">
        <f t="shared" si="0"/>
        <v>58.881600000000006</v>
      </c>
      <c r="H15" s="63">
        <f t="shared" si="1"/>
        <v>111.35709999999999</v>
      </c>
      <c r="I15" s="202">
        <v>436.20000000000005</v>
      </c>
      <c r="J15" s="202">
        <v>449.28600000000006</v>
      </c>
      <c r="K15" s="202">
        <v>4.155364511691884</v>
      </c>
      <c r="L15" s="202">
        <v>8.1894314534617152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449.28600000000006</v>
      </c>
      <c r="S15" s="62">
        <f t="shared" si="2"/>
        <v>18.669471000000001</v>
      </c>
      <c r="T15" s="63">
        <f t="shared" si="3"/>
        <v>36.793969000000004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71">
        <v>1812</v>
      </c>
      <c r="AI15" s="66">
        <v>4.28</v>
      </c>
      <c r="AJ15" s="66">
        <v>8.17</v>
      </c>
      <c r="AK15" s="62">
        <f t="shared" si="8"/>
        <v>77.553600000000003</v>
      </c>
      <c r="AL15" s="72">
        <f t="shared" si="9"/>
        <v>148.04039999999998</v>
      </c>
      <c r="AM15" s="73">
        <f t="shared" si="15"/>
        <v>0.28600000000005821</v>
      </c>
      <c r="AN15" s="74">
        <f t="shared" si="10"/>
        <v>-2.5289999999955626E-3</v>
      </c>
      <c r="AO15" s="74">
        <f t="shared" si="10"/>
        <v>0.11066900000002988</v>
      </c>
      <c r="AP15" s="75">
        <f t="shared" si="16"/>
        <v>1.9497528461998447E-3</v>
      </c>
      <c r="AQ15" s="76">
        <f t="shared" si="11"/>
        <v>31.929113458106091</v>
      </c>
      <c r="AR15" s="90">
        <f t="shared" si="12"/>
        <v>0.28600000000005821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1812</v>
      </c>
      <c r="E16" s="62">
        <v>4.28</v>
      </c>
      <c r="F16" s="62">
        <v>8.17</v>
      </c>
      <c r="G16" s="62">
        <f t="shared" si="0"/>
        <v>77.553600000000003</v>
      </c>
      <c r="H16" s="63">
        <f t="shared" si="1"/>
        <v>148.04039999999998</v>
      </c>
      <c r="I16" s="202">
        <v>308.8</v>
      </c>
      <c r="J16" s="202">
        <v>318.06400000000002</v>
      </c>
      <c r="K16" s="202">
        <v>4.4166774611398969</v>
      </c>
      <c r="L16" s="202">
        <v>8.2191062176165808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318.06400000000002</v>
      </c>
      <c r="S16" s="62">
        <f t="shared" si="2"/>
        <v>14.047861000000003</v>
      </c>
      <c r="T16" s="63">
        <f t="shared" si="3"/>
        <v>26.142018000000004</v>
      </c>
      <c r="U16" s="64" t="s">
        <v>174</v>
      </c>
      <c r="V16" s="65" t="s">
        <v>318</v>
      </c>
      <c r="W16" s="66" t="s">
        <v>149</v>
      </c>
      <c r="X16" s="67">
        <v>2180</v>
      </c>
      <c r="Y16" s="68">
        <v>4.3</v>
      </c>
      <c r="Z16" s="68">
        <v>8.15</v>
      </c>
      <c r="AA16" s="62">
        <f t="shared" si="4"/>
        <v>93.74</v>
      </c>
      <c r="AB16" s="63">
        <f t="shared" si="5"/>
        <v>177.67000000000002</v>
      </c>
      <c r="AC16" s="69">
        <v>2180</v>
      </c>
      <c r="AD16" s="70">
        <v>4.2</v>
      </c>
      <c r="AE16" s="70">
        <v>8.1199999999999992</v>
      </c>
      <c r="AF16" s="62">
        <f t="shared" si="6"/>
        <v>91.56</v>
      </c>
      <c r="AG16" s="63">
        <f t="shared" si="7"/>
        <v>177.01599999999999</v>
      </c>
      <c r="AH16" s="71">
        <v>0</v>
      </c>
      <c r="AI16" s="66">
        <v>0</v>
      </c>
      <c r="AJ16" s="66">
        <v>0</v>
      </c>
      <c r="AK16" s="62">
        <f t="shared" si="8"/>
        <v>0</v>
      </c>
      <c r="AL16" s="72">
        <f t="shared" si="9"/>
        <v>0</v>
      </c>
      <c r="AM16" s="73">
        <f t="shared" si="15"/>
        <v>-49.936000000000149</v>
      </c>
      <c r="AN16" s="74">
        <f t="shared" si="10"/>
        <v>4.1460999999998194E-2</v>
      </c>
      <c r="AO16" s="74">
        <f t="shared" si="10"/>
        <v>-2.8335820000000069</v>
      </c>
      <c r="AP16" s="75">
        <f t="shared" si="16"/>
        <v>-6.9473237279465513E-2</v>
      </c>
      <c r="AQ16" s="76">
        <f t="shared" si="11"/>
        <v>-828.70922309760522</v>
      </c>
      <c r="AR16" s="90">
        <f t="shared" si="12"/>
        <v>-49.936000000000149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2">
        <v>405.70000000000005</v>
      </c>
      <c r="J17" s="202">
        <v>417.87100000000004</v>
      </c>
      <c r="K17" s="202">
        <v>4.0474242050776441</v>
      </c>
      <c r="L17" s="202">
        <v>8.1997781612028593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417.87100000000004</v>
      </c>
      <c r="S17" s="62">
        <f t="shared" si="2"/>
        <v>16.913012000000002</v>
      </c>
      <c r="T17" s="63">
        <f t="shared" si="3"/>
        <v>34.264495000000004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71">
        <v>418</v>
      </c>
      <c r="AI17" s="66">
        <v>4.05</v>
      </c>
      <c r="AJ17" s="66">
        <v>8.1999999999999993</v>
      </c>
      <c r="AK17" s="62">
        <f t="shared" si="8"/>
        <v>16.929000000000002</v>
      </c>
      <c r="AL17" s="72">
        <f>AH17*AJ17%</f>
        <v>34.275999999999996</v>
      </c>
      <c r="AM17" s="73">
        <f t="shared" si="15"/>
        <v>-0.12899999999996226</v>
      </c>
      <c r="AN17" s="74">
        <f t="shared" si="10"/>
        <v>-1.5988000000000113E-2</v>
      </c>
      <c r="AO17" s="74">
        <f t="shared" si="10"/>
        <v>-1.1504999999992549E-2</v>
      </c>
      <c r="AP17" s="75">
        <f t="shared" si="16"/>
        <v>-5.3720866082813804E-4</v>
      </c>
      <c r="AQ17" s="76">
        <f t="shared" si="11"/>
        <v>-11.128399428861499</v>
      </c>
      <c r="AR17" s="90">
        <f t="shared" si="12"/>
        <v>-0.12899999999996226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418</v>
      </c>
      <c r="E18" s="62">
        <v>4.05</v>
      </c>
      <c r="F18" s="62">
        <v>8.1999999999999993</v>
      </c>
      <c r="G18" s="62">
        <f t="shared" si="0"/>
        <v>16.929000000000002</v>
      </c>
      <c r="H18" s="63">
        <f t="shared" si="1"/>
        <v>34.275999999999996</v>
      </c>
      <c r="I18" s="202">
        <v>331.40000000000003</v>
      </c>
      <c r="J18" s="202">
        <v>341.34200000000004</v>
      </c>
      <c r="K18" s="202">
        <v>4.3685274592637295</v>
      </c>
      <c r="L18" s="202">
        <v>8.1891369945684982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341.34200000000004</v>
      </c>
      <c r="S18" s="62">
        <f t="shared" si="2"/>
        <v>14.911619000000002</v>
      </c>
      <c r="T18" s="63">
        <f t="shared" si="3"/>
        <v>27.952964000000005</v>
      </c>
      <c r="U18" s="64" t="s">
        <v>180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71">
        <v>759</v>
      </c>
      <c r="AI18" s="66">
        <v>4.2</v>
      </c>
      <c r="AJ18" s="66">
        <v>8.1999999999999993</v>
      </c>
      <c r="AK18" s="62">
        <f t="shared" si="8"/>
        <v>31.878000000000004</v>
      </c>
      <c r="AL18" s="72">
        <f t="shared" si="9"/>
        <v>62.237999999999992</v>
      </c>
      <c r="AM18" s="73">
        <f t="shared" si="15"/>
        <v>0.34200000000009823</v>
      </c>
      <c r="AN18" s="74">
        <f t="shared" si="10"/>
        <v>-3.7380999999999887E-2</v>
      </c>
      <c r="AO18" s="74">
        <f t="shared" si="10"/>
        <v>-9.0359999999876095E-3</v>
      </c>
      <c r="AP18" s="75">
        <f t="shared" si="16"/>
        <v>-1.0828753425639877E-3</v>
      </c>
      <c r="AQ18" s="76">
        <f t="shared" si="11"/>
        <v>-20.668988674843504</v>
      </c>
      <c r="AR18" s="90">
        <f t="shared" si="12"/>
        <v>0.34200000000009823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759</v>
      </c>
      <c r="E19" s="62">
        <v>4.2</v>
      </c>
      <c r="F19" s="62">
        <v>8.1999999999999993</v>
      </c>
      <c r="G19" s="62">
        <f t="shared" si="0"/>
        <v>31.878000000000004</v>
      </c>
      <c r="H19" s="63">
        <f t="shared" si="1"/>
        <v>62.237999999999992</v>
      </c>
      <c r="I19" s="202">
        <v>450.3</v>
      </c>
      <c r="J19" s="202">
        <v>463.80900000000003</v>
      </c>
      <c r="K19" s="202">
        <v>4.061092604930046</v>
      </c>
      <c r="L19" s="202">
        <v>8.1781923162336216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463.80900000000003</v>
      </c>
      <c r="S19" s="62">
        <f t="shared" si="2"/>
        <v>18.835712999999998</v>
      </c>
      <c r="T19" s="63">
        <f t="shared" si="3"/>
        <v>37.931192000000003</v>
      </c>
      <c r="U19" s="64" t="s">
        <v>167</v>
      </c>
      <c r="V19" s="65" t="s">
        <v>180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71">
        <v>1182</v>
      </c>
      <c r="AI19" s="66">
        <v>4.1500000000000004</v>
      </c>
      <c r="AJ19" s="66">
        <v>8.19</v>
      </c>
      <c r="AK19" s="62">
        <f t="shared" si="8"/>
        <v>49.053000000000004</v>
      </c>
      <c r="AL19" s="72">
        <f t="shared" si="9"/>
        <v>96.805800000000005</v>
      </c>
      <c r="AM19" s="73">
        <f t="shared" si="15"/>
        <v>40.808999999999969</v>
      </c>
      <c r="AN19" s="74">
        <f t="shared" si="10"/>
        <v>1.6607129999999941</v>
      </c>
      <c r="AO19" s="74">
        <f t="shared" si="10"/>
        <v>3.3633919999999904</v>
      </c>
      <c r="AP19" s="75">
        <f t="shared" si="16"/>
        <v>8.8504120490627142E-2</v>
      </c>
      <c r="AQ19" s="76">
        <f t="shared" si="11"/>
        <v>1805.3326081377477</v>
      </c>
      <c r="AR19" s="90">
        <f t="shared" si="12"/>
        <v>40.808999999999969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1182</v>
      </c>
      <c r="E20" s="62">
        <v>4.1500000000000004</v>
      </c>
      <c r="F20" s="62">
        <v>8.19</v>
      </c>
      <c r="G20" s="62">
        <f t="shared" si="0"/>
        <v>49.053000000000004</v>
      </c>
      <c r="H20" s="63">
        <f t="shared" si="1"/>
        <v>96.805800000000005</v>
      </c>
      <c r="I20" s="202">
        <v>354.9</v>
      </c>
      <c r="J20" s="202">
        <v>365.54699999999997</v>
      </c>
      <c r="K20" s="202">
        <v>4.3678219216680754</v>
      </c>
      <c r="L20" s="202">
        <v>8.2452240067624682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365.54699999999997</v>
      </c>
      <c r="S20" s="62">
        <f t="shared" si="2"/>
        <v>15.966441999999999</v>
      </c>
      <c r="T20" s="63">
        <f t="shared" si="3"/>
        <v>30.140168999999997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7"/>
        <v>0</v>
      </c>
      <c r="AH20" s="71">
        <v>1548</v>
      </c>
      <c r="AI20" s="66">
        <v>4.2</v>
      </c>
      <c r="AJ20" s="66">
        <v>8.1999999999999993</v>
      </c>
      <c r="AK20" s="62">
        <f t="shared" si="8"/>
        <v>65.016000000000005</v>
      </c>
      <c r="AL20" s="72">
        <f t="shared" si="9"/>
        <v>126.93599999999998</v>
      </c>
      <c r="AM20" s="73">
        <f t="shared" si="15"/>
        <v>-0.45299999999997453</v>
      </c>
      <c r="AN20" s="74">
        <f t="shared" ref="AN20:AO65" si="18">+G20+S20-AF20-AK20</f>
        <v>3.4419999999926176E-3</v>
      </c>
      <c r="AO20" s="74">
        <f t="shared" si="18"/>
        <v>9.96900000002654E-3</v>
      </c>
      <c r="AP20" s="75">
        <f t="shared" si="16"/>
        <v>2.9086935060178591E-4</v>
      </c>
      <c r="AQ20" s="76">
        <f t="shared" si="11"/>
        <v>4.6396197756688924</v>
      </c>
      <c r="AR20" s="90">
        <f t="shared" si="12"/>
        <v>-0.45299999999997453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1548</v>
      </c>
      <c r="E21" s="62">
        <v>4.2</v>
      </c>
      <c r="F21" s="62">
        <v>8.1999999999999993</v>
      </c>
      <c r="G21" s="62">
        <f t="shared" si="0"/>
        <v>65.016000000000005</v>
      </c>
      <c r="H21" s="63">
        <f t="shared" si="1"/>
        <v>126.93599999999998</v>
      </c>
      <c r="I21" s="202">
        <v>421.3</v>
      </c>
      <c r="J21" s="202">
        <v>433.93900000000002</v>
      </c>
      <c r="K21" s="202">
        <v>4.0098504628530725</v>
      </c>
      <c r="L21" s="202">
        <v>8.1502729646332774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433.93900000000002</v>
      </c>
      <c r="S21" s="62">
        <f t="shared" si="2"/>
        <v>17.400304999999996</v>
      </c>
      <c r="T21" s="63">
        <f t="shared" si="3"/>
        <v>35.367213</v>
      </c>
      <c r="U21" s="64" t="s">
        <v>180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71">
        <v>1982</v>
      </c>
      <c r="AI21" s="66">
        <v>4.16</v>
      </c>
      <c r="AJ21" s="66">
        <v>8.1999999999999993</v>
      </c>
      <c r="AK21" s="62">
        <f t="shared" si="8"/>
        <v>82.4512</v>
      </c>
      <c r="AL21" s="72">
        <f t="shared" si="9"/>
        <v>162.52399999999997</v>
      </c>
      <c r="AM21" s="73">
        <f t="shared" si="15"/>
        <v>-6.0999999999921783E-2</v>
      </c>
      <c r="AN21" s="74">
        <f t="shared" si="18"/>
        <v>-3.4895000000005894E-2</v>
      </c>
      <c r="AO21" s="74">
        <f t="shared" si="18"/>
        <v>-0.2207870000000014</v>
      </c>
      <c r="AP21" s="75">
        <f t="shared" si="16"/>
        <v>-4.8454429863463979E-3</v>
      </c>
      <c r="AQ21" s="76">
        <f t="shared" si="11"/>
        <v>-82.891924148820664</v>
      </c>
      <c r="AR21" s="90">
        <f t="shared" si="12"/>
        <v>-6.0999999999921783E-2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/>
      <c r="E22" s="62"/>
      <c r="F22" s="62"/>
      <c r="G22" s="62">
        <f t="shared" si="0"/>
        <v>0</v>
      </c>
      <c r="H22" s="63">
        <f t="shared" si="1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4"/>
        <v>0</v>
      </c>
      <c r="S22" s="62">
        <f t="shared" si="2"/>
        <v>0</v>
      </c>
      <c r="T22" s="63">
        <f t="shared" si="3"/>
        <v>0</v>
      </c>
      <c r="U22" s="64"/>
      <c r="V22" s="65"/>
      <c r="W22" s="66"/>
      <c r="X22" s="67"/>
      <c r="Y22" s="68"/>
      <c r="Z22" s="68"/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71"/>
      <c r="AI22" s="66"/>
      <c r="AJ22" s="66"/>
      <c r="AK22" s="62">
        <f t="shared" si="8"/>
        <v>0</v>
      </c>
      <c r="AL22" s="72">
        <f t="shared" si="9"/>
        <v>0</v>
      </c>
      <c r="AM22" s="73">
        <f t="shared" si="15"/>
        <v>0</v>
      </c>
      <c r="AN22" s="74">
        <f t="shared" si="18"/>
        <v>0</v>
      </c>
      <c r="AO22" s="74">
        <f t="shared" si="18"/>
        <v>0</v>
      </c>
      <c r="AP22" s="75" t="e">
        <f t="shared" si="16"/>
        <v>#DIV/0!</v>
      </c>
      <c r="AQ22" s="76">
        <f t="shared" si="11"/>
        <v>0</v>
      </c>
      <c r="AR22" s="90">
        <f t="shared" si="12"/>
        <v>0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/>
      <c r="E23" s="62"/>
      <c r="F23" s="62"/>
      <c r="G23" s="62">
        <f t="shared" si="0"/>
        <v>0</v>
      </c>
      <c r="H23" s="63">
        <f t="shared" si="1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4"/>
        <v>0</v>
      </c>
      <c r="S23" s="62">
        <f t="shared" si="2"/>
        <v>0</v>
      </c>
      <c r="T23" s="63">
        <f t="shared" si="3"/>
        <v>0</v>
      </c>
      <c r="U23" s="64"/>
      <c r="V23" s="65"/>
      <c r="W23" s="66"/>
      <c r="X23" s="67"/>
      <c r="Y23" s="68"/>
      <c r="Z23" s="68"/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71"/>
      <c r="AI23" s="66"/>
      <c r="AJ23" s="66"/>
      <c r="AK23" s="62">
        <f t="shared" si="8"/>
        <v>0</v>
      </c>
      <c r="AL23" s="72">
        <f t="shared" si="9"/>
        <v>0</v>
      </c>
      <c r="AM23" s="73">
        <f t="shared" si="15"/>
        <v>0</v>
      </c>
      <c r="AN23" s="74">
        <f t="shared" si="18"/>
        <v>0</v>
      </c>
      <c r="AO23" s="74">
        <f t="shared" si="18"/>
        <v>0</v>
      </c>
      <c r="AP23" s="75" t="e">
        <f t="shared" si="16"/>
        <v>#DIV/0!</v>
      </c>
      <c r="AQ23" s="76">
        <f t="shared" si="11"/>
        <v>0</v>
      </c>
      <c r="AR23" s="90">
        <f t="shared" si="12"/>
        <v>0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/>
      <c r="E24" s="62"/>
      <c r="F24" s="62"/>
      <c r="G24" s="62">
        <f t="shared" si="0"/>
        <v>0</v>
      </c>
      <c r="H24" s="63">
        <f t="shared" si="1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4"/>
        <v>0</v>
      </c>
      <c r="S24" s="62">
        <f t="shared" si="2"/>
        <v>0</v>
      </c>
      <c r="T24" s="63">
        <f t="shared" si="3"/>
        <v>0</v>
      </c>
      <c r="U24" s="64"/>
      <c r="V24" s="65"/>
      <c r="W24" s="66"/>
      <c r="X24" s="67"/>
      <c r="Y24" s="68"/>
      <c r="Z24" s="68"/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71"/>
      <c r="AI24" s="66"/>
      <c r="AJ24" s="66"/>
      <c r="AK24" s="62">
        <f t="shared" si="8"/>
        <v>0</v>
      </c>
      <c r="AL24" s="72">
        <f t="shared" si="9"/>
        <v>0</v>
      </c>
      <c r="AM24" s="73">
        <f t="shared" si="15"/>
        <v>0</v>
      </c>
      <c r="AN24" s="74">
        <f t="shared" si="18"/>
        <v>0</v>
      </c>
      <c r="AO24" s="74">
        <f t="shared" si="18"/>
        <v>0</v>
      </c>
      <c r="AP24" s="75" t="e">
        <f t="shared" si="16"/>
        <v>#DIV/0!</v>
      </c>
      <c r="AQ24" s="76">
        <f t="shared" si="11"/>
        <v>0</v>
      </c>
      <c r="AR24" s="90">
        <f t="shared" si="12"/>
        <v>0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/>
      <c r="E25" s="62"/>
      <c r="F25" s="62"/>
      <c r="G25" s="62">
        <f t="shared" si="0"/>
        <v>0</v>
      </c>
      <c r="H25" s="63">
        <f t="shared" si="1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4"/>
        <v>0</v>
      </c>
      <c r="S25" s="62">
        <f t="shared" si="2"/>
        <v>0</v>
      </c>
      <c r="T25" s="63">
        <f t="shared" si="3"/>
        <v>0</v>
      </c>
      <c r="U25" s="64"/>
      <c r="V25" s="65"/>
      <c r="W25" s="66"/>
      <c r="X25" s="67"/>
      <c r="Y25" s="68"/>
      <c r="Z25" s="68"/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71"/>
      <c r="AI25" s="66"/>
      <c r="AJ25" s="66"/>
      <c r="AK25" s="62">
        <f t="shared" si="8"/>
        <v>0</v>
      </c>
      <c r="AL25" s="72">
        <f t="shared" si="9"/>
        <v>0</v>
      </c>
      <c r="AM25" s="73">
        <f t="shared" si="15"/>
        <v>0</v>
      </c>
      <c r="AN25" s="74">
        <f t="shared" si="18"/>
        <v>0</v>
      </c>
      <c r="AO25" s="74">
        <f t="shared" si="18"/>
        <v>0</v>
      </c>
      <c r="AP25" s="75" t="e">
        <f t="shared" si="16"/>
        <v>#DIV/0!</v>
      </c>
      <c r="AQ25" s="76">
        <f t="shared" si="11"/>
        <v>0</v>
      </c>
      <c r="AR25" s="90">
        <f t="shared" si="12"/>
        <v>0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71"/>
      <c r="AI26" s="66"/>
      <c r="AJ26" s="66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71"/>
      <c r="AI27" s="66"/>
      <c r="AJ27" s="66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71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71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71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71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2"/>
      <c r="J32" s="202"/>
      <c r="K32" s="202"/>
      <c r="L32" s="202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71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71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71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71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71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71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71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71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71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71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71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71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71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71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71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71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71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71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71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71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2"/>
      <c r="J52" s="202"/>
      <c r="K52" s="202"/>
      <c r="L52" s="202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71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2"/>
      <c r="J53" s="202"/>
      <c r="K53" s="202"/>
      <c r="L53" s="202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71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2"/>
      <c r="J54" s="202"/>
      <c r="K54" s="202"/>
      <c r="L54" s="202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71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2"/>
      <c r="J55" s="202"/>
      <c r="K55" s="202"/>
      <c r="L55" s="202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71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2"/>
      <c r="J56" s="202"/>
      <c r="K56" s="202"/>
      <c r="L56" s="202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71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2"/>
      <c r="J57" s="202"/>
      <c r="K57" s="202"/>
      <c r="L57" s="202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71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2"/>
      <c r="J58" s="202"/>
      <c r="K58" s="202"/>
      <c r="L58" s="202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71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2"/>
      <c r="J59" s="202"/>
      <c r="K59" s="202"/>
      <c r="L59" s="202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71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2"/>
      <c r="J60" s="202"/>
      <c r="K60" s="202"/>
      <c r="L60" s="202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71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2"/>
      <c r="J61" s="202"/>
      <c r="K61" s="202"/>
      <c r="L61" s="202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71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2"/>
      <c r="J62" s="202"/>
      <c r="K62" s="202"/>
      <c r="L62" s="202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71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2"/>
      <c r="J63" s="202"/>
      <c r="K63" s="202"/>
      <c r="L63" s="202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71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7173.7439999999997</v>
      </c>
      <c r="X66" s="77"/>
      <c r="AH66" s="77"/>
      <c r="AI66" s="77"/>
      <c r="AJ66" s="77"/>
      <c r="AM66" s="83">
        <f>-SUM(AM4:AM65)</f>
        <v>48.256000000000029</v>
      </c>
      <c r="AN66" s="83">
        <f t="shared" ref="AN66:AO66" si="19">-SUM(AN4:AN65)</f>
        <v>3.0244010000000401</v>
      </c>
      <c r="AO66" s="83">
        <f t="shared" si="19"/>
        <v>1.9417749999999394</v>
      </c>
      <c r="AP66" s="83" t="e">
        <f>-SUM(AP4:AP65)</f>
        <v>#DIV/0!</v>
      </c>
      <c r="AQ66" s="126">
        <f>-SUM(AQ4:AQ65)</f>
        <v>2034.8674397688897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9" priority="1" operator="lessThan">
      <formula>0.1</formula>
    </cfRule>
    <cfRule type="cellIs" dxfId="98" priority="2" operator="greaterThan">
      <formula>0.1</formula>
    </cfRule>
  </conditionalFormatting>
  <conditionalFormatting sqref="AP1:AQ1">
    <cfRule type="cellIs" dxfId="97" priority="5" operator="lessThan">
      <formula>1</formula>
    </cfRule>
  </conditionalFormatting>
  <conditionalFormatting sqref="AQ4:AQ65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71"/>
  <sheetViews>
    <sheetView zoomScale="80" zoomScaleNormal="80" workbookViewId="0">
      <selection activeCell="AC21" sqref="AC21:AE21"/>
    </sheetView>
  </sheetViews>
  <sheetFormatPr defaultRowHeight="15" x14ac:dyDescent="0.25"/>
  <cols>
    <col min="1" max="1" width="4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9.285156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customWidth="1"/>
    <col min="21" max="21" width="7.85546875" bestFit="1" customWidth="1"/>
    <col min="22" max="22" width="7.7109375" customWidth="1"/>
    <col min="23" max="23" width="10.28515625" customWidth="1"/>
    <col min="24" max="24" width="7.7109375" customWidth="1"/>
    <col min="25" max="25" width="5.85546875" bestFit="1" customWidth="1"/>
    <col min="26" max="26" width="5.85546875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4.140625" bestFit="1" customWidth="1"/>
    <col min="45" max="49" width="8.7109375" bestFit="1" customWidth="1"/>
  </cols>
  <sheetData>
    <row r="1" spans="1:44" ht="15.75" thickBot="1" x14ac:dyDescent="0.3">
      <c r="B1" s="43" t="s">
        <v>114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6247.3</v>
      </c>
      <c r="E4" s="88">
        <v>4.46</v>
      </c>
      <c r="F4" s="88">
        <v>8.14</v>
      </c>
      <c r="G4" s="62">
        <f t="shared" ref="G4:G11" si="0">+D4*E4%</f>
        <v>278.62958000000003</v>
      </c>
      <c r="H4" s="63">
        <f t="shared" ref="H4:H11" si="1">+D4*F4%</f>
        <v>508.53022000000004</v>
      </c>
      <c r="I4" s="202">
        <v>2336.9999999999995</v>
      </c>
      <c r="J4" s="202">
        <v>2407.1099999999997</v>
      </c>
      <c r="K4" s="202">
        <v>4.7702011125374391</v>
      </c>
      <c r="L4" s="202">
        <v>8.2137612323491656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2407.1099999999997</v>
      </c>
      <c r="S4" s="62">
        <f t="shared" ref="S4:S65" si="3">+J4*K4%+O4*P4%</f>
        <v>114.82398799999994</v>
      </c>
      <c r="T4" s="63">
        <f t="shared" ref="T4:T65" si="4">+J4*L4%+O4*Q4%</f>
        <v>197.71426799999995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8654.4</v>
      </c>
      <c r="AI4" s="66">
        <v>4.54</v>
      </c>
      <c r="AJ4" s="66">
        <v>8.15</v>
      </c>
      <c r="AK4" s="62">
        <f t="shared" ref="AK4:AK65" si="9">AH4*AI4%</f>
        <v>392.90976000000001</v>
      </c>
      <c r="AL4" s="72">
        <f t="shared" ref="AL4:AL65" si="10">AH4*AJ4%</f>
        <v>705.33360000000005</v>
      </c>
      <c r="AM4" s="73">
        <f t="shared" ref="AM4:AM65" si="11">+D4+R4-AC4-AH4</f>
        <v>1.0000000000218279E-2</v>
      </c>
      <c r="AN4" s="74">
        <f t="shared" ref="AN4:AO19" si="12">+G4+S4-AF4-AK4</f>
        <v>0.54380799999995588</v>
      </c>
      <c r="AO4" s="74">
        <f t="shared" si="12"/>
        <v>0.91088799999999992</v>
      </c>
      <c r="AP4" s="75">
        <f t="shared" ref="AP4:AP65" si="13">(AN4+AO4)/(S4+T4)</f>
        <v>4.6544574050479005E-3</v>
      </c>
      <c r="AQ4" s="76">
        <f t="shared" ref="AQ4:AQ65" si="14">($AP$1*AN4+$AQ$1*AO4)</f>
        <v>534.12028981613798</v>
      </c>
      <c r="AR4" s="90">
        <f t="shared" ref="AR4:AR65" si="15">(D4+J4+O4)-(X4+AH4)</f>
        <v>1.0000000000218279E-2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8654.4</v>
      </c>
      <c r="E5" s="62">
        <v>4.54</v>
      </c>
      <c r="F5" s="62">
        <v>8.15</v>
      </c>
      <c r="G5" s="62">
        <f t="shared" si="0"/>
        <v>392.90976000000001</v>
      </c>
      <c r="H5" s="63">
        <f t="shared" si="1"/>
        <v>705.33360000000005</v>
      </c>
      <c r="I5" s="202">
        <v>2156.5</v>
      </c>
      <c r="J5" s="202">
        <v>2221.1950000000002</v>
      </c>
      <c r="K5" s="202">
        <v>4.2869603524229056</v>
      </c>
      <c r="L5" s="202">
        <v>8.1812566658938071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2221.1950000000002</v>
      </c>
      <c r="S5" s="62">
        <f t="shared" si="3"/>
        <v>95.22174899999996</v>
      </c>
      <c r="T5" s="63">
        <f t="shared" si="4"/>
        <v>181.72166399999998</v>
      </c>
      <c r="U5" s="64" t="s">
        <v>189</v>
      </c>
      <c r="V5" s="65" t="s">
        <v>225</v>
      </c>
      <c r="W5" s="66" t="s">
        <v>181</v>
      </c>
      <c r="X5" s="67">
        <v>10000</v>
      </c>
      <c r="Y5" s="68">
        <v>4.58</v>
      </c>
      <c r="Z5" s="68">
        <v>8.26</v>
      </c>
      <c r="AA5" s="62">
        <f t="shared" si="5"/>
        <v>458</v>
      </c>
      <c r="AB5" s="63">
        <f t="shared" si="6"/>
        <v>825.99999999999989</v>
      </c>
      <c r="AC5" s="69">
        <v>9940</v>
      </c>
      <c r="AD5" s="70">
        <v>4.4249999999999998</v>
      </c>
      <c r="AE5" s="70">
        <v>7.9799999999999995</v>
      </c>
      <c r="AF5" s="62">
        <f t="shared" si="7"/>
        <v>439.84499999999997</v>
      </c>
      <c r="AG5" s="62">
        <f t="shared" si="8"/>
        <v>793.21199999999999</v>
      </c>
      <c r="AH5" s="89">
        <v>875.5</v>
      </c>
      <c r="AI5" s="66">
        <v>4.4800000000000004</v>
      </c>
      <c r="AJ5" s="66">
        <v>8.15</v>
      </c>
      <c r="AK5" s="62">
        <f t="shared" si="9"/>
        <v>39.222400000000007</v>
      </c>
      <c r="AL5" s="72">
        <f t="shared" si="10"/>
        <v>71.353250000000003</v>
      </c>
      <c r="AM5" s="73">
        <f t="shared" si="11"/>
        <v>60.094999999999345</v>
      </c>
      <c r="AN5" s="74">
        <f t="shared" si="12"/>
        <v>9.0641089999999593</v>
      </c>
      <c r="AO5" s="74">
        <f t="shared" si="12"/>
        <v>22.490014000000087</v>
      </c>
      <c r="AP5" s="75">
        <f t="shared" si="13"/>
        <v>0.11393707710246227</v>
      </c>
      <c r="AQ5" s="76">
        <f t="shared" si="14"/>
        <v>11091.158354251642</v>
      </c>
      <c r="AR5" s="90">
        <f t="shared" si="15"/>
        <v>9.4999999999345164E-2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875.5</v>
      </c>
      <c r="E6" s="62">
        <v>4.4800000000000004</v>
      </c>
      <c r="F6" s="62">
        <v>8.15</v>
      </c>
      <c r="G6" s="62">
        <f t="shared" si="0"/>
        <v>39.222400000000007</v>
      </c>
      <c r="H6" s="63">
        <f t="shared" si="1"/>
        <v>71.353250000000003</v>
      </c>
      <c r="I6" s="202">
        <v>2546.5000000000009</v>
      </c>
      <c r="J6" s="202">
        <v>2622.8950000000009</v>
      </c>
      <c r="K6" s="202">
        <v>4.7120675436874144</v>
      </c>
      <c r="L6" s="202">
        <v>8.109656391125073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2622.8950000000009</v>
      </c>
      <c r="S6" s="62">
        <f t="shared" si="3"/>
        <v>123.59258400000004</v>
      </c>
      <c r="T6" s="63">
        <f t="shared" si="4"/>
        <v>212.70777200000003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3498.3</v>
      </c>
      <c r="AI6" s="66">
        <v>4.6500000000000004</v>
      </c>
      <c r="AJ6" s="66">
        <v>8.1199999999999992</v>
      </c>
      <c r="AK6" s="62">
        <f t="shared" si="9"/>
        <v>162.67095000000003</v>
      </c>
      <c r="AL6" s="72">
        <f t="shared" si="10"/>
        <v>284.06196</v>
      </c>
      <c r="AM6" s="73">
        <f t="shared" si="11"/>
        <v>9.5000000000709406E-2</v>
      </c>
      <c r="AN6" s="74">
        <f t="shared" si="12"/>
        <v>0.14403400000000488</v>
      </c>
      <c r="AO6" s="74">
        <f t="shared" si="12"/>
        <v>-9.3799999996235783E-4</v>
      </c>
      <c r="AP6" s="75">
        <f t="shared" si="13"/>
        <v>4.2550059031172267E-4</v>
      </c>
      <c r="AQ6" s="76">
        <f t="shared" si="14"/>
        <v>68.932102142440371</v>
      </c>
      <c r="AR6" s="90">
        <f t="shared" si="15"/>
        <v>9.5000000000709406E-2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3498.3</v>
      </c>
      <c r="E7" s="62">
        <v>4.6500000000000004</v>
      </c>
      <c r="F7" s="62">
        <v>8.1199999999999992</v>
      </c>
      <c r="G7" s="62">
        <f t="shared" si="0"/>
        <v>162.67095000000003</v>
      </c>
      <c r="H7" s="63">
        <f t="shared" si="1"/>
        <v>284.06196</v>
      </c>
      <c r="I7" s="202">
        <v>2493.1000000000008</v>
      </c>
      <c r="J7" s="202">
        <v>2567.8930000000009</v>
      </c>
      <c r="K7" s="202">
        <v>4.3036019413581492</v>
      </c>
      <c r="L7" s="202">
        <v>8.1012915647186237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2567.8930000000009</v>
      </c>
      <c r="S7" s="62">
        <f t="shared" si="3"/>
        <v>110.51189300000006</v>
      </c>
      <c r="T7" s="63">
        <f t="shared" si="4"/>
        <v>208.03249900000009</v>
      </c>
      <c r="U7" s="64" t="s">
        <v>180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6066.1</v>
      </c>
      <c r="AI7" s="66">
        <v>4.5</v>
      </c>
      <c r="AJ7" s="66">
        <v>8.11</v>
      </c>
      <c r="AK7" s="62">
        <f t="shared" si="9"/>
        <v>272.97450000000003</v>
      </c>
      <c r="AL7" s="72">
        <f t="shared" si="10"/>
        <v>491.96071000000001</v>
      </c>
      <c r="AM7" s="73">
        <f t="shared" si="11"/>
        <v>9.30000000007567E-2</v>
      </c>
      <c r="AN7" s="74">
        <f t="shared" si="12"/>
        <v>0.20834300000007033</v>
      </c>
      <c r="AO7" s="74">
        <f t="shared" si="12"/>
        <v>0.13374900000007983</v>
      </c>
      <c r="AP7" s="75">
        <f t="shared" si="13"/>
        <v>1.0739225319658116E-3</v>
      </c>
      <c r="AQ7" s="76">
        <f t="shared" si="14"/>
        <v>140.17222711806653</v>
      </c>
      <c r="AR7" s="90">
        <f t="shared" si="15"/>
        <v>9.30000000007567E-2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6066.1</v>
      </c>
      <c r="E8" s="62">
        <v>4.5</v>
      </c>
      <c r="F8" s="62">
        <v>8.11</v>
      </c>
      <c r="G8" s="62">
        <f t="shared" si="0"/>
        <v>272.97450000000003</v>
      </c>
      <c r="H8" s="63">
        <f t="shared" si="1"/>
        <v>491.96071000000001</v>
      </c>
      <c r="I8" s="202">
        <v>2532.1000000000004</v>
      </c>
      <c r="J8" s="202">
        <v>2608.0630000000006</v>
      </c>
      <c r="K8" s="202">
        <v>4.665558232297303</v>
      </c>
      <c r="L8" s="202">
        <v>8.2366968129220819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2608.0630000000006</v>
      </c>
      <c r="S8" s="62">
        <f t="shared" si="3"/>
        <v>121.68069800000004</v>
      </c>
      <c r="T8" s="63">
        <f t="shared" si="4"/>
        <v>214.81824200000005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>
        <v>8674.1</v>
      </c>
      <c r="AI8" s="66">
        <v>4.55</v>
      </c>
      <c r="AJ8" s="66">
        <v>8.14</v>
      </c>
      <c r="AK8" s="62">
        <f t="shared" si="9"/>
        <v>394.67155000000002</v>
      </c>
      <c r="AL8" s="72">
        <f t="shared" si="10"/>
        <v>706.07173999999998</v>
      </c>
      <c r="AM8" s="73">
        <f t="shared" si="11"/>
        <v>6.3000000000101863E-2</v>
      </c>
      <c r="AN8" s="74">
        <f t="shared" si="12"/>
        <v>-1.6351999999983491E-2</v>
      </c>
      <c r="AO8" s="74">
        <f t="shared" si="12"/>
        <v>0.70721200000014051</v>
      </c>
      <c r="AP8" s="75">
        <f t="shared" si="13"/>
        <v>2.0530822474512309E-3</v>
      </c>
      <c r="AQ8" s="76">
        <f t="shared" si="14"/>
        <v>203.94602983825868</v>
      </c>
      <c r="AR8" s="90">
        <f t="shared" si="15"/>
        <v>6.3000000000101863E-2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8674.1</v>
      </c>
      <c r="E9" s="62">
        <v>4.55</v>
      </c>
      <c r="F9" s="62">
        <v>8.14</v>
      </c>
      <c r="G9" s="62">
        <f t="shared" si="0"/>
        <v>394.67155000000002</v>
      </c>
      <c r="H9" s="63">
        <f t="shared" si="1"/>
        <v>706.07173999999998</v>
      </c>
      <c r="I9" s="202">
        <v>2252.0999999999995</v>
      </c>
      <c r="J9" s="202">
        <v>2319.6629999999996</v>
      </c>
      <c r="K9" s="202">
        <v>4.2561742373784464</v>
      </c>
      <c r="L9" s="202">
        <v>8.1722303627725221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2319.6629999999996</v>
      </c>
      <c r="S9" s="62">
        <f t="shared" si="3"/>
        <v>98.72889899999997</v>
      </c>
      <c r="T9" s="63">
        <f t="shared" si="4"/>
        <v>189.56820399999992</v>
      </c>
      <c r="U9" s="64" t="s">
        <v>189</v>
      </c>
      <c r="V9" s="65" t="s">
        <v>264</v>
      </c>
      <c r="W9" s="66" t="s">
        <v>182</v>
      </c>
      <c r="X9" s="67">
        <v>10000</v>
      </c>
      <c r="Y9" s="68">
        <v>4.63</v>
      </c>
      <c r="Z9" s="68">
        <v>8.3000000000000007</v>
      </c>
      <c r="AA9" s="62">
        <f t="shared" si="5"/>
        <v>463</v>
      </c>
      <c r="AB9" s="63">
        <f t="shared" si="6"/>
        <v>830</v>
      </c>
      <c r="AC9" s="69">
        <v>9960</v>
      </c>
      <c r="AD9" s="70">
        <v>4.6249497991967878</v>
      </c>
      <c r="AE9" s="70">
        <v>8.2698594377510037</v>
      </c>
      <c r="AF9" s="62">
        <f t="shared" si="7"/>
        <v>460.64500000000004</v>
      </c>
      <c r="AG9" s="62">
        <f t="shared" si="8"/>
        <v>823.678</v>
      </c>
      <c r="AH9" s="89">
        <v>1003.2</v>
      </c>
      <c r="AI9" s="66">
        <v>4.4800000000000004</v>
      </c>
      <c r="AJ9" s="66">
        <v>8.14</v>
      </c>
      <c r="AK9" s="62">
        <f t="shared" si="9"/>
        <v>44.943360000000006</v>
      </c>
      <c r="AL9" s="72">
        <f t="shared" si="10"/>
        <v>81.660480000000007</v>
      </c>
      <c r="AM9" s="73">
        <f t="shared" si="11"/>
        <v>30.562999999998965</v>
      </c>
      <c r="AN9" s="74">
        <f t="shared" si="12"/>
        <v>-12.187911000000064</v>
      </c>
      <c r="AO9" s="74">
        <f t="shared" si="12"/>
        <v>-9.6985360000001037</v>
      </c>
      <c r="AP9" s="75">
        <f t="shared" si="13"/>
        <v>-7.5916291812339776E-2</v>
      </c>
      <c r="AQ9" s="76">
        <f t="shared" si="14"/>
        <v>-8761.3130991153612</v>
      </c>
      <c r="AR9" s="90">
        <f t="shared" si="15"/>
        <v>-9.4370000000017171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1003.2</v>
      </c>
      <c r="E10" s="62">
        <v>4.4800000000000004</v>
      </c>
      <c r="F10" s="62">
        <v>8.14</v>
      </c>
      <c r="G10" s="62">
        <f t="shared" si="0"/>
        <v>44.943360000000006</v>
      </c>
      <c r="H10" s="63">
        <f t="shared" si="1"/>
        <v>81.660480000000007</v>
      </c>
      <c r="I10" s="202">
        <v>2648.6</v>
      </c>
      <c r="J10" s="202">
        <v>2728.058</v>
      </c>
      <c r="K10" s="202">
        <v>4.6655742656497772</v>
      </c>
      <c r="L10" s="202">
        <v>8.1648720078532069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2728.058</v>
      </c>
      <c r="S10" s="62">
        <f t="shared" si="3"/>
        <v>127.279572</v>
      </c>
      <c r="T10" s="63">
        <f t="shared" si="4"/>
        <v>222.74244400000003</v>
      </c>
      <c r="U10" s="64" t="s">
        <v>167</v>
      </c>
      <c r="V10" s="65" t="s">
        <v>167</v>
      </c>
      <c r="W10" s="66" t="s">
        <v>167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3731.2</v>
      </c>
      <c r="AI10" s="66">
        <v>4.6100000000000003</v>
      </c>
      <c r="AJ10" s="66">
        <v>8.15</v>
      </c>
      <c r="AK10" s="62">
        <f t="shared" si="9"/>
        <v>172.00832</v>
      </c>
      <c r="AL10" s="72">
        <f t="shared" si="10"/>
        <v>304.09280000000001</v>
      </c>
      <c r="AM10" s="73">
        <f t="shared" si="11"/>
        <v>5.7999999999992724E-2</v>
      </c>
      <c r="AN10" s="74">
        <f t="shared" si="12"/>
        <v>0.21461200000001668</v>
      </c>
      <c r="AO10" s="74">
        <f t="shared" si="12"/>
        <v>0.31012400000003026</v>
      </c>
      <c r="AP10" s="75">
        <f t="shared" si="13"/>
        <v>1.499151413378657E-3</v>
      </c>
      <c r="AQ10" s="76">
        <f t="shared" si="14"/>
        <v>196.00742797118323</v>
      </c>
      <c r="AR10" s="90">
        <f t="shared" si="15"/>
        <v>5.7999999999992724E-2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3731.2</v>
      </c>
      <c r="E11" s="62">
        <v>4.6100000000000003</v>
      </c>
      <c r="F11" s="62">
        <v>8.15</v>
      </c>
      <c r="G11" s="62">
        <f t="shared" si="0"/>
        <v>172.00832</v>
      </c>
      <c r="H11" s="63">
        <f t="shared" si="1"/>
        <v>304.09280000000001</v>
      </c>
      <c r="I11" s="202">
        <v>2482.4999999999995</v>
      </c>
      <c r="J11" s="202">
        <v>2556.9749999999995</v>
      </c>
      <c r="K11" s="202">
        <v>4.5022477341389715</v>
      </c>
      <c r="L11" s="202">
        <v>8.1174058408861995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2556.9749999999995</v>
      </c>
      <c r="S11" s="62">
        <f t="shared" si="3"/>
        <v>115.12134899999994</v>
      </c>
      <c r="T11" s="63">
        <f t="shared" si="4"/>
        <v>207.56003799999985</v>
      </c>
      <c r="U11" s="64" t="s">
        <v>167</v>
      </c>
      <c r="V11" s="65" t="s">
        <v>180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6288.1</v>
      </c>
      <c r="AI11" s="66">
        <v>4.5599999999999996</v>
      </c>
      <c r="AJ11" s="66">
        <v>8.1300000000000008</v>
      </c>
      <c r="AK11" s="62">
        <f t="shared" si="9"/>
        <v>286.73735999999997</v>
      </c>
      <c r="AL11" s="72">
        <f t="shared" si="10"/>
        <v>511.22253000000012</v>
      </c>
      <c r="AM11" s="73">
        <f t="shared" si="11"/>
        <v>7.4999999998908606E-2</v>
      </c>
      <c r="AN11" s="74">
        <f t="shared" si="12"/>
        <v>0.39230899999995472</v>
      </c>
      <c r="AO11" s="74">
        <f t="shared" si="12"/>
        <v>0.43030799999974079</v>
      </c>
      <c r="AP11" s="75">
        <f t="shared" si="13"/>
        <v>2.5493165492055359E-3</v>
      </c>
      <c r="AQ11" s="76">
        <f t="shared" si="14"/>
        <v>317.39065793387755</v>
      </c>
      <c r="AR11" s="90">
        <f t="shared" si="15"/>
        <v>7.4999999998908606E-2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6288.1</v>
      </c>
      <c r="E12" s="62">
        <v>4.5599999999999996</v>
      </c>
      <c r="F12" s="62">
        <v>8.1300000000000008</v>
      </c>
      <c r="G12" s="62">
        <f t="shared" ref="G12:G65" si="18">+D12*E12%</f>
        <v>286.73735999999997</v>
      </c>
      <c r="H12" s="63">
        <f t="shared" ref="H12:H65" si="19">+D12*F12%</f>
        <v>511.22253000000012</v>
      </c>
      <c r="I12" s="202">
        <v>2432.1</v>
      </c>
      <c r="J12" s="202">
        <v>2505.0630000000001</v>
      </c>
      <c r="K12" s="202">
        <v>4.9412236338966329</v>
      </c>
      <c r="L12" s="202">
        <v>8.3166029357345508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2505.0630000000001</v>
      </c>
      <c r="S12" s="62">
        <f t="shared" si="3"/>
        <v>123.780765</v>
      </c>
      <c r="T12" s="63">
        <f t="shared" si="4"/>
        <v>208.33614299999999</v>
      </c>
      <c r="U12" s="64" t="s">
        <v>167</v>
      </c>
      <c r="V12" s="65" t="s">
        <v>167</v>
      </c>
      <c r="W12" s="66" t="s">
        <v>180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8793.1</v>
      </c>
      <c r="AI12" s="66">
        <v>4.66</v>
      </c>
      <c r="AJ12" s="66">
        <v>8.18</v>
      </c>
      <c r="AK12" s="62">
        <f t="shared" si="9"/>
        <v>409.75846000000001</v>
      </c>
      <c r="AL12" s="72">
        <f t="shared" si="10"/>
        <v>719.27557999999999</v>
      </c>
      <c r="AM12" s="73">
        <f t="shared" si="11"/>
        <v>6.3000000000101863E-2</v>
      </c>
      <c r="AN12" s="74">
        <f t="shared" si="12"/>
        <v>0.7596649999999272</v>
      </c>
      <c r="AO12" s="74">
        <f t="shared" si="12"/>
        <v>0.28309300000012172</v>
      </c>
      <c r="AP12" s="75">
        <f t="shared" si="13"/>
        <v>3.1397317477135159E-3</v>
      </c>
      <c r="AQ12" s="76">
        <f t="shared" si="14"/>
        <v>449.82759014188082</v>
      </c>
      <c r="AR12" s="90">
        <f t="shared" si="15"/>
        <v>6.3000000000101863E-2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8793.1</v>
      </c>
      <c r="E13" s="62">
        <v>4.66</v>
      </c>
      <c r="F13" s="62">
        <v>8.18</v>
      </c>
      <c r="G13" s="62">
        <f t="shared" si="18"/>
        <v>409.75846000000001</v>
      </c>
      <c r="H13" s="63">
        <f t="shared" si="19"/>
        <v>719.27557999999999</v>
      </c>
      <c r="I13" s="202">
        <v>2440.1</v>
      </c>
      <c r="J13" s="202">
        <v>2513.3029999999999</v>
      </c>
      <c r="K13" s="202">
        <v>4.4411048727511151</v>
      </c>
      <c r="L13" s="202">
        <v>8.1557108315232956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2513.3029999999999</v>
      </c>
      <c r="S13" s="62">
        <f t="shared" si="3"/>
        <v>111.61842199999995</v>
      </c>
      <c r="T13" s="63">
        <f t="shared" si="4"/>
        <v>204.97772499999991</v>
      </c>
      <c r="U13" s="64" t="s">
        <v>189</v>
      </c>
      <c r="V13" s="65" t="s">
        <v>265</v>
      </c>
      <c r="W13" s="66" t="s">
        <v>182</v>
      </c>
      <c r="X13" s="67">
        <v>10000</v>
      </c>
      <c r="Y13" s="68">
        <v>4.63</v>
      </c>
      <c r="Z13" s="68">
        <v>8.3000000000000007</v>
      </c>
      <c r="AA13" s="62">
        <f t="shared" si="5"/>
        <v>463</v>
      </c>
      <c r="AB13" s="63">
        <f t="shared" si="6"/>
        <v>830</v>
      </c>
      <c r="AC13" s="69">
        <v>9960</v>
      </c>
      <c r="AD13" s="70">
        <v>4.5</v>
      </c>
      <c r="AE13" s="70">
        <v>8.2500000000000018</v>
      </c>
      <c r="AF13" s="62">
        <f t="shared" si="7"/>
        <v>448.2</v>
      </c>
      <c r="AG13" s="62">
        <f t="shared" si="8"/>
        <v>821.70000000000016</v>
      </c>
      <c r="AH13" s="89">
        <v>1306.4000000000001</v>
      </c>
      <c r="AI13" s="66">
        <v>4.6100000000000003</v>
      </c>
      <c r="AJ13" s="66">
        <v>8.17</v>
      </c>
      <c r="AK13" s="62">
        <f t="shared" si="9"/>
        <v>60.225040000000007</v>
      </c>
      <c r="AL13" s="72">
        <f t="shared" si="10"/>
        <v>106.73287999999999</v>
      </c>
      <c r="AM13" s="73">
        <f t="shared" si="11"/>
        <v>40.003000000000156</v>
      </c>
      <c r="AN13" s="74">
        <f t="shared" si="12"/>
        <v>12.951842000000028</v>
      </c>
      <c r="AO13" s="74">
        <f t="shared" si="12"/>
        <v>-4.1795750000001988</v>
      </c>
      <c r="AP13" s="75">
        <f t="shared" si="13"/>
        <v>2.7708066200817765E-2</v>
      </c>
      <c r="AQ13" s="76">
        <f t="shared" si="14"/>
        <v>4972.0361133751658</v>
      </c>
      <c r="AR13" s="90">
        <f t="shared" si="15"/>
        <v>3.0000000006111804E-3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1306.4000000000001</v>
      </c>
      <c r="E14" s="62">
        <v>4.6100000000000003</v>
      </c>
      <c r="F14" s="62">
        <v>8.17</v>
      </c>
      <c r="G14" s="62">
        <f t="shared" si="18"/>
        <v>60.225040000000007</v>
      </c>
      <c r="H14" s="63">
        <f t="shared" si="19"/>
        <v>106.73287999999999</v>
      </c>
      <c r="I14" s="202">
        <v>2463.2000000000003</v>
      </c>
      <c r="J14" s="202">
        <v>2537.0960000000005</v>
      </c>
      <c r="K14" s="202">
        <v>4.7666206560571602</v>
      </c>
      <c r="L14" s="202">
        <v>8.2532559272491053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2537.0960000000005</v>
      </c>
      <c r="S14" s="62">
        <f t="shared" si="3"/>
        <v>120.933742</v>
      </c>
      <c r="T14" s="63">
        <f t="shared" si="4"/>
        <v>209.39302599999999</v>
      </c>
      <c r="U14" s="64" t="s">
        <v>167</v>
      </c>
      <c r="V14" s="65" t="s">
        <v>167</v>
      </c>
      <c r="W14" s="66" t="s">
        <v>167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3843.4</v>
      </c>
      <c r="AI14" s="66">
        <v>4.71</v>
      </c>
      <c r="AJ14" s="66">
        <v>8.2200000000000006</v>
      </c>
      <c r="AK14" s="62">
        <f t="shared" si="9"/>
        <v>181.02414000000002</v>
      </c>
      <c r="AL14" s="72">
        <f t="shared" si="10"/>
        <v>315.92748000000006</v>
      </c>
      <c r="AM14" s="73">
        <f t="shared" si="11"/>
        <v>9.6000000000458385E-2</v>
      </c>
      <c r="AN14" s="74">
        <f t="shared" si="12"/>
        <v>0.13464199999998527</v>
      </c>
      <c r="AO14" s="74">
        <f t="shared" si="12"/>
        <v>0.19842599999992672</v>
      </c>
      <c r="AP14" s="75">
        <f t="shared" si="13"/>
        <v>1.0082985463651919E-3</v>
      </c>
      <c r="AQ14" s="76">
        <f t="shared" si="14"/>
        <v>124.12668362615665</v>
      </c>
      <c r="AR14" s="90">
        <f t="shared" si="15"/>
        <v>9.6000000000458385E-2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3843.4</v>
      </c>
      <c r="E15" s="62">
        <v>4.71</v>
      </c>
      <c r="F15" s="62">
        <v>8.2200000000000006</v>
      </c>
      <c r="G15" s="62">
        <f t="shared" si="18"/>
        <v>181.02414000000002</v>
      </c>
      <c r="H15" s="63">
        <f t="shared" si="19"/>
        <v>315.92748000000006</v>
      </c>
      <c r="I15" s="202">
        <v>2404.5</v>
      </c>
      <c r="J15" s="202">
        <v>2476.6350000000002</v>
      </c>
      <c r="K15" s="202">
        <v>4.4060469952173014</v>
      </c>
      <c r="L15" s="202">
        <v>8.1999667290496969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2476.6350000000002</v>
      </c>
      <c r="S15" s="62">
        <f t="shared" si="3"/>
        <v>109.12170200000001</v>
      </c>
      <c r="T15" s="63">
        <f t="shared" si="4"/>
        <v>203.08324599999997</v>
      </c>
      <c r="U15" s="64" t="s">
        <v>167</v>
      </c>
      <c r="V15" s="65" t="s">
        <v>167</v>
      </c>
      <c r="W15" s="66" t="s">
        <v>180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6320</v>
      </c>
      <c r="AI15" s="66">
        <v>4.59</v>
      </c>
      <c r="AJ15" s="66">
        <v>8.2100000000000009</v>
      </c>
      <c r="AK15" s="62">
        <f t="shared" si="9"/>
        <v>290.08799999999997</v>
      </c>
      <c r="AL15" s="72">
        <f t="shared" si="10"/>
        <v>518.87200000000007</v>
      </c>
      <c r="AM15" s="73">
        <f t="shared" si="11"/>
        <v>3.4999999999854481E-2</v>
      </c>
      <c r="AN15" s="74">
        <f t="shared" si="12"/>
        <v>5.7842000000050575E-2</v>
      </c>
      <c r="AO15" s="74">
        <f t="shared" si="12"/>
        <v>0.13872599999990598</v>
      </c>
      <c r="AP15" s="75">
        <f t="shared" si="13"/>
        <v>6.296120585505793E-4</v>
      </c>
      <c r="AQ15" s="76">
        <f t="shared" si="14"/>
        <v>69.342165540601485</v>
      </c>
      <c r="AR15" s="90">
        <f t="shared" si="15"/>
        <v>3.4999999999854481E-2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6320</v>
      </c>
      <c r="E16" s="62">
        <v>4.59</v>
      </c>
      <c r="F16" s="62">
        <v>8.2100000000000009</v>
      </c>
      <c r="G16" s="62">
        <f t="shared" si="18"/>
        <v>290.08799999999997</v>
      </c>
      <c r="H16" s="63">
        <f t="shared" si="19"/>
        <v>518.87200000000007</v>
      </c>
      <c r="I16" s="202">
        <v>2495.0000000000005</v>
      </c>
      <c r="J16" s="202">
        <v>2569.8500000000004</v>
      </c>
      <c r="K16" s="202">
        <v>4.699334669338679</v>
      </c>
      <c r="L16" s="202">
        <v>8.2297154308617255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2569.8500000000004</v>
      </c>
      <c r="S16" s="62">
        <f t="shared" si="3"/>
        <v>120.76585200000007</v>
      </c>
      <c r="T16" s="63">
        <f t="shared" si="4"/>
        <v>211.49134200000009</v>
      </c>
      <c r="U16" s="64" t="s">
        <v>167</v>
      </c>
      <c r="V16" s="65" t="s">
        <v>167</v>
      </c>
      <c r="W16" s="66" t="s">
        <v>167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>
        <v>8889.7999999999993</v>
      </c>
      <c r="AI16" s="66">
        <v>4.62</v>
      </c>
      <c r="AJ16" s="66">
        <v>8.2100000000000009</v>
      </c>
      <c r="AK16" s="62">
        <f t="shared" si="9"/>
        <v>410.70875999999993</v>
      </c>
      <c r="AL16" s="72">
        <f t="shared" si="10"/>
        <v>729.85257999999999</v>
      </c>
      <c r="AM16" s="73">
        <f t="shared" si="11"/>
        <v>5.0000000001091394E-2</v>
      </c>
      <c r="AN16" s="74">
        <f t="shared" si="12"/>
        <v>0.14509200000009059</v>
      </c>
      <c r="AO16" s="74">
        <f t="shared" si="12"/>
        <v>0.5107620000001134</v>
      </c>
      <c r="AP16" s="75">
        <f t="shared" si="13"/>
        <v>1.9739346862725979E-3</v>
      </c>
      <c r="AQ16" s="76">
        <f t="shared" si="14"/>
        <v>222.69010016172228</v>
      </c>
      <c r="AR16" s="90">
        <f t="shared" si="15"/>
        <v>5.0000000001091394E-2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8889.7999999999993</v>
      </c>
      <c r="E17" s="62">
        <v>4.62</v>
      </c>
      <c r="F17" s="62">
        <v>8.2100000000000009</v>
      </c>
      <c r="G17" s="62">
        <f t="shared" si="18"/>
        <v>410.70875999999993</v>
      </c>
      <c r="H17" s="63">
        <f t="shared" si="19"/>
        <v>729.85257999999999</v>
      </c>
      <c r="I17" s="202">
        <v>2159.6</v>
      </c>
      <c r="J17" s="202">
        <v>2224.3879999999999</v>
      </c>
      <c r="K17" s="202">
        <v>4.3510789035006487</v>
      </c>
      <c r="L17" s="202">
        <v>8.1878542322652326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2224.3879999999999</v>
      </c>
      <c r="S17" s="62">
        <f t="shared" si="3"/>
        <v>96.784876999999994</v>
      </c>
      <c r="T17" s="63">
        <f t="shared" si="4"/>
        <v>182.12964699999995</v>
      </c>
      <c r="U17" s="64" t="s">
        <v>311</v>
      </c>
      <c r="V17" s="65" t="s">
        <v>319</v>
      </c>
      <c r="W17" s="66" t="s">
        <v>182</v>
      </c>
      <c r="X17" s="67">
        <v>10070</v>
      </c>
      <c r="Y17" s="68">
        <v>4.55</v>
      </c>
      <c r="Z17" s="68">
        <v>8.2899999999999991</v>
      </c>
      <c r="AA17" s="62">
        <f t="shared" si="5"/>
        <v>458.185</v>
      </c>
      <c r="AB17" s="63">
        <f t="shared" si="6"/>
        <v>834.80299999999988</v>
      </c>
      <c r="AC17" s="69">
        <v>10100</v>
      </c>
      <c r="AD17" s="70">
        <v>4.4726237623762382</v>
      </c>
      <c r="AE17" s="70">
        <v>8.24158415841584</v>
      </c>
      <c r="AF17" s="62">
        <f t="shared" si="7"/>
        <v>451.73500000000007</v>
      </c>
      <c r="AG17" s="62">
        <f t="shared" si="8"/>
        <v>832.39999999999986</v>
      </c>
      <c r="AH17" s="89">
        <v>1044.0999999999999</v>
      </c>
      <c r="AI17" s="66">
        <v>4.5599999999999996</v>
      </c>
      <c r="AJ17" s="66">
        <v>8.1999999999999993</v>
      </c>
      <c r="AK17" s="62">
        <f t="shared" si="9"/>
        <v>47.610959999999992</v>
      </c>
      <c r="AL17" s="72">
        <f t="shared" si="10"/>
        <v>85.616199999999978</v>
      </c>
      <c r="AM17" s="73">
        <f t="shared" si="11"/>
        <v>-29.912000000001626</v>
      </c>
      <c r="AN17" s="74">
        <f t="shared" si="12"/>
        <v>8.1476769999998595</v>
      </c>
      <c r="AO17" s="74">
        <f t="shared" si="12"/>
        <v>-6.0339729999998752</v>
      </c>
      <c r="AP17" s="75">
        <f t="shared" si="13"/>
        <v>7.5783217370207117E-3</v>
      </c>
      <c r="AQ17" s="76">
        <f t="shared" si="14"/>
        <v>2108.1027802748931</v>
      </c>
      <c r="AR17" s="90">
        <f t="shared" si="15"/>
        <v>8.7999999997919076E-2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1044.0999999999999</v>
      </c>
      <c r="E18" s="62">
        <v>4.5599999999999996</v>
      </c>
      <c r="F18" s="62">
        <v>8.1999999999999993</v>
      </c>
      <c r="G18" s="62">
        <f t="shared" si="18"/>
        <v>47.610959999999992</v>
      </c>
      <c r="H18" s="63">
        <f t="shared" si="19"/>
        <v>85.616199999999978</v>
      </c>
      <c r="I18" s="202">
        <v>2201.2999999999997</v>
      </c>
      <c r="J18" s="202">
        <v>2267.3389999999999</v>
      </c>
      <c r="K18" s="202">
        <v>4.7941761686276303</v>
      </c>
      <c r="L18" s="202">
        <v>8.182478535410894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2267.3389999999999</v>
      </c>
      <c r="S18" s="62">
        <f t="shared" si="3"/>
        <v>108.70022600000003</v>
      </c>
      <c r="T18" s="63">
        <f t="shared" si="4"/>
        <v>185.52452699999998</v>
      </c>
      <c r="U18" s="64" t="s">
        <v>167</v>
      </c>
      <c r="V18" s="65" t="s">
        <v>167</v>
      </c>
      <c r="W18" s="66" t="s">
        <v>167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3311.4</v>
      </c>
      <c r="AI18" s="66">
        <v>4.71</v>
      </c>
      <c r="AJ18" s="66">
        <v>8.18</v>
      </c>
      <c r="AK18" s="62">
        <f t="shared" si="9"/>
        <v>155.96694000000002</v>
      </c>
      <c r="AL18" s="72">
        <f t="shared" si="10"/>
        <v>270.87252000000001</v>
      </c>
      <c r="AM18" s="73">
        <f t="shared" si="11"/>
        <v>3.8999999999759893E-2</v>
      </c>
      <c r="AN18" s="74">
        <f t="shared" si="12"/>
        <v>0.34424599999999828</v>
      </c>
      <c r="AO18" s="74">
        <f t="shared" si="12"/>
        <v>0.26820699999996123</v>
      </c>
      <c r="AP18" s="75">
        <f t="shared" si="13"/>
        <v>2.0815821706202924E-3</v>
      </c>
      <c r="AQ18" s="76">
        <f t="shared" si="14"/>
        <v>245.74701576105116</v>
      </c>
      <c r="AR18" s="90">
        <f>(D18+J18+O18)-(X18+AH18)</f>
        <v>3.8999999999759893E-2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3311.4</v>
      </c>
      <c r="E19" s="62">
        <v>4.71</v>
      </c>
      <c r="F19" s="62">
        <v>8.18</v>
      </c>
      <c r="G19" s="62">
        <f t="shared" si="18"/>
        <v>155.96694000000002</v>
      </c>
      <c r="H19" s="63">
        <f t="shared" si="19"/>
        <v>270.87252000000001</v>
      </c>
      <c r="I19" s="202">
        <v>2459.8000000000006</v>
      </c>
      <c r="J19" s="202">
        <v>2533.5940000000005</v>
      </c>
      <c r="K19" s="202">
        <v>4.3242987234734533</v>
      </c>
      <c r="L19" s="202">
        <v>8.1365110984632913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2533.5940000000005</v>
      </c>
      <c r="S19" s="62">
        <f t="shared" si="3"/>
        <v>109.56017300000003</v>
      </c>
      <c r="T19" s="63">
        <f t="shared" si="4"/>
        <v>206.14615700000007</v>
      </c>
      <c r="U19" s="64" t="s">
        <v>180</v>
      </c>
      <c r="V19" s="65" t="s">
        <v>167</v>
      </c>
      <c r="W19" s="66" t="s">
        <v>167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5844.9</v>
      </c>
      <c r="AI19" s="66">
        <v>4.54</v>
      </c>
      <c r="AJ19" s="66">
        <v>8.16</v>
      </c>
      <c r="AK19" s="62">
        <f t="shared" si="9"/>
        <v>265.35845999999998</v>
      </c>
      <c r="AL19" s="72">
        <f t="shared" si="10"/>
        <v>476.94384000000002</v>
      </c>
      <c r="AM19" s="73">
        <f t="shared" si="11"/>
        <v>9.4000000000960426E-2</v>
      </c>
      <c r="AN19" s="74">
        <f t="shared" si="12"/>
        <v>0.168653000000063</v>
      </c>
      <c r="AO19" s="74">
        <f t="shared" si="12"/>
        <v>7.4837000000059106E-2</v>
      </c>
      <c r="AP19" s="75">
        <f t="shared" si="13"/>
        <v>7.7125472903923726E-4</v>
      </c>
      <c r="AQ19" s="76">
        <f t="shared" si="14"/>
        <v>103.45627081515347</v>
      </c>
      <c r="AR19" s="90">
        <f>(D19+J19+O19)-(X19+AH19)</f>
        <v>9.4000000000960426E-2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5844.9</v>
      </c>
      <c r="E20" s="62">
        <v>4.54</v>
      </c>
      <c r="F20" s="62">
        <v>8.16</v>
      </c>
      <c r="G20" s="62">
        <f t="shared" si="18"/>
        <v>265.35845999999998</v>
      </c>
      <c r="H20" s="63">
        <f t="shared" si="19"/>
        <v>476.94384000000002</v>
      </c>
      <c r="I20" s="202">
        <v>2740.5000000000005</v>
      </c>
      <c r="J20" s="202">
        <v>2822.7150000000006</v>
      </c>
      <c r="K20" s="202">
        <v>4.6851705893085214</v>
      </c>
      <c r="L20" s="202">
        <v>8.249334063127165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2822.7150000000006</v>
      </c>
      <c r="S20" s="62">
        <f t="shared" si="3"/>
        <v>132.24901300000005</v>
      </c>
      <c r="T20" s="63">
        <f t="shared" si="4"/>
        <v>232.85518999999999</v>
      </c>
      <c r="U20" s="64" t="s">
        <v>167</v>
      </c>
      <c r="V20" s="65" t="s">
        <v>167</v>
      </c>
      <c r="W20" s="66" t="s">
        <v>167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8667.6</v>
      </c>
      <c r="AI20" s="66">
        <v>4.58</v>
      </c>
      <c r="AJ20" s="66">
        <v>8.18</v>
      </c>
      <c r="AK20" s="62">
        <f t="shared" si="9"/>
        <v>396.97608000000002</v>
      </c>
      <c r="AL20" s="72">
        <f t="shared" si="10"/>
        <v>709.00968</v>
      </c>
      <c r="AM20" s="73">
        <f t="shared" si="11"/>
        <v>1.4999999999417923E-2</v>
      </c>
      <c r="AN20" s="74">
        <f t="shared" ref="AN20:AO65" si="20">+G20+S20-AF20-AK20</f>
        <v>0.63139300000000276</v>
      </c>
      <c r="AO20" s="74">
        <f t="shared" si="20"/>
        <v>0.7893500000000131</v>
      </c>
      <c r="AP20" s="75">
        <f t="shared" si="13"/>
        <v>3.8913356469906638E-3</v>
      </c>
      <c r="AQ20" s="76">
        <f t="shared" si="14"/>
        <v>539.8081838882415</v>
      </c>
      <c r="AR20" s="90">
        <f>(D20+J20+O20)-(X20+AH20)</f>
        <v>1.4999999999417923E-2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8667.6</v>
      </c>
      <c r="E21" s="62">
        <v>4.58</v>
      </c>
      <c r="F21" s="62">
        <v>8.18</v>
      </c>
      <c r="G21" s="62">
        <f t="shared" si="18"/>
        <v>396.97608000000002</v>
      </c>
      <c r="H21" s="63">
        <f t="shared" si="19"/>
        <v>709.00968</v>
      </c>
      <c r="I21" s="202">
        <v>2232.3000000000006</v>
      </c>
      <c r="J21" s="202">
        <v>2299.2690000000007</v>
      </c>
      <c r="K21" s="202">
        <v>4.422510415266764</v>
      </c>
      <c r="L21" s="202">
        <v>8.1723872239394328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2299.2690000000007</v>
      </c>
      <c r="S21" s="62">
        <f t="shared" si="3"/>
        <v>101.68541100000002</v>
      </c>
      <c r="T21" s="63">
        <f t="shared" si="4"/>
        <v>187.90516600000001</v>
      </c>
      <c r="U21" s="64" t="s">
        <v>311</v>
      </c>
      <c r="V21" s="65" t="s">
        <v>392</v>
      </c>
      <c r="W21" s="66" t="s">
        <v>182</v>
      </c>
      <c r="X21" s="67">
        <v>10070</v>
      </c>
      <c r="Y21" s="68">
        <v>4.55</v>
      </c>
      <c r="Z21" s="68">
        <v>8.2799999999999994</v>
      </c>
      <c r="AA21" s="62">
        <f t="shared" si="5"/>
        <v>458.185</v>
      </c>
      <c r="AB21" s="63">
        <f t="shared" si="6"/>
        <v>833.79599999999994</v>
      </c>
      <c r="AC21" s="215">
        <v>10070</v>
      </c>
      <c r="AD21" s="216">
        <v>4.55</v>
      </c>
      <c r="AE21" s="216">
        <v>8.2799999999999994</v>
      </c>
      <c r="AF21" s="62">
        <f t="shared" si="7"/>
        <v>458.185</v>
      </c>
      <c r="AG21" s="62">
        <f t="shared" si="8"/>
        <v>833.79599999999994</v>
      </c>
      <c r="AH21" s="89">
        <v>896.8</v>
      </c>
      <c r="AI21" s="66">
        <v>4.54</v>
      </c>
      <c r="AJ21" s="66">
        <v>8.17</v>
      </c>
      <c r="AK21" s="62">
        <f t="shared" si="9"/>
        <v>40.71472</v>
      </c>
      <c r="AL21" s="72">
        <f t="shared" si="10"/>
        <v>73.268559999999994</v>
      </c>
      <c r="AM21" s="73">
        <f t="shared" si="11"/>
        <v>6.9000000000642103E-2</v>
      </c>
      <c r="AN21" s="74">
        <f t="shared" si="20"/>
        <v>-0.23822899999993297</v>
      </c>
      <c r="AO21" s="74">
        <f t="shared" si="20"/>
        <v>-10.149713999999918</v>
      </c>
      <c r="AP21" s="75">
        <f t="shared" si="13"/>
        <v>-3.5871136097083187E-2</v>
      </c>
      <c r="AQ21" s="76">
        <f t="shared" si="14"/>
        <v>-3154.2257730614178</v>
      </c>
      <c r="AR21" s="90">
        <f>(D21+J21+O21)-(X21+AH21)</f>
        <v>6.9000000001324224E-2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/>
      <c r="E22" s="62"/>
      <c r="F22" s="62"/>
      <c r="G22" s="62">
        <f t="shared" si="18"/>
        <v>0</v>
      </c>
      <c r="H22" s="63">
        <f t="shared" si="19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1"/>
        <v>0</v>
      </c>
      <c r="AN22" s="74">
        <f t="shared" si="20"/>
        <v>0</v>
      </c>
      <c r="AO22" s="74">
        <f t="shared" si="20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/>
      <c r="E23" s="62"/>
      <c r="F23" s="62"/>
      <c r="G23" s="62">
        <f t="shared" si="18"/>
        <v>0</v>
      </c>
      <c r="H23" s="63">
        <f t="shared" si="19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/>
      <c r="AI23" s="66"/>
      <c r="AJ23" s="84"/>
      <c r="AK23" s="62">
        <f t="shared" si="9"/>
        <v>0</v>
      </c>
      <c r="AL23" s="72">
        <f t="shared" si="10"/>
        <v>0</v>
      </c>
      <c r="AM23" s="73">
        <f t="shared" si="11"/>
        <v>0</v>
      </c>
      <c r="AN23" s="74">
        <f t="shared" si="20"/>
        <v>0</v>
      </c>
      <c r="AO23" s="74">
        <f t="shared" si="20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/>
      <c r="E24" s="62"/>
      <c r="F24" s="62"/>
      <c r="G24" s="62">
        <f t="shared" si="18"/>
        <v>0</v>
      </c>
      <c r="H24" s="63">
        <f t="shared" si="19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1"/>
        <v>0</v>
      </c>
      <c r="AN24" s="74">
        <f t="shared" si="20"/>
        <v>0</v>
      </c>
      <c r="AO24" s="74">
        <f t="shared" si="20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/>
      <c r="E25" s="62"/>
      <c r="F25" s="62"/>
      <c r="G25" s="62">
        <f t="shared" si="18"/>
        <v>0</v>
      </c>
      <c r="H25" s="63">
        <f t="shared" si="19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1"/>
        <v>0</v>
      </c>
      <c r="AN25" s="74">
        <f t="shared" si="20"/>
        <v>0</v>
      </c>
      <c r="AO25" s="74">
        <f t="shared" si="20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/>
      <c r="E26" s="62"/>
      <c r="F26" s="62"/>
      <c r="G26" s="62">
        <f t="shared" si="18"/>
        <v>0</v>
      </c>
      <c r="H26" s="63">
        <f t="shared" si="19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20"/>
        <v>0</v>
      </c>
      <c r="AO26" s="74">
        <f t="shared" si="20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/>
      <c r="E27" s="62"/>
      <c r="F27" s="62"/>
      <c r="G27" s="62">
        <f t="shared" si="18"/>
        <v>0</v>
      </c>
      <c r="H27" s="63">
        <f t="shared" si="19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20"/>
        <v>0</v>
      </c>
      <c r="AO27" s="74">
        <f t="shared" si="20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/>
      <c r="E28" s="62"/>
      <c r="F28" s="62"/>
      <c r="G28" s="62">
        <f t="shared" si="18"/>
        <v>0</v>
      </c>
      <c r="H28" s="63">
        <f t="shared" si="19"/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20"/>
        <v>0</v>
      </c>
      <c r="AO28" s="74">
        <f t="shared" si="20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/>
      <c r="E29" s="62"/>
      <c r="F29" s="62"/>
      <c r="G29" s="62">
        <f t="shared" si="18"/>
        <v>0</v>
      </c>
      <c r="H29" s="63">
        <f t="shared" si="19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20"/>
        <v>0</v>
      </c>
      <c r="AO29" s="74">
        <f t="shared" si="20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/>
      <c r="E30" s="62"/>
      <c r="F30" s="62"/>
      <c r="G30" s="62">
        <f t="shared" si="18"/>
        <v>0</v>
      </c>
      <c r="H30" s="63">
        <f t="shared" si="19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20"/>
        <v>0</v>
      </c>
      <c r="AO30" s="74">
        <f t="shared" si="20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/>
      <c r="E31" s="62"/>
      <c r="F31" s="62"/>
      <c r="G31" s="62">
        <f t="shared" si="18"/>
        <v>0</v>
      </c>
      <c r="H31" s="63">
        <f t="shared" si="19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20"/>
        <v>0</v>
      </c>
      <c r="AO31" s="74">
        <f t="shared" si="20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/>
      <c r="E32" s="62"/>
      <c r="F32" s="62"/>
      <c r="G32" s="62">
        <f t="shared" si="18"/>
        <v>0</v>
      </c>
      <c r="H32" s="63">
        <f t="shared" si="19"/>
        <v>0</v>
      </c>
      <c r="I32" s="202"/>
      <c r="J32" s="202"/>
      <c r="K32" s="202"/>
      <c r="L32" s="202"/>
      <c r="M32" s="58"/>
      <c r="N32" s="57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20"/>
        <v>0</v>
      </c>
      <c r="AO32" s="74">
        <f t="shared" si="20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/>
      <c r="E33" s="62"/>
      <c r="F33" s="62"/>
      <c r="G33" s="62">
        <f t="shared" si="18"/>
        <v>0</v>
      </c>
      <c r="H33" s="63">
        <f t="shared" si="19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20"/>
        <v>0</v>
      </c>
      <c r="AO33" s="74">
        <f t="shared" si="20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/>
      <c r="E34" s="62"/>
      <c r="F34" s="62"/>
      <c r="G34" s="62">
        <f t="shared" si="18"/>
        <v>0</v>
      </c>
      <c r="H34" s="63">
        <f t="shared" si="19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20"/>
        <v>0</v>
      </c>
      <c r="AO34" s="74">
        <f t="shared" si="20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/>
      <c r="E35" s="62"/>
      <c r="F35" s="62"/>
      <c r="G35" s="62">
        <f t="shared" si="18"/>
        <v>0</v>
      </c>
      <c r="H35" s="63">
        <f t="shared" si="19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20"/>
        <v>0</v>
      </c>
      <c r="AO35" s="74">
        <f t="shared" si="20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/>
      <c r="E36" s="62"/>
      <c r="F36" s="62"/>
      <c r="G36" s="62">
        <f t="shared" si="18"/>
        <v>0</v>
      </c>
      <c r="H36" s="63">
        <f t="shared" si="19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1"/>
        <v>0</v>
      </c>
      <c r="AN36" s="74">
        <f t="shared" si="20"/>
        <v>0</v>
      </c>
      <c r="AO36" s="74">
        <f t="shared" si="20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/>
      <c r="E37" s="62"/>
      <c r="F37" s="62"/>
      <c r="G37" s="62">
        <f t="shared" si="18"/>
        <v>0</v>
      </c>
      <c r="H37" s="63">
        <f t="shared" si="19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1"/>
        <v>0</v>
      </c>
      <c r="AN37" s="74">
        <f t="shared" si="20"/>
        <v>0</v>
      </c>
      <c r="AO37" s="74">
        <f t="shared" si="20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/>
      <c r="E38" s="62"/>
      <c r="F38" s="62"/>
      <c r="G38" s="62">
        <f t="shared" si="18"/>
        <v>0</v>
      </c>
      <c r="H38" s="63">
        <f t="shared" si="19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71"/>
      <c r="AJ38" s="71"/>
      <c r="AK38" s="62">
        <f t="shared" si="9"/>
        <v>0</v>
      </c>
      <c r="AL38" s="72">
        <f t="shared" si="10"/>
        <v>0</v>
      </c>
      <c r="AM38" s="73">
        <f t="shared" si="11"/>
        <v>0</v>
      </c>
      <c r="AN38" s="74">
        <f t="shared" si="20"/>
        <v>0</v>
      </c>
      <c r="AO38" s="74">
        <f t="shared" si="20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/>
      <c r="E39" s="62"/>
      <c r="F39" s="62"/>
      <c r="G39" s="62">
        <f t="shared" si="18"/>
        <v>0</v>
      </c>
      <c r="H39" s="63">
        <f t="shared" si="19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1"/>
        <v>0</v>
      </c>
      <c r="AN39" s="74">
        <f t="shared" si="20"/>
        <v>0</v>
      </c>
      <c r="AO39" s="74">
        <f t="shared" si="20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/>
      <c r="E40" s="62"/>
      <c r="F40" s="62"/>
      <c r="G40" s="62">
        <f t="shared" si="18"/>
        <v>0</v>
      </c>
      <c r="H40" s="63">
        <f t="shared" si="19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20"/>
        <v>0</v>
      </c>
      <c r="AO40" s="74">
        <f t="shared" si="20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/>
      <c r="E41" s="62"/>
      <c r="F41" s="62"/>
      <c r="G41" s="62">
        <f t="shared" si="18"/>
        <v>0</v>
      </c>
      <c r="H41" s="63">
        <f t="shared" si="19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0"/>
        <v>0</v>
      </c>
      <c r="AO41" s="74">
        <f t="shared" si="20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/>
      <c r="E42" s="62"/>
      <c r="F42" s="62"/>
      <c r="G42" s="62">
        <f t="shared" si="18"/>
        <v>0</v>
      </c>
      <c r="H42" s="63">
        <f t="shared" si="19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0"/>
        <v>0</v>
      </c>
      <c r="AO42" s="74">
        <f t="shared" si="20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/>
      <c r="E43" s="62"/>
      <c r="F43" s="62"/>
      <c r="G43" s="62">
        <f t="shared" si="18"/>
        <v>0</v>
      </c>
      <c r="H43" s="63">
        <f t="shared" si="19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0"/>
        <v>0</v>
      </c>
      <c r="AO43" s="74">
        <f t="shared" si="20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/>
      <c r="E44" s="62"/>
      <c r="F44" s="62"/>
      <c r="G44" s="62">
        <f t="shared" si="18"/>
        <v>0</v>
      </c>
      <c r="H44" s="63">
        <f t="shared" si="19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0"/>
        <v>0</v>
      </c>
      <c r="AO44" s="74">
        <f t="shared" si="20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/>
      <c r="E45" s="62"/>
      <c r="F45" s="62"/>
      <c r="G45" s="62">
        <f t="shared" si="18"/>
        <v>0</v>
      </c>
      <c r="H45" s="63">
        <f t="shared" si="19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0"/>
        <v>0</v>
      </c>
      <c r="AO45" s="74">
        <f t="shared" si="20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/>
      <c r="E46" s="62"/>
      <c r="F46" s="62"/>
      <c r="G46" s="62">
        <f t="shared" si="18"/>
        <v>0</v>
      </c>
      <c r="H46" s="63">
        <f t="shared" si="19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0"/>
        <v>0</v>
      </c>
      <c r="AO46" s="74">
        <f t="shared" si="20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/>
      <c r="E47" s="62"/>
      <c r="F47" s="62"/>
      <c r="G47" s="62">
        <f t="shared" si="18"/>
        <v>0</v>
      </c>
      <c r="H47" s="63">
        <f t="shared" si="19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0"/>
        <v>0</v>
      </c>
      <c r="AO47" s="74">
        <f t="shared" si="20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/>
      <c r="E48" s="62"/>
      <c r="F48" s="62"/>
      <c r="G48" s="62">
        <f t="shared" si="18"/>
        <v>0</v>
      </c>
      <c r="H48" s="63">
        <f t="shared" si="19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0"/>
        <v>0</v>
      </c>
      <c r="AO48" s="74">
        <f t="shared" si="20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/>
      <c r="E49" s="62"/>
      <c r="F49" s="62"/>
      <c r="G49" s="62">
        <f t="shared" si="18"/>
        <v>0</v>
      </c>
      <c r="H49" s="63">
        <f t="shared" si="19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0"/>
        <v>0</v>
      </c>
      <c r="AO49" s="74">
        <f t="shared" si="20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/>
      <c r="E50" s="62"/>
      <c r="F50" s="62"/>
      <c r="G50" s="62">
        <f t="shared" si="18"/>
        <v>0</v>
      </c>
      <c r="H50" s="63">
        <f t="shared" si="19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0"/>
        <v>0</v>
      </c>
      <c r="AO50" s="74">
        <f t="shared" si="20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/>
      <c r="E51" s="62"/>
      <c r="F51" s="62"/>
      <c r="G51" s="62">
        <f t="shared" si="18"/>
        <v>0</v>
      </c>
      <c r="H51" s="63">
        <f t="shared" si="19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0"/>
        <v>0</v>
      </c>
      <c r="AO51" s="74">
        <f t="shared" si="20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/>
      <c r="E52" s="62"/>
      <c r="F52" s="62"/>
      <c r="G52" s="62">
        <f t="shared" si="18"/>
        <v>0</v>
      </c>
      <c r="H52" s="63">
        <f t="shared" si="19"/>
        <v>0</v>
      </c>
      <c r="I52" s="118"/>
      <c r="J52" s="118"/>
      <c r="K52" s="118"/>
      <c r="L52" s="118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0"/>
        <v>0</v>
      </c>
      <c r="AO52" s="74">
        <f t="shared" si="20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/>
      <c r="E53" s="62"/>
      <c r="F53" s="62"/>
      <c r="G53" s="62">
        <f t="shared" si="18"/>
        <v>0</v>
      </c>
      <c r="H53" s="63">
        <f t="shared" si="19"/>
        <v>0</v>
      </c>
      <c r="I53" s="118"/>
      <c r="J53" s="118"/>
      <c r="K53" s="118"/>
      <c r="L53" s="118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0"/>
        <v>0</v>
      </c>
      <c r="AO53" s="74">
        <f t="shared" si="20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/>
      <c r="E54" s="62"/>
      <c r="F54" s="62"/>
      <c r="G54" s="62">
        <f t="shared" si="18"/>
        <v>0</v>
      </c>
      <c r="H54" s="63">
        <f t="shared" si="19"/>
        <v>0</v>
      </c>
      <c r="I54" s="118"/>
      <c r="J54" s="118"/>
      <c r="K54" s="118"/>
      <c r="L54" s="118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0"/>
        <v>0</v>
      </c>
      <c r="AO54" s="74">
        <f t="shared" si="20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/>
      <c r="E55" s="62"/>
      <c r="F55" s="62"/>
      <c r="G55" s="62">
        <f t="shared" si="18"/>
        <v>0</v>
      </c>
      <c r="H55" s="63">
        <f t="shared" si="19"/>
        <v>0</v>
      </c>
      <c r="I55" s="118"/>
      <c r="J55" s="118"/>
      <c r="K55" s="118"/>
      <c r="L55" s="118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0"/>
        <v>0</v>
      </c>
      <c r="AO55" s="74">
        <f t="shared" si="20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/>
      <c r="E56" s="62"/>
      <c r="F56" s="62"/>
      <c r="G56" s="62">
        <f t="shared" si="18"/>
        <v>0</v>
      </c>
      <c r="H56" s="63">
        <f t="shared" si="19"/>
        <v>0</v>
      </c>
      <c r="I56" s="118"/>
      <c r="J56" s="118"/>
      <c r="K56" s="118"/>
      <c r="L56" s="118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0"/>
        <v>0</v>
      </c>
      <c r="AO56" s="74">
        <f t="shared" si="20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/>
      <c r="E57" s="62"/>
      <c r="F57" s="62"/>
      <c r="G57" s="62">
        <f t="shared" si="18"/>
        <v>0</v>
      </c>
      <c r="H57" s="63">
        <f t="shared" si="19"/>
        <v>0</v>
      </c>
      <c r="I57" s="118"/>
      <c r="J57" s="118"/>
      <c r="K57" s="118"/>
      <c r="L57" s="118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0"/>
        <v>0</v>
      </c>
      <c r="AO57" s="74">
        <f t="shared" si="20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/>
      <c r="E58" s="62"/>
      <c r="F58" s="62"/>
      <c r="G58" s="62">
        <f t="shared" si="18"/>
        <v>0</v>
      </c>
      <c r="H58" s="63">
        <f t="shared" si="19"/>
        <v>0</v>
      </c>
      <c r="I58" s="118"/>
      <c r="J58" s="118"/>
      <c r="K58" s="118"/>
      <c r="L58" s="118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0"/>
        <v>0</v>
      </c>
      <c r="AO58" s="74">
        <f t="shared" si="20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/>
      <c r="E59" s="62"/>
      <c r="F59" s="62"/>
      <c r="G59" s="62">
        <f t="shared" si="18"/>
        <v>0</v>
      </c>
      <c r="H59" s="63">
        <f t="shared" si="19"/>
        <v>0</v>
      </c>
      <c r="I59" s="118"/>
      <c r="J59" s="118"/>
      <c r="K59" s="118"/>
      <c r="L59" s="118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0"/>
        <v>0</v>
      </c>
      <c r="AO59" s="74">
        <f t="shared" si="20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/>
      <c r="E60" s="62"/>
      <c r="F60" s="62"/>
      <c r="G60" s="62">
        <f t="shared" si="18"/>
        <v>0</v>
      </c>
      <c r="H60" s="63">
        <f t="shared" si="19"/>
        <v>0</v>
      </c>
      <c r="I60" s="118"/>
      <c r="J60" s="118"/>
      <c r="K60" s="118"/>
      <c r="L60" s="118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0"/>
        <v>0</v>
      </c>
      <c r="AO60" s="74">
        <f t="shared" si="20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/>
      <c r="E61" s="62"/>
      <c r="F61" s="62"/>
      <c r="G61" s="62">
        <f t="shared" si="18"/>
        <v>0</v>
      </c>
      <c r="H61" s="63">
        <f t="shared" si="19"/>
        <v>0</v>
      </c>
      <c r="I61" s="118"/>
      <c r="J61" s="118"/>
      <c r="K61" s="118"/>
      <c r="L61" s="118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0"/>
        <v>0</v>
      </c>
      <c r="AO61" s="74">
        <f t="shared" si="20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/>
      <c r="E62" s="62"/>
      <c r="F62" s="62"/>
      <c r="G62" s="62">
        <f t="shared" si="18"/>
        <v>0</v>
      </c>
      <c r="H62" s="63">
        <f t="shared" si="19"/>
        <v>0</v>
      </c>
      <c r="I62" s="118"/>
      <c r="J62" s="118"/>
      <c r="K62" s="118"/>
      <c r="L62" s="118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0"/>
        <v>0</v>
      </c>
      <c r="AO62" s="74">
        <f t="shared" si="20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/>
      <c r="E63" s="62"/>
      <c r="F63" s="62"/>
      <c r="G63" s="62">
        <f t="shared" si="18"/>
        <v>0</v>
      </c>
      <c r="H63" s="63">
        <f t="shared" si="19"/>
        <v>0</v>
      </c>
      <c r="I63" s="118"/>
      <c r="J63" s="118"/>
      <c r="K63" s="118"/>
      <c r="L63" s="118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0"/>
        <v>0</v>
      </c>
      <c r="AO63" s="74">
        <f t="shared" si="20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18"/>
        <v>0</v>
      </c>
      <c r="H64" s="63">
        <f t="shared" si="19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0"/>
        <v>0</v>
      </c>
      <c r="AO64" s="74">
        <f t="shared" si="20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18"/>
        <v>0</v>
      </c>
      <c r="H65" s="63">
        <f t="shared" si="19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0"/>
        <v>0</v>
      </c>
      <c r="AO65" s="74">
        <f t="shared" si="20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44781.103999999999</v>
      </c>
      <c r="R66" s="83">
        <f>SUM(R4:R65)</f>
        <v>44781.103999999999</v>
      </c>
      <c r="S66" s="83">
        <f t="shared" ref="S66:T66" si="21">SUM(S4:S65)</f>
        <v>2042.1609149999999</v>
      </c>
      <c r="T66" s="83">
        <f t="shared" si="21"/>
        <v>3666.7073000000005</v>
      </c>
      <c r="AH66" s="90"/>
      <c r="AI66" s="77"/>
      <c r="AJ66" s="77"/>
      <c r="AM66" s="83">
        <f>-SUM(AM4:AM65)</f>
        <v>-101.60399999999981</v>
      </c>
      <c r="AN66" s="83">
        <f>-SUM(AN4:AN65)</f>
        <v>-21.465774999999987</v>
      </c>
      <c r="AO66" s="83">
        <f>-SUM(AO4:AO65)</f>
        <v>2.8170399999998779</v>
      </c>
      <c r="AQ66" s="126">
        <f>-SUM(AQ4:AQ65)</f>
        <v>-9471.3251204796925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4" priority="2" operator="lessThan">
      <formula>0.1</formula>
    </cfRule>
    <cfRule type="cellIs" dxfId="93" priority="3" operator="greaterThan">
      <formula>0.1</formula>
    </cfRule>
  </conditionalFormatting>
  <conditionalFormatting sqref="AP1:AQ1">
    <cfRule type="cellIs" dxfId="92" priority="1" operator="lessThan">
      <formula>1</formula>
    </cfRule>
  </conditionalFormatting>
  <conditionalFormatting sqref="AQ4:AQ65">
    <cfRule type="cellIs" dxfId="91" priority="4" operator="lessThan">
      <formula>0</formula>
    </cfRule>
    <cfRule type="cellIs" dxfId="90" priority="5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AV68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1" sqref="AC21:AE21"/>
    </sheetView>
  </sheetViews>
  <sheetFormatPr defaultRowHeight="15" x14ac:dyDescent="0.25"/>
  <cols>
    <col min="1" max="1" width="3" customWidth="1"/>
    <col min="2" max="2" width="9.7109375" customWidth="1"/>
    <col min="3" max="3" width="5.7109375" bestFit="1" customWidth="1"/>
    <col min="4" max="4" width="7.42578125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customWidth="1"/>
    <col min="10" max="10" width="9.28515625" bestFit="1" customWidth="1"/>
    <col min="11" max="12" width="5.85546875" bestFit="1" customWidth="1"/>
    <col min="13" max="13" width="6" bestFit="1" customWidth="1"/>
    <col min="14" max="14" width="8.28515625" customWidth="1"/>
    <col min="15" max="15" width="7" bestFit="1" customWidth="1"/>
    <col min="16" max="17" width="5.85546875" bestFit="1" customWidth="1"/>
    <col min="18" max="18" width="9.28515625" bestFit="1" customWidth="1"/>
    <col min="19" max="19" width="7.28515625" bestFit="1" customWidth="1"/>
    <col min="20" max="20" width="8.140625" bestFit="1" customWidth="1"/>
    <col min="21" max="21" width="8.28515625" customWidth="1"/>
    <col min="22" max="22" width="9.28515625" customWidth="1"/>
    <col min="23" max="23" width="11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" customWidth="1"/>
    <col min="30" max="31" width="5.85546875" bestFit="1" customWidth="1"/>
    <col min="32" max="33" width="7.28515625" customWidth="1"/>
    <col min="34" max="34" width="9.28515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42578125" bestFit="1" customWidth="1"/>
    <col min="44" max="44" width="6.7109375" bestFit="1" customWidth="1"/>
    <col min="45" max="49" width="8.7109375" bestFit="1" customWidth="1"/>
  </cols>
  <sheetData>
    <row r="1" spans="1:46" ht="15.75" thickBot="1" x14ac:dyDescent="0.3">
      <c r="B1" s="43" t="s">
        <v>92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6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5">
        <v>3562</v>
      </c>
      <c r="E4" s="54">
        <v>4.13</v>
      </c>
      <c r="F4" s="55">
        <v>8.26</v>
      </c>
      <c r="G4" s="62">
        <f t="shared" ref="G4" si="0">+D4*E4%</f>
        <v>147.11059999999998</v>
      </c>
      <c r="H4" s="63">
        <f t="shared" ref="H4" si="1">+D4*F4%</f>
        <v>294.22119999999995</v>
      </c>
      <c r="I4" s="202">
        <v>2021.6200000000003</v>
      </c>
      <c r="J4" s="203">
        <v>2082.2686000000003</v>
      </c>
      <c r="K4" s="120">
        <v>4.8953101967728845</v>
      </c>
      <c r="L4" s="121">
        <v>8.5432890454190176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2082.2686000000003</v>
      </c>
      <c r="S4" s="62">
        <f t="shared" ref="S4" si="2">+J4*K4%+O4*P4%</f>
        <v>101.93350710000001</v>
      </c>
      <c r="T4" s="63">
        <f t="shared" ref="T4" si="3">+J4*L4%+O4*Q4%</f>
        <v>177.89422519999997</v>
      </c>
      <c r="U4" s="64" t="s">
        <v>167</v>
      </c>
      <c r="V4" s="65" t="s">
        <v>180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2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66">
        <v>5641</v>
      </c>
      <c r="AI4" s="66">
        <v>4.41</v>
      </c>
      <c r="AJ4" s="66">
        <v>8.36</v>
      </c>
      <c r="AK4" s="62">
        <f t="shared" ref="AK4" si="8">AH4*AI4%</f>
        <v>248.7681</v>
      </c>
      <c r="AL4" s="72">
        <f t="shared" ref="AL4" si="9">AH4*AJ4%</f>
        <v>471.58759999999995</v>
      </c>
      <c r="AM4" s="73">
        <f t="shared" ref="AM4" si="10">+D4+R4-AC4-AH4</f>
        <v>3.2686000000003332</v>
      </c>
      <c r="AN4" s="74">
        <f t="shared" ref="AN4:AO4" si="11">+G4+S4-AF4-AK4</f>
        <v>0.27600709999998685</v>
      </c>
      <c r="AO4" s="74">
        <f t="shared" si="11"/>
        <v>0.52782519999993838</v>
      </c>
      <c r="AP4" s="75">
        <f t="shared" ref="AP4" si="12">(AN4+AO4)/(S4+T4)</f>
        <v>2.8725969845552913E-3</v>
      </c>
      <c r="AQ4" s="76">
        <f t="shared" ref="AQ4" si="13">($AP$1*AN4+$AQ$1*AO4)</f>
        <v>290.7093430248616</v>
      </c>
      <c r="AR4" s="77">
        <f t="shared" ref="AR4:AR9" si="14">(D4+J4+O4)-(X4+AH4)</f>
        <v>3.2686000000003332</v>
      </c>
      <c r="AT4" s="78"/>
    </row>
    <row r="5" spans="1:46" x14ac:dyDescent="0.25">
      <c r="A5" t="str">
        <f t="shared" ref="A5:A65" si="15">CONCATENATE(B5,C5)</f>
        <v>46204E</v>
      </c>
      <c r="B5" s="51">
        <f>+B4</f>
        <v>46204</v>
      </c>
      <c r="C5" s="52" t="s">
        <v>88</v>
      </c>
      <c r="D5" s="91">
        <v>5641</v>
      </c>
      <c r="E5" s="62">
        <v>4.41</v>
      </c>
      <c r="F5" s="62">
        <v>8.36</v>
      </c>
      <c r="G5" s="62">
        <f t="shared" ref="G5:G65" si="16">+D5*E5%</f>
        <v>248.7681</v>
      </c>
      <c r="H5" s="63">
        <f t="shared" ref="H5:H65" si="17">+D5*F5%</f>
        <v>471.58759999999995</v>
      </c>
      <c r="I5" s="202">
        <v>5443.98</v>
      </c>
      <c r="J5" s="203">
        <v>5607.2993999999999</v>
      </c>
      <c r="K5" s="120">
        <v>4.1556177649440285</v>
      </c>
      <c r="L5" s="121">
        <v>8.2802172307760102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5607.2993999999999</v>
      </c>
      <c r="S5" s="62">
        <f t="shared" ref="S5:S65" si="19">+J5*K5%+O5*P5%</f>
        <v>233.01792999999992</v>
      </c>
      <c r="T5" s="63">
        <f t="shared" ref="T5:T65" si="20">+J5*L5%+O5*Q5%</f>
        <v>464.29657109999982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11" si="21">X5*Y5%</f>
        <v>0</v>
      </c>
      <c r="AB5" s="62">
        <f t="shared" ref="AB5:AB11" si="22">X5*Z5%</f>
        <v>0</v>
      </c>
      <c r="AC5" s="69"/>
      <c r="AD5" s="70"/>
      <c r="AE5" s="70"/>
      <c r="AF5" s="62">
        <f t="shared" ref="AF5:AF36" si="23">AC5*AD5%</f>
        <v>0</v>
      </c>
      <c r="AG5" s="63">
        <f t="shared" ref="AG5:AG36" si="24">AC5*AE5%</f>
        <v>0</v>
      </c>
      <c r="AH5" s="66">
        <v>11246</v>
      </c>
      <c r="AI5" s="66">
        <v>4.1399999999999997</v>
      </c>
      <c r="AJ5" s="66">
        <v>8.2899999999999991</v>
      </c>
      <c r="AK5" s="62">
        <f t="shared" ref="AK5:AK65" si="25">AH5*AI5%</f>
        <v>465.58440000000002</v>
      </c>
      <c r="AL5" s="72">
        <f t="shared" ref="AL5:AL65" si="26">AH5*AJ5%</f>
        <v>932.29339999999991</v>
      </c>
      <c r="AM5" s="73">
        <f t="shared" ref="AM5:AM65" si="27">+D5+R5-AC5-AH5</f>
        <v>2.2993999999998778</v>
      </c>
      <c r="AN5" s="74">
        <f t="shared" ref="AN5:AN65" si="28">+G5+S5-AF5-AK5</f>
        <v>16.201629999999909</v>
      </c>
      <c r="AO5" s="74">
        <f t="shared" ref="AO5:AO65" si="29">+H5+T5-AG5-AL5</f>
        <v>3.5907710999998699</v>
      </c>
      <c r="AP5" s="75">
        <f t="shared" ref="AP5:AP65" si="30">(AN5+AO5)/(S5+T5)</f>
        <v>2.8383750902609455E-2</v>
      </c>
      <c r="AQ5" s="76">
        <f t="shared" ref="AQ5:AQ65" si="31">($AP$1*AN5+$AQ$1*AO5)</f>
        <v>8860.8144977166776</v>
      </c>
      <c r="AR5" s="77">
        <f t="shared" si="14"/>
        <v>2.2993999999998778</v>
      </c>
    </row>
    <row r="6" spans="1:46" x14ac:dyDescent="0.25">
      <c r="A6" t="str">
        <f t="shared" si="15"/>
        <v>46205M</v>
      </c>
      <c r="B6" s="51">
        <f>+B4+1</f>
        <v>46205</v>
      </c>
      <c r="C6" s="52" t="s">
        <v>87</v>
      </c>
      <c r="D6" s="91">
        <v>11246</v>
      </c>
      <c r="E6" s="62">
        <v>4.1399999999999997</v>
      </c>
      <c r="F6" s="62">
        <v>8.2899999999999991</v>
      </c>
      <c r="G6" s="62">
        <f t="shared" si="16"/>
        <v>465.58440000000002</v>
      </c>
      <c r="H6" s="63">
        <f t="shared" si="17"/>
        <v>932.29339999999991</v>
      </c>
      <c r="I6" s="202">
        <v>2380.1899999999991</v>
      </c>
      <c r="J6" s="203">
        <v>2451.5956999999994</v>
      </c>
      <c r="K6" s="120">
        <v>4.7271486730050949</v>
      </c>
      <c r="L6" s="121">
        <v>8.4805200425176164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2451.5956999999994</v>
      </c>
      <c r="S6" s="62">
        <f t="shared" si="19"/>
        <v>115.89057359999994</v>
      </c>
      <c r="T6" s="63">
        <f t="shared" si="20"/>
        <v>207.90806470000001</v>
      </c>
      <c r="U6" s="64" t="s">
        <v>191</v>
      </c>
      <c r="V6" s="65" t="s">
        <v>226</v>
      </c>
      <c r="W6" s="66" t="s">
        <v>187</v>
      </c>
      <c r="X6" s="67">
        <v>14830</v>
      </c>
      <c r="Y6" s="68">
        <v>4.2</v>
      </c>
      <c r="Z6" s="68">
        <v>8.3699999999999992</v>
      </c>
      <c r="AA6" s="62">
        <f t="shared" si="21"/>
        <v>622.86</v>
      </c>
      <c r="AB6" s="62">
        <f t="shared" si="22"/>
        <v>1241.271</v>
      </c>
      <c r="AC6" s="69">
        <v>14830</v>
      </c>
      <c r="AD6" s="70">
        <v>4.1500000000000004</v>
      </c>
      <c r="AE6" s="70">
        <v>8.3000000000000007</v>
      </c>
      <c r="AF6" s="62">
        <f t="shared" si="23"/>
        <v>615.44500000000005</v>
      </c>
      <c r="AG6" s="63">
        <f t="shared" si="24"/>
        <v>1230.8900000000001</v>
      </c>
      <c r="AH6" s="66">
        <v>0</v>
      </c>
      <c r="AI6" s="66">
        <v>0</v>
      </c>
      <c r="AJ6" s="66">
        <v>0</v>
      </c>
      <c r="AK6" s="62">
        <f t="shared" si="25"/>
        <v>0</v>
      </c>
      <c r="AL6" s="72">
        <f t="shared" si="26"/>
        <v>0</v>
      </c>
      <c r="AM6" s="73">
        <f t="shared" si="27"/>
        <v>-1132.4043000000001</v>
      </c>
      <c r="AN6" s="74">
        <f t="shared" si="28"/>
        <v>-33.970026400000052</v>
      </c>
      <c r="AO6" s="74">
        <f t="shared" si="29"/>
        <v>-90.68853530000024</v>
      </c>
      <c r="AP6" s="75">
        <f t="shared" si="30"/>
        <v>-0.38498791210018601</v>
      </c>
      <c r="AQ6" s="76">
        <f t="shared" si="31"/>
        <v>-43484.112254801585</v>
      </c>
      <c r="AR6" s="77">
        <f t="shared" si="14"/>
        <v>-1132.4043000000001</v>
      </c>
    </row>
    <row r="7" spans="1:46" x14ac:dyDescent="0.25">
      <c r="A7" t="str">
        <f t="shared" si="15"/>
        <v>46205E</v>
      </c>
      <c r="B7" s="51">
        <f>+B5+1</f>
        <v>46205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16"/>
        <v>0</v>
      </c>
      <c r="H7" s="63">
        <f t="shared" si="17"/>
        <v>0</v>
      </c>
      <c r="I7" s="202">
        <v>7949.1100000000006</v>
      </c>
      <c r="J7" s="203">
        <v>8187.5833000000011</v>
      </c>
      <c r="K7" s="120">
        <v>3.7566083498655827</v>
      </c>
      <c r="L7" s="121">
        <v>8.183240891118631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8187.5833000000011</v>
      </c>
      <c r="S7" s="62">
        <f t="shared" si="19"/>
        <v>307.57543790000005</v>
      </c>
      <c r="T7" s="63">
        <f t="shared" si="20"/>
        <v>670.00966460000041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1"/>
        <v>0</v>
      </c>
      <c r="AB7" s="62">
        <f t="shared" si="22"/>
        <v>0</v>
      </c>
      <c r="AC7" s="69"/>
      <c r="AD7" s="70"/>
      <c r="AE7" s="70"/>
      <c r="AF7" s="62">
        <f t="shared" si="23"/>
        <v>0</v>
      </c>
      <c r="AG7" s="63">
        <f t="shared" si="24"/>
        <v>0</v>
      </c>
      <c r="AH7" s="66">
        <v>7165</v>
      </c>
      <c r="AI7" s="66">
        <v>3.97</v>
      </c>
      <c r="AJ7" s="66">
        <v>8.1999999999999993</v>
      </c>
      <c r="AK7" s="62">
        <f t="shared" si="25"/>
        <v>284.45049999999998</v>
      </c>
      <c r="AL7" s="72">
        <f t="shared" si="26"/>
        <v>587.53</v>
      </c>
      <c r="AM7" s="73">
        <f t="shared" si="27"/>
        <v>1022.5833000000011</v>
      </c>
      <c r="AN7" s="74">
        <f t="shared" si="28"/>
        <v>23.124937900000077</v>
      </c>
      <c r="AO7" s="74">
        <f t="shared" si="29"/>
        <v>82.479664600000433</v>
      </c>
      <c r="AP7" s="75">
        <f t="shared" si="30"/>
        <v>0.10802599408474564</v>
      </c>
      <c r="AQ7" s="76">
        <f t="shared" si="31"/>
        <v>35814.210566597219</v>
      </c>
      <c r="AR7" s="77">
        <f t="shared" si="14"/>
        <v>1022.5833000000011</v>
      </c>
    </row>
    <row r="8" spans="1:46" x14ac:dyDescent="0.25">
      <c r="A8" t="str">
        <f t="shared" si="15"/>
        <v>46206M</v>
      </c>
      <c r="B8" s="51">
        <f>+B6+1</f>
        <v>46206</v>
      </c>
      <c r="C8" s="52" t="s">
        <v>87</v>
      </c>
      <c r="D8" s="91">
        <v>7165</v>
      </c>
      <c r="E8" s="62">
        <v>3.97</v>
      </c>
      <c r="F8" s="62">
        <v>8.1999999999999993</v>
      </c>
      <c r="G8" s="62">
        <f t="shared" si="16"/>
        <v>284.45049999999998</v>
      </c>
      <c r="H8" s="63">
        <f t="shared" si="17"/>
        <v>587.53</v>
      </c>
      <c r="I8" s="202">
        <v>2261.3000000000002</v>
      </c>
      <c r="J8" s="203">
        <v>2329.1390000000001</v>
      </c>
      <c r="K8" s="120">
        <v>4.7930420554548263</v>
      </c>
      <c r="L8" s="121">
        <v>8.4692897890593848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2329.1390000000001</v>
      </c>
      <c r="S8" s="62">
        <f t="shared" si="19"/>
        <v>111.6366118</v>
      </c>
      <c r="T8" s="63">
        <f t="shared" si="20"/>
        <v>197.26153149999988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21"/>
        <v>0</v>
      </c>
      <c r="AB8" s="62">
        <f t="shared" si="22"/>
        <v>0</v>
      </c>
      <c r="AC8" s="69"/>
      <c r="AD8" s="70"/>
      <c r="AE8" s="70"/>
      <c r="AF8" s="62">
        <f t="shared" si="23"/>
        <v>0</v>
      </c>
      <c r="AG8" s="63">
        <f t="shared" si="24"/>
        <v>0</v>
      </c>
      <c r="AH8" s="66">
        <v>9491</v>
      </c>
      <c r="AI8" s="66">
        <v>4.16</v>
      </c>
      <c r="AJ8" s="66">
        <v>8.26</v>
      </c>
      <c r="AK8" s="62">
        <f t="shared" si="25"/>
        <v>394.82560000000001</v>
      </c>
      <c r="AL8" s="72">
        <f t="shared" si="26"/>
        <v>783.95659999999998</v>
      </c>
      <c r="AM8" s="73">
        <f t="shared" si="27"/>
        <v>3.1389999999992142</v>
      </c>
      <c r="AN8" s="74">
        <f t="shared" si="28"/>
        <v>1.2615117999999939</v>
      </c>
      <c r="AO8" s="74">
        <f t="shared" si="29"/>
        <v>0.83493149999981142</v>
      </c>
      <c r="AP8" s="75">
        <f t="shared" si="30"/>
        <v>6.7868433186526241E-3</v>
      </c>
      <c r="AQ8" s="76">
        <f t="shared" si="31"/>
        <v>856.25202886304169</v>
      </c>
      <c r="AR8" s="77">
        <f t="shared" si="14"/>
        <v>3.1389999999992142</v>
      </c>
    </row>
    <row r="9" spans="1:46" x14ac:dyDescent="0.25">
      <c r="A9" t="str">
        <f t="shared" si="15"/>
        <v>46206E</v>
      </c>
      <c r="B9" s="51">
        <f t="shared" ref="B9:B65" si="32">+B7+1</f>
        <v>46206</v>
      </c>
      <c r="C9" s="52" t="s">
        <v>88</v>
      </c>
      <c r="D9" s="91">
        <v>9491</v>
      </c>
      <c r="E9" s="62">
        <v>4.16</v>
      </c>
      <c r="F9" s="62">
        <v>8.26</v>
      </c>
      <c r="G9" s="62">
        <f t="shared" si="16"/>
        <v>394.82560000000001</v>
      </c>
      <c r="H9" s="63">
        <f t="shared" si="17"/>
        <v>783.95659999999998</v>
      </c>
      <c r="I9" s="202">
        <v>5903.880000000001</v>
      </c>
      <c r="J9" s="203">
        <v>6080.9964000000009</v>
      </c>
      <c r="K9" s="120">
        <v>4.0466013875620765</v>
      </c>
      <c r="L9" s="121">
        <v>8.2638622397474197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6080.9964000000009</v>
      </c>
      <c r="S9" s="62">
        <f t="shared" si="19"/>
        <v>246.07368469999997</v>
      </c>
      <c r="T9" s="63">
        <f t="shared" si="20"/>
        <v>502.52516530000008</v>
      </c>
      <c r="U9" s="64" t="s">
        <v>191</v>
      </c>
      <c r="V9" s="65" t="s">
        <v>266</v>
      </c>
      <c r="W9" s="66" t="s">
        <v>187</v>
      </c>
      <c r="X9" s="67">
        <v>15480</v>
      </c>
      <c r="Y9" s="68">
        <v>4.3</v>
      </c>
      <c r="Z9" s="68">
        <v>8.52</v>
      </c>
      <c r="AA9" s="62">
        <f t="shared" si="21"/>
        <v>665.64</v>
      </c>
      <c r="AB9" s="62">
        <f t="shared" si="22"/>
        <v>1318.896</v>
      </c>
      <c r="AC9" s="69">
        <v>15480</v>
      </c>
      <c r="AD9" s="70">
        <v>4.25</v>
      </c>
      <c r="AE9" s="70">
        <v>8.4399999999999977</v>
      </c>
      <c r="AF9" s="62">
        <f t="shared" si="23"/>
        <v>657.90000000000009</v>
      </c>
      <c r="AG9" s="63">
        <f t="shared" si="24"/>
        <v>1306.5119999999997</v>
      </c>
      <c r="AH9" s="66">
        <v>89</v>
      </c>
      <c r="AI9" s="66">
        <v>4.0999999999999996</v>
      </c>
      <c r="AJ9" s="66">
        <v>8.26</v>
      </c>
      <c r="AK9" s="62">
        <f t="shared" si="25"/>
        <v>3.6489999999999996</v>
      </c>
      <c r="AL9" s="72">
        <f t="shared" si="26"/>
        <v>7.351399999999999</v>
      </c>
      <c r="AM9" s="73">
        <f t="shared" si="27"/>
        <v>2.9963999999999942</v>
      </c>
      <c r="AN9" s="74">
        <f t="shared" si="28"/>
        <v>-20.649715300000139</v>
      </c>
      <c r="AO9" s="74">
        <f t="shared" si="29"/>
        <v>-27.381634699999708</v>
      </c>
      <c r="AP9" s="75">
        <f t="shared" si="30"/>
        <v>-6.4161666825964053E-2</v>
      </c>
      <c r="AQ9" s="76">
        <f t="shared" si="31"/>
        <v>-18123.41610341832</v>
      </c>
      <c r="AR9" s="77">
        <f t="shared" si="14"/>
        <v>2.9963999999999942</v>
      </c>
    </row>
    <row r="10" spans="1:46" x14ac:dyDescent="0.25">
      <c r="A10" t="str">
        <f t="shared" si="15"/>
        <v>46207M</v>
      </c>
      <c r="B10" s="51">
        <f t="shared" si="32"/>
        <v>46207</v>
      </c>
      <c r="C10" s="52" t="s">
        <v>87</v>
      </c>
      <c r="D10" s="91">
        <v>89</v>
      </c>
      <c r="E10" s="62">
        <v>4.0999999999999996</v>
      </c>
      <c r="F10" s="62">
        <v>8.26</v>
      </c>
      <c r="G10" s="62">
        <f t="shared" si="16"/>
        <v>3.6489999999999996</v>
      </c>
      <c r="H10" s="63">
        <f t="shared" si="17"/>
        <v>7.351399999999999</v>
      </c>
      <c r="I10" s="202">
        <v>2097.12</v>
      </c>
      <c r="J10" s="203">
        <v>2160.0335999999998</v>
      </c>
      <c r="K10" s="120">
        <v>4.7691615167467791</v>
      </c>
      <c r="L10" s="121">
        <v>8.4284795338368816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8"/>
        <v>2160.0335999999998</v>
      </c>
      <c r="S10" s="62">
        <f t="shared" si="19"/>
        <v>103.01549120000004</v>
      </c>
      <c r="T10" s="63">
        <f t="shared" si="20"/>
        <v>182.0579899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21"/>
        <v>0</v>
      </c>
      <c r="AB10" s="62">
        <f t="shared" si="22"/>
        <v>0</v>
      </c>
      <c r="AC10" s="69"/>
      <c r="AD10" s="70"/>
      <c r="AE10" s="70"/>
      <c r="AF10" s="62">
        <f t="shared" si="23"/>
        <v>0</v>
      </c>
      <c r="AG10" s="63">
        <f t="shared" si="24"/>
        <v>0</v>
      </c>
      <c r="AH10" s="66">
        <v>2247</v>
      </c>
      <c r="AI10" s="66">
        <v>4.7300000000000004</v>
      </c>
      <c r="AJ10" s="66">
        <v>8.41</v>
      </c>
      <c r="AK10" s="62">
        <f t="shared" si="25"/>
        <v>106.2831</v>
      </c>
      <c r="AL10" s="72">
        <f t="shared" si="26"/>
        <v>188.97270000000003</v>
      </c>
      <c r="AM10" s="73">
        <f t="shared" si="27"/>
        <v>2.0335999999997512</v>
      </c>
      <c r="AN10" s="74">
        <f t="shared" si="28"/>
        <v>0.38139120000003857</v>
      </c>
      <c r="AO10" s="74">
        <f t="shared" si="29"/>
        <v>0.43668989999997621</v>
      </c>
      <c r="AP10" s="75">
        <f t="shared" si="30"/>
        <v>2.8697201045966205E-3</v>
      </c>
      <c r="AQ10" s="76">
        <f t="shared" si="31"/>
        <v>314.05562193368723</v>
      </c>
      <c r="AR10" s="77">
        <f>(D10+J10+O10)-(X10+AH10)</f>
        <v>2.0335999999997512</v>
      </c>
    </row>
    <row r="11" spans="1:46" x14ac:dyDescent="0.25">
      <c r="A11" t="str">
        <f t="shared" si="15"/>
        <v>46207E</v>
      </c>
      <c r="B11" s="51">
        <f t="shared" si="32"/>
        <v>46207</v>
      </c>
      <c r="C11" s="52" t="s">
        <v>88</v>
      </c>
      <c r="D11" s="91">
        <v>2247</v>
      </c>
      <c r="E11" s="62">
        <v>4.7300000000000004</v>
      </c>
      <c r="F11" s="62">
        <v>8.41</v>
      </c>
      <c r="G11" s="62">
        <f t="shared" si="16"/>
        <v>106.2831</v>
      </c>
      <c r="H11" s="63">
        <f t="shared" si="17"/>
        <v>188.97270000000003</v>
      </c>
      <c r="I11" s="202">
        <v>5791.0000000000009</v>
      </c>
      <c r="J11" s="203">
        <v>5964.7300000000014</v>
      </c>
      <c r="K11" s="120">
        <v>4.0665921257123125</v>
      </c>
      <c r="L11" s="121">
        <v>8.2478794681402174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5964.7300000000014</v>
      </c>
      <c r="S11" s="62">
        <f t="shared" si="19"/>
        <v>242.56124050000005</v>
      </c>
      <c r="T11" s="63">
        <f t="shared" si="20"/>
        <v>491.96374100000014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1"/>
        <v>0</v>
      </c>
      <c r="AB11" s="62">
        <f t="shared" si="22"/>
        <v>0</v>
      </c>
      <c r="AC11" s="69"/>
      <c r="AD11" s="70"/>
      <c r="AE11" s="70"/>
      <c r="AF11" s="62">
        <f t="shared" si="23"/>
        <v>0</v>
      </c>
      <c r="AG11" s="63">
        <f t="shared" si="24"/>
        <v>0</v>
      </c>
      <c r="AH11" s="66">
        <v>8210</v>
      </c>
      <c r="AI11" s="66">
        <v>4.24</v>
      </c>
      <c r="AJ11" s="66">
        <v>8.2799999999999994</v>
      </c>
      <c r="AK11" s="62">
        <f t="shared" si="25"/>
        <v>348.10399999999998</v>
      </c>
      <c r="AL11" s="72">
        <f t="shared" si="26"/>
        <v>679.78800000000001</v>
      </c>
      <c r="AM11" s="73">
        <f t="shared" si="27"/>
        <v>1.7300000000013824</v>
      </c>
      <c r="AN11" s="74">
        <f t="shared" si="28"/>
        <v>0.74034050000005891</v>
      </c>
      <c r="AO11" s="74">
        <f t="shared" si="29"/>
        <v>1.1484410000001617</v>
      </c>
      <c r="AP11" s="75">
        <f t="shared" si="30"/>
        <v>2.5714326232214339E-3</v>
      </c>
      <c r="AQ11" s="76">
        <f t="shared" si="31"/>
        <v>699.7055611784283</v>
      </c>
      <c r="AR11" s="77">
        <f t="shared" ref="AR11:AR65" si="33">(D11+J11+O11)-(X11+AH11)</f>
        <v>1.7300000000013824</v>
      </c>
    </row>
    <row r="12" spans="1:46" x14ac:dyDescent="0.25">
      <c r="A12" t="str">
        <f t="shared" si="15"/>
        <v>46208M</v>
      </c>
      <c r="B12" s="51">
        <f t="shared" si="32"/>
        <v>46208</v>
      </c>
      <c r="C12" s="52" t="s">
        <v>87</v>
      </c>
      <c r="D12" s="91">
        <v>8210</v>
      </c>
      <c r="E12" s="62">
        <v>4.24</v>
      </c>
      <c r="F12" s="62">
        <v>8.2799999999999994</v>
      </c>
      <c r="G12" s="62">
        <f t="shared" si="16"/>
        <v>348.10399999999998</v>
      </c>
      <c r="H12" s="63">
        <f t="shared" si="17"/>
        <v>679.78800000000001</v>
      </c>
      <c r="I12" s="202">
        <v>2264.9000000000005</v>
      </c>
      <c r="J12" s="203">
        <v>2332.8470000000007</v>
      </c>
      <c r="K12" s="120">
        <v>4.7927193253565292</v>
      </c>
      <c r="L12" s="121">
        <v>8.3969159786304015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2332.8470000000007</v>
      </c>
      <c r="S12" s="62">
        <f t="shared" si="19"/>
        <v>111.80680900000007</v>
      </c>
      <c r="T12" s="63">
        <f t="shared" si="20"/>
        <v>195.8872025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34">X12*Y12%</f>
        <v>0</v>
      </c>
      <c r="AB12" s="62">
        <f t="shared" ref="AB12:AB65" si="35">X12*Z12%</f>
        <v>0</v>
      </c>
      <c r="AC12" s="69"/>
      <c r="AD12" s="70"/>
      <c r="AE12" s="70"/>
      <c r="AF12" s="62">
        <f t="shared" si="23"/>
        <v>0</v>
      </c>
      <c r="AG12" s="63">
        <f t="shared" si="24"/>
        <v>0</v>
      </c>
      <c r="AH12" s="66">
        <v>10541</v>
      </c>
      <c r="AI12" s="66">
        <v>4.3499999999999996</v>
      </c>
      <c r="AJ12" s="66">
        <v>8.3000000000000007</v>
      </c>
      <c r="AK12" s="62">
        <f t="shared" si="25"/>
        <v>458.53349999999995</v>
      </c>
      <c r="AL12" s="72">
        <f t="shared" si="26"/>
        <v>874.90300000000002</v>
      </c>
      <c r="AM12" s="73">
        <f t="shared" si="27"/>
        <v>1.8470000000015716</v>
      </c>
      <c r="AN12" s="74">
        <f t="shared" si="28"/>
        <v>1.3773090000001389</v>
      </c>
      <c r="AO12" s="74">
        <f t="shared" si="29"/>
        <v>0.77220250000004853</v>
      </c>
      <c r="AP12" s="75">
        <f t="shared" si="30"/>
        <v>6.9858736915982735E-3</v>
      </c>
      <c r="AQ12" s="76">
        <f t="shared" si="31"/>
        <v>893.10957519375734</v>
      </c>
      <c r="AR12" s="77">
        <f t="shared" si="33"/>
        <v>1.8470000000015716</v>
      </c>
    </row>
    <row r="13" spans="1:46" x14ac:dyDescent="0.25">
      <c r="A13" t="str">
        <f t="shared" si="15"/>
        <v>46208E</v>
      </c>
      <c r="B13" s="51">
        <f t="shared" si="32"/>
        <v>46208</v>
      </c>
      <c r="C13" s="52" t="s">
        <v>88</v>
      </c>
      <c r="D13" s="91">
        <v>10541</v>
      </c>
      <c r="E13" s="62">
        <v>4.3499999999999996</v>
      </c>
      <c r="F13" s="62">
        <v>8.3000000000000007</v>
      </c>
      <c r="G13" s="62">
        <f t="shared" si="16"/>
        <v>458.53349999999995</v>
      </c>
      <c r="H13" s="63">
        <f t="shared" si="17"/>
        <v>874.90300000000002</v>
      </c>
      <c r="I13" s="202">
        <v>4333.6000000000004</v>
      </c>
      <c r="J13" s="203">
        <v>4463.6080000000002</v>
      </c>
      <c r="K13" s="120">
        <v>4.1036586210079387</v>
      </c>
      <c r="L13" s="121">
        <v>8.1935446280228916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4463.6080000000002</v>
      </c>
      <c r="S13" s="62">
        <f t="shared" si="19"/>
        <v>183.17123450000003</v>
      </c>
      <c r="T13" s="63">
        <f t="shared" si="20"/>
        <v>365.72771350000005</v>
      </c>
      <c r="U13" s="64" t="s">
        <v>191</v>
      </c>
      <c r="V13" s="65" t="s">
        <v>320</v>
      </c>
      <c r="W13" s="66" t="s">
        <v>187</v>
      </c>
      <c r="X13" s="67">
        <v>12450</v>
      </c>
      <c r="Y13" s="68">
        <v>4.25</v>
      </c>
      <c r="Z13" s="68">
        <v>8.3800000000000008</v>
      </c>
      <c r="AA13" s="62">
        <f t="shared" si="34"/>
        <v>529.125</v>
      </c>
      <c r="AB13" s="62">
        <f t="shared" si="35"/>
        <v>1043.3100000000002</v>
      </c>
      <c r="AC13" s="69">
        <v>12400</v>
      </c>
      <c r="AD13" s="70">
        <v>4.1744354838709672</v>
      </c>
      <c r="AE13" s="70">
        <v>8.1273306451612886</v>
      </c>
      <c r="AF13" s="62">
        <f t="shared" si="23"/>
        <v>517.62999999999988</v>
      </c>
      <c r="AG13" s="63">
        <f t="shared" si="24"/>
        <v>1007.7889999999999</v>
      </c>
      <c r="AH13" s="66">
        <v>2553</v>
      </c>
      <c r="AI13" s="66">
        <v>4.2699999999999996</v>
      </c>
      <c r="AJ13" s="66">
        <v>8.26</v>
      </c>
      <c r="AK13" s="62">
        <f t="shared" si="25"/>
        <v>109.01309999999998</v>
      </c>
      <c r="AL13" s="72">
        <f t="shared" si="26"/>
        <v>210.87779999999998</v>
      </c>
      <c r="AM13" s="73">
        <f t="shared" si="27"/>
        <v>51.608000000000175</v>
      </c>
      <c r="AN13" s="74">
        <f t="shared" si="28"/>
        <v>15.06163450000011</v>
      </c>
      <c r="AO13" s="74">
        <f t="shared" si="29"/>
        <v>21.963913500000331</v>
      </c>
      <c r="AP13" s="75">
        <f t="shared" si="30"/>
        <v>6.7454215634606102E-2</v>
      </c>
      <c r="AQ13" s="76">
        <f t="shared" si="31"/>
        <v>13815.602138885039</v>
      </c>
      <c r="AR13" s="77">
        <f t="shared" si="33"/>
        <v>1.6080000000001746</v>
      </c>
    </row>
    <row r="14" spans="1:46" x14ac:dyDescent="0.25">
      <c r="A14" t="str">
        <f t="shared" si="15"/>
        <v>46209M</v>
      </c>
      <c r="B14" s="51">
        <f t="shared" si="32"/>
        <v>46209</v>
      </c>
      <c r="C14" s="52" t="s">
        <v>87</v>
      </c>
      <c r="D14" s="91">
        <v>2553</v>
      </c>
      <c r="E14" s="62">
        <v>4.2699999999999996</v>
      </c>
      <c r="F14" s="62">
        <v>8.26</v>
      </c>
      <c r="G14" s="62">
        <f t="shared" si="16"/>
        <v>109.01309999999998</v>
      </c>
      <c r="H14" s="63">
        <f t="shared" si="17"/>
        <v>210.87779999999998</v>
      </c>
      <c r="I14" s="202">
        <v>2116.9500000000003</v>
      </c>
      <c r="J14" s="203">
        <v>2180.4585000000002</v>
      </c>
      <c r="K14" s="120">
        <v>4.8258083563617475</v>
      </c>
      <c r="L14" s="121">
        <v>8.4142020359479446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2180.4585000000002</v>
      </c>
      <c r="S14" s="62">
        <f t="shared" si="19"/>
        <v>105.22474850000002</v>
      </c>
      <c r="T14" s="63">
        <f t="shared" si="20"/>
        <v>183.46818350000004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34"/>
        <v>0</v>
      </c>
      <c r="AB14" s="62">
        <f t="shared" si="35"/>
        <v>0</v>
      </c>
      <c r="AC14" s="69"/>
      <c r="AD14" s="70"/>
      <c r="AE14" s="70"/>
      <c r="AF14" s="62">
        <f t="shared" si="23"/>
        <v>0</v>
      </c>
      <c r="AG14" s="63">
        <f t="shared" si="24"/>
        <v>0</v>
      </c>
      <c r="AH14" s="66">
        <v>4733</v>
      </c>
      <c r="AI14" s="66">
        <v>4.5</v>
      </c>
      <c r="AJ14" s="66">
        <v>8.2899999999999991</v>
      </c>
      <c r="AK14" s="62">
        <f t="shared" si="25"/>
        <v>212.98499999999999</v>
      </c>
      <c r="AL14" s="72">
        <f t="shared" si="26"/>
        <v>392.36569999999995</v>
      </c>
      <c r="AM14" s="73">
        <f t="shared" si="27"/>
        <v>0.45850000000064028</v>
      </c>
      <c r="AN14" s="74">
        <f t="shared" si="28"/>
        <v>1.2528484999999989</v>
      </c>
      <c r="AO14" s="74">
        <f t="shared" si="29"/>
        <v>1.9802835000000414</v>
      </c>
      <c r="AP14" s="75">
        <f t="shared" si="30"/>
        <v>1.1199207329398836E-2</v>
      </c>
      <c r="AQ14" s="76">
        <f t="shared" si="31"/>
        <v>1195.1117587448366</v>
      </c>
      <c r="AR14" s="77">
        <f t="shared" si="33"/>
        <v>0.45850000000064028</v>
      </c>
    </row>
    <row r="15" spans="1:46" x14ac:dyDescent="0.25">
      <c r="A15" t="str">
        <f t="shared" si="15"/>
        <v>46209E</v>
      </c>
      <c r="B15" s="51">
        <f t="shared" si="32"/>
        <v>46209</v>
      </c>
      <c r="C15" s="52" t="s">
        <v>88</v>
      </c>
      <c r="D15" s="91">
        <v>4733</v>
      </c>
      <c r="E15" s="62">
        <v>4.5</v>
      </c>
      <c r="F15" s="62">
        <v>8.2899999999999991</v>
      </c>
      <c r="G15" s="62">
        <f t="shared" si="16"/>
        <v>212.98499999999999</v>
      </c>
      <c r="H15" s="63">
        <f t="shared" si="17"/>
        <v>392.36569999999995</v>
      </c>
      <c r="I15" s="202">
        <v>3800.1500000000005</v>
      </c>
      <c r="J15" s="203">
        <v>3914.1545000000006</v>
      </c>
      <c r="K15" s="120">
        <v>4.1061010749575688</v>
      </c>
      <c r="L15" s="121">
        <v>8.2117376945646878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3914.1545000000006</v>
      </c>
      <c r="S15" s="62">
        <f t="shared" si="19"/>
        <v>160.71914000000007</v>
      </c>
      <c r="T15" s="63">
        <f t="shared" si="20"/>
        <v>321.42010049999999</v>
      </c>
      <c r="U15" s="64" t="s">
        <v>191</v>
      </c>
      <c r="V15" s="65" t="s">
        <v>321</v>
      </c>
      <c r="W15" s="66" t="s">
        <v>187</v>
      </c>
      <c r="X15" s="67">
        <v>8680</v>
      </c>
      <c r="Y15" s="68">
        <v>4.1500000000000004</v>
      </c>
      <c r="Z15" s="68">
        <v>8.24</v>
      </c>
      <c r="AA15" s="62">
        <f t="shared" si="34"/>
        <v>360.22</v>
      </c>
      <c r="AB15" s="62">
        <f t="shared" si="35"/>
        <v>715.23199999999997</v>
      </c>
      <c r="AC15" s="69">
        <v>8660</v>
      </c>
      <c r="AD15" s="70">
        <v>4.3068129330254052</v>
      </c>
      <c r="AE15" s="70">
        <v>8.3346535796766741</v>
      </c>
      <c r="AF15" s="62">
        <f t="shared" si="23"/>
        <v>372.97000000000008</v>
      </c>
      <c r="AG15" s="63">
        <f t="shared" si="24"/>
        <v>721.78099999999995</v>
      </c>
      <c r="AH15" s="66">
        <v>0</v>
      </c>
      <c r="AI15" s="66">
        <v>0</v>
      </c>
      <c r="AJ15" s="66">
        <v>0</v>
      </c>
      <c r="AK15" s="62">
        <f t="shared" si="25"/>
        <v>0</v>
      </c>
      <c r="AL15" s="72">
        <f t="shared" si="26"/>
        <v>0</v>
      </c>
      <c r="AM15" s="73">
        <f t="shared" si="27"/>
        <v>-12.845499999999447</v>
      </c>
      <c r="AN15" s="74">
        <f t="shared" si="28"/>
        <v>0.73413999999996804</v>
      </c>
      <c r="AO15" s="74">
        <f t="shared" si="29"/>
        <v>-7.9951995000000124</v>
      </c>
      <c r="AP15" s="75">
        <f t="shared" si="30"/>
        <v>-1.5060088227770052E-2</v>
      </c>
      <c r="AQ15" s="76">
        <f t="shared" si="31"/>
        <v>-2041.7129092652626</v>
      </c>
      <c r="AR15" s="77">
        <f t="shared" si="33"/>
        <v>-32.845499999999447</v>
      </c>
    </row>
    <row r="16" spans="1:46" x14ac:dyDescent="0.25">
      <c r="A16" t="str">
        <f t="shared" si="15"/>
        <v>46210M</v>
      </c>
      <c r="B16" s="51">
        <f t="shared" si="32"/>
        <v>46210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si="16"/>
        <v>0</v>
      </c>
      <c r="H16" s="63">
        <f t="shared" si="17"/>
        <v>0</v>
      </c>
      <c r="I16" s="202">
        <v>2711.25</v>
      </c>
      <c r="J16" s="203">
        <v>2792.5875000000001</v>
      </c>
      <c r="K16" s="120">
        <v>4.6538386353158137</v>
      </c>
      <c r="L16" s="121">
        <v>8.3686030428769023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2792.5875000000001</v>
      </c>
      <c r="S16" s="62">
        <f t="shared" si="19"/>
        <v>129.96251599999999</v>
      </c>
      <c r="T16" s="63">
        <f t="shared" si="20"/>
        <v>233.70056250000005</v>
      </c>
      <c r="U16" s="64" t="s">
        <v>180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34"/>
        <v>0</v>
      </c>
      <c r="AB16" s="62">
        <f t="shared" si="35"/>
        <v>0</v>
      </c>
      <c r="AC16" s="69"/>
      <c r="AD16" s="70"/>
      <c r="AE16" s="70"/>
      <c r="AF16" s="62">
        <f t="shared" si="23"/>
        <v>0</v>
      </c>
      <c r="AG16" s="63">
        <f t="shared" si="24"/>
        <v>0</v>
      </c>
      <c r="AH16" s="66">
        <v>2791</v>
      </c>
      <c r="AI16" s="66">
        <v>4.6399999999999997</v>
      </c>
      <c r="AJ16" s="66">
        <v>8.36</v>
      </c>
      <c r="AK16" s="62">
        <f t="shared" si="25"/>
        <v>129.50239999999999</v>
      </c>
      <c r="AL16" s="72">
        <f t="shared" si="26"/>
        <v>233.32759999999999</v>
      </c>
      <c r="AM16" s="73">
        <f t="shared" si="27"/>
        <v>1.5875000000000909</v>
      </c>
      <c r="AN16" s="74">
        <f t="shared" si="28"/>
        <v>0.4601159999999993</v>
      </c>
      <c r="AO16" s="74">
        <f t="shared" si="29"/>
        <v>0.37296250000005671</v>
      </c>
      <c r="AP16" s="75">
        <f t="shared" si="30"/>
        <v>2.2907975795515242E-3</v>
      </c>
      <c r="AQ16" s="76">
        <f t="shared" si="31"/>
        <v>332.79966157842432</v>
      </c>
      <c r="AR16" s="77">
        <f t="shared" si="33"/>
        <v>1.5875000000000909</v>
      </c>
    </row>
    <row r="17" spans="1:48" x14ac:dyDescent="0.25">
      <c r="A17" t="str">
        <f t="shared" si="15"/>
        <v>46210E</v>
      </c>
      <c r="B17" s="51">
        <f t="shared" si="32"/>
        <v>46210</v>
      </c>
      <c r="C17" s="52" t="s">
        <v>88</v>
      </c>
      <c r="D17" s="91">
        <v>2791</v>
      </c>
      <c r="E17" s="62">
        <v>4.6399999999999997</v>
      </c>
      <c r="F17" s="62">
        <v>8.36</v>
      </c>
      <c r="G17" s="62">
        <f t="shared" si="16"/>
        <v>129.50239999999999</v>
      </c>
      <c r="H17" s="63">
        <f t="shared" si="17"/>
        <v>233.32759999999999</v>
      </c>
      <c r="I17" s="202">
        <v>3279.4500000000012</v>
      </c>
      <c r="J17" s="203">
        <v>3377.8335000000011</v>
      </c>
      <c r="K17" s="120">
        <v>4.2766698684230597</v>
      </c>
      <c r="L17" s="121">
        <v>8.3662763573160195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3377.8335000000011</v>
      </c>
      <c r="S17" s="62">
        <f t="shared" si="19"/>
        <v>144.45878750000008</v>
      </c>
      <c r="T17" s="63">
        <f t="shared" si="20"/>
        <v>282.59888550000034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34"/>
        <v>0</v>
      </c>
      <c r="AB17" s="62">
        <f t="shared" si="35"/>
        <v>0</v>
      </c>
      <c r="AC17" s="69"/>
      <c r="AD17" s="70"/>
      <c r="AE17" s="70"/>
      <c r="AF17" s="62">
        <f t="shared" si="23"/>
        <v>0</v>
      </c>
      <c r="AG17" s="63">
        <f t="shared" si="24"/>
        <v>0</v>
      </c>
      <c r="AH17" s="66">
        <v>6167</v>
      </c>
      <c r="AI17" s="66">
        <v>4.43</v>
      </c>
      <c r="AJ17" s="66">
        <v>8.36</v>
      </c>
      <c r="AK17" s="62">
        <f t="shared" si="25"/>
        <v>273.19810000000001</v>
      </c>
      <c r="AL17" s="72">
        <f t="shared" si="26"/>
        <v>515.56119999999999</v>
      </c>
      <c r="AM17" s="73">
        <f t="shared" si="27"/>
        <v>1.8335000000006403</v>
      </c>
      <c r="AN17" s="74">
        <f t="shared" si="28"/>
        <v>0.76308750000004011</v>
      </c>
      <c r="AO17" s="74">
        <f t="shared" si="29"/>
        <v>0.3652855000003683</v>
      </c>
      <c r="AP17" s="75">
        <f t="shared" si="30"/>
        <v>2.6422028483267818E-3</v>
      </c>
      <c r="AQ17" s="76">
        <f t="shared" si="31"/>
        <v>476.0881348125119</v>
      </c>
      <c r="AR17" s="77">
        <f t="shared" si="33"/>
        <v>1.8335000000006403</v>
      </c>
    </row>
    <row r="18" spans="1:48" x14ac:dyDescent="0.25">
      <c r="A18" t="str">
        <f t="shared" si="15"/>
        <v>46211M</v>
      </c>
      <c r="B18" s="51">
        <f t="shared" si="32"/>
        <v>46211</v>
      </c>
      <c r="C18" s="52" t="s">
        <v>87</v>
      </c>
      <c r="D18" s="91">
        <v>6167</v>
      </c>
      <c r="E18" s="62">
        <v>4.43</v>
      </c>
      <c r="F18" s="62">
        <v>8.36</v>
      </c>
      <c r="G18" s="62">
        <f t="shared" si="16"/>
        <v>273.19810000000001</v>
      </c>
      <c r="H18" s="63">
        <f t="shared" si="17"/>
        <v>515.56119999999999</v>
      </c>
      <c r="I18" s="202">
        <v>3789.9500000000003</v>
      </c>
      <c r="J18" s="203">
        <v>3903.6485000000002</v>
      </c>
      <c r="K18" s="120">
        <v>4.4565957334529473</v>
      </c>
      <c r="L18" s="121">
        <v>8.3736394939247223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3903.6485000000002</v>
      </c>
      <c r="S18" s="62">
        <f t="shared" si="19"/>
        <v>173.9698325</v>
      </c>
      <c r="T18" s="63">
        <f t="shared" si="20"/>
        <v>326.87745250000006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34"/>
        <v>0</v>
      </c>
      <c r="AB18" s="62">
        <f t="shared" si="35"/>
        <v>0</v>
      </c>
      <c r="AC18" s="69"/>
      <c r="AD18" s="70"/>
      <c r="AE18" s="70"/>
      <c r="AF18" s="62">
        <f t="shared" si="23"/>
        <v>0</v>
      </c>
      <c r="AG18" s="63">
        <f t="shared" si="24"/>
        <v>0</v>
      </c>
      <c r="AH18" s="66">
        <v>10069</v>
      </c>
      <c r="AI18" s="66">
        <v>4.4400000000000004</v>
      </c>
      <c r="AJ18" s="66">
        <v>8.36</v>
      </c>
      <c r="AK18" s="62">
        <f t="shared" si="25"/>
        <v>447.06360000000001</v>
      </c>
      <c r="AL18" s="72">
        <f t="shared" si="26"/>
        <v>841.76839999999993</v>
      </c>
      <c r="AM18" s="73">
        <f t="shared" si="27"/>
        <v>1.6484999999993306</v>
      </c>
      <c r="AN18" s="74">
        <f t="shared" si="28"/>
        <v>0.10433249999999816</v>
      </c>
      <c r="AO18" s="74">
        <f t="shared" si="29"/>
        <v>0.67025250000006054</v>
      </c>
      <c r="AP18" s="75">
        <f t="shared" si="30"/>
        <v>1.5465492640137973E-3</v>
      </c>
      <c r="AQ18" s="76">
        <f t="shared" si="31"/>
        <v>250.86981871968857</v>
      </c>
      <c r="AR18" s="77">
        <f t="shared" si="33"/>
        <v>1.6484999999993306</v>
      </c>
    </row>
    <row r="19" spans="1:48" x14ac:dyDescent="0.25">
      <c r="A19" t="str">
        <f t="shared" si="15"/>
        <v>46211E</v>
      </c>
      <c r="B19" s="51">
        <f t="shared" si="32"/>
        <v>46211</v>
      </c>
      <c r="C19" s="52" t="s">
        <v>88</v>
      </c>
      <c r="D19" s="91">
        <v>10069</v>
      </c>
      <c r="E19" s="62">
        <v>4.4400000000000004</v>
      </c>
      <c r="F19" s="62">
        <v>8.36</v>
      </c>
      <c r="G19" s="62">
        <f t="shared" si="16"/>
        <v>447.06360000000001</v>
      </c>
      <c r="H19" s="63">
        <f t="shared" si="17"/>
        <v>841.76839999999993</v>
      </c>
      <c r="I19" s="202">
        <v>7907.9000000000005</v>
      </c>
      <c r="J19" s="203">
        <v>8145.1370000000006</v>
      </c>
      <c r="K19" s="120">
        <v>4.0414054300130244</v>
      </c>
      <c r="L19" s="121">
        <v>8.316795862365483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8145.1370000000006</v>
      </c>
      <c r="S19" s="62">
        <f t="shared" si="19"/>
        <v>329.17800899999997</v>
      </c>
      <c r="T19" s="63">
        <f t="shared" si="20"/>
        <v>677.41441700000018</v>
      </c>
      <c r="U19" s="64" t="s">
        <v>191</v>
      </c>
      <c r="V19" s="65" t="s">
        <v>365</v>
      </c>
      <c r="W19" s="66" t="s">
        <v>187</v>
      </c>
      <c r="X19" s="67">
        <v>15380</v>
      </c>
      <c r="Y19" s="68">
        <v>4.3499999999999996</v>
      </c>
      <c r="Z19" s="68">
        <v>8.4</v>
      </c>
      <c r="AA19" s="62">
        <f t="shared" si="34"/>
        <v>669.03</v>
      </c>
      <c r="AB19" s="62">
        <f t="shared" si="35"/>
        <v>1291.92</v>
      </c>
      <c r="AC19" s="69">
        <v>15380</v>
      </c>
      <c r="AD19" s="70">
        <v>4.2999999999999989</v>
      </c>
      <c r="AE19" s="70">
        <v>8.27</v>
      </c>
      <c r="AF19" s="62">
        <f t="shared" si="23"/>
        <v>661.3399999999998</v>
      </c>
      <c r="AG19" s="63">
        <f t="shared" si="24"/>
        <v>1271.9259999999999</v>
      </c>
      <c r="AH19" s="66">
        <v>2832</v>
      </c>
      <c r="AI19" s="66">
        <v>4.25</v>
      </c>
      <c r="AJ19" s="66">
        <v>8.33</v>
      </c>
      <c r="AK19" s="62">
        <f t="shared" si="25"/>
        <v>120.36000000000001</v>
      </c>
      <c r="AL19" s="72">
        <f t="shared" si="26"/>
        <v>235.90559999999999</v>
      </c>
      <c r="AM19" s="73">
        <f t="shared" si="27"/>
        <v>2.1370000000024447</v>
      </c>
      <c r="AN19" s="74">
        <f t="shared" si="28"/>
        <v>-5.4583909999998923</v>
      </c>
      <c r="AO19" s="74">
        <f t="shared" si="29"/>
        <v>11.35121700000019</v>
      </c>
      <c r="AP19" s="75">
        <f t="shared" si="30"/>
        <v>5.8542324060764364E-3</v>
      </c>
      <c r="AQ19" s="76">
        <f t="shared" si="31"/>
        <v>776.65391054859901</v>
      </c>
      <c r="AR19" s="77">
        <f t="shared" si="33"/>
        <v>2.1370000000024447</v>
      </c>
    </row>
    <row r="20" spans="1:48" x14ac:dyDescent="0.25">
      <c r="A20" t="str">
        <f t="shared" si="15"/>
        <v>46212M</v>
      </c>
      <c r="B20" s="51">
        <f t="shared" si="32"/>
        <v>46212</v>
      </c>
      <c r="C20" s="52" t="s">
        <v>87</v>
      </c>
      <c r="D20" s="91">
        <v>2832</v>
      </c>
      <c r="E20" s="62">
        <v>4.25</v>
      </c>
      <c r="F20" s="62">
        <v>8.33</v>
      </c>
      <c r="G20" s="62">
        <f t="shared" si="16"/>
        <v>120.36000000000001</v>
      </c>
      <c r="H20" s="63">
        <f t="shared" si="17"/>
        <v>235.90559999999999</v>
      </c>
      <c r="I20" s="202">
        <v>4471.8999999999996</v>
      </c>
      <c r="J20" s="203">
        <v>4606.0569999999998</v>
      </c>
      <c r="K20" s="120">
        <v>4.4377345200026852</v>
      </c>
      <c r="L20" s="121">
        <v>8.33984883382902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4606.0569999999998</v>
      </c>
      <c r="S20" s="62">
        <f t="shared" si="19"/>
        <v>204.40458150000009</v>
      </c>
      <c r="T20" s="63">
        <f t="shared" si="20"/>
        <v>384.13819099999989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34"/>
        <v>0</v>
      </c>
      <c r="AB20" s="62">
        <f t="shared" si="35"/>
        <v>0</v>
      </c>
      <c r="AC20" s="69"/>
      <c r="AD20" s="70"/>
      <c r="AE20" s="70"/>
      <c r="AF20" s="62">
        <f t="shared" si="23"/>
        <v>0</v>
      </c>
      <c r="AG20" s="63">
        <f t="shared" si="24"/>
        <v>0</v>
      </c>
      <c r="AH20" s="66">
        <v>7436</v>
      </c>
      <c r="AI20" s="66">
        <v>4.3600000000000003</v>
      </c>
      <c r="AJ20" s="66">
        <v>8.33</v>
      </c>
      <c r="AK20" s="62">
        <f t="shared" si="25"/>
        <v>324.20960000000002</v>
      </c>
      <c r="AL20" s="72">
        <f t="shared" si="26"/>
        <v>619.41880000000003</v>
      </c>
      <c r="AM20" s="73">
        <f t="shared" si="27"/>
        <v>2.056999999999789</v>
      </c>
      <c r="AN20" s="74">
        <f t="shared" si="28"/>
        <v>0.55498150000005353</v>
      </c>
      <c r="AO20" s="74">
        <f t="shared" si="29"/>
        <v>0.62499099999979535</v>
      </c>
      <c r="AP20" s="75">
        <f t="shared" si="30"/>
        <v>2.004905259455631E-3</v>
      </c>
      <c r="AQ20" s="76">
        <f t="shared" si="31"/>
        <v>453.86591392480989</v>
      </c>
      <c r="AR20" s="77">
        <f t="shared" si="33"/>
        <v>2.056999999999789</v>
      </c>
    </row>
    <row r="21" spans="1:48" x14ac:dyDescent="0.25">
      <c r="A21" t="str">
        <f t="shared" si="15"/>
        <v>46212E</v>
      </c>
      <c r="B21" s="51">
        <f t="shared" si="32"/>
        <v>46212</v>
      </c>
      <c r="C21" s="52" t="s">
        <v>88</v>
      </c>
      <c r="D21" s="91">
        <v>7436</v>
      </c>
      <c r="E21" s="62">
        <v>4.3600000000000003</v>
      </c>
      <c r="F21" s="62">
        <v>8.33</v>
      </c>
      <c r="G21" s="62">
        <f t="shared" si="16"/>
        <v>324.20960000000002</v>
      </c>
      <c r="H21" s="63">
        <f t="shared" si="17"/>
        <v>619.41880000000003</v>
      </c>
      <c r="I21" s="202">
        <v>6716.2</v>
      </c>
      <c r="J21" s="203">
        <v>6917.6859999999997</v>
      </c>
      <c r="K21" s="120">
        <v>4.2179573270599446</v>
      </c>
      <c r="L21" s="121">
        <v>8.2467079598582522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6917.6859999999997</v>
      </c>
      <c r="S21" s="62">
        <f t="shared" si="19"/>
        <v>291.78504349999997</v>
      </c>
      <c r="T21" s="63">
        <f t="shared" si="20"/>
        <v>570.48136199999988</v>
      </c>
      <c r="U21" s="64" t="s">
        <v>191</v>
      </c>
      <c r="V21" s="65" t="s">
        <v>393</v>
      </c>
      <c r="W21" s="66" t="s">
        <v>187</v>
      </c>
      <c r="X21" s="67">
        <v>9780</v>
      </c>
      <c r="Y21" s="68">
        <v>4</v>
      </c>
      <c r="Z21" s="68">
        <v>8.27</v>
      </c>
      <c r="AA21" s="62">
        <f t="shared" si="34"/>
        <v>391.2</v>
      </c>
      <c r="AB21" s="62">
        <f t="shared" si="35"/>
        <v>808.80599999999993</v>
      </c>
      <c r="AC21" s="215">
        <v>9780</v>
      </c>
      <c r="AD21" s="216">
        <v>4</v>
      </c>
      <c r="AE21" s="216">
        <v>8.27</v>
      </c>
      <c r="AF21" s="62">
        <f t="shared" si="23"/>
        <v>391.2</v>
      </c>
      <c r="AG21" s="63">
        <f t="shared" si="24"/>
        <v>808.80599999999993</v>
      </c>
      <c r="AH21" s="66">
        <v>4573</v>
      </c>
      <c r="AI21" s="66">
        <v>4.28</v>
      </c>
      <c r="AJ21" s="66">
        <v>8.26</v>
      </c>
      <c r="AK21" s="62">
        <f t="shared" si="25"/>
        <v>195.72440000000003</v>
      </c>
      <c r="AL21" s="72">
        <f t="shared" si="26"/>
        <v>377.72979999999995</v>
      </c>
      <c r="AM21" s="73">
        <f t="shared" si="27"/>
        <v>0.68599999999969441</v>
      </c>
      <c r="AN21" s="74">
        <f t="shared" si="28"/>
        <v>29.070243499999918</v>
      </c>
      <c r="AO21" s="74">
        <f t="shared" si="29"/>
        <v>3.3643620000000283</v>
      </c>
      <c r="AP21" s="75">
        <f t="shared" si="30"/>
        <v>3.7615527281492769E-2</v>
      </c>
      <c r="AQ21" s="76">
        <f t="shared" si="31"/>
        <v>14976.794601998678</v>
      </c>
      <c r="AR21" s="77">
        <f t="shared" si="33"/>
        <v>0.68599999999969441</v>
      </c>
    </row>
    <row r="22" spans="1:48" x14ac:dyDescent="0.25">
      <c r="A22" t="str">
        <f t="shared" si="15"/>
        <v>46213M</v>
      </c>
      <c r="B22" s="51">
        <f t="shared" si="32"/>
        <v>46213</v>
      </c>
      <c r="C22" s="52" t="s">
        <v>87</v>
      </c>
      <c r="D22" s="91"/>
      <c r="E22" s="62"/>
      <c r="F22" s="62"/>
      <c r="G22" s="62">
        <f t="shared" si="16"/>
        <v>0</v>
      </c>
      <c r="H22" s="63">
        <f t="shared" si="17"/>
        <v>0</v>
      </c>
      <c r="I22" s="202"/>
      <c r="J22" s="203"/>
      <c r="K22" s="120"/>
      <c r="L22" s="121"/>
      <c r="M22" s="58"/>
      <c r="N22" s="58"/>
      <c r="O22" s="59"/>
      <c r="P22" s="56"/>
      <c r="Q22" s="60"/>
      <c r="R22" s="61">
        <f t="shared" si="18"/>
        <v>0</v>
      </c>
      <c r="S22" s="62">
        <f t="shared" si="19"/>
        <v>0</v>
      </c>
      <c r="T22" s="63">
        <f t="shared" si="20"/>
        <v>0</v>
      </c>
      <c r="U22" s="64"/>
      <c r="V22" s="65"/>
      <c r="W22" s="66"/>
      <c r="X22" s="67"/>
      <c r="Y22" s="68"/>
      <c r="Z22" s="68"/>
      <c r="AA22" s="62">
        <f t="shared" si="34"/>
        <v>0</v>
      </c>
      <c r="AB22" s="62">
        <f t="shared" si="35"/>
        <v>0</v>
      </c>
      <c r="AC22" s="69"/>
      <c r="AD22" s="70"/>
      <c r="AE22" s="70"/>
      <c r="AF22" s="62">
        <f t="shared" si="23"/>
        <v>0</v>
      </c>
      <c r="AG22" s="63">
        <f t="shared" si="24"/>
        <v>0</v>
      </c>
      <c r="AH22" s="66"/>
      <c r="AI22" s="66"/>
      <c r="AJ22" s="66"/>
      <c r="AK22" s="62">
        <f t="shared" si="25"/>
        <v>0</v>
      </c>
      <c r="AL22" s="72">
        <f t="shared" si="26"/>
        <v>0</v>
      </c>
      <c r="AM22" s="73">
        <f t="shared" si="27"/>
        <v>0</v>
      </c>
      <c r="AN22" s="74">
        <f t="shared" si="28"/>
        <v>0</v>
      </c>
      <c r="AO22" s="74">
        <f t="shared" si="29"/>
        <v>0</v>
      </c>
      <c r="AP22" s="75" t="e">
        <f t="shared" si="30"/>
        <v>#DIV/0!</v>
      </c>
      <c r="AQ22" s="76">
        <f t="shared" si="31"/>
        <v>0</v>
      </c>
      <c r="AR22" s="77">
        <f t="shared" si="33"/>
        <v>0</v>
      </c>
      <c r="AT22" s="83"/>
      <c r="AU22" s="83"/>
    </row>
    <row r="23" spans="1:48" x14ac:dyDescent="0.25">
      <c r="A23" t="str">
        <f t="shared" si="15"/>
        <v>46213E</v>
      </c>
      <c r="B23" s="51">
        <f t="shared" si="32"/>
        <v>46213</v>
      </c>
      <c r="C23" s="52" t="s">
        <v>88</v>
      </c>
      <c r="D23" s="91"/>
      <c r="E23" s="62"/>
      <c r="F23" s="62"/>
      <c r="G23" s="62">
        <f t="shared" si="16"/>
        <v>0</v>
      </c>
      <c r="H23" s="63">
        <f t="shared" si="17"/>
        <v>0</v>
      </c>
      <c r="I23" s="202"/>
      <c r="J23" s="203"/>
      <c r="K23" s="120"/>
      <c r="L23" s="121"/>
      <c r="M23" s="58"/>
      <c r="N23" s="58"/>
      <c r="O23" s="59"/>
      <c r="P23" s="56"/>
      <c r="Q23" s="60"/>
      <c r="R23" s="61">
        <f t="shared" si="18"/>
        <v>0</v>
      </c>
      <c r="S23" s="62">
        <f t="shared" si="19"/>
        <v>0</v>
      </c>
      <c r="T23" s="63">
        <f t="shared" si="20"/>
        <v>0</v>
      </c>
      <c r="U23" s="64"/>
      <c r="V23" s="65"/>
      <c r="W23" s="66"/>
      <c r="X23" s="67"/>
      <c r="Y23" s="68"/>
      <c r="Z23" s="68"/>
      <c r="AA23" s="62">
        <f t="shared" si="34"/>
        <v>0</v>
      </c>
      <c r="AB23" s="62">
        <f t="shared" si="35"/>
        <v>0</v>
      </c>
      <c r="AC23" s="69"/>
      <c r="AD23" s="70"/>
      <c r="AE23" s="70"/>
      <c r="AF23" s="62">
        <f t="shared" si="23"/>
        <v>0</v>
      </c>
      <c r="AG23" s="63">
        <f t="shared" si="24"/>
        <v>0</v>
      </c>
      <c r="AH23" s="66"/>
      <c r="AI23" s="66"/>
      <c r="AJ23" s="66"/>
      <c r="AK23" s="62">
        <f t="shared" si="25"/>
        <v>0</v>
      </c>
      <c r="AL23" s="72">
        <f t="shared" si="26"/>
        <v>0</v>
      </c>
      <c r="AM23" s="73">
        <f t="shared" si="27"/>
        <v>0</v>
      </c>
      <c r="AN23" s="74">
        <f t="shared" si="28"/>
        <v>0</v>
      </c>
      <c r="AO23" s="74">
        <f t="shared" si="29"/>
        <v>0</v>
      </c>
      <c r="AP23" s="75" t="e">
        <f t="shared" si="30"/>
        <v>#DIV/0!</v>
      </c>
      <c r="AQ23" s="76">
        <f t="shared" si="31"/>
        <v>0</v>
      </c>
      <c r="AR23" s="77">
        <f t="shared" si="33"/>
        <v>0</v>
      </c>
      <c r="AU23" s="83"/>
    </row>
    <row r="24" spans="1:48" x14ac:dyDescent="0.25">
      <c r="A24" t="str">
        <f t="shared" si="15"/>
        <v>46214M</v>
      </c>
      <c r="B24" s="51">
        <f t="shared" si="32"/>
        <v>46214</v>
      </c>
      <c r="C24" s="52" t="s">
        <v>87</v>
      </c>
      <c r="D24" s="91"/>
      <c r="E24" s="62"/>
      <c r="F24" s="62"/>
      <c r="G24" s="62">
        <f t="shared" si="16"/>
        <v>0</v>
      </c>
      <c r="H24" s="63">
        <f t="shared" si="17"/>
        <v>0</v>
      </c>
      <c r="I24" s="202"/>
      <c r="J24" s="203"/>
      <c r="K24" s="120"/>
      <c r="L24" s="121"/>
      <c r="M24" s="58"/>
      <c r="N24" s="58"/>
      <c r="O24" s="59"/>
      <c r="P24" s="56"/>
      <c r="Q24" s="60"/>
      <c r="R24" s="61">
        <f t="shared" si="18"/>
        <v>0</v>
      </c>
      <c r="S24" s="62">
        <f t="shared" si="19"/>
        <v>0</v>
      </c>
      <c r="T24" s="63">
        <f t="shared" si="20"/>
        <v>0</v>
      </c>
      <c r="U24" s="64"/>
      <c r="V24" s="65"/>
      <c r="W24" s="66"/>
      <c r="X24" s="67"/>
      <c r="Y24" s="68"/>
      <c r="Z24" s="68"/>
      <c r="AA24" s="62">
        <f t="shared" si="34"/>
        <v>0</v>
      </c>
      <c r="AB24" s="62">
        <f t="shared" si="35"/>
        <v>0</v>
      </c>
      <c r="AC24" s="69"/>
      <c r="AD24" s="70"/>
      <c r="AE24" s="70"/>
      <c r="AF24" s="62">
        <f t="shared" si="23"/>
        <v>0</v>
      </c>
      <c r="AG24" s="63">
        <f t="shared" si="24"/>
        <v>0</v>
      </c>
      <c r="AH24" s="66"/>
      <c r="AI24" s="66"/>
      <c r="AJ24" s="66"/>
      <c r="AK24" s="62">
        <f t="shared" si="25"/>
        <v>0</v>
      </c>
      <c r="AL24" s="72">
        <f t="shared" si="26"/>
        <v>0</v>
      </c>
      <c r="AM24" s="73">
        <f t="shared" si="27"/>
        <v>0</v>
      </c>
      <c r="AN24" s="74">
        <f t="shared" si="28"/>
        <v>0</v>
      </c>
      <c r="AO24" s="74">
        <f t="shared" si="29"/>
        <v>0</v>
      </c>
      <c r="AP24" s="75" t="e">
        <f t="shared" si="30"/>
        <v>#DIV/0!</v>
      </c>
      <c r="AQ24" s="76">
        <f t="shared" si="31"/>
        <v>0</v>
      </c>
      <c r="AR24" s="77">
        <f t="shared" si="33"/>
        <v>0</v>
      </c>
      <c r="AT24" s="77"/>
      <c r="AU24" s="77"/>
      <c r="AV24" s="77"/>
    </row>
    <row r="25" spans="1:48" x14ac:dyDescent="0.25">
      <c r="A25" t="str">
        <f t="shared" si="15"/>
        <v>46214E</v>
      </c>
      <c r="B25" s="51">
        <f t="shared" si="32"/>
        <v>46214</v>
      </c>
      <c r="C25" s="52" t="s">
        <v>88</v>
      </c>
      <c r="D25" s="91"/>
      <c r="E25" s="62"/>
      <c r="F25" s="62"/>
      <c r="G25" s="62">
        <f t="shared" si="16"/>
        <v>0</v>
      </c>
      <c r="H25" s="63">
        <f t="shared" si="17"/>
        <v>0</v>
      </c>
      <c r="I25" s="202"/>
      <c r="J25" s="203"/>
      <c r="K25" s="120"/>
      <c r="L25" s="121"/>
      <c r="M25" s="58"/>
      <c r="N25" s="58"/>
      <c r="O25" s="59"/>
      <c r="P25" s="56"/>
      <c r="Q25" s="60"/>
      <c r="R25" s="61">
        <f t="shared" si="18"/>
        <v>0</v>
      </c>
      <c r="S25" s="62">
        <f t="shared" si="19"/>
        <v>0</v>
      </c>
      <c r="T25" s="63">
        <f t="shared" si="20"/>
        <v>0</v>
      </c>
      <c r="U25" s="64"/>
      <c r="V25" s="65"/>
      <c r="W25" s="66"/>
      <c r="X25" s="67"/>
      <c r="Y25" s="68"/>
      <c r="Z25" s="68"/>
      <c r="AA25" s="62">
        <f t="shared" si="34"/>
        <v>0</v>
      </c>
      <c r="AB25" s="62">
        <f t="shared" si="35"/>
        <v>0</v>
      </c>
      <c r="AC25" s="69"/>
      <c r="AD25" s="70"/>
      <c r="AE25" s="70"/>
      <c r="AF25" s="62">
        <f t="shared" si="23"/>
        <v>0</v>
      </c>
      <c r="AG25" s="63">
        <f t="shared" si="24"/>
        <v>0</v>
      </c>
      <c r="AH25" s="66"/>
      <c r="AI25" s="66"/>
      <c r="AJ25" s="66"/>
      <c r="AK25" s="62">
        <f t="shared" si="25"/>
        <v>0</v>
      </c>
      <c r="AL25" s="72">
        <f t="shared" si="26"/>
        <v>0</v>
      </c>
      <c r="AM25" s="73">
        <f t="shared" si="27"/>
        <v>0</v>
      </c>
      <c r="AN25" s="74">
        <f t="shared" si="28"/>
        <v>0</v>
      </c>
      <c r="AO25" s="74">
        <f t="shared" si="29"/>
        <v>0</v>
      </c>
      <c r="AP25" s="75" t="e">
        <f t="shared" si="30"/>
        <v>#DIV/0!</v>
      </c>
      <c r="AQ25" s="76">
        <f t="shared" si="31"/>
        <v>0</v>
      </c>
      <c r="AR25" s="77">
        <f t="shared" si="33"/>
        <v>0</v>
      </c>
    </row>
    <row r="26" spans="1:48" x14ac:dyDescent="0.25">
      <c r="A26" t="str">
        <f t="shared" si="15"/>
        <v>46215M</v>
      </c>
      <c r="B26" s="51">
        <f t="shared" si="32"/>
        <v>46215</v>
      </c>
      <c r="C26" s="52" t="s">
        <v>87</v>
      </c>
      <c r="D26" s="91"/>
      <c r="E26" s="62"/>
      <c r="F26" s="62"/>
      <c r="G26" s="62">
        <f t="shared" si="16"/>
        <v>0</v>
      </c>
      <c r="H26" s="63">
        <f t="shared" si="17"/>
        <v>0</v>
      </c>
      <c r="I26" s="202"/>
      <c r="J26" s="203"/>
      <c r="K26" s="120"/>
      <c r="L26" s="121"/>
      <c r="M26" s="58"/>
      <c r="N26" s="58"/>
      <c r="O26" s="59"/>
      <c r="P26" s="56"/>
      <c r="Q26" s="60"/>
      <c r="R26" s="61">
        <f t="shared" si="18"/>
        <v>0</v>
      </c>
      <c r="S26" s="62">
        <f t="shared" si="19"/>
        <v>0</v>
      </c>
      <c r="T26" s="63">
        <f t="shared" si="20"/>
        <v>0</v>
      </c>
      <c r="U26" s="64"/>
      <c r="V26" s="65"/>
      <c r="W26" s="66"/>
      <c r="X26" s="67"/>
      <c r="Y26" s="68"/>
      <c r="Z26" s="68"/>
      <c r="AA26" s="62">
        <f t="shared" si="34"/>
        <v>0</v>
      </c>
      <c r="AB26" s="62">
        <f t="shared" si="35"/>
        <v>0</v>
      </c>
      <c r="AC26" s="69"/>
      <c r="AD26" s="70"/>
      <c r="AE26" s="70"/>
      <c r="AF26" s="62">
        <f t="shared" si="23"/>
        <v>0</v>
      </c>
      <c r="AG26" s="63">
        <f t="shared" si="24"/>
        <v>0</v>
      </c>
      <c r="AH26" s="66"/>
      <c r="AI26" s="66"/>
      <c r="AJ26" s="66"/>
      <c r="AK26" s="62">
        <f t="shared" si="25"/>
        <v>0</v>
      </c>
      <c r="AL26" s="72">
        <f t="shared" si="26"/>
        <v>0</v>
      </c>
      <c r="AM26" s="73">
        <f t="shared" si="27"/>
        <v>0</v>
      </c>
      <c r="AN26" s="74">
        <f t="shared" si="28"/>
        <v>0</v>
      </c>
      <c r="AO26" s="74">
        <f t="shared" si="29"/>
        <v>0</v>
      </c>
      <c r="AP26" s="75" t="e">
        <f t="shared" si="30"/>
        <v>#DIV/0!</v>
      </c>
      <c r="AQ26" s="76">
        <f t="shared" si="31"/>
        <v>0</v>
      </c>
      <c r="AR26" s="77">
        <f t="shared" si="33"/>
        <v>0</v>
      </c>
    </row>
    <row r="27" spans="1:48" x14ac:dyDescent="0.25">
      <c r="A27" t="str">
        <f t="shared" si="15"/>
        <v>46215E</v>
      </c>
      <c r="B27" s="51">
        <f t="shared" si="32"/>
        <v>46215</v>
      </c>
      <c r="C27" s="52" t="s">
        <v>88</v>
      </c>
      <c r="D27" s="91"/>
      <c r="E27" s="62"/>
      <c r="F27" s="62"/>
      <c r="G27" s="62">
        <f t="shared" si="16"/>
        <v>0</v>
      </c>
      <c r="H27" s="63">
        <f t="shared" si="17"/>
        <v>0</v>
      </c>
      <c r="I27" s="202"/>
      <c r="J27" s="203"/>
      <c r="K27" s="120"/>
      <c r="L27" s="121"/>
      <c r="M27" s="58"/>
      <c r="N27" s="58"/>
      <c r="O27" s="59"/>
      <c r="P27" s="56"/>
      <c r="Q27" s="60"/>
      <c r="R27" s="61">
        <f t="shared" si="18"/>
        <v>0</v>
      </c>
      <c r="S27" s="62">
        <f t="shared" si="19"/>
        <v>0</v>
      </c>
      <c r="T27" s="63">
        <f t="shared" si="20"/>
        <v>0</v>
      </c>
      <c r="U27" s="64"/>
      <c r="V27" s="65"/>
      <c r="W27" s="66"/>
      <c r="X27" s="67"/>
      <c r="Y27" s="68"/>
      <c r="Z27" s="68"/>
      <c r="AA27" s="62">
        <f t="shared" si="34"/>
        <v>0</v>
      </c>
      <c r="AB27" s="62">
        <f t="shared" si="35"/>
        <v>0</v>
      </c>
      <c r="AC27" s="69"/>
      <c r="AD27" s="70"/>
      <c r="AE27" s="70"/>
      <c r="AF27" s="62">
        <f t="shared" si="23"/>
        <v>0</v>
      </c>
      <c r="AG27" s="63">
        <f t="shared" si="24"/>
        <v>0</v>
      </c>
      <c r="AH27" s="66"/>
      <c r="AI27" s="66"/>
      <c r="AJ27" s="66"/>
      <c r="AK27" s="62">
        <f t="shared" si="25"/>
        <v>0</v>
      </c>
      <c r="AL27" s="72">
        <f t="shared" si="26"/>
        <v>0</v>
      </c>
      <c r="AM27" s="73">
        <f t="shared" si="27"/>
        <v>0</v>
      </c>
      <c r="AN27" s="74">
        <f t="shared" si="28"/>
        <v>0</v>
      </c>
      <c r="AO27" s="74">
        <f t="shared" si="29"/>
        <v>0</v>
      </c>
      <c r="AP27" s="75" t="e">
        <f t="shared" si="30"/>
        <v>#DIV/0!</v>
      </c>
      <c r="AQ27" s="76">
        <f t="shared" si="31"/>
        <v>0</v>
      </c>
      <c r="AR27" s="77">
        <f t="shared" si="33"/>
        <v>0</v>
      </c>
    </row>
    <row r="28" spans="1:48" x14ac:dyDescent="0.25">
      <c r="A28" t="str">
        <f t="shared" si="15"/>
        <v>46216M</v>
      </c>
      <c r="B28" s="51">
        <f t="shared" si="32"/>
        <v>46216</v>
      </c>
      <c r="C28" s="52" t="s">
        <v>87</v>
      </c>
      <c r="D28" s="91"/>
      <c r="E28" s="62"/>
      <c r="F28" s="62"/>
      <c r="G28" s="62">
        <f t="shared" si="16"/>
        <v>0</v>
      </c>
      <c r="H28" s="63">
        <f t="shared" si="17"/>
        <v>0</v>
      </c>
      <c r="I28" s="202"/>
      <c r="J28" s="203"/>
      <c r="K28" s="120"/>
      <c r="L28" s="121"/>
      <c r="M28" s="58"/>
      <c r="N28" s="58"/>
      <c r="O28" s="59"/>
      <c r="P28" s="56"/>
      <c r="Q28" s="60"/>
      <c r="R28" s="61">
        <f t="shared" si="18"/>
        <v>0</v>
      </c>
      <c r="S28" s="62">
        <f t="shared" si="19"/>
        <v>0</v>
      </c>
      <c r="T28" s="63">
        <f t="shared" si="20"/>
        <v>0</v>
      </c>
      <c r="U28" s="64"/>
      <c r="V28" s="65"/>
      <c r="W28" s="66"/>
      <c r="X28" s="67"/>
      <c r="Y28" s="68"/>
      <c r="Z28" s="68"/>
      <c r="AA28" s="62">
        <f t="shared" si="34"/>
        <v>0</v>
      </c>
      <c r="AB28" s="62">
        <f t="shared" si="35"/>
        <v>0</v>
      </c>
      <c r="AC28" s="69"/>
      <c r="AD28" s="70"/>
      <c r="AE28" s="70"/>
      <c r="AF28" s="62">
        <f t="shared" si="23"/>
        <v>0</v>
      </c>
      <c r="AG28" s="63">
        <f t="shared" si="24"/>
        <v>0</v>
      </c>
      <c r="AH28" s="66"/>
      <c r="AI28" s="66"/>
      <c r="AJ28" s="66"/>
      <c r="AK28" s="62">
        <f t="shared" si="25"/>
        <v>0</v>
      </c>
      <c r="AL28" s="72">
        <f t="shared" si="26"/>
        <v>0</v>
      </c>
      <c r="AM28" s="73">
        <f t="shared" si="27"/>
        <v>0</v>
      </c>
      <c r="AN28" s="74">
        <f t="shared" si="28"/>
        <v>0</v>
      </c>
      <c r="AO28" s="74">
        <f t="shared" si="29"/>
        <v>0</v>
      </c>
      <c r="AP28" s="75" t="e">
        <f t="shared" si="30"/>
        <v>#DIV/0!</v>
      </c>
      <c r="AQ28" s="76">
        <f t="shared" si="31"/>
        <v>0</v>
      </c>
      <c r="AR28" s="77">
        <f t="shared" si="33"/>
        <v>0</v>
      </c>
    </row>
    <row r="29" spans="1:48" x14ac:dyDescent="0.25">
      <c r="A29" t="str">
        <f t="shared" si="15"/>
        <v>46216E</v>
      </c>
      <c r="B29" s="51">
        <f t="shared" si="32"/>
        <v>46216</v>
      </c>
      <c r="C29" s="52" t="s">
        <v>88</v>
      </c>
      <c r="D29" s="91"/>
      <c r="E29" s="62"/>
      <c r="F29" s="62"/>
      <c r="G29" s="62">
        <f t="shared" si="16"/>
        <v>0</v>
      </c>
      <c r="H29" s="63">
        <f t="shared" si="17"/>
        <v>0</v>
      </c>
      <c r="I29" s="202"/>
      <c r="J29" s="203"/>
      <c r="K29" s="120"/>
      <c r="L29" s="121"/>
      <c r="M29" s="58"/>
      <c r="N29" s="58"/>
      <c r="O29" s="59"/>
      <c r="P29" s="56"/>
      <c r="Q29" s="60"/>
      <c r="R29" s="61">
        <f t="shared" si="18"/>
        <v>0</v>
      </c>
      <c r="S29" s="62">
        <f t="shared" si="19"/>
        <v>0</v>
      </c>
      <c r="T29" s="63">
        <f t="shared" si="20"/>
        <v>0</v>
      </c>
      <c r="U29" s="64"/>
      <c r="V29" s="65"/>
      <c r="W29" s="66"/>
      <c r="X29" s="67"/>
      <c r="Y29" s="68"/>
      <c r="Z29" s="68"/>
      <c r="AA29" s="62">
        <f t="shared" si="34"/>
        <v>0</v>
      </c>
      <c r="AB29" s="62">
        <f t="shared" si="35"/>
        <v>0</v>
      </c>
      <c r="AC29" s="69"/>
      <c r="AD29" s="70"/>
      <c r="AE29" s="70"/>
      <c r="AF29" s="62">
        <f t="shared" si="23"/>
        <v>0</v>
      </c>
      <c r="AG29" s="63">
        <f t="shared" si="24"/>
        <v>0</v>
      </c>
      <c r="AH29" s="66"/>
      <c r="AI29" s="66"/>
      <c r="AJ29" s="66"/>
      <c r="AK29" s="62">
        <f t="shared" si="25"/>
        <v>0</v>
      </c>
      <c r="AL29" s="72">
        <f t="shared" si="26"/>
        <v>0</v>
      </c>
      <c r="AM29" s="73">
        <f t="shared" si="27"/>
        <v>0</v>
      </c>
      <c r="AN29" s="74">
        <f t="shared" si="28"/>
        <v>0</v>
      </c>
      <c r="AO29" s="74">
        <f t="shared" si="29"/>
        <v>0</v>
      </c>
      <c r="AP29" s="75" t="e">
        <f t="shared" si="30"/>
        <v>#DIV/0!</v>
      </c>
      <c r="AQ29" s="76">
        <f t="shared" si="31"/>
        <v>0</v>
      </c>
      <c r="AR29" s="77">
        <f t="shared" si="33"/>
        <v>0</v>
      </c>
    </row>
    <row r="30" spans="1:48" x14ac:dyDescent="0.25">
      <c r="A30" t="str">
        <f t="shared" si="15"/>
        <v>46217M</v>
      </c>
      <c r="B30" s="51">
        <f t="shared" si="32"/>
        <v>46217</v>
      </c>
      <c r="C30" s="52" t="s">
        <v>87</v>
      </c>
      <c r="D30" s="91"/>
      <c r="E30" s="62"/>
      <c r="F30" s="62"/>
      <c r="G30" s="62">
        <f t="shared" si="16"/>
        <v>0</v>
      </c>
      <c r="H30" s="63">
        <f t="shared" si="17"/>
        <v>0</v>
      </c>
      <c r="I30" s="202"/>
      <c r="J30" s="203"/>
      <c r="K30" s="120"/>
      <c r="L30" s="121"/>
      <c r="M30" s="58"/>
      <c r="N30" s="58"/>
      <c r="O30" s="59"/>
      <c r="P30" s="56"/>
      <c r="Q30" s="60"/>
      <c r="R30" s="61">
        <f t="shared" si="18"/>
        <v>0</v>
      </c>
      <c r="S30" s="62">
        <f t="shared" si="19"/>
        <v>0</v>
      </c>
      <c r="T30" s="63">
        <f t="shared" si="20"/>
        <v>0</v>
      </c>
      <c r="U30" s="64"/>
      <c r="V30" s="65"/>
      <c r="W30" s="66"/>
      <c r="X30" s="67"/>
      <c r="Y30" s="68"/>
      <c r="Z30" s="68"/>
      <c r="AA30" s="62">
        <f t="shared" si="34"/>
        <v>0</v>
      </c>
      <c r="AB30" s="62">
        <f t="shared" si="35"/>
        <v>0</v>
      </c>
      <c r="AC30" s="69"/>
      <c r="AD30" s="70"/>
      <c r="AE30" s="70"/>
      <c r="AF30" s="62">
        <f t="shared" si="23"/>
        <v>0</v>
      </c>
      <c r="AG30" s="63">
        <f t="shared" si="24"/>
        <v>0</v>
      </c>
      <c r="AH30" s="66"/>
      <c r="AI30" s="66"/>
      <c r="AJ30" s="66"/>
      <c r="AK30" s="62">
        <f t="shared" si="25"/>
        <v>0</v>
      </c>
      <c r="AL30" s="72">
        <f t="shared" si="26"/>
        <v>0</v>
      </c>
      <c r="AM30" s="73">
        <f t="shared" si="27"/>
        <v>0</v>
      </c>
      <c r="AN30" s="74">
        <f t="shared" si="28"/>
        <v>0</v>
      </c>
      <c r="AO30" s="74">
        <f t="shared" si="29"/>
        <v>0</v>
      </c>
      <c r="AP30" s="75" t="e">
        <f t="shared" si="30"/>
        <v>#DIV/0!</v>
      </c>
      <c r="AQ30" s="76">
        <f t="shared" si="31"/>
        <v>0</v>
      </c>
      <c r="AR30" s="77">
        <f t="shared" si="33"/>
        <v>0</v>
      </c>
    </row>
    <row r="31" spans="1:48" x14ac:dyDescent="0.25">
      <c r="A31" t="str">
        <f t="shared" si="15"/>
        <v>46217E</v>
      </c>
      <c r="B31" s="51">
        <f t="shared" si="32"/>
        <v>46217</v>
      </c>
      <c r="C31" s="52" t="s">
        <v>88</v>
      </c>
      <c r="D31" s="91"/>
      <c r="E31" s="62"/>
      <c r="F31" s="62"/>
      <c r="G31" s="62">
        <f t="shared" si="16"/>
        <v>0</v>
      </c>
      <c r="H31" s="63">
        <f t="shared" si="17"/>
        <v>0</v>
      </c>
      <c r="I31" s="202"/>
      <c r="J31" s="203"/>
      <c r="K31" s="120"/>
      <c r="L31" s="121"/>
      <c r="M31" s="58"/>
      <c r="N31" s="58"/>
      <c r="O31" s="59"/>
      <c r="P31" s="56"/>
      <c r="Q31" s="60"/>
      <c r="R31" s="61">
        <f t="shared" si="18"/>
        <v>0</v>
      </c>
      <c r="S31" s="62">
        <f t="shared" si="19"/>
        <v>0</v>
      </c>
      <c r="T31" s="63">
        <f t="shared" si="20"/>
        <v>0</v>
      </c>
      <c r="U31" s="64"/>
      <c r="V31" s="85"/>
      <c r="W31" s="66"/>
      <c r="X31" s="67"/>
      <c r="Y31" s="68"/>
      <c r="Z31" s="68"/>
      <c r="AA31" s="62">
        <f t="shared" si="34"/>
        <v>0</v>
      </c>
      <c r="AB31" s="62">
        <f t="shared" si="35"/>
        <v>0</v>
      </c>
      <c r="AC31" s="69"/>
      <c r="AD31" s="70"/>
      <c r="AE31" s="70"/>
      <c r="AF31" s="62">
        <f t="shared" si="23"/>
        <v>0</v>
      </c>
      <c r="AG31" s="63">
        <f t="shared" si="24"/>
        <v>0</v>
      </c>
      <c r="AH31" s="66"/>
      <c r="AI31" s="66"/>
      <c r="AJ31" s="66"/>
      <c r="AK31" s="62">
        <f t="shared" si="25"/>
        <v>0</v>
      </c>
      <c r="AL31" s="72">
        <f t="shared" si="26"/>
        <v>0</v>
      </c>
      <c r="AM31" s="73">
        <f t="shared" si="27"/>
        <v>0</v>
      </c>
      <c r="AN31" s="74">
        <f t="shared" si="28"/>
        <v>0</v>
      </c>
      <c r="AO31" s="74">
        <f t="shared" si="29"/>
        <v>0</v>
      </c>
      <c r="AP31" s="75" t="e">
        <f t="shared" si="30"/>
        <v>#DIV/0!</v>
      </c>
      <c r="AQ31" s="76">
        <f t="shared" si="31"/>
        <v>0</v>
      </c>
      <c r="AR31" s="77">
        <f t="shared" si="33"/>
        <v>0</v>
      </c>
    </row>
    <row r="32" spans="1:48" x14ac:dyDescent="0.25">
      <c r="A32" t="str">
        <f t="shared" si="15"/>
        <v>46218M</v>
      </c>
      <c r="B32" s="51">
        <f t="shared" si="32"/>
        <v>46218</v>
      </c>
      <c r="C32" s="52" t="s">
        <v>87</v>
      </c>
      <c r="D32" s="91"/>
      <c r="E32" s="62"/>
      <c r="F32" s="62"/>
      <c r="G32" s="62">
        <f t="shared" si="16"/>
        <v>0</v>
      </c>
      <c r="H32" s="63">
        <f t="shared" si="17"/>
        <v>0</v>
      </c>
      <c r="I32" s="202"/>
      <c r="J32" s="203"/>
      <c r="K32" s="120"/>
      <c r="L32" s="121"/>
      <c r="M32" s="58"/>
      <c r="N32" s="58"/>
      <c r="O32" s="59"/>
      <c r="P32" s="56"/>
      <c r="Q32" s="60"/>
      <c r="R32" s="61">
        <f t="shared" si="18"/>
        <v>0</v>
      </c>
      <c r="S32" s="62">
        <f t="shared" si="19"/>
        <v>0</v>
      </c>
      <c r="T32" s="63">
        <f t="shared" si="20"/>
        <v>0</v>
      </c>
      <c r="U32" s="64"/>
      <c r="V32" s="65"/>
      <c r="W32" s="66"/>
      <c r="X32" s="67"/>
      <c r="Y32" s="68"/>
      <c r="Z32" s="68"/>
      <c r="AA32" s="62">
        <f t="shared" si="34"/>
        <v>0</v>
      </c>
      <c r="AB32" s="62">
        <f t="shared" si="35"/>
        <v>0</v>
      </c>
      <c r="AC32" s="69"/>
      <c r="AD32" s="70"/>
      <c r="AE32" s="70"/>
      <c r="AF32" s="62">
        <f t="shared" si="23"/>
        <v>0</v>
      </c>
      <c r="AG32" s="63">
        <f t="shared" si="24"/>
        <v>0</v>
      </c>
      <c r="AH32" s="66"/>
      <c r="AI32" s="66"/>
      <c r="AJ32" s="66"/>
      <c r="AK32" s="62">
        <f t="shared" si="25"/>
        <v>0</v>
      </c>
      <c r="AL32" s="72">
        <f t="shared" si="26"/>
        <v>0</v>
      </c>
      <c r="AM32" s="73">
        <f t="shared" si="27"/>
        <v>0</v>
      </c>
      <c r="AN32" s="74">
        <f t="shared" si="28"/>
        <v>0</v>
      </c>
      <c r="AO32" s="74">
        <f t="shared" si="29"/>
        <v>0</v>
      </c>
      <c r="AP32" s="75" t="e">
        <f t="shared" si="30"/>
        <v>#DIV/0!</v>
      </c>
      <c r="AQ32" s="76">
        <f t="shared" si="31"/>
        <v>0</v>
      </c>
      <c r="AR32" s="77">
        <f t="shared" si="33"/>
        <v>0</v>
      </c>
    </row>
    <row r="33" spans="1:44" x14ac:dyDescent="0.25">
      <c r="A33" t="str">
        <f t="shared" si="15"/>
        <v>46218E</v>
      </c>
      <c r="B33" s="51">
        <f t="shared" si="32"/>
        <v>46218</v>
      </c>
      <c r="C33" s="52" t="s">
        <v>88</v>
      </c>
      <c r="D33" s="91"/>
      <c r="E33" s="62"/>
      <c r="F33" s="62"/>
      <c r="G33" s="62">
        <f t="shared" si="16"/>
        <v>0</v>
      </c>
      <c r="H33" s="63">
        <f t="shared" si="17"/>
        <v>0</v>
      </c>
      <c r="I33" s="202"/>
      <c r="J33" s="203"/>
      <c r="K33" s="120"/>
      <c r="L33" s="121"/>
      <c r="M33" s="58"/>
      <c r="N33" s="58"/>
      <c r="O33" s="59"/>
      <c r="P33" s="56"/>
      <c r="Q33" s="60"/>
      <c r="R33" s="61">
        <f t="shared" si="18"/>
        <v>0</v>
      </c>
      <c r="S33" s="62">
        <f t="shared" si="19"/>
        <v>0</v>
      </c>
      <c r="T33" s="63">
        <f t="shared" si="20"/>
        <v>0</v>
      </c>
      <c r="U33" s="64"/>
      <c r="V33" s="65"/>
      <c r="W33" s="66"/>
      <c r="X33" s="67"/>
      <c r="Y33" s="68"/>
      <c r="Z33" s="68"/>
      <c r="AA33" s="62">
        <f t="shared" si="34"/>
        <v>0</v>
      </c>
      <c r="AB33" s="62">
        <f t="shared" si="35"/>
        <v>0</v>
      </c>
      <c r="AC33" s="69"/>
      <c r="AD33" s="70"/>
      <c r="AE33" s="70"/>
      <c r="AF33" s="62">
        <f t="shared" si="23"/>
        <v>0</v>
      </c>
      <c r="AG33" s="63">
        <f t="shared" si="24"/>
        <v>0</v>
      </c>
      <c r="AH33" s="66"/>
      <c r="AI33" s="66"/>
      <c r="AJ33" s="66"/>
      <c r="AK33" s="62">
        <f t="shared" si="25"/>
        <v>0</v>
      </c>
      <c r="AL33" s="72">
        <f t="shared" si="26"/>
        <v>0</v>
      </c>
      <c r="AM33" s="73">
        <f t="shared" si="27"/>
        <v>0</v>
      </c>
      <c r="AN33" s="74">
        <f t="shared" si="28"/>
        <v>0</v>
      </c>
      <c r="AO33" s="74">
        <f t="shared" si="29"/>
        <v>0</v>
      </c>
      <c r="AP33" s="75" t="e">
        <f t="shared" si="30"/>
        <v>#DIV/0!</v>
      </c>
      <c r="AQ33" s="76">
        <f t="shared" si="31"/>
        <v>0</v>
      </c>
      <c r="AR33" s="77">
        <f t="shared" si="33"/>
        <v>0</v>
      </c>
    </row>
    <row r="34" spans="1:44" x14ac:dyDescent="0.25">
      <c r="A34" t="str">
        <f t="shared" si="15"/>
        <v>46219M</v>
      </c>
      <c r="B34" s="51">
        <f t="shared" si="32"/>
        <v>46219</v>
      </c>
      <c r="C34" s="52" t="s">
        <v>87</v>
      </c>
      <c r="D34" s="91"/>
      <c r="E34" s="62"/>
      <c r="F34" s="62"/>
      <c r="G34" s="62">
        <f t="shared" si="16"/>
        <v>0</v>
      </c>
      <c r="H34" s="63">
        <f t="shared" si="17"/>
        <v>0</v>
      </c>
      <c r="I34" s="202"/>
      <c r="J34" s="203"/>
      <c r="K34" s="120"/>
      <c r="L34" s="121"/>
      <c r="M34" s="58"/>
      <c r="N34" s="58"/>
      <c r="O34" s="59"/>
      <c r="P34" s="56"/>
      <c r="Q34" s="60"/>
      <c r="R34" s="61">
        <f t="shared" si="18"/>
        <v>0</v>
      </c>
      <c r="S34" s="62">
        <f t="shared" si="19"/>
        <v>0</v>
      </c>
      <c r="T34" s="63">
        <f t="shared" si="20"/>
        <v>0</v>
      </c>
      <c r="U34" s="64"/>
      <c r="V34" s="65"/>
      <c r="W34" s="66"/>
      <c r="X34" s="67"/>
      <c r="Y34" s="68"/>
      <c r="Z34" s="68"/>
      <c r="AA34" s="62">
        <f t="shared" si="34"/>
        <v>0</v>
      </c>
      <c r="AB34" s="62">
        <f t="shared" si="35"/>
        <v>0</v>
      </c>
      <c r="AC34" s="69"/>
      <c r="AD34" s="70"/>
      <c r="AE34" s="70"/>
      <c r="AF34" s="62">
        <f t="shared" si="23"/>
        <v>0</v>
      </c>
      <c r="AG34" s="63">
        <f t="shared" si="24"/>
        <v>0</v>
      </c>
      <c r="AH34" s="66"/>
      <c r="AI34" s="66"/>
      <c r="AJ34" s="66"/>
      <c r="AK34" s="62">
        <f t="shared" si="25"/>
        <v>0</v>
      </c>
      <c r="AL34" s="72">
        <f t="shared" si="26"/>
        <v>0</v>
      </c>
      <c r="AM34" s="73">
        <f t="shared" si="27"/>
        <v>0</v>
      </c>
      <c r="AN34" s="74">
        <f t="shared" si="28"/>
        <v>0</v>
      </c>
      <c r="AO34" s="74">
        <f t="shared" si="29"/>
        <v>0</v>
      </c>
      <c r="AP34" s="75" t="e">
        <f t="shared" si="30"/>
        <v>#DIV/0!</v>
      </c>
      <c r="AQ34" s="76">
        <f t="shared" si="31"/>
        <v>0</v>
      </c>
      <c r="AR34" s="77">
        <f t="shared" si="33"/>
        <v>0</v>
      </c>
    </row>
    <row r="35" spans="1:44" x14ac:dyDescent="0.25">
      <c r="A35" t="str">
        <f t="shared" si="15"/>
        <v>46219E</v>
      </c>
      <c r="B35" s="51">
        <f t="shared" si="32"/>
        <v>46219</v>
      </c>
      <c r="C35" s="52" t="s">
        <v>88</v>
      </c>
      <c r="D35" s="91"/>
      <c r="E35" s="62"/>
      <c r="F35" s="62"/>
      <c r="G35" s="62">
        <f t="shared" si="16"/>
        <v>0</v>
      </c>
      <c r="H35" s="63">
        <f t="shared" si="17"/>
        <v>0</v>
      </c>
      <c r="I35" s="202"/>
      <c r="J35" s="203"/>
      <c r="K35" s="120"/>
      <c r="L35" s="121"/>
      <c r="M35" s="58"/>
      <c r="N35" s="58"/>
      <c r="O35" s="59"/>
      <c r="P35" s="56"/>
      <c r="Q35" s="60"/>
      <c r="R35" s="61">
        <f t="shared" si="18"/>
        <v>0</v>
      </c>
      <c r="S35" s="62">
        <f t="shared" si="19"/>
        <v>0</v>
      </c>
      <c r="T35" s="63">
        <f t="shared" si="20"/>
        <v>0</v>
      </c>
      <c r="U35" s="64"/>
      <c r="V35" s="65"/>
      <c r="W35" s="66"/>
      <c r="X35" s="67"/>
      <c r="Y35" s="68"/>
      <c r="Z35" s="68"/>
      <c r="AA35" s="62">
        <f t="shared" si="34"/>
        <v>0</v>
      </c>
      <c r="AB35" s="62">
        <f t="shared" si="35"/>
        <v>0</v>
      </c>
      <c r="AC35" s="69"/>
      <c r="AD35" s="70"/>
      <c r="AE35" s="70"/>
      <c r="AF35" s="62">
        <f t="shared" si="23"/>
        <v>0</v>
      </c>
      <c r="AG35" s="63">
        <f t="shared" si="24"/>
        <v>0</v>
      </c>
      <c r="AH35" s="66"/>
      <c r="AI35" s="66"/>
      <c r="AJ35" s="66"/>
      <c r="AK35" s="62">
        <f t="shared" si="25"/>
        <v>0</v>
      </c>
      <c r="AL35" s="72">
        <f t="shared" si="26"/>
        <v>0</v>
      </c>
      <c r="AM35" s="73">
        <f t="shared" si="27"/>
        <v>0</v>
      </c>
      <c r="AN35" s="74">
        <f t="shared" si="28"/>
        <v>0</v>
      </c>
      <c r="AO35" s="74">
        <f t="shared" si="29"/>
        <v>0</v>
      </c>
      <c r="AP35" s="75" t="e">
        <f t="shared" si="30"/>
        <v>#DIV/0!</v>
      </c>
      <c r="AQ35" s="76">
        <f t="shared" si="31"/>
        <v>0</v>
      </c>
      <c r="AR35" s="77">
        <f t="shared" si="33"/>
        <v>0</v>
      </c>
    </row>
    <row r="36" spans="1:44" x14ac:dyDescent="0.25">
      <c r="A36" t="str">
        <f t="shared" si="15"/>
        <v>46220M</v>
      </c>
      <c r="B36" s="51">
        <f t="shared" si="32"/>
        <v>46220</v>
      </c>
      <c r="C36" s="52" t="s">
        <v>87</v>
      </c>
      <c r="D36" s="91"/>
      <c r="E36" s="62"/>
      <c r="F36" s="62"/>
      <c r="G36" s="62">
        <f t="shared" si="16"/>
        <v>0</v>
      </c>
      <c r="H36" s="63">
        <f t="shared" si="17"/>
        <v>0</v>
      </c>
      <c r="I36" s="202"/>
      <c r="J36" s="203"/>
      <c r="K36" s="120"/>
      <c r="L36" s="121"/>
      <c r="M36" s="58"/>
      <c r="N36" s="58"/>
      <c r="O36" s="59"/>
      <c r="P36" s="56"/>
      <c r="Q36" s="60"/>
      <c r="R36" s="61">
        <f t="shared" si="18"/>
        <v>0</v>
      </c>
      <c r="S36" s="62">
        <f t="shared" si="19"/>
        <v>0</v>
      </c>
      <c r="T36" s="63">
        <f t="shared" si="20"/>
        <v>0</v>
      </c>
      <c r="U36" s="64"/>
      <c r="V36" s="85"/>
      <c r="W36" s="66"/>
      <c r="X36" s="67"/>
      <c r="Y36" s="68"/>
      <c r="Z36" s="68"/>
      <c r="AA36" s="62">
        <f t="shared" si="34"/>
        <v>0</v>
      </c>
      <c r="AB36" s="62">
        <f t="shared" si="35"/>
        <v>0</v>
      </c>
      <c r="AC36" s="69"/>
      <c r="AD36" s="70"/>
      <c r="AE36" s="70"/>
      <c r="AF36" s="62">
        <f t="shared" si="23"/>
        <v>0</v>
      </c>
      <c r="AG36" s="63">
        <f t="shared" si="24"/>
        <v>0</v>
      </c>
      <c r="AH36" s="66"/>
      <c r="AI36" s="66"/>
      <c r="AJ36" s="66"/>
      <c r="AK36" s="62">
        <f t="shared" si="25"/>
        <v>0</v>
      </c>
      <c r="AL36" s="72">
        <f t="shared" si="26"/>
        <v>0</v>
      </c>
      <c r="AM36" s="73">
        <f t="shared" si="27"/>
        <v>0</v>
      </c>
      <c r="AN36" s="74">
        <f t="shared" si="28"/>
        <v>0</v>
      </c>
      <c r="AO36" s="74">
        <f t="shared" si="29"/>
        <v>0</v>
      </c>
      <c r="AP36" s="75" t="e">
        <f t="shared" si="30"/>
        <v>#DIV/0!</v>
      </c>
      <c r="AQ36" s="76">
        <f t="shared" si="31"/>
        <v>0</v>
      </c>
      <c r="AR36" s="77">
        <f t="shared" si="33"/>
        <v>0</v>
      </c>
    </row>
    <row r="37" spans="1:44" x14ac:dyDescent="0.25">
      <c r="A37" t="str">
        <f t="shared" si="15"/>
        <v>46220E</v>
      </c>
      <c r="B37" s="51">
        <f t="shared" si="32"/>
        <v>46220</v>
      </c>
      <c r="C37" s="52" t="s">
        <v>88</v>
      </c>
      <c r="D37" s="91"/>
      <c r="E37" s="62"/>
      <c r="F37" s="62"/>
      <c r="G37" s="62">
        <f t="shared" si="16"/>
        <v>0</v>
      </c>
      <c r="H37" s="63">
        <f t="shared" si="17"/>
        <v>0</v>
      </c>
      <c r="I37" s="202"/>
      <c r="J37" s="203"/>
      <c r="K37" s="120"/>
      <c r="L37" s="121"/>
      <c r="M37" s="58"/>
      <c r="N37" s="58"/>
      <c r="O37" s="59"/>
      <c r="P37" s="56"/>
      <c r="Q37" s="60"/>
      <c r="R37" s="61">
        <f t="shared" si="18"/>
        <v>0</v>
      </c>
      <c r="S37" s="62">
        <f t="shared" si="19"/>
        <v>0</v>
      </c>
      <c r="T37" s="63">
        <f t="shared" si="20"/>
        <v>0</v>
      </c>
      <c r="U37" s="64"/>
      <c r="V37" s="65"/>
      <c r="W37" s="66"/>
      <c r="X37" s="67"/>
      <c r="Y37" s="68"/>
      <c r="Z37" s="68"/>
      <c r="AA37" s="62">
        <f t="shared" si="34"/>
        <v>0</v>
      </c>
      <c r="AB37" s="62">
        <f t="shared" si="35"/>
        <v>0</v>
      </c>
      <c r="AC37" s="69"/>
      <c r="AD37" s="70"/>
      <c r="AE37" s="70"/>
      <c r="AF37" s="62">
        <f t="shared" ref="AF37:AF50" si="36">AC37*AD37%</f>
        <v>0</v>
      </c>
      <c r="AG37" s="63">
        <f t="shared" ref="AG37:AG50" si="37">AC37*AE37%</f>
        <v>0</v>
      </c>
      <c r="AH37" s="66"/>
      <c r="AI37" s="66"/>
      <c r="AJ37" s="66"/>
      <c r="AK37" s="62">
        <f t="shared" si="25"/>
        <v>0</v>
      </c>
      <c r="AL37" s="72">
        <f t="shared" si="26"/>
        <v>0</v>
      </c>
      <c r="AM37" s="73">
        <f t="shared" si="27"/>
        <v>0</v>
      </c>
      <c r="AN37" s="74">
        <f t="shared" si="28"/>
        <v>0</v>
      </c>
      <c r="AO37" s="74">
        <f t="shared" si="29"/>
        <v>0</v>
      </c>
      <c r="AP37" s="75" t="e">
        <f t="shared" si="30"/>
        <v>#DIV/0!</v>
      </c>
      <c r="AQ37" s="76">
        <f t="shared" si="31"/>
        <v>0</v>
      </c>
      <c r="AR37" s="77">
        <f t="shared" si="33"/>
        <v>0</v>
      </c>
    </row>
    <row r="38" spans="1:44" x14ac:dyDescent="0.25">
      <c r="A38" t="str">
        <f t="shared" si="15"/>
        <v>46221M</v>
      </c>
      <c r="B38" s="51">
        <f t="shared" si="32"/>
        <v>46221</v>
      </c>
      <c r="C38" s="52" t="s">
        <v>87</v>
      </c>
      <c r="D38" s="91"/>
      <c r="E38" s="62"/>
      <c r="F38" s="62"/>
      <c r="G38" s="62">
        <f t="shared" si="16"/>
        <v>0</v>
      </c>
      <c r="H38" s="63">
        <f t="shared" si="17"/>
        <v>0</v>
      </c>
      <c r="I38" s="202"/>
      <c r="J38" s="203"/>
      <c r="K38" s="120"/>
      <c r="L38" s="121"/>
      <c r="M38" s="58"/>
      <c r="N38" s="58"/>
      <c r="O38" s="59"/>
      <c r="P38" s="56"/>
      <c r="Q38" s="60"/>
      <c r="R38" s="61">
        <f t="shared" si="18"/>
        <v>0</v>
      </c>
      <c r="S38" s="62">
        <f t="shared" si="19"/>
        <v>0</v>
      </c>
      <c r="T38" s="63">
        <f t="shared" si="20"/>
        <v>0</v>
      </c>
      <c r="U38" s="64"/>
      <c r="V38" s="65"/>
      <c r="W38" s="66"/>
      <c r="X38" s="67"/>
      <c r="Y38" s="68"/>
      <c r="Z38" s="68"/>
      <c r="AA38" s="62">
        <f t="shared" si="34"/>
        <v>0</v>
      </c>
      <c r="AB38" s="62">
        <f t="shared" si="35"/>
        <v>0</v>
      </c>
      <c r="AC38" s="69"/>
      <c r="AD38" s="70"/>
      <c r="AE38" s="70"/>
      <c r="AF38" s="62">
        <f t="shared" si="36"/>
        <v>0</v>
      </c>
      <c r="AG38" s="63">
        <f t="shared" si="37"/>
        <v>0</v>
      </c>
      <c r="AH38" s="66"/>
      <c r="AI38" s="66"/>
      <c r="AJ38" s="66"/>
      <c r="AK38" s="62">
        <f t="shared" si="25"/>
        <v>0</v>
      </c>
      <c r="AL38" s="72">
        <f t="shared" si="26"/>
        <v>0</v>
      </c>
      <c r="AM38" s="73">
        <f t="shared" si="27"/>
        <v>0</v>
      </c>
      <c r="AN38" s="74">
        <f t="shared" si="28"/>
        <v>0</v>
      </c>
      <c r="AO38" s="74">
        <f t="shared" si="29"/>
        <v>0</v>
      </c>
      <c r="AP38" s="75" t="e">
        <f t="shared" si="30"/>
        <v>#DIV/0!</v>
      </c>
      <c r="AQ38" s="76">
        <f t="shared" si="31"/>
        <v>0</v>
      </c>
      <c r="AR38" s="77">
        <f t="shared" si="33"/>
        <v>0</v>
      </c>
    </row>
    <row r="39" spans="1:44" x14ac:dyDescent="0.25">
      <c r="A39" t="str">
        <f t="shared" si="15"/>
        <v>46221E</v>
      </c>
      <c r="B39" s="51">
        <f t="shared" si="32"/>
        <v>46221</v>
      </c>
      <c r="C39" s="52" t="s">
        <v>88</v>
      </c>
      <c r="D39" s="91"/>
      <c r="E39" s="62"/>
      <c r="F39" s="62"/>
      <c r="G39" s="62">
        <f t="shared" si="16"/>
        <v>0</v>
      </c>
      <c r="H39" s="63">
        <f t="shared" si="17"/>
        <v>0</v>
      </c>
      <c r="I39" s="202"/>
      <c r="J39" s="203"/>
      <c r="K39" s="120"/>
      <c r="L39" s="121"/>
      <c r="M39" s="58"/>
      <c r="N39" s="58"/>
      <c r="O39" s="59"/>
      <c r="P39" s="56"/>
      <c r="Q39" s="60"/>
      <c r="R39" s="61">
        <f t="shared" si="18"/>
        <v>0</v>
      </c>
      <c r="S39" s="62">
        <f t="shared" si="19"/>
        <v>0</v>
      </c>
      <c r="T39" s="63">
        <f t="shared" si="20"/>
        <v>0</v>
      </c>
      <c r="U39" s="64"/>
      <c r="V39" s="65"/>
      <c r="W39" s="66"/>
      <c r="X39" s="67"/>
      <c r="Y39" s="68"/>
      <c r="Z39" s="68"/>
      <c r="AA39" s="62">
        <f t="shared" si="34"/>
        <v>0</v>
      </c>
      <c r="AB39" s="62">
        <f t="shared" si="35"/>
        <v>0</v>
      </c>
      <c r="AC39" s="69"/>
      <c r="AD39" s="70"/>
      <c r="AE39" s="70"/>
      <c r="AF39" s="62">
        <f t="shared" si="36"/>
        <v>0</v>
      </c>
      <c r="AG39" s="63">
        <f t="shared" si="37"/>
        <v>0</v>
      </c>
      <c r="AH39" s="66"/>
      <c r="AI39" s="66"/>
      <c r="AJ39" s="66"/>
      <c r="AK39" s="62">
        <f t="shared" si="25"/>
        <v>0</v>
      </c>
      <c r="AL39" s="72">
        <f t="shared" si="26"/>
        <v>0</v>
      </c>
      <c r="AM39" s="73">
        <f t="shared" si="27"/>
        <v>0</v>
      </c>
      <c r="AN39" s="74">
        <f t="shared" si="28"/>
        <v>0</v>
      </c>
      <c r="AO39" s="74">
        <f t="shared" si="29"/>
        <v>0</v>
      </c>
      <c r="AP39" s="75" t="e">
        <f t="shared" si="30"/>
        <v>#DIV/0!</v>
      </c>
      <c r="AQ39" s="76">
        <f t="shared" si="31"/>
        <v>0</v>
      </c>
      <c r="AR39" s="77">
        <f t="shared" si="33"/>
        <v>0</v>
      </c>
    </row>
    <row r="40" spans="1:44" x14ac:dyDescent="0.25">
      <c r="A40" t="str">
        <f t="shared" si="15"/>
        <v>46222M</v>
      </c>
      <c r="B40" s="51">
        <f t="shared" si="32"/>
        <v>46222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2"/>
      <c r="J40" s="203"/>
      <c r="K40" s="120"/>
      <c r="L40" s="121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34"/>
        <v>0</v>
      </c>
      <c r="AB40" s="62">
        <f t="shared" si="35"/>
        <v>0</v>
      </c>
      <c r="AC40" s="69"/>
      <c r="AD40" s="70"/>
      <c r="AE40" s="70"/>
      <c r="AF40" s="62">
        <f t="shared" si="36"/>
        <v>0</v>
      </c>
      <c r="AG40" s="63">
        <f t="shared" si="37"/>
        <v>0</v>
      </c>
      <c r="AH40" s="66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77">
        <f t="shared" si="33"/>
        <v>0</v>
      </c>
    </row>
    <row r="41" spans="1:44" x14ac:dyDescent="0.25">
      <c r="A41" t="str">
        <f t="shared" si="15"/>
        <v>46222E</v>
      </c>
      <c r="B41" s="51">
        <f t="shared" si="32"/>
        <v>46222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2"/>
      <c r="J41" s="203"/>
      <c r="K41" s="120"/>
      <c r="L41" s="121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34"/>
        <v>0</v>
      </c>
      <c r="AB41" s="62">
        <f t="shared" si="35"/>
        <v>0</v>
      </c>
      <c r="AC41" s="69"/>
      <c r="AD41" s="70"/>
      <c r="AE41" s="70"/>
      <c r="AF41" s="62">
        <f t="shared" si="36"/>
        <v>0</v>
      </c>
      <c r="AG41" s="63">
        <f t="shared" si="37"/>
        <v>0</v>
      </c>
      <c r="AH41" s="66"/>
      <c r="AI41" s="66"/>
      <c r="AJ41" s="66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77">
        <f t="shared" si="33"/>
        <v>0</v>
      </c>
    </row>
    <row r="42" spans="1:44" x14ac:dyDescent="0.25">
      <c r="A42" t="str">
        <f t="shared" si="15"/>
        <v>46223M</v>
      </c>
      <c r="B42" s="51">
        <f t="shared" si="32"/>
        <v>46223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2"/>
      <c r="J42" s="203"/>
      <c r="K42" s="120"/>
      <c r="L42" s="121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34"/>
        <v>0</v>
      </c>
      <c r="AB42" s="62">
        <f t="shared" si="35"/>
        <v>0</v>
      </c>
      <c r="AC42" s="69"/>
      <c r="AD42" s="70"/>
      <c r="AE42" s="70"/>
      <c r="AF42" s="62">
        <f t="shared" si="36"/>
        <v>0</v>
      </c>
      <c r="AG42" s="63">
        <f>AC42*AE42%</f>
        <v>0</v>
      </c>
      <c r="AH42" s="66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77">
        <f t="shared" si="33"/>
        <v>0</v>
      </c>
    </row>
    <row r="43" spans="1:44" x14ac:dyDescent="0.25">
      <c r="A43" t="str">
        <f t="shared" si="15"/>
        <v>46223E</v>
      </c>
      <c r="B43" s="51">
        <f t="shared" si="32"/>
        <v>46223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2"/>
      <c r="J43" s="203"/>
      <c r="K43" s="120"/>
      <c r="L43" s="121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34"/>
        <v>0</v>
      </c>
      <c r="AB43" s="62">
        <f t="shared" si="35"/>
        <v>0</v>
      </c>
      <c r="AC43" s="69"/>
      <c r="AD43" s="70"/>
      <c r="AE43" s="70"/>
      <c r="AF43" s="62">
        <f t="shared" si="36"/>
        <v>0</v>
      </c>
      <c r="AG43" s="63">
        <f t="shared" si="37"/>
        <v>0</v>
      </c>
      <c r="AH43" s="66"/>
      <c r="AI43" s="66"/>
      <c r="AJ43" s="66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77">
        <f t="shared" si="33"/>
        <v>0</v>
      </c>
    </row>
    <row r="44" spans="1:44" x14ac:dyDescent="0.25">
      <c r="A44" t="str">
        <f t="shared" si="15"/>
        <v>46224M</v>
      </c>
      <c r="B44" s="51">
        <f t="shared" si="32"/>
        <v>46224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2"/>
      <c r="J44" s="203"/>
      <c r="K44" s="120"/>
      <c r="L44" s="121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34"/>
        <v>0</v>
      </c>
      <c r="AB44" s="62">
        <f t="shared" si="35"/>
        <v>0</v>
      </c>
      <c r="AC44" s="69"/>
      <c r="AD44" s="70"/>
      <c r="AE44" s="70"/>
      <c r="AF44" s="62">
        <f t="shared" si="36"/>
        <v>0</v>
      </c>
      <c r="AG44" s="63">
        <f t="shared" si="37"/>
        <v>0</v>
      </c>
      <c r="AH44" s="66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77">
        <f t="shared" si="33"/>
        <v>0</v>
      </c>
    </row>
    <row r="45" spans="1:44" x14ac:dyDescent="0.25">
      <c r="A45" t="str">
        <f t="shared" si="15"/>
        <v>46224E</v>
      </c>
      <c r="B45" s="51">
        <f t="shared" si="32"/>
        <v>46224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2"/>
      <c r="J45" s="203"/>
      <c r="K45" s="120"/>
      <c r="L45" s="121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34"/>
        <v>0</v>
      </c>
      <c r="AB45" s="62">
        <f t="shared" si="35"/>
        <v>0</v>
      </c>
      <c r="AC45" s="69"/>
      <c r="AD45" s="70"/>
      <c r="AE45" s="70"/>
      <c r="AF45" s="62">
        <f t="shared" si="36"/>
        <v>0</v>
      </c>
      <c r="AG45" s="63">
        <f t="shared" si="37"/>
        <v>0</v>
      </c>
      <c r="AH45" s="66"/>
      <c r="AI45" s="66"/>
      <c r="AJ45" s="66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77">
        <f t="shared" si="33"/>
        <v>0</v>
      </c>
    </row>
    <row r="46" spans="1:44" x14ac:dyDescent="0.25">
      <c r="A46" t="str">
        <f t="shared" si="15"/>
        <v>46225M</v>
      </c>
      <c r="B46" s="51">
        <f t="shared" si="32"/>
        <v>46225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2"/>
      <c r="J46" s="203"/>
      <c r="K46" s="120"/>
      <c r="L46" s="121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34"/>
        <v>0</v>
      </c>
      <c r="AB46" s="62">
        <f t="shared" si="35"/>
        <v>0</v>
      </c>
      <c r="AC46" s="69"/>
      <c r="AD46" s="70"/>
      <c r="AE46" s="70"/>
      <c r="AF46" s="62">
        <f t="shared" si="36"/>
        <v>0</v>
      </c>
      <c r="AG46" s="63">
        <f t="shared" si="37"/>
        <v>0</v>
      </c>
      <c r="AH46" s="66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77">
        <f t="shared" si="33"/>
        <v>0</v>
      </c>
    </row>
    <row r="47" spans="1:44" x14ac:dyDescent="0.25">
      <c r="A47" t="str">
        <f t="shared" si="15"/>
        <v>46225E</v>
      </c>
      <c r="B47" s="51">
        <f t="shared" si="32"/>
        <v>46225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2"/>
      <c r="J47" s="203"/>
      <c r="K47" s="120"/>
      <c r="L47" s="121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34"/>
        <v>0</v>
      </c>
      <c r="AB47" s="62">
        <f t="shared" si="35"/>
        <v>0</v>
      </c>
      <c r="AC47" s="69"/>
      <c r="AD47" s="70"/>
      <c r="AE47" s="70"/>
      <c r="AF47" s="62">
        <f t="shared" si="36"/>
        <v>0</v>
      </c>
      <c r="AG47" s="63">
        <f t="shared" si="37"/>
        <v>0</v>
      </c>
      <c r="AH47" s="66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77">
        <f t="shared" si="33"/>
        <v>0</v>
      </c>
    </row>
    <row r="48" spans="1:44" x14ac:dyDescent="0.25">
      <c r="A48" t="str">
        <f t="shared" si="15"/>
        <v>46226M</v>
      </c>
      <c r="B48" s="51">
        <f t="shared" si="32"/>
        <v>46226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2"/>
      <c r="J48" s="203"/>
      <c r="K48" s="120"/>
      <c r="L48" s="121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34"/>
        <v>0</v>
      </c>
      <c r="AB48" s="62">
        <f t="shared" si="35"/>
        <v>0</v>
      </c>
      <c r="AC48" s="69"/>
      <c r="AD48" s="70"/>
      <c r="AE48" s="70"/>
      <c r="AF48" s="62">
        <f t="shared" si="36"/>
        <v>0</v>
      </c>
      <c r="AG48" s="63">
        <f t="shared" si="37"/>
        <v>0</v>
      </c>
      <c r="AH48" s="66"/>
      <c r="AI48" s="66"/>
      <c r="AJ48" s="66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77">
        <f t="shared" si="33"/>
        <v>0</v>
      </c>
    </row>
    <row r="49" spans="1:44" x14ac:dyDescent="0.25">
      <c r="A49" t="str">
        <f t="shared" si="15"/>
        <v>46226E</v>
      </c>
      <c r="B49" s="51">
        <f t="shared" si="32"/>
        <v>46226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2"/>
      <c r="J49" s="203"/>
      <c r="K49" s="120"/>
      <c r="L49" s="121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34"/>
        <v>0</v>
      </c>
      <c r="AB49" s="62">
        <f t="shared" si="35"/>
        <v>0</v>
      </c>
      <c r="AC49" s="69"/>
      <c r="AD49" s="70"/>
      <c r="AE49" s="70"/>
      <c r="AF49" s="62">
        <f t="shared" si="36"/>
        <v>0</v>
      </c>
      <c r="AG49" s="63">
        <f t="shared" si="37"/>
        <v>0</v>
      </c>
      <c r="AH49" s="66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77">
        <f t="shared" si="33"/>
        <v>0</v>
      </c>
    </row>
    <row r="50" spans="1:44" x14ac:dyDescent="0.25">
      <c r="A50" t="str">
        <f t="shared" si="15"/>
        <v>46227M</v>
      </c>
      <c r="B50" s="51">
        <f t="shared" si="32"/>
        <v>46227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2"/>
      <c r="J50" s="203"/>
      <c r="K50" s="120"/>
      <c r="L50" s="121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34"/>
        <v>0</v>
      </c>
      <c r="AB50" s="62">
        <f t="shared" si="35"/>
        <v>0</v>
      </c>
      <c r="AC50" s="69"/>
      <c r="AD50" s="70"/>
      <c r="AE50" s="70"/>
      <c r="AF50" s="62">
        <f t="shared" si="36"/>
        <v>0</v>
      </c>
      <c r="AG50" s="63">
        <f t="shared" si="37"/>
        <v>0</v>
      </c>
      <c r="AH50" s="66"/>
      <c r="AI50" s="66"/>
      <c r="AJ50" s="66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77">
        <f t="shared" si="33"/>
        <v>0</v>
      </c>
    </row>
    <row r="51" spans="1:44" x14ac:dyDescent="0.25">
      <c r="A51" t="str">
        <f t="shared" si="15"/>
        <v>46227E</v>
      </c>
      <c r="B51" s="51">
        <f t="shared" si="32"/>
        <v>46227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2"/>
      <c r="J51" s="203"/>
      <c r="K51" s="120"/>
      <c r="L51" s="121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34"/>
        <v>0</v>
      </c>
      <c r="AB51" s="62">
        <f t="shared" si="35"/>
        <v>0</v>
      </c>
      <c r="AC51" s="69"/>
      <c r="AD51" s="70"/>
      <c r="AE51" s="70"/>
      <c r="AF51" s="62">
        <f t="shared" ref="AF51:AF63" si="38">AC51*AD51%</f>
        <v>0</v>
      </c>
      <c r="AG51" s="63">
        <f t="shared" ref="AG51:AG63" si="39">AC51*AE51%</f>
        <v>0</v>
      </c>
      <c r="AH51" s="66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77">
        <f t="shared" si="33"/>
        <v>0</v>
      </c>
    </row>
    <row r="52" spans="1:44" x14ac:dyDescent="0.25">
      <c r="A52" t="str">
        <f t="shared" si="15"/>
        <v>46228M</v>
      </c>
      <c r="B52" s="51">
        <f t="shared" si="32"/>
        <v>46228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34"/>
        <v>0</v>
      </c>
      <c r="AB52" s="62">
        <f t="shared" si="35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66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77">
        <f t="shared" si="33"/>
        <v>0</v>
      </c>
    </row>
    <row r="53" spans="1:44" x14ac:dyDescent="0.25">
      <c r="A53" t="str">
        <f t="shared" si="15"/>
        <v>46228E</v>
      </c>
      <c r="B53" s="51">
        <f t="shared" si="32"/>
        <v>46228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34"/>
        <v>0</v>
      </c>
      <c r="AB53" s="62">
        <f t="shared" si="35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66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77">
        <f t="shared" si="33"/>
        <v>0</v>
      </c>
    </row>
    <row r="54" spans="1:44" x14ac:dyDescent="0.25">
      <c r="A54" t="str">
        <f t="shared" si="15"/>
        <v>46229M</v>
      </c>
      <c r="B54" s="51">
        <f t="shared" si="32"/>
        <v>46229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34"/>
        <v>0</v>
      </c>
      <c r="AB54" s="62">
        <f t="shared" si="35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66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77">
        <f t="shared" si="33"/>
        <v>0</v>
      </c>
    </row>
    <row r="55" spans="1:44" x14ac:dyDescent="0.25">
      <c r="A55" t="str">
        <f t="shared" si="15"/>
        <v>46229E</v>
      </c>
      <c r="B55" s="51">
        <f t="shared" si="32"/>
        <v>46229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34"/>
        <v>0</v>
      </c>
      <c r="AB55" s="62">
        <f t="shared" si="35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66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77">
        <f t="shared" si="33"/>
        <v>0</v>
      </c>
    </row>
    <row r="56" spans="1:44" x14ac:dyDescent="0.25">
      <c r="A56" t="str">
        <f t="shared" si="15"/>
        <v>46230M</v>
      </c>
      <c r="B56" s="51">
        <f t="shared" si="32"/>
        <v>46230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34"/>
        <v>0</v>
      </c>
      <c r="AB56" s="62">
        <f t="shared" si="35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66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77">
        <f t="shared" si="33"/>
        <v>0</v>
      </c>
    </row>
    <row r="57" spans="1:44" x14ac:dyDescent="0.25">
      <c r="A57" t="str">
        <f t="shared" si="15"/>
        <v>46230E</v>
      </c>
      <c r="B57" s="51">
        <f t="shared" si="32"/>
        <v>46230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34"/>
        <v>0</v>
      </c>
      <c r="AB57" s="62">
        <f t="shared" si="35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66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77">
        <f t="shared" si="33"/>
        <v>0</v>
      </c>
    </row>
    <row r="58" spans="1:44" x14ac:dyDescent="0.25">
      <c r="A58" t="str">
        <f t="shared" si="15"/>
        <v>46231M</v>
      </c>
      <c r="B58" s="51">
        <f t="shared" si="32"/>
        <v>46231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34"/>
        <v>0</v>
      </c>
      <c r="AB58" s="62">
        <f t="shared" si="35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66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77">
        <f t="shared" si="33"/>
        <v>0</v>
      </c>
    </row>
    <row r="59" spans="1:44" x14ac:dyDescent="0.25">
      <c r="A59" t="str">
        <f t="shared" si="15"/>
        <v>46231E</v>
      </c>
      <c r="B59" s="51">
        <f t="shared" si="32"/>
        <v>46231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34"/>
        <v>0</v>
      </c>
      <c r="AB59" s="62">
        <f t="shared" si="35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66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77">
        <f t="shared" si="33"/>
        <v>0</v>
      </c>
    </row>
    <row r="60" spans="1:44" x14ac:dyDescent="0.25">
      <c r="A60" t="str">
        <f t="shared" si="15"/>
        <v>46232M</v>
      </c>
      <c r="B60" s="51">
        <f t="shared" si="32"/>
        <v>46232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34"/>
        <v>0</v>
      </c>
      <c r="AB60" s="62">
        <f t="shared" si="35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66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77">
        <f t="shared" si="33"/>
        <v>0</v>
      </c>
    </row>
    <row r="61" spans="1:44" x14ac:dyDescent="0.25">
      <c r="A61" t="str">
        <f t="shared" si="15"/>
        <v>46232E</v>
      </c>
      <c r="B61" s="51">
        <f t="shared" si="32"/>
        <v>46232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34"/>
        <v>0</v>
      </c>
      <c r="AB61" s="62">
        <f t="shared" si="35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66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77">
        <f t="shared" si="33"/>
        <v>0</v>
      </c>
    </row>
    <row r="62" spans="1:44" x14ac:dyDescent="0.25">
      <c r="A62" t="str">
        <f t="shared" si="15"/>
        <v>46233M</v>
      </c>
      <c r="B62" s="51">
        <f t="shared" si="32"/>
        <v>46233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34"/>
        <v>0</v>
      </c>
      <c r="AB62" s="62">
        <f t="shared" si="35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66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77">
        <f t="shared" si="33"/>
        <v>0</v>
      </c>
    </row>
    <row r="63" spans="1:44" x14ac:dyDescent="0.25">
      <c r="A63" t="str">
        <f t="shared" si="15"/>
        <v>46233E</v>
      </c>
      <c r="B63" s="51">
        <f t="shared" si="32"/>
        <v>46233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34"/>
        <v>0</v>
      </c>
      <c r="AB63" s="62">
        <f t="shared" si="35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66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77">
        <f t="shared" si="33"/>
        <v>0</v>
      </c>
    </row>
    <row r="64" spans="1:44" x14ac:dyDescent="0.25">
      <c r="A64" t="str">
        <f t="shared" si="15"/>
        <v>46234M</v>
      </c>
      <c r="B64" s="51">
        <f t="shared" si="32"/>
        <v>46234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34"/>
        <v>0</v>
      </c>
      <c r="AB64" s="62">
        <f t="shared" si="35"/>
        <v>0</v>
      </c>
      <c r="AC64" s="69"/>
      <c r="AD64" s="70"/>
      <c r="AE64" s="70"/>
      <c r="AF64" s="62">
        <f t="shared" ref="AF64:AF65" si="40">AC64*AD64%</f>
        <v>0</v>
      </c>
      <c r="AG64" s="63">
        <f t="shared" ref="AG64:AG65" si="41">AC64*AE64%</f>
        <v>0</v>
      </c>
      <c r="AH64" s="66"/>
      <c r="AI64" s="66"/>
      <c r="AJ64" s="66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77">
        <f t="shared" si="33"/>
        <v>0</v>
      </c>
    </row>
    <row r="65" spans="1:44" ht="15.75" thickBot="1" x14ac:dyDescent="0.3">
      <c r="A65" t="str">
        <f t="shared" si="15"/>
        <v>46234E</v>
      </c>
      <c r="B65" s="51">
        <f t="shared" si="32"/>
        <v>46234</v>
      </c>
      <c r="C65" s="9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34"/>
        <v>0</v>
      </c>
      <c r="AB65" s="62">
        <f t="shared" si="35"/>
        <v>0</v>
      </c>
      <c r="AC65" s="69"/>
      <c r="AD65" s="70"/>
      <c r="AE65" s="70"/>
      <c r="AF65" s="62">
        <f t="shared" si="40"/>
        <v>0</v>
      </c>
      <c r="AG65" s="63">
        <f t="shared" si="41"/>
        <v>0</v>
      </c>
      <c r="AH65" s="66"/>
      <c r="AI65" s="66"/>
      <c r="AJ65" s="66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77">
        <f t="shared" si="33"/>
        <v>0</v>
      </c>
    </row>
    <row r="66" spans="1:44" ht="15.75" thickBot="1" x14ac:dyDescent="0.3">
      <c r="J66" s="83">
        <f>SUM(J4:J65)</f>
        <v>77497.66350000001</v>
      </c>
      <c r="R66" s="83">
        <f>+J66+O66</f>
        <v>77497.66350000001</v>
      </c>
      <c r="S66">
        <f>+J66*K66%+O66*P66%</f>
        <v>0</v>
      </c>
      <c r="T66">
        <f>+J66*L66%+O66*Q66%</f>
        <v>0</v>
      </c>
      <c r="X66" s="77"/>
      <c r="Y66" s="77"/>
      <c r="Z66" s="77"/>
      <c r="AA66" s="77">
        <f t="shared" ref="AA66:AG66" si="42">AA64-AA65</f>
        <v>0</v>
      </c>
      <c r="AB66" s="77">
        <f t="shared" si="42"/>
        <v>0</v>
      </c>
      <c r="AC66" s="69"/>
      <c r="AD66" s="70"/>
      <c r="AE66" s="70"/>
      <c r="AF66" s="77">
        <f t="shared" si="42"/>
        <v>0</v>
      </c>
      <c r="AG66" s="77">
        <f t="shared" si="42"/>
        <v>0</v>
      </c>
      <c r="AJ66" t="s">
        <v>91</v>
      </c>
      <c r="AM66" s="93">
        <f>-SUM(AM4:AM65)</f>
        <v>43.336499999993521</v>
      </c>
      <c r="AN66" s="93">
        <f>-SUM(AN4:AN65)</f>
        <v>-31.286378800000207</v>
      </c>
      <c r="AO66" s="93">
        <f>-SUM(AO4:AO65)</f>
        <v>-4.4184238000011504</v>
      </c>
      <c r="AP66" s="94"/>
      <c r="AQ66" s="127">
        <f>-SUM(AQ4:AQ65)</f>
        <v>-16357.401866235092</v>
      </c>
    </row>
    <row r="67" spans="1:44" x14ac:dyDescent="0.25">
      <c r="AH67" s="77"/>
      <c r="AI67" s="77"/>
      <c r="AJ67" s="77"/>
    </row>
    <row r="68" spans="1:44" x14ac:dyDescent="0.25">
      <c r="AH68" s="77"/>
      <c r="AI68" s="77"/>
      <c r="AJ68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9" priority="2" operator="lessThan">
      <formula>0.1</formula>
    </cfRule>
    <cfRule type="cellIs" dxfId="88" priority="3" operator="greaterThan">
      <formula>0.1</formula>
    </cfRule>
  </conditionalFormatting>
  <conditionalFormatting sqref="AP1:AQ1">
    <cfRule type="cellIs" dxfId="87" priority="1" operator="lessThan">
      <formula>1</formula>
    </cfRule>
  </conditionalFormatting>
  <conditionalFormatting sqref="AQ4:AQ65">
    <cfRule type="cellIs" dxfId="86" priority="16" operator="lessThan">
      <formula>0</formula>
    </cfRule>
    <cfRule type="cellIs" dxfId="85" priority="17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7" sqref="AC17:AE17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90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6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3783</v>
      </c>
      <c r="E4" s="54">
        <v>4.0599999999999996</v>
      </c>
      <c r="F4" s="55">
        <v>8.0299999999999994</v>
      </c>
      <c r="G4" s="62">
        <f t="shared" ref="G4:G15" si="0">+D4*E4%</f>
        <v>153.5898</v>
      </c>
      <c r="H4" s="63">
        <f t="shared" ref="H4:H15" si="1">+D4*F4%</f>
        <v>303.7749</v>
      </c>
      <c r="I4" s="118">
        <v>2006.1000000000004</v>
      </c>
      <c r="J4" s="119">
        <v>2066.2830000000004</v>
      </c>
      <c r="K4" s="120">
        <v>3.7197447784257993</v>
      </c>
      <c r="L4" s="121">
        <v>7.8735855640297086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2066.2830000000004</v>
      </c>
      <c r="S4" s="62">
        <f t="shared" ref="S4" si="3">+J4*K4%+O4*P4%</f>
        <v>76.860453999999976</v>
      </c>
      <c r="T4" s="63">
        <f t="shared" ref="T4" si="4">+J4*L4%+O4*Q4%</f>
        <v>162.69056</v>
      </c>
      <c r="U4" s="64" t="s">
        <v>194</v>
      </c>
      <c r="V4" s="65" t="s">
        <v>227</v>
      </c>
      <c r="W4" s="66" t="s">
        <v>190</v>
      </c>
      <c r="X4" s="67">
        <v>5970</v>
      </c>
      <c r="Y4" s="68">
        <v>4.0999999999999996</v>
      </c>
      <c r="Z4" s="68">
        <v>8.0399999999999991</v>
      </c>
      <c r="AA4" s="62">
        <f>X4*Y4%</f>
        <v>244.76999999999998</v>
      </c>
      <c r="AB4" s="63">
        <f>X4*Z4%</f>
        <v>479.98799999999989</v>
      </c>
      <c r="AC4" s="69">
        <v>5970</v>
      </c>
      <c r="AD4" s="70">
        <v>4.05</v>
      </c>
      <c r="AE4" s="70">
        <v>7.97</v>
      </c>
      <c r="AF4" s="62">
        <f t="shared" ref="AF4" si="5">AC4*AD4%</f>
        <v>241.785</v>
      </c>
      <c r="AG4" s="63">
        <f t="shared" ref="AG4" si="6">AC4*AE4%</f>
        <v>475.80899999999997</v>
      </c>
      <c r="AH4" s="71">
        <v>0</v>
      </c>
      <c r="AI4" s="66">
        <v>0</v>
      </c>
      <c r="AJ4" s="66">
        <v>0</v>
      </c>
      <c r="AK4" s="62">
        <f t="shared" ref="AK4" si="7">AH4*AI4%</f>
        <v>0</v>
      </c>
      <c r="AL4" s="72">
        <f t="shared" ref="AL4" si="8">AH4*AJ4%</f>
        <v>0</v>
      </c>
      <c r="AM4" s="73">
        <f>+D4+R4-AC4-AH4</f>
        <v>-120.71699999999964</v>
      </c>
      <c r="AN4" s="74">
        <f t="shared" ref="AN4:AO4" si="9">+G4+S4-AF4-AK4</f>
        <v>-11.334746000000024</v>
      </c>
      <c r="AO4" s="74">
        <f t="shared" si="9"/>
        <v>-9.3435399999999618</v>
      </c>
      <c r="AP4" s="75">
        <f>(AN4+AO4)/(S4+T4)</f>
        <v>-8.6321012191582655E-2</v>
      </c>
      <c r="AQ4" s="76">
        <f t="shared" ref="AQ4" si="10">($AP$1*AN4+$AQ$1*AO4)</f>
        <v>-8245.021407499873</v>
      </c>
      <c r="AR4" s="77">
        <f t="shared" ref="AR4" si="11">(D4+J4+O4)-(X4+AH4)</f>
        <v>-120.71699999999964</v>
      </c>
      <c r="AT4" s="78"/>
    </row>
    <row r="5" spans="1:46" x14ac:dyDescent="0.25">
      <c r="A5" t="str">
        <f t="shared" ref="A5:A65" si="12">CONCATENATE(B5,C5)</f>
        <v>46204E</v>
      </c>
      <c r="B5" s="51">
        <f>+B4</f>
        <v>46204</v>
      </c>
      <c r="C5" s="52" t="s">
        <v>88</v>
      </c>
      <c r="D5" s="91">
        <v>0</v>
      </c>
      <c r="E5" s="62">
        <v>0</v>
      </c>
      <c r="F5" s="62">
        <v>0</v>
      </c>
      <c r="G5" s="62">
        <f t="shared" si="0"/>
        <v>0</v>
      </c>
      <c r="H5" s="63">
        <f t="shared" si="1"/>
        <v>0</v>
      </c>
      <c r="I5" s="118">
        <v>2014.1000000000001</v>
      </c>
      <c r="J5" s="119">
        <v>2074.5230000000001</v>
      </c>
      <c r="K5" s="120">
        <v>3.8439104314582204</v>
      </c>
      <c r="L5" s="121">
        <v>7.9667295566257863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2074.5230000000001</v>
      </c>
      <c r="S5" s="62">
        <f t="shared" ref="S5:S65" si="14">+J5*K5%+O5*P5%</f>
        <v>79.742806000000016</v>
      </c>
      <c r="T5" s="63">
        <f t="shared" ref="T5:T65" si="15">+J5*L5%+O5*Q5%</f>
        <v>165.27163699999997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71">
        <v>2074</v>
      </c>
      <c r="AI5" s="66">
        <v>3.82</v>
      </c>
      <c r="AJ5" s="66">
        <v>7.91</v>
      </c>
      <c r="AK5" s="62">
        <f t="shared" ref="AK5:AK65" si="20">AH5*AI5%</f>
        <v>79.226799999999997</v>
      </c>
      <c r="AL5" s="72">
        <f t="shared" ref="AL5:AL65" si="21">AH5*AJ5%</f>
        <v>164.05340000000001</v>
      </c>
      <c r="AM5" s="73">
        <f t="shared" ref="AM5:AM65" si="22">+D5+R5-AC5-AH5</f>
        <v>0.52300000000013824</v>
      </c>
      <c r="AN5" s="74">
        <f t="shared" ref="AN5:AN65" si="23">+G5+S5-AF5-AK5</f>
        <v>0.51600600000001862</v>
      </c>
      <c r="AO5" s="74">
        <f t="shared" ref="AO5:AO65" si="24">+H5+T5-AG5-AL5</f>
        <v>1.2182369999999594</v>
      </c>
      <c r="AP5" s="75">
        <f t="shared" ref="AP5:AP65" si="25">(AN5+AO5)/(S5+T5)</f>
        <v>7.0781255944164E-3</v>
      </c>
      <c r="AQ5" s="76">
        <f t="shared" ref="AQ5:AQ65" si="26">($AP$1*AN5+$AQ$1*AO5)</f>
        <v>612.80881328256385</v>
      </c>
      <c r="AR5" s="77">
        <f>(D5+J5+O5)-(X5+AH5)</f>
        <v>0.52300000000013824</v>
      </c>
    </row>
    <row r="6" spans="1:46" x14ac:dyDescent="0.25">
      <c r="A6" t="str">
        <f t="shared" si="12"/>
        <v>46205M</v>
      </c>
      <c r="B6" s="51">
        <f>+B4+1</f>
        <v>46205</v>
      </c>
      <c r="C6" s="52" t="s">
        <v>87</v>
      </c>
      <c r="D6" s="91">
        <v>2074</v>
      </c>
      <c r="E6" s="62">
        <v>3.82</v>
      </c>
      <c r="F6" s="62">
        <v>7.91</v>
      </c>
      <c r="G6" s="62">
        <f t="shared" si="0"/>
        <v>79.226799999999997</v>
      </c>
      <c r="H6" s="63">
        <f t="shared" si="1"/>
        <v>164.05340000000001</v>
      </c>
      <c r="I6" s="118">
        <v>1802.4000000000003</v>
      </c>
      <c r="J6" s="119">
        <v>1856.4720000000004</v>
      </c>
      <c r="K6" s="120">
        <v>4.1407623169107852</v>
      </c>
      <c r="L6" s="121">
        <v>7.9607523302263647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1856.4720000000004</v>
      </c>
      <c r="S6" s="62">
        <f t="shared" si="14"/>
        <v>76.872093000000007</v>
      </c>
      <c r="T6" s="63">
        <f t="shared" si="15"/>
        <v>147.78913800000004</v>
      </c>
      <c r="U6" s="64" t="s">
        <v>192</v>
      </c>
      <c r="V6" s="65" t="s">
        <v>228</v>
      </c>
      <c r="W6" s="66" t="s">
        <v>193</v>
      </c>
      <c r="X6" s="67">
        <v>3925</v>
      </c>
      <c r="Y6" s="68">
        <v>4</v>
      </c>
      <c r="Z6" s="68">
        <v>8.08</v>
      </c>
      <c r="AA6" s="62">
        <f t="shared" si="16"/>
        <v>157</v>
      </c>
      <c r="AB6" s="63">
        <f t="shared" si="17"/>
        <v>317.14</v>
      </c>
      <c r="AC6" s="69">
        <v>3925</v>
      </c>
      <c r="AD6" s="70">
        <v>3.95</v>
      </c>
      <c r="AE6" s="70">
        <v>8</v>
      </c>
      <c r="AF6" s="62">
        <f t="shared" si="18"/>
        <v>155.03749999999999</v>
      </c>
      <c r="AG6" s="63">
        <f t="shared" si="19"/>
        <v>314</v>
      </c>
      <c r="AH6" s="71">
        <v>0</v>
      </c>
      <c r="AI6" s="66">
        <v>0</v>
      </c>
      <c r="AJ6" s="66">
        <v>0</v>
      </c>
      <c r="AK6" s="62">
        <f t="shared" si="20"/>
        <v>0</v>
      </c>
      <c r="AL6" s="72">
        <f t="shared" si="21"/>
        <v>0</v>
      </c>
      <c r="AM6" s="73">
        <f t="shared" si="22"/>
        <v>5.4720000000006621</v>
      </c>
      <c r="AN6" s="74">
        <f t="shared" si="23"/>
        <v>1.0613930000000096</v>
      </c>
      <c r="AO6" s="74">
        <f t="shared" si="24"/>
        <v>-2.1574619999999527</v>
      </c>
      <c r="AP6" s="75">
        <f t="shared" si="25"/>
        <v>-4.8787634391620639E-3</v>
      </c>
      <c r="AQ6" s="76">
        <f t="shared" si="26"/>
        <v>-136.1067811223482</v>
      </c>
      <c r="AR6" s="77">
        <f t="shared" ref="AR6:AR65" si="27">(D6+J6+O6)-(X6+AH6)</f>
        <v>5.4720000000006621</v>
      </c>
    </row>
    <row r="7" spans="1:46" x14ac:dyDescent="0.25">
      <c r="A7" t="str">
        <f t="shared" si="12"/>
        <v>46205E</v>
      </c>
      <c r="B7" s="51">
        <f>+B5+1</f>
        <v>46205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0"/>
        <v>0</v>
      </c>
      <c r="H7" s="63">
        <f t="shared" si="1"/>
        <v>0</v>
      </c>
      <c r="I7" s="118">
        <v>1916.5</v>
      </c>
      <c r="J7" s="119">
        <v>1973.9950000000001</v>
      </c>
      <c r="K7" s="120">
        <v>3.8751474041220977</v>
      </c>
      <c r="L7" s="121">
        <v>7.9775267414557778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1973.9950000000001</v>
      </c>
      <c r="S7" s="62">
        <f t="shared" si="14"/>
        <v>76.495216000000013</v>
      </c>
      <c r="T7" s="63">
        <f t="shared" si="15"/>
        <v>157.475979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71">
        <v>1968</v>
      </c>
      <c r="AI7" s="66">
        <v>3.82</v>
      </c>
      <c r="AJ7" s="66">
        <v>7.89</v>
      </c>
      <c r="AK7" s="62">
        <f t="shared" si="20"/>
        <v>75.177599999999998</v>
      </c>
      <c r="AL7" s="72">
        <f t="shared" si="21"/>
        <v>155.27519999999998</v>
      </c>
      <c r="AM7" s="73">
        <f t="shared" si="22"/>
        <v>5.9950000000001182</v>
      </c>
      <c r="AN7" s="74">
        <f t="shared" si="23"/>
        <v>1.3176160000000152</v>
      </c>
      <c r="AO7" s="74">
        <f t="shared" si="24"/>
        <v>2.2007790000000114</v>
      </c>
      <c r="AP7" s="75">
        <f t="shared" si="25"/>
        <v>1.5037727186887369E-2</v>
      </c>
      <c r="AQ7" s="76">
        <f t="shared" si="26"/>
        <v>1292.2710897318348</v>
      </c>
      <c r="AR7" s="77">
        <f t="shared" si="27"/>
        <v>5.9950000000001182</v>
      </c>
    </row>
    <row r="8" spans="1:46" x14ac:dyDescent="0.25">
      <c r="A8" t="str">
        <f t="shared" si="12"/>
        <v>46206M</v>
      </c>
      <c r="B8" s="51">
        <f>+B6+1</f>
        <v>46206</v>
      </c>
      <c r="C8" s="52" t="s">
        <v>87</v>
      </c>
      <c r="D8" s="91">
        <v>1968</v>
      </c>
      <c r="E8" s="62">
        <v>3.82</v>
      </c>
      <c r="F8" s="62">
        <v>7.89</v>
      </c>
      <c r="G8" s="62">
        <f t="shared" si="0"/>
        <v>75.177599999999998</v>
      </c>
      <c r="H8" s="63">
        <f t="shared" si="1"/>
        <v>155.27519999999998</v>
      </c>
      <c r="I8" s="118">
        <v>1839.6999999999996</v>
      </c>
      <c r="J8" s="119">
        <v>1894.8909999999996</v>
      </c>
      <c r="K8" s="120">
        <v>4.1985975974343619</v>
      </c>
      <c r="L8" s="121">
        <v>7.9902810240800077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1894.8909999999996</v>
      </c>
      <c r="S8" s="62">
        <f t="shared" si="14"/>
        <v>79.558847999999941</v>
      </c>
      <c r="T8" s="63">
        <f t="shared" si="15"/>
        <v>151.40711599999986</v>
      </c>
      <c r="U8" s="64" t="s">
        <v>192</v>
      </c>
      <c r="V8" s="65" t="s">
        <v>322</v>
      </c>
      <c r="W8" s="66" t="s">
        <v>272</v>
      </c>
      <c r="X8" s="67">
        <v>3875</v>
      </c>
      <c r="Y8" s="68">
        <v>4</v>
      </c>
      <c r="Z8" s="68">
        <v>8.08</v>
      </c>
      <c r="AA8" s="62">
        <f t="shared" si="16"/>
        <v>155</v>
      </c>
      <c r="AB8" s="63">
        <f t="shared" si="17"/>
        <v>313.09999999999997</v>
      </c>
      <c r="AC8" s="69">
        <v>3870</v>
      </c>
      <c r="AD8" s="70">
        <v>3.95</v>
      </c>
      <c r="AE8" s="70">
        <v>7.95</v>
      </c>
      <c r="AF8" s="62">
        <f t="shared" si="18"/>
        <v>152.86500000000001</v>
      </c>
      <c r="AG8" s="63">
        <f t="shared" si="19"/>
        <v>307.66500000000002</v>
      </c>
      <c r="AH8" s="71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-7.1090000000003783</v>
      </c>
      <c r="AN8" s="74">
        <f t="shared" si="23"/>
        <v>1.8714479999999298</v>
      </c>
      <c r="AO8" s="74">
        <f t="shared" si="24"/>
        <v>-0.98268400000017664</v>
      </c>
      <c r="AP8" s="75">
        <f t="shared" si="25"/>
        <v>3.8480301798915874E-3</v>
      </c>
      <c r="AQ8" s="76">
        <f t="shared" si="26"/>
        <v>604.98656329825542</v>
      </c>
      <c r="AR8" s="77">
        <f t="shared" si="27"/>
        <v>-12.109000000000378</v>
      </c>
    </row>
    <row r="9" spans="1:46" x14ac:dyDescent="0.25">
      <c r="A9" t="str">
        <f t="shared" si="12"/>
        <v>46206E</v>
      </c>
      <c r="B9" s="51">
        <f t="shared" ref="B9:B65" si="28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118">
        <v>1960.7</v>
      </c>
      <c r="J9" s="119">
        <v>2019.5210000000002</v>
      </c>
      <c r="K9" s="120">
        <v>3.8319273728770349</v>
      </c>
      <c r="L9" s="121">
        <v>7.9653797113275848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2019.5210000000002</v>
      </c>
      <c r="S9" s="62">
        <f t="shared" si="14"/>
        <v>77.386578000000029</v>
      </c>
      <c r="T9" s="63">
        <f t="shared" si="15"/>
        <v>160.86251599999997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82">
        <v>2018</v>
      </c>
      <c r="AI9" s="66">
        <v>3.82</v>
      </c>
      <c r="AJ9" s="66">
        <v>7.94</v>
      </c>
      <c r="AK9" s="62">
        <f t="shared" si="20"/>
        <v>77.087599999999995</v>
      </c>
      <c r="AL9" s="72">
        <f t="shared" si="21"/>
        <v>160.22919999999999</v>
      </c>
      <c r="AM9" s="73">
        <f t="shared" si="22"/>
        <v>1.5210000000001855</v>
      </c>
      <c r="AN9" s="74">
        <f t="shared" si="23"/>
        <v>0.29897800000003372</v>
      </c>
      <c r="AO9" s="74">
        <f t="shared" si="24"/>
        <v>0.63331599999997934</v>
      </c>
      <c r="AP9" s="75">
        <f t="shared" si="25"/>
        <v>3.9131061711404156E-3</v>
      </c>
      <c r="AQ9" s="76">
        <f t="shared" si="26"/>
        <v>333.3411635625734</v>
      </c>
      <c r="AR9" s="77">
        <f t="shared" si="27"/>
        <v>1.5210000000001855</v>
      </c>
    </row>
    <row r="10" spans="1:46" x14ac:dyDescent="0.25">
      <c r="A10" t="str">
        <f t="shared" si="12"/>
        <v>46207M</v>
      </c>
      <c r="B10" s="51">
        <f t="shared" si="28"/>
        <v>46207</v>
      </c>
      <c r="C10" s="52" t="s">
        <v>87</v>
      </c>
      <c r="D10" s="91">
        <v>2018</v>
      </c>
      <c r="E10" s="62">
        <v>3.82</v>
      </c>
      <c r="F10" s="62">
        <v>7.94</v>
      </c>
      <c r="G10" s="62">
        <f t="shared" si="0"/>
        <v>77.087599999999995</v>
      </c>
      <c r="H10" s="63">
        <f t="shared" si="1"/>
        <v>160.22919999999999</v>
      </c>
      <c r="I10" s="118">
        <v>1583.7</v>
      </c>
      <c r="J10" s="119">
        <v>1631.211</v>
      </c>
      <c r="K10" s="120">
        <v>4.476371787586034</v>
      </c>
      <c r="L10" s="121">
        <v>8.045071667613815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1631.211</v>
      </c>
      <c r="S10" s="62">
        <f t="shared" si="14"/>
        <v>73.019069000000016</v>
      </c>
      <c r="T10" s="63">
        <f t="shared" si="15"/>
        <v>131.23209399999999</v>
      </c>
      <c r="U10" s="64" t="s">
        <v>192</v>
      </c>
      <c r="V10" s="65" t="s">
        <v>323</v>
      </c>
      <c r="W10" s="66" t="s">
        <v>175</v>
      </c>
      <c r="X10" s="67">
        <v>3670</v>
      </c>
      <c r="Y10" s="68">
        <v>4.2</v>
      </c>
      <c r="Z10" s="68">
        <v>8.06</v>
      </c>
      <c r="AA10" s="62">
        <f t="shared" si="16"/>
        <v>154.14000000000001</v>
      </c>
      <c r="AB10" s="63">
        <f t="shared" si="17"/>
        <v>295.80200000000002</v>
      </c>
      <c r="AC10" s="69">
        <v>3670</v>
      </c>
      <c r="AD10" s="70">
        <v>4.05</v>
      </c>
      <c r="AE10" s="70">
        <v>7.97</v>
      </c>
      <c r="AF10" s="62">
        <f t="shared" si="18"/>
        <v>148.63499999999999</v>
      </c>
      <c r="AG10" s="63">
        <f t="shared" si="19"/>
        <v>292.49899999999997</v>
      </c>
      <c r="AH10" s="71">
        <v>0</v>
      </c>
      <c r="AI10" s="66">
        <v>0</v>
      </c>
      <c r="AJ10" s="66">
        <v>0</v>
      </c>
      <c r="AK10" s="62">
        <f t="shared" si="20"/>
        <v>0</v>
      </c>
      <c r="AL10" s="72">
        <f t="shared" si="21"/>
        <v>0</v>
      </c>
      <c r="AM10" s="73">
        <f t="shared" si="22"/>
        <v>-20.78899999999976</v>
      </c>
      <c r="AN10" s="74">
        <f t="shared" si="23"/>
        <v>1.4716690000000199</v>
      </c>
      <c r="AO10" s="74">
        <f t="shared" si="24"/>
        <v>-1.0377060000000142</v>
      </c>
      <c r="AP10" s="75">
        <f t="shared" si="25"/>
        <v>2.1246537528895521E-3</v>
      </c>
      <c r="AQ10" s="76">
        <f t="shared" si="26"/>
        <v>396.40114325481187</v>
      </c>
      <c r="AR10" s="77">
        <f t="shared" si="27"/>
        <v>-20.78899999999976</v>
      </c>
    </row>
    <row r="11" spans="1:46" x14ac:dyDescent="0.25">
      <c r="A11" t="str">
        <f t="shared" si="12"/>
        <v>46207E</v>
      </c>
      <c r="B11" s="51">
        <f t="shared" si="28"/>
        <v>46207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118">
        <v>1964.7000000000003</v>
      </c>
      <c r="J11" s="119">
        <v>2023.6410000000003</v>
      </c>
      <c r="K11" s="120">
        <v>3.8261312159617247</v>
      </c>
      <c r="L11" s="121">
        <v>7.9117829694100887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2023.6410000000003</v>
      </c>
      <c r="S11" s="62">
        <f t="shared" si="14"/>
        <v>77.427160000000015</v>
      </c>
      <c r="T11" s="63">
        <f t="shared" si="15"/>
        <v>160.10608400000004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71">
        <v>2024</v>
      </c>
      <c r="AI11" s="66">
        <v>3.8</v>
      </c>
      <c r="AJ11" s="66">
        <v>7.91</v>
      </c>
      <c r="AK11" s="62">
        <f t="shared" si="20"/>
        <v>76.911999999999992</v>
      </c>
      <c r="AL11" s="72">
        <f t="shared" si="21"/>
        <v>160.0984</v>
      </c>
      <c r="AM11" s="73">
        <f t="shared" si="22"/>
        <v>-0.35899999999969623</v>
      </c>
      <c r="AN11" s="74">
        <f t="shared" si="23"/>
        <v>0.51516000000002293</v>
      </c>
      <c r="AO11" s="74">
        <f t="shared" si="24"/>
        <v>7.6840000000402142E-3</v>
      </c>
      <c r="AP11" s="75">
        <f t="shared" si="25"/>
        <v>2.2011403170162699E-3</v>
      </c>
      <c r="AQ11" s="76">
        <f t="shared" si="26"/>
        <v>249.85243620976365</v>
      </c>
      <c r="AR11" s="77">
        <f t="shared" si="27"/>
        <v>-0.35899999999969623</v>
      </c>
    </row>
    <row r="12" spans="1:46" x14ac:dyDescent="0.25">
      <c r="A12" t="str">
        <f t="shared" si="12"/>
        <v>46208M</v>
      </c>
      <c r="B12" s="51">
        <f t="shared" si="28"/>
        <v>46208</v>
      </c>
      <c r="C12" s="52" t="s">
        <v>87</v>
      </c>
      <c r="D12" s="91">
        <v>2024</v>
      </c>
      <c r="E12" s="62">
        <v>3.8</v>
      </c>
      <c r="F12" s="62">
        <v>7.91</v>
      </c>
      <c r="G12" s="62">
        <f t="shared" si="0"/>
        <v>76.911999999999992</v>
      </c>
      <c r="H12" s="63">
        <f t="shared" si="1"/>
        <v>160.0984</v>
      </c>
      <c r="I12" s="118">
        <v>953.40000000000009</v>
      </c>
      <c r="J12" s="119">
        <v>982.00200000000007</v>
      </c>
      <c r="K12" s="120">
        <v>4.6083490664988451</v>
      </c>
      <c r="L12" s="121">
        <v>8.055244388504299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982.00200000000007</v>
      </c>
      <c r="S12" s="62">
        <f t="shared" si="14"/>
        <v>45.254079999999995</v>
      </c>
      <c r="T12" s="63">
        <f t="shared" si="15"/>
        <v>79.102660999999983</v>
      </c>
      <c r="U12" s="64" t="s">
        <v>191</v>
      </c>
      <c r="V12" s="65" t="s">
        <v>324</v>
      </c>
      <c r="W12" s="66" t="s">
        <v>325</v>
      </c>
      <c r="X12" s="67">
        <v>3030</v>
      </c>
      <c r="Y12" s="68">
        <v>4.0999999999999996</v>
      </c>
      <c r="Z12" s="68">
        <v>8.1</v>
      </c>
      <c r="AA12" s="62">
        <f t="shared" si="16"/>
        <v>124.22999999999999</v>
      </c>
      <c r="AB12" s="63">
        <f t="shared" si="17"/>
        <v>245.43</v>
      </c>
      <c r="AC12" s="69">
        <v>3030</v>
      </c>
      <c r="AD12" s="70">
        <v>4.05</v>
      </c>
      <c r="AE12" s="70">
        <v>8.09</v>
      </c>
      <c r="AF12" s="62">
        <f t="shared" si="18"/>
        <v>122.715</v>
      </c>
      <c r="AG12" s="63">
        <f t="shared" si="19"/>
        <v>245.12700000000001</v>
      </c>
      <c r="AH12" s="71">
        <v>0</v>
      </c>
      <c r="AI12" s="66">
        <v>0</v>
      </c>
      <c r="AJ12" s="66">
        <v>0</v>
      </c>
      <c r="AK12" s="62">
        <f t="shared" si="20"/>
        <v>0</v>
      </c>
      <c r="AL12" s="72">
        <f t="shared" si="21"/>
        <v>0</v>
      </c>
      <c r="AM12" s="73">
        <f t="shared" si="22"/>
        <v>-23.998000000000047</v>
      </c>
      <c r="AN12" s="74">
        <f t="shared" si="23"/>
        <v>-0.54892000000000962</v>
      </c>
      <c r="AO12" s="74">
        <f t="shared" si="24"/>
        <v>-5.925939000000028</v>
      </c>
      <c r="AP12" s="75">
        <f t="shared" si="25"/>
        <v>-5.2066811561104188E-2</v>
      </c>
      <c r="AQ12" s="76">
        <f t="shared" si="26"/>
        <v>-2038.5399001465953</v>
      </c>
      <c r="AR12" s="77">
        <f t="shared" si="27"/>
        <v>-23.998000000000047</v>
      </c>
    </row>
    <row r="13" spans="1:46" x14ac:dyDescent="0.25">
      <c r="A13" t="str">
        <f t="shared" si="12"/>
        <v>46208E</v>
      </c>
      <c r="B13" s="51">
        <f t="shared" si="28"/>
        <v>46208</v>
      </c>
      <c r="C13" s="52" t="s">
        <v>88</v>
      </c>
      <c r="D13" s="91">
        <v>0</v>
      </c>
      <c r="E13" s="62">
        <v>0</v>
      </c>
      <c r="F13" s="62">
        <v>0</v>
      </c>
      <c r="G13" s="62">
        <f t="shared" si="0"/>
        <v>0</v>
      </c>
      <c r="H13" s="63">
        <f t="shared" si="1"/>
        <v>0</v>
      </c>
      <c r="I13" s="118">
        <v>1692.3999999999999</v>
      </c>
      <c r="J13" s="119">
        <v>1743.1719999999998</v>
      </c>
      <c r="K13" s="120">
        <v>3.9784329945639323</v>
      </c>
      <c r="L13" s="121">
        <v>7.9875206806901424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1743.1719999999998</v>
      </c>
      <c r="S13" s="62">
        <f t="shared" si="14"/>
        <v>69.350929999999977</v>
      </c>
      <c r="T13" s="63">
        <f t="shared" si="15"/>
        <v>139.23622399999996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71">
        <v>1744</v>
      </c>
      <c r="AI13" s="66">
        <v>3.93</v>
      </c>
      <c r="AJ13" s="66">
        <v>7.93</v>
      </c>
      <c r="AK13" s="62">
        <f t="shared" si="20"/>
        <v>68.539200000000008</v>
      </c>
      <c r="AL13" s="72">
        <f t="shared" si="21"/>
        <v>138.29919999999998</v>
      </c>
      <c r="AM13" s="73">
        <f t="shared" si="22"/>
        <v>-0.82800000000020191</v>
      </c>
      <c r="AN13" s="74">
        <f t="shared" si="23"/>
        <v>0.81172999999996875</v>
      </c>
      <c r="AO13" s="74">
        <f t="shared" si="24"/>
        <v>0.93702399999997965</v>
      </c>
      <c r="AP13" s="75">
        <f t="shared" si="25"/>
        <v>8.3838048818670255E-3</v>
      </c>
      <c r="AQ13" s="76">
        <f t="shared" si="26"/>
        <v>670.69303004356107</v>
      </c>
      <c r="AR13" s="77">
        <f t="shared" si="27"/>
        <v>-0.82800000000020191</v>
      </c>
    </row>
    <row r="14" spans="1:46" x14ac:dyDescent="0.25">
      <c r="A14" t="str">
        <f t="shared" si="12"/>
        <v>46209M</v>
      </c>
      <c r="B14" s="51">
        <f t="shared" si="28"/>
        <v>46209</v>
      </c>
      <c r="C14" s="52" t="s">
        <v>87</v>
      </c>
      <c r="D14" s="91">
        <v>1744</v>
      </c>
      <c r="E14" s="62">
        <v>3.93</v>
      </c>
      <c r="F14" s="62">
        <v>7.93</v>
      </c>
      <c r="G14" s="62">
        <f t="shared" si="0"/>
        <v>68.539200000000008</v>
      </c>
      <c r="H14" s="63">
        <f t="shared" si="1"/>
        <v>138.29919999999998</v>
      </c>
      <c r="I14" s="118">
        <v>1688.4999999999998</v>
      </c>
      <c r="J14" s="119">
        <v>1739.1549999999997</v>
      </c>
      <c r="K14" s="120">
        <v>4.4034350014806032</v>
      </c>
      <c r="L14" s="121">
        <v>8.0386615339058309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1739.1549999999997</v>
      </c>
      <c r="S14" s="62">
        <f t="shared" si="14"/>
        <v>76.582559999999972</v>
      </c>
      <c r="T14" s="63">
        <f t="shared" si="15"/>
        <v>139.80478399999993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71">
        <v>3483</v>
      </c>
      <c r="AI14" s="66">
        <v>4.13</v>
      </c>
      <c r="AJ14" s="66">
        <v>7.96</v>
      </c>
      <c r="AK14" s="62">
        <f t="shared" si="20"/>
        <v>143.84789999999998</v>
      </c>
      <c r="AL14" s="72">
        <f t="shared" si="21"/>
        <v>277.24680000000001</v>
      </c>
      <c r="AM14" s="73">
        <f t="shared" si="22"/>
        <v>0.15499999999974534</v>
      </c>
      <c r="AN14" s="74">
        <f t="shared" si="23"/>
        <v>1.2738600000000133</v>
      </c>
      <c r="AO14" s="74">
        <f t="shared" si="24"/>
        <v>0.85718399999990424</v>
      </c>
      <c r="AP14" s="75">
        <f t="shared" si="25"/>
        <v>9.8482839181200845E-3</v>
      </c>
      <c r="AQ14" s="76">
        <f t="shared" si="26"/>
        <v>868.85016649972499</v>
      </c>
      <c r="AR14" s="77">
        <f t="shared" si="27"/>
        <v>0.15499999999974534</v>
      </c>
    </row>
    <row r="15" spans="1:46" x14ac:dyDescent="0.25">
      <c r="A15" t="str">
        <f t="shared" si="12"/>
        <v>46209E</v>
      </c>
      <c r="B15" s="51">
        <f t="shared" si="28"/>
        <v>46209</v>
      </c>
      <c r="C15" s="52" t="s">
        <v>88</v>
      </c>
      <c r="D15" s="91">
        <v>3483</v>
      </c>
      <c r="E15" s="62">
        <v>4.13</v>
      </c>
      <c r="F15" s="62">
        <v>7.96</v>
      </c>
      <c r="G15" s="62">
        <f t="shared" si="0"/>
        <v>143.84789999999998</v>
      </c>
      <c r="H15" s="63">
        <f t="shared" si="1"/>
        <v>277.24680000000001</v>
      </c>
      <c r="I15" s="118">
        <v>3163.0000000000009</v>
      </c>
      <c r="J15" s="119">
        <v>3257.8900000000012</v>
      </c>
      <c r="K15" s="120">
        <v>3.8687669933607309</v>
      </c>
      <c r="L15" s="121">
        <v>7.9779987353778017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3257.8900000000012</v>
      </c>
      <c r="S15" s="62">
        <f t="shared" si="14"/>
        <v>126.04017299999997</v>
      </c>
      <c r="T15" s="63">
        <f t="shared" si="15"/>
        <v>259.91442299999994</v>
      </c>
      <c r="U15" s="64" t="s">
        <v>191</v>
      </c>
      <c r="V15" s="65" t="s">
        <v>326</v>
      </c>
      <c r="W15" s="66" t="s">
        <v>325</v>
      </c>
      <c r="X15" s="67">
        <v>6790</v>
      </c>
      <c r="Y15" s="68">
        <v>4</v>
      </c>
      <c r="Z15" s="68">
        <v>8.02</v>
      </c>
      <c r="AA15" s="62">
        <f t="shared" si="16"/>
        <v>271.60000000000002</v>
      </c>
      <c r="AB15" s="63">
        <f t="shared" si="17"/>
        <v>544.55799999999999</v>
      </c>
      <c r="AC15" s="69">
        <v>6790</v>
      </c>
      <c r="AD15" s="70">
        <v>3.95</v>
      </c>
      <c r="AE15" s="70">
        <v>7.96</v>
      </c>
      <c r="AF15" s="62">
        <f t="shared" si="18"/>
        <v>268.20499999999998</v>
      </c>
      <c r="AG15" s="63">
        <f t="shared" si="19"/>
        <v>540.48400000000004</v>
      </c>
      <c r="AH15" s="71">
        <v>0</v>
      </c>
      <c r="AI15" s="66">
        <v>0</v>
      </c>
      <c r="AJ15" s="66">
        <v>0</v>
      </c>
      <c r="AK15" s="62">
        <f t="shared" si="20"/>
        <v>0</v>
      </c>
      <c r="AL15" s="72">
        <f t="shared" si="21"/>
        <v>0</v>
      </c>
      <c r="AM15" s="73">
        <f t="shared" si="22"/>
        <v>-49.109999999998763</v>
      </c>
      <c r="AN15" s="74">
        <f t="shared" si="23"/>
        <v>1.6830729999999789</v>
      </c>
      <c r="AO15" s="74">
        <f t="shared" si="24"/>
        <v>-3.3227770000000874</v>
      </c>
      <c r="AP15" s="75">
        <f t="shared" si="25"/>
        <v>-4.2484375545565698E-3</v>
      </c>
      <c r="AQ15" s="76">
        <f t="shared" si="26"/>
        <v>-186.3707759308528</v>
      </c>
      <c r="AR15" s="77">
        <f t="shared" si="27"/>
        <v>-49.109999999998763</v>
      </c>
    </row>
    <row r="16" spans="1:46" x14ac:dyDescent="0.25">
      <c r="A16" t="str">
        <f t="shared" si="12"/>
        <v>46210M</v>
      </c>
      <c r="B16" s="51">
        <f t="shared" si="28"/>
        <v>46210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ref="G16:G53" si="29">+D16*E16%</f>
        <v>0</v>
      </c>
      <c r="H16" s="63">
        <f t="shared" ref="H16:H53" si="30">+D16*F16%</f>
        <v>0</v>
      </c>
      <c r="I16" s="118">
        <v>1956.9</v>
      </c>
      <c r="J16" s="119">
        <v>2015.6070000000002</v>
      </c>
      <c r="K16" s="120">
        <v>4.0758137871122688</v>
      </c>
      <c r="L16" s="121">
        <v>8.0787265573100306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2015.6070000000002</v>
      </c>
      <c r="S16" s="62">
        <f t="shared" si="14"/>
        <v>82.152388000000002</v>
      </c>
      <c r="T16" s="63">
        <f t="shared" si="15"/>
        <v>162.83537799999999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117">
        <v>2017</v>
      </c>
      <c r="AI16" s="117">
        <v>4.04</v>
      </c>
      <c r="AJ16" s="117">
        <v>8.0299999999999994</v>
      </c>
      <c r="AK16" s="62">
        <f t="shared" si="20"/>
        <v>81.486800000000002</v>
      </c>
      <c r="AL16" s="72">
        <f t="shared" si="21"/>
        <v>161.96510000000001</v>
      </c>
      <c r="AM16" s="73">
        <f t="shared" si="22"/>
        <v>-1.3929999999998017</v>
      </c>
      <c r="AN16" s="74">
        <f t="shared" si="23"/>
        <v>0.66558799999999962</v>
      </c>
      <c r="AO16" s="74">
        <f t="shared" si="24"/>
        <v>0.87027799999998479</v>
      </c>
      <c r="AP16" s="75">
        <f t="shared" si="25"/>
        <v>6.2691538646055672E-3</v>
      </c>
      <c r="AQ16" s="76">
        <f t="shared" si="26"/>
        <v>580.47720985084288</v>
      </c>
      <c r="AR16" s="77">
        <f t="shared" si="27"/>
        <v>-1.3929999999998017</v>
      </c>
    </row>
    <row r="17" spans="1:49" x14ac:dyDescent="0.25">
      <c r="A17" t="str">
        <f t="shared" si="12"/>
        <v>46210E</v>
      </c>
      <c r="B17" s="51">
        <f t="shared" si="28"/>
        <v>46210</v>
      </c>
      <c r="C17" s="52" t="s">
        <v>88</v>
      </c>
      <c r="D17" s="91">
        <v>2017</v>
      </c>
      <c r="E17" s="62">
        <v>4.04</v>
      </c>
      <c r="F17" s="62">
        <v>8.0299999999999994</v>
      </c>
      <c r="G17" s="62">
        <f t="shared" si="29"/>
        <v>81.486800000000002</v>
      </c>
      <c r="H17" s="63">
        <f t="shared" si="30"/>
        <v>161.96510000000001</v>
      </c>
      <c r="I17" s="118">
        <v>1708.6999999999998</v>
      </c>
      <c r="J17" s="119">
        <v>1759.9609999999998</v>
      </c>
      <c r="K17" s="120">
        <v>4.1245508281149412</v>
      </c>
      <c r="L17" s="121">
        <v>8.0567683033885409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1759.9609999999998</v>
      </c>
      <c r="S17" s="62">
        <f t="shared" si="14"/>
        <v>72.590485999999984</v>
      </c>
      <c r="T17" s="63">
        <f t="shared" si="15"/>
        <v>141.79597999999999</v>
      </c>
      <c r="U17" s="64" t="s">
        <v>192</v>
      </c>
      <c r="V17" s="65" t="s">
        <v>327</v>
      </c>
      <c r="W17" s="66" t="s">
        <v>175</v>
      </c>
      <c r="X17" s="67">
        <v>3690</v>
      </c>
      <c r="Y17" s="68">
        <v>4.0999999999999996</v>
      </c>
      <c r="Z17" s="68">
        <v>8.1</v>
      </c>
      <c r="AA17" s="62">
        <f t="shared" si="16"/>
        <v>151.29</v>
      </c>
      <c r="AB17" s="63">
        <f t="shared" si="17"/>
        <v>298.89</v>
      </c>
      <c r="AC17" s="69">
        <v>3680</v>
      </c>
      <c r="AD17" s="70">
        <v>4.05</v>
      </c>
      <c r="AE17" s="70">
        <v>7.97</v>
      </c>
      <c r="AF17" s="62">
        <f t="shared" si="18"/>
        <v>149.04</v>
      </c>
      <c r="AG17" s="63">
        <f t="shared" si="19"/>
        <v>293.29599999999999</v>
      </c>
      <c r="AH17" s="89">
        <v>84</v>
      </c>
      <c r="AI17" s="66">
        <v>4.04</v>
      </c>
      <c r="AJ17" s="66">
        <v>8.0299999999999994</v>
      </c>
      <c r="AK17" s="62">
        <f t="shared" si="20"/>
        <v>3.3935999999999997</v>
      </c>
      <c r="AL17" s="72">
        <f t="shared" si="21"/>
        <v>6.7451999999999996</v>
      </c>
      <c r="AM17" s="73">
        <f t="shared" si="22"/>
        <v>12.960999999999785</v>
      </c>
      <c r="AN17" s="74">
        <f t="shared" si="23"/>
        <v>1.6436859999999949</v>
      </c>
      <c r="AO17" s="74">
        <f t="shared" si="24"/>
        <v>3.7198800000000007</v>
      </c>
      <c r="AP17" s="75">
        <f t="shared" si="25"/>
        <v>2.5018211737302464E-2</v>
      </c>
      <c r="AQ17" s="76">
        <f t="shared" si="26"/>
        <v>1903.9155628314054</v>
      </c>
      <c r="AR17" s="77">
        <f t="shared" si="27"/>
        <v>2.9609999999997854</v>
      </c>
    </row>
    <row r="18" spans="1:49" x14ac:dyDescent="0.25">
      <c r="A18" t="str">
        <f t="shared" si="12"/>
        <v>46211M</v>
      </c>
      <c r="B18" s="51">
        <f t="shared" si="28"/>
        <v>46211</v>
      </c>
      <c r="C18" s="52" t="s">
        <v>87</v>
      </c>
      <c r="D18" s="91">
        <v>84</v>
      </c>
      <c r="E18" s="62">
        <v>4.04</v>
      </c>
      <c r="F18" s="62">
        <v>8.0299999999999994</v>
      </c>
      <c r="G18" s="62">
        <f t="shared" si="29"/>
        <v>3.3935999999999997</v>
      </c>
      <c r="H18" s="63">
        <f t="shared" si="30"/>
        <v>6.7451999999999996</v>
      </c>
      <c r="I18" s="118">
        <v>2504.0000000000005</v>
      </c>
      <c r="J18" s="119">
        <v>2579.1200000000003</v>
      </c>
      <c r="K18" s="120">
        <v>3.8801797124600634</v>
      </c>
      <c r="L18" s="121">
        <v>7.9802036741214026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2579.1200000000003</v>
      </c>
      <c r="S18" s="62">
        <f t="shared" si="14"/>
        <v>100.07449099999999</v>
      </c>
      <c r="T18" s="63">
        <f t="shared" si="15"/>
        <v>205.81902899999994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89">
        <v>2659</v>
      </c>
      <c r="AI18" s="66">
        <v>3.79</v>
      </c>
      <c r="AJ18" s="66">
        <v>7.9</v>
      </c>
      <c r="AK18" s="62">
        <f t="shared" si="20"/>
        <v>100.77610000000001</v>
      </c>
      <c r="AL18" s="72">
        <f t="shared" si="21"/>
        <v>210.06100000000001</v>
      </c>
      <c r="AM18" s="73">
        <f t="shared" si="22"/>
        <v>4.1200000000003456</v>
      </c>
      <c r="AN18" s="74">
        <f t="shared" si="23"/>
        <v>2.6919909999999874</v>
      </c>
      <c r="AO18" s="74">
        <f t="shared" si="24"/>
        <v>2.5032289999999477</v>
      </c>
      <c r="AP18" s="75">
        <f t="shared" si="25"/>
        <v>1.6983753039292677E-2</v>
      </c>
      <c r="AQ18" s="76">
        <f t="shared" si="26"/>
        <v>2043.2840906610841</v>
      </c>
      <c r="AR18" s="77">
        <f t="shared" si="27"/>
        <v>4.1200000000003456</v>
      </c>
    </row>
    <row r="19" spans="1:49" x14ac:dyDescent="0.25">
      <c r="A19" t="str">
        <f t="shared" si="12"/>
        <v>46211E</v>
      </c>
      <c r="B19" s="51">
        <f t="shared" si="28"/>
        <v>46211</v>
      </c>
      <c r="C19" s="52" t="s">
        <v>88</v>
      </c>
      <c r="D19" s="91">
        <v>2659</v>
      </c>
      <c r="E19" s="62">
        <v>3.79</v>
      </c>
      <c r="F19" s="62">
        <v>7.9</v>
      </c>
      <c r="G19" s="62">
        <f t="shared" si="29"/>
        <v>100.77610000000001</v>
      </c>
      <c r="H19" s="63">
        <f t="shared" si="30"/>
        <v>210.06100000000001</v>
      </c>
      <c r="I19" s="118">
        <v>1914.6</v>
      </c>
      <c r="J19" s="119">
        <v>1972.038</v>
      </c>
      <c r="K19" s="120">
        <v>3.8466259270865977</v>
      </c>
      <c r="L19" s="121">
        <v>7.9488300428287904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1972.038</v>
      </c>
      <c r="S19" s="62">
        <f t="shared" si="14"/>
        <v>75.856925000000004</v>
      </c>
      <c r="T19" s="63">
        <f t="shared" si="15"/>
        <v>156.75394900000003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89">
        <v>4634</v>
      </c>
      <c r="AI19" s="66">
        <v>3.8</v>
      </c>
      <c r="AJ19" s="66">
        <v>7.9</v>
      </c>
      <c r="AK19" s="62">
        <f t="shared" si="20"/>
        <v>176.09199999999998</v>
      </c>
      <c r="AL19" s="72">
        <f t="shared" si="21"/>
        <v>366.08600000000001</v>
      </c>
      <c r="AM19" s="73">
        <f t="shared" si="22"/>
        <v>-2.9619999999995343</v>
      </c>
      <c r="AN19" s="74">
        <f t="shared" si="23"/>
        <v>0.54102500000004738</v>
      </c>
      <c r="AO19" s="74">
        <f t="shared" si="24"/>
        <v>0.72894900000005691</v>
      </c>
      <c r="AP19" s="75">
        <f t="shared" si="25"/>
        <v>5.4596501795531032E-3</v>
      </c>
      <c r="AQ19" s="76">
        <f t="shared" si="26"/>
        <v>478.29385695345286</v>
      </c>
      <c r="AR19" s="77">
        <f t="shared" si="27"/>
        <v>-2.9619999999995343</v>
      </c>
    </row>
    <row r="20" spans="1:49" x14ac:dyDescent="0.25">
      <c r="A20" t="str">
        <f t="shared" si="12"/>
        <v>46212M</v>
      </c>
      <c r="B20" s="51">
        <f t="shared" si="28"/>
        <v>46212</v>
      </c>
      <c r="C20" s="52" t="s">
        <v>87</v>
      </c>
      <c r="D20" s="91">
        <v>4634</v>
      </c>
      <c r="E20" s="62">
        <v>3.8</v>
      </c>
      <c r="F20" s="62">
        <v>7.9</v>
      </c>
      <c r="G20" s="62">
        <f t="shared" si="29"/>
        <v>176.09199999999998</v>
      </c>
      <c r="H20" s="63">
        <f t="shared" si="30"/>
        <v>366.08600000000001</v>
      </c>
      <c r="I20" s="118">
        <v>3414.3</v>
      </c>
      <c r="J20" s="119">
        <v>3516.7290000000003</v>
      </c>
      <c r="K20" s="120">
        <v>3.7508684064083413</v>
      </c>
      <c r="L20" s="121">
        <v>7.8286442316140947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3516.7290000000003</v>
      </c>
      <c r="S20" s="62">
        <f t="shared" si="14"/>
        <v>131.90787700000001</v>
      </c>
      <c r="T20" s="63">
        <f t="shared" si="15"/>
        <v>275.31220200000007</v>
      </c>
      <c r="U20" s="64" t="s">
        <v>191</v>
      </c>
      <c r="V20" s="65" t="s">
        <v>394</v>
      </c>
      <c r="W20" s="66" t="s">
        <v>325</v>
      </c>
      <c r="X20" s="67">
        <v>5720</v>
      </c>
      <c r="Y20" s="68">
        <v>4</v>
      </c>
      <c r="Z20" s="68">
        <v>8.08</v>
      </c>
      <c r="AA20" s="62">
        <f t="shared" si="16"/>
        <v>228.8</v>
      </c>
      <c r="AB20" s="63">
        <f t="shared" si="17"/>
        <v>462.17599999999999</v>
      </c>
      <c r="AC20" s="215">
        <v>5720</v>
      </c>
      <c r="AD20" s="216">
        <v>4</v>
      </c>
      <c r="AE20" s="216">
        <v>8.08</v>
      </c>
      <c r="AF20" s="62">
        <f t="shared" si="18"/>
        <v>228.8</v>
      </c>
      <c r="AG20" s="63">
        <f t="shared" si="19"/>
        <v>462.17599999999999</v>
      </c>
      <c r="AH20" s="89">
        <v>2420</v>
      </c>
      <c r="AI20" s="66">
        <v>3.76</v>
      </c>
      <c r="AJ20" s="66">
        <v>7.86</v>
      </c>
      <c r="AK20" s="62">
        <f t="shared" si="20"/>
        <v>90.99199999999999</v>
      </c>
      <c r="AL20" s="72">
        <f t="shared" si="21"/>
        <v>190.21200000000002</v>
      </c>
      <c r="AM20" s="73">
        <f t="shared" si="22"/>
        <v>10.729000000000269</v>
      </c>
      <c r="AN20" s="74">
        <f t="shared" si="23"/>
        <v>-11.792123000000032</v>
      </c>
      <c r="AO20" s="74">
        <f t="shared" si="24"/>
        <v>-10.989797999999922</v>
      </c>
      <c r="AP20" s="75">
        <f t="shared" si="25"/>
        <v>-5.5944984480983687E-2</v>
      </c>
      <c r="AQ20" s="76">
        <f t="shared" si="26"/>
        <v>-8957.8455571563645</v>
      </c>
      <c r="AR20" s="77">
        <f t="shared" si="27"/>
        <v>10.729000000000269</v>
      </c>
    </row>
    <row r="21" spans="1:49" x14ac:dyDescent="0.25">
      <c r="A21" t="str">
        <f t="shared" si="12"/>
        <v>46212E</v>
      </c>
      <c r="B21" s="51">
        <f t="shared" si="28"/>
        <v>46212</v>
      </c>
      <c r="C21" s="52" t="s">
        <v>88</v>
      </c>
      <c r="D21" s="91">
        <v>2420</v>
      </c>
      <c r="E21" s="62">
        <v>3.76</v>
      </c>
      <c r="F21" s="62">
        <v>7.86</v>
      </c>
      <c r="G21" s="62">
        <f t="shared" si="29"/>
        <v>90.99199999999999</v>
      </c>
      <c r="H21" s="63">
        <f t="shared" si="30"/>
        <v>190.21200000000002</v>
      </c>
      <c r="I21" s="118">
        <v>1885</v>
      </c>
      <c r="J21" s="119">
        <v>1941.55</v>
      </c>
      <c r="K21" s="120">
        <v>4.0399681697612717</v>
      </c>
      <c r="L21" s="121">
        <v>8.0640477453580903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1941.55</v>
      </c>
      <c r="S21" s="62">
        <f t="shared" si="14"/>
        <v>78.438001999999969</v>
      </c>
      <c r="T21" s="63">
        <f t="shared" si="15"/>
        <v>156.56751899999998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89">
        <v>4362</v>
      </c>
      <c r="AI21" s="66">
        <v>3.87</v>
      </c>
      <c r="AJ21" s="66">
        <v>7.94</v>
      </c>
      <c r="AK21" s="62">
        <f t="shared" si="20"/>
        <v>168.80939999999998</v>
      </c>
      <c r="AL21" s="72">
        <f t="shared" si="21"/>
        <v>346.34280000000001</v>
      </c>
      <c r="AM21" s="73">
        <f t="shared" si="22"/>
        <v>-0.4499999999998181</v>
      </c>
      <c r="AN21" s="74">
        <f t="shared" si="23"/>
        <v>0.62060199999996257</v>
      </c>
      <c r="AO21" s="74">
        <f t="shared" si="24"/>
        <v>0.43671899999998232</v>
      </c>
      <c r="AP21" s="75">
        <f t="shared" si="25"/>
        <v>4.4991325969739463E-3</v>
      </c>
      <c r="AQ21" s="76">
        <f t="shared" si="26"/>
        <v>429.01291198110516</v>
      </c>
      <c r="AR21" s="77">
        <f t="shared" si="27"/>
        <v>-0.4499999999998181</v>
      </c>
    </row>
    <row r="22" spans="1:49" x14ac:dyDescent="0.25">
      <c r="A22" t="str">
        <f t="shared" si="12"/>
        <v>46213M</v>
      </c>
      <c r="B22" s="51">
        <f t="shared" si="28"/>
        <v>46213</v>
      </c>
      <c r="C22" s="52" t="s">
        <v>87</v>
      </c>
      <c r="D22" s="91"/>
      <c r="E22" s="62"/>
      <c r="F22" s="62"/>
      <c r="G22" s="62">
        <f t="shared" si="29"/>
        <v>0</v>
      </c>
      <c r="H22" s="63">
        <f t="shared" si="30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3"/>
        <v>0</v>
      </c>
      <c r="S22" s="62">
        <f t="shared" si="14"/>
        <v>0</v>
      </c>
      <c r="T22" s="63">
        <f t="shared" si="15"/>
        <v>0</v>
      </c>
      <c r="U22" s="64"/>
      <c r="V22" s="65"/>
      <c r="W22" s="66"/>
      <c r="X22" s="67"/>
      <c r="Y22" s="68"/>
      <c r="Z22" s="68"/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89"/>
      <c r="AI22" s="66"/>
      <c r="AJ22" s="66"/>
      <c r="AK22" s="62">
        <f t="shared" si="20"/>
        <v>0</v>
      </c>
      <c r="AL22" s="72">
        <f t="shared" si="21"/>
        <v>0</v>
      </c>
      <c r="AM22" s="73">
        <f t="shared" si="22"/>
        <v>0</v>
      </c>
      <c r="AN22" s="74">
        <f t="shared" si="23"/>
        <v>0</v>
      </c>
      <c r="AO22" s="74">
        <f t="shared" si="24"/>
        <v>0</v>
      </c>
      <c r="AP22" s="75" t="e">
        <f t="shared" si="25"/>
        <v>#DIV/0!</v>
      </c>
      <c r="AQ22" s="76">
        <f t="shared" si="26"/>
        <v>0</v>
      </c>
      <c r="AR22" s="77">
        <f t="shared" si="27"/>
        <v>0</v>
      </c>
      <c r="AT22" s="83"/>
      <c r="AU22" s="83"/>
      <c r="AW22">
        <f>AS22*AU22%</f>
        <v>0</v>
      </c>
    </row>
    <row r="23" spans="1:49" x14ac:dyDescent="0.25">
      <c r="A23" t="str">
        <f t="shared" si="12"/>
        <v>46213E</v>
      </c>
      <c r="B23" s="51">
        <f t="shared" si="28"/>
        <v>46213</v>
      </c>
      <c r="C23" s="52" t="s">
        <v>88</v>
      </c>
      <c r="D23" s="91"/>
      <c r="E23" s="62"/>
      <c r="F23" s="62"/>
      <c r="G23" s="62">
        <f t="shared" si="29"/>
        <v>0</v>
      </c>
      <c r="H23" s="63">
        <f t="shared" si="30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3"/>
        <v>0</v>
      </c>
      <c r="S23" s="62">
        <f t="shared" si="14"/>
        <v>0</v>
      </c>
      <c r="T23" s="63">
        <f t="shared" si="15"/>
        <v>0</v>
      </c>
      <c r="U23" s="64"/>
      <c r="V23" s="65"/>
      <c r="W23" s="66"/>
      <c r="X23" s="67"/>
      <c r="Y23" s="68"/>
      <c r="Z23" s="68"/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89"/>
      <c r="AI23" s="66"/>
      <c r="AJ23" s="84"/>
      <c r="AK23" s="62">
        <f t="shared" si="20"/>
        <v>0</v>
      </c>
      <c r="AL23" s="72">
        <f t="shared" si="21"/>
        <v>0</v>
      </c>
      <c r="AM23" s="73">
        <f t="shared" si="22"/>
        <v>0</v>
      </c>
      <c r="AN23" s="74">
        <f t="shared" si="23"/>
        <v>0</v>
      </c>
      <c r="AO23" s="74">
        <f t="shared" si="24"/>
        <v>0</v>
      </c>
      <c r="AP23" s="75" t="e">
        <f t="shared" si="25"/>
        <v>#DIV/0!</v>
      </c>
      <c r="AQ23" s="76">
        <f t="shared" si="26"/>
        <v>0</v>
      </c>
      <c r="AR23" s="77">
        <f t="shared" si="27"/>
        <v>0</v>
      </c>
      <c r="AU23" s="83"/>
      <c r="AW23">
        <f>AS23*AU23%</f>
        <v>0</v>
      </c>
    </row>
    <row r="24" spans="1:49" x14ac:dyDescent="0.25">
      <c r="A24" t="str">
        <f t="shared" si="12"/>
        <v>46214M</v>
      </c>
      <c r="B24" s="51">
        <f t="shared" si="28"/>
        <v>46214</v>
      </c>
      <c r="C24" s="52" t="s">
        <v>87</v>
      </c>
      <c r="D24" s="91"/>
      <c r="E24" s="62"/>
      <c r="F24" s="62"/>
      <c r="G24" s="62">
        <f t="shared" si="29"/>
        <v>0</v>
      </c>
      <c r="H24" s="63">
        <f t="shared" si="30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89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3"/>
        <v>0</v>
      </c>
      <c r="AO24" s="74">
        <f t="shared" si="24"/>
        <v>0</v>
      </c>
      <c r="AP24" s="75" t="e">
        <f t="shared" si="25"/>
        <v>#DIV/0!</v>
      </c>
      <c r="AQ24" s="76">
        <f t="shared" si="26"/>
        <v>0</v>
      </c>
      <c r="AR24" s="77">
        <f t="shared" si="27"/>
        <v>0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2"/>
        <v>46214E</v>
      </c>
      <c r="B25" s="51">
        <f t="shared" si="28"/>
        <v>46214</v>
      </c>
      <c r="C25" s="52" t="s">
        <v>88</v>
      </c>
      <c r="D25" s="91"/>
      <c r="E25" s="62"/>
      <c r="F25" s="62"/>
      <c r="G25" s="62">
        <f t="shared" si="29"/>
        <v>0</v>
      </c>
      <c r="H25" s="63">
        <f t="shared" si="30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89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3"/>
        <v>0</v>
      </c>
      <c r="AO25" s="74">
        <f t="shared" si="24"/>
        <v>0</v>
      </c>
      <c r="AP25" s="75" t="e">
        <f t="shared" si="25"/>
        <v>#DIV/0!</v>
      </c>
      <c r="AQ25" s="76">
        <f t="shared" si="26"/>
        <v>0</v>
      </c>
      <c r="AR25" s="77">
        <f t="shared" si="27"/>
        <v>0</v>
      </c>
    </row>
    <row r="26" spans="1:49" x14ac:dyDescent="0.25">
      <c r="A26" t="str">
        <f t="shared" si="12"/>
        <v>46215M</v>
      </c>
      <c r="B26" s="51">
        <f t="shared" si="28"/>
        <v>46215</v>
      </c>
      <c r="C26" s="52" t="s">
        <v>87</v>
      </c>
      <c r="D26" s="91"/>
      <c r="E26" s="62"/>
      <c r="F26" s="62"/>
      <c r="G26" s="62">
        <f t="shared" si="29"/>
        <v>0</v>
      </c>
      <c r="H26" s="63">
        <f t="shared" si="30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89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26"/>
        <v>0</v>
      </c>
      <c r="AR26" s="77">
        <f t="shared" si="27"/>
        <v>0</v>
      </c>
    </row>
    <row r="27" spans="1:49" x14ac:dyDescent="0.25">
      <c r="A27" t="str">
        <f t="shared" si="12"/>
        <v>46215E</v>
      </c>
      <c r="B27" s="51">
        <f t="shared" si="28"/>
        <v>46215</v>
      </c>
      <c r="C27" s="52" t="s">
        <v>88</v>
      </c>
      <c r="D27" s="91"/>
      <c r="E27" s="62"/>
      <c r="F27" s="62"/>
      <c r="G27" s="62">
        <f t="shared" si="29"/>
        <v>0</v>
      </c>
      <c r="H27" s="63">
        <f t="shared" si="30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89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26"/>
        <v>0</v>
      </c>
      <c r="AR27" s="77">
        <f t="shared" si="27"/>
        <v>0</v>
      </c>
    </row>
    <row r="28" spans="1:49" x14ac:dyDescent="0.25">
      <c r="A28" t="str">
        <f t="shared" si="12"/>
        <v>46216M</v>
      </c>
      <c r="B28" s="51">
        <f t="shared" si="28"/>
        <v>46216</v>
      </c>
      <c r="C28" s="52" t="s">
        <v>87</v>
      </c>
      <c r="D28" s="91"/>
      <c r="E28" s="62"/>
      <c r="F28" s="62"/>
      <c r="G28" s="62">
        <f t="shared" si="29"/>
        <v>0</v>
      </c>
      <c r="H28" s="63">
        <f t="shared" si="30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89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26"/>
        <v>0</v>
      </c>
      <c r="AR28" s="77">
        <f t="shared" si="27"/>
        <v>0</v>
      </c>
    </row>
    <row r="29" spans="1:49" x14ac:dyDescent="0.25">
      <c r="A29" t="str">
        <f t="shared" si="12"/>
        <v>46216E</v>
      </c>
      <c r="B29" s="51">
        <f t="shared" si="28"/>
        <v>46216</v>
      </c>
      <c r="C29" s="52" t="s">
        <v>88</v>
      </c>
      <c r="D29" s="91"/>
      <c r="E29" s="62"/>
      <c r="F29" s="62"/>
      <c r="G29" s="62">
        <f t="shared" si="29"/>
        <v>0</v>
      </c>
      <c r="H29" s="63">
        <f t="shared" si="30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89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26"/>
        <v>0</v>
      </c>
      <c r="AR29" s="77">
        <f t="shared" si="27"/>
        <v>0</v>
      </c>
    </row>
    <row r="30" spans="1:49" x14ac:dyDescent="0.25">
      <c r="A30" t="str">
        <f t="shared" si="12"/>
        <v>46217M</v>
      </c>
      <c r="B30" s="51">
        <f t="shared" si="28"/>
        <v>46217</v>
      </c>
      <c r="C30" s="52" t="s">
        <v>87</v>
      </c>
      <c r="D30" s="91"/>
      <c r="E30" s="62"/>
      <c r="F30" s="62"/>
      <c r="G30" s="62">
        <f t="shared" si="29"/>
        <v>0</v>
      </c>
      <c r="H30" s="63">
        <f t="shared" si="30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89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26"/>
        <v>0</v>
      </c>
      <c r="AR30" s="77">
        <f t="shared" si="27"/>
        <v>0</v>
      </c>
    </row>
    <row r="31" spans="1:49" x14ac:dyDescent="0.25">
      <c r="A31" t="str">
        <f t="shared" si="12"/>
        <v>46217E</v>
      </c>
      <c r="B31" s="51">
        <f t="shared" si="28"/>
        <v>46217</v>
      </c>
      <c r="C31" s="52" t="s">
        <v>88</v>
      </c>
      <c r="D31" s="91"/>
      <c r="E31" s="62"/>
      <c r="F31" s="62"/>
      <c r="G31" s="62">
        <f t="shared" si="29"/>
        <v>0</v>
      </c>
      <c r="H31" s="63">
        <f t="shared" si="30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8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89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26"/>
        <v>0</v>
      </c>
      <c r="AR31" s="77">
        <f t="shared" si="27"/>
        <v>0</v>
      </c>
    </row>
    <row r="32" spans="1:49" x14ac:dyDescent="0.25">
      <c r="A32" t="str">
        <f t="shared" si="12"/>
        <v>46218M</v>
      </c>
      <c r="B32" s="51">
        <f t="shared" si="28"/>
        <v>46218</v>
      </c>
      <c r="C32" s="52" t="s">
        <v>87</v>
      </c>
      <c r="D32" s="91"/>
      <c r="E32" s="62"/>
      <c r="F32" s="62"/>
      <c r="G32" s="62">
        <f t="shared" si="29"/>
        <v>0</v>
      </c>
      <c r="H32" s="63">
        <f t="shared" si="30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89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26"/>
        <v>0</v>
      </c>
      <c r="AR32" s="77">
        <f t="shared" si="27"/>
        <v>0</v>
      </c>
    </row>
    <row r="33" spans="1:44" x14ac:dyDescent="0.25">
      <c r="A33" t="str">
        <f t="shared" si="12"/>
        <v>46218E</v>
      </c>
      <c r="B33" s="51">
        <f t="shared" si="28"/>
        <v>46218</v>
      </c>
      <c r="C33" s="52" t="s">
        <v>88</v>
      </c>
      <c r="D33" s="91"/>
      <c r="E33" s="62"/>
      <c r="F33" s="62"/>
      <c r="G33" s="62">
        <f t="shared" si="29"/>
        <v>0</v>
      </c>
      <c r="H33" s="63">
        <f t="shared" si="30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89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26"/>
        <v>0</v>
      </c>
      <c r="AR33" s="77">
        <f t="shared" si="27"/>
        <v>0</v>
      </c>
    </row>
    <row r="34" spans="1:44" x14ac:dyDescent="0.25">
      <c r="A34" t="str">
        <f t="shared" si="12"/>
        <v>46219M</v>
      </c>
      <c r="B34" s="51">
        <f t="shared" si="28"/>
        <v>46219</v>
      </c>
      <c r="C34" s="52" t="s">
        <v>87</v>
      </c>
      <c r="D34" s="91"/>
      <c r="E34" s="62"/>
      <c r="F34" s="62"/>
      <c r="G34" s="62">
        <f t="shared" si="29"/>
        <v>0</v>
      </c>
      <c r="H34" s="63">
        <f t="shared" si="30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89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26"/>
        <v>0</v>
      </c>
      <c r="AR34" s="77">
        <f t="shared" si="27"/>
        <v>0</v>
      </c>
    </row>
    <row r="35" spans="1:44" x14ac:dyDescent="0.25">
      <c r="A35" t="str">
        <f t="shared" si="12"/>
        <v>46219E</v>
      </c>
      <c r="B35" s="51">
        <f t="shared" si="28"/>
        <v>46219</v>
      </c>
      <c r="C35" s="52" t="s">
        <v>88</v>
      </c>
      <c r="D35" s="91"/>
      <c r="E35" s="62"/>
      <c r="F35" s="62"/>
      <c r="G35" s="62">
        <f t="shared" si="29"/>
        <v>0</v>
      </c>
      <c r="H35" s="63">
        <f t="shared" si="30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89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26"/>
        <v>0</v>
      </c>
      <c r="AR35" s="77">
        <f t="shared" si="27"/>
        <v>0</v>
      </c>
    </row>
    <row r="36" spans="1:44" x14ac:dyDescent="0.25">
      <c r="A36" t="str">
        <f t="shared" si="12"/>
        <v>46220M</v>
      </c>
      <c r="B36" s="51">
        <f t="shared" si="28"/>
        <v>46220</v>
      </c>
      <c r="C36" s="52" t="s">
        <v>87</v>
      </c>
      <c r="D36" s="91"/>
      <c r="E36" s="62"/>
      <c r="F36" s="62"/>
      <c r="G36" s="62">
        <f t="shared" si="29"/>
        <v>0</v>
      </c>
      <c r="H36" s="63">
        <f t="shared" si="30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8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89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26"/>
        <v>0</v>
      </c>
      <c r="AR36" s="77">
        <f t="shared" si="27"/>
        <v>0</v>
      </c>
    </row>
    <row r="37" spans="1:44" x14ac:dyDescent="0.25">
      <c r="A37" t="str">
        <f t="shared" si="12"/>
        <v>46220E</v>
      </c>
      <c r="B37" s="51">
        <f t="shared" si="28"/>
        <v>46220</v>
      </c>
      <c r="C37" s="52" t="s">
        <v>88</v>
      </c>
      <c r="D37" s="91"/>
      <c r="E37" s="62"/>
      <c r="F37" s="62"/>
      <c r="G37" s="62">
        <f t="shared" si="29"/>
        <v>0</v>
      </c>
      <c r="H37" s="63">
        <f t="shared" si="30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89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26"/>
        <v>0</v>
      </c>
      <c r="AR37" s="77">
        <f t="shared" si="27"/>
        <v>0</v>
      </c>
    </row>
    <row r="38" spans="1:44" x14ac:dyDescent="0.25">
      <c r="A38" t="str">
        <f t="shared" si="12"/>
        <v>46221M</v>
      </c>
      <c r="B38" s="51">
        <f t="shared" si="28"/>
        <v>46221</v>
      </c>
      <c r="C38" s="52" t="s">
        <v>87</v>
      </c>
      <c r="D38" s="91"/>
      <c r="E38" s="62"/>
      <c r="F38" s="62"/>
      <c r="G38" s="62">
        <f t="shared" si="29"/>
        <v>0</v>
      </c>
      <c r="H38" s="63">
        <f t="shared" si="30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89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26"/>
        <v>0</v>
      </c>
      <c r="AR38" s="77">
        <f t="shared" si="27"/>
        <v>0</v>
      </c>
    </row>
    <row r="39" spans="1:44" x14ac:dyDescent="0.25">
      <c r="A39" t="str">
        <f t="shared" si="12"/>
        <v>46221E</v>
      </c>
      <c r="B39" s="51">
        <f t="shared" si="28"/>
        <v>46221</v>
      </c>
      <c r="C39" s="52" t="s">
        <v>88</v>
      </c>
      <c r="D39" s="91"/>
      <c r="E39" s="62"/>
      <c r="F39" s="62"/>
      <c r="G39" s="62">
        <f t="shared" si="29"/>
        <v>0</v>
      </c>
      <c r="H39" s="63">
        <f t="shared" si="30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89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26"/>
        <v>0</v>
      </c>
      <c r="AR39" s="77">
        <f t="shared" si="27"/>
        <v>0</v>
      </c>
    </row>
    <row r="40" spans="1:44" x14ac:dyDescent="0.25">
      <c r="A40" t="str">
        <f t="shared" si="12"/>
        <v>46222M</v>
      </c>
      <c r="B40" s="51">
        <f t="shared" si="28"/>
        <v>46222</v>
      </c>
      <c r="C40" s="52" t="s">
        <v>87</v>
      </c>
      <c r="D40" s="91"/>
      <c r="E40" s="62"/>
      <c r="F40" s="62"/>
      <c r="G40" s="62">
        <f t="shared" si="29"/>
        <v>0</v>
      </c>
      <c r="H40" s="63">
        <f t="shared" si="30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89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77">
        <f t="shared" si="27"/>
        <v>0</v>
      </c>
    </row>
    <row r="41" spans="1:44" x14ac:dyDescent="0.25">
      <c r="A41" t="str">
        <f t="shared" si="12"/>
        <v>46222E</v>
      </c>
      <c r="B41" s="51">
        <f t="shared" si="28"/>
        <v>46222</v>
      </c>
      <c r="C41" s="52" t="s">
        <v>88</v>
      </c>
      <c r="D41" s="91"/>
      <c r="E41" s="62"/>
      <c r="F41" s="62"/>
      <c r="G41" s="62">
        <f t="shared" si="29"/>
        <v>0</v>
      </c>
      <c r="H41" s="63">
        <f t="shared" si="30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89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77">
        <f t="shared" si="27"/>
        <v>0</v>
      </c>
    </row>
    <row r="42" spans="1:44" x14ac:dyDescent="0.25">
      <c r="A42" t="str">
        <f t="shared" si="12"/>
        <v>46223M</v>
      </c>
      <c r="B42" s="51">
        <f t="shared" si="28"/>
        <v>46223</v>
      </c>
      <c r="C42" s="52" t="s">
        <v>87</v>
      </c>
      <c r="D42" s="91"/>
      <c r="E42" s="62"/>
      <c r="F42" s="62"/>
      <c r="G42" s="62">
        <f t="shared" si="29"/>
        <v>0</v>
      </c>
      <c r="H42" s="63">
        <f t="shared" si="30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89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77">
        <f t="shared" si="27"/>
        <v>0</v>
      </c>
    </row>
    <row r="43" spans="1:44" x14ac:dyDescent="0.25">
      <c r="A43" t="str">
        <f t="shared" si="12"/>
        <v>46223E</v>
      </c>
      <c r="B43" s="51">
        <f t="shared" si="28"/>
        <v>46223</v>
      </c>
      <c r="C43" s="52" t="s">
        <v>88</v>
      </c>
      <c r="D43" s="91"/>
      <c r="E43" s="62"/>
      <c r="F43" s="62"/>
      <c r="G43" s="62">
        <f t="shared" si="29"/>
        <v>0</v>
      </c>
      <c r="H43" s="63">
        <f t="shared" si="30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89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77">
        <f t="shared" si="27"/>
        <v>0</v>
      </c>
    </row>
    <row r="44" spans="1:44" x14ac:dyDescent="0.25">
      <c r="A44" t="str">
        <f t="shared" si="12"/>
        <v>46224M</v>
      </c>
      <c r="B44" s="51">
        <f t="shared" si="28"/>
        <v>46224</v>
      </c>
      <c r="C44" s="52" t="s">
        <v>87</v>
      </c>
      <c r="D44" s="91"/>
      <c r="E44" s="62"/>
      <c r="F44" s="62"/>
      <c r="G44" s="62">
        <f t="shared" si="29"/>
        <v>0</v>
      </c>
      <c r="H44" s="63">
        <f t="shared" si="30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89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77">
        <f t="shared" si="27"/>
        <v>0</v>
      </c>
    </row>
    <row r="45" spans="1:44" x14ac:dyDescent="0.25">
      <c r="A45" t="str">
        <f t="shared" si="12"/>
        <v>46224E</v>
      </c>
      <c r="B45" s="51">
        <f t="shared" si="28"/>
        <v>46224</v>
      </c>
      <c r="C45" s="52" t="s">
        <v>88</v>
      </c>
      <c r="D45" s="91"/>
      <c r="E45" s="62"/>
      <c r="F45" s="62"/>
      <c r="G45" s="62">
        <f t="shared" si="29"/>
        <v>0</v>
      </c>
      <c r="H45" s="63">
        <f t="shared" si="30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89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77">
        <f t="shared" si="27"/>
        <v>0</v>
      </c>
    </row>
    <row r="46" spans="1:44" x14ac:dyDescent="0.25">
      <c r="A46" t="str">
        <f t="shared" si="12"/>
        <v>46225M</v>
      </c>
      <c r="B46" s="51">
        <f t="shared" si="28"/>
        <v>46225</v>
      </c>
      <c r="C46" s="52" t="s">
        <v>87</v>
      </c>
      <c r="D46" s="91"/>
      <c r="E46" s="62"/>
      <c r="F46" s="62"/>
      <c r="G46" s="62">
        <f t="shared" si="29"/>
        <v>0</v>
      </c>
      <c r="H46" s="63">
        <f t="shared" si="30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89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77">
        <f t="shared" si="27"/>
        <v>0</v>
      </c>
    </row>
    <row r="47" spans="1:44" x14ac:dyDescent="0.25">
      <c r="A47" t="str">
        <f t="shared" si="12"/>
        <v>46225E</v>
      </c>
      <c r="B47" s="51">
        <f t="shared" si="28"/>
        <v>46225</v>
      </c>
      <c r="C47" s="52" t="s">
        <v>88</v>
      </c>
      <c r="D47" s="91"/>
      <c r="E47" s="62"/>
      <c r="F47" s="62"/>
      <c r="G47" s="62">
        <f t="shared" si="29"/>
        <v>0</v>
      </c>
      <c r="H47" s="63">
        <f t="shared" si="30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89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77">
        <f t="shared" si="27"/>
        <v>0</v>
      </c>
    </row>
    <row r="48" spans="1:44" x14ac:dyDescent="0.25">
      <c r="A48" t="str">
        <f t="shared" si="12"/>
        <v>46226M</v>
      </c>
      <c r="B48" s="51">
        <f t="shared" si="28"/>
        <v>46226</v>
      </c>
      <c r="C48" s="52" t="s">
        <v>87</v>
      </c>
      <c r="D48" s="91"/>
      <c r="E48" s="62"/>
      <c r="F48" s="62"/>
      <c r="G48" s="62">
        <f t="shared" si="29"/>
        <v>0</v>
      </c>
      <c r="H48" s="63">
        <f t="shared" si="30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89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77">
        <f t="shared" si="27"/>
        <v>0</v>
      </c>
    </row>
    <row r="49" spans="1:44" x14ac:dyDescent="0.25">
      <c r="A49" t="str">
        <f t="shared" si="12"/>
        <v>46226E</v>
      </c>
      <c r="B49" s="51">
        <f t="shared" si="28"/>
        <v>46226</v>
      </c>
      <c r="C49" s="52" t="s">
        <v>88</v>
      </c>
      <c r="D49" s="91"/>
      <c r="E49" s="62"/>
      <c r="F49" s="62"/>
      <c r="G49" s="62">
        <f t="shared" si="29"/>
        <v>0</v>
      </c>
      <c r="H49" s="63">
        <f t="shared" si="30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89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77">
        <f t="shared" si="27"/>
        <v>0</v>
      </c>
    </row>
    <row r="50" spans="1:44" x14ac:dyDescent="0.25">
      <c r="A50" t="str">
        <f t="shared" si="12"/>
        <v>46227M</v>
      </c>
      <c r="B50" s="51">
        <f t="shared" si="28"/>
        <v>46227</v>
      </c>
      <c r="C50" s="52" t="s">
        <v>87</v>
      </c>
      <c r="D50" s="91"/>
      <c r="E50" s="62"/>
      <c r="F50" s="62"/>
      <c r="G50" s="62">
        <f t="shared" si="29"/>
        <v>0</v>
      </c>
      <c r="H50" s="63">
        <f t="shared" si="30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89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77">
        <f t="shared" si="27"/>
        <v>0</v>
      </c>
    </row>
    <row r="51" spans="1:44" x14ac:dyDescent="0.25">
      <c r="A51" t="str">
        <f t="shared" si="12"/>
        <v>46227E</v>
      </c>
      <c r="B51" s="51">
        <f t="shared" si="28"/>
        <v>46227</v>
      </c>
      <c r="C51" s="52" t="s">
        <v>88</v>
      </c>
      <c r="D51" s="91"/>
      <c r="E51" s="62"/>
      <c r="F51" s="62"/>
      <c r="G51" s="62">
        <f t="shared" si="29"/>
        <v>0</v>
      </c>
      <c r="H51" s="63">
        <f t="shared" si="30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8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89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77">
        <f t="shared" si="27"/>
        <v>0</v>
      </c>
    </row>
    <row r="52" spans="1:44" x14ac:dyDescent="0.25">
      <c r="A52" t="str">
        <f t="shared" si="12"/>
        <v>46228M</v>
      </c>
      <c r="B52" s="51">
        <f t="shared" si="28"/>
        <v>46228</v>
      </c>
      <c r="C52" s="52" t="s">
        <v>87</v>
      </c>
      <c r="D52" s="91"/>
      <c r="E52" s="62"/>
      <c r="F52" s="62"/>
      <c r="G52" s="62">
        <f t="shared" si="29"/>
        <v>0</v>
      </c>
      <c r="H52" s="63">
        <f t="shared" si="30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89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77">
        <f t="shared" si="27"/>
        <v>0</v>
      </c>
    </row>
    <row r="53" spans="1:44" x14ac:dyDescent="0.25">
      <c r="A53" t="str">
        <f t="shared" si="12"/>
        <v>46228E</v>
      </c>
      <c r="B53" s="51">
        <f t="shared" si="28"/>
        <v>46228</v>
      </c>
      <c r="C53" s="52" t="s">
        <v>88</v>
      </c>
      <c r="D53" s="91"/>
      <c r="E53" s="62"/>
      <c r="F53" s="62"/>
      <c r="G53" s="62">
        <f t="shared" si="29"/>
        <v>0</v>
      </c>
      <c r="H53" s="63">
        <f t="shared" si="30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6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89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77">
        <f t="shared" si="27"/>
        <v>0</v>
      </c>
    </row>
    <row r="54" spans="1:44" x14ac:dyDescent="0.25">
      <c r="A54" t="str">
        <f t="shared" si="12"/>
        <v>46229M</v>
      </c>
      <c r="B54" s="51">
        <f t="shared" si="28"/>
        <v>46229</v>
      </c>
      <c r="C54" s="52" t="s">
        <v>87</v>
      </c>
      <c r="D54" s="91"/>
      <c r="E54" s="62"/>
      <c r="F54" s="62"/>
      <c r="G54" s="62">
        <f t="shared" ref="G54:G65" si="31">+D54*E54%</f>
        <v>0</v>
      </c>
      <c r="H54" s="63">
        <f t="shared" ref="H54:H65" si="32">+D54*F54%</f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89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77">
        <f t="shared" si="27"/>
        <v>0</v>
      </c>
    </row>
    <row r="55" spans="1:44" x14ac:dyDescent="0.25">
      <c r="A55" t="str">
        <f t="shared" si="12"/>
        <v>46229E</v>
      </c>
      <c r="B55" s="51">
        <f t="shared" si="28"/>
        <v>46229</v>
      </c>
      <c r="C55" s="52" t="s">
        <v>88</v>
      </c>
      <c r="D55" s="91"/>
      <c r="E55" s="62"/>
      <c r="F55" s="62"/>
      <c r="G55" s="62">
        <f t="shared" si="31"/>
        <v>0</v>
      </c>
      <c r="H55" s="63">
        <f t="shared" si="32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89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77">
        <f t="shared" si="27"/>
        <v>0</v>
      </c>
    </row>
    <row r="56" spans="1:44" x14ac:dyDescent="0.25">
      <c r="A56" t="str">
        <f t="shared" si="12"/>
        <v>46230M</v>
      </c>
      <c r="B56" s="51">
        <f t="shared" si="28"/>
        <v>46230</v>
      </c>
      <c r="C56" s="52" t="s">
        <v>87</v>
      </c>
      <c r="D56" s="91"/>
      <c r="E56" s="62"/>
      <c r="F56" s="62"/>
      <c r="G56" s="62">
        <f t="shared" si="31"/>
        <v>0</v>
      </c>
      <c r="H56" s="63">
        <f t="shared" si="32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89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77">
        <f t="shared" si="27"/>
        <v>0</v>
      </c>
    </row>
    <row r="57" spans="1:44" x14ac:dyDescent="0.25">
      <c r="A57" t="str">
        <f t="shared" si="12"/>
        <v>46230E</v>
      </c>
      <c r="B57" s="51">
        <f t="shared" si="28"/>
        <v>46230</v>
      </c>
      <c r="C57" s="52" t="s">
        <v>88</v>
      </c>
      <c r="D57" s="91"/>
      <c r="E57" s="62"/>
      <c r="F57" s="62"/>
      <c r="G57" s="62">
        <f t="shared" si="31"/>
        <v>0</v>
      </c>
      <c r="H57" s="63">
        <f t="shared" si="32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89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77">
        <f t="shared" si="27"/>
        <v>0</v>
      </c>
    </row>
    <row r="58" spans="1:44" x14ac:dyDescent="0.25">
      <c r="A58" t="str">
        <f t="shared" si="12"/>
        <v>46231M</v>
      </c>
      <c r="B58" s="51">
        <f t="shared" si="28"/>
        <v>46231</v>
      </c>
      <c r="C58" s="52" t="s">
        <v>87</v>
      </c>
      <c r="D58" s="91"/>
      <c r="E58" s="62"/>
      <c r="F58" s="62"/>
      <c r="G58" s="62">
        <f t="shared" si="31"/>
        <v>0</v>
      </c>
      <c r="H58" s="63">
        <f t="shared" si="32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89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77">
        <f t="shared" si="27"/>
        <v>0</v>
      </c>
    </row>
    <row r="59" spans="1:44" x14ac:dyDescent="0.25">
      <c r="A59" t="str">
        <f t="shared" si="12"/>
        <v>46231E</v>
      </c>
      <c r="B59" s="51">
        <f t="shared" si="28"/>
        <v>46231</v>
      </c>
      <c r="C59" s="52" t="s">
        <v>88</v>
      </c>
      <c r="D59" s="91"/>
      <c r="E59" s="62"/>
      <c r="F59" s="62"/>
      <c r="G59" s="62">
        <f t="shared" si="31"/>
        <v>0</v>
      </c>
      <c r="H59" s="63">
        <f t="shared" si="32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89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77">
        <f t="shared" si="27"/>
        <v>0</v>
      </c>
    </row>
    <row r="60" spans="1:44" x14ac:dyDescent="0.25">
      <c r="A60" t="str">
        <f t="shared" si="12"/>
        <v>46232M</v>
      </c>
      <c r="B60" s="51">
        <f t="shared" si="28"/>
        <v>46232</v>
      </c>
      <c r="C60" s="52" t="s">
        <v>87</v>
      </c>
      <c r="D60" s="91"/>
      <c r="E60" s="62"/>
      <c r="F60" s="62"/>
      <c r="G60" s="62">
        <f t="shared" si="31"/>
        <v>0</v>
      </c>
      <c r="H60" s="63">
        <f t="shared" si="32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89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77">
        <f t="shared" si="27"/>
        <v>0</v>
      </c>
    </row>
    <row r="61" spans="1:44" x14ac:dyDescent="0.25">
      <c r="A61" t="str">
        <f t="shared" si="12"/>
        <v>46232E</v>
      </c>
      <c r="B61" s="51">
        <f t="shared" si="28"/>
        <v>46232</v>
      </c>
      <c r="C61" s="52" t="s">
        <v>88</v>
      </c>
      <c r="D61" s="91"/>
      <c r="E61" s="62"/>
      <c r="F61" s="62"/>
      <c r="G61" s="62">
        <f t="shared" si="31"/>
        <v>0</v>
      </c>
      <c r="H61" s="63">
        <f t="shared" si="32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89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77">
        <f t="shared" si="27"/>
        <v>0</v>
      </c>
    </row>
    <row r="62" spans="1:44" x14ac:dyDescent="0.25">
      <c r="A62" t="str">
        <f t="shared" si="12"/>
        <v>46233M</v>
      </c>
      <c r="B62" s="51">
        <f t="shared" si="28"/>
        <v>46233</v>
      </c>
      <c r="C62" s="52" t="s">
        <v>87</v>
      </c>
      <c r="D62" s="91"/>
      <c r="E62" s="62"/>
      <c r="F62" s="62"/>
      <c r="G62" s="62">
        <f t="shared" si="31"/>
        <v>0</v>
      </c>
      <c r="H62" s="63">
        <f t="shared" si="32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89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77">
        <f t="shared" si="27"/>
        <v>0</v>
      </c>
    </row>
    <row r="63" spans="1:44" x14ac:dyDescent="0.25">
      <c r="A63" t="str">
        <f t="shared" si="12"/>
        <v>46233E</v>
      </c>
      <c r="B63" s="51">
        <f t="shared" si="28"/>
        <v>46233</v>
      </c>
      <c r="C63" s="52" t="s">
        <v>88</v>
      </c>
      <c r="D63" s="91"/>
      <c r="E63" s="62"/>
      <c r="F63" s="62"/>
      <c r="G63" s="62">
        <f t="shared" si="31"/>
        <v>0</v>
      </c>
      <c r="H63" s="63">
        <f t="shared" si="32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89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77">
        <f t="shared" si="27"/>
        <v>0</v>
      </c>
    </row>
    <row r="64" spans="1:44" x14ac:dyDescent="0.25">
      <c r="A64" t="str">
        <f t="shared" si="12"/>
        <v>46234M</v>
      </c>
      <c r="B64" s="51">
        <f t="shared" si="28"/>
        <v>46234</v>
      </c>
      <c r="C64" s="52" t="s">
        <v>87</v>
      </c>
      <c r="D64" s="91"/>
      <c r="E64" s="62"/>
      <c r="F64" s="62"/>
      <c r="G64" s="62">
        <f t="shared" si="31"/>
        <v>0</v>
      </c>
      <c r="H64" s="63">
        <f t="shared" si="32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89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77">
        <f t="shared" si="27"/>
        <v>0</v>
      </c>
    </row>
    <row r="65" spans="1:44" ht="15.75" thickBot="1" x14ac:dyDescent="0.3">
      <c r="A65" t="str">
        <f t="shared" si="12"/>
        <v>46234E</v>
      </c>
      <c r="B65" s="51">
        <f t="shared" si="28"/>
        <v>46234</v>
      </c>
      <c r="C65" s="92" t="s">
        <v>88</v>
      </c>
      <c r="D65" s="91"/>
      <c r="E65" s="62"/>
      <c r="F65" s="62"/>
      <c r="G65" s="62">
        <f t="shared" si="31"/>
        <v>0</v>
      </c>
      <c r="H65" s="63">
        <f t="shared" si="32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71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77">
        <f t="shared" si="27"/>
        <v>0</v>
      </c>
    </row>
    <row r="66" spans="1:44" ht="15.75" thickBot="1" x14ac:dyDescent="0.3">
      <c r="J66" s="83">
        <f>SUM(J4:J65)</f>
        <v>37047.761000000006</v>
      </c>
      <c r="R66">
        <f>+J66+O66</f>
        <v>37047.761000000006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3">
        <f>-SUM(AM4:AM65)</f>
        <v>186.23899999999639</v>
      </c>
      <c r="AN66" s="93">
        <f>-SUM(AN4:AN65)</f>
        <v>6.6919640000000626</v>
      </c>
      <c r="AO66" s="93">
        <f>-SUM(AO4:AO65)</f>
        <v>19.646627000000297</v>
      </c>
      <c r="AP66" s="94"/>
      <c r="AQ66" s="95">
        <f>-SUM(AQ4:AQ65)</f>
        <v>9099.6963836950545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4" priority="2" operator="lessThan">
      <formula>0.1</formula>
    </cfRule>
    <cfRule type="cellIs" dxfId="83" priority="3" operator="greaterThan">
      <formula>0.1</formula>
    </cfRule>
  </conditionalFormatting>
  <conditionalFormatting sqref="AP1:AQ1">
    <cfRule type="cellIs" dxfId="82" priority="1" operator="lessThan">
      <formula>1</formula>
    </cfRule>
  </conditionalFormatting>
  <conditionalFormatting sqref="AQ4:AQ65">
    <cfRule type="cellIs" dxfId="81" priority="16" operator="lessThan">
      <formula>0</formula>
    </cfRule>
    <cfRule type="cellIs" dxfId="80" priority="17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zoomScale="80" zoomScaleNormal="80" workbookViewId="0">
      <selection activeCell="AC21" sqref="AC21:AE21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163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6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3518.4</v>
      </c>
      <c r="E4" s="54">
        <v>4.43</v>
      </c>
      <c r="F4" s="55">
        <v>8.2799999999999994</v>
      </c>
      <c r="G4" s="62">
        <f t="shared" ref="G4:G65" si="0">+D4*E4%</f>
        <v>155.86511999999999</v>
      </c>
      <c r="H4" s="63">
        <f t="shared" ref="H4:H65" si="1">+D4*F4%</f>
        <v>291.32352000000003</v>
      </c>
      <c r="I4" s="118">
        <v>1045.3000000000002</v>
      </c>
      <c r="J4" s="119">
        <v>1076.6590000000001</v>
      </c>
      <c r="K4" s="120">
        <v>4.8034822538984026</v>
      </c>
      <c r="L4" s="121">
        <v>8.4664976561752567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1076.6590000000001</v>
      </c>
      <c r="S4" s="62">
        <f t="shared" ref="S4:S65" si="3">+J4*K4%+O4*P4%</f>
        <v>51.717124000000013</v>
      </c>
      <c r="T4" s="63">
        <f t="shared" ref="T4:T65" si="4">+J4*L4%+O4*Q4%</f>
        <v>91.15530899999996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3" si="5">X4*Y4%</f>
        <v>0</v>
      </c>
      <c r="AB4" s="63">
        <f t="shared" ref="AB4:AB33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71">
        <v>4595</v>
      </c>
      <c r="AI4" s="66">
        <v>4.51</v>
      </c>
      <c r="AJ4" s="66">
        <v>8.52</v>
      </c>
      <c r="AK4" s="62">
        <f t="shared" ref="AK4:AK65" si="9">AH4*AI4%</f>
        <v>207.2345</v>
      </c>
      <c r="AL4" s="72">
        <f t="shared" ref="AL4:AL65" si="10">AH4*AJ4%</f>
        <v>391.49399999999997</v>
      </c>
      <c r="AM4" s="73">
        <f>+D4+R4-AC4-AH4</f>
        <v>5.9000000000196451E-2</v>
      </c>
      <c r="AN4" s="74">
        <f t="shared" ref="AN4:AO19" si="11">+G4+S4-AF4-AK4</f>
        <v>0.34774400000000583</v>
      </c>
      <c r="AO4" s="74">
        <f t="shared" si="11"/>
        <v>-9.0151709999999525</v>
      </c>
      <c r="AP4" s="75">
        <f>(AN4+AO4)/(S4+T4)</f>
        <v>-6.0665495911306752E-2</v>
      </c>
      <c r="AQ4" s="76">
        <f t="shared" ref="AQ4:AQ65" si="12">($AP$1*AN4+$AQ$1*AO4)</f>
        <v>-2532.8611470163687</v>
      </c>
      <c r="AR4" s="77">
        <f t="shared" ref="AR4" si="13">(D4+J4+O4)-(X4+AH4)</f>
        <v>5.9000000000196451E-2</v>
      </c>
      <c r="AT4" s="78"/>
    </row>
    <row r="5" spans="1:46" x14ac:dyDescent="0.25">
      <c r="A5" t="str">
        <f t="shared" ref="A5:A65" si="14">CONCATENATE(B5,C5)</f>
        <v>46204E</v>
      </c>
      <c r="B5" s="51">
        <f>+B4</f>
        <v>46204</v>
      </c>
      <c r="C5" s="52" t="s">
        <v>88</v>
      </c>
      <c r="D5" s="91">
        <v>4595</v>
      </c>
      <c r="E5" s="62">
        <v>4.51</v>
      </c>
      <c r="F5" s="62">
        <v>8.52</v>
      </c>
      <c r="G5" s="62">
        <f t="shared" si="0"/>
        <v>207.2345</v>
      </c>
      <c r="H5" s="63">
        <f t="shared" si="1"/>
        <v>391.49399999999997</v>
      </c>
      <c r="I5" s="118">
        <v>1215.9000000000005</v>
      </c>
      <c r="J5" s="119">
        <v>1252.3770000000006</v>
      </c>
      <c r="K5" s="120">
        <v>4.3743153219837163</v>
      </c>
      <c r="L5" s="121">
        <v>8.2858212024015145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1252.3770000000006</v>
      </c>
      <c r="S5" s="62">
        <f t="shared" si="3"/>
        <v>54.782919000000035</v>
      </c>
      <c r="T5" s="63">
        <f t="shared" si="4"/>
        <v>103.76971900000008</v>
      </c>
      <c r="U5" s="64" t="s">
        <v>170</v>
      </c>
      <c r="V5" s="65" t="s">
        <v>229</v>
      </c>
      <c r="W5" s="66" t="s">
        <v>181</v>
      </c>
      <c r="X5" s="67">
        <v>3100</v>
      </c>
      <c r="Y5" s="68">
        <v>4.55</v>
      </c>
      <c r="Z5" s="68">
        <v>8.32</v>
      </c>
      <c r="AA5" s="62">
        <f t="shared" si="5"/>
        <v>141.04999999999998</v>
      </c>
      <c r="AB5" s="63">
        <f t="shared" si="6"/>
        <v>257.92</v>
      </c>
      <c r="AC5" s="69">
        <v>3050</v>
      </c>
      <c r="AD5" s="70">
        <v>4.5</v>
      </c>
      <c r="AE5" s="70">
        <v>8.24</v>
      </c>
      <c r="AF5" s="62">
        <f t="shared" si="7"/>
        <v>137.25</v>
      </c>
      <c r="AG5" s="63">
        <f t="shared" si="8"/>
        <v>251.32</v>
      </c>
      <c r="AH5" s="71">
        <v>2747.3</v>
      </c>
      <c r="AI5" s="66">
        <v>4.4800000000000004</v>
      </c>
      <c r="AJ5" s="66">
        <v>8.31</v>
      </c>
      <c r="AK5" s="62">
        <f t="shared" si="9"/>
        <v>123.07904000000002</v>
      </c>
      <c r="AL5" s="72">
        <f t="shared" si="10"/>
        <v>228.30063000000004</v>
      </c>
      <c r="AM5" s="73">
        <f t="shared" ref="AM5:AM65" si="15">+D5+R5-AC5-AH5</f>
        <v>50.077000000000226</v>
      </c>
      <c r="AN5" s="74">
        <f t="shared" si="11"/>
        <v>1.6883789999999976</v>
      </c>
      <c r="AO5" s="74">
        <f t="shared" si="11"/>
        <v>15.643089000000003</v>
      </c>
      <c r="AP5" s="75">
        <f t="shared" ref="AP5:AP65" si="16">(AN5+AO5)/(S5+T5)</f>
        <v>0.10931049914161622</v>
      </c>
      <c r="AQ5" s="76">
        <f t="shared" si="12"/>
        <v>5496.2869529290274</v>
      </c>
      <c r="AR5" s="77">
        <f>(D5+J5+O5)-(X5+AH5)</f>
        <v>7.7000000000225555E-2</v>
      </c>
    </row>
    <row r="6" spans="1:46" x14ac:dyDescent="0.25">
      <c r="A6" t="str">
        <f t="shared" si="14"/>
        <v>46205M</v>
      </c>
      <c r="B6" s="51">
        <f>+B4+1</f>
        <v>46205</v>
      </c>
      <c r="C6" s="52" t="s">
        <v>87</v>
      </c>
      <c r="D6" s="91">
        <v>2747.3</v>
      </c>
      <c r="E6" s="62">
        <v>4.4800000000000004</v>
      </c>
      <c r="F6" s="62">
        <v>8.31</v>
      </c>
      <c r="G6" s="62">
        <f t="shared" si="0"/>
        <v>123.07904000000002</v>
      </c>
      <c r="H6" s="63">
        <f t="shared" si="1"/>
        <v>228.30063000000004</v>
      </c>
      <c r="I6" s="118">
        <v>1140.1999999999998</v>
      </c>
      <c r="J6" s="119">
        <v>1174.4059999999999</v>
      </c>
      <c r="K6" s="120">
        <v>4.7920978775653369</v>
      </c>
      <c r="L6" s="121">
        <v>8.4041396246272555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1174.4059999999999</v>
      </c>
      <c r="S6" s="62">
        <f t="shared" si="3"/>
        <v>56.278684999999967</v>
      </c>
      <c r="T6" s="63">
        <f t="shared" si="4"/>
        <v>98.698719999999952</v>
      </c>
      <c r="U6" s="64" t="s">
        <v>192</v>
      </c>
      <c r="V6" s="65" t="s">
        <v>230</v>
      </c>
      <c r="W6" s="66" t="s">
        <v>181</v>
      </c>
      <c r="X6" s="67">
        <v>3875</v>
      </c>
      <c r="Y6" s="68">
        <v>4.5999999999999996</v>
      </c>
      <c r="Z6" s="68">
        <v>8.33</v>
      </c>
      <c r="AA6" s="62">
        <f t="shared" si="5"/>
        <v>178.25</v>
      </c>
      <c r="AB6" s="63">
        <f t="shared" si="6"/>
        <v>322.78750000000002</v>
      </c>
      <c r="AC6" s="69">
        <v>3865</v>
      </c>
      <c r="AD6" s="70">
        <v>4.6554333764553677</v>
      </c>
      <c r="AE6" s="70">
        <v>7.899223803363518</v>
      </c>
      <c r="AF6" s="62">
        <f t="shared" si="7"/>
        <v>179.93249999999995</v>
      </c>
      <c r="AG6" s="63">
        <f t="shared" si="8"/>
        <v>305.30500000000001</v>
      </c>
      <c r="AH6" s="71">
        <v>70</v>
      </c>
      <c r="AI6" s="66">
        <v>4.5</v>
      </c>
      <c r="AJ6" s="66">
        <v>8.3000000000000007</v>
      </c>
      <c r="AK6" s="62">
        <f t="shared" si="9"/>
        <v>3.15</v>
      </c>
      <c r="AL6" s="72">
        <f t="shared" si="10"/>
        <v>5.8100000000000005</v>
      </c>
      <c r="AM6" s="73">
        <f t="shared" si="15"/>
        <v>-13.293999999999869</v>
      </c>
      <c r="AN6" s="74">
        <f t="shared" si="11"/>
        <v>-3.7247749999999598</v>
      </c>
      <c r="AO6" s="74">
        <f t="shared" si="11"/>
        <v>15.884349999999985</v>
      </c>
      <c r="AP6" s="75">
        <f t="shared" si="16"/>
        <v>7.8460308455932853E-2</v>
      </c>
      <c r="AQ6" s="76">
        <f t="shared" si="12"/>
        <v>2967.3457987861584</v>
      </c>
      <c r="AR6" s="77">
        <f t="shared" ref="AR6:AR65" si="17">(D6+J6+O6)-(X6+AH6)</f>
        <v>-23.293999999999869</v>
      </c>
    </row>
    <row r="7" spans="1:46" x14ac:dyDescent="0.25">
      <c r="A7" t="str">
        <f t="shared" si="14"/>
        <v>46205E</v>
      </c>
      <c r="B7" s="51">
        <f>+B5+1</f>
        <v>46205</v>
      </c>
      <c r="C7" s="52" t="s">
        <v>88</v>
      </c>
      <c r="D7" s="91">
        <v>70</v>
      </c>
      <c r="E7" s="62">
        <v>4.5</v>
      </c>
      <c r="F7" s="62">
        <v>8.3000000000000007</v>
      </c>
      <c r="G7" s="62">
        <f t="shared" si="0"/>
        <v>3.15</v>
      </c>
      <c r="H7" s="63">
        <f t="shared" si="1"/>
        <v>5.8100000000000005</v>
      </c>
      <c r="I7" s="118">
        <v>1118.2000000000003</v>
      </c>
      <c r="J7" s="119">
        <v>1151.7460000000003</v>
      </c>
      <c r="K7" s="120">
        <v>4.40389018064747</v>
      </c>
      <c r="L7" s="121">
        <v>8.3590144875693078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1151.7460000000003</v>
      </c>
      <c r="S7" s="62">
        <f t="shared" si="3"/>
        <v>50.721629000000021</v>
      </c>
      <c r="T7" s="63">
        <f t="shared" si="4"/>
        <v>96.274615000000026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71">
        <v>1232.3</v>
      </c>
      <c r="AI7" s="66">
        <v>4.3099999999999996</v>
      </c>
      <c r="AJ7" s="66">
        <v>8.34</v>
      </c>
      <c r="AK7" s="62">
        <f t="shared" si="9"/>
        <v>53.112130000000001</v>
      </c>
      <c r="AL7" s="72">
        <f t="shared" si="10"/>
        <v>102.77382</v>
      </c>
      <c r="AM7" s="73">
        <f t="shared" si="15"/>
        <v>-10.553999999999633</v>
      </c>
      <c r="AN7" s="74">
        <f t="shared" si="11"/>
        <v>0.75949900000001946</v>
      </c>
      <c r="AO7" s="74">
        <f t="shared" si="11"/>
        <v>-0.68920499999997276</v>
      </c>
      <c r="AP7" s="75">
        <f t="shared" si="16"/>
        <v>4.7820269475760675E-4</v>
      </c>
      <c r="AQ7" s="76">
        <f t="shared" si="12"/>
        <v>158.55322663287154</v>
      </c>
      <c r="AR7" s="77">
        <f t="shared" si="17"/>
        <v>-10.553999999999633</v>
      </c>
    </row>
    <row r="8" spans="1:46" x14ac:dyDescent="0.25">
      <c r="A8" t="str">
        <f t="shared" si="14"/>
        <v>46206M</v>
      </c>
      <c r="B8" s="51">
        <f>+B6+1</f>
        <v>46206</v>
      </c>
      <c r="C8" s="52" t="s">
        <v>87</v>
      </c>
      <c r="D8" s="91">
        <v>1232.3</v>
      </c>
      <c r="E8" s="62">
        <v>4.3099999999999996</v>
      </c>
      <c r="F8" s="62">
        <v>8.34</v>
      </c>
      <c r="G8" s="62">
        <f t="shared" si="0"/>
        <v>53.112130000000001</v>
      </c>
      <c r="H8" s="63">
        <f t="shared" si="1"/>
        <v>102.77382</v>
      </c>
      <c r="I8" s="118">
        <v>1114.8</v>
      </c>
      <c r="J8" s="119">
        <v>1148.2439999999999</v>
      </c>
      <c r="K8" s="120">
        <v>4.7249461786867597</v>
      </c>
      <c r="L8" s="121">
        <v>8.4307588805166844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1148.2439999999999</v>
      </c>
      <c r="S8" s="62">
        <f t="shared" si="3"/>
        <v>54.253910999999995</v>
      </c>
      <c r="T8" s="63">
        <f t="shared" si="4"/>
        <v>96.805682999999988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3">
        <f t="shared" si="8"/>
        <v>0</v>
      </c>
      <c r="AH8" s="71">
        <v>2380.5</v>
      </c>
      <c r="AI8" s="66">
        <v>4.5</v>
      </c>
      <c r="AJ8" s="66">
        <v>8.3800000000000008</v>
      </c>
      <c r="AK8" s="62">
        <f t="shared" si="9"/>
        <v>107.1225</v>
      </c>
      <c r="AL8" s="72">
        <f t="shared" si="10"/>
        <v>199.48590000000004</v>
      </c>
      <c r="AM8" s="73">
        <f t="shared" si="15"/>
        <v>4.3999999999869033E-2</v>
      </c>
      <c r="AN8" s="74">
        <f t="shared" si="11"/>
        <v>0.24354099999999335</v>
      </c>
      <c r="AO8" s="74">
        <f t="shared" si="11"/>
        <v>9.3602999999944814E-2</v>
      </c>
      <c r="AP8" s="75">
        <f t="shared" si="16"/>
        <v>2.2318608906094252E-3</v>
      </c>
      <c r="AQ8" s="76">
        <f t="shared" si="12"/>
        <v>145.06264208728726</v>
      </c>
      <c r="AR8" s="77">
        <f t="shared" si="17"/>
        <v>4.3999999999869033E-2</v>
      </c>
    </row>
    <row r="9" spans="1:46" x14ac:dyDescent="0.25">
      <c r="A9" t="str">
        <f t="shared" si="14"/>
        <v>46206E</v>
      </c>
      <c r="B9" s="51">
        <f t="shared" ref="B9:B65" si="18">+B7+1</f>
        <v>46206</v>
      </c>
      <c r="C9" s="52" t="s">
        <v>88</v>
      </c>
      <c r="D9" s="91">
        <v>2380.5</v>
      </c>
      <c r="E9" s="62">
        <v>4.5</v>
      </c>
      <c r="F9" s="62">
        <v>8.3800000000000008</v>
      </c>
      <c r="G9" s="62">
        <f t="shared" si="0"/>
        <v>107.1225</v>
      </c>
      <c r="H9" s="63">
        <f t="shared" si="1"/>
        <v>199.48590000000004</v>
      </c>
      <c r="I9" s="118">
        <v>1171.9000000000003</v>
      </c>
      <c r="J9" s="119">
        <v>1207.0570000000005</v>
      </c>
      <c r="K9" s="120">
        <v>4.2999744005461213</v>
      </c>
      <c r="L9" s="121">
        <v>8.3361805614813527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1207.0570000000005</v>
      </c>
      <c r="S9" s="62">
        <f t="shared" si="3"/>
        <v>51.903142000000017</v>
      </c>
      <c r="T9" s="63">
        <f t="shared" si="4"/>
        <v>100.62245100000001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82">
        <v>3587.5</v>
      </c>
      <c r="AI9" s="66">
        <v>4.43</v>
      </c>
      <c r="AJ9" s="66">
        <v>8.36</v>
      </c>
      <c r="AK9" s="62">
        <f t="shared" si="9"/>
        <v>158.92625000000001</v>
      </c>
      <c r="AL9" s="72">
        <f t="shared" si="10"/>
        <v>299.91499999999996</v>
      </c>
      <c r="AM9" s="73">
        <f t="shared" si="15"/>
        <v>5.7000000000698492E-2</v>
      </c>
      <c r="AN9" s="74">
        <f t="shared" si="11"/>
        <v>9.9391999999994596E-2</v>
      </c>
      <c r="AO9" s="74">
        <f t="shared" si="11"/>
        <v>0.19335100000012062</v>
      </c>
      <c r="AP9" s="75">
        <f t="shared" si="16"/>
        <v>1.9193041262269683E-3</v>
      </c>
      <c r="AQ9" s="76">
        <f t="shared" si="12"/>
        <v>105.66799404495875</v>
      </c>
      <c r="AR9" s="77">
        <f t="shared" si="17"/>
        <v>5.7000000000698492E-2</v>
      </c>
    </row>
    <row r="10" spans="1:46" x14ac:dyDescent="0.25">
      <c r="A10" t="str">
        <f t="shared" si="14"/>
        <v>46207M</v>
      </c>
      <c r="B10" s="51">
        <f t="shared" si="18"/>
        <v>46207</v>
      </c>
      <c r="C10" s="52" t="s">
        <v>87</v>
      </c>
      <c r="D10" s="91">
        <v>3587.5</v>
      </c>
      <c r="E10" s="62">
        <v>4.43</v>
      </c>
      <c r="F10" s="62">
        <v>8.36</v>
      </c>
      <c r="G10" s="62">
        <f t="shared" si="0"/>
        <v>158.92625000000001</v>
      </c>
      <c r="H10" s="63">
        <f t="shared" si="1"/>
        <v>299.91499999999996</v>
      </c>
      <c r="I10" s="118">
        <v>921.19999999999993</v>
      </c>
      <c r="J10" s="119">
        <v>948.8359999999999</v>
      </c>
      <c r="K10" s="120">
        <v>4.9209726443769002</v>
      </c>
      <c r="L10" s="121">
        <v>8.4304928354320481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948.8359999999999</v>
      </c>
      <c r="S10" s="62">
        <f t="shared" si="3"/>
        <v>46.691960000000002</v>
      </c>
      <c r="T10" s="63">
        <f t="shared" si="4"/>
        <v>79.991551000000015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71">
        <v>4536.3</v>
      </c>
      <c r="AI10" s="66">
        <v>4.53</v>
      </c>
      <c r="AJ10" s="66">
        <v>8.3699999999999992</v>
      </c>
      <c r="AK10" s="62">
        <f t="shared" si="9"/>
        <v>205.49439000000001</v>
      </c>
      <c r="AL10" s="72">
        <f t="shared" si="10"/>
        <v>379.68831</v>
      </c>
      <c r="AM10" s="73">
        <f t="shared" si="15"/>
        <v>3.6000000000058208E-2</v>
      </c>
      <c r="AN10" s="74">
        <f t="shared" si="11"/>
        <v>0.12381999999999493</v>
      </c>
      <c r="AO10" s="74">
        <f t="shared" si="11"/>
        <v>0.2182409999999777</v>
      </c>
      <c r="AP10" s="75">
        <f t="shared" si="16"/>
        <v>2.7001225123921028E-3</v>
      </c>
      <c r="AQ10" s="76">
        <f t="shared" si="12"/>
        <v>124.86077650550192</v>
      </c>
      <c r="AR10" s="77">
        <f t="shared" si="17"/>
        <v>3.6000000000058208E-2</v>
      </c>
    </row>
    <row r="11" spans="1:46" x14ac:dyDescent="0.25">
      <c r="A11" t="str">
        <f t="shared" si="14"/>
        <v>46207E</v>
      </c>
      <c r="B11" s="51">
        <f t="shared" si="18"/>
        <v>46207</v>
      </c>
      <c r="C11" s="52" t="s">
        <v>88</v>
      </c>
      <c r="D11" s="91">
        <v>4536.3</v>
      </c>
      <c r="E11" s="62">
        <v>4.53</v>
      </c>
      <c r="F11" s="62">
        <v>8.3699999999999992</v>
      </c>
      <c r="G11" s="62">
        <f t="shared" si="0"/>
        <v>205.49439000000001</v>
      </c>
      <c r="H11" s="63">
        <f t="shared" si="1"/>
        <v>379.68831</v>
      </c>
      <c r="I11" s="118">
        <v>1166.1999999999998</v>
      </c>
      <c r="J11" s="119">
        <v>1201.1859999999999</v>
      </c>
      <c r="K11" s="120">
        <v>4.3084290859200829</v>
      </c>
      <c r="L11" s="121">
        <v>8.419687875150057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1201.1859999999999</v>
      </c>
      <c r="S11" s="62">
        <f t="shared" si="3"/>
        <v>51.752246999999997</v>
      </c>
      <c r="T11" s="63">
        <f t="shared" si="4"/>
        <v>101.13611199999995</v>
      </c>
      <c r="U11" s="64" t="s">
        <v>170</v>
      </c>
      <c r="V11" s="65" t="s">
        <v>267</v>
      </c>
      <c r="W11" s="66" t="s">
        <v>181</v>
      </c>
      <c r="X11" s="67">
        <v>3100</v>
      </c>
      <c r="Y11" s="68">
        <v>4.6500000000000004</v>
      </c>
      <c r="Z11" s="68">
        <v>8.52</v>
      </c>
      <c r="AA11" s="62">
        <f t="shared" si="5"/>
        <v>144.15000000000003</v>
      </c>
      <c r="AB11" s="63">
        <f t="shared" si="6"/>
        <v>264.12</v>
      </c>
      <c r="AC11" s="69">
        <v>3100</v>
      </c>
      <c r="AD11" s="70">
        <v>4.5999999999999996</v>
      </c>
      <c r="AE11" s="70">
        <v>8.33</v>
      </c>
      <c r="AF11" s="62">
        <f t="shared" si="7"/>
        <v>142.6</v>
      </c>
      <c r="AG11" s="63">
        <f t="shared" si="8"/>
        <v>258.23</v>
      </c>
      <c r="AH11" s="71">
        <v>2637.4</v>
      </c>
      <c r="AI11" s="66">
        <v>4.4800000000000004</v>
      </c>
      <c r="AJ11" s="66">
        <v>8.3800000000000008</v>
      </c>
      <c r="AK11" s="62">
        <f t="shared" si="9"/>
        <v>118.15552000000002</v>
      </c>
      <c r="AL11" s="72">
        <f t="shared" si="10"/>
        <v>221.01412000000005</v>
      </c>
      <c r="AM11" s="73">
        <f t="shared" si="15"/>
        <v>8.5999999999785359E-2</v>
      </c>
      <c r="AN11" s="74">
        <f t="shared" si="11"/>
        <v>-3.5088829999999973</v>
      </c>
      <c r="AO11" s="74">
        <f t="shared" si="11"/>
        <v>1.5803019999999037</v>
      </c>
      <c r="AP11" s="75">
        <f t="shared" si="16"/>
        <v>-1.2614308980843298E-2</v>
      </c>
      <c r="AQ11" s="76">
        <f t="shared" si="12"/>
        <v>-1212.8461027556903</v>
      </c>
      <c r="AR11" s="77">
        <f t="shared" si="17"/>
        <v>8.6000000000240107E-2</v>
      </c>
    </row>
    <row r="12" spans="1:46" x14ac:dyDescent="0.25">
      <c r="A12" t="str">
        <f t="shared" si="14"/>
        <v>46208M</v>
      </c>
      <c r="B12" s="51">
        <f t="shared" si="18"/>
        <v>46208</v>
      </c>
      <c r="C12" s="52" t="s">
        <v>87</v>
      </c>
      <c r="D12" s="91">
        <v>2637.4</v>
      </c>
      <c r="E12" s="62">
        <v>4.4800000000000004</v>
      </c>
      <c r="F12" s="62">
        <v>8.3800000000000008</v>
      </c>
      <c r="G12" s="62">
        <f t="shared" si="0"/>
        <v>118.15552000000002</v>
      </c>
      <c r="H12" s="63">
        <f t="shared" si="1"/>
        <v>221.01412000000005</v>
      </c>
      <c r="I12" s="118">
        <v>1086.8999999999999</v>
      </c>
      <c r="J12" s="119">
        <v>1119.5069999999998</v>
      </c>
      <c r="K12" s="120">
        <v>4.9134787008924441</v>
      </c>
      <c r="L12" s="121">
        <v>8.4795749378967678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1119.5069999999998</v>
      </c>
      <c r="S12" s="62">
        <f t="shared" si="3"/>
        <v>55.00673799999997</v>
      </c>
      <c r="T12" s="63">
        <f t="shared" si="4"/>
        <v>94.929434999999955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71">
        <v>3756.9</v>
      </c>
      <c r="AI12" s="66">
        <v>4.5999999999999996</v>
      </c>
      <c r="AJ12" s="66">
        <v>8.4</v>
      </c>
      <c r="AK12" s="62">
        <f t="shared" si="9"/>
        <v>172.81739999999999</v>
      </c>
      <c r="AL12" s="72">
        <f t="shared" si="10"/>
        <v>315.57960000000003</v>
      </c>
      <c r="AM12" s="73">
        <f t="shared" si="15"/>
        <v>7.0000000000618456E-3</v>
      </c>
      <c r="AN12" s="74">
        <f t="shared" si="11"/>
        <v>0.34485800000001632</v>
      </c>
      <c r="AO12" s="74">
        <f t="shared" si="11"/>
        <v>0.36395499999997583</v>
      </c>
      <c r="AP12" s="75">
        <f t="shared" si="16"/>
        <v>4.7274315851718613E-3</v>
      </c>
      <c r="AQ12" s="76">
        <f t="shared" si="12"/>
        <v>274.71677528184944</v>
      </c>
      <c r="AR12" s="77">
        <f t="shared" si="17"/>
        <v>7.0000000000618456E-3</v>
      </c>
    </row>
    <row r="13" spans="1:46" x14ac:dyDescent="0.25">
      <c r="A13" t="str">
        <f t="shared" si="14"/>
        <v>46208E</v>
      </c>
      <c r="B13" s="51">
        <f t="shared" si="18"/>
        <v>46208</v>
      </c>
      <c r="C13" s="52" t="s">
        <v>88</v>
      </c>
      <c r="D13" s="91">
        <v>3756.9</v>
      </c>
      <c r="E13" s="62">
        <v>4.5999999999999996</v>
      </c>
      <c r="F13" s="62">
        <v>8.4</v>
      </c>
      <c r="G13" s="62">
        <f t="shared" si="0"/>
        <v>172.81739999999999</v>
      </c>
      <c r="H13" s="63">
        <f t="shared" si="1"/>
        <v>315.57960000000003</v>
      </c>
      <c r="I13" s="118">
        <v>1132.4000000000001</v>
      </c>
      <c r="J13" s="119">
        <v>1166.3720000000001</v>
      </c>
      <c r="K13" s="120">
        <v>4.4922200635817751</v>
      </c>
      <c r="L13" s="121">
        <v>8.4404362416107404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1166.3720000000001</v>
      </c>
      <c r="S13" s="62">
        <f t="shared" si="3"/>
        <v>52.395997000000023</v>
      </c>
      <c r="T13" s="63">
        <f t="shared" si="4"/>
        <v>98.446885000000037</v>
      </c>
      <c r="U13" s="64" t="s">
        <v>170</v>
      </c>
      <c r="V13" s="65" t="s">
        <v>268</v>
      </c>
      <c r="W13" s="66" t="s">
        <v>181</v>
      </c>
      <c r="X13" s="67">
        <v>4950</v>
      </c>
      <c r="Y13" s="68">
        <v>4.51</v>
      </c>
      <c r="Z13" s="68">
        <v>8.07</v>
      </c>
      <c r="AA13" s="62">
        <f t="shared" si="5"/>
        <v>223.245</v>
      </c>
      <c r="AB13" s="63">
        <f t="shared" si="6"/>
        <v>399.46500000000003</v>
      </c>
      <c r="AC13" s="69">
        <v>5160</v>
      </c>
      <c r="AD13" s="70">
        <v>4.4139534883720932</v>
      </c>
      <c r="AE13" s="70">
        <v>7.8441279069767456</v>
      </c>
      <c r="AF13" s="62">
        <f t="shared" si="7"/>
        <v>227.76</v>
      </c>
      <c r="AG13" s="63">
        <f t="shared" si="8"/>
        <v>404.75700000000006</v>
      </c>
      <c r="AH13" s="71">
        <v>0</v>
      </c>
      <c r="AI13" s="66">
        <v>0</v>
      </c>
      <c r="AJ13" s="66">
        <v>0</v>
      </c>
      <c r="AK13" s="62">
        <f t="shared" si="9"/>
        <v>0</v>
      </c>
      <c r="AL13" s="72">
        <f t="shared" si="10"/>
        <v>0</v>
      </c>
      <c r="AM13" s="73">
        <f t="shared" si="15"/>
        <v>-236.72800000000007</v>
      </c>
      <c r="AN13" s="74">
        <f t="shared" si="11"/>
        <v>-2.5466029999999762</v>
      </c>
      <c r="AO13" s="74">
        <f t="shared" si="11"/>
        <v>9.2694850000000315</v>
      </c>
      <c r="AP13" s="75">
        <f t="shared" si="16"/>
        <v>4.4568771896045134E-2</v>
      </c>
      <c r="AQ13" s="76">
        <f t="shared" si="12"/>
        <v>1552.4026114822652</v>
      </c>
      <c r="AR13" s="77">
        <f t="shared" si="17"/>
        <v>-26.728000000000065</v>
      </c>
    </row>
    <row r="14" spans="1:46" x14ac:dyDescent="0.25">
      <c r="A14" t="str">
        <f t="shared" si="14"/>
        <v>46209M</v>
      </c>
      <c r="B14" s="51">
        <f t="shared" si="18"/>
        <v>46209</v>
      </c>
      <c r="C14" s="52" t="s">
        <v>87</v>
      </c>
      <c r="D14" s="91">
        <v>0</v>
      </c>
      <c r="E14" s="62">
        <v>0</v>
      </c>
      <c r="F14" s="62">
        <v>0</v>
      </c>
      <c r="G14" s="62">
        <f t="shared" si="0"/>
        <v>0</v>
      </c>
      <c r="H14" s="63">
        <f t="shared" si="1"/>
        <v>0</v>
      </c>
      <c r="I14" s="118">
        <v>1032.4999999999995</v>
      </c>
      <c r="J14" s="119">
        <v>1063.4749999999995</v>
      </c>
      <c r="K14" s="120">
        <v>4.7960290556900729</v>
      </c>
      <c r="L14" s="121">
        <v>8.4974818401937053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1063.4749999999995</v>
      </c>
      <c r="S14" s="62">
        <f t="shared" si="3"/>
        <v>51.00456999999998</v>
      </c>
      <c r="T14" s="63">
        <f t="shared" si="4"/>
        <v>90.368594999999956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71">
        <v>1063.4000000000001</v>
      </c>
      <c r="AI14" s="66">
        <v>4.8</v>
      </c>
      <c r="AJ14" s="66">
        <v>8.5</v>
      </c>
      <c r="AK14" s="62">
        <f t="shared" si="9"/>
        <v>51.043200000000006</v>
      </c>
      <c r="AL14" s="72">
        <f t="shared" si="10"/>
        <v>90.38900000000001</v>
      </c>
      <c r="AM14" s="73">
        <f t="shared" si="15"/>
        <v>7.4999999999363354E-2</v>
      </c>
      <c r="AN14" s="74">
        <f t="shared" si="11"/>
        <v>-3.8630000000026143E-2</v>
      </c>
      <c r="AO14" s="74">
        <f t="shared" si="11"/>
        <v>-2.0405000000053519E-2</v>
      </c>
      <c r="AP14" s="75">
        <f t="shared" si="16"/>
        <v>-4.1758278524838634E-4</v>
      </c>
      <c r="AQ14" s="76">
        <f t="shared" si="12"/>
        <v>-24.674088112713456</v>
      </c>
      <c r="AR14" s="77">
        <f t="shared" si="17"/>
        <v>7.4999999999363354E-2</v>
      </c>
    </row>
    <row r="15" spans="1:46" x14ac:dyDescent="0.25">
      <c r="A15" t="str">
        <f t="shared" si="14"/>
        <v>46209E</v>
      </c>
      <c r="B15" s="51">
        <f t="shared" si="18"/>
        <v>46209</v>
      </c>
      <c r="C15" s="52" t="s">
        <v>88</v>
      </c>
      <c r="D15" s="91">
        <v>1063.4000000000001</v>
      </c>
      <c r="E15" s="62">
        <v>4.8</v>
      </c>
      <c r="F15" s="62">
        <v>8.5</v>
      </c>
      <c r="G15" s="62">
        <f t="shared" si="0"/>
        <v>51.043200000000006</v>
      </c>
      <c r="H15" s="63">
        <f t="shared" si="1"/>
        <v>90.38900000000001</v>
      </c>
      <c r="I15" s="118">
        <v>1075.2</v>
      </c>
      <c r="J15" s="119">
        <v>1107.4560000000001</v>
      </c>
      <c r="K15" s="120">
        <v>4.3899460565476192</v>
      </c>
      <c r="L15" s="121">
        <v>8.374953497023812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1107.4560000000001</v>
      </c>
      <c r="S15" s="62">
        <f t="shared" si="3"/>
        <v>48.616721000000013</v>
      </c>
      <c r="T15" s="63">
        <f t="shared" si="4"/>
        <v>92.748925000000042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3">
        <f t="shared" si="8"/>
        <v>0</v>
      </c>
      <c r="AH15" s="71">
        <v>2170.9</v>
      </c>
      <c r="AI15" s="66">
        <v>4.59</v>
      </c>
      <c r="AJ15" s="66">
        <v>8.44</v>
      </c>
      <c r="AK15" s="62">
        <f t="shared" si="9"/>
        <v>99.64430999999999</v>
      </c>
      <c r="AL15" s="72">
        <f t="shared" si="10"/>
        <v>183.22395999999998</v>
      </c>
      <c r="AM15" s="73">
        <f t="shared" si="15"/>
        <v>-4.3999999999869033E-2</v>
      </c>
      <c r="AN15" s="74">
        <f t="shared" si="11"/>
        <v>1.5611000000035347E-2</v>
      </c>
      <c r="AO15" s="74">
        <f t="shared" si="11"/>
        <v>-8.6034999999924366E-2</v>
      </c>
      <c r="AP15" s="75">
        <f t="shared" si="16"/>
        <v>-4.9816912377628861E-4</v>
      </c>
      <c r="AQ15" s="76">
        <f t="shared" si="12"/>
        <v>-18.265122990172099</v>
      </c>
      <c r="AR15" s="77">
        <f t="shared" si="17"/>
        <v>-4.3999999999869033E-2</v>
      </c>
    </row>
    <row r="16" spans="1:46" x14ac:dyDescent="0.25">
      <c r="A16" t="str">
        <f t="shared" si="14"/>
        <v>46210M</v>
      </c>
      <c r="B16" s="51">
        <f t="shared" si="18"/>
        <v>46210</v>
      </c>
      <c r="C16" s="52" t="s">
        <v>87</v>
      </c>
      <c r="D16" s="91">
        <v>2170.9</v>
      </c>
      <c r="E16" s="62">
        <v>4.59</v>
      </c>
      <c r="F16" s="62">
        <v>8.44</v>
      </c>
      <c r="G16" s="62">
        <f t="shared" si="0"/>
        <v>99.64430999999999</v>
      </c>
      <c r="H16" s="63">
        <f t="shared" si="1"/>
        <v>183.22395999999998</v>
      </c>
      <c r="I16" s="118">
        <v>1083.2000000000003</v>
      </c>
      <c r="J16" s="119">
        <v>1115.6960000000004</v>
      </c>
      <c r="K16" s="120">
        <v>4.7017448301329372</v>
      </c>
      <c r="L16" s="121">
        <v>8.5311853766617407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1115.6960000000004</v>
      </c>
      <c r="S16" s="62">
        <f t="shared" si="3"/>
        <v>52.457178999999996</v>
      </c>
      <c r="T16" s="63">
        <f t="shared" si="4"/>
        <v>95.182094000000006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17">
        <v>3286.6</v>
      </c>
      <c r="AI16" s="117">
        <v>4.63</v>
      </c>
      <c r="AJ16" s="117">
        <v>8.4700000000000006</v>
      </c>
      <c r="AK16" s="62">
        <f t="shared" si="9"/>
        <v>152.16958</v>
      </c>
      <c r="AL16" s="72">
        <f t="shared" si="10"/>
        <v>278.37502000000001</v>
      </c>
      <c r="AM16" s="73">
        <f t="shared" si="15"/>
        <v>-3.9999999994506652E-3</v>
      </c>
      <c r="AN16" s="74">
        <f t="shared" si="11"/>
        <v>-6.8091000000009672E-2</v>
      </c>
      <c r="AO16" s="74">
        <f t="shared" si="11"/>
        <v>3.1033999999976913E-2</v>
      </c>
      <c r="AP16" s="75">
        <f t="shared" si="16"/>
        <v>-2.5099690107545272E-4</v>
      </c>
      <c r="AQ16" s="76">
        <f t="shared" si="12"/>
        <v>-23.425534899207861</v>
      </c>
      <c r="AR16" s="77">
        <f t="shared" si="17"/>
        <v>-3.9999999994506652E-3</v>
      </c>
    </row>
    <row r="17" spans="1:49" x14ac:dyDescent="0.25">
      <c r="A17" t="str">
        <f t="shared" si="14"/>
        <v>46210E</v>
      </c>
      <c r="B17" s="51">
        <f t="shared" si="18"/>
        <v>46210</v>
      </c>
      <c r="C17" s="52" t="s">
        <v>88</v>
      </c>
      <c r="D17" s="91">
        <v>3286.6</v>
      </c>
      <c r="E17" s="62">
        <v>4.63</v>
      </c>
      <c r="F17" s="62">
        <v>8.4700000000000006</v>
      </c>
      <c r="G17" s="62">
        <f t="shared" si="0"/>
        <v>152.16958</v>
      </c>
      <c r="H17" s="63">
        <f t="shared" si="1"/>
        <v>278.37502000000001</v>
      </c>
      <c r="I17" s="118">
        <v>1074.4000000000001</v>
      </c>
      <c r="J17" s="119">
        <v>1106.6320000000001</v>
      </c>
      <c r="K17" s="120">
        <v>4.3877513030528661</v>
      </c>
      <c r="L17" s="121">
        <v>8.3211559940431865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1106.6320000000001</v>
      </c>
      <c r="S17" s="62">
        <f t="shared" si="3"/>
        <v>48.556259999999995</v>
      </c>
      <c r="T17" s="63">
        <f t="shared" si="4"/>
        <v>92.084575000000001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89">
        <v>4393.2</v>
      </c>
      <c r="AI17" s="66">
        <v>4.57</v>
      </c>
      <c r="AJ17" s="66">
        <v>8.43</v>
      </c>
      <c r="AK17" s="62">
        <f t="shared" si="9"/>
        <v>200.76924000000002</v>
      </c>
      <c r="AL17" s="72">
        <f t="shared" si="10"/>
        <v>370.34675999999996</v>
      </c>
      <c r="AM17" s="73">
        <f t="shared" si="15"/>
        <v>3.2000000000152795E-2</v>
      </c>
      <c r="AN17" s="74">
        <f t="shared" si="11"/>
        <v>-4.3400000000019645E-2</v>
      </c>
      <c r="AO17" s="74">
        <f t="shared" si="11"/>
        <v>0.11283500000007507</v>
      </c>
      <c r="AP17" s="75">
        <f t="shared" si="16"/>
        <v>4.9370440668995914E-4</v>
      </c>
      <c r="AQ17" s="76">
        <f t="shared" si="12"/>
        <v>12.93796547030659</v>
      </c>
      <c r="AR17" s="77">
        <f t="shared" si="17"/>
        <v>3.2000000000152795E-2</v>
      </c>
    </row>
    <row r="18" spans="1:49" x14ac:dyDescent="0.25">
      <c r="A18" t="str">
        <f t="shared" si="14"/>
        <v>46211M</v>
      </c>
      <c r="B18" s="51">
        <f t="shared" si="18"/>
        <v>46211</v>
      </c>
      <c r="C18" s="52" t="s">
        <v>87</v>
      </c>
      <c r="D18" s="91">
        <v>4393.2</v>
      </c>
      <c r="E18" s="62">
        <v>4.57</v>
      </c>
      <c r="F18" s="62">
        <v>8.43</v>
      </c>
      <c r="G18" s="62">
        <f t="shared" si="0"/>
        <v>200.76924000000002</v>
      </c>
      <c r="H18" s="63">
        <f t="shared" si="1"/>
        <v>370.34675999999996</v>
      </c>
      <c r="I18" s="118">
        <v>1160.1000000000001</v>
      </c>
      <c r="J18" s="119">
        <v>1194.9030000000002</v>
      </c>
      <c r="K18" s="120">
        <v>4.5614257391604172</v>
      </c>
      <c r="L18" s="121">
        <v>8.3856736488233796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1194.9030000000002</v>
      </c>
      <c r="S18" s="62">
        <f t="shared" si="3"/>
        <v>54.504613000000013</v>
      </c>
      <c r="T18" s="63">
        <f t="shared" si="4"/>
        <v>100.20066600000006</v>
      </c>
      <c r="U18" s="64" t="s">
        <v>170</v>
      </c>
      <c r="V18" s="65" t="s">
        <v>328</v>
      </c>
      <c r="W18" s="66" t="s">
        <v>181</v>
      </c>
      <c r="X18" s="67">
        <v>3100</v>
      </c>
      <c r="Y18" s="68">
        <v>4.6500000000000004</v>
      </c>
      <c r="Z18" s="68">
        <v>8.4</v>
      </c>
      <c r="AA18" s="62">
        <f t="shared" si="5"/>
        <v>144.15000000000003</v>
      </c>
      <c r="AB18" s="63">
        <f t="shared" si="6"/>
        <v>260.40000000000003</v>
      </c>
      <c r="AC18" s="69">
        <v>3120</v>
      </c>
      <c r="AD18" s="70">
        <v>4.6500000000000004</v>
      </c>
      <c r="AE18" s="70">
        <v>8.34</v>
      </c>
      <c r="AF18" s="62">
        <f t="shared" si="7"/>
        <v>145.08000000000001</v>
      </c>
      <c r="AG18" s="63">
        <f t="shared" si="8"/>
        <v>260.20800000000003</v>
      </c>
      <c r="AH18" s="89">
        <v>2488.1</v>
      </c>
      <c r="AI18" s="66">
        <v>4.57</v>
      </c>
      <c r="AJ18" s="66">
        <v>8.42</v>
      </c>
      <c r="AK18" s="62">
        <f t="shared" si="9"/>
        <v>113.70617</v>
      </c>
      <c r="AL18" s="72">
        <f t="shared" si="10"/>
        <v>209.49802</v>
      </c>
      <c r="AM18" s="73">
        <f t="shared" si="15"/>
        <v>-19.996999999999844</v>
      </c>
      <c r="AN18" s="74">
        <f t="shared" si="11"/>
        <v>-3.5123169999999817</v>
      </c>
      <c r="AO18" s="74">
        <f t="shared" si="11"/>
        <v>0.84140600000000632</v>
      </c>
      <c r="AP18" s="75">
        <f t="shared" si="16"/>
        <v>-1.72645110578287E-2</v>
      </c>
      <c r="AQ18" s="76">
        <f t="shared" si="12"/>
        <v>-1435.7890254902784</v>
      </c>
      <c r="AR18" s="77">
        <f t="shared" si="17"/>
        <v>2.9999999997016857E-3</v>
      </c>
    </row>
    <row r="19" spans="1:49" x14ac:dyDescent="0.25">
      <c r="A19" t="str">
        <f t="shared" si="14"/>
        <v>46211E</v>
      </c>
      <c r="B19" s="51">
        <f t="shared" si="18"/>
        <v>46211</v>
      </c>
      <c r="C19" s="52" t="s">
        <v>88</v>
      </c>
      <c r="D19" s="91">
        <v>2488.1</v>
      </c>
      <c r="E19" s="62">
        <v>4.57</v>
      </c>
      <c r="F19" s="62">
        <v>8.42</v>
      </c>
      <c r="G19" s="62">
        <f t="shared" si="0"/>
        <v>113.70617</v>
      </c>
      <c r="H19" s="63">
        <f t="shared" si="1"/>
        <v>209.49802</v>
      </c>
      <c r="I19" s="118">
        <v>1083.3999999999999</v>
      </c>
      <c r="J19" s="119">
        <v>1115.9019999999998</v>
      </c>
      <c r="K19" s="120">
        <v>4.3802289089902162</v>
      </c>
      <c r="L19" s="121">
        <v>8.3012183865608264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1115.9019999999998</v>
      </c>
      <c r="S19" s="62">
        <f t="shared" si="3"/>
        <v>48.879061999999998</v>
      </c>
      <c r="T19" s="63">
        <f t="shared" si="4"/>
        <v>92.63346199999998</v>
      </c>
      <c r="U19" s="64" t="s">
        <v>180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3">
        <f t="shared" si="8"/>
        <v>0</v>
      </c>
      <c r="AH19" s="89">
        <v>3604</v>
      </c>
      <c r="AI19" s="66">
        <v>4.51</v>
      </c>
      <c r="AJ19" s="66">
        <v>8.3800000000000008</v>
      </c>
      <c r="AK19" s="62">
        <f t="shared" si="9"/>
        <v>162.54040000000001</v>
      </c>
      <c r="AL19" s="72">
        <f t="shared" si="10"/>
        <v>302.01520000000005</v>
      </c>
      <c r="AM19" s="73">
        <f t="shared" si="15"/>
        <v>1.9999999994979589E-3</v>
      </c>
      <c r="AN19" s="74">
        <f t="shared" si="11"/>
        <v>4.4831999999985328E-2</v>
      </c>
      <c r="AO19" s="74">
        <f t="shared" si="11"/>
        <v>0.11628199999995559</v>
      </c>
      <c r="AP19" s="75">
        <f t="shared" si="16"/>
        <v>1.1385140724360266E-3</v>
      </c>
      <c r="AQ19" s="76">
        <f t="shared" si="12"/>
        <v>56.368658919545169</v>
      </c>
      <c r="AR19" s="77">
        <f t="shared" si="17"/>
        <v>1.9999999994979589E-3</v>
      </c>
    </row>
    <row r="20" spans="1:49" x14ac:dyDescent="0.25">
      <c r="A20" t="str">
        <f t="shared" si="14"/>
        <v>46212M</v>
      </c>
      <c r="B20" s="51">
        <f t="shared" si="18"/>
        <v>46212</v>
      </c>
      <c r="C20" s="52" t="s">
        <v>87</v>
      </c>
      <c r="D20" s="91">
        <v>3604</v>
      </c>
      <c r="E20" s="62">
        <v>4.51</v>
      </c>
      <c r="F20" s="62">
        <v>8.3800000000000008</v>
      </c>
      <c r="G20" s="62">
        <f t="shared" si="0"/>
        <v>162.54040000000001</v>
      </c>
      <c r="H20" s="63">
        <f t="shared" si="1"/>
        <v>302.01520000000005</v>
      </c>
      <c r="I20" s="118">
        <v>1177.8000000000002</v>
      </c>
      <c r="J20" s="119">
        <v>1213.1340000000002</v>
      </c>
      <c r="K20" s="120">
        <v>4.6847257598913234</v>
      </c>
      <c r="L20" s="121">
        <v>8.3222788249278334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1213.1340000000002</v>
      </c>
      <c r="S20" s="62">
        <f t="shared" si="3"/>
        <v>56.83200100000002</v>
      </c>
      <c r="T20" s="63">
        <f t="shared" si="4"/>
        <v>100.96039400000005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89">
        <v>4817.1000000000004</v>
      </c>
      <c r="AI20" s="66">
        <v>4.55</v>
      </c>
      <c r="AJ20" s="66">
        <v>8.36</v>
      </c>
      <c r="AK20" s="62">
        <f t="shared" si="9"/>
        <v>219.17805000000001</v>
      </c>
      <c r="AL20" s="72">
        <f t="shared" si="10"/>
        <v>402.70956000000001</v>
      </c>
      <c r="AM20" s="73">
        <f t="shared" si="15"/>
        <v>3.3999999999650754E-2</v>
      </c>
      <c r="AN20" s="74">
        <f t="shared" ref="AN20:AO65" si="19">+G20+S20-AF20-AK20</f>
        <v>0.19435100000001171</v>
      </c>
      <c r="AO20" s="74">
        <f t="shared" si="19"/>
        <v>0.26603400000010424</v>
      </c>
      <c r="AP20" s="75">
        <f t="shared" si="16"/>
        <v>2.9176627935719956E-3</v>
      </c>
      <c r="AQ20" s="76">
        <f t="shared" si="12"/>
        <v>173.06679555978485</v>
      </c>
      <c r="AR20" s="77">
        <f t="shared" si="17"/>
        <v>3.3999999999650754E-2</v>
      </c>
    </row>
    <row r="21" spans="1:49" x14ac:dyDescent="0.25">
      <c r="A21" t="str">
        <f t="shared" si="14"/>
        <v>46212E</v>
      </c>
      <c r="B21" s="51">
        <f t="shared" si="18"/>
        <v>46212</v>
      </c>
      <c r="C21" s="52" t="s">
        <v>88</v>
      </c>
      <c r="D21" s="91">
        <v>4817.1000000000004</v>
      </c>
      <c r="E21" s="62">
        <v>4.55</v>
      </c>
      <c r="F21" s="62">
        <v>8.36</v>
      </c>
      <c r="G21" s="62">
        <f t="shared" si="0"/>
        <v>219.17805000000001</v>
      </c>
      <c r="H21" s="63">
        <f t="shared" si="1"/>
        <v>402.70956000000001</v>
      </c>
      <c r="I21" s="118">
        <v>1091.7</v>
      </c>
      <c r="J21" s="119">
        <v>1124.451</v>
      </c>
      <c r="K21" s="120">
        <v>4.3530640285792819</v>
      </c>
      <c r="L21" s="121">
        <v>8.1788678208299022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1124.451</v>
      </c>
      <c r="S21" s="62">
        <f t="shared" si="3"/>
        <v>48.948072000000018</v>
      </c>
      <c r="T21" s="63">
        <f t="shared" si="4"/>
        <v>91.967361000000039</v>
      </c>
      <c r="U21" s="64" t="s">
        <v>170</v>
      </c>
      <c r="V21" s="65" t="s">
        <v>395</v>
      </c>
      <c r="W21" s="66" t="s">
        <v>181</v>
      </c>
      <c r="X21" s="67">
        <v>5750</v>
      </c>
      <c r="Y21" s="68">
        <v>4.62</v>
      </c>
      <c r="Z21" s="68">
        <v>8.4499999999999993</v>
      </c>
      <c r="AA21" s="62">
        <f t="shared" si="5"/>
        <v>265.64999999999998</v>
      </c>
      <c r="AB21" s="63">
        <f t="shared" si="6"/>
        <v>485.87499999999994</v>
      </c>
      <c r="AC21" s="215">
        <v>5750</v>
      </c>
      <c r="AD21" s="216">
        <v>4.62</v>
      </c>
      <c r="AE21" s="216">
        <v>8.4499999999999993</v>
      </c>
      <c r="AF21" s="62">
        <f t="shared" si="7"/>
        <v>265.64999999999998</v>
      </c>
      <c r="AG21" s="63">
        <f t="shared" si="8"/>
        <v>485.87499999999994</v>
      </c>
      <c r="AH21" s="89">
        <v>200</v>
      </c>
      <c r="AI21" s="66">
        <v>4.3</v>
      </c>
      <c r="AJ21" s="66">
        <v>8.11</v>
      </c>
      <c r="AK21" s="62">
        <f t="shared" si="9"/>
        <v>8.6</v>
      </c>
      <c r="AL21" s="72">
        <f t="shared" si="10"/>
        <v>16.22</v>
      </c>
      <c r="AM21" s="73">
        <f t="shared" si="15"/>
        <v>-8.4489999999996144</v>
      </c>
      <c r="AN21" s="74">
        <f t="shared" si="19"/>
        <v>-6.1238779999999675</v>
      </c>
      <c r="AO21" s="74">
        <f t="shared" si="19"/>
        <v>-7.4180789999998922</v>
      </c>
      <c r="AP21" s="75">
        <f t="shared" si="16"/>
        <v>-9.6099885666886847E-2</v>
      </c>
      <c r="AQ21" s="76">
        <f t="shared" si="12"/>
        <v>-5164.3713103097307</v>
      </c>
      <c r="AR21" s="77">
        <f t="shared" si="17"/>
        <v>-8.4489999999996144</v>
      </c>
    </row>
    <row r="22" spans="1:49" x14ac:dyDescent="0.25">
      <c r="A22" t="str">
        <f t="shared" si="14"/>
        <v>46213M</v>
      </c>
      <c r="B22" s="51">
        <f t="shared" si="18"/>
        <v>46213</v>
      </c>
      <c r="C22" s="52" t="s">
        <v>87</v>
      </c>
      <c r="D22" s="91"/>
      <c r="E22" s="62"/>
      <c r="F22" s="62"/>
      <c r="G22" s="62">
        <f t="shared" si="0"/>
        <v>0</v>
      </c>
      <c r="H22" s="63">
        <f t="shared" si="1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5"/>
        <v>0</v>
      </c>
      <c r="AN22" s="74">
        <f t="shared" si="19"/>
        <v>0</v>
      </c>
      <c r="AO22" s="74">
        <f t="shared" si="19"/>
        <v>0</v>
      </c>
      <c r="AP22" s="75" t="e">
        <f t="shared" si="16"/>
        <v>#DIV/0!</v>
      </c>
      <c r="AQ22" s="76">
        <f t="shared" si="12"/>
        <v>0</v>
      </c>
      <c r="AR22" s="77">
        <f t="shared" si="17"/>
        <v>0</v>
      </c>
      <c r="AT22" s="83"/>
      <c r="AU22" s="83"/>
      <c r="AW22">
        <f>AS22*AU22%</f>
        <v>0</v>
      </c>
    </row>
    <row r="23" spans="1:49" x14ac:dyDescent="0.25">
      <c r="A23" t="str">
        <f t="shared" si="14"/>
        <v>46213E</v>
      </c>
      <c r="B23" s="51">
        <f t="shared" si="18"/>
        <v>46213</v>
      </c>
      <c r="C23" s="52" t="s">
        <v>88</v>
      </c>
      <c r="D23" s="91"/>
      <c r="E23" s="62"/>
      <c r="F23" s="62"/>
      <c r="G23" s="62">
        <f t="shared" si="0"/>
        <v>0</v>
      </c>
      <c r="H23" s="63">
        <f t="shared" si="1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89"/>
      <c r="AI23" s="66"/>
      <c r="AJ23" s="84"/>
      <c r="AK23" s="62">
        <f t="shared" si="9"/>
        <v>0</v>
      </c>
      <c r="AL23" s="72">
        <f t="shared" si="10"/>
        <v>0</v>
      </c>
      <c r="AM23" s="73">
        <f t="shared" si="15"/>
        <v>0</v>
      </c>
      <c r="AN23" s="74">
        <f t="shared" si="19"/>
        <v>0</v>
      </c>
      <c r="AO23" s="74">
        <f t="shared" si="19"/>
        <v>0</v>
      </c>
      <c r="AP23" s="75" t="e">
        <f t="shared" si="16"/>
        <v>#DIV/0!</v>
      </c>
      <c r="AQ23" s="76">
        <f t="shared" si="12"/>
        <v>0</v>
      </c>
      <c r="AR23" s="77">
        <f t="shared" si="17"/>
        <v>0</v>
      </c>
      <c r="AU23" s="83"/>
      <c r="AW23">
        <f>AS23*AU23%</f>
        <v>0</v>
      </c>
    </row>
    <row r="24" spans="1:49" x14ac:dyDescent="0.25">
      <c r="A24" t="str">
        <f t="shared" si="14"/>
        <v>46214M</v>
      </c>
      <c r="B24" s="51">
        <f t="shared" si="18"/>
        <v>46214</v>
      </c>
      <c r="C24" s="52" t="s">
        <v>87</v>
      </c>
      <c r="D24" s="91"/>
      <c r="E24" s="62"/>
      <c r="F24" s="62"/>
      <c r="G24" s="62">
        <f t="shared" si="0"/>
        <v>0</v>
      </c>
      <c r="H24" s="63">
        <f t="shared" si="1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5"/>
        <v>0</v>
      </c>
      <c r="AN24" s="74">
        <f t="shared" si="19"/>
        <v>0</v>
      </c>
      <c r="AO24" s="74">
        <f t="shared" si="19"/>
        <v>0</v>
      </c>
      <c r="AP24" s="75" t="e">
        <f t="shared" si="16"/>
        <v>#DIV/0!</v>
      </c>
      <c r="AQ24" s="76">
        <f t="shared" si="12"/>
        <v>0</v>
      </c>
      <c r="AR24" s="77">
        <f t="shared" si="17"/>
        <v>0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4"/>
        <v>46214E</v>
      </c>
      <c r="B25" s="51">
        <f t="shared" si="18"/>
        <v>46214</v>
      </c>
      <c r="C25" s="52" t="s">
        <v>88</v>
      </c>
      <c r="D25" s="91"/>
      <c r="E25" s="62"/>
      <c r="F25" s="62"/>
      <c r="G25" s="62">
        <f t="shared" si="0"/>
        <v>0</v>
      </c>
      <c r="H25" s="63">
        <f t="shared" si="1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5"/>
        <v>0</v>
      </c>
      <c r="AN25" s="74">
        <f t="shared" si="19"/>
        <v>0</v>
      </c>
      <c r="AO25" s="74">
        <f t="shared" si="19"/>
        <v>0</v>
      </c>
      <c r="AP25" s="75" t="e">
        <f t="shared" si="16"/>
        <v>#DIV/0!</v>
      </c>
      <c r="AQ25" s="76">
        <f t="shared" si="12"/>
        <v>0</v>
      </c>
      <c r="AR25" s="77">
        <f t="shared" si="17"/>
        <v>0</v>
      </c>
    </row>
    <row r="26" spans="1:49" x14ac:dyDescent="0.25">
      <c r="A26" t="str">
        <f t="shared" si="14"/>
        <v>46215M</v>
      </c>
      <c r="B26" s="51">
        <f t="shared" si="18"/>
        <v>46215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5"/>
        <v>0</v>
      </c>
      <c r="AN26" s="74">
        <f t="shared" si="19"/>
        <v>0</v>
      </c>
      <c r="AO26" s="74">
        <f t="shared" si="19"/>
        <v>0</v>
      </c>
      <c r="AP26" s="75" t="e">
        <f t="shared" si="16"/>
        <v>#DIV/0!</v>
      </c>
      <c r="AQ26" s="76">
        <f t="shared" si="12"/>
        <v>0</v>
      </c>
      <c r="AR26" s="77">
        <f t="shared" si="17"/>
        <v>0</v>
      </c>
    </row>
    <row r="27" spans="1:49" x14ac:dyDescent="0.25">
      <c r="A27" t="str">
        <f t="shared" si="14"/>
        <v>46215E</v>
      </c>
      <c r="B27" s="51">
        <f t="shared" si="18"/>
        <v>46215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5"/>
        <v>0</v>
      </c>
      <c r="AN27" s="74">
        <f t="shared" si="19"/>
        <v>0</v>
      </c>
      <c r="AO27" s="74">
        <f t="shared" si="19"/>
        <v>0</v>
      </c>
      <c r="AP27" s="75" t="e">
        <f t="shared" si="16"/>
        <v>#DIV/0!</v>
      </c>
      <c r="AQ27" s="76">
        <f t="shared" si="12"/>
        <v>0</v>
      </c>
      <c r="AR27" s="77">
        <f t="shared" si="17"/>
        <v>0</v>
      </c>
    </row>
    <row r="28" spans="1:49" x14ac:dyDescent="0.25">
      <c r="A28" t="str">
        <f t="shared" si="14"/>
        <v>46216M</v>
      </c>
      <c r="B28" s="51">
        <f t="shared" si="18"/>
        <v>46216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5"/>
        <v>0</v>
      </c>
      <c r="AN28" s="74">
        <f t="shared" si="19"/>
        <v>0</v>
      </c>
      <c r="AO28" s="74">
        <f t="shared" si="19"/>
        <v>0</v>
      </c>
      <c r="AP28" s="75" t="e">
        <f t="shared" si="16"/>
        <v>#DIV/0!</v>
      </c>
      <c r="AQ28" s="76">
        <f t="shared" si="12"/>
        <v>0</v>
      </c>
      <c r="AR28" s="77">
        <f t="shared" si="17"/>
        <v>0</v>
      </c>
    </row>
    <row r="29" spans="1:49" x14ac:dyDescent="0.25">
      <c r="A29" t="str">
        <f t="shared" si="14"/>
        <v>46216E</v>
      </c>
      <c r="B29" s="51">
        <f t="shared" si="18"/>
        <v>46216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5"/>
        <v>0</v>
      </c>
      <c r="AN29" s="74">
        <f t="shared" si="19"/>
        <v>0</v>
      </c>
      <c r="AO29" s="74">
        <f t="shared" si="19"/>
        <v>0</v>
      </c>
      <c r="AP29" s="75" t="e">
        <f t="shared" si="16"/>
        <v>#DIV/0!</v>
      </c>
      <c r="AQ29" s="76">
        <f t="shared" si="12"/>
        <v>0</v>
      </c>
      <c r="AR29" s="77">
        <f t="shared" si="17"/>
        <v>0</v>
      </c>
    </row>
    <row r="30" spans="1:49" x14ac:dyDescent="0.25">
      <c r="A30" t="str">
        <f t="shared" si="14"/>
        <v>46217M</v>
      </c>
      <c r="B30" s="51">
        <f t="shared" si="18"/>
        <v>46217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5"/>
        <v>0</v>
      </c>
      <c r="AN30" s="74">
        <f t="shared" si="19"/>
        <v>0</v>
      </c>
      <c r="AO30" s="74">
        <f t="shared" si="19"/>
        <v>0</v>
      </c>
      <c r="AP30" s="75" t="e">
        <f t="shared" si="16"/>
        <v>#DIV/0!</v>
      </c>
      <c r="AQ30" s="76">
        <f t="shared" si="12"/>
        <v>0</v>
      </c>
      <c r="AR30" s="77">
        <f t="shared" si="17"/>
        <v>0</v>
      </c>
    </row>
    <row r="31" spans="1:49" x14ac:dyDescent="0.25">
      <c r="A31" t="str">
        <f t="shared" si="14"/>
        <v>46217E</v>
      </c>
      <c r="B31" s="51">
        <f t="shared" si="18"/>
        <v>46217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5"/>
        <v>0</v>
      </c>
      <c r="AN31" s="74">
        <f t="shared" si="19"/>
        <v>0</v>
      </c>
      <c r="AO31" s="74">
        <f t="shared" si="19"/>
        <v>0</v>
      </c>
      <c r="AP31" s="75" t="e">
        <f t="shared" si="16"/>
        <v>#DIV/0!</v>
      </c>
      <c r="AQ31" s="76">
        <f t="shared" si="12"/>
        <v>0</v>
      </c>
      <c r="AR31" s="77">
        <f t="shared" si="17"/>
        <v>0</v>
      </c>
    </row>
    <row r="32" spans="1:49" x14ac:dyDescent="0.25">
      <c r="A32" t="str">
        <f t="shared" si="14"/>
        <v>46218M</v>
      </c>
      <c r="B32" s="51">
        <f t="shared" si="18"/>
        <v>46218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5"/>
        <v>0</v>
      </c>
      <c r="AN32" s="74">
        <f t="shared" si="19"/>
        <v>0</v>
      </c>
      <c r="AO32" s="74">
        <f t="shared" si="19"/>
        <v>0</v>
      </c>
      <c r="AP32" s="75" t="e">
        <f t="shared" si="16"/>
        <v>#DIV/0!</v>
      </c>
      <c r="AQ32" s="76">
        <f t="shared" si="12"/>
        <v>0</v>
      </c>
      <c r="AR32" s="77">
        <f t="shared" si="17"/>
        <v>0</v>
      </c>
    </row>
    <row r="33" spans="1:44" x14ac:dyDescent="0.25">
      <c r="A33" t="str">
        <f t="shared" si="14"/>
        <v>46218E</v>
      </c>
      <c r="B33" s="51">
        <f t="shared" si="18"/>
        <v>46218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5"/>
        <v>0</v>
      </c>
      <c r="AN33" s="74">
        <f t="shared" si="19"/>
        <v>0</v>
      </c>
      <c r="AO33" s="74">
        <f t="shared" si="19"/>
        <v>0</v>
      </c>
      <c r="AP33" s="75" t="e">
        <f t="shared" si="16"/>
        <v>#DIV/0!</v>
      </c>
      <c r="AQ33" s="76">
        <f t="shared" si="12"/>
        <v>0</v>
      </c>
      <c r="AR33" s="77">
        <f t="shared" si="17"/>
        <v>0</v>
      </c>
    </row>
    <row r="34" spans="1:44" x14ac:dyDescent="0.25">
      <c r="A34" t="str">
        <f t="shared" si="14"/>
        <v>46219M</v>
      </c>
      <c r="B34" s="51">
        <f t="shared" si="18"/>
        <v>46219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ref="AA34:AA65" si="20">X34*Y34%</f>
        <v>0</v>
      </c>
      <c r="AB34" s="63">
        <f t="shared" ref="AB34:AB65" si="21">X34*Z34%</f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5"/>
        <v>0</v>
      </c>
      <c r="AN34" s="74">
        <f t="shared" si="19"/>
        <v>0</v>
      </c>
      <c r="AO34" s="74">
        <f t="shared" si="19"/>
        <v>0</v>
      </c>
      <c r="AP34" s="75" t="e">
        <f t="shared" si="16"/>
        <v>#DIV/0!</v>
      </c>
      <c r="AQ34" s="76">
        <f t="shared" si="12"/>
        <v>0</v>
      </c>
      <c r="AR34" s="77">
        <f t="shared" si="17"/>
        <v>0</v>
      </c>
    </row>
    <row r="35" spans="1:44" x14ac:dyDescent="0.25">
      <c r="A35" t="str">
        <f t="shared" si="14"/>
        <v>46219E</v>
      </c>
      <c r="B35" s="51">
        <f t="shared" si="18"/>
        <v>46219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20"/>
        <v>0</v>
      </c>
      <c r="AB35" s="63">
        <f t="shared" si="21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5"/>
        <v>0</v>
      </c>
      <c r="AN35" s="74">
        <f t="shared" si="19"/>
        <v>0</v>
      </c>
      <c r="AO35" s="74">
        <f t="shared" si="19"/>
        <v>0</v>
      </c>
      <c r="AP35" s="75" t="e">
        <f t="shared" si="16"/>
        <v>#DIV/0!</v>
      </c>
      <c r="AQ35" s="76">
        <f t="shared" si="12"/>
        <v>0</v>
      </c>
      <c r="AR35" s="77">
        <f t="shared" si="17"/>
        <v>0</v>
      </c>
    </row>
    <row r="36" spans="1:44" x14ac:dyDescent="0.25">
      <c r="A36" t="str">
        <f t="shared" si="14"/>
        <v>46220M</v>
      </c>
      <c r="B36" s="51">
        <f t="shared" si="18"/>
        <v>46220</v>
      </c>
      <c r="C36" s="52" t="s">
        <v>87</v>
      </c>
      <c r="D36" s="91"/>
      <c r="E36" s="62"/>
      <c r="F36" s="62"/>
      <c r="G36" s="62">
        <f t="shared" si="0"/>
        <v>0</v>
      </c>
      <c r="H36" s="63">
        <f t="shared" si="1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20"/>
        <v>0</v>
      </c>
      <c r="AB36" s="63">
        <f t="shared" si="21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5"/>
        <v>0</v>
      </c>
      <c r="AN36" s="74">
        <f t="shared" si="19"/>
        <v>0</v>
      </c>
      <c r="AO36" s="74">
        <f t="shared" si="19"/>
        <v>0</v>
      </c>
      <c r="AP36" s="75" t="e">
        <f t="shared" si="16"/>
        <v>#DIV/0!</v>
      </c>
      <c r="AQ36" s="76">
        <f t="shared" si="12"/>
        <v>0</v>
      </c>
      <c r="AR36" s="77">
        <f t="shared" si="17"/>
        <v>0</v>
      </c>
    </row>
    <row r="37" spans="1:44" x14ac:dyDescent="0.25">
      <c r="A37" t="str">
        <f t="shared" si="14"/>
        <v>46220E</v>
      </c>
      <c r="B37" s="51">
        <f t="shared" si="18"/>
        <v>46220</v>
      </c>
      <c r="C37" s="52" t="s">
        <v>88</v>
      </c>
      <c r="D37" s="91"/>
      <c r="E37" s="62"/>
      <c r="F37" s="62"/>
      <c r="G37" s="62">
        <f t="shared" si="0"/>
        <v>0</v>
      </c>
      <c r="H37" s="63">
        <f t="shared" si="1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20"/>
        <v>0</v>
      </c>
      <c r="AB37" s="63">
        <f t="shared" si="21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5"/>
        <v>0</v>
      </c>
      <c r="AN37" s="74">
        <f t="shared" si="19"/>
        <v>0</v>
      </c>
      <c r="AO37" s="74">
        <f t="shared" si="19"/>
        <v>0</v>
      </c>
      <c r="AP37" s="75" t="e">
        <f t="shared" si="16"/>
        <v>#DIV/0!</v>
      </c>
      <c r="AQ37" s="76">
        <f t="shared" si="12"/>
        <v>0</v>
      </c>
      <c r="AR37" s="77">
        <f t="shared" si="17"/>
        <v>0</v>
      </c>
    </row>
    <row r="38" spans="1:44" x14ac:dyDescent="0.25">
      <c r="A38" t="str">
        <f t="shared" si="14"/>
        <v>46221M</v>
      </c>
      <c r="B38" s="51">
        <f t="shared" si="18"/>
        <v>46221</v>
      </c>
      <c r="C38" s="52" t="s">
        <v>87</v>
      </c>
      <c r="D38" s="91"/>
      <c r="E38" s="62"/>
      <c r="F38" s="62"/>
      <c r="G38" s="62">
        <f t="shared" si="0"/>
        <v>0</v>
      </c>
      <c r="H38" s="63">
        <f t="shared" si="1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20"/>
        <v>0</v>
      </c>
      <c r="AB38" s="63">
        <f t="shared" si="21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66"/>
      <c r="AJ38" s="66"/>
      <c r="AK38" s="62">
        <f t="shared" si="9"/>
        <v>0</v>
      </c>
      <c r="AL38" s="72">
        <f t="shared" si="10"/>
        <v>0</v>
      </c>
      <c r="AM38" s="73">
        <f t="shared" si="15"/>
        <v>0</v>
      </c>
      <c r="AN38" s="74">
        <f t="shared" si="19"/>
        <v>0</v>
      </c>
      <c r="AO38" s="74">
        <f t="shared" si="19"/>
        <v>0</v>
      </c>
      <c r="AP38" s="75" t="e">
        <f t="shared" si="16"/>
        <v>#DIV/0!</v>
      </c>
      <c r="AQ38" s="76">
        <f t="shared" si="12"/>
        <v>0</v>
      </c>
      <c r="AR38" s="77">
        <f t="shared" si="17"/>
        <v>0</v>
      </c>
    </row>
    <row r="39" spans="1:44" x14ac:dyDescent="0.25">
      <c r="A39" t="str">
        <f t="shared" si="14"/>
        <v>46221E</v>
      </c>
      <c r="B39" s="51">
        <f t="shared" si="18"/>
        <v>46221</v>
      </c>
      <c r="C39" s="52" t="s">
        <v>88</v>
      </c>
      <c r="D39" s="91"/>
      <c r="E39" s="62"/>
      <c r="F39" s="62"/>
      <c r="G39" s="62">
        <f t="shared" si="0"/>
        <v>0</v>
      </c>
      <c r="H39" s="63">
        <f t="shared" si="1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20"/>
        <v>0</v>
      </c>
      <c r="AB39" s="63">
        <f t="shared" si="21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5"/>
        <v>0</v>
      </c>
      <c r="AN39" s="74">
        <f t="shared" si="19"/>
        <v>0</v>
      </c>
      <c r="AO39" s="74">
        <f t="shared" si="19"/>
        <v>0</v>
      </c>
      <c r="AP39" s="75" t="e">
        <f t="shared" si="16"/>
        <v>#DIV/0!</v>
      </c>
      <c r="AQ39" s="76">
        <f t="shared" si="12"/>
        <v>0</v>
      </c>
      <c r="AR39" s="77">
        <f t="shared" si="17"/>
        <v>0</v>
      </c>
    </row>
    <row r="40" spans="1:44" x14ac:dyDescent="0.25">
      <c r="A40" t="str">
        <f t="shared" si="14"/>
        <v>46222M</v>
      </c>
      <c r="B40" s="51">
        <f t="shared" si="18"/>
        <v>46222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20"/>
        <v>0</v>
      </c>
      <c r="AB40" s="63">
        <f t="shared" si="21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5"/>
        <v>0</v>
      </c>
      <c r="AN40" s="74">
        <f t="shared" si="19"/>
        <v>0</v>
      </c>
      <c r="AO40" s="74">
        <f t="shared" si="19"/>
        <v>0</v>
      </c>
      <c r="AP40" s="75" t="e">
        <f t="shared" si="16"/>
        <v>#DIV/0!</v>
      </c>
      <c r="AQ40" s="76">
        <f t="shared" si="12"/>
        <v>0</v>
      </c>
      <c r="AR40" s="77">
        <f t="shared" si="17"/>
        <v>0</v>
      </c>
    </row>
    <row r="41" spans="1:44" x14ac:dyDescent="0.25">
      <c r="A41" t="str">
        <f t="shared" si="14"/>
        <v>46222E</v>
      </c>
      <c r="B41" s="51">
        <f t="shared" si="18"/>
        <v>46222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20"/>
        <v>0</v>
      </c>
      <c r="AB41" s="63">
        <f t="shared" si="21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66"/>
      <c r="AJ41" s="66"/>
      <c r="AK41" s="62">
        <f t="shared" si="9"/>
        <v>0</v>
      </c>
      <c r="AL41" s="72">
        <f t="shared" si="10"/>
        <v>0</v>
      </c>
      <c r="AM41" s="73">
        <f t="shared" si="15"/>
        <v>0</v>
      </c>
      <c r="AN41" s="74">
        <f t="shared" si="19"/>
        <v>0</v>
      </c>
      <c r="AO41" s="74">
        <f t="shared" si="19"/>
        <v>0</v>
      </c>
      <c r="AP41" s="75" t="e">
        <f t="shared" si="16"/>
        <v>#DIV/0!</v>
      </c>
      <c r="AQ41" s="76">
        <f t="shared" si="12"/>
        <v>0</v>
      </c>
      <c r="AR41" s="77">
        <f t="shared" si="17"/>
        <v>0</v>
      </c>
    </row>
    <row r="42" spans="1:44" x14ac:dyDescent="0.25">
      <c r="A42" t="str">
        <f t="shared" si="14"/>
        <v>46223M</v>
      </c>
      <c r="B42" s="51">
        <f t="shared" si="18"/>
        <v>46223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20"/>
        <v>0</v>
      </c>
      <c r="AB42" s="63">
        <f t="shared" si="21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5"/>
        <v>0</v>
      </c>
      <c r="AN42" s="74">
        <f t="shared" si="19"/>
        <v>0</v>
      </c>
      <c r="AO42" s="74">
        <f t="shared" si="19"/>
        <v>0</v>
      </c>
      <c r="AP42" s="75" t="e">
        <f t="shared" si="16"/>
        <v>#DIV/0!</v>
      </c>
      <c r="AQ42" s="76">
        <f t="shared" si="12"/>
        <v>0</v>
      </c>
      <c r="AR42" s="77">
        <f t="shared" si="17"/>
        <v>0</v>
      </c>
    </row>
    <row r="43" spans="1:44" x14ac:dyDescent="0.25">
      <c r="A43" t="str">
        <f t="shared" si="14"/>
        <v>46223E</v>
      </c>
      <c r="B43" s="51">
        <f t="shared" si="18"/>
        <v>46223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20"/>
        <v>0</v>
      </c>
      <c r="AB43" s="63">
        <f t="shared" si="21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66"/>
      <c r="AJ43" s="66"/>
      <c r="AK43" s="62">
        <f t="shared" si="9"/>
        <v>0</v>
      </c>
      <c r="AL43" s="72">
        <f t="shared" si="10"/>
        <v>0</v>
      </c>
      <c r="AM43" s="73">
        <f t="shared" si="15"/>
        <v>0</v>
      </c>
      <c r="AN43" s="74">
        <f t="shared" si="19"/>
        <v>0</v>
      </c>
      <c r="AO43" s="74">
        <f t="shared" si="19"/>
        <v>0</v>
      </c>
      <c r="AP43" s="75" t="e">
        <f t="shared" si="16"/>
        <v>#DIV/0!</v>
      </c>
      <c r="AQ43" s="76">
        <f t="shared" si="12"/>
        <v>0</v>
      </c>
      <c r="AR43" s="77">
        <f t="shared" si="17"/>
        <v>0</v>
      </c>
    </row>
    <row r="44" spans="1:44" x14ac:dyDescent="0.25">
      <c r="A44" t="str">
        <f t="shared" si="14"/>
        <v>46224M</v>
      </c>
      <c r="B44" s="51">
        <f t="shared" si="18"/>
        <v>46224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20"/>
        <v>0</v>
      </c>
      <c r="AB44" s="63">
        <f t="shared" si="21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5"/>
        <v>0</v>
      </c>
      <c r="AN44" s="74">
        <f t="shared" si="19"/>
        <v>0</v>
      </c>
      <c r="AO44" s="74">
        <f t="shared" si="19"/>
        <v>0</v>
      </c>
      <c r="AP44" s="75" t="e">
        <f t="shared" si="16"/>
        <v>#DIV/0!</v>
      </c>
      <c r="AQ44" s="76">
        <f t="shared" si="12"/>
        <v>0</v>
      </c>
      <c r="AR44" s="77">
        <f t="shared" si="17"/>
        <v>0</v>
      </c>
    </row>
    <row r="45" spans="1:44" x14ac:dyDescent="0.25">
      <c r="A45" t="str">
        <f t="shared" si="14"/>
        <v>46224E</v>
      </c>
      <c r="B45" s="51">
        <f t="shared" si="18"/>
        <v>46224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20"/>
        <v>0</v>
      </c>
      <c r="AB45" s="63">
        <f t="shared" si="21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66"/>
      <c r="AJ45" s="66"/>
      <c r="AK45" s="62">
        <f t="shared" si="9"/>
        <v>0</v>
      </c>
      <c r="AL45" s="72">
        <f t="shared" si="10"/>
        <v>0</v>
      </c>
      <c r="AM45" s="73">
        <f t="shared" si="15"/>
        <v>0</v>
      </c>
      <c r="AN45" s="74">
        <f t="shared" si="19"/>
        <v>0</v>
      </c>
      <c r="AO45" s="74">
        <f t="shared" si="19"/>
        <v>0</v>
      </c>
      <c r="AP45" s="75" t="e">
        <f t="shared" si="16"/>
        <v>#DIV/0!</v>
      </c>
      <c r="AQ45" s="76">
        <f t="shared" si="12"/>
        <v>0</v>
      </c>
      <c r="AR45" s="77">
        <f t="shared" si="17"/>
        <v>0</v>
      </c>
    </row>
    <row r="46" spans="1:44" x14ac:dyDescent="0.25">
      <c r="A46" t="str">
        <f t="shared" si="14"/>
        <v>46225M</v>
      </c>
      <c r="B46" s="51">
        <f t="shared" si="18"/>
        <v>46225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20"/>
        <v>0</v>
      </c>
      <c r="AB46" s="63">
        <f t="shared" si="21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5"/>
        <v>0</v>
      </c>
      <c r="AN46" s="74">
        <f t="shared" si="19"/>
        <v>0</v>
      </c>
      <c r="AO46" s="74">
        <f t="shared" si="19"/>
        <v>0</v>
      </c>
      <c r="AP46" s="75" t="e">
        <f t="shared" si="16"/>
        <v>#DIV/0!</v>
      </c>
      <c r="AQ46" s="76">
        <f t="shared" si="12"/>
        <v>0</v>
      </c>
      <c r="AR46" s="77">
        <f t="shared" si="17"/>
        <v>0</v>
      </c>
    </row>
    <row r="47" spans="1:44" x14ac:dyDescent="0.25">
      <c r="A47" t="str">
        <f t="shared" si="14"/>
        <v>46225E</v>
      </c>
      <c r="B47" s="51">
        <f t="shared" si="18"/>
        <v>46225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20"/>
        <v>0</v>
      </c>
      <c r="AB47" s="63">
        <f t="shared" si="21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5"/>
        <v>0</v>
      </c>
      <c r="AN47" s="74">
        <f t="shared" si="19"/>
        <v>0</v>
      </c>
      <c r="AO47" s="74">
        <f t="shared" si="19"/>
        <v>0</v>
      </c>
      <c r="AP47" s="75" t="e">
        <f t="shared" si="16"/>
        <v>#DIV/0!</v>
      </c>
      <c r="AQ47" s="76">
        <f t="shared" si="12"/>
        <v>0</v>
      </c>
      <c r="AR47" s="77">
        <f t="shared" si="17"/>
        <v>0</v>
      </c>
    </row>
    <row r="48" spans="1:44" x14ac:dyDescent="0.25">
      <c r="A48" t="str">
        <f t="shared" si="14"/>
        <v>46226M</v>
      </c>
      <c r="B48" s="51">
        <f t="shared" si="18"/>
        <v>46226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20"/>
        <v>0</v>
      </c>
      <c r="AB48" s="63">
        <f t="shared" si="21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66"/>
      <c r="AJ48" s="66"/>
      <c r="AK48" s="62">
        <f t="shared" si="9"/>
        <v>0</v>
      </c>
      <c r="AL48" s="72">
        <f t="shared" si="10"/>
        <v>0</v>
      </c>
      <c r="AM48" s="73">
        <f t="shared" si="15"/>
        <v>0</v>
      </c>
      <c r="AN48" s="74">
        <f t="shared" si="19"/>
        <v>0</v>
      </c>
      <c r="AO48" s="74">
        <f t="shared" si="19"/>
        <v>0</v>
      </c>
      <c r="AP48" s="75" t="e">
        <f t="shared" si="16"/>
        <v>#DIV/0!</v>
      </c>
      <c r="AQ48" s="76">
        <f t="shared" si="12"/>
        <v>0</v>
      </c>
      <c r="AR48" s="77">
        <f t="shared" si="17"/>
        <v>0</v>
      </c>
    </row>
    <row r="49" spans="1:44" x14ac:dyDescent="0.25">
      <c r="A49" t="str">
        <f t="shared" si="14"/>
        <v>46226E</v>
      </c>
      <c r="B49" s="51">
        <f t="shared" si="18"/>
        <v>46226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20"/>
        <v>0</v>
      </c>
      <c r="AB49" s="63">
        <f t="shared" si="21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5"/>
        <v>0</v>
      </c>
      <c r="AN49" s="74">
        <f t="shared" si="19"/>
        <v>0</v>
      </c>
      <c r="AO49" s="74">
        <f t="shared" si="19"/>
        <v>0</v>
      </c>
      <c r="AP49" s="75" t="e">
        <f t="shared" si="16"/>
        <v>#DIV/0!</v>
      </c>
      <c r="AQ49" s="76">
        <f t="shared" si="12"/>
        <v>0</v>
      </c>
      <c r="AR49" s="77">
        <f t="shared" si="17"/>
        <v>0</v>
      </c>
    </row>
    <row r="50" spans="1:44" x14ac:dyDescent="0.25">
      <c r="A50" t="str">
        <f t="shared" si="14"/>
        <v>46227M</v>
      </c>
      <c r="B50" s="51">
        <f t="shared" si="18"/>
        <v>46227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20"/>
        <v>0</v>
      </c>
      <c r="AB50" s="63">
        <f t="shared" si="21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66"/>
      <c r="AJ50" s="66"/>
      <c r="AK50" s="62">
        <f t="shared" si="9"/>
        <v>0</v>
      </c>
      <c r="AL50" s="72">
        <f t="shared" si="10"/>
        <v>0</v>
      </c>
      <c r="AM50" s="73">
        <f t="shared" si="15"/>
        <v>0</v>
      </c>
      <c r="AN50" s="74">
        <f t="shared" si="19"/>
        <v>0</v>
      </c>
      <c r="AO50" s="74">
        <f t="shared" si="19"/>
        <v>0</v>
      </c>
      <c r="AP50" s="75" t="e">
        <f t="shared" si="16"/>
        <v>#DIV/0!</v>
      </c>
      <c r="AQ50" s="76">
        <f t="shared" si="12"/>
        <v>0</v>
      </c>
      <c r="AR50" s="77">
        <f t="shared" si="17"/>
        <v>0</v>
      </c>
    </row>
    <row r="51" spans="1:44" x14ac:dyDescent="0.25">
      <c r="A51" t="str">
        <f t="shared" si="14"/>
        <v>46227E</v>
      </c>
      <c r="B51" s="51">
        <f t="shared" si="18"/>
        <v>46227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20"/>
        <v>0</v>
      </c>
      <c r="AB51" s="63">
        <f t="shared" si="21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5"/>
        <v>0</v>
      </c>
      <c r="AN51" s="74">
        <f t="shared" si="19"/>
        <v>0</v>
      </c>
      <c r="AO51" s="74">
        <f t="shared" si="19"/>
        <v>0</v>
      </c>
      <c r="AP51" s="75" t="e">
        <f t="shared" si="16"/>
        <v>#DIV/0!</v>
      </c>
      <c r="AQ51" s="76">
        <f t="shared" si="12"/>
        <v>0</v>
      </c>
      <c r="AR51" s="77">
        <f t="shared" si="17"/>
        <v>0</v>
      </c>
    </row>
    <row r="52" spans="1:44" x14ac:dyDescent="0.25">
      <c r="A52" t="str">
        <f t="shared" si="14"/>
        <v>46228M</v>
      </c>
      <c r="B52" s="51">
        <f t="shared" si="18"/>
        <v>46228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20"/>
        <v>0</v>
      </c>
      <c r="AB52" s="63">
        <f t="shared" si="21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5"/>
        <v>0</v>
      </c>
      <c r="AN52" s="74">
        <f t="shared" si="19"/>
        <v>0</v>
      </c>
      <c r="AO52" s="74">
        <f t="shared" si="19"/>
        <v>0</v>
      </c>
      <c r="AP52" s="75" t="e">
        <f t="shared" si="16"/>
        <v>#DIV/0!</v>
      </c>
      <c r="AQ52" s="76">
        <f t="shared" si="12"/>
        <v>0</v>
      </c>
      <c r="AR52" s="77">
        <f t="shared" si="17"/>
        <v>0</v>
      </c>
    </row>
    <row r="53" spans="1:44" x14ac:dyDescent="0.25">
      <c r="A53" t="str">
        <f t="shared" si="14"/>
        <v>46228E</v>
      </c>
      <c r="B53" s="51">
        <f t="shared" si="18"/>
        <v>46228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20"/>
        <v>0</v>
      </c>
      <c r="AB53" s="63">
        <f t="shared" si="21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5"/>
        <v>0</v>
      </c>
      <c r="AN53" s="74">
        <f t="shared" si="19"/>
        <v>0</v>
      </c>
      <c r="AO53" s="74">
        <f t="shared" si="19"/>
        <v>0</v>
      </c>
      <c r="AP53" s="75" t="e">
        <f t="shared" si="16"/>
        <v>#DIV/0!</v>
      </c>
      <c r="AQ53" s="76">
        <f t="shared" si="12"/>
        <v>0</v>
      </c>
      <c r="AR53" s="77">
        <f t="shared" si="17"/>
        <v>0</v>
      </c>
    </row>
    <row r="54" spans="1:44" x14ac:dyDescent="0.25">
      <c r="A54" t="str">
        <f t="shared" si="14"/>
        <v>46229M</v>
      </c>
      <c r="B54" s="51">
        <f t="shared" si="18"/>
        <v>46229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20"/>
        <v>0</v>
      </c>
      <c r="AB54" s="63">
        <f t="shared" si="21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5"/>
        <v>0</v>
      </c>
      <c r="AN54" s="74">
        <f t="shared" si="19"/>
        <v>0</v>
      </c>
      <c r="AO54" s="74">
        <f t="shared" si="19"/>
        <v>0</v>
      </c>
      <c r="AP54" s="75" t="e">
        <f t="shared" si="16"/>
        <v>#DIV/0!</v>
      </c>
      <c r="AQ54" s="76">
        <f t="shared" si="12"/>
        <v>0</v>
      </c>
      <c r="AR54" s="77">
        <f t="shared" si="17"/>
        <v>0</v>
      </c>
    </row>
    <row r="55" spans="1:44" x14ac:dyDescent="0.25">
      <c r="A55" t="str">
        <f t="shared" si="14"/>
        <v>46229E</v>
      </c>
      <c r="B55" s="51">
        <f t="shared" si="18"/>
        <v>46229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20"/>
        <v>0</v>
      </c>
      <c r="AB55" s="63">
        <f t="shared" si="21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5"/>
        <v>0</v>
      </c>
      <c r="AN55" s="74">
        <f t="shared" si="19"/>
        <v>0</v>
      </c>
      <c r="AO55" s="74">
        <f t="shared" si="19"/>
        <v>0</v>
      </c>
      <c r="AP55" s="75" t="e">
        <f t="shared" si="16"/>
        <v>#DIV/0!</v>
      </c>
      <c r="AQ55" s="76">
        <f t="shared" si="12"/>
        <v>0</v>
      </c>
      <c r="AR55" s="77">
        <f t="shared" si="17"/>
        <v>0</v>
      </c>
    </row>
    <row r="56" spans="1:44" x14ac:dyDescent="0.25">
      <c r="A56" t="str">
        <f t="shared" si="14"/>
        <v>46230M</v>
      </c>
      <c r="B56" s="51">
        <f t="shared" si="18"/>
        <v>46230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20"/>
        <v>0</v>
      </c>
      <c r="AB56" s="63">
        <f t="shared" si="21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5"/>
        <v>0</v>
      </c>
      <c r="AN56" s="74">
        <f t="shared" si="19"/>
        <v>0</v>
      </c>
      <c r="AO56" s="74">
        <f t="shared" si="19"/>
        <v>0</v>
      </c>
      <c r="AP56" s="75" t="e">
        <f t="shared" si="16"/>
        <v>#DIV/0!</v>
      </c>
      <c r="AQ56" s="76">
        <f t="shared" si="12"/>
        <v>0</v>
      </c>
      <c r="AR56" s="77">
        <f t="shared" si="17"/>
        <v>0</v>
      </c>
    </row>
    <row r="57" spans="1:44" x14ac:dyDescent="0.25">
      <c r="A57" t="str">
        <f t="shared" si="14"/>
        <v>46230E</v>
      </c>
      <c r="B57" s="51">
        <f t="shared" si="18"/>
        <v>46230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20"/>
        <v>0</v>
      </c>
      <c r="AB57" s="63">
        <f t="shared" si="21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5"/>
        <v>0</v>
      </c>
      <c r="AN57" s="74">
        <f t="shared" si="19"/>
        <v>0</v>
      </c>
      <c r="AO57" s="74">
        <f t="shared" si="19"/>
        <v>0</v>
      </c>
      <c r="AP57" s="75" t="e">
        <f t="shared" si="16"/>
        <v>#DIV/0!</v>
      </c>
      <c r="AQ57" s="76">
        <f t="shared" si="12"/>
        <v>0</v>
      </c>
      <c r="AR57" s="77">
        <f t="shared" si="17"/>
        <v>0</v>
      </c>
    </row>
    <row r="58" spans="1:44" x14ac:dyDescent="0.25">
      <c r="A58" t="str">
        <f t="shared" si="14"/>
        <v>46231M</v>
      </c>
      <c r="B58" s="51">
        <f t="shared" si="18"/>
        <v>46231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20"/>
        <v>0</v>
      </c>
      <c r="AB58" s="63">
        <f t="shared" si="21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5"/>
        <v>0</v>
      </c>
      <c r="AN58" s="74">
        <f t="shared" si="19"/>
        <v>0</v>
      </c>
      <c r="AO58" s="74">
        <f t="shared" si="19"/>
        <v>0</v>
      </c>
      <c r="AP58" s="75" t="e">
        <f t="shared" si="16"/>
        <v>#DIV/0!</v>
      </c>
      <c r="AQ58" s="76">
        <f t="shared" si="12"/>
        <v>0</v>
      </c>
      <c r="AR58" s="77">
        <f t="shared" si="17"/>
        <v>0</v>
      </c>
    </row>
    <row r="59" spans="1:44" x14ac:dyDescent="0.25">
      <c r="A59" t="str">
        <f t="shared" si="14"/>
        <v>46231E</v>
      </c>
      <c r="B59" s="51">
        <f t="shared" si="18"/>
        <v>46231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20"/>
        <v>0</v>
      </c>
      <c r="AB59" s="63">
        <f t="shared" si="21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5"/>
        <v>0</v>
      </c>
      <c r="AN59" s="74">
        <f t="shared" si="19"/>
        <v>0</v>
      </c>
      <c r="AO59" s="74">
        <f t="shared" si="19"/>
        <v>0</v>
      </c>
      <c r="AP59" s="75" t="e">
        <f t="shared" si="16"/>
        <v>#DIV/0!</v>
      </c>
      <c r="AQ59" s="76">
        <f t="shared" si="12"/>
        <v>0</v>
      </c>
      <c r="AR59" s="77">
        <f t="shared" si="17"/>
        <v>0</v>
      </c>
    </row>
    <row r="60" spans="1:44" x14ac:dyDescent="0.25">
      <c r="A60" t="str">
        <f t="shared" si="14"/>
        <v>46232M</v>
      </c>
      <c r="B60" s="51">
        <f t="shared" si="18"/>
        <v>46232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20"/>
        <v>0</v>
      </c>
      <c r="AB60" s="63">
        <f t="shared" si="21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5"/>
        <v>0</v>
      </c>
      <c r="AN60" s="74">
        <f t="shared" si="19"/>
        <v>0</v>
      </c>
      <c r="AO60" s="74">
        <f t="shared" si="19"/>
        <v>0</v>
      </c>
      <c r="AP60" s="75" t="e">
        <f t="shared" si="16"/>
        <v>#DIV/0!</v>
      </c>
      <c r="AQ60" s="76">
        <f t="shared" si="12"/>
        <v>0</v>
      </c>
      <c r="AR60" s="77">
        <f t="shared" si="17"/>
        <v>0</v>
      </c>
    </row>
    <row r="61" spans="1:44" x14ac:dyDescent="0.25">
      <c r="A61" t="str">
        <f t="shared" si="14"/>
        <v>46232E</v>
      </c>
      <c r="B61" s="51">
        <f t="shared" si="18"/>
        <v>46232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20"/>
        <v>0</v>
      </c>
      <c r="AB61" s="63">
        <f t="shared" si="21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5"/>
        <v>0</v>
      </c>
      <c r="AN61" s="74">
        <f t="shared" si="19"/>
        <v>0</v>
      </c>
      <c r="AO61" s="74">
        <f t="shared" si="19"/>
        <v>0</v>
      </c>
      <c r="AP61" s="75" t="e">
        <f t="shared" si="16"/>
        <v>#DIV/0!</v>
      </c>
      <c r="AQ61" s="76">
        <f t="shared" si="12"/>
        <v>0</v>
      </c>
      <c r="AR61" s="77">
        <f t="shared" si="17"/>
        <v>0</v>
      </c>
    </row>
    <row r="62" spans="1:44" x14ac:dyDescent="0.25">
      <c r="A62" t="str">
        <f t="shared" si="14"/>
        <v>46233M</v>
      </c>
      <c r="B62" s="51">
        <f t="shared" si="18"/>
        <v>46233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20"/>
        <v>0</v>
      </c>
      <c r="AB62" s="63">
        <f t="shared" si="21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5"/>
        <v>0</v>
      </c>
      <c r="AN62" s="74">
        <f t="shared" si="19"/>
        <v>0</v>
      </c>
      <c r="AO62" s="74">
        <f t="shared" si="19"/>
        <v>0</v>
      </c>
      <c r="AP62" s="75" t="e">
        <f t="shared" si="16"/>
        <v>#DIV/0!</v>
      </c>
      <c r="AQ62" s="76">
        <f t="shared" si="12"/>
        <v>0</v>
      </c>
      <c r="AR62" s="77">
        <f t="shared" si="17"/>
        <v>0</v>
      </c>
    </row>
    <row r="63" spans="1:44" x14ac:dyDescent="0.25">
      <c r="A63" t="str">
        <f t="shared" si="14"/>
        <v>46233E</v>
      </c>
      <c r="B63" s="51">
        <f t="shared" si="18"/>
        <v>46233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20"/>
        <v>0</v>
      </c>
      <c r="AB63" s="63">
        <f t="shared" si="21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5"/>
        <v>0</v>
      </c>
      <c r="AN63" s="74">
        <f t="shared" si="19"/>
        <v>0</v>
      </c>
      <c r="AO63" s="74">
        <f t="shared" si="19"/>
        <v>0</v>
      </c>
      <c r="AP63" s="75" t="e">
        <f t="shared" si="16"/>
        <v>#DIV/0!</v>
      </c>
      <c r="AQ63" s="76">
        <f t="shared" si="12"/>
        <v>0</v>
      </c>
      <c r="AR63" s="77">
        <f t="shared" si="17"/>
        <v>0</v>
      </c>
    </row>
    <row r="64" spans="1:44" x14ac:dyDescent="0.25">
      <c r="A64" t="str">
        <f t="shared" si="14"/>
        <v>46234M</v>
      </c>
      <c r="B64" s="51">
        <f t="shared" si="18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20"/>
        <v>0</v>
      </c>
      <c r="AB64" s="63">
        <f t="shared" si="21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66"/>
      <c r="AJ64" s="66"/>
      <c r="AK64" s="62">
        <f t="shared" si="9"/>
        <v>0</v>
      </c>
      <c r="AL64" s="72">
        <f t="shared" si="10"/>
        <v>0</v>
      </c>
      <c r="AM64" s="73">
        <f t="shared" si="15"/>
        <v>0</v>
      </c>
      <c r="AN64" s="74">
        <f t="shared" si="19"/>
        <v>0</v>
      </c>
      <c r="AO64" s="74">
        <f t="shared" si="19"/>
        <v>0</v>
      </c>
      <c r="AP64" s="75" t="e">
        <f t="shared" si="16"/>
        <v>#DIV/0!</v>
      </c>
      <c r="AQ64" s="76">
        <f t="shared" si="12"/>
        <v>0</v>
      </c>
      <c r="AR64" s="77">
        <f t="shared" si="17"/>
        <v>0</v>
      </c>
    </row>
    <row r="65" spans="1:44" ht="15.75" thickBot="1" x14ac:dyDescent="0.3">
      <c r="A65" t="str">
        <f t="shared" si="14"/>
        <v>46234E</v>
      </c>
      <c r="B65" s="51">
        <f t="shared" si="18"/>
        <v>46234</v>
      </c>
      <c r="C65" s="9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20"/>
        <v>0</v>
      </c>
      <c r="AB65" s="63">
        <f t="shared" si="21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66"/>
      <c r="AJ65" s="66"/>
      <c r="AK65" s="62">
        <f t="shared" si="9"/>
        <v>0</v>
      </c>
      <c r="AL65" s="72">
        <f t="shared" si="10"/>
        <v>0</v>
      </c>
      <c r="AM65" s="73">
        <f t="shared" si="15"/>
        <v>0</v>
      </c>
      <c r="AN65" s="74">
        <f t="shared" si="19"/>
        <v>0</v>
      </c>
      <c r="AO65" s="74">
        <f t="shared" si="19"/>
        <v>0</v>
      </c>
      <c r="AP65" s="75" t="e">
        <f t="shared" si="16"/>
        <v>#DIV/0!</v>
      </c>
      <c r="AQ65" s="76">
        <f t="shared" si="12"/>
        <v>0</v>
      </c>
      <c r="AR65" s="77">
        <f t="shared" si="17"/>
        <v>0</v>
      </c>
    </row>
    <row r="66" spans="1:44" ht="15.75" thickBot="1" x14ac:dyDescent="0.3">
      <c r="J66" s="83">
        <f>SUM(J4:J65)</f>
        <v>20488.039000000004</v>
      </c>
      <c r="R66">
        <f>+J66+O66</f>
        <v>20488.039000000004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3">
        <f>-SUM(AM4:AM65)</f>
        <v>238.56099999999878</v>
      </c>
      <c r="AN66" s="93">
        <f>-SUM(AN4:AN65)</f>
        <v>15.704549999999884</v>
      </c>
      <c r="AO66" s="93">
        <f>-SUM(AO4:AO65)</f>
        <v>-27.385072000000264</v>
      </c>
      <c r="AP66" s="94"/>
      <c r="AQ66" s="95">
        <f>-SUM(AQ4:AQ65)</f>
        <v>-655.03786612539352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9" priority="2" operator="lessThan">
      <formula>0.1</formula>
    </cfRule>
    <cfRule type="cellIs" dxfId="78" priority="3" operator="greaterThan">
      <formula>0.1</formula>
    </cfRule>
  </conditionalFormatting>
  <conditionalFormatting sqref="AP1:AQ1">
    <cfRule type="cellIs" dxfId="77" priority="1" operator="lessThan">
      <formula>1</formula>
    </cfRule>
  </conditionalFormatting>
  <conditionalFormatting sqref="AQ4:AQ65">
    <cfRule type="cellIs" dxfId="76" priority="4" operator="lessThan">
      <formula>0</formula>
    </cfRule>
    <cfRule type="cellIs" dxfId="75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0" sqref="AC20:AE20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8.8554687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147</v>
      </c>
      <c r="C1" s="44"/>
      <c r="G1" s="207"/>
      <c r="H1" s="207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1783</v>
      </c>
      <c r="E4" s="88">
        <v>4.13</v>
      </c>
      <c r="F4" s="88">
        <v>8.19</v>
      </c>
      <c r="G4" s="62">
        <f t="shared" ref="G4:G65" si="0">+D4*E4%</f>
        <v>73.637899999999988</v>
      </c>
      <c r="H4" s="63">
        <f t="shared" ref="H4:H65" si="1">+D4*F4%</f>
        <v>146.02770000000001</v>
      </c>
      <c r="I4" s="202">
        <v>1058.0999999999999</v>
      </c>
      <c r="J4" s="202">
        <v>1089.8429999999998</v>
      </c>
      <c r="K4" s="202">
        <v>4.4318306398261029</v>
      </c>
      <c r="L4" s="202">
        <v>8.3227388715622332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1089.8429999999998</v>
      </c>
      <c r="S4" s="62">
        <f t="shared" ref="S4:S65" si="3">+J4*K4%+O4*P4%</f>
        <v>48.299995999999986</v>
      </c>
      <c r="T4" s="63">
        <f t="shared" ref="T4:T65" si="4">+J4*L4%+O4*Q4%</f>
        <v>90.704786999999982</v>
      </c>
      <c r="U4" s="64" t="s">
        <v>170</v>
      </c>
      <c r="V4" s="65" t="s">
        <v>231</v>
      </c>
      <c r="W4" s="66" t="s">
        <v>193</v>
      </c>
      <c r="X4" s="67">
        <v>2990</v>
      </c>
      <c r="Y4" s="68">
        <v>4.1500000000000004</v>
      </c>
      <c r="Z4" s="68">
        <v>7.8</v>
      </c>
      <c r="AA4" s="62">
        <f t="shared" ref="AA4:AA65" si="5">X4*Y4%</f>
        <v>124.08500000000001</v>
      </c>
      <c r="AB4" s="63">
        <f t="shared" ref="AB4:AB65" si="6">X4*Z4%</f>
        <v>233.22</v>
      </c>
      <c r="AC4" s="69">
        <v>2990</v>
      </c>
      <c r="AD4" s="70">
        <v>4.0999999999999996</v>
      </c>
      <c r="AE4" s="70">
        <v>7.73</v>
      </c>
      <c r="AF4" s="62">
        <f t="shared" ref="AF4:AF65" si="7">AC4*AD4%</f>
        <v>122.58999999999999</v>
      </c>
      <c r="AG4" s="62">
        <f t="shared" ref="AG4:AG65" si="8">AC4*AE4%</f>
        <v>231.12700000000001</v>
      </c>
      <c r="AH4" s="89">
        <v>0</v>
      </c>
      <c r="AI4" s="66">
        <v>0</v>
      </c>
      <c r="AJ4" s="66">
        <v>0</v>
      </c>
      <c r="AK4" s="62">
        <f t="shared" ref="AK4:AK65" si="9">AH4*AI4%</f>
        <v>0</v>
      </c>
      <c r="AL4" s="72">
        <f t="shared" ref="AL4:AL65" si="10">AH4*AJ4%</f>
        <v>0</v>
      </c>
      <c r="AM4" s="73">
        <f t="shared" ref="AM4:AM65" si="11">+D4+R4-AC4-AH4</f>
        <v>-117.15700000000015</v>
      </c>
      <c r="AN4" s="74">
        <f t="shared" ref="AN4:AO19" si="12">+G4+S4-AF4-AK4</f>
        <v>-0.65210400000002267</v>
      </c>
      <c r="AO4" s="74">
        <f t="shared" si="12"/>
        <v>5.6054869999999823</v>
      </c>
      <c r="AP4" s="75">
        <f t="shared" ref="AP4:AP65" si="13">(AN4+AO4)/(S4+T4)</f>
        <v>3.5634622730931209E-2</v>
      </c>
      <c r="AQ4" s="76">
        <f t="shared" ref="AQ4:AQ65" si="14">($AP$1*AN4+$AQ$1*AO4)</f>
        <v>1365.4362579357203</v>
      </c>
      <c r="AR4" s="90">
        <f t="shared" ref="AR4:AR65" si="15">(D4+J4+O4)-(X4+AH4)</f>
        <v>-117.15700000000015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0</v>
      </c>
      <c r="E5" s="62">
        <v>0</v>
      </c>
      <c r="F5" s="62">
        <v>0</v>
      </c>
      <c r="G5" s="62">
        <f t="shared" si="0"/>
        <v>0</v>
      </c>
      <c r="H5" s="63">
        <f t="shared" si="1"/>
        <v>0</v>
      </c>
      <c r="I5" s="202">
        <v>1852.0000000000002</v>
      </c>
      <c r="J5" s="202">
        <v>1907.5600000000002</v>
      </c>
      <c r="K5" s="202">
        <v>3.9065550755939538</v>
      </c>
      <c r="L5" s="202">
        <v>8.2483369330453602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1907.5600000000002</v>
      </c>
      <c r="S5" s="62">
        <f t="shared" si="3"/>
        <v>74.519882000000038</v>
      </c>
      <c r="T5" s="63">
        <f t="shared" si="4"/>
        <v>157.34197600000007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1907.5</v>
      </c>
      <c r="AI5" s="66">
        <v>3.91</v>
      </c>
      <c r="AJ5" s="66">
        <v>8.25</v>
      </c>
      <c r="AK5" s="62">
        <f t="shared" si="9"/>
        <v>74.583250000000007</v>
      </c>
      <c r="AL5" s="72">
        <f t="shared" si="10"/>
        <v>157.36875000000001</v>
      </c>
      <c r="AM5" s="73">
        <f t="shared" si="11"/>
        <v>6.0000000000172804E-2</v>
      </c>
      <c r="AN5" s="74">
        <f t="shared" si="12"/>
        <v>-6.3367999999968561E-2</v>
      </c>
      <c r="AO5" s="74">
        <f t="shared" si="12"/>
        <v>-2.677399999993213E-2</v>
      </c>
      <c r="AP5" s="75">
        <f t="shared" si="13"/>
        <v>-3.8877459525878832E-4</v>
      </c>
      <c r="AQ5" s="76">
        <f t="shared" si="14"/>
        <v>-38.46896104603421</v>
      </c>
      <c r="AR5" s="90">
        <f t="shared" si="15"/>
        <v>6.0000000000172804E-2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1907.5</v>
      </c>
      <c r="E6" s="62">
        <v>3.91</v>
      </c>
      <c r="F6" s="62">
        <v>8.25</v>
      </c>
      <c r="G6" s="62">
        <f t="shared" ref="G6:G39" si="17">+D6*E6%</f>
        <v>74.583250000000007</v>
      </c>
      <c r="H6" s="63">
        <f t="shared" ref="H6:H39" si="18">+D6*F6%</f>
        <v>157.36875000000001</v>
      </c>
      <c r="I6" s="202">
        <v>1200.0999999999997</v>
      </c>
      <c r="J6" s="202">
        <v>1236.1029999999996</v>
      </c>
      <c r="K6" s="202">
        <v>4.5630030830764108</v>
      </c>
      <c r="L6" s="202">
        <v>8.4067744354637117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ref="R6:R40" si="19">+J6+O6</f>
        <v>1236.1029999999996</v>
      </c>
      <c r="S6" s="62">
        <f t="shared" ref="S6:S40" si="20">+J6*K6%+O6*P6%</f>
        <v>56.403417999999988</v>
      </c>
      <c r="T6" s="63">
        <f t="shared" ref="T6:T40" si="21">+J6*L6%+O6*Q6%</f>
        <v>103.91639099999996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ref="AA6:AA40" si="22">X6*Y6%</f>
        <v>0</v>
      </c>
      <c r="AB6" s="63">
        <f t="shared" ref="AB6:AB40" si="23">X6*Z6%</f>
        <v>0</v>
      </c>
      <c r="AC6" s="69"/>
      <c r="AD6" s="70"/>
      <c r="AE6" s="70"/>
      <c r="AF6" s="62">
        <f t="shared" ref="AF6:AF40" si="24">AC6*AD6%</f>
        <v>0</v>
      </c>
      <c r="AG6" s="62">
        <f t="shared" ref="AG6:AG40" si="25">AC6*AE6%</f>
        <v>0</v>
      </c>
      <c r="AH6" s="89">
        <v>3143.6</v>
      </c>
      <c r="AI6" s="66">
        <v>4.16</v>
      </c>
      <c r="AJ6" s="66">
        <v>8.31</v>
      </c>
      <c r="AK6" s="62">
        <f t="shared" ref="AK6:AK40" si="26">AH6*AI6%</f>
        <v>130.77375999999998</v>
      </c>
      <c r="AL6" s="72">
        <f t="shared" ref="AL6:AL40" si="27">AH6*AJ6%</f>
        <v>261.23316</v>
      </c>
      <c r="AM6" s="73">
        <f t="shared" si="11"/>
        <v>2.9999999997016857E-3</v>
      </c>
      <c r="AN6" s="74">
        <f t="shared" si="12"/>
        <v>0.21290800000002719</v>
      </c>
      <c r="AO6" s="74">
        <f t="shared" si="12"/>
        <v>5.1980999999955202E-2</v>
      </c>
      <c r="AP6" s="75">
        <f t="shared" si="13"/>
        <v>1.6522537149478668E-3</v>
      </c>
      <c r="AQ6" s="76">
        <f t="shared" si="14"/>
        <v>117.87707013296445</v>
      </c>
      <c r="AR6" s="90">
        <f t="shared" si="15"/>
        <v>2.9999999997016857E-3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3143.6</v>
      </c>
      <c r="E7" s="62">
        <v>4.16</v>
      </c>
      <c r="F7" s="62">
        <v>8.31</v>
      </c>
      <c r="G7" s="62">
        <f t="shared" si="17"/>
        <v>130.77375999999998</v>
      </c>
      <c r="H7" s="63">
        <f t="shared" si="18"/>
        <v>261.23316</v>
      </c>
      <c r="I7" s="202">
        <v>1738.6</v>
      </c>
      <c r="J7" s="202">
        <v>1790.758</v>
      </c>
      <c r="K7" s="202">
        <v>3.945904750949039</v>
      </c>
      <c r="L7" s="202">
        <v>8.2303002415736799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9"/>
        <v>1790.758</v>
      </c>
      <c r="S7" s="62">
        <f t="shared" si="20"/>
        <v>70.661604999999994</v>
      </c>
      <c r="T7" s="63">
        <f t="shared" si="21"/>
        <v>147.38476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2"/>
        <v>0</v>
      </c>
      <c r="AB7" s="63">
        <f t="shared" si="23"/>
        <v>0</v>
      </c>
      <c r="AC7" s="69"/>
      <c r="AD7" s="70"/>
      <c r="AE7" s="70"/>
      <c r="AF7" s="62">
        <f t="shared" si="24"/>
        <v>0</v>
      </c>
      <c r="AG7" s="62">
        <f t="shared" si="25"/>
        <v>0</v>
      </c>
      <c r="AH7" s="89">
        <v>4934.3</v>
      </c>
      <c r="AI7" s="66">
        <v>4.08</v>
      </c>
      <c r="AJ7" s="66">
        <v>8.2799999999999994</v>
      </c>
      <c r="AK7" s="62">
        <f t="shared" si="26"/>
        <v>201.31944000000001</v>
      </c>
      <c r="AL7" s="72">
        <f t="shared" si="27"/>
        <v>408.56004000000001</v>
      </c>
      <c r="AM7" s="73">
        <f t="shared" si="11"/>
        <v>5.7999999999992724E-2</v>
      </c>
      <c r="AN7" s="74">
        <f t="shared" si="12"/>
        <v>0.11592499999997585</v>
      </c>
      <c r="AO7" s="74">
        <f t="shared" si="12"/>
        <v>5.7880000000011478E-2</v>
      </c>
      <c r="AP7" s="75">
        <f t="shared" si="13"/>
        <v>7.9710111195840092E-4</v>
      </c>
      <c r="AQ7" s="76">
        <f t="shared" si="14"/>
        <v>73.040280167045637</v>
      </c>
      <c r="AR7" s="90">
        <f t="shared" si="15"/>
        <v>5.7999999999992724E-2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4934.3</v>
      </c>
      <c r="E8" s="62">
        <v>4.08</v>
      </c>
      <c r="F8" s="62">
        <v>8.2799999999999994</v>
      </c>
      <c r="G8" s="62">
        <f t="shared" si="17"/>
        <v>201.31944000000001</v>
      </c>
      <c r="H8" s="63">
        <f t="shared" si="18"/>
        <v>408.56004000000001</v>
      </c>
      <c r="I8" s="202">
        <v>1217.8</v>
      </c>
      <c r="J8" s="202">
        <v>1254.3340000000001</v>
      </c>
      <c r="K8" s="202">
        <v>4.4690343241911643</v>
      </c>
      <c r="L8" s="202">
        <v>8.2495073082607977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9"/>
        <v>1254.3340000000001</v>
      </c>
      <c r="S8" s="62">
        <f t="shared" si="20"/>
        <v>56.056617000000003</v>
      </c>
      <c r="T8" s="63">
        <f t="shared" si="21"/>
        <v>103.476375</v>
      </c>
      <c r="U8" s="64" t="s">
        <v>269</v>
      </c>
      <c r="V8" s="65" t="s">
        <v>270</v>
      </c>
      <c r="W8" s="66" t="s">
        <v>181</v>
      </c>
      <c r="X8" s="67">
        <v>6260</v>
      </c>
      <c r="Y8" s="68">
        <v>4.26</v>
      </c>
      <c r="Z8" s="68">
        <v>8.1300000000000008</v>
      </c>
      <c r="AA8" s="62">
        <f t="shared" si="22"/>
        <v>266.67599999999999</v>
      </c>
      <c r="AB8" s="63">
        <f t="shared" si="23"/>
        <v>508.93800000000005</v>
      </c>
      <c r="AC8" s="69">
        <v>6260</v>
      </c>
      <c r="AD8" s="70">
        <v>4.4467252396166135</v>
      </c>
      <c r="AE8" s="70">
        <v>8.1364057507987209</v>
      </c>
      <c r="AF8" s="62">
        <f t="shared" si="24"/>
        <v>278.36500000000001</v>
      </c>
      <c r="AG8" s="62">
        <f t="shared" si="25"/>
        <v>509.33899999999994</v>
      </c>
      <c r="AH8" s="89">
        <v>0</v>
      </c>
      <c r="AI8" s="66">
        <v>0</v>
      </c>
      <c r="AJ8" s="66">
        <v>0</v>
      </c>
      <c r="AK8" s="62">
        <f t="shared" si="26"/>
        <v>0</v>
      </c>
      <c r="AL8" s="72">
        <f t="shared" si="27"/>
        <v>0</v>
      </c>
      <c r="AM8" s="73">
        <f t="shared" si="11"/>
        <v>-71.365999999999985</v>
      </c>
      <c r="AN8" s="74">
        <f t="shared" si="12"/>
        <v>-20.988943000000006</v>
      </c>
      <c r="AO8" s="74">
        <f t="shared" si="12"/>
        <v>2.6974150000000918</v>
      </c>
      <c r="AP8" s="75">
        <f t="shared" si="13"/>
        <v>-0.11465671000516253</v>
      </c>
      <c r="AQ8" s="76">
        <f t="shared" si="14"/>
        <v>-9278.0184478395222</v>
      </c>
      <c r="AR8" s="90">
        <f t="shared" si="15"/>
        <v>-71.365999999999985</v>
      </c>
    </row>
    <row r="9" spans="1:44" x14ac:dyDescent="0.25">
      <c r="A9" t="str">
        <f t="shared" si="16"/>
        <v>46206E</v>
      </c>
      <c r="B9" s="51">
        <f t="shared" ref="B9:B65" si="28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17"/>
        <v>0</v>
      </c>
      <c r="H9" s="63">
        <f t="shared" si="18"/>
        <v>0</v>
      </c>
      <c r="I9" s="202">
        <v>1821.3000000000002</v>
      </c>
      <c r="J9" s="202">
        <v>1875.9390000000003</v>
      </c>
      <c r="K9" s="202">
        <v>3.8764673584802067</v>
      </c>
      <c r="L9" s="202">
        <v>8.2200680832372459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9"/>
        <v>1875.9390000000003</v>
      </c>
      <c r="S9" s="62">
        <f t="shared" si="20"/>
        <v>72.720163000000014</v>
      </c>
      <c r="T9" s="63">
        <f t="shared" si="21"/>
        <v>154.203463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22"/>
        <v>0</v>
      </c>
      <c r="AB9" s="63">
        <f t="shared" si="23"/>
        <v>0</v>
      </c>
      <c r="AC9" s="69"/>
      <c r="AD9" s="70"/>
      <c r="AE9" s="70"/>
      <c r="AF9" s="62">
        <f t="shared" si="24"/>
        <v>0</v>
      </c>
      <c r="AG9" s="62">
        <f t="shared" si="25"/>
        <v>0</v>
      </c>
      <c r="AH9" s="89">
        <v>1875.9</v>
      </c>
      <c r="AI9" s="66">
        <v>3.87</v>
      </c>
      <c r="AJ9" s="66">
        <v>8.2200000000000006</v>
      </c>
      <c r="AK9" s="62">
        <f t="shared" si="26"/>
        <v>72.597329999999999</v>
      </c>
      <c r="AL9" s="72">
        <f t="shared" si="27"/>
        <v>154.19898000000003</v>
      </c>
      <c r="AM9" s="73">
        <f t="shared" si="11"/>
        <v>3.9000000000214641E-2</v>
      </c>
      <c r="AN9" s="74">
        <f t="shared" si="12"/>
        <v>0.12283300000001418</v>
      </c>
      <c r="AO9" s="74">
        <f t="shared" si="12"/>
        <v>4.4829999999649317E-3</v>
      </c>
      <c r="AP9" s="75">
        <f t="shared" si="13"/>
        <v>5.6105220176580072E-4</v>
      </c>
      <c r="AQ9" s="76">
        <f t="shared" si="14"/>
        <v>60.367872865140598</v>
      </c>
      <c r="AR9" s="90">
        <f t="shared" si="15"/>
        <v>3.9000000000214641E-2</v>
      </c>
    </row>
    <row r="10" spans="1:44" x14ac:dyDescent="0.25">
      <c r="A10" t="str">
        <f t="shared" si="16"/>
        <v>46207M</v>
      </c>
      <c r="B10" s="51">
        <f t="shared" si="28"/>
        <v>46207</v>
      </c>
      <c r="C10" s="52" t="s">
        <v>87</v>
      </c>
      <c r="D10" s="91">
        <v>1875.9</v>
      </c>
      <c r="E10" s="62">
        <v>3.87</v>
      </c>
      <c r="F10" s="62">
        <v>8.2200000000000006</v>
      </c>
      <c r="G10" s="62">
        <f t="shared" si="17"/>
        <v>72.597329999999999</v>
      </c>
      <c r="H10" s="63">
        <f t="shared" si="18"/>
        <v>154.19898000000003</v>
      </c>
      <c r="I10" s="202">
        <v>1163.7</v>
      </c>
      <c r="J10" s="202">
        <v>1198.6110000000001</v>
      </c>
      <c r="K10" s="202">
        <v>4.4890349746498224</v>
      </c>
      <c r="L10" s="202">
        <v>8.2758099166451835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9"/>
        <v>1198.6110000000001</v>
      </c>
      <c r="S10" s="62">
        <f t="shared" si="20"/>
        <v>53.806066999999985</v>
      </c>
      <c r="T10" s="63">
        <f t="shared" si="21"/>
        <v>99.19476800000001</v>
      </c>
      <c r="U10" s="64" t="s">
        <v>170</v>
      </c>
      <c r="V10" s="65" t="s">
        <v>329</v>
      </c>
      <c r="W10" s="66" t="s">
        <v>193</v>
      </c>
      <c r="X10" s="67">
        <v>3100</v>
      </c>
      <c r="Y10" s="68">
        <v>4.3</v>
      </c>
      <c r="Z10" s="68">
        <v>8.14</v>
      </c>
      <c r="AA10" s="62">
        <f t="shared" si="22"/>
        <v>133.29999999999998</v>
      </c>
      <c r="AB10" s="63">
        <f t="shared" si="23"/>
        <v>252.34</v>
      </c>
      <c r="AC10" s="69">
        <v>3080</v>
      </c>
      <c r="AD10" s="70">
        <v>4.25</v>
      </c>
      <c r="AE10" s="70">
        <v>8.01</v>
      </c>
      <c r="AF10" s="62">
        <f t="shared" si="24"/>
        <v>130.9</v>
      </c>
      <c r="AG10" s="62">
        <f t="shared" si="25"/>
        <v>246.70800000000003</v>
      </c>
      <c r="AH10" s="89">
        <v>0</v>
      </c>
      <c r="AI10" s="66">
        <v>0</v>
      </c>
      <c r="AJ10" s="66">
        <v>0</v>
      </c>
      <c r="AK10" s="62">
        <f t="shared" si="26"/>
        <v>0</v>
      </c>
      <c r="AL10" s="72">
        <f t="shared" si="27"/>
        <v>0</v>
      </c>
      <c r="AM10" s="73">
        <f t="shared" si="11"/>
        <v>-5.488999999999578</v>
      </c>
      <c r="AN10" s="74">
        <f t="shared" si="12"/>
        <v>-4.4966030000000217</v>
      </c>
      <c r="AO10" s="74">
        <f t="shared" si="12"/>
        <v>6.685748000000018</v>
      </c>
      <c r="AP10" s="75">
        <f t="shared" si="13"/>
        <v>1.4308059168435234E-2</v>
      </c>
      <c r="AQ10" s="76">
        <f t="shared" si="14"/>
        <v>-158.44208380059627</v>
      </c>
      <c r="AR10" s="90">
        <f t="shared" si="15"/>
        <v>-25.488999999999578</v>
      </c>
    </row>
    <row r="11" spans="1:44" x14ac:dyDescent="0.25">
      <c r="A11" t="str">
        <f t="shared" si="16"/>
        <v>46207E</v>
      </c>
      <c r="B11" s="51">
        <f t="shared" si="28"/>
        <v>46207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17"/>
        <v>0</v>
      </c>
      <c r="H11" s="63">
        <f t="shared" si="18"/>
        <v>0</v>
      </c>
      <c r="I11" s="202">
        <v>1913</v>
      </c>
      <c r="J11" s="202">
        <v>1970.39</v>
      </c>
      <c r="K11" s="202">
        <v>3.7586722425509667</v>
      </c>
      <c r="L11" s="202">
        <v>8.203742812336646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9"/>
        <v>1970.39</v>
      </c>
      <c r="S11" s="62">
        <f t="shared" si="20"/>
        <v>74.060502</v>
      </c>
      <c r="T11" s="63">
        <f t="shared" si="21"/>
        <v>161.64572800000005</v>
      </c>
      <c r="U11" s="64" t="s">
        <v>167</v>
      </c>
      <c r="V11" s="65" t="s">
        <v>180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2"/>
        <v>0</v>
      </c>
      <c r="AB11" s="63">
        <f t="shared" si="23"/>
        <v>0</v>
      </c>
      <c r="AC11" s="69"/>
      <c r="AD11" s="70"/>
      <c r="AE11" s="70"/>
      <c r="AF11" s="62">
        <f t="shared" si="24"/>
        <v>0</v>
      </c>
      <c r="AG11" s="62">
        <f t="shared" si="25"/>
        <v>0</v>
      </c>
      <c r="AH11" s="89">
        <v>1970.3</v>
      </c>
      <c r="AI11" s="66">
        <v>3.76</v>
      </c>
      <c r="AJ11" s="66">
        <v>8.1999999999999993</v>
      </c>
      <c r="AK11" s="62">
        <f t="shared" si="26"/>
        <v>74.083279999999988</v>
      </c>
      <c r="AL11" s="72">
        <f t="shared" si="27"/>
        <v>161.56459999999998</v>
      </c>
      <c r="AM11" s="73">
        <f t="shared" si="11"/>
        <v>9.0000000000145519E-2</v>
      </c>
      <c r="AN11" s="74">
        <f t="shared" si="12"/>
        <v>-2.2777999999988197E-2</v>
      </c>
      <c r="AO11" s="74">
        <f t="shared" si="12"/>
        <v>8.1128000000063594E-2</v>
      </c>
      <c r="AP11" s="75">
        <f t="shared" si="13"/>
        <v>2.475539148883565E-4</v>
      </c>
      <c r="AQ11" s="76">
        <f t="shared" si="14"/>
        <v>13.351543414625539</v>
      </c>
      <c r="AR11" s="90">
        <f t="shared" si="15"/>
        <v>9.0000000000145519E-2</v>
      </c>
    </row>
    <row r="12" spans="1:44" x14ac:dyDescent="0.25">
      <c r="A12" t="str">
        <f t="shared" si="16"/>
        <v>46208M</v>
      </c>
      <c r="B12" s="51">
        <f t="shared" si="28"/>
        <v>46208</v>
      </c>
      <c r="C12" s="52" t="s">
        <v>87</v>
      </c>
      <c r="D12" s="91">
        <v>1970.3</v>
      </c>
      <c r="E12" s="62">
        <v>3.76</v>
      </c>
      <c r="F12" s="62">
        <v>8.1999999999999993</v>
      </c>
      <c r="G12" s="62">
        <f t="shared" si="17"/>
        <v>74.083279999999988</v>
      </c>
      <c r="H12" s="63">
        <f t="shared" si="18"/>
        <v>161.56459999999998</v>
      </c>
      <c r="I12" s="202">
        <v>1149.6000000000001</v>
      </c>
      <c r="J12" s="202">
        <v>1184.0880000000002</v>
      </c>
      <c r="K12" s="202">
        <v>4.5558368128044551</v>
      </c>
      <c r="L12" s="202">
        <v>8.1764265831593601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9"/>
        <v>1184.0880000000002</v>
      </c>
      <c r="S12" s="62">
        <f t="shared" si="20"/>
        <v>53.945117000000025</v>
      </c>
      <c r="T12" s="63">
        <f t="shared" si="21"/>
        <v>96.816086000000027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22"/>
        <v>0</v>
      </c>
      <c r="AB12" s="63">
        <f t="shared" si="23"/>
        <v>0</v>
      </c>
      <c r="AC12" s="69"/>
      <c r="AD12" s="70"/>
      <c r="AE12" s="70"/>
      <c r="AF12" s="62">
        <f t="shared" si="24"/>
        <v>0</v>
      </c>
      <c r="AG12" s="62">
        <f t="shared" si="25"/>
        <v>0</v>
      </c>
      <c r="AH12" s="89">
        <v>3154.3</v>
      </c>
      <c r="AI12" s="66">
        <v>4.0599999999999996</v>
      </c>
      <c r="AJ12" s="66">
        <v>8.19</v>
      </c>
      <c r="AK12" s="62">
        <f t="shared" si="26"/>
        <v>128.06458000000001</v>
      </c>
      <c r="AL12" s="72">
        <f t="shared" si="27"/>
        <v>258.33717000000001</v>
      </c>
      <c r="AM12" s="73">
        <f t="shared" si="11"/>
        <v>8.7999999999738066E-2</v>
      </c>
      <c r="AN12" s="74">
        <f t="shared" si="12"/>
        <v>-3.6182999999994081E-2</v>
      </c>
      <c r="AO12" s="74">
        <f t="shared" si="12"/>
        <v>4.351600000001099E-2</v>
      </c>
      <c r="AP12" s="75">
        <f t="shared" si="13"/>
        <v>4.8639834745925363E-5</v>
      </c>
      <c r="AQ12" s="76">
        <f t="shared" si="14"/>
        <v>-4.354454528983501</v>
      </c>
      <c r="AR12" s="90">
        <f t="shared" si="15"/>
        <v>8.7999999999738066E-2</v>
      </c>
    </row>
    <row r="13" spans="1:44" x14ac:dyDescent="0.25">
      <c r="A13" t="str">
        <f t="shared" si="16"/>
        <v>46208E</v>
      </c>
      <c r="B13" s="51">
        <f t="shared" si="28"/>
        <v>46208</v>
      </c>
      <c r="C13" s="52" t="s">
        <v>88</v>
      </c>
      <c r="D13" s="91">
        <v>3154.3</v>
      </c>
      <c r="E13" s="62">
        <v>4.0599999999999996</v>
      </c>
      <c r="F13" s="62">
        <v>8.19</v>
      </c>
      <c r="G13" s="62">
        <f t="shared" si="17"/>
        <v>128.06458000000001</v>
      </c>
      <c r="H13" s="63">
        <f t="shared" si="18"/>
        <v>258.33717000000001</v>
      </c>
      <c r="I13" s="202">
        <v>1874</v>
      </c>
      <c r="J13" s="202">
        <v>1930.22</v>
      </c>
      <c r="K13" s="202">
        <v>3.9648132337246547</v>
      </c>
      <c r="L13" s="202">
        <v>8.1763607257203876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9"/>
        <v>1930.22</v>
      </c>
      <c r="S13" s="62">
        <f t="shared" si="20"/>
        <v>76.529618000000028</v>
      </c>
      <c r="T13" s="63">
        <f t="shared" si="21"/>
        <v>157.82175000000007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2"/>
        <v>0</v>
      </c>
      <c r="AB13" s="63">
        <f t="shared" si="23"/>
        <v>0</v>
      </c>
      <c r="AC13" s="69"/>
      <c r="AD13" s="70"/>
      <c r="AE13" s="70"/>
      <c r="AF13" s="62">
        <f t="shared" si="24"/>
        <v>0</v>
      </c>
      <c r="AG13" s="62">
        <f t="shared" si="25"/>
        <v>0</v>
      </c>
      <c r="AH13" s="89">
        <v>5084.2</v>
      </c>
      <c r="AI13" s="66">
        <v>4.0199999999999996</v>
      </c>
      <c r="AJ13" s="66">
        <v>8.18</v>
      </c>
      <c r="AK13" s="62">
        <f t="shared" si="26"/>
        <v>204.38483999999997</v>
      </c>
      <c r="AL13" s="72">
        <f t="shared" si="27"/>
        <v>415.88755999999995</v>
      </c>
      <c r="AM13" s="73">
        <f t="shared" si="11"/>
        <v>0.32000000000061846</v>
      </c>
      <c r="AN13" s="74">
        <f t="shared" si="12"/>
        <v>0.20935800000006566</v>
      </c>
      <c r="AO13" s="74">
        <f t="shared" si="12"/>
        <v>0.27136000000012928</v>
      </c>
      <c r="AP13" s="75">
        <f t="shared" si="13"/>
        <v>2.0512702959779383E-3</v>
      </c>
      <c r="AQ13" s="76">
        <f t="shared" si="14"/>
        <v>181.87323706925412</v>
      </c>
      <c r="AR13" s="90">
        <f t="shared" si="15"/>
        <v>0.32000000000061846</v>
      </c>
    </row>
    <row r="14" spans="1:44" x14ac:dyDescent="0.25">
      <c r="A14" t="str">
        <f t="shared" si="16"/>
        <v>46209M</v>
      </c>
      <c r="B14" s="51">
        <f t="shared" si="28"/>
        <v>46209</v>
      </c>
      <c r="C14" s="52" t="s">
        <v>87</v>
      </c>
      <c r="D14" s="91">
        <v>5084.2</v>
      </c>
      <c r="E14" s="62">
        <v>4.0199999999999996</v>
      </c>
      <c r="F14" s="62">
        <v>8.18</v>
      </c>
      <c r="G14" s="62">
        <f t="shared" si="17"/>
        <v>204.38483999999997</v>
      </c>
      <c r="H14" s="63">
        <f t="shared" si="18"/>
        <v>415.88755999999995</v>
      </c>
      <c r="I14" s="202">
        <v>1199.8999999999999</v>
      </c>
      <c r="J14" s="202">
        <v>1235.8969999999999</v>
      </c>
      <c r="K14" s="202">
        <v>4.4851737644803737</v>
      </c>
      <c r="L14" s="202">
        <v>8.2452537711475991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9"/>
        <v>1235.8969999999999</v>
      </c>
      <c r="S14" s="62">
        <f t="shared" si="20"/>
        <v>55.432128000000006</v>
      </c>
      <c r="T14" s="63">
        <f t="shared" si="21"/>
        <v>101.90284400000004</v>
      </c>
      <c r="U14" s="64" t="s">
        <v>192</v>
      </c>
      <c r="V14" s="65" t="s">
        <v>330</v>
      </c>
      <c r="W14" s="66" t="s">
        <v>181</v>
      </c>
      <c r="X14" s="67">
        <v>6350</v>
      </c>
      <c r="Y14" s="68">
        <v>4.25</v>
      </c>
      <c r="Z14" s="68">
        <v>8.1999999999999993</v>
      </c>
      <c r="AA14" s="62">
        <f t="shared" si="22"/>
        <v>269.875</v>
      </c>
      <c r="AB14" s="63">
        <f t="shared" si="23"/>
        <v>520.69999999999993</v>
      </c>
      <c r="AC14" s="69">
        <v>6350</v>
      </c>
      <c r="AD14" s="70">
        <v>4.3629921259842526</v>
      </c>
      <c r="AE14" s="70">
        <v>7.9625984251968474</v>
      </c>
      <c r="AF14" s="62">
        <f t="shared" si="24"/>
        <v>277.05</v>
      </c>
      <c r="AG14" s="62">
        <f t="shared" si="25"/>
        <v>505.62499999999977</v>
      </c>
      <c r="AH14" s="89">
        <v>0</v>
      </c>
      <c r="AI14" s="66">
        <v>0</v>
      </c>
      <c r="AJ14" s="66">
        <v>0</v>
      </c>
      <c r="AK14" s="62">
        <f t="shared" si="26"/>
        <v>0</v>
      </c>
      <c r="AL14" s="72">
        <f t="shared" si="27"/>
        <v>0</v>
      </c>
      <c r="AM14" s="73">
        <f t="shared" si="11"/>
        <v>-29.903000000000247</v>
      </c>
      <c r="AN14" s="74">
        <f t="shared" si="12"/>
        <v>-17.233032000000037</v>
      </c>
      <c r="AO14" s="74">
        <f t="shared" si="12"/>
        <v>12.165404000000194</v>
      </c>
      <c r="AP14" s="75">
        <f t="shared" si="13"/>
        <v>-3.2209164533361603E-2</v>
      </c>
      <c r="AQ14" s="76">
        <f t="shared" si="14"/>
        <v>-4637.6025542380339</v>
      </c>
      <c r="AR14" s="90">
        <f t="shared" si="15"/>
        <v>-29.903000000000247</v>
      </c>
    </row>
    <row r="15" spans="1:44" x14ac:dyDescent="0.25">
      <c r="A15" t="str">
        <f t="shared" si="16"/>
        <v>46209E</v>
      </c>
      <c r="B15" s="51">
        <f t="shared" si="28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17"/>
        <v>0</v>
      </c>
      <c r="H15" s="63">
        <f t="shared" si="18"/>
        <v>0</v>
      </c>
      <c r="I15" s="202">
        <v>1911.0999999999997</v>
      </c>
      <c r="J15" s="202">
        <v>1968.4329999999998</v>
      </c>
      <c r="K15" s="202">
        <v>3.9264664329443768</v>
      </c>
      <c r="L15" s="202">
        <v>8.1910732039139766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9"/>
        <v>1968.4329999999998</v>
      </c>
      <c r="S15" s="62">
        <f t="shared" si="20"/>
        <v>77.289860999999974</v>
      </c>
      <c r="T15" s="63">
        <f t="shared" si="21"/>
        <v>161.23578799999999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2"/>
        <v>0</v>
      </c>
      <c r="AB15" s="63">
        <f t="shared" si="23"/>
        <v>0</v>
      </c>
      <c r="AC15" s="69"/>
      <c r="AD15" s="70"/>
      <c r="AE15" s="70"/>
      <c r="AF15" s="62">
        <f t="shared" si="24"/>
        <v>0</v>
      </c>
      <c r="AG15" s="62">
        <f t="shared" si="25"/>
        <v>0</v>
      </c>
      <c r="AH15" s="89">
        <v>1968.4</v>
      </c>
      <c r="AI15" s="66">
        <v>3.93</v>
      </c>
      <c r="AJ15" s="66">
        <v>8.19</v>
      </c>
      <c r="AK15" s="62">
        <f t="shared" si="26"/>
        <v>77.358120000000014</v>
      </c>
      <c r="AL15" s="72">
        <f t="shared" si="27"/>
        <v>161.21196</v>
      </c>
      <c r="AM15" s="73">
        <f t="shared" si="11"/>
        <v>3.2999999999674401E-2</v>
      </c>
      <c r="AN15" s="74">
        <f t="shared" si="12"/>
        <v>-6.825900000004026E-2</v>
      </c>
      <c r="AO15" s="74">
        <f t="shared" si="12"/>
        <v>2.382799999998042E-2</v>
      </c>
      <c r="AP15" s="75">
        <f t="shared" si="13"/>
        <v>-1.8627346864512608E-4</v>
      </c>
      <c r="AQ15" s="76">
        <f t="shared" si="14"/>
        <v>-25.664397215526446</v>
      </c>
      <c r="AR15" s="90">
        <f t="shared" si="15"/>
        <v>3.2999999999674401E-2</v>
      </c>
    </row>
    <row r="16" spans="1:44" x14ac:dyDescent="0.25">
      <c r="A16" t="str">
        <f t="shared" si="16"/>
        <v>46210M</v>
      </c>
      <c r="B16" s="51">
        <f t="shared" si="28"/>
        <v>46210</v>
      </c>
      <c r="C16" s="52" t="s">
        <v>87</v>
      </c>
      <c r="D16" s="91">
        <v>1968.4</v>
      </c>
      <c r="E16" s="62">
        <v>3.93</v>
      </c>
      <c r="F16" s="62">
        <v>8.19</v>
      </c>
      <c r="G16" s="62">
        <f t="shared" si="17"/>
        <v>77.358120000000014</v>
      </c>
      <c r="H16" s="63">
        <f t="shared" si="18"/>
        <v>161.21196</v>
      </c>
      <c r="I16" s="202">
        <v>1265.3999999999999</v>
      </c>
      <c r="J16" s="202">
        <v>1303.3619999999999</v>
      </c>
      <c r="K16" s="202">
        <v>4.5421684842737466</v>
      </c>
      <c r="L16" s="202">
        <v>8.3252094199462618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9"/>
        <v>1303.3619999999999</v>
      </c>
      <c r="S16" s="62">
        <f t="shared" si="20"/>
        <v>59.200897999999981</v>
      </c>
      <c r="T16" s="63">
        <f t="shared" si="21"/>
        <v>108.50761599999997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2"/>
        <v>0</v>
      </c>
      <c r="AB16" s="63">
        <f t="shared" si="23"/>
        <v>0</v>
      </c>
      <c r="AC16" s="69"/>
      <c r="AD16" s="70"/>
      <c r="AE16" s="70"/>
      <c r="AF16" s="62">
        <f t="shared" si="24"/>
        <v>0</v>
      </c>
      <c r="AG16" s="62">
        <f t="shared" si="25"/>
        <v>0</v>
      </c>
      <c r="AH16" s="89">
        <v>3271.7</v>
      </c>
      <c r="AI16" s="66">
        <v>4.17</v>
      </c>
      <c r="AJ16" s="66">
        <v>8.24</v>
      </c>
      <c r="AK16" s="62">
        <f t="shared" si="26"/>
        <v>136.42989</v>
      </c>
      <c r="AL16" s="72">
        <f t="shared" si="27"/>
        <v>269.58807999999999</v>
      </c>
      <c r="AM16" s="73">
        <f t="shared" si="11"/>
        <v>6.1999999999898137E-2</v>
      </c>
      <c r="AN16" s="74">
        <f t="shared" si="12"/>
        <v>0.12912799999998015</v>
      </c>
      <c r="AO16" s="74">
        <f t="shared" si="12"/>
        <v>0.13149599999997008</v>
      </c>
      <c r="AP16" s="75">
        <f t="shared" si="13"/>
        <v>1.5540296302425666E-3</v>
      </c>
      <c r="AQ16" s="76">
        <f t="shared" si="14"/>
        <v>101.43208801024022</v>
      </c>
      <c r="AR16" s="90">
        <f t="shared" si="15"/>
        <v>6.1999999999898137E-2</v>
      </c>
    </row>
    <row r="17" spans="1:48" x14ac:dyDescent="0.25">
      <c r="A17" t="str">
        <f t="shared" si="16"/>
        <v>46210E</v>
      </c>
      <c r="B17" s="51">
        <f t="shared" si="28"/>
        <v>46210</v>
      </c>
      <c r="C17" s="52" t="s">
        <v>88</v>
      </c>
      <c r="D17" s="91">
        <v>3271.7</v>
      </c>
      <c r="E17" s="62">
        <v>4.17</v>
      </c>
      <c r="F17" s="62">
        <v>8.24</v>
      </c>
      <c r="G17" s="62">
        <f t="shared" si="17"/>
        <v>136.42989</v>
      </c>
      <c r="H17" s="63">
        <f t="shared" si="18"/>
        <v>269.58807999999999</v>
      </c>
      <c r="I17" s="202">
        <v>2104.7999999999997</v>
      </c>
      <c r="J17" s="202">
        <v>2167.944</v>
      </c>
      <c r="K17" s="202">
        <v>4.0656499429874557</v>
      </c>
      <c r="L17" s="202">
        <v>8.2150513112884802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9"/>
        <v>2167.944</v>
      </c>
      <c r="S17" s="62">
        <f t="shared" si="20"/>
        <v>88.14101399999997</v>
      </c>
      <c r="T17" s="63">
        <f t="shared" si="21"/>
        <v>178.09771199999994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22"/>
        <v>0</v>
      </c>
      <c r="AB17" s="63">
        <f t="shared" si="23"/>
        <v>0</v>
      </c>
      <c r="AC17" s="69"/>
      <c r="AD17" s="70"/>
      <c r="AE17" s="70"/>
      <c r="AF17" s="62">
        <f t="shared" si="24"/>
        <v>0</v>
      </c>
      <c r="AG17" s="62">
        <f t="shared" si="25"/>
        <v>0</v>
      </c>
      <c r="AH17" s="89">
        <v>5439.6</v>
      </c>
      <c r="AI17" s="66">
        <v>4.12</v>
      </c>
      <c r="AJ17" s="66">
        <v>8.2200000000000006</v>
      </c>
      <c r="AK17" s="62">
        <f t="shared" si="26"/>
        <v>224.11152000000001</v>
      </c>
      <c r="AL17" s="72">
        <f t="shared" si="27"/>
        <v>447.13512000000009</v>
      </c>
      <c r="AM17" s="73">
        <f t="shared" si="11"/>
        <v>4.3999999999869033E-2</v>
      </c>
      <c r="AN17" s="74">
        <f t="shared" si="12"/>
        <v>0.45938399999997159</v>
      </c>
      <c r="AO17" s="74">
        <f t="shared" si="12"/>
        <v>0.5506719999998495</v>
      </c>
      <c r="AP17" s="75">
        <f t="shared" si="13"/>
        <v>3.7937982019934295E-3</v>
      </c>
      <c r="AQ17" s="76">
        <f t="shared" si="14"/>
        <v>385.67032494357932</v>
      </c>
      <c r="AR17" s="90">
        <f t="shared" si="15"/>
        <v>4.3999999999869033E-2</v>
      </c>
    </row>
    <row r="18" spans="1:48" x14ac:dyDescent="0.25">
      <c r="A18" t="str">
        <f t="shared" si="16"/>
        <v>46211M</v>
      </c>
      <c r="B18" s="51">
        <f t="shared" si="28"/>
        <v>46211</v>
      </c>
      <c r="C18" s="52" t="s">
        <v>87</v>
      </c>
      <c r="D18" s="91">
        <v>5439.6</v>
      </c>
      <c r="E18" s="62">
        <v>4.12</v>
      </c>
      <c r="F18" s="62">
        <v>8.2200000000000006</v>
      </c>
      <c r="G18" s="62">
        <f t="shared" si="17"/>
        <v>224.11152000000001</v>
      </c>
      <c r="H18" s="63">
        <f t="shared" si="18"/>
        <v>447.13512000000009</v>
      </c>
      <c r="I18" s="202">
        <v>1255.7</v>
      </c>
      <c r="J18" s="202">
        <v>1293.3710000000001</v>
      </c>
      <c r="K18" s="202">
        <v>4.4568208967109957</v>
      </c>
      <c r="L18" s="202">
        <v>8.2830293859998392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9"/>
        <v>1293.3710000000001</v>
      </c>
      <c r="S18" s="62">
        <f t="shared" si="20"/>
        <v>57.643228999999977</v>
      </c>
      <c r="T18" s="63">
        <f t="shared" si="21"/>
        <v>107.13029999999999</v>
      </c>
      <c r="U18" s="64" t="s">
        <v>170</v>
      </c>
      <c r="V18" s="65" t="s">
        <v>331</v>
      </c>
      <c r="W18" s="66" t="s">
        <v>193</v>
      </c>
      <c r="X18" s="67">
        <v>3100</v>
      </c>
      <c r="Y18" s="68">
        <v>4.3499999999999996</v>
      </c>
      <c r="Z18" s="68">
        <v>8.09</v>
      </c>
      <c r="AA18" s="62">
        <f t="shared" si="22"/>
        <v>134.85</v>
      </c>
      <c r="AB18" s="63">
        <f t="shared" si="23"/>
        <v>250.79</v>
      </c>
      <c r="AC18" s="69">
        <v>3070</v>
      </c>
      <c r="AD18" s="70">
        <v>4.3</v>
      </c>
      <c r="AE18" s="70">
        <v>7.95</v>
      </c>
      <c r="AF18" s="62">
        <f t="shared" si="24"/>
        <v>132.01</v>
      </c>
      <c r="AG18" s="62">
        <f t="shared" si="25"/>
        <v>244.065</v>
      </c>
      <c r="AH18" s="89">
        <v>3632.9</v>
      </c>
      <c r="AI18" s="66">
        <v>4.18</v>
      </c>
      <c r="AJ18" s="66">
        <v>8.23</v>
      </c>
      <c r="AK18" s="62">
        <f t="shared" si="26"/>
        <v>151.85522</v>
      </c>
      <c r="AL18" s="72">
        <f t="shared" si="27"/>
        <v>298.98766999999998</v>
      </c>
      <c r="AM18" s="73">
        <f t="shared" si="11"/>
        <v>30.071000000000367</v>
      </c>
      <c r="AN18" s="74">
        <f t="shared" si="12"/>
        <v>-2.1104709999999898</v>
      </c>
      <c r="AO18" s="74">
        <f t="shared" si="12"/>
        <v>11.212750000000085</v>
      </c>
      <c r="AP18" s="75">
        <f t="shared" si="13"/>
        <v>5.5241148594930546E-2</v>
      </c>
      <c r="AQ18" s="76">
        <f t="shared" si="14"/>
        <v>2343.968799581864</v>
      </c>
      <c r="AR18" s="90">
        <f>(D18+J18+O18)-(X18+AH18)</f>
        <v>7.1000000000822183E-2</v>
      </c>
    </row>
    <row r="19" spans="1:48" x14ac:dyDescent="0.25">
      <c r="A19" t="str">
        <f t="shared" si="16"/>
        <v>46211E</v>
      </c>
      <c r="B19" s="51">
        <f t="shared" si="28"/>
        <v>46211</v>
      </c>
      <c r="C19" s="52" t="s">
        <v>88</v>
      </c>
      <c r="D19" s="91">
        <v>3632.9</v>
      </c>
      <c r="E19" s="62">
        <v>4.18</v>
      </c>
      <c r="F19" s="62">
        <v>8.23</v>
      </c>
      <c r="G19" s="62">
        <f t="shared" si="17"/>
        <v>151.85522</v>
      </c>
      <c r="H19" s="63">
        <f t="shared" si="18"/>
        <v>298.98766999999998</v>
      </c>
      <c r="I19" s="202">
        <v>2033.7000000000007</v>
      </c>
      <c r="J19" s="202">
        <v>2094.7110000000007</v>
      </c>
      <c r="K19" s="202">
        <v>3.9915621773122889</v>
      </c>
      <c r="L19" s="202">
        <v>8.2021832128632557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9"/>
        <v>2094.7110000000007</v>
      </c>
      <c r="S19" s="62">
        <f t="shared" si="20"/>
        <v>83.611692000000048</v>
      </c>
      <c r="T19" s="63">
        <f t="shared" si="21"/>
        <v>171.81203400000007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2"/>
        <v>0</v>
      </c>
      <c r="AB19" s="63">
        <f t="shared" si="23"/>
        <v>0</v>
      </c>
      <c r="AC19" s="69"/>
      <c r="AD19" s="70"/>
      <c r="AE19" s="70"/>
      <c r="AF19" s="62">
        <f t="shared" si="24"/>
        <v>0</v>
      </c>
      <c r="AG19" s="62">
        <f t="shared" si="25"/>
        <v>0</v>
      </c>
      <c r="AH19" s="89">
        <v>5727.6</v>
      </c>
      <c r="AI19" s="66">
        <v>4.1100000000000003</v>
      </c>
      <c r="AJ19" s="66">
        <v>8.2100000000000009</v>
      </c>
      <c r="AK19" s="62">
        <f t="shared" si="26"/>
        <v>235.40436000000005</v>
      </c>
      <c r="AL19" s="72">
        <f t="shared" si="27"/>
        <v>470.23596000000009</v>
      </c>
      <c r="AM19" s="73">
        <f t="shared" si="11"/>
        <v>1.1000000000422006E-2</v>
      </c>
      <c r="AN19" s="74">
        <f t="shared" si="12"/>
        <v>6.2551999999982399E-2</v>
      </c>
      <c r="AO19" s="74">
        <f t="shared" si="12"/>
        <v>0.56374399999992875</v>
      </c>
      <c r="AP19" s="75">
        <f t="shared" si="13"/>
        <v>2.4519883481768285E-3</v>
      </c>
      <c r="AQ19" s="76">
        <f t="shared" si="14"/>
        <v>198.89458110680221</v>
      </c>
      <c r="AR19" s="90">
        <f>(D19+J19+O19)-(X19+AH19)</f>
        <v>1.1000000000422006E-2</v>
      </c>
    </row>
    <row r="20" spans="1:48" x14ac:dyDescent="0.25">
      <c r="A20" t="str">
        <f t="shared" si="16"/>
        <v>46212M</v>
      </c>
      <c r="B20" s="51">
        <f t="shared" si="28"/>
        <v>46212</v>
      </c>
      <c r="C20" s="52" t="s">
        <v>87</v>
      </c>
      <c r="D20" s="91">
        <v>5727.6</v>
      </c>
      <c r="E20" s="62">
        <v>4.1100000000000003</v>
      </c>
      <c r="F20" s="62">
        <v>8.2100000000000009</v>
      </c>
      <c r="G20" s="62">
        <f t="shared" si="17"/>
        <v>235.40436000000005</v>
      </c>
      <c r="H20" s="63">
        <f t="shared" si="18"/>
        <v>470.23596000000009</v>
      </c>
      <c r="I20" s="202">
        <v>1334.6999999999998</v>
      </c>
      <c r="J20" s="202">
        <v>1374.7409999999998</v>
      </c>
      <c r="K20" s="202">
        <v>4.4093504158237806</v>
      </c>
      <c r="L20" s="202">
        <v>8.1980744736644944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9"/>
        <v>1374.7409999999998</v>
      </c>
      <c r="S20" s="62">
        <f t="shared" si="20"/>
        <v>60.617147999999986</v>
      </c>
      <c r="T20" s="63">
        <f t="shared" si="21"/>
        <v>112.70229099999999</v>
      </c>
      <c r="U20" s="64" t="s">
        <v>192</v>
      </c>
      <c r="V20" s="65" t="s">
        <v>396</v>
      </c>
      <c r="W20" s="66" t="s">
        <v>181</v>
      </c>
      <c r="X20" s="67">
        <v>7230</v>
      </c>
      <c r="Y20" s="68">
        <v>4.25</v>
      </c>
      <c r="Z20" s="68">
        <v>8.1300000000000008</v>
      </c>
      <c r="AA20" s="62">
        <f t="shared" si="22"/>
        <v>307.27500000000003</v>
      </c>
      <c r="AB20" s="63">
        <f t="shared" si="23"/>
        <v>587.79900000000009</v>
      </c>
      <c r="AC20" s="215">
        <v>7230</v>
      </c>
      <c r="AD20" s="216">
        <v>4.25</v>
      </c>
      <c r="AE20" s="216">
        <v>8.1300000000000008</v>
      </c>
      <c r="AF20" s="62">
        <f t="shared" si="24"/>
        <v>307.27500000000003</v>
      </c>
      <c r="AG20" s="62">
        <f t="shared" si="25"/>
        <v>587.79900000000009</v>
      </c>
      <c r="AH20" s="89">
        <v>0</v>
      </c>
      <c r="AI20" s="66">
        <v>0</v>
      </c>
      <c r="AJ20" s="66">
        <v>0</v>
      </c>
      <c r="AK20" s="62">
        <f t="shared" si="26"/>
        <v>0</v>
      </c>
      <c r="AL20" s="72">
        <f t="shared" si="27"/>
        <v>0</v>
      </c>
      <c r="AM20" s="73">
        <f t="shared" si="11"/>
        <v>-127.65899999999965</v>
      </c>
      <c r="AN20" s="74">
        <f t="shared" ref="AN20:AO65" si="29">+G20+S20-AF20-AK20</f>
        <v>-11.253491999999994</v>
      </c>
      <c r="AO20" s="74">
        <f t="shared" si="29"/>
        <v>-4.8607490000000553</v>
      </c>
      <c r="AP20" s="75">
        <f t="shared" si="13"/>
        <v>-9.2974227778339691E-2</v>
      </c>
      <c r="AQ20" s="76">
        <f t="shared" si="14"/>
        <v>-6863.4202195689959</v>
      </c>
      <c r="AR20" s="90">
        <f>(D20+J20+O20)-(X20+AH20)</f>
        <v>-127.65899999999965</v>
      </c>
    </row>
    <row r="21" spans="1:48" x14ac:dyDescent="0.25">
      <c r="A21" t="str">
        <f t="shared" si="16"/>
        <v>46212E</v>
      </c>
      <c r="B21" s="51">
        <f t="shared" si="28"/>
        <v>46212</v>
      </c>
      <c r="C21" s="52" t="s">
        <v>88</v>
      </c>
      <c r="D21" s="91">
        <v>0</v>
      </c>
      <c r="E21" s="62">
        <v>0</v>
      </c>
      <c r="F21" s="62">
        <v>0</v>
      </c>
      <c r="G21" s="62">
        <f t="shared" si="17"/>
        <v>0</v>
      </c>
      <c r="H21" s="63">
        <f t="shared" si="18"/>
        <v>0</v>
      </c>
      <c r="I21" s="202">
        <v>2044.2</v>
      </c>
      <c r="J21" s="202">
        <v>2105.5260000000003</v>
      </c>
      <c r="K21" s="202">
        <v>4.0213530965658935</v>
      </c>
      <c r="L21" s="202">
        <v>8.0913120046962135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9"/>
        <v>2105.5260000000003</v>
      </c>
      <c r="S21" s="62">
        <f t="shared" si="20"/>
        <v>84.670635000000004</v>
      </c>
      <c r="T21" s="63">
        <f t="shared" si="21"/>
        <v>170.36467800000003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2"/>
        <v>0</v>
      </c>
      <c r="AB21" s="63">
        <f t="shared" si="23"/>
        <v>0</v>
      </c>
      <c r="AC21" s="69"/>
      <c r="AD21" s="70"/>
      <c r="AE21" s="70"/>
      <c r="AF21" s="62">
        <f t="shared" si="24"/>
        <v>0</v>
      </c>
      <c r="AG21" s="62">
        <f t="shared" si="25"/>
        <v>0</v>
      </c>
      <c r="AH21" s="89">
        <v>2105.5</v>
      </c>
      <c r="AI21" s="66">
        <v>4.0199999999999996</v>
      </c>
      <c r="AJ21" s="66">
        <v>8.09</v>
      </c>
      <c r="AK21" s="62">
        <f t="shared" si="26"/>
        <v>84.64109999999998</v>
      </c>
      <c r="AL21" s="72">
        <f t="shared" si="27"/>
        <v>170.33494999999999</v>
      </c>
      <c r="AM21" s="73">
        <f t="shared" si="11"/>
        <v>2.6000000000294676E-2</v>
      </c>
      <c r="AN21" s="74">
        <f t="shared" si="29"/>
        <v>2.953500000002407E-2</v>
      </c>
      <c r="AO21" s="74">
        <f t="shared" si="29"/>
        <v>2.9728000000034172E-2</v>
      </c>
      <c r="AP21" s="75">
        <f t="shared" si="13"/>
        <v>2.3237174218324126E-4</v>
      </c>
      <c r="AQ21" s="76">
        <f t="shared" si="14"/>
        <v>23.095800104854973</v>
      </c>
      <c r="AR21" s="90">
        <f>(D21+J21+O21)-(X21+AH21)</f>
        <v>2.6000000000294676E-2</v>
      </c>
    </row>
    <row r="22" spans="1:48" x14ac:dyDescent="0.25">
      <c r="A22" t="str">
        <f t="shared" si="16"/>
        <v>46213M</v>
      </c>
      <c r="B22" s="51">
        <f t="shared" si="28"/>
        <v>46213</v>
      </c>
      <c r="C22" s="52" t="s">
        <v>87</v>
      </c>
      <c r="D22" s="91"/>
      <c r="E22" s="62"/>
      <c r="F22" s="62"/>
      <c r="G22" s="62">
        <f t="shared" si="17"/>
        <v>0</v>
      </c>
      <c r="H22" s="63">
        <f t="shared" si="18"/>
        <v>0</v>
      </c>
      <c r="I22" s="202"/>
      <c r="J22" s="202"/>
      <c r="K22" s="202"/>
      <c r="L22" s="202"/>
      <c r="M22" s="57"/>
      <c r="N22" s="58"/>
      <c r="O22" s="59"/>
      <c r="P22" s="56"/>
      <c r="Q22" s="60"/>
      <c r="R22" s="61">
        <f t="shared" si="19"/>
        <v>0</v>
      </c>
      <c r="S22" s="62">
        <f t="shared" si="20"/>
        <v>0</v>
      </c>
      <c r="T22" s="63">
        <f t="shared" si="21"/>
        <v>0</v>
      </c>
      <c r="U22" s="64"/>
      <c r="V22" s="65"/>
      <c r="W22" s="66"/>
      <c r="X22" s="67"/>
      <c r="Y22" s="68"/>
      <c r="Z22" s="68"/>
      <c r="AA22" s="62">
        <f t="shared" si="22"/>
        <v>0</v>
      </c>
      <c r="AB22" s="63">
        <f t="shared" si="23"/>
        <v>0</v>
      </c>
      <c r="AC22" s="69"/>
      <c r="AD22" s="70"/>
      <c r="AE22" s="70"/>
      <c r="AF22" s="62">
        <f t="shared" si="24"/>
        <v>0</v>
      </c>
      <c r="AG22" s="62">
        <f t="shared" si="25"/>
        <v>0</v>
      </c>
      <c r="AH22" s="89"/>
      <c r="AI22" s="66"/>
      <c r="AJ22" s="66"/>
      <c r="AK22" s="62">
        <f t="shared" si="26"/>
        <v>0</v>
      </c>
      <c r="AL22" s="72">
        <f t="shared" si="27"/>
        <v>0</v>
      </c>
      <c r="AM22" s="73">
        <f t="shared" si="11"/>
        <v>0</v>
      </c>
      <c r="AN22" s="74">
        <f t="shared" si="29"/>
        <v>0</v>
      </c>
      <c r="AO22" s="74">
        <f t="shared" si="29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46213E</v>
      </c>
      <c r="B23" s="51">
        <f t="shared" si="28"/>
        <v>46213</v>
      </c>
      <c r="C23" s="52" t="s">
        <v>88</v>
      </c>
      <c r="D23" s="91"/>
      <c r="E23" s="62"/>
      <c r="F23" s="62"/>
      <c r="G23" s="62">
        <f t="shared" si="17"/>
        <v>0</v>
      </c>
      <c r="H23" s="63">
        <f t="shared" si="18"/>
        <v>0</v>
      </c>
      <c r="I23" s="202"/>
      <c r="J23" s="202"/>
      <c r="K23" s="202"/>
      <c r="L23" s="202"/>
      <c r="M23" s="57"/>
      <c r="N23" s="58"/>
      <c r="O23" s="59"/>
      <c r="P23" s="56"/>
      <c r="Q23" s="60"/>
      <c r="R23" s="61">
        <f t="shared" si="19"/>
        <v>0</v>
      </c>
      <c r="S23" s="62">
        <f t="shared" si="20"/>
        <v>0</v>
      </c>
      <c r="T23" s="63">
        <f t="shared" si="21"/>
        <v>0</v>
      </c>
      <c r="U23" s="64"/>
      <c r="V23" s="65"/>
      <c r="W23" s="66"/>
      <c r="X23" s="67"/>
      <c r="Y23" s="68"/>
      <c r="Z23" s="68"/>
      <c r="AA23" s="62">
        <f t="shared" si="22"/>
        <v>0</v>
      </c>
      <c r="AB23" s="63">
        <f t="shared" si="23"/>
        <v>0</v>
      </c>
      <c r="AC23" s="69"/>
      <c r="AD23" s="70"/>
      <c r="AE23" s="70"/>
      <c r="AF23" s="62">
        <f t="shared" si="24"/>
        <v>0</v>
      </c>
      <c r="AG23" s="62">
        <f t="shared" si="25"/>
        <v>0</v>
      </c>
      <c r="AH23" s="89"/>
      <c r="AI23" s="66"/>
      <c r="AJ23" s="66"/>
      <c r="AK23" s="62">
        <f t="shared" si="26"/>
        <v>0</v>
      </c>
      <c r="AL23" s="72">
        <f t="shared" si="27"/>
        <v>0</v>
      </c>
      <c r="AM23" s="73">
        <f t="shared" si="11"/>
        <v>0</v>
      </c>
      <c r="AN23" s="74">
        <f t="shared" si="29"/>
        <v>0</v>
      </c>
      <c r="AO23" s="74">
        <f t="shared" si="29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46214M</v>
      </c>
      <c r="B24" s="51">
        <f t="shared" si="28"/>
        <v>46214</v>
      </c>
      <c r="C24" s="52" t="s">
        <v>87</v>
      </c>
      <c r="D24" s="91"/>
      <c r="E24" s="62"/>
      <c r="F24" s="62"/>
      <c r="G24" s="62">
        <f t="shared" si="17"/>
        <v>0</v>
      </c>
      <c r="H24" s="63">
        <f t="shared" si="18"/>
        <v>0</v>
      </c>
      <c r="I24" s="202"/>
      <c r="J24" s="202"/>
      <c r="K24" s="202"/>
      <c r="L24" s="202"/>
      <c r="M24" s="57"/>
      <c r="N24" s="58"/>
      <c r="O24" s="59"/>
      <c r="P24" s="56"/>
      <c r="Q24" s="60"/>
      <c r="R24" s="61">
        <f t="shared" si="19"/>
        <v>0</v>
      </c>
      <c r="S24" s="62">
        <f t="shared" si="20"/>
        <v>0</v>
      </c>
      <c r="T24" s="63">
        <f t="shared" si="21"/>
        <v>0</v>
      </c>
      <c r="U24" s="64"/>
      <c r="V24" s="65"/>
      <c r="W24" s="66"/>
      <c r="X24" s="67"/>
      <c r="Y24" s="68"/>
      <c r="Z24" s="68"/>
      <c r="AA24" s="62">
        <f t="shared" si="22"/>
        <v>0</v>
      </c>
      <c r="AB24" s="63">
        <f t="shared" si="23"/>
        <v>0</v>
      </c>
      <c r="AC24" s="69"/>
      <c r="AD24" s="70"/>
      <c r="AE24" s="70"/>
      <c r="AF24" s="62">
        <f t="shared" si="24"/>
        <v>0</v>
      </c>
      <c r="AG24" s="62">
        <f t="shared" si="25"/>
        <v>0</v>
      </c>
      <c r="AH24" s="89"/>
      <c r="AI24" s="66"/>
      <c r="AJ24" s="66"/>
      <c r="AK24" s="62">
        <f t="shared" si="26"/>
        <v>0</v>
      </c>
      <c r="AL24" s="72">
        <f t="shared" si="27"/>
        <v>0</v>
      </c>
      <c r="AM24" s="73">
        <f t="shared" si="11"/>
        <v>0</v>
      </c>
      <c r="AN24" s="74">
        <f t="shared" si="29"/>
        <v>0</v>
      </c>
      <c r="AO24" s="74">
        <f t="shared" si="29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28"/>
        <v>46214</v>
      </c>
      <c r="C25" s="52" t="s">
        <v>88</v>
      </c>
      <c r="D25" s="91"/>
      <c r="E25" s="62"/>
      <c r="F25" s="62"/>
      <c r="G25" s="62">
        <f t="shared" si="17"/>
        <v>0</v>
      </c>
      <c r="H25" s="63">
        <f t="shared" si="18"/>
        <v>0</v>
      </c>
      <c r="I25" s="202"/>
      <c r="J25" s="202"/>
      <c r="K25" s="202"/>
      <c r="L25" s="202"/>
      <c r="M25" s="57"/>
      <c r="N25" s="58"/>
      <c r="O25" s="59"/>
      <c r="P25" s="56"/>
      <c r="Q25" s="60"/>
      <c r="R25" s="61">
        <f t="shared" si="19"/>
        <v>0</v>
      </c>
      <c r="S25" s="62">
        <f t="shared" si="20"/>
        <v>0</v>
      </c>
      <c r="T25" s="63">
        <f t="shared" si="21"/>
        <v>0</v>
      </c>
      <c r="U25" s="64"/>
      <c r="V25" s="65"/>
      <c r="W25" s="66"/>
      <c r="X25" s="67"/>
      <c r="Y25" s="68"/>
      <c r="Z25" s="68"/>
      <c r="AA25" s="62">
        <f t="shared" si="22"/>
        <v>0</v>
      </c>
      <c r="AB25" s="63">
        <f t="shared" si="23"/>
        <v>0</v>
      </c>
      <c r="AC25" s="69"/>
      <c r="AD25" s="70"/>
      <c r="AE25" s="70"/>
      <c r="AF25" s="62">
        <f t="shared" si="24"/>
        <v>0</v>
      </c>
      <c r="AG25" s="62">
        <f t="shared" si="25"/>
        <v>0</v>
      </c>
      <c r="AH25" s="89"/>
      <c r="AI25" s="66"/>
      <c r="AJ25" s="66"/>
      <c r="AK25" s="62">
        <f t="shared" si="26"/>
        <v>0</v>
      </c>
      <c r="AL25" s="72">
        <f t="shared" si="27"/>
        <v>0</v>
      </c>
      <c r="AM25" s="73">
        <f t="shared" si="11"/>
        <v>0</v>
      </c>
      <c r="AN25" s="74">
        <f t="shared" si="29"/>
        <v>0</v>
      </c>
      <c r="AO25" s="74">
        <f t="shared" si="29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46215M</v>
      </c>
      <c r="B26" s="51">
        <f t="shared" si="28"/>
        <v>46215</v>
      </c>
      <c r="C26" s="52" t="s">
        <v>87</v>
      </c>
      <c r="D26" s="91"/>
      <c r="E26" s="62"/>
      <c r="F26" s="62"/>
      <c r="G26" s="62">
        <f t="shared" si="17"/>
        <v>0</v>
      </c>
      <c r="H26" s="63">
        <f t="shared" si="18"/>
        <v>0</v>
      </c>
      <c r="I26" s="202"/>
      <c r="J26" s="202"/>
      <c r="K26" s="202"/>
      <c r="L26" s="202"/>
      <c r="M26" s="57"/>
      <c r="N26" s="58"/>
      <c r="O26" s="59"/>
      <c r="P26" s="56"/>
      <c r="Q26" s="60"/>
      <c r="R26" s="61">
        <f t="shared" si="19"/>
        <v>0</v>
      </c>
      <c r="S26" s="62">
        <f t="shared" si="20"/>
        <v>0</v>
      </c>
      <c r="T26" s="63">
        <f t="shared" si="21"/>
        <v>0</v>
      </c>
      <c r="U26" s="64"/>
      <c r="V26" s="65"/>
      <c r="W26" s="66"/>
      <c r="X26" s="67"/>
      <c r="Y26" s="68"/>
      <c r="Z26" s="68"/>
      <c r="AA26" s="62">
        <f t="shared" si="22"/>
        <v>0</v>
      </c>
      <c r="AB26" s="63">
        <f t="shared" si="23"/>
        <v>0</v>
      </c>
      <c r="AC26" s="69"/>
      <c r="AD26" s="70"/>
      <c r="AE26" s="70"/>
      <c r="AF26" s="62">
        <f t="shared" si="24"/>
        <v>0</v>
      </c>
      <c r="AG26" s="62">
        <f t="shared" si="25"/>
        <v>0</v>
      </c>
      <c r="AH26" s="89"/>
      <c r="AI26" s="66"/>
      <c r="AJ26" s="66"/>
      <c r="AK26" s="62">
        <f t="shared" si="26"/>
        <v>0</v>
      </c>
      <c r="AL26" s="72">
        <f t="shared" si="27"/>
        <v>0</v>
      </c>
      <c r="AM26" s="73">
        <f t="shared" si="11"/>
        <v>0</v>
      </c>
      <c r="AN26" s="74">
        <f t="shared" si="29"/>
        <v>0</v>
      </c>
      <c r="AO26" s="74">
        <f t="shared" si="29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46215E</v>
      </c>
      <c r="B27" s="51">
        <f t="shared" si="28"/>
        <v>46215</v>
      </c>
      <c r="C27" s="52" t="s">
        <v>88</v>
      </c>
      <c r="D27" s="91"/>
      <c r="E27" s="62"/>
      <c r="F27" s="62"/>
      <c r="G27" s="62">
        <f t="shared" si="17"/>
        <v>0</v>
      </c>
      <c r="H27" s="63">
        <f t="shared" si="18"/>
        <v>0</v>
      </c>
      <c r="I27" s="202"/>
      <c r="J27" s="202"/>
      <c r="K27" s="202"/>
      <c r="L27" s="202"/>
      <c r="M27" s="57"/>
      <c r="N27" s="58"/>
      <c r="O27" s="59"/>
      <c r="P27" s="56"/>
      <c r="Q27" s="60"/>
      <c r="R27" s="61">
        <f t="shared" si="19"/>
        <v>0</v>
      </c>
      <c r="S27" s="62">
        <f t="shared" si="20"/>
        <v>0</v>
      </c>
      <c r="T27" s="63">
        <f t="shared" si="21"/>
        <v>0</v>
      </c>
      <c r="U27" s="64"/>
      <c r="V27" s="65"/>
      <c r="W27" s="66"/>
      <c r="X27" s="67"/>
      <c r="Y27" s="68"/>
      <c r="Z27" s="68"/>
      <c r="AA27" s="62">
        <f t="shared" si="22"/>
        <v>0</v>
      </c>
      <c r="AB27" s="63">
        <f t="shared" si="23"/>
        <v>0</v>
      </c>
      <c r="AC27" s="69"/>
      <c r="AD27" s="70"/>
      <c r="AE27" s="70"/>
      <c r="AF27" s="62">
        <f t="shared" si="24"/>
        <v>0</v>
      </c>
      <c r="AG27" s="62">
        <f t="shared" si="25"/>
        <v>0</v>
      </c>
      <c r="AH27" s="89"/>
      <c r="AI27" s="66"/>
      <c r="AJ27" s="66"/>
      <c r="AK27" s="62">
        <f t="shared" si="26"/>
        <v>0</v>
      </c>
      <c r="AL27" s="72">
        <f t="shared" si="27"/>
        <v>0</v>
      </c>
      <c r="AM27" s="73">
        <f t="shared" si="11"/>
        <v>0</v>
      </c>
      <c r="AN27" s="74">
        <f t="shared" si="29"/>
        <v>0</v>
      </c>
      <c r="AO27" s="74">
        <f t="shared" si="29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46216M</v>
      </c>
      <c r="B28" s="51">
        <f t="shared" si="28"/>
        <v>46216</v>
      </c>
      <c r="C28" s="52" t="s">
        <v>87</v>
      </c>
      <c r="D28" s="91"/>
      <c r="E28" s="62"/>
      <c r="F28" s="62"/>
      <c r="G28" s="62">
        <f t="shared" si="17"/>
        <v>0</v>
      </c>
      <c r="H28" s="63">
        <f t="shared" si="18"/>
        <v>0</v>
      </c>
      <c r="I28" s="202"/>
      <c r="J28" s="202"/>
      <c r="K28" s="202"/>
      <c r="L28" s="202"/>
      <c r="M28" s="57"/>
      <c r="N28" s="58"/>
      <c r="O28" s="59"/>
      <c r="P28" s="56"/>
      <c r="Q28" s="60"/>
      <c r="R28" s="61">
        <f t="shared" si="19"/>
        <v>0</v>
      </c>
      <c r="S28" s="62">
        <f t="shared" si="20"/>
        <v>0</v>
      </c>
      <c r="T28" s="63">
        <f t="shared" si="21"/>
        <v>0</v>
      </c>
      <c r="U28" s="64"/>
      <c r="V28" s="65"/>
      <c r="W28" s="66"/>
      <c r="X28" s="67"/>
      <c r="Y28" s="68"/>
      <c r="Z28" s="68"/>
      <c r="AA28" s="62">
        <f t="shared" si="22"/>
        <v>0</v>
      </c>
      <c r="AB28" s="63">
        <f t="shared" si="23"/>
        <v>0</v>
      </c>
      <c r="AC28" s="69"/>
      <c r="AD28" s="70"/>
      <c r="AE28" s="70"/>
      <c r="AF28" s="62">
        <f t="shared" si="24"/>
        <v>0</v>
      </c>
      <c r="AG28" s="62">
        <f t="shared" si="25"/>
        <v>0</v>
      </c>
      <c r="AH28" s="89"/>
      <c r="AI28" s="66"/>
      <c r="AJ28" s="66"/>
      <c r="AK28" s="62">
        <f t="shared" si="26"/>
        <v>0</v>
      </c>
      <c r="AL28" s="72">
        <f t="shared" si="27"/>
        <v>0</v>
      </c>
      <c r="AM28" s="73">
        <f t="shared" si="11"/>
        <v>0</v>
      </c>
      <c r="AN28" s="74">
        <f t="shared" si="29"/>
        <v>0</v>
      </c>
      <c r="AO28" s="74">
        <f t="shared" si="29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46216E</v>
      </c>
      <c r="B29" s="51">
        <f t="shared" si="28"/>
        <v>46216</v>
      </c>
      <c r="C29" s="52" t="s">
        <v>88</v>
      </c>
      <c r="D29" s="91"/>
      <c r="E29" s="62"/>
      <c r="F29" s="62"/>
      <c r="G29" s="62">
        <f t="shared" si="17"/>
        <v>0</v>
      </c>
      <c r="H29" s="63">
        <f t="shared" si="18"/>
        <v>0</v>
      </c>
      <c r="I29" s="202"/>
      <c r="J29" s="202"/>
      <c r="K29" s="202"/>
      <c r="L29" s="202"/>
      <c r="M29" s="57"/>
      <c r="N29" s="58"/>
      <c r="O29" s="59"/>
      <c r="P29" s="56"/>
      <c r="Q29" s="60"/>
      <c r="R29" s="61">
        <f t="shared" si="19"/>
        <v>0</v>
      </c>
      <c r="S29" s="62">
        <f t="shared" si="20"/>
        <v>0</v>
      </c>
      <c r="T29" s="63">
        <f t="shared" si="21"/>
        <v>0</v>
      </c>
      <c r="U29" s="64"/>
      <c r="V29" s="65"/>
      <c r="W29" s="66"/>
      <c r="X29" s="67"/>
      <c r="Y29" s="68"/>
      <c r="Z29" s="68"/>
      <c r="AA29" s="62">
        <f t="shared" si="22"/>
        <v>0</v>
      </c>
      <c r="AB29" s="63">
        <f t="shared" si="23"/>
        <v>0</v>
      </c>
      <c r="AC29" s="69"/>
      <c r="AD29" s="70"/>
      <c r="AE29" s="70"/>
      <c r="AF29" s="62">
        <f t="shared" si="24"/>
        <v>0</v>
      </c>
      <c r="AG29" s="62">
        <f t="shared" si="25"/>
        <v>0</v>
      </c>
      <c r="AH29" s="89"/>
      <c r="AI29" s="66"/>
      <c r="AJ29" s="66"/>
      <c r="AK29" s="62">
        <f t="shared" si="26"/>
        <v>0</v>
      </c>
      <c r="AL29" s="72">
        <f t="shared" si="27"/>
        <v>0</v>
      </c>
      <c r="AM29" s="73">
        <f t="shared" si="11"/>
        <v>0</v>
      </c>
      <c r="AN29" s="74">
        <f t="shared" si="29"/>
        <v>0</v>
      </c>
      <c r="AO29" s="74">
        <f t="shared" si="29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46217M</v>
      </c>
      <c r="B30" s="51">
        <f t="shared" si="28"/>
        <v>46217</v>
      </c>
      <c r="C30" s="52" t="s">
        <v>87</v>
      </c>
      <c r="D30" s="91"/>
      <c r="E30" s="62"/>
      <c r="F30" s="62"/>
      <c r="G30" s="62">
        <f t="shared" si="17"/>
        <v>0</v>
      </c>
      <c r="H30" s="63">
        <f t="shared" si="18"/>
        <v>0</v>
      </c>
      <c r="I30" s="202"/>
      <c r="J30" s="202"/>
      <c r="K30" s="202"/>
      <c r="L30" s="202"/>
      <c r="M30" s="57"/>
      <c r="N30" s="58"/>
      <c r="O30" s="59"/>
      <c r="P30" s="56"/>
      <c r="Q30" s="60"/>
      <c r="R30" s="61">
        <f t="shared" si="19"/>
        <v>0</v>
      </c>
      <c r="S30" s="62">
        <f t="shared" si="20"/>
        <v>0</v>
      </c>
      <c r="T30" s="63">
        <f t="shared" si="21"/>
        <v>0</v>
      </c>
      <c r="U30" s="64"/>
      <c r="V30" s="65"/>
      <c r="W30" s="66"/>
      <c r="X30" s="67"/>
      <c r="Y30" s="68"/>
      <c r="Z30" s="68"/>
      <c r="AA30" s="62">
        <f t="shared" si="22"/>
        <v>0</v>
      </c>
      <c r="AB30" s="63">
        <f t="shared" si="23"/>
        <v>0</v>
      </c>
      <c r="AC30" s="69"/>
      <c r="AD30" s="70"/>
      <c r="AE30" s="70"/>
      <c r="AF30" s="62">
        <f t="shared" si="24"/>
        <v>0</v>
      </c>
      <c r="AG30" s="62">
        <f t="shared" si="25"/>
        <v>0</v>
      </c>
      <c r="AH30" s="89"/>
      <c r="AI30" s="66"/>
      <c r="AJ30" s="66"/>
      <c r="AK30" s="62">
        <f t="shared" si="26"/>
        <v>0</v>
      </c>
      <c r="AL30" s="72">
        <f t="shared" si="27"/>
        <v>0</v>
      </c>
      <c r="AM30" s="73">
        <f t="shared" si="11"/>
        <v>0</v>
      </c>
      <c r="AN30" s="74">
        <f t="shared" si="29"/>
        <v>0</v>
      </c>
      <c r="AO30" s="74">
        <f t="shared" si="29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46217E</v>
      </c>
      <c r="B31" s="51">
        <f t="shared" si="28"/>
        <v>46217</v>
      </c>
      <c r="C31" s="52" t="s">
        <v>88</v>
      </c>
      <c r="D31" s="91"/>
      <c r="E31" s="62"/>
      <c r="F31" s="62"/>
      <c r="G31" s="62">
        <f t="shared" si="17"/>
        <v>0</v>
      </c>
      <c r="H31" s="63">
        <f t="shared" si="18"/>
        <v>0</v>
      </c>
      <c r="I31" s="202"/>
      <c r="J31" s="202"/>
      <c r="K31" s="202"/>
      <c r="L31" s="202"/>
      <c r="M31" s="57"/>
      <c r="N31" s="58"/>
      <c r="O31" s="59"/>
      <c r="P31" s="56"/>
      <c r="Q31" s="60"/>
      <c r="R31" s="61">
        <f t="shared" si="19"/>
        <v>0</v>
      </c>
      <c r="S31" s="62">
        <f t="shared" si="20"/>
        <v>0</v>
      </c>
      <c r="T31" s="63">
        <f t="shared" si="21"/>
        <v>0</v>
      </c>
      <c r="U31" s="64"/>
      <c r="V31" s="65"/>
      <c r="W31" s="66"/>
      <c r="X31" s="67"/>
      <c r="Y31" s="68"/>
      <c r="Z31" s="68"/>
      <c r="AA31" s="62">
        <f t="shared" si="22"/>
        <v>0</v>
      </c>
      <c r="AB31" s="63">
        <f t="shared" si="23"/>
        <v>0</v>
      </c>
      <c r="AC31" s="69"/>
      <c r="AD31" s="70"/>
      <c r="AE31" s="70"/>
      <c r="AF31" s="62">
        <f t="shared" si="24"/>
        <v>0</v>
      </c>
      <c r="AG31" s="62">
        <f t="shared" si="25"/>
        <v>0</v>
      </c>
      <c r="AH31" s="89"/>
      <c r="AI31" s="66"/>
      <c r="AJ31" s="66"/>
      <c r="AK31" s="62">
        <f t="shared" si="26"/>
        <v>0</v>
      </c>
      <c r="AL31" s="72">
        <f t="shared" si="27"/>
        <v>0</v>
      </c>
      <c r="AM31" s="73">
        <f t="shared" si="11"/>
        <v>0</v>
      </c>
      <c r="AN31" s="74">
        <f t="shared" si="29"/>
        <v>0</v>
      </c>
      <c r="AO31" s="74">
        <f t="shared" si="29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46218M</v>
      </c>
      <c r="B32" s="51">
        <f t="shared" si="28"/>
        <v>46218</v>
      </c>
      <c r="C32" s="52" t="s">
        <v>87</v>
      </c>
      <c r="D32" s="91"/>
      <c r="E32" s="62"/>
      <c r="F32" s="62"/>
      <c r="G32" s="62">
        <f t="shared" si="17"/>
        <v>0</v>
      </c>
      <c r="H32" s="63">
        <f t="shared" si="18"/>
        <v>0</v>
      </c>
      <c r="I32" s="202"/>
      <c r="J32" s="202"/>
      <c r="K32" s="202"/>
      <c r="L32" s="202"/>
      <c r="M32" s="57"/>
      <c r="N32" s="58"/>
      <c r="O32" s="59"/>
      <c r="P32" s="56"/>
      <c r="Q32" s="60"/>
      <c r="R32" s="61">
        <f t="shared" si="19"/>
        <v>0</v>
      </c>
      <c r="S32" s="62">
        <f t="shared" si="20"/>
        <v>0</v>
      </c>
      <c r="T32" s="63">
        <f t="shared" si="21"/>
        <v>0</v>
      </c>
      <c r="U32" s="64"/>
      <c r="V32" s="65"/>
      <c r="W32" s="66"/>
      <c r="X32" s="67"/>
      <c r="Y32" s="68"/>
      <c r="Z32" s="68"/>
      <c r="AA32" s="62">
        <f t="shared" si="22"/>
        <v>0</v>
      </c>
      <c r="AB32" s="63">
        <f t="shared" si="23"/>
        <v>0</v>
      </c>
      <c r="AC32" s="69"/>
      <c r="AD32" s="70"/>
      <c r="AE32" s="70"/>
      <c r="AF32" s="62">
        <f t="shared" si="24"/>
        <v>0</v>
      </c>
      <c r="AG32" s="62">
        <f t="shared" si="25"/>
        <v>0</v>
      </c>
      <c r="AH32" s="89"/>
      <c r="AI32" s="66"/>
      <c r="AJ32" s="66"/>
      <c r="AK32" s="62">
        <f t="shared" si="26"/>
        <v>0</v>
      </c>
      <c r="AL32" s="72">
        <f t="shared" si="27"/>
        <v>0</v>
      </c>
      <c r="AM32" s="73">
        <f t="shared" si="11"/>
        <v>0</v>
      </c>
      <c r="AN32" s="74">
        <f t="shared" si="29"/>
        <v>0</v>
      </c>
      <c r="AO32" s="74">
        <f t="shared" si="29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46218E</v>
      </c>
      <c r="B33" s="51">
        <f t="shared" si="28"/>
        <v>46218</v>
      </c>
      <c r="C33" s="52" t="s">
        <v>88</v>
      </c>
      <c r="D33" s="91"/>
      <c r="E33" s="62"/>
      <c r="F33" s="62"/>
      <c r="G33" s="62">
        <f t="shared" si="17"/>
        <v>0</v>
      </c>
      <c r="H33" s="63">
        <f t="shared" si="18"/>
        <v>0</v>
      </c>
      <c r="I33" s="202"/>
      <c r="J33" s="202"/>
      <c r="K33" s="202"/>
      <c r="L33" s="202"/>
      <c r="M33" s="57"/>
      <c r="N33" s="58"/>
      <c r="O33" s="59"/>
      <c r="P33" s="56"/>
      <c r="Q33" s="60"/>
      <c r="R33" s="61">
        <f t="shared" si="19"/>
        <v>0</v>
      </c>
      <c r="S33" s="62">
        <f t="shared" si="20"/>
        <v>0</v>
      </c>
      <c r="T33" s="63">
        <f t="shared" si="21"/>
        <v>0</v>
      </c>
      <c r="U33" s="64"/>
      <c r="V33" s="65"/>
      <c r="W33" s="66"/>
      <c r="X33" s="67"/>
      <c r="Y33" s="68"/>
      <c r="Z33" s="68"/>
      <c r="AA33" s="62">
        <f t="shared" si="22"/>
        <v>0</v>
      </c>
      <c r="AB33" s="63">
        <f t="shared" si="23"/>
        <v>0</v>
      </c>
      <c r="AC33" s="69"/>
      <c r="AD33" s="70"/>
      <c r="AE33" s="70"/>
      <c r="AF33" s="62">
        <f t="shared" si="24"/>
        <v>0</v>
      </c>
      <c r="AG33" s="62">
        <f t="shared" si="25"/>
        <v>0</v>
      </c>
      <c r="AH33" s="89"/>
      <c r="AI33" s="66"/>
      <c r="AJ33" s="66"/>
      <c r="AK33" s="62">
        <f t="shared" si="26"/>
        <v>0</v>
      </c>
      <c r="AL33" s="72">
        <f t="shared" si="27"/>
        <v>0</v>
      </c>
      <c r="AM33" s="73">
        <f t="shared" si="11"/>
        <v>0</v>
      </c>
      <c r="AN33" s="74">
        <f t="shared" si="29"/>
        <v>0</v>
      </c>
      <c r="AO33" s="74">
        <f t="shared" si="29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46219M</v>
      </c>
      <c r="B34" s="51">
        <f t="shared" si="28"/>
        <v>46219</v>
      </c>
      <c r="C34" s="52" t="s">
        <v>87</v>
      </c>
      <c r="D34" s="91"/>
      <c r="E34" s="62"/>
      <c r="F34" s="62"/>
      <c r="G34" s="62">
        <f t="shared" si="17"/>
        <v>0</v>
      </c>
      <c r="H34" s="63">
        <f t="shared" si="18"/>
        <v>0</v>
      </c>
      <c r="I34" s="202"/>
      <c r="J34" s="202"/>
      <c r="K34" s="202"/>
      <c r="L34" s="202"/>
      <c r="M34" s="57"/>
      <c r="N34" s="58"/>
      <c r="O34" s="59"/>
      <c r="P34" s="56"/>
      <c r="Q34" s="60"/>
      <c r="R34" s="61">
        <f t="shared" si="19"/>
        <v>0</v>
      </c>
      <c r="S34" s="62">
        <f t="shared" si="20"/>
        <v>0</v>
      </c>
      <c r="T34" s="63">
        <f t="shared" si="21"/>
        <v>0</v>
      </c>
      <c r="U34" s="64"/>
      <c r="V34" s="65"/>
      <c r="W34" s="66"/>
      <c r="X34" s="67"/>
      <c r="Y34" s="68"/>
      <c r="Z34" s="68"/>
      <c r="AA34" s="62">
        <f t="shared" si="22"/>
        <v>0</v>
      </c>
      <c r="AB34" s="63">
        <f t="shared" si="23"/>
        <v>0</v>
      </c>
      <c r="AC34" s="69"/>
      <c r="AD34" s="70"/>
      <c r="AE34" s="70"/>
      <c r="AF34" s="62">
        <f t="shared" si="24"/>
        <v>0</v>
      </c>
      <c r="AG34" s="62">
        <f t="shared" si="25"/>
        <v>0</v>
      </c>
      <c r="AH34" s="89"/>
      <c r="AI34" s="66"/>
      <c r="AJ34" s="66"/>
      <c r="AK34" s="62">
        <f t="shared" si="26"/>
        <v>0</v>
      </c>
      <c r="AL34" s="72">
        <f t="shared" si="27"/>
        <v>0</v>
      </c>
      <c r="AM34" s="73">
        <f t="shared" si="11"/>
        <v>0</v>
      </c>
      <c r="AN34" s="74">
        <f t="shared" si="29"/>
        <v>0</v>
      </c>
      <c r="AO34" s="74">
        <f t="shared" si="29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46219E</v>
      </c>
      <c r="B35" s="51">
        <f t="shared" si="28"/>
        <v>46219</v>
      </c>
      <c r="C35" s="52" t="s">
        <v>88</v>
      </c>
      <c r="D35" s="91"/>
      <c r="E35" s="62"/>
      <c r="F35" s="62"/>
      <c r="G35" s="62">
        <f t="shared" si="17"/>
        <v>0</v>
      </c>
      <c r="H35" s="63">
        <f t="shared" si="18"/>
        <v>0</v>
      </c>
      <c r="I35" s="202"/>
      <c r="J35" s="202"/>
      <c r="K35" s="202"/>
      <c r="L35" s="202"/>
      <c r="M35" s="57"/>
      <c r="N35" s="58"/>
      <c r="O35" s="59"/>
      <c r="P35" s="56"/>
      <c r="Q35" s="60"/>
      <c r="R35" s="61">
        <f t="shared" si="19"/>
        <v>0</v>
      </c>
      <c r="S35" s="62">
        <f t="shared" si="20"/>
        <v>0</v>
      </c>
      <c r="T35" s="63">
        <f t="shared" si="21"/>
        <v>0</v>
      </c>
      <c r="U35" s="64"/>
      <c r="V35" s="65"/>
      <c r="W35" s="66"/>
      <c r="X35" s="67"/>
      <c r="Y35" s="68"/>
      <c r="Z35" s="68"/>
      <c r="AA35" s="62">
        <f t="shared" si="22"/>
        <v>0</v>
      </c>
      <c r="AB35" s="63">
        <f t="shared" si="23"/>
        <v>0</v>
      </c>
      <c r="AC35" s="69"/>
      <c r="AD35" s="70"/>
      <c r="AE35" s="70"/>
      <c r="AF35" s="62">
        <f t="shared" si="24"/>
        <v>0</v>
      </c>
      <c r="AG35" s="62">
        <f t="shared" si="25"/>
        <v>0</v>
      </c>
      <c r="AH35" s="89"/>
      <c r="AI35" s="66"/>
      <c r="AJ35" s="66"/>
      <c r="AK35" s="62">
        <f t="shared" si="26"/>
        <v>0</v>
      </c>
      <c r="AL35" s="72">
        <f t="shared" si="27"/>
        <v>0</v>
      </c>
      <c r="AM35" s="73">
        <f t="shared" si="11"/>
        <v>0</v>
      </c>
      <c r="AN35" s="74">
        <f t="shared" si="29"/>
        <v>0</v>
      </c>
      <c r="AO35" s="74">
        <f t="shared" si="29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46220M</v>
      </c>
      <c r="B36" s="51">
        <f t="shared" si="28"/>
        <v>46220</v>
      </c>
      <c r="C36" s="52" t="s">
        <v>87</v>
      </c>
      <c r="D36" s="91"/>
      <c r="E36" s="62"/>
      <c r="F36" s="62"/>
      <c r="G36" s="62">
        <f t="shared" si="17"/>
        <v>0</v>
      </c>
      <c r="H36" s="63">
        <f t="shared" si="18"/>
        <v>0</v>
      </c>
      <c r="I36" s="202"/>
      <c r="J36" s="202"/>
      <c r="K36" s="202"/>
      <c r="L36" s="202"/>
      <c r="M36" s="57"/>
      <c r="N36" s="58"/>
      <c r="O36" s="59"/>
      <c r="P36" s="56"/>
      <c r="Q36" s="60"/>
      <c r="R36" s="61">
        <f t="shared" si="19"/>
        <v>0</v>
      </c>
      <c r="S36" s="62">
        <f t="shared" si="20"/>
        <v>0</v>
      </c>
      <c r="T36" s="63">
        <f t="shared" si="21"/>
        <v>0</v>
      </c>
      <c r="U36" s="64"/>
      <c r="V36" s="65"/>
      <c r="W36" s="66"/>
      <c r="X36" s="67"/>
      <c r="Y36" s="68"/>
      <c r="Z36" s="68"/>
      <c r="AA36" s="62">
        <f t="shared" si="22"/>
        <v>0</v>
      </c>
      <c r="AB36" s="63">
        <f t="shared" si="23"/>
        <v>0</v>
      </c>
      <c r="AC36" s="69"/>
      <c r="AD36" s="70"/>
      <c r="AE36" s="70"/>
      <c r="AF36" s="62">
        <f t="shared" si="24"/>
        <v>0</v>
      </c>
      <c r="AG36" s="62">
        <f t="shared" si="25"/>
        <v>0</v>
      </c>
      <c r="AH36" s="89"/>
      <c r="AI36" s="66"/>
      <c r="AJ36" s="66"/>
      <c r="AK36" s="62">
        <f t="shared" si="26"/>
        <v>0</v>
      </c>
      <c r="AL36" s="72">
        <f t="shared" si="27"/>
        <v>0</v>
      </c>
      <c r="AM36" s="73">
        <f t="shared" si="11"/>
        <v>0</v>
      </c>
      <c r="AN36" s="74">
        <f t="shared" si="29"/>
        <v>0</v>
      </c>
      <c r="AO36" s="74">
        <f t="shared" si="29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46220E</v>
      </c>
      <c r="B37" s="51">
        <f t="shared" si="28"/>
        <v>46220</v>
      </c>
      <c r="C37" s="52" t="s">
        <v>88</v>
      </c>
      <c r="D37" s="91"/>
      <c r="E37" s="62"/>
      <c r="F37" s="62"/>
      <c r="G37" s="62">
        <f t="shared" si="17"/>
        <v>0</v>
      </c>
      <c r="H37" s="63">
        <f t="shared" si="18"/>
        <v>0</v>
      </c>
      <c r="I37" s="202"/>
      <c r="J37" s="202"/>
      <c r="K37" s="202"/>
      <c r="L37" s="202"/>
      <c r="M37" s="57"/>
      <c r="N37" s="58"/>
      <c r="O37" s="59"/>
      <c r="P37" s="56"/>
      <c r="Q37" s="60"/>
      <c r="R37" s="61">
        <f t="shared" si="19"/>
        <v>0</v>
      </c>
      <c r="S37" s="62">
        <f t="shared" si="20"/>
        <v>0</v>
      </c>
      <c r="T37" s="63">
        <f t="shared" si="21"/>
        <v>0</v>
      </c>
      <c r="U37" s="64"/>
      <c r="V37" s="65"/>
      <c r="W37" s="66"/>
      <c r="X37" s="67"/>
      <c r="Y37" s="68"/>
      <c r="Z37" s="68"/>
      <c r="AA37" s="62">
        <f t="shared" si="22"/>
        <v>0</v>
      </c>
      <c r="AB37" s="63">
        <f t="shared" si="23"/>
        <v>0</v>
      </c>
      <c r="AC37" s="69"/>
      <c r="AD37" s="70"/>
      <c r="AE37" s="70"/>
      <c r="AF37" s="62">
        <f t="shared" si="24"/>
        <v>0</v>
      </c>
      <c r="AG37" s="62">
        <f t="shared" si="25"/>
        <v>0</v>
      </c>
      <c r="AH37" s="89"/>
      <c r="AI37" s="66"/>
      <c r="AJ37" s="66"/>
      <c r="AK37" s="62">
        <f t="shared" si="26"/>
        <v>0</v>
      </c>
      <c r="AL37" s="72">
        <f t="shared" si="27"/>
        <v>0</v>
      </c>
      <c r="AM37" s="73">
        <f t="shared" si="11"/>
        <v>0</v>
      </c>
      <c r="AN37" s="74">
        <f t="shared" si="29"/>
        <v>0</v>
      </c>
      <c r="AO37" s="74">
        <f t="shared" si="29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46221M</v>
      </c>
      <c r="B38" s="51">
        <f t="shared" si="28"/>
        <v>46221</v>
      </c>
      <c r="C38" s="52" t="s">
        <v>87</v>
      </c>
      <c r="D38" s="91"/>
      <c r="E38" s="62"/>
      <c r="F38" s="62"/>
      <c r="G38" s="62">
        <f t="shared" si="17"/>
        <v>0</v>
      </c>
      <c r="H38" s="63">
        <f t="shared" si="18"/>
        <v>0</v>
      </c>
      <c r="I38" s="202"/>
      <c r="J38" s="202"/>
      <c r="K38" s="202"/>
      <c r="L38" s="202"/>
      <c r="M38" s="57"/>
      <c r="N38" s="58"/>
      <c r="O38" s="59"/>
      <c r="P38" s="56"/>
      <c r="Q38" s="60"/>
      <c r="R38" s="61">
        <f t="shared" si="19"/>
        <v>0</v>
      </c>
      <c r="S38" s="62">
        <f t="shared" si="20"/>
        <v>0</v>
      </c>
      <c r="T38" s="63">
        <f t="shared" si="21"/>
        <v>0</v>
      </c>
      <c r="U38" s="64"/>
      <c r="V38" s="65"/>
      <c r="W38" s="66"/>
      <c r="X38" s="67"/>
      <c r="Y38" s="68"/>
      <c r="Z38" s="68"/>
      <c r="AA38" s="62">
        <f t="shared" si="22"/>
        <v>0</v>
      </c>
      <c r="AB38" s="63">
        <f t="shared" si="23"/>
        <v>0</v>
      </c>
      <c r="AC38" s="69"/>
      <c r="AD38" s="70"/>
      <c r="AE38" s="70"/>
      <c r="AF38" s="62">
        <f t="shared" si="24"/>
        <v>0</v>
      </c>
      <c r="AG38" s="62">
        <f t="shared" si="25"/>
        <v>0</v>
      </c>
      <c r="AH38" s="89"/>
      <c r="AI38" s="66"/>
      <c r="AJ38" s="66"/>
      <c r="AK38" s="62">
        <f t="shared" si="26"/>
        <v>0</v>
      </c>
      <c r="AL38" s="72">
        <f t="shared" si="27"/>
        <v>0</v>
      </c>
      <c r="AM38" s="73">
        <f t="shared" si="11"/>
        <v>0</v>
      </c>
      <c r="AN38" s="74">
        <f t="shared" si="29"/>
        <v>0</v>
      </c>
      <c r="AO38" s="74">
        <f t="shared" si="29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46221E</v>
      </c>
      <c r="B39" s="51">
        <f t="shared" si="28"/>
        <v>46221</v>
      </c>
      <c r="C39" s="52" t="s">
        <v>88</v>
      </c>
      <c r="D39" s="91"/>
      <c r="E39" s="62"/>
      <c r="F39" s="62"/>
      <c r="G39" s="62">
        <f t="shared" si="17"/>
        <v>0</v>
      </c>
      <c r="H39" s="63">
        <f t="shared" si="18"/>
        <v>0</v>
      </c>
      <c r="I39" s="202"/>
      <c r="J39" s="202"/>
      <c r="K39" s="202"/>
      <c r="L39" s="202"/>
      <c r="M39" s="57"/>
      <c r="N39" s="58"/>
      <c r="O39" s="59"/>
      <c r="P39" s="56"/>
      <c r="Q39" s="60"/>
      <c r="R39" s="61">
        <f t="shared" si="19"/>
        <v>0</v>
      </c>
      <c r="S39" s="62">
        <f t="shared" si="20"/>
        <v>0</v>
      </c>
      <c r="T39" s="63">
        <f t="shared" si="21"/>
        <v>0</v>
      </c>
      <c r="U39" s="64"/>
      <c r="V39" s="65"/>
      <c r="W39" s="66"/>
      <c r="X39" s="67"/>
      <c r="Y39" s="68"/>
      <c r="Z39" s="68"/>
      <c r="AA39" s="62">
        <f t="shared" si="22"/>
        <v>0</v>
      </c>
      <c r="AB39" s="63">
        <f t="shared" si="23"/>
        <v>0</v>
      </c>
      <c r="AC39" s="69"/>
      <c r="AD39" s="70"/>
      <c r="AE39" s="70"/>
      <c r="AF39" s="62">
        <f t="shared" si="24"/>
        <v>0</v>
      </c>
      <c r="AG39" s="62">
        <f t="shared" si="25"/>
        <v>0</v>
      </c>
      <c r="AH39" s="89"/>
      <c r="AI39" s="66"/>
      <c r="AJ39" s="66"/>
      <c r="AK39" s="62">
        <f t="shared" si="26"/>
        <v>0</v>
      </c>
      <c r="AL39" s="72">
        <f t="shared" si="27"/>
        <v>0</v>
      </c>
      <c r="AM39" s="73">
        <f t="shared" si="11"/>
        <v>0</v>
      </c>
      <c r="AN39" s="74">
        <f t="shared" si="29"/>
        <v>0</v>
      </c>
      <c r="AO39" s="74">
        <f t="shared" si="29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46222M</v>
      </c>
      <c r="B40" s="51">
        <f t="shared" si="28"/>
        <v>46222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7"/>
      <c r="N40" s="58"/>
      <c r="O40" s="59"/>
      <c r="P40" s="56"/>
      <c r="Q40" s="60"/>
      <c r="R40" s="61">
        <f t="shared" si="19"/>
        <v>0</v>
      </c>
      <c r="S40" s="62">
        <f t="shared" si="20"/>
        <v>0</v>
      </c>
      <c r="T40" s="63">
        <f t="shared" si="21"/>
        <v>0</v>
      </c>
      <c r="U40" s="64"/>
      <c r="V40" s="65"/>
      <c r="W40" s="66"/>
      <c r="X40" s="67"/>
      <c r="Y40" s="68"/>
      <c r="Z40" s="68"/>
      <c r="AA40" s="62">
        <f t="shared" si="22"/>
        <v>0</v>
      </c>
      <c r="AB40" s="63">
        <f t="shared" si="23"/>
        <v>0</v>
      </c>
      <c r="AC40" s="69"/>
      <c r="AD40" s="70"/>
      <c r="AE40" s="70"/>
      <c r="AF40" s="62">
        <f t="shared" si="24"/>
        <v>0</v>
      </c>
      <c r="AG40" s="62">
        <f t="shared" si="25"/>
        <v>0</v>
      </c>
      <c r="AH40" s="89"/>
      <c r="AI40" s="66"/>
      <c r="AJ40" s="66"/>
      <c r="AK40" s="62">
        <f t="shared" si="26"/>
        <v>0</v>
      </c>
      <c r="AL40" s="72">
        <f t="shared" si="27"/>
        <v>0</v>
      </c>
      <c r="AM40" s="73">
        <f t="shared" si="11"/>
        <v>0</v>
      </c>
      <c r="AN40" s="74">
        <f t="shared" si="29"/>
        <v>0</v>
      </c>
      <c r="AO40" s="74">
        <f t="shared" si="29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46222E</v>
      </c>
      <c r="B41" s="51">
        <f t="shared" si="28"/>
        <v>46222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9"/>
        <v>0</v>
      </c>
      <c r="AO41" s="74">
        <f t="shared" si="29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46223M</v>
      </c>
      <c r="B42" s="51">
        <f t="shared" si="28"/>
        <v>46223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9"/>
        <v>0</v>
      </c>
      <c r="AO42" s="74">
        <f t="shared" si="29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46223E</v>
      </c>
      <c r="B43" s="51">
        <f t="shared" si="28"/>
        <v>46223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9"/>
        <v>0</v>
      </c>
      <c r="AO43" s="74">
        <f t="shared" si="29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46224M</v>
      </c>
      <c r="B44" s="51">
        <f t="shared" si="28"/>
        <v>46224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9"/>
        <v>0</v>
      </c>
      <c r="AO44" s="74">
        <f t="shared" si="29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46224E</v>
      </c>
      <c r="B45" s="51">
        <f t="shared" si="28"/>
        <v>46224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9"/>
        <v>0</v>
      </c>
      <c r="AO45" s="74">
        <f t="shared" si="29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46225M</v>
      </c>
      <c r="B46" s="51">
        <f t="shared" si="28"/>
        <v>46225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9"/>
        <v>0</v>
      </c>
      <c r="AO46" s="74">
        <f t="shared" si="29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46225E</v>
      </c>
      <c r="B47" s="51">
        <f t="shared" si="28"/>
        <v>46225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9"/>
        <v>0</v>
      </c>
      <c r="AO47" s="74">
        <f t="shared" si="29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46226M</v>
      </c>
      <c r="B48" s="51">
        <f t="shared" si="28"/>
        <v>46226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9"/>
        <v>0</v>
      </c>
      <c r="AO48" s="74">
        <f t="shared" si="29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46226E</v>
      </c>
      <c r="B49" s="51">
        <f t="shared" si="28"/>
        <v>46226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9"/>
        <v>0</v>
      </c>
      <c r="AO49" s="74">
        <f t="shared" si="29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46227M</v>
      </c>
      <c r="B50" s="51">
        <f t="shared" si="28"/>
        <v>46227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9"/>
        <v>0</v>
      </c>
      <c r="AO50" s="74">
        <f t="shared" si="29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46227E</v>
      </c>
      <c r="B51" s="51">
        <f t="shared" si="28"/>
        <v>46227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9"/>
        <v>0</v>
      </c>
      <c r="AO51" s="74">
        <f t="shared" si="29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46228M</v>
      </c>
      <c r="B52" s="51">
        <f t="shared" si="28"/>
        <v>46228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8"/>
      <c r="J52" s="118"/>
      <c r="K52" s="118"/>
      <c r="L52" s="118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9"/>
        <v>0</v>
      </c>
      <c r="AO52" s="74">
        <f t="shared" si="29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46228E</v>
      </c>
      <c r="B53" s="51">
        <f t="shared" si="28"/>
        <v>46228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8"/>
      <c r="J53" s="118"/>
      <c r="K53" s="118"/>
      <c r="L53" s="118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9"/>
        <v>0</v>
      </c>
      <c r="AO53" s="74">
        <f t="shared" si="29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46229M</v>
      </c>
      <c r="B54" s="51">
        <f t="shared" si="28"/>
        <v>46229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8"/>
      <c r="J54" s="118"/>
      <c r="K54" s="118"/>
      <c r="L54" s="118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9"/>
        <v>0</v>
      </c>
      <c r="AO54" s="74">
        <f t="shared" si="29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46229E</v>
      </c>
      <c r="B55" s="51">
        <f t="shared" si="28"/>
        <v>46229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8"/>
      <c r="J55" s="118"/>
      <c r="K55" s="118"/>
      <c r="L55" s="118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9"/>
        <v>0</v>
      </c>
      <c r="AO55" s="74">
        <f t="shared" si="29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46230M</v>
      </c>
      <c r="B56" s="51">
        <f t="shared" si="28"/>
        <v>46230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8"/>
      <c r="J56" s="118"/>
      <c r="K56" s="118"/>
      <c r="L56" s="118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9"/>
        <v>0</v>
      </c>
      <c r="AO56" s="74">
        <f t="shared" si="29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46230E</v>
      </c>
      <c r="B57" s="51">
        <f t="shared" si="28"/>
        <v>46230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8"/>
      <c r="J57" s="118"/>
      <c r="K57" s="118"/>
      <c r="L57" s="118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9"/>
        <v>0</v>
      </c>
      <c r="AO57" s="74">
        <f t="shared" si="29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46231M</v>
      </c>
      <c r="B58" s="51">
        <f t="shared" si="28"/>
        <v>46231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8"/>
      <c r="J58" s="118"/>
      <c r="K58" s="118"/>
      <c r="L58" s="118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9"/>
        <v>0</v>
      </c>
      <c r="AO58" s="74">
        <f t="shared" si="29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46231E</v>
      </c>
      <c r="B59" s="51">
        <f t="shared" si="28"/>
        <v>46231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8"/>
      <c r="J59" s="118"/>
      <c r="K59" s="118"/>
      <c r="L59" s="118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9"/>
        <v>0</v>
      </c>
      <c r="AO59" s="74">
        <f t="shared" si="29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46232M</v>
      </c>
      <c r="B60" s="51">
        <f t="shared" si="28"/>
        <v>46232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8"/>
      <c r="J60" s="118"/>
      <c r="K60" s="118"/>
      <c r="L60" s="118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9"/>
        <v>0</v>
      </c>
      <c r="AO60" s="74">
        <f t="shared" si="29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46232E</v>
      </c>
      <c r="B61" s="51">
        <f t="shared" si="28"/>
        <v>46232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8"/>
      <c r="J61" s="118"/>
      <c r="K61" s="118"/>
      <c r="L61" s="118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9"/>
        <v>0</v>
      </c>
      <c r="AO61" s="74">
        <f t="shared" si="29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46233M</v>
      </c>
      <c r="B62" s="51">
        <f t="shared" si="28"/>
        <v>46233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8"/>
      <c r="J62" s="118"/>
      <c r="K62" s="118"/>
      <c r="L62" s="118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9"/>
        <v>0</v>
      </c>
      <c r="AO62" s="74">
        <f t="shared" si="29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46233E</v>
      </c>
      <c r="B63" s="51">
        <f t="shared" si="28"/>
        <v>46233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8"/>
      <c r="J63" s="118"/>
      <c r="K63" s="118"/>
      <c r="L63" s="118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9"/>
        <v>0</v>
      </c>
      <c r="AO63" s="74">
        <f t="shared" si="29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46234M</v>
      </c>
      <c r="B64" s="51">
        <f t="shared" si="28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9"/>
        <v>0</v>
      </c>
      <c r="AO64" s="74">
        <f t="shared" si="29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28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9"/>
        <v>0</v>
      </c>
      <c r="AO65" s="74">
        <f t="shared" si="29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28981.830999999998</v>
      </c>
      <c r="R66" s="83">
        <f>SUM(R4:R65)</f>
        <v>28981.830999999998</v>
      </c>
      <c r="S66" s="83">
        <f t="shared" ref="S66:T66" si="30">SUM(S4:S65)</f>
        <v>1203.60959</v>
      </c>
      <c r="T66" s="83">
        <f t="shared" si="30"/>
        <v>2384.2593470000002</v>
      </c>
      <c r="AH66" s="90"/>
      <c r="AI66" s="77"/>
      <c r="AJ66" s="77"/>
      <c r="AM66" s="83">
        <f>-SUM(AM4:AM65)</f>
        <v>320.6689999999985</v>
      </c>
      <c r="AN66" s="83">
        <f>-SUM(AN4:AN65)</f>
        <v>55.583610000000022</v>
      </c>
      <c r="AO66" s="83">
        <f>-SUM(AO4:AO65)</f>
        <v>-35.289097000000282</v>
      </c>
      <c r="AQ66" s="126">
        <f>-SUM(AQ4:AQ65)</f>
        <v>16140.963262905601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4" priority="2" operator="lessThan">
      <formula>0.1</formula>
    </cfRule>
    <cfRule type="cellIs" dxfId="73" priority="3" operator="greaterThan">
      <formula>0.1</formula>
    </cfRule>
  </conditionalFormatting>
  <conditionalFormatting sqref="AP1:AQ1">
    <cfRule type="cellIs" dxfId="72" priority="1" operator="lessThan">
      <formula>1</formula>
    </cfRule>
  </conditionalFormatting>
  <conditionalFormatting sqref="AQ4:AQ65">
    <cfRule type="cellIs" dxfId="71" priority="4" operator="lessThan">
      <formula>0</formula>
    </cfRule>
    <cfRule type="cellIs" dxfId="7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593-6DC2-4384-B2C9-936E05F26BC3}">
  <dimension ref="A1:AV71"/>
  <sheetViews>
    <sheetView zoomScale="80" zoomScaleNormal="80" workbookViewId="0">
      <selection activeCell="AC20" sqref="AC20:AE20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211</v>
      </c>
      <c r="C1" s="44"/>
      <c r="G1" s="207"/>
      <c r="H1" s="207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2578.4899999999998</v>
      </c>
      <c r="E4" s="88">
        <v>3.96</v>
      </c>
      <c r="F4" s="88">
        <v>8.09</v>
      </c>
      <c r="G4" s="62">
        <f t="shared" ref="G4:G65" si="0">+D4*E4%</f>
        <v>102.10820399999999</v>
      </c>
      <c r="H4" s="63">
        <f t="shared" ref="H4:H65" si="1">+D4*F4%</f>
        <v>208.59984099999997</v>
      </c>
      <c r="I4" s="202">
        <v>287.8</v>
      </c>
      <c r="J4" s="202">
        <v>296.43400000000003</v>
      </c>
      <c r="K4" s="202">
        <v>4.2838082001389868</v>
      </c>
      <c r="L4" s="202">
        <v>8.0514246004169578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296.43400000000003</v>
      </c>
      <c r="S4" s="62">
        <f t="shared" ref="S4:S65" si="3">+J4*K4%+O4*P4%</f>
        <v>12.698664000000004</v>
      </c>
      <c r="T4" s="63">
        <f t="shared" ref="T4:T65" si="4">+J4*L4%+O4*Q4%</f>
        <v>23.867160000000005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2874.92</v>
      </c>
      <c r="AI4" s="66">
        <v>3.99</v>
      </c>
      <c r="AJ4" s="66">
        <v>8.08</v>
      </c>
      <c r="AK4" s="62">
        <f t="shared" ref="AK4:AK65" si="9">AH4*AI4%</f>
        <v>114.70930800000002</v>
      </c>
      <c r="AL4" s="72">
        <f t="shared" ref="AL4:AL65" si="10">AH4*AJ4%</f>
        <v>232.29353599999999</v>
      </c>
      <c r="AM4" s="73">
        <f t="shared" ref="AM4:AM65" si="11">+D4+R4-AC4-AH4</f>
        <v>3.9999999999054126E-3</v>
      </c>
      <c r="AN4" s="74">
        <f t="shared" ref="AN4:AO19" si="12">+G4+S4-AF4-AK4</f>
        <v>9.7559999999973002E-2</v>
      </c>
      <c r="AO4" s="74">
        <f t="shared" si="12"/>
        <v>0.1734649999999931</v>
      </c>
      <c r="AP4" s="75">
        <f t="shared" ref="AP4:AP65" si="13">(AN4+AO4)/(S4+T4)</f>
        <v>7.4119757290295454E-3</v>
      </c>
      <c r="AQ4" s="76">
        <f t="shared" ref="AQ4:AQ65" si="14">($AP$1*AN4+$AQ$1*AO4)</f>
        <v>98.831978455192981</v>
      </c>
      <c r="AR4" s="90">
        <f t="shared" ref="AR4:AR65" si="15">(D4+J4+O4)-(X4+AH4)</f>
        <v>3.9999999999054126E-3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2874.92</v>
      </c>
      <c r="E5" s="62">
        <v>3.99</v>
      </c>
      <c r="F5" s="62">
        <v>8.08</v>
      </c>
      <c r="G5" s="62">
        <f t="shared" si="0"/>
        <v>114.70930800000002</v>
      </c>
      <c r="H5" s="63">
        <f t="shared" si="1"/>
        <v>232.29353599999999</v>
      </c>
      <c r="I5" s="202">
        <v>715.69999999999993</v>
      </c>
      <c r="J5" s="202">
        <v>737.17099999999994</v>
      </c>
      <c r="K5" s="202">
        <v>3.8592985887941884</v>
      </c>
      <c r="L5" s="202">
        <v>8.0693167528293994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737.17099999999994</v>
      </c>
      <c r="S5" s="62">
        <f t="shared" si="3"/>
        <v>28.449630000000003</v>
      </c>
      <c r="T5" s="63">
        <f t="shared" si="4"/>
        <v>59.484663000000005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3612.09</v>
      </c>
      <c r="AI5" s="66">
        <v>3.95</v>
      </c>
      <c r="AJ5" s="66">
        <v>8</v>
      </c>
      <c r="AK5" s="62">
        <f t="shared" si="9"/>
        <v>142.67755500000001</v>
      </c>
      <c r="AL5" s="72">
        <f t="shared" si="10"/>
        <v>288.96719999999999</v>
      </c>
      <c r="AM5" s="73">
        <f t="shared" si="11"/>
        <v>9.9999999974897946E-4</v>
      </c>
      <c r="AN5" s="74">
        <f t="shared" si="12"/>
        <v>0.48138300000002232</v>
      </c>
      <c r="AO5" s="74">
        <f t="shared" si="12"/>
        <v>2.8109989999999812</v>
      </c>
      <c r="AP5" s="75">
        <f t="shared" si="13"/>
        <v>3.7441388196525364E-2</v>
      </c>
      <c r="AQ5" s="76">
        <f t="shared" si="14"/>
        <v>1073.1893743463843</v>
      </c>
      <c r="AR5" s="90">
        <f t="shared" si="15"/>
        <v>9.9999999974897946E-4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3612.09</v>
      </c>
      <c r="E6" s="62">
        <v>3.95</v>
      </c>
      <c r="F6" s="62">
        <v>8</v>
      </c>
      <c r="G6" s="62">
        <f t="shared" si="0"/>
        <v>142.67755500000001</v>
      </c>
      <c r="H6" s="63">
        <f t="shared" si="1"/>
        <v>288.96719999999999</v>
      </c>
      <c r="I6" s="202">
        <v>138.69999999999999</v>
      </c>
      <c r="J6" s="202">
        <v>142.86099999999999</v>
      </c>
      <c r="K6" s="202">
        <v>4.9292718096611381</v>
      </c>
      <c r="L6" s="202">
        <v>8.2120403749098756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142.86099999999999</v>
      </c>
      <c r="S6" s="62">
        <f t="shared" si="3"/>
        <v>7.0420069999999972</v>
      </c>
      <c r="T6" s="63">
        <f t="shared" si="4"/>
        <v>11.731802999999996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3754.8</v>
      </c>
      <c r="AI6" s="66">
        <v>3.98</v>
      </c>
      <c r="AJ6" s="66">
        <v>8.01</v>
      </c>
      <c r="AK6" s="62">
        <f t="shared" si="9"/>
        <v>149.44104000000002</v>
      </c>
      <c r="AL6" s="72">
        <f t="shared" si="10"/>
        <v>300.75948000000005</v>
      </c>
      <c r="AM6" s="73">
        <f t="shared" si="11"/>
        <v>0.15099999999983993</v>
      </c>
      <c r="AN6" s="74">
        <f t="shared" si="12"/>
        <v>0.27852199999998106</v>
      </c>
      <c r="AO6" s="74">
        <f t="shared" si="12"/>
        <v>-6.047700000004852E-2</v>
      </c>
      <c r="AP6" s="75">
        <f t="shared" si="13"/>
        <v>1.161431803133901E-2</v>
      </c>
      <c r="AQ6" s="76">
        <f t="shared" si="14"/>
        <v>115.72656279270025</v>
      </c>
      <c r="AR6" s="90">
        <f t="shared" si="15"/>
        <v>0.15099999999983993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3754.8</v>
      </c>
      <c r="E7" s="62">
        <v>3.98</v>
      </c>
      <c r="F7" s="62">
        <v>8.01</v>
      </c>
      <c r="G7" s="62">
        <f t="shared" si="0"/>
        <v>149.44104000000002</v>
      </c>
      <c r="H7" s="63">
        <f t="shared" si="1"/>
        <v>300.75948000000005</v>
      </c>
      <c r="I7" s="202">
        <v>788.40000000000009</v>
      </c>
      <c r="J7" s="202">
        <v>812.05200000000013</v>
      </c>
      <c r="K7" s="202">
        <v>3.820357686453578</v>
      </c>
      <c r="L7" s="202">
        <v>8.039459665144598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812.05200000000013</v>
      </c>
      <c r="S7" s="62">
        <f t="shared" si="3"/>
        <v>31.023291000000015</v>
      </c>
      <c r="T7" s="63">
        <f t="shared" si="4"/>
        <v>65.284593000000015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4525.6000000000004</v>
      </c>
      <c r="AI7" s="66">
        <v>3.95</v>
      </c>
      <c r="AJ7" s="66">
        <v>8</v>
      </c>
      <c r="AK7" s="62">
        <f t="shared" si="9"/>
        <v>178.7612</v>
      </c>
      <c r="AL7" s="72">
        <f t="shared" si="10"/>
        <v>362.04800000000006</v>
      </c>
      <c r="AM7" s="73">
        <f t="shared" si="11"/>
        <v>41.252000000000407</v>
      </c>
      <c r="AN7" s="74">
        <f t="shared" si="12"/>
        <v>1.7031310000000133</v>
      </c>
      <c r="AO7" s="74">
        <f t="shared" si="12"/>
        <v>3.996073000000024</v>
      </c>
      <c r="AP7" s="75">
        <f t="shared" si="13"/>
        <v>5.9176920552008343E-2</v>
      </c>
      <c r="AQ7" s="76">
        <f t="shared" si="14"/>
        <v>2015.1981647424614</v>
      </c>
      <c r="AR7" s="90">
        <f t="shared" si="15"/>
        <v>41.252000000000407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4525.6000000000004</v>
      </c>
      <c r="E8" s="62">
        <v>3.95</v>
      </c>
      <c r="F8" s="62">
        <v>8</v>
      </c>
      <c r="G8" s="62">
        <f t="shared" si="0"/>
        <v>178.7612</v>
      </c>
      <c r="H8" s="63">
        <f t="shared" si="1"/>
        <v>362.04800000000006</v>
      </c>
      <c r="I8" s="202">
        <v>1049.8999999999996</v>
      </c>
      <c r="J8" s="202">
        <v>1081.3969999999997</v>
      </c>
      <c r="K8" s="202">
        <v>3.5979140870559103</v>
      </c>
      <c r="L8" s="202">
        <v>7.8787694066101572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1081.3969999999997</v>
      </c>
      <c r="S8" s="62">
        <f t="shared" si="3"/>
        <v>38.907734999999995</v>
      </c>
      <c r="T8" s="63">
        <f t="shared" si="4"/>
        <v>85.200776000000019</v>
      </c>
      <c r="U8" s="64" t="s">
        <v>170</v>
      </c>
      <c r="V8" s="65" t="s">
        <v>271</v>
      </c>
      <c r="W8" s="66" t="s">
        <v>272</v>
      </c>
      <c r="X8" s="67">
        <v>4870</v>
      </c>
      <c r="Y8" s="68">
        <v>4.05</v>
      </c>
      <c r="Z8" s="68">
        <v>8.0299999999999994</v>
      </c>
      <c r="AA8" s="62">
        <f t="shared" si="5"/>
        <v>197.23500000000001</v>
      </c>
      <c r="AB8" s="63">
        <f t="shared" si="6"/>
        <v>391.06099999999998</v>
      </c>
      <c r="AC8" s="69">
        <v>4850</v>
      </c>
      <c r="AD8" s="70">
        <v>3.9817525773195883</v>
      </c>
      <c r="AE8" s="70">
        <v>7.9089072164948453</v>
      </c>
      <c r="AF8" s="62">
        <f t="shared" si="7"/>
        <v>193.11500000000004</v>
      </c>
      <c r="AG8" s="62">
        <f t="shared" si="8"/>
        <v>383.58199999999999</v>
      </c>
      <c r="AH8" s="89">
        <v>0</v>
      </c>
      <c r="AI8" s="66">
        <v>0</v>
      </c>
      <c r="AJ8" s="66">
        <v>0</v>
      </c>
      <c r="AK8" s="62">
        <f t="shared" si="9"/>
        <v>0</v>
      </c>
      <c r="AL8" s="72">
        <f t="shared" si="10"/>
        <v>0</v>
      </c>
      <c r="AM8" s="73">
        <f t="shared" si="11"/>
        <v>756.9970000000003</v>
      </c>
      <c r="AN8" s="74">
        <f t="shared" si="12"/>
        <v>24.553934999999967</v>
      </c>
      <c r="AO8" s="74">
        <f t="shared" si="12"/>
        <v>63.666776000000084</v>
      </c>
      <c r="AP8" s="75">
        <f t="shared" si="13"/>
        <v>0.7108353028262504</v>
      </c>
      <c r="AQ8" s="76">
        <f t="shared" si="14"/>
        <v>30866.597528143422</v>
      </c>
      <c r="AR8" s="90">
        <f t="shared" si="15"/>
        <v>736.9970000000003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202">
        <v>0</v>
      </c>
      <c r="J9" s="202">
        <v>0</v>
      </c>
      <c r="K9" s="202">
        <v>0</v>
      </c>
      <c r="L9" s="202">
        <v>0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0</v>
      </c>
      <c r="S9" s="62">
        <f t="shared" si="3"/>
        <v>0</v>
      </c>
      <c r="T9" s="63">
        <f t="shared" si="4"/>
        <v>0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>
        <v>850.05</v>
      </c>
      <c r="AI9" s="66">
        <v>3.45</v>
      </c>
      <c r="AJ9" s="66">
        <v>7.83</v>
      </c>
      <c r="AK9" s="62">
        <f t="shared" si="9"/>
        <v>29.326725</v>
      </c>
      <c r="AL9" s="72">
        <f t="shared" si="10"/>
        <v>66.558914999999999</v>
      </c>
      <c r="AM9" s="73">
        <f t="shared" si="11"/>
        <v>-850.05</v>
      </c>
      <c r="AN9" s="74">
        <f t="shared" si="12"/>
        <v>-29.326725</v>
      </c>
      <c r="AO9" s="74">
        <f t="shared" si="12"/>
        <v>-66.558914999999999</v>
      </c>
      <c r="AP9" s="75" t="e">
        <f t="shared" si="13"/>
        <v>#DIV/0!</v>
      </c>
      <c r="AQ9" s="76">
        <f t="shared" si="14"/>
        <v>-34026.248343598891</v>
      </c>
      <c r="AR9" s="90">
        <f t="shared" si="15"/>
        <v>-850.05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850.05</v>
      </c>
      <c r="E10" s="62">
        <v>3.45</v>
      </c>
      <c r="F10" s="62">
        <v>7.83</v>
      </c>
      <c r="G10" s="62">
        <f t="shared" si="0"/>
        <v>29.326725</v>
      </c>
      <c r="H10" s="63">
        <f t="shared" si="1"/>
        <v>66.558914999999999</v>
      </c>
      <c r="I10" s="202">
        <v>229.5</v>
      </c>
      <c r="J10" s="202">
        <v>236.38500000000002</v>
      </c>
      <c r="K10" s="202">
        <v>4.5113289760348581</v>
      </c>
      <c r="L10" s="202">
        <v>7.9044444444444446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236.38500000000002</v>
      </c>
      <c r="S10" s="62">
        <f t="shared" si="3"/>
        <v>10.664105000000001</v>
      </c>
      <c r="T10" s="63">
        <f t="shared" si="4"/>
        <v>18.684921000000003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1086.43</v>
      </c>
      <c r="AI10" s="66">
        <v>3.68</v>
      </c>
      <c r="AJ10" s="66">
        <v>7.85</v>
      </c>
      <c r="AK10" s="62">
        <f t="shared" si="9"/>
        <v>39.980623999999999</v>
      </c>
      <c r="AL10" s="72">
        <f t="shared" si="10"/>
        <v>85.284755000000004</v>
      </c>
      <c r="AM10" s="73">
        <f t="shared" si="11"/>
        <v>4.9999999998817657E-3</v>
      </c>
      <c r="AN10" s="74">
        <f t="shared" si="12"/>
        <v>1.0206000000003712E-2</v>
      </c>
      <c r="AO10" s="74">
        <f t="shared" si="12"/>
        <v>-4.091900000000237E-2</v>
      </c>
      <c r="AP10" s="75">
        <f t="shared" si="13"/>
        <v>-1.0464742509682828E-3</v>
      </c>
      <c r="AQ10" s="76">
        <f t="shared" si="14"/>
        <v>-7.3505610493294542</v>
      </c>
      <c r="AR10" s="90">
        <f t="shared" si="15"/>
        <v>4.9999999998817657E-3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1086.43</v>
      </c>
      <c r="E11" s="62">
        <v>3.68</v>
      </c>
      <c r="F11" s="62">
        <v>7.85</v>
      </c>
      <c r="G11" s="62">
        <f t="shared" si="0"/>
        <v>39.980623999999999</v>
      </c>
      <c r="H11" s="63">
        <f t="shared" si="1"/>
        <v>85.284755000000004</v>
      </c>
      <c r="I11" s="202">
        <v>944.5</v>
      </c>
      <c r="J11" s="202">
        <v>972.83500000000004</v>
      </c>
      <c r="K11" s="202">
        <v>3.6701323451561665</v>
      </c>
      <c r="L11" s="202">
        <v>7.833605082053996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972.83500000000004</v>
      </c>
      <c r="S11" s="62">
        <f t="shared" si="3"/>
        <v>35.704331999999994</v>
      </c>
      <c r="T11" s="63">
        <f t="shared" si="4"/>
        <v>76.208051999999995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2059.2600000000002</v>
      </c>
      <c r="AI11" s="66">
        <v>3.67</v>
      </c>
      <c r="AJ11" s="66">
        <v>7.84</v>
      </c>
      <c r="AK11" s="62">
        <f t="shared" si="9"/>
        <v>75.574842000000004</v>
      </c>
      <c r="AL11" s="72">
        <f t="shared" si="10"/>
        <v>161.44598400000001</v>
      </c>
      <c r="AM11" s="73">
        <f t="shared" si="11"/>
        <v>5.0000000001091394E-3</v>
      </c>
      <c r="AN11" s="74">
        <f t="shared" si="12"/>
        <v>0.11011399999999583</v>
      </c>
      <c r="AO11" s="74">
        <f t="shared" si="12"/>
        <v>4.6822999999989179E-2</v>
      </c>
      <c r="AP11" s="75">
        <f t="shared" si="13"/>
        <v>1.402320229367869E-3</v>
      </c>
      <c r="AQ11" s="76">
        <f t="shared" si="14"/>
        <v>66.936432474833737</v>
      </c>
      <c r="AR11" s="90">
        <f t="shared" si="15"/>
        <v>5.0000000001091394E-3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2059.2600000000002</v>
      </c>
      <c r="E12" s="62">
        <v>3.67</v>
      </c>
      <c r="F12" s="62">
        <v>7.84</v>
      </c>
      <c r="G12" s="62">
        <f t="shared" si="0"/>
        <v>75.574842000000004</v>
      </c>
      <c r="H12" s="63">
        <f t="shared" si="1"/>
        <v>161.44598400000001</v>
      </c>
      <c r="I12" s="202">
        <v>274.79999999999995</v>
      </c>
      <c r="J12" s="202">
        <v>283.04399999999998</v>
      </c>
      <c r="K12" s="202">
        <v>4.2743813682678322</v>
      </c>
      <c r="L12" s="202">
        <v>7.9201601164483275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283.04399999999998</v>
      </c>
      <c r="S12" s="62">
        <f t="shared" si="3"/>
        <v>12.098380000000002</v>
      </c>
      <c r="T12" s="63">
        <f t="shared" si="4"/>
        <v>22.417538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2342.3000000000002</v>
      </c>
      <c r="AI12" s="66">
        <v>3.74</v>
      </c>
      <c r="AJ12" s="66">
        <v>7.84</v>
      </c>
      <c r="AK12" s="62">
        <f t="shared" si="9"/>
        <v>87.60202000000001</v>
      </c>
      <c r="AL12" s="72">
        <f t="shared" si="10"/>
        <v>183.63632000000001</v>
      </c>
      <c r="AM12" s="73">
        <f t="shared" si="11"/>
        <v>3.9999999999054126E-3</v>
      </c>
      <c r="AN12" s="74">
        <f t="shared" si="12"/>
        <v>7.1201999999999543E-2</v>
      </c>
      <c r="AO12" s="74">
        <f t="shared" si="12"/>
        <v>0.22720200000000546</v>
      </c>
      <c r="AP12" s="75">
        <f t="shared" si="13"/>
        <v>8.6454023908622401E-3</v>
      </c>
      <c r="AQ12" s="76">
        <f t="shared" si="14"/>
        <v>102.25985470228639</v>
      </c>
      <c r="AR12" s="90">
        <f t="shared" si="15"/>
        <v>3.9999999999054126E-3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2342.3000000000002</v>
      </c>
      <c r="E13" s="62">
        <v>3.74</v>
      </c>
      <c r="F13" s="62">
        <v>7.84</v>
      </c>
      <c r="G13" s="62">
        <f t="shared" si="0"/>
        <v>87.60202000000001</v>
      </c>
      <c r="H13" s="63">
        <f t="shared" si="1"/>
        <v>183.63632000000001</v>
      </c>
      <c r="I13" s="202">
        <v>912.69999999999982</v>
      </c>
      <c r="J13" s="202">
        <v>940.08099999999979</v>
      </c>
      <c r="K13" s="202">
        <v>3.8378218472663517</v>
      </c>
      <c r="L13" s="202">
        <v>7.9117234578722453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940.08099999999979</v>
      </c>
      <c r="S13" s="62">
        <f t="shared" si="3"/>
        <v>36.078633999999987</v>
      </c>
      <c r="T13" s="63">
        <f t="shared" si="4"/>
        <v>74.376608999999959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>
        <v>3282.3</v>
      </c>
      <c r="AI13" s="66">
        <v>3.74</v>
      </c>
      <c r="AJ13" s="66">
        <v>7.84</v>
      </c>
      <c r="AK13" s="62">
        <f t="shared" si="9"/>
        <v>122.75802000000002</v>
      </c>
      <c r="AL13" s="72">
        <f t="shared" si="10"/>
        <v>257.33231999999998</v>
      </c>
      <c r="AM13" s="73">
        <f t="shared" si="11"/>
        <v>8.099999999967622E-2</v>
      </c>
      <c r="AN13" s="74">
        <f t="shared" si="12"/>
        <v>0.92263399999998796</v>
      </c>
      <c r="AO13" s="74">
        <f t="shared" si="12"/>
        <v>0.68060900000000402</v>
      </c>
      <c r="AP13" s="75">
        <f t="shared" si="13"/>
        <v>1.4514865536984903E-2</v>
      </c>
      <c r="AQ13" s="76">
        <f t="shared" si="14"/>
        <v>647.19200180973633</v>
      </c>
      <c r="AR13" s="90">
        <f t="shared" si="15"/>
        <v>8.099999999967622E-2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3282.3</v>
      </c>
      <c r="E14" s="62">
        <v>3.74</v>
      </c>
      <c r="F14" s="62">
        <v>7.84</v>
      </c>
      <c r="G14" s="62">
        <f t="shared" si="0"/>
        <v>122.75802000000002</v>
      </c>
      <c r="H14" s="63">
        <f t="shared" si="1"/>
        <v>257.33231999999998</v>
      </c>
      <c r="I14" s="202">
        <v>131.50000000000003</v>
      </c>
      <c r="J14" s="202">
        <v>135.44500000000002</v>
      </c>
      <c r="K14" s="202">
        <v>5.0289733840304196</v>
      </c>
      <c r="L14" s="202">
        <v>8.299011406844107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135.44500000000002</v>
      </c>
      <c r="S14" s="62">
        <f t="shared" si="3"/>
        <v>6.8114930000000031</v>
      </c>
      <c r="T14" s="63">
        <f t="shared" si="4"/>
        <v>11.240596000000004</v>
      </c>
      <c r="U14" s="64" t="s">
        <v>192</v>
      </c>
      <c r="V14" s="65" t="s">
        <v>332</v>
      </c>
      <c r="W14" s="66" t="s">
        <v>272</v>
      </c>
      <c r="X14" s="67">
        <v>3450</v>
      </c>
      <c r="Y14" s="68">
        <v>3.9</v>
      </c>
      <c r="Z14" s="68">
        <v>7.87</v>
      </c>
      <c r="AA14" s="62">
        <f t="shared" si="5"/>
        <v>134.55000000000001</v>
      </c>
      <c r="AB14" s="63">
        <f t="shared" si="6"/>
        <v>271.51500000000004</v>
      </c>
      <c r="AC14" s="69">
        <v>3450</v>
      </c>
      <c r="AD14" s="70">
        <v>3.9</v>
      </c>
      <c r="AE14" s="70">
        <v>7.87</v>
      </c>
      <c r="AF14" s="62">
        <f t="shared" si="7"/>
        <v>134.55000000000001</v>
      </c>
      <c r="AG14" s="62">
        <f t="shared" si="8"/>
        <v>271.51500000000004</v>
      </c>
      <c r="AH14" s="89">
        <v>0</v>
      </c>
      <c r="AI14" s="66">
        <v>0</v>
      </c>
      <c r="AJ14" s="66">
        <v>0</v>
      </c>
      <c r="AK14" s="62">
        <f t="shared" si="9"/>
        <v>0</v>
      </c>
      <c r="AL14" s="72">
        <f t="shared" si="10"/>
        <v>0</v>
      </c>
      <c r="AM14" s="73">
        <f t="shared" si="11"/>
        <v>-32.254999999999654</v>
      </c>
      <c r="AN14" s="74">
        <f t="shared" si="12"/>
        <v>-4.9804869999999823</v>
      </c>
      <c r="AO14" s="74">
        <f t="shared" si="12"/>
        <v>-2.9420840000000794</v>
      </c>
      <c r="AP14" s="75">
        <f t="shared" si="13"/>
        <v>-0.4388728085708008</v>
      </c>
      <c r="AQ14" s="76">
        <f t="shared" si="14"/>
        <v>-3274.4140666145413</v>
      </c>
      <c r="AR14" s="90">
        <f t="shared" si="15"/>
        <v>-32.254999999999654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0"/>
        <v>0</v>
      </c>
      <c r="H15" s="63">
        <f t="shared" si="1"/>
        <v>0</v>
      </c>
      <c r="I15" s="202">
        <v>1043.8999999999999</v>
      </c>
      <c r="J15" s="202">
        <v>1075.2169999999999</v>
      </c>
      <c r="K15" s="202">
        <v>3.769020021074815</v>
      </c>
      <c r="L15" s="202">
        <v>7.8895679662802944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1075.2169999999999</v>
      </c>
      <c r="S15" s="62">
        <f t="shared" si="3"/>
        <v>40.52514399999999</v>
      </c>
      <c r="T15" s="63">
        <f t="shared" si="4"/>
        <v>84.829975999999988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1075.2</v>
      </c>
      <c r="AI15" s="66">
        <v>3.77</v>
      </c>
      <c r="AJ15" s="66">
        <v>7.89</v>
      </c>
      <c r="AK15" s="62">
        <f t="shared" si="9"/>
        <v>40.535040000000002</v>
      </c>
      <c r="AL15" s="72">
        <f t="shared" si="10"/>
        <v>84.833280000000002</v>
      </c>
      <c r="AM15" s="73">
        <f t="shared" si="11"/>
        <v>1.6999999999825377E-2</v>
      </c>
      <c r="AN15" s="74">
        <f t="shared" si="12"/>
        <v>-9.8960000000118953E-3</v>
      </c>
      <c r="AO15" s="74">
        <f t="shared" si="12"/>
        <v>-3.3040000000141845E-3</v>
      </c>
      <c r="AP15" s="75">
        <f t="shared" si="13"/>
        <v>-1.0530084451298107E-4</v>
      </c>
      <c r="AQ15" s="76">
        <f t="shared" si="14"/>
        <v>-5.7448686655416665</v>
      </c>
      <c r="AR15" s="90">
        <f t="shared" si="15"/>
        <v>1.6999999999825377E-2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1075.2</v>
      </c>
      <c r="E16" s="62">
        <v>3.77</v>
      </c>
      <c r="F16" s="62">
        <v>7.89</v>
      </c>
      <c r="G16" s="62">
        <f t="shared" si="0"/>
        <v>40.535040000000002</v>
      </c>
      <c r="H16" s="63">
        <f t="shared" si="1"/>
        <v>84.833280000000002</v>
      </c>
      <c r="I16" s="202">
        <v>276.10000000000002</v>
      </c>
      <c r="J16" s="202">
        <v>284.38300000000004</v>
      </c>
      <c r="K16" s="202">
        <v>4.7691416153567543</v>
      </c>
      <c r="L16" s="202">
        <v>8.1259326331039468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284.38300000000004</v>
      </c>
      <c r="S16" s="62">
        <f t="shared" si="3"/>
        <v>13.562628</v>
      </c>
      <c r="T16" s="63">
        <f t="shared" si="4"/>
        <v>23.108771000000001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>
        <v>1359.58</v>
      </c>
      <c r="AI16" s="66">
        <v>3.98</v>
      </c>
      <c r="AJ16" s="66">
        <v>7.94</v>
      </c>
      <c r="AK16" s="62">
        <f t="shared" si="9"/>
        <v>54.111283999999998</v>
      </c>
      <c r="AL16" s="72">
        <f t="shared" si="10"/>
        <v>107.95065199999999</v>
      </c>
      <c r="AM16" s="73">
        <f t="shared" si="11"/>
        <v>3.0000000001564331E-3</v>
      </c>
      <c r="AN16" s="74">
        <f t="shared" si="12"/>
        <v>-1.3615999999998962E-2</v>
      </c>
      <c r="AO16" s="74">
        <f t="shared" si="12"/>
        <v>-8.6009999999845377E-3</v>
      </c>
      <c r="AP16" s="75">
        <f t="shared" si="13"/>
        <v>-6.0583998990558008E-4</v>
      </c>
      <c r="AQ16" s="76">
        <f t="shared" si="14"/>
        <v>-9.1188540816289816</v>
      </c>
      <c r="AR16" s="90">
        <f t="shared" si="15"/>
        <v>3.0000000001564331E-3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1359.58</v>
      </c>
      <c r="E17" s="62">
        <v>3.98</v>
      </c>
      <c r="F17" s="62">
        <v>7.94</v>
      </c>
      <c r="G17" s="62">
        <f t="shared" si="0"/>
        <v>54.111283999999998</v>
      </c>
      <c r="H17" s="63">
        <f t="shared" si="1"/>
        <v>107.95065199999999</v>
      </c>
      <c r="I17" s="202">
        <v>807.39999999999986</v>
      </c>
      <c r="J17" s="202">
        <v>831.62199999999984</v>
      </c>
      <c r="K17" s="202">
        <v>3.6235075551151836</v>
      </c>
      <c r="L17" s="202">
        <v>7.9219841466435454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831.62199999999984</v>
      </c>
      <c r="S17" s="62">
        <f t="shared" si="3"/>
        <v>30.13388599999999</v>
      </c>
      <c r="T17" s="63">
        <f t="shared" si="4"/>
        <v>65.88096299999998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2191.1999999999998</v>
      </c>
      <c r="AI17" s="66">
        <v>3.84</v>
      </c>
      <c r="AJ17" s="66">
        <v>7.94</v>
      </c>
      <c r="AK17" s="62">
        <f t="shared" si="9"/>
        <v>84.142079999999979</v>
      </c>
      <c r="AL17" s="72">
        <f t="shared" si="10"/>
        <v>173.98127999999997</v>
      </c>
      <c r="AM17" s="73">
        <f t="shared" si="11"/>
        <v>1.9999999999527063E-3</v>
      </c>
      <c r="AN17" s="74">
        <f t="shared" si="12"/>
        <v>0.10309000000000879</v>
      </c>
      <c r="AO17" s="74">
        <f t="shared" si="12"/>
        <v>-0.14966499999999883</v>
      </c>
      <c r="AP17" s="75">
        <f t="shared" si="13"/>
        <v>-4.8508121905175373E-4</v>
      </c>
      <c r="AQ17" s="76">
        <f t="shared" si="14"/>
        <v>4.714765105339481</v>
      </c>
      <c r="AR17" s="90">
        <f t="shared" si="15"/>
        <v>1.9999999999527063E-3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2191.1999999999998</v>
      </c>
      <c r="E18" s="62">
        <v>3.84</v>
      </c>
      <c r="F18" s="62">
        <v>7.94</v>
      </c>
      <c r="G18" s="62">
        <f t="shared" si="0"/>
        <v>84.142079999999979</v>
      </c>
      <c r="H18" s="63">
        <f t="shared" si="1"/>
        <v>173.98127999999997</v>
      </c>
      <c r="I18" s="202">
        <v>377.9</v>
      </c>
      <c r="J18" s="202">
        <v>389.23699999999997</v>
      </c>
      <c r="K18" s="202">
        <v>4.2107965070124376</v>
      </c>
      <c r="L18" s="202">
        <v>8.0123313045779305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389.23699999999997</v>
      </c>
      <c r="S18" s="62">
        <f t="shared" si="3"/>
        <v>16.389977999999999</v>
      </c>
      <c r="T18" s="63">
        <f t="shared" si="4"/>
        <v>31.186957999999994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2580.4299999999998</v>
      </c>
      <c r="AI18" s="66">
        <v>3.89</v>
      </c>
      <c r="AJ18" s="66">
        <v>7.95</v>
      </c>
      <c r="AK18" s="62">
        <f t="shared" si="9"/>
        <v>100.378727</v>
      </c>
      <c r="AL18" s="72">
        <f t="shared" si="10"/>
        <v>205.14418499999999</v>
      </c>
      <c r="AM18" s="73">
        <f t="shared" si="11"/>
        <v>7.0000000000618456E-3</v>
      </c>
      <c r="AN18" s="74">
        <f t="shared" si="12"/>
        <v>0.15333099999998012</v>
      </c>
      <c r="AO18" s="74">
        <f t="shared" si="12"/>
        <v>2.4052999999980784E-2</v>
      </c>
      <c r="AP18" s="75">
        <f t="shared" si="13"/>
        <v>3.7283611538153896E-3</v>
      </c>
      <c r="AQ18" s="76">
        <f t="shared" si="14"/>
        <v>80.884195243877215</v>
      </c>
      <c r="AR18" s="90">
        <f>(D18+J18+O18)-(X18+AH18)</f>
        <v>7.0000000000618456E-3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2580.4299999999998</v>
      </c>
      <c r="E19" s="62">
        <v>3.89</v>
      </c>
      <c r="F19" s="62">
        <v>7.95</v>
      </c>
      <c r="G19" s="62">
        <f t="shared" si="0"/>
        <v>100.378727</v>
      </c>
      <c r="H19" s="63">
        <f t="shared" si="1"/>
        <v>205.14418499999999</v>
      </c>
      <c r="I19" s="202">
        <v>770.2</v>
      </c>
      <c r="J19" s="202">
        <v>793.30600000000004</v>
      </c>
      <c r="K19" s="202">
        <v>3.6861204881848879</v>
      </c>
      <c r="L19" s="202">
        <v>8.0550766034796144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793.30600000000004</v>
      </c>
      <c r="S19" s="62">
        <f t="shared" si="3"/>
        <v>29.242215000000009</v>
      </c>
      <c r="T19" s="63">
        <f t="shared" si="4"/>
        <v>63.901405999999994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3373.73</v>
      </c>
      <c r="AI19" s="66">
        <v>3.84</v>
      </c>
      <c r="AJ19" s="66">
        <v>7.98</v>
      </c>
      <c r="AK19" s="62">
        <f t="shared" si="9"/>
        <v>129.551232</v>
      </c>
      <c r="AL19" s="72">
        <f t="shared" si="10"/>
        <v>269.22365400000001</v>
      </c>
      <c r="AM19" s="73">
        <f t="shared" si="11"/>
        <v>5.9999999998581188E-3</v>
      </c>
      <c r="AN19" s="74">
        <f t="shared" si="12"/>
        <v>6.9710000000014816E-2</v>
      </c>
      <c r="AO19" s="74">
        <f t="shared" si="12"/>
        <v>-0.17806300000000874</v>
      </c>
      <c r="AP19" s="75">
        <f t="shared" si="13"/>
        <v>-1.1632895397097986E-3</v>
      </c>
      <c r="AQ19" s="76">
        <f t="shared" si="14"/>
        <v>-19.830359480840059</v>
      </c>
      <c r="AR19" s="90">
        <f>(D19+J19+O19)-(X19+AH19)</f>
        <v>5.9999999998581188E-3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3373.73</v>
      </c>
      <c r="E20" s="62">
        <v>3.84</v>
      </c>
      <c r="F20" s="62">
        <v>7.98</v>
      </c>
      <c r="G20" s="62">
        <f t="shared" si="0"/>
        <v>129.551232</v>
      </c>
      <c r="H20" s="63">
        <f t="shared" si="1"/>
        <v>269.22365400000001</v>
      </c>
      <c r="I20" s="202">
        <v>336.09999999999997</v>
      </c>
      <c r="J20" s="202">
        <v>346.18299999999999</v>
      </c>
      <c r="K20" s="202">
        <v>4.3465040166617079</v>
      </c>
      <c r="L20" s="202">
        <v>8.2926807497768547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346.18299999999999</v>
      </c>
      <c r="S20" s="62">
        <f t="shared" si="3"/>
        <v>15.046858</v>
      </c>
      <c r="T20" s="63">
        <f t="shared" si="4"/>
        <v>28.707851000000005</v>
      </c>
      <c r="U20" s="64" t="s">
        <v>192</v>
      </c>
      <c r="V20" s="65" t="s">
        <v>397</v>
      </c>
      <c r="W20" s="66" t="s">
        <v>272</v>
      </c>
      <c r="X20" s="67">
        <v>2690</v>
      </c>
      <c r="Y20" s="68">
        <v>3.9</v>
      </c>
      <c r="Z20" s="68">
        <v>7.87</v>
      </c>
      <c r="AA20" s="62">
        <f t="shared" si="5"/>
        <v>104.91</v>
      </c>
      <c r="AB20" s="63">
        <f t="shared" si="6"/>
        <v>211.703</v>
      </c>
      <c r="AC20" s="215">
        <v>2690</v>
      </c>
      <c r="AD20" s="216">
        <v>3.9</v>
      </c>
      <c r="AE20" s="216">
        <v>7.87</v>
      </c>
      <c r="AF20" s="62">
        <f t="shared" si="7"/>
        <v>104.91</v>
      </c>
      <c r="AG20" s="62">
        <f t="shared" si="8"/>
        <v>211.703</v>
      </c>
      <c r="AH20" s="89">
        <v>1029.9100000000001</v>
      </c>
      <c r="AI20" s="66">
        <v>3.88</v>
      </c>
      <c r="AJ20" s="66">
        <v>7.98</v>
      </c>
      <c r="AK20" s="62">
        <f t="shared" si="9"/>
        <v>39.960508000000004</v>
      </c>
      <c r="AL20" s="72">
        <f t="shared" si="10"/>
        <v>82.186818000000017</v>
      </c>
      <c r="AM20" s="73">
        <f t="shared" si="11"/>
        <v>2.9999999999290594E-3</v>
      </c>
      <c r="AN20" s="74">
        <f t="shared" ref="AN20:AO65" si="18">+G20+S20-AF20-AK20</f>
        <v>-0.27241799999998761</v>
      </c>
      <c r="AO20" s="74">
        <f t="shared" si="18"/>
        <v>4.041686999999996</v>
      </c>
      <c r="AP20" s="75">
        <f t="shared" si="13"/>
        <v>8.61454477962591E-2</v>
      </c>
      <c r="AQ20" s="76">
        <f t="shared" si="14"/>
        <v>1079.5435601046768</v>
      </c>
      <c r="AR20" s="90">
        <f>(D20+J20+O20)-(X20+AH20)</f>
        <v>3.0000000001564331E-3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1029.9100000000001</v>
      </c>
      <c r="E21" s="62">
        <v>3.88</v>
      </c>
      <c r="F21" s="62">
        <v>7.98</v>
      </c>
      <c r="G21" s="62">
        <f t="shared" si="0"/>
        <v>39.960508000000004</v>
      </c>
      <c r="H21" s="63">
        <f t="shared" si="1"/>
        <v>82.186818000000017</v>
      </c>
      <c r="I21" s="202">
        <v>1078.7</v>
      </c>
      <c r="J21" s="202">
        <v>1111.0610000000001</v>
      </c>
      <c r="K21" s="202">
        <v>4.1121998702141465</v>
      </c>
      <c r="L21" s="202">
        <v>7.8761842959117425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1111.0610000000001</v>
      </c>
      <c r="S21" s="62">
        <f t="shared" si="3"/>
        <v>45.689049000000004</v>
      </c>
      <c r="T21" s="63">
        <f t="shared" si="4"/>
        <v>87.509211999999977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>
        <v>2140.9699999999998</v>
      </c>
      <c r="AI21" s="66">
        <v>3.99</v>
      </c>
      <c r="AJ21" s="66">
        <v>7.9</v>
      </c>
      <c r="AK21" s="62">
        <f t="shared" si="9"/>
        <v>85.424703000000008</v>
      </c>
      <c r="AL21" s="72">
        <f t="shared" si="10"/>
        <v>169.13663</v>
      </c>
      <c r="AM21" s="73">
        <f t="shared" si="11"/>
        <v>1.0000000006584742E-3</v>
      </c>
      <c r="AN21" s="74">
        <f t="shared" si="18"/>
        <v>0.22485400000000766</v>
      </c>
      <c r="AO21" s="74">
        <f t="shared" si="18"/>
        <v>0.55940000000001078</v>
      </c>
      <c r="AP21" s="75">
        <f t="shared" si="13"/>
        <v>5.8878696622024114E-3</v>
      </c>
      <c r="AQ21" s="76">
        <f t="shared" si="14"/>
        <v>275.58498512932192</v>
      </c>
      <c r="AR21" s="90">
        <f>(D21+J21+O21)-(X21+AH21)</f>
        <v>1.0000000006584742E-3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/>
      <c r="E22" s="62"/>
      <c r="F22" s="62"/>
      <c r="G22" s="62">
        <f t="shared" si="0"/>
        <v>0</v>
      </c>
      <c r="H22" s="63">
        <f t="shared" si="1"/>
        <v>0</v>
      </c>
      <c r="I22" s="202"/>
      <c r="J22" s="202"/>
      <c r="K22" s="202"/>
      <c r="L22" s="202"/>
      <c r="M22" s="57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1"/>
        <v>0</v>
      </c>
      <c r="AN22" s="74">
        <f t="shared" si="18"/>
        <v>0</v>
      </c>
      <c r="AO22" s="74">
        <f t="shared" si="18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/>
      <c r="E23" s="62"/>
      <c r="F23" s="62"/>
      <c r="G23" s="62">
        <f t="shared" si="0"/>
        <v>0</v>
      </c>
      <c r="H23" s="63">
        <f t="shared" si="1"/>
        <v>0</v>
      </c>
      <c r="I23" s="202"/>
      <c r="J23" s="202"/>
      <c r="K23" s="202"/>
      <c r="L23" s="202"/>
      <c r="M23" s="57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/>
      <c r="AI23" s="66"/>
      <c r="AJ23" s="66"/>
      <c r="AK23" s="62">
        <f t="shared" si="9"/>
        <v>0</v>
      </c>
      <c r="AL23" s="72">
        <f t="shared" si="10"/>
        <v>0</v>
      </c>
      <c r="AM23" s="73">
        <f t="shared" si="11"/>
        <v>0</v>
      </c>
      <c r="AN23" s="74">
        <f t="shared" si="18"/>
        <v>0</v>
      </c>
      <c r="AO23" s="74">
        <f t="shared" si="18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/>
      <c r="E24" s="62"/>
      <c r="F24" s="62"/>
      <c r="G24" s="62">
        <f t="shared" si="0"/>
        <v>0</v>
      </c>
      <c r="H24" s="63">
        <f t="shared" si="1"/>
        <v>0</v>
      </c>
      <c r="I24" s="202"/>
      <c r="J24" s="202"/>
      <c r="K24" s="202"/>
      <c r="L24" s="202"/>
      <c r="M24" s="57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1"/>
        <v>0</v>
      </c>
      <c r="AN24" s="74">
        <f t="shared" si="18"/>
        <v>0</v>
      </c>
      <c r="AO24" s="74">
        <f t="shared" si="18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/>
      <c r="E25" s="62"/>
      <c r="F25" s="62"/>
      <c r="G25" s="62">
        <f t="shared" si="0"/>
        <v>0</v>
      </c>
      <c r="H25" s="63">
        <f t="shared" si="1"/>
        <v>0</v>
      </c>
      <c r="I25" s="202"/>
      <c r="J25" s="202"/>
      <c r="K25" s="202"/>
      <c r="L25" s="202"/>
      <c r="M25" s="57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1"/>
        <v>0</v>
      </c>
      <c r="AN25" s="74">
        <f t="shared" si="18"/>
        <v>0</v>
      </c>
      <c r="AO25" s="74">
        <f t="shared" si="18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202"/>
      <c r="J26" s="202"/>
      <c r="K26" s="202"/>
      <c r="L26" s="202"/>
      <c r="M26" s="57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18"/>
        <v>0</v>
      </c>
      <c r="AO26" s="74">
        <f t="shared" si="18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202"/>
      <c r="J27" s="202"/>
      <c r="K27" s="202"/>
      <c r="L27" s="202"/>
      <c r="M27" s="57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18"/>
        <v>0</v>
      </c>
      <c r="AO27" s="74">
        <f t="shared" si="18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202"/>
      <c r="J28" s="202"/>
      <c r="K28" s="202"/>
      <c r="L28" s="202"/>
      <c r="M28" s="57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2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18"/>
        <v>0</v>
      </c>
      <c r="AO28" s="74">
        <f t="shared" si="18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202"/>
      <c r="J29" s="202"/>
      <c r="K29" s="202"/>
      <c r="L29" s="202"/>
      <c r="M29" s="57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2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18"/>
        <v>0</v>
      </c>
      <c r="AO29" s="74">
        <f t="shared" si="18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202"/>
      <c r="J30" s="202"/>
      <c r="K30" s="202"/>
      <c r="L30" s="202"/>
      <c r="M30" s="57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2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18"/>
        <v>0</v>
      </c>
      <c r="AO30" s="74">
        <f t="shared" si="18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202"/>
      <c r="J31" s="202"/>
      <c r="K31" s="202"/>
      <c r="L31" s="202"/>
      <c r="M31" s="57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2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18"/>
        <v>0</v>
      </c>
      <c r="AO31" s="74">
        <f t="shared" si="18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202"/>
      <c r="J32" s="202"/>
      <c r="K32" s="202"/>
      <c r="L32" s="202"/>
      <c r="M32" s="57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2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18"/>
        <v>0</v>
      </c>
      <c r="AO32" s="74">
        <f t="shared" si="18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202"/>
      <c r="J33" s="202"/>
      <c r="K33" s="202"/>
      <c r="L33" s="202"/>
      <c r="M33" s="57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2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18"/>
        <v>0</v>
      </c>
      <c r="AO33" s="74">
        <f t="shared" si="18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202"/>
      <c r="J34" s="202"/>
      <c r="K34" s="202"/>
      <c r="L34" s="202"/>
      <c r="M34" s="57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2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18"/>
        <v>0</v>
      </c>
      <c r="AO34" s="74">
        <f t="shared" si="18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202"/>
      <c r="J35" s="202"/>
      <c r="K35" s="202"/>
      <c r="L35" s="202"/>
      <c r="M35" s="57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2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18"/>
        <v>0</v>
      </c>
      <c r="AO35" s="74">
        <f t="shared" si="18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/>
      <c r="E36" s="62"/>
      <c r="F36" s="62"/>
      <c r="G36" s="62">
        <f t="shared" si="0"/>
        <v>0</v>
      </c>
      <c r="H36" s="63">
        <f t="shared" si="1"/>
        <v>0</v>
      </c>
      <c r="I36" s="202"/>
      <c r="J36" s="202"/>
      <c r="K36" s="202"/>
      <c r="L36" s="202"/>
      <c r="M36" s="57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6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2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1"/>
        <v>0</v>
      </c>
      <c r="AN36" s="74">
        <f t="shared" si="18"/>
        <v>0</v>
      </c>
      <c r="AO36" s="74">
        <f t="shared" si="18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/>
      <c r="E37" s="62"/>
      <c r="F37" s="62"/>
      <c r="G37" s="62">
        <f t="shared" si="0"/>
        <v>0</v>
      </c>
      <c r="H37" s="63">
        <f t="shared" si="1"/>
        <v>0</v>
      </c>
      <c r="I37" s="202"/>
      <c r="J37" s="202"/>
      <c r="K37" s="202"/>
      <c r="L37" s="202"/>
      <c r="M37" s="57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2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1"/>
        <v>0</v>
      </c>
      <c r="AN37" s="74">
        <f t="shared" si="18"/>
        <v>0</v>
      </c>
      <c r="AO37" s="74">
        <f t="shared" si="18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/>
      <c r="E38" s="62"/>
      <c r="F38" s="62"/>
      <c r="G38" s="62">
        <f t="shared" si="0"/>
        <v>0</v>
      </c>
      <c r="H38" s="63">
        <f t="shared" si="1"/>
        <v>0</v>
      </c>
      <c r="I38" s="202"/>
      <c r="J38" s="202"/>
      <c r="K38" s="202"/>
      <c r="L38" s="202"/>
      <c r="M38" s="57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2">
        <f t="shared" si="8"/>
        <v>0</v>
      </c>
      <c r="AH38" s="89"/>
      <c r="AI38" s="66"/>
      <c r="AJ38" s="66"/>
      <c r="AK38" s="62">
        <f t="shared" si="9"/>
        <v>0</v>
      </c>
      <c r="AL38" s="72">
        <f t="shared" si="10"/>
        <v>0</v>
      </c>
      <c r="AM38" s="73">
        <f t="shared" si="11"/>
        <v>0</v>
      </c>
      <c r="AN38" s="74">
        <f t="shared" si="18"/>
        <v>0</v>
      </c>
      <c r="AO38" s="74">
        <f t="shared" si="18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/>
      <c r="E39" s="62"/>
      <c r="F39" s="62"/>
      <c r="G39" s="62">
        <f t="shared" si="0"/>
        <v>0</v>
      </c>
      <c r="H39" s="63">
        <f t="shared" si="1"/>
        <v>0</v>
      </c>
      <c r="I39" s="202"/>
      <c r="J39" s="202"/>
      <c r="K39" s="202"/>
      <c r="L39" s="202"/>
      <c r="M39" s="57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2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1"/>
        <v>0</v>
      </c>
      <c r="AN39" s="74">
        <f t="shared" si="18"/>
        <v>0</v>
      </c>
      <c r="AO39" s="74">
        <f t="shared" si="18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2"/>
      <c r="J40" s="202"/>
      <c r="K40" s="202"/>
      <c r="L40" s="202"/>
      <c r="M40" s="57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2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18"/>
        <v>0</v>
      </c>
      <c r="AO40" s="74">
        <f t="shared" si="18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18"/>
        <v>0</v>
      </c>
      <c r="AO41" s="74">
        <f t="shared" si="18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18"/>
        <v>0</v>
      </c>
      <c r="AO42" s="74">
        <f t="shared" si="18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18"/>
        <v>0</v>
      </c>
      <c r="AO43" s="74">
        <f t="shared" si="18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18"/>
        <v>0</v>
      </c>
      <c r="AO44" s="74">
        <f t="shared" si="18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18"/>
        <v>0</v>
      </c>
      <c r="AO45" s="74">
        <f t="shared" si="18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18"/>
        <v>0</v>
      </c>
      <c r="AO46" s="74">
        <f t="shared" si="18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18"/>
        <v>0</v>
      </c>
      <c r="AO47" s="74">
        <f t="shared" si="18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18"/>
        <v>0</v>
      </c>
      <c r="AO48" s="74">
        <f t="shared" si="18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18"/>
        <v>0</v>
      </c>
      <c r="AO49" s="74">
        <f t="shared" si="18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18"/>
        <v>0</v>
      </c>
      <c r="AO50" s="74">
        <f t="shared" si="18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18"/>
        <v>0</v>
      </c>
      <c r="AO51" s="74">
        <f t="shared" si="18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8"/>
      <c r="J52" s="118"/>
      <c r="K52" s="118"/>
      <c r="L52" s="118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18"/>
        <v>0</v>
      </c>
      <c r="AO52" s="74">
        <f t="shared" si="18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8"/>
      <c r="J53" s="118"/>
      <c r="K53" s="118"/>
      <c r="L53" s="118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18"/>
        <v>0</v>
      </c>
      <c r="AO53" s="74">
        <f t="shared" si="18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8"/>
      <c r="J54" s="118"/>
      <c r="K54" s="118"/>
      <c r="L54" s="118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8"/>
      <c r="J55" s="118"/>
      <c r="K55" s="118"/>
      <c r="L55" s="118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8"/>
      <c r="J56" s="118"/>
      <c r="K56" s="118"/>
      <c r="L56" s="118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8"/>
      <c r="J57" s="118"/>
      <c r="K57" s="118"/>
      <c r="L57" s="118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8"/>
      <c r="J58" s="118"/>
      <c r="K58" s="118"/>
      <c r="L58" s="118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8"/>
      <c r="J59" s="118"/>
      <c r="K59" s="118"/>
      <c r="L59" s="118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8"/>
      <c r="J60" s="118"/>
      <c r="K60" s="118"/>
      <c r="L60" s="118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8"/>
      <c r="J61" s="118"/>
      <c r="K61" s="118"/>
      <c r="L61" s="118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8"/>
      <c r="J62" s="118"/>
      <c r="K62" s="118"/>
      <c r="L62" s="118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8"/>
      <c r="J63" s="118"/>
      <c r="K63" s="118"/>
      <c r="L63" s="118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10468.713999999998</v>
      </c>
      <c r="R66" s="83">
        <f>SUM(R4:R65)</f>
        <v>10468.713999999998</v>
      </c>
      <c r="S66" s="83">
        <f t="shared" ref="S66:T66" si="19">SUM(S4:S65)</f>
        <v>410.06802899999997</v>
      </c>
      <c r="T66" s="83">
        <f t="shared" si="19"/>
        <v>833.62184799999989</v>
      </c>
      <c r="AH66" s="90"/>
      <c r="AI66" s="77"/>
      <c r="AJ66" s="77"/>
      <c r="AM66" s="83">
        <f>-SUM(AM4:AM65)</f>
        <v>83.765999999999394</v>
      </c>
      <c r="AN66" s="83">
        <f>-SUM(AN4:AN65)</f>
        <v>5.8234700000000252</v>
      </c>
      <c r="AO66" s="83">
        <f>-SUM(AO4:AO65)</f>
        <v>-6.2850589999999329</v>
      </c>
      <c r="AQ66" s="126">
        <f>-SUM(AQ4:AQ65)</f>
        <v>916.04765044053761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9" priority="2" operator="lessThan">
      <formula>0.1</formula>
    </cfRule>
    <cfRule type="cellIs" dxfId="68" priority="3" operator="greaterThan">
      <formula>0.1</formula>
    </cfRule>
  </conditionalFormatting>
  <conditionalFormatting sqref="AP1:AQ1">
    <cfRule type="cellIs" dxfId="67" priority="1" operator="lessThan">
      <formula>1</formula>
    </cfRule>
  </conditionalFormatting>
  <conditionalFormatting sqref="AQ4:AQ65">
    <cfRule type="cellIs" dxfId="66" priority="4" operator="lessThan">
      <formula>0</formula>
    </cfRule>
    <cfRule type="cellIs" dxfId="65" priority="5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0" sqref="AC20:AE20"/>
    </sheetView>
  </sheetViews>
  <sheetFormatPr defaultColWidth="8.85546875" defaultRowHeight="12.75" x14ac:dyDescent="0.2"/>
  <cols>
    <col min="1" max="1" width="4.42578125" style="148" customWidth="1"/>
    <col min="2" max="2" width="9.7109375" style="189" customWidth="1"/>
    <col min="3" max="3" width="5" style="148" bestFit="1" customWidth="1"/>
    <col min="4" max="4" width="8.140625" style="148" bestFit="1" customWidth="1"/>
    <col min="5" max="5" width="5.28515625" style="148" bestFit="1" customWidth="1"/>
    <col min="6" max="6" width="5.140625" style="148" bestFit="1" customWidth="1"/>
    <col min="7" max="7" width="7.140625" style="148" bestFit="1" customWidth="1"/>
    <col min="8" max="8" width="8.140625" style="148" bestFit="1" customWidth="1"/>
    <col min="9" max="9" width="7.140625" style="148" bestFit="1" customWidth="1"/>
    <col min="10" max="10" width="9.28515625" style="148" bestFit="1" customWidth="1"/>
    <col min="11" max="11" width="5.28515625" style="148" bestFit="1" customWidth="1"/>
    <col min="12" max="12" width="5.140625" style="148" bestFit="1" customWidth="1"/>
    <col min="13" max="13" width="5.5703125" style="148" bestFit="1" customWidth="1"/>
    <col min="14" max="14" width="9.5703125" style="148" bestFit="1" customWidth="1"/>
    <col min="15" max="15" width="6.42578125" style="148" bestFit="1" customWidth="1"/>
    <col min="16" max="16" width="5.28515625" style="148" bestFit="1" customWidth="1"/>
    <col min="17" max="17" width="5.140625" style="148" bestFit="1" customWidth="1"/>
    <col min="18" max="20" width="7.140625" style="148" bestFit="1" customWidth="1"/>
    <col min="21" max="21" width="7" style="148" bestFit="1" customWidth="1"/>
    <col min="22" max="22" width="7.7109375" style="148" bestFit="1" customWidth="1"/>
    <col min="23" max="23" width="11.42578125" style="148" bestFit="1" customWidth="1"/>
    <col min="24" max="24" width="6.7109375" style="148" bestFit="1" customWidth="1"/>
    <col min="25" max="25" width="5.28515625" style="148" bestFit="1" customWidth="1"/>
    <col min="26" max="26" width="5.140625" style="148" bestFit="1" customWidth="1"/>
    <col min="27" max="28" width="8.140625" style="148" bestFit="1" customWidth="1"/>
    <col min="29" max="29" width="9.28515625" style="148" bestFit="1" customWidth="1"/>
    <col min="30" max="30" width="5.28515625" style="148" bestFit="1" customWidth="1"/>
    <col min="31" max="31" width="5.140625" style="148" bestFit="1" customWidth="1"/>
    <col min="32" max="33" width="8.140625" style="148" bestFit="1" customWidth="1"/>
    <col min="34" max="34" width="7.42578125" style="148" bestFit="1" customWidth="1"/>
    <col min="35" max="35" width="5.28515625" style="148" bestFit="1" customWidth="1"/>
    <col min="36" max="36" width="5.140625" style="148" bestFit="1" customWidth="1"/>
    <col min="37" max="37" width="7.140625" style="148" bestFit="1" customWidth="1"/>
    <col min="38" max="38" width="8.140625" style="148" bestFit="1" customWidth="1"/>
    <col min="39" max="39" width="6.7109375" style="148" bestFit="1" customWidth="1"/>
    <col min="40" max="40" width="6.42578125" style="148" bestFit="1" customWidth="1"/>
    <col min="41" max="41" width="6.5703125" style="148" bestFit="1" customWidth="1"/>
    <col min="42" max="42" width="8.5703125" style="148" bestFit="1" customWidth="1"/>
    <col min="43" max="43" width="12" style="148" bestFit="1" customWidth="1"/>
    <col min="44" max="44" width="5" style="148" bestFit="1" customWidth="1"/>
    <col min="45" max="45" width="8.7109375" style="148" bestFit="1" customWidth="1"/>
    <col min="46" max="16384" width="8.85546875" style="148"/>
  </cols>
  <sheetData>
    <row r="1" spans="1:44" ht="13.5" thickBot="1" x14ac:dyDescent="0.25">
      <c r="B1" s="149" t="s">
        <v>108</v>
      </c>
      <c r="C1" s="150"/>
      <c r="AP1" s="210">
        <f>Sumarry!K17</f>
        <v>480.53254642564531</v>
      </c>
      <c r="AQ1" s="210">
        <f>Sumarry!L17</f>
        <v>299.49109748895779</v>
      </c>
    </row>
    <row r="2" spans="1:44" x14ac:dyDescent="0.2">
      <c r="B2" s="260" t="s">
        <v>64</v>
      </c>
      <c r="C2" s="262" t="s">
        <v>65</v>
      </c>
      <c r="D2" s="264" t="s">
        <v>66</v>
      </c>
      <c r="E2" s="264"/>
      <c r="F2" s="264"/>
      <c r="G2" s="264"/>
      <c r="H2" s="265"/>
      <c r="I2" s="266" t="s">
        <v>67</v>
      </c>
      <c r="J2" s="266"/>
      <c r="K2" s="257"/>
      <c r="L2" s="257"/>
      <c r="M2" s="266" t="s">
        <v>68</v>
      </c>
      <c r="N2" s="266"/>
      <c r="O2" s="257"/>
      <c r="P2" s="257"/>
      <c r="Q2" s="258"/>
      <c r="R2" s="266" t="s">
        <v>69</v>
      </c>
      <c r="S2" s="257"/>
      <c r="T2" s="258"/>
      <c r="U2" s="253" t="s">
        <v>70</v>
      </c>
      <c r="V2" s="254"/>
      <c r="W2" s="254"/>
      <c r="X2" s="254"/>
      <c r="Y2" s="254"/>
      <c r="Z2" s="254"/>
      <c r="AA2" s="254"/>
      <c r="AB2" s="255"/>
      <c r="AC2" s="256" t="s">
        <v>71</v>
      </c>
      <c r="AD2" s="257"/>
      <c r="AE2" s="257"/>
      <c r="AF2" s="257"/>
      <c r="AG2" s="258"/>
      <c r="AH2" s="256" t="s">
        <v>72</v>
      </c>
      <c r="AI2" s="257"/>
      <c r="AJ2" s="257"/>
      <c r="AK2" s="257"/>
      <c r="AL2" s="259"/>
      <c r="AM2" s="253" t="s">
        <v>73</v>
      </c>
      <c r="AN2" s="254"/>
      <c r="AO2" s="254"/>
      <c r="AP2" s="254"/>
      <c r="AQ2" s="255"/>
    </row>
    <row r="3" spans="1:44" ht="15.6" customHeight="1" x14ac:dyDescent="0.2">
      <c r="B3" s="261"/>
      <c r="C3" s="263"/>
      <c r="D3" s="151" t="s">
        <v>74</v>
      </c>
      <c r="E3" s="151" t="s">
        <v>75</v>
      </c>
      <c r="F3" s="151" t="s">
        <v>76</v>
      </c>
      <c r="G3" s="151" t="s">
        <v>77</v>
      </c>
      <c r="H3" s="152" t="s">
        <v>8</v>
      </c>
      <c r="I3" s="152" t="s">
        <v>78</v>
      </c>
      <c r="J3" s="152" t="s">
        <v>79</v>
      </c>
      <c r="K3" s="152" t="s">
        <v>75</v>
      </c>
      <c r="L3" s="152" t="s">
        <v>76</v>
      </c>
      <c r="M3" s="153" t="s">
        <v>80</v>
      </c>
      <c r="N3" s="153" t="s">
        <v>81</v>
      </c>
      <c r="O3" s="151" t="s">
        <v>79</v>
      </c>
      <c r="P3" s="151" t="s">
        <v>75</v>
      </c>
      <c r="Q3" s="152" t="s">
        <v>76</v>
      </c>
      <c r="R3" s="153" t="s">
        <v>79</v>
      </c>
      <c r="S3" s="151" t="s">
        <v>77</v>
      </c>
      <c r="T3" s="152" t="s">
        <v>8</v>
      </c>
      <c r="U3" s="154" t="s">
        <v>82</v>
      </c>
      <c r="V3" s="151" t="s">
        <v>83</v>
      </c>
      <c r="W3" s="151" t="s">
        <v>84</v>
      </c>
      <c r="X3" s="151" t="s">
        <v>85</v>
      </c>
      <c r="Y3" s="151" t="s">
        <v>75</v>
      </c>
      <c r="Z3" s="151" t="s">
        <v>76</v>
      </c>
      <c r="AA3" s="151" t="s">
        <v>77</v>
      </c>
      <c r="AB3" s="152" t="s">
        <v>8</v>
      </c>
      <c r="AC3" s="154" t="s">
        <v>85</v>
      </c>
      <c r="AD3" s="151" t="s">
        <v>75</v>
      </c>
      <c r="AE3" s="151" t="s">
        <v>76</v>
      </c>
      <c r="AF3" s="151" t="s">
        <v>77</v>
      </c>
      <c r="AG3" s="152" t="s">
        <v>8</v>
      </c>
      <c r="AH3" s="154" t="s">
        <v>85</v>
      </c>
      <c r="AI3" s="151" t="s">
        <v>75</v>
      </c>
      <c r="AJ3" s="151" t="s">
        <v>76</v>
      </c>
      <c r="AK3" s="151" t="s">
        <v>77</v>
      </c>
      <c r="AL3" s="155" t="s">
        <v>8</v>
      </c>
      <c r="AM3" s="154" t="s">
        <v>85</v>
      </c>
      <c r="AN3" s="151" t="s">
        <v>77</v>
      </c>
      <c r="AO3" s="151" t="s">
        <v>8</v>
      </c>
      <c r="AP3" s="151" t="s">
        <v>86</v>
      </c>
      <c r="AQ3" s="156" t="s">
        <v>11</v>
      </c>
    </row>
    <row r="4" spans="1:44" ht="15" x14ac:dyDescent="0.25">
      <c r="A4" s="148" t="str">
        <f>CONCATENATE(B4,C4)</f>
        <v>46204M</v>
      </c>
      <c r="B4" s="51">
        <v>46204</v>
      </c>
      <c r="C4" s="157" t="s">
        <v>87</v>
      </c>
      <c r="D4" s="195">
        <v>7296.5</v>
      </c>
      <c r="E4" s="88">
        <v>4.51</v>
      </c>
      <c r="F4" s="88">
        <v>8.41</v>
      </c>
      <c r="G4" s="169">
        <f t="shared" ref="G4" si="0">+D4*E4%</f>
        <v>329.07215000000002</v>
      </c>
      <c r="H4" s="170">
        <f t="shared" ref="H4" si="1">+D4*F4%</f>
        <v>613.63565000000006</v>
      </c>
      <c r="I4" s="160">
        <v>3193.8999999999996</v>
      </c>
      <c r="J4" s="161">
        <v>3289.7169999999996</v>
      </c>
      <c r="K4" s="162">
        <v>5.0705563730861964</v>
      </c>
      <c r="L4" s="163">
        <v>8.438401327530606</v>
      </c>
      <c r="M4" s="164">
        <v>0</v>
      </c>
      <c r="N4" s="164">
        <v>0</v>
      </c>
      <c r="O4" s="165">
        <v>0</v>
      </c>
      <c r="P4" s="166">
        <v>0</v>
      </c>
      <c r="Q4" s="167">
        <v>0</v>
      </c>
      <c r="R4" s="168">
        <f>+J4+O4</f>
        <v>3289.7169999999996</v>
      </c>
      <c r="S4" s="169">
        <f t="shared" ref="S4" si="2">+J4*K4%+O4*P4%</f>
        <v>166.80695500000002</v>
      </c>
      <c r="T4" s="170">
        <f t="shared" ref="T4" si="3">+J4*L4%+O4*Q4%</f>
        <v>277.59952300000003</v>
      </c>
      <c r="U4" s="171" t="s">
        <v>194</v>
      </c>
      <c r="V4" s="172" t="s">
        <v>232</v>
      </c>
      <c r="W4" s="159" t="s">
        <v>181</v>
      </c>
      <c r="X4" s="173">
        <v>10730</v>
      </c>
      <c r="Y4" s="174">
        <v>4.82</v>
      </c>
      <c r="Z4" s="174">
        <v>8.4</v>
      </c>
      <c r="AA4" s="62">
        <f>X4*Y4%</f>
        <v>517.18600000000004</v>
      </c>
      <c r="AB4" s="63">
        <f t="shared" ref="AB4" si="4">X4*Z4%</f>
        <v>901.32</v>
      </c>
      <c r="AC4" s="175">
        <v>10720</v>
      </c>
      <c r="AD4" s="176">
        <v>4.8284514925373143</v>
      </c>
      <c r="AE4" s="176">
        <v>8.4059328358208969</v>
      </c>
      <c r="AF4" s="169">
        <f t="shared" ref="AF4" si="5">AC4*AD4%</f>
        <v>517.61</v>
      </c>
      <c r="AG4" s="170">
        <f t="shared" ref="AG4" si="6">AC4*AE4%</f>
        <v>901.1160000000001</v>
      </c>
      <c r="AH4" s="177">
        <v>0</v>
      </c>
      <c r="AI4" s="159">
        <v>0</v>
      </c>
      <c r="AJ4" s="159">
        <v>0</v>
      </c>
      <c r="AK4" s="169">
        <f t="shared" ref="AK4:AK5" si="7">AH4*AI4%</f>
        <v>0</v>
      </c>
      <c r="AL4" s="178">
        <f t="shared" ref="AL4:AL5" si="8">AH4*AJ4%</f>
        <v>0</v>
      </c>
      <c r="AM4" s="179">
        <f t="shared" ref="AM4" si="9">+D4+R4-AC4-AH4</f>
        <v>-133.78299999999945</v>
      </c>
      <c r="AN4" s="180">
        <f t="shared" ref="AN4" si="10">+G4+S4-AF4-AK4</f>
        <v>-21.730894999999975</v>
      </c>
      <c r="AO4" s="180">
        <f t="shared" ref="AO4" si="11">+H4+T4-AG4-AL4</f>
        <v>-9.8808270000000675</v>
      </c>
      <c r="AP4" s="181">
        <f t="shared" ref="AP4" si="12">(AN4+AO4)/(S4+T4)</f>
        <v>-7.1132450954056611E-2</v>
      </c>
      <c r="AQ4" s="76">
        <f t="shared" ref="AQ4:AQ65" si="13">($AP$1*AN4+$AQ$1*AO4)</f>
        <v>-13401.622032786858</v>
      </c>
      <c r="AR4" s="182">
        <f t="shared" ref="AR4" si="14">(D4+J4+O4)-(X4+AH4)</f>
        <v>-143.78299999999945</v>
      </c>
    </row>
    <row r="5" spans="1:44" ht="15" x14ac:dyDescent="0.25">
      <c r="A5" s="148" t="str">
        <f t="shared" ref="A5:A65" si="15">CONCATENATE(B5,C5)</f>
        <v>46204E</v>
      </c>
      <c r="B5" s="51">
        <f>+B4</f>
        <v>46204</v>
      </c>
      <c r="C5" s="157" t="s">
        <v>88</v>
      </c>
      <c r="D5" s="11">
        <v>0</v>
      </c>
      <c r="E5" s="169">
        <v>0</v>
      </c>
      <c r="F5" s="169">
        <v>0</v>
      </c>
      <c r="G5" s="169">
        <f t="shared" ref="G5:G65" si="16">+D5*E5%</f>
        <v>0</v>
      </c>
      <c r="H5" s="170">
        <f t="shared" ref="H5:H65" si="17">+D5*F5%</f>
        <v>0</v>
      </c>
      <c r="I5" s="160">
        <v>8152.9499999999971</v>
      </c>
      <c r="J5" s="161">
        <v>8397.5384999999969</v>
      </c>
      <c r="K5" s="162">
        <v>4.4682881656332984</v>
      </c>
      <c r="L5" s="163">
        <v>8.4097940009444443</v>
      </c>
      <c r="M5" s="164">
        <v>0</v>
      </c>
      <c r="N5" s="164">
        <v>0</v>
      </c>
      <c r="O5" s="165">
        <v>0</v>
      </c>
      <c r="P5" s="166">
        <v>0</v>
      </c>
      <c r="Q5" s="167">
        <v>0</v>
      </c>
      <c r="R5" s="168">
        <f t="shared" ref="R5:R65" si="18">+J5+O5</f>
        <v>8397.5384999999969</v>
      </c>
      <c r="S5" s="169">
        <f t="shared" ref="S5:S65" si="19">+J5*K5%+O5*P5%</f>
        <v>375.22621899999984</v>
      </c>
      <c r="T5" s="170">
        <f t="shared" ref="T5:T65" si="20">+J5*L5%+O5*Q5%</f>
        <v>706.21568899999977</v>
      </c>
      <c r="U5" s="171" t="s">
        <v>167</v>
      </c>
      <c r="V5" s="172" t="s">
        <v>167</v>
      </c>
      <c r="W5" s="159">
        <v>0</v>
      </c>
      <c r="X5" s="173">
        <v>0</v>
      </c>
      <c r="Y5" s="174">
        <v>0</v>
      </c>
      <c r="Z5" s="174">
        <v>0</v>
      </c>
      <c r="AA5" s="62">
        <f t="shared" ref="AA5:AA11" si="21">X5*Y5%</f>
        <v>0</v>
      </c>
      <c r="AB5" s="63">
        <f t="shared" ref="AB5:AB11" si="22">X5*Z5%</f>
        <v>0</v>
      </c>
      <c r="AC5" s="175"/>
      <c r="AD5" s="176"/>
      <c r="AE5" s="176"/>
      <c r="AF5" s="169">
        <f t="shared" ref="AF5:AF65" si="23">AC5*AD5%</f>
        <v>0</v>
      </c>
      <c r="AG5" s="170">
        <f t="shared" ref="AG5:AG65" si="24">AC5*AE5%</f>
        <v>0</v>
      </c>
      <c r="AH5" s="183">
        <v>8397.4</v>
      </c>
      <c r="AI5" s="159">
        <v>4.47</v>
      </c>
      <c r="AJ5" s="159">
        <v>8.41</v>
      </c>
      <c r="AK5" s="169">
        <f t="shared" si="7"/>
        <v>375.36377999999996</v>
      </c>
      <c r="AL5" s="178">
        <f t="shared" si="8"/>
        <v>706.22134000000005</v>
      </c>
      <c r="AM5" s="179">
        <f t="shared" ref="AM5" si="25">+D5+R5-AC5-AH5</f>
        <v>0.13849999999729334</v>
      </c>
      <c r="AN5" s="180">
        <f t="shared" ref="AN5" si="26">+G5+S5-AF5-AK5</f>
        <v>-0.13756100000011884</v>
      </c>
      <c r="AO5" s="180">
        <f t="shared" ref="AO5" si="27">+H5+T5-AG5-AL5</f>
        <v>-5.6510000002845118E-3</v>
      </c>
      <c r="AP5" s="181">
        <f t="shared" ref="AP5:AP61" si="28">(AN5+AO5)/(S5+T5)</f>
        <v>-1.3242690054915404E-4</v>
      </c>
      <c r="AQ5" s="76">
        <f t="shared" si="13"/>
        <v>-67.794961810910621</v>
      </c>
      <c r="AR5" s="182">
        <f t="shared" ref="AR5:AR65" si="29">(D5+J5+O5)-(X5+AH5)</f>
        <v>0.13849999999729334</v>
      </c>
    </row>
    <row r="6" spans="1:44" ht="15" x14ac:dyDescent="0.25">
      <c r="A6" s="148" t="str">
        <f t="shared" si="15"/>
        <v>46205M</v>
      </c>
      <c r="B6" s="51">
        <f>+B4+1</f>
        <v>46205</v>
      </c>
      <c r="C6" s="157" t="s">
        <v>87</v>
      </c>
      <c r="D6" s="184">
        <v>8397.4</v>
      </c>
      <c r="E6" s="169">
        <v>4.47</v>
      </c>
      <c r="F6" s="169">
        <v>8.41</v>
      </c>
      <c r="G6" s="169">
        <f t="shared" si="16"/>
        <v>375.36377999999996</v>
      </c>
      <c r="H6" s="170">
        <f t="shared" si="17"/>
        <v>706.22134000000005</v>
      </c>
      <c r="I6" s="160">
        <v>3780.7499999999995</v>
      </c>
      <c r="J6" s="161">
        <v>3894.1724999999997</v>
      </c>
      <c r="K6" s="162">
        <v>5.0678251669642265</v>
      </c>
      <c r="L6" s="163">
        <v>8.4774211465978979</v>
      </c>
      <c r="M6" s="164">
        <v>0</v>
      </c>
      <c r="N6" s="164">
        <v>0</v>
      </c>
      <c r="O6" s="165">
        <v>0</v>
      </c>
      <c r="P6" s="166">
        <v>0</v>
      </c>
      <c r="Q6" s="167">
        <v>0</v>
      </c>
      <c r="R6" s="168">
        <f t="shared" si="18"/>
        <v>3894.1724999999997</v>
      </c>
      <c r="S6" s="169">
        <f t="shared" si="19"/>
        <v>197.34985399999999</v>
      </c>
      <c r="T6" s="170">
        <f t="shared" si="20"/>
        <v>330.12540300000001</v>
      </c>
      <c r="U6" s="171" t="s">
        <v>194</v>
      </c>
      <c r="V6" s="172" t="s">
        <v>233</v>
      </c>
      <c r="W6" s="159" t="s">
        <v>187</v>
      </c>
      <c r="X6" s="173">
        <v>12830</v>
      </c>
      <c r="Y6" s="174">
        <v>4.6399999999999997</v>
      </c>
      <c r="Z6" s="174">
        <v>8.42</v>
      </c>
      <c r="AA6" s="62">
        <f t="shared" si="21"/>
        <v>595.31200000000001</v>
      </c>
      <c r="AB6" s="63">
        <f t="shared" si="22"/>
        <v>1080.2860000000001</v>
      </c>
      <c r="AC6" s="175">
        <v>12840</v>
      </c>
      <c r="AD6" s="176">
        <v>4.6500000000000004</v>
      </c>
      <c r="AE6" s="176">
        <v>8.5567601246105944</v>
      </c>
      <c r="AF6" s="169">
        <f t="shared" si="23"/>
        <v>597.06000000000006</v>
      </c>
      <c r="AG6" s="170">
        <f t="shared" si="24"/>
        <v>1098.6880000000003</v>
      </c>
      <c r="AH6" s="183">
        <v>682.8</v>
      </c>
      <c r="AI6" s="159">
        <v>4.6399999999999997</v>
      </c>
      <c r="AJ6" s="159">
        <v>8.42</v>
      </c>
      <c r="AK6" s="169">
        <f t="shared" ref="AK6:AK65" si="30">AH6*AI6%</f>
        <v>31.681919999999995</v>
      </c>
      <c r="AL6" s="178">
        <f t="shared" ref="AL6:AL65" si="31">AH6*AJ6%</f>
        <v>57.491759999999992</v>
      </c>
      <c r="AM6" s="179">
        <f t="shared" ref="AM6:AM65" si="32">+D6+R6-AC6-AH6</f>
        <v>-1231.2275000000016</v>
      </c>
      <c r="AN6" s="180">
        <f t="shared" ref="AN6:AN65" si="33">+G6+S6-AF6-AK6</f>
        <v>-56.028286000000094</v>
      </c>
      <c r="AO6" s="180">
        <f t="shared" ref="AO6:AO65" si="34">+H6+T6-AG6-AL6</f>
        <v>-119.83301700000027</v>
      </c>
      <c r="AP6" s="181">
        <f t="shared" si="28"/>
        <v>-0.3334019950058062</v>
      </c>
      <c r="AQ6" s="76">
        <f t="shared" si="13"/>
        <v>-62812.336720187392</v>
      </c>
      <c r="AR6" s="182">
        <f t="shared" si="29"/>
        <v>-1221.2275000000009</v>
      </c>
    </row>
    <row r="7" spans="1:44" ht="15" x14ac:dyDescent="0.25">
      <c r="A7" s="148" t="str">
        <f t="shared" si="15"/>
        <v>46205E</v>
      </c>
      <c r="B7" s="51">
        <f>+B5+1</f>
        <v>46205</v>
      </c>
      <c r="C7" s="157" t="s">
        <v>88</v>
      </c>
      <c r="D7" s="184">
        <v>682.8</v>
      </c>
      <c r="E7" s="169">
        <v>4.6399999999999997</v>
      </c>
      <c r="F7" s="169">
        <v>8.42</v>
      </c>
      <c r="G7" s="169">
        <f t="shared" si="16"/>
        <v>31.681919999999995</v>
      </c>
      <c r="H7" s="170">
        <f t="shared" si="17"/>
        <v>57.491759999999992</v>
      </c>
      <c r="I7" s="160">
        <v>5914.4000000000033</v>
      </c>
      <c r="J7" s="161">
        <v>6091.832000000004</v>
      </c>
      <c r="K7" s="162">
        <v>4.6201939334505626</v>
      </c>
      <c r="L7" s="163">
        <v>8.5060158257811445</v>
      </c>
      <c r="M7" s="164">
        <v>0</v>
      </c>
      <c r="N7" s="164">
        <v>0</v>
      </c>
      <c r="O7" s="165">
        <v>0</v>
      </c>
      <c r="P7" s="166">
        <v>0</v>
      </c>
      <c r="Q7" s="167">
        <v>0</v>
      </c>
      <c r="R7" s="168">
        <f t="shared" si="18"/>
        <v>6091.832000000004</v>
      </c>
      <c r="S7" s="169">
        <f t="shared" si="19"/>
        <v>281.45445250000029</v>
      </c>
      <c r="T7" s="170">
        <f t="shared" si="20"/>
        <v>518.17219400000033</v>
      </c>
      <c r="U7" s="171" t="s">
        <v>167</v>
      </c>
      <c r="V7" s="172" t="s">
        <v>167</v>
      </c>
      <c r="W7" s="159">
        <v>0</v>
      </c>
      <c r="X7" s="173">
        <v>0</v>
      </c>
      <c r="Y7" s="174">
        <v>0</v>
      </c>
      <c r="Z7" s="174">
        <v>0</v>
      </c>
      <c r="AA7" s="62">
        <f t="shared" si="21"/>
        <v>0</v>
      </c>
      <c r="AB7" s="63">
        <f t="shared" si="22"/>
        <v>0</v>
      </c>
      <c r="AC7" s="175"/>
      <c r="AD7" s="176"/>
      <c r="AE7" s="176"/>
      <c r="AF7" s="169">
        <f t="shared" si="23"/>
        <v>0</v>
      </c>
      <c r="AG7" s="170">
        <f t="shared" si="24"/>
        <v>0</v>
      </c>
      <c r="AH7" s="183">
        <v>5552.7</v>
      </c>
      <c r="AI7" s="159">
        <v>4.6500000000000004</v>
      </c>
      <c r="AJ7" s="159">
        <v>8.49</v>
      </c>
      <c r="AK7" s="169">
        <f t="shared" si="30"/>
        <v>258.20055000000002</v>
      </c>
      <c r="AL7" s="178">
        <f t="shared" si="31"/>
        <v>471.42423000000002</v>
      </c>
      <c r="AM7" s="179">
        <f t="shared" si="32"/>
        <v>1221.9320000000043</v>
      </c>
      <c r="AN7" s="180">
        <f t="shared" si="33"/>
        <v>54.935822500000256</v>
      </c>
      <c r="AO7" s="180">
        <f t="shared" si="34"/>
        <v>104.23972400000031</v>
      </c>
      <c r="AP7" s="181">
        <f t="shared" si="28"/>
        <v>0.1990623338988497</v>
      </c>
      <c r="AQ7" s="76">
        <f t="shared" si="13"/>
        <v>57617.320018618528</v>
      </c>
      <c r="AR7" s="182">
        <f t="shared" si="29"/>
        <v>1221.9320000000043</v>
      </c>
    </row>
    <row r="8" spans="1:44" ht="15" x14ac:dyDescent="0.25">
      <c r="A8" s="148" t="str">
        <f t="shared" si="15"/>
        <v>46206M</v>
      </c>
      <c r="B8" s="51">
        <f>+B6+1</f>
        <v>46206</v>
      </c>
      <c r="C8" s="157" t="s">
        <v>87</v>
      </c>
      <c r="D8" s="184">
        <v>5552.7</v>
      </c>
      <c r="E8" s="169">
        <v>4.6500000000000004</v>
      </c>
      <c r="F8" s="169">
        <v>8.49</v>
      </c>
      <c r="G8" s="169">
        <f t="shared" si="16"/>
        <v>258.20055000000002</v>
      </c>
      <c r="H8" s="170">
        <f t="shared" si="17"/>
        <v>471.42423000000002</v>
      </c>
      <c r="I8" s="160">
        <v>3240.3000000000015</v>
      </c>
      <c r="J8" s="161">
        <v>3337.5090000000018</v>
      </c>
      <c r="K8" s="162">
        <v>5.2984060117890337</v>
      </c>
      <c r="L8" s="163">
        <v>8.5062941702928789</v>
      </c>
      <c r="M8" s="164">
        <v>0</v>
      </c>
      <c r="N8" s="164">
        <v>0</v>
      </c>
      <c r="O8" s="165">
        <v>0</v>
      </c>
      <c r="P8" s="166">
        <v>0</v>
      </c>
      <c r="Q8" s="167">
        <v>0</v>
      </c>
      <c r="R8" s="168">
        <f t="shared" si="18"/>
        <v>3337.5090000000018</v>
      </c>
      <c r="S8" s="169">
        <f t="shared" si="19"/>
        <v>176.83477750000014</v>
      </c>
      <c r="T8" s="170">
        <f t="shared" si="20"/>
        <v>283.89833350000032</v>
      </c>
      <c r="U8" s="171" t="s">
        <v>167</v>
      </c>
      <c r="V8" s="172" t="s">
        <v>167</v>
      </c>
      <c r="W8" s="159">
        <v>0</v>
      </c>
      <c r="X8" s="173">
        <v>0</v>
      </c>
      <c r="Y8" s="174">
        <v>0</v>
      </c>
      <c r="Z8" s="174">
        <v>0</v>
      </c>
      <c r="AA8" s="62">
        <f t="shared" si="21"/>
        <v>0</v>
      </c>
      <c r="AB8" s="63">
        <f t="shared" si="22"/>
        <v>0</v>
      </c>
      <c r="AC8" s="175"/>
      <c r="AD8" s="176"/>
      <c r="AE8" s="176"/>
      <c r="AF8" s="169">
        <f t="shared" si="23"/>
        <v>0</v>
      </c>
      <c r="AG8" s="170">
        <f t="shared" si="24"/>
        <v>0</v>
      </c>
      <c r="AH8" s="185">
        <v>8890.2000000000007</v>
      </c>
      <c r="AI8" s="159">
        <v>4.8899999999999997</v>
      </c>
      <c r="AJ8" s="159">
        <v>8.49</v>
      </c>
      <c r="AK8" s="169">
        <f t="shared" si="30"/>
        <v>434.73078000000004</v>
      </c>
      <c r="AL8" s="178">
        <f t="shared" si="31"/>
        <v>754.77798000000007</v>
      </c>
      <c r="AM8" s="179">
        <f t="shared" si="32"/>
        <v>9.0000000018335413E-3</v>
      </c>
      <c r="AN8" s="180">
        <f t="shared" si="33"/>
        <v>0.30454750000012609</v>
      </c>
      <c r="AO8" s="180">
        <f t="shared" si="34"/>
        <v>0.54458350000027167</v>
      </c>
      <c r="AP8" s="181">
        <f t="shared" si="28"/>
        <v>1.8429997317913557E-3</v>
      </c>
      <c r="AQ8" s="76">
        <f t="shared" si="13"/>
        <v>309.44289577208406</v>
      </c>
      <c r="AR8" s="182">
        <f t="shared" si="29"/>
        <v>9.0000000018335413E-3</v>
      </c>
    </row>
    <row r="9" spans="1:44" ht="15" x14ac:dyDescent="0.25">
      <c r="A9" s="148" t="str">
        <f t="shared" si="15"/>
        <v>46206E</v>
      </c>
      <c r="B9" s="51">
        <f t="shared" ref="B9:B65" si="35">+B7+1</f>
        <v>46206</v>
      </c>
      <c r="C9" s="157" t="s">
        <v>88</v>
      </c>
      <c r="D9" s="184">
        <v>8890.2000000000007</v>
      </c>
      <c r="E9" s="169">
        <v>4.8899999999999997</v>
      </c>
      <c r="F9" s="169">
        <v>8.49</v>
      </c>
      <c r="G9" s="169">
        <f t="shared" si="16"/>
        <v>434.73078000000004</v>
      </c>
      <c r="H9" s="170">
        <f t="shared" si="17"/>
        <v>754.77798000000007</v>
      </c>
      <c r="I9" s="160">
        <v>6110.1999999999989</v>
      </c>
      <c r="J9" s="161">
        <v>6293.5059999999994</v>
      </c>
      <c r="K9" s="162">
        <v>4.4848793820169606</v>
      </c>
      <c r="L9" s="163">
        <v>8.4768518215443045</v>
      </c>
      <c r="M9" s="164">
        <v>0</v>
      </c>
      <c r="N9" s="164">
        <v>0</v>
      </c>
      <c r="O9" s="165">
        <v>0</v>
      </c>
      <c r="P9" s="166">
        <v>0</v>
      </c>
      <c r="Q9" s="167">
        <v>0</v>
      </c>
      <c r="R9" s="168">
        <f t="shared" si="18"/>
        <v>6293.5059999999994</v>
      </c>
      <c r="S9" s="169">
        <f t="shared" si="19"/>
        <v>282.25615300000027</v>
      </c>
      <c r="T9" s="170">
        <f t="shared" si="20"/>
        <v>533.49117799999999</v>
      </c>
      <c r="U9" s="171" t="s">
        <v>194</v>
      </c>
      <c r="V9" s="172" t="s">
        <v>273</v>
      </c>
      <c r="W9" s="159" t="s">
        <v>187</v>
      </c>
      <c r="X9" s="173">
        <v>15060</v>
      </c>
      <c r="Y9" s="174">
        <v>4.8</v>
      </c>
      <c r="Z9" s="174">
        <v>8.5500000000000007</v>
      </c>
      <c r="AA9" s="62">
        <f t="shared" si="21"/>
        <v>722.88</v>
      </c>
      <c r="AB9" s="63">
        <f t="shared" si="22"/>
        <v>1287.6300000000001</v>
      </c>
      <c r="AC9" s="175">
        <v>15060</v>
      </c>
      <c r="AD9" s="176">
        <v>4.7</v>
      </c>
      <c r="AE9" s="176">
        <v>8.48</v>
      </c>
      <c r="AF9" s="169">
        <f t="shared" si="23"/>
        <v>707.82</v>
      </c>
      <c r="AG9" s="170">
        <f t="shared" si="24"/>
        <v>1277.088</v>
      </c>
      <c r="AH9" s="183">
        <v>123.7</v>
      </c>
      <c r="AI9" s="159">
        <v>4.72</v>
      </c>
      <c r="AJ9" s="159">
        <v>8.48</v>
      </c>
      <c r="AK9" s="169">
        <f t="shared" si="30"/>
        <v>5.8386399999999998</v>
      </c>
      <c r="AL9" s="178">
        <f t="shared" si="31"/>
        <v>10.48976</v>
      </c>
      <c r="AM9" s="179">
        <f t="shared" si="32"/>
        <v>6.0000000001281251E-3</v>
      </c>
      <c r="AN9" s="180">
        <f t="shared" si="33"/>
        <v>3.328293000000313</v>
      </c>
      <c r="AO9" s="180">
        <f t="shared" si="34"/>
        <v>0.69139800000009544</v>
      </c>
      <c r="AP9" s="181">
        <f t="shared" si="28"/>
        <v>4.927617715981724E-3</v>
      </c>
      <c r="AQ9" s="76">
        <f t="shared" si="13"/>
        <v>1806.4206563624998</v>
      </c>
      <c r="AR9" s="182">
        <f t="shared" si="29"/>
        <v>5.9999999994033715E-3</v>
      </c>
    </row>
    <row r="10" spans="1:44" ht="15" x14ac:dyDescent="0.25">
      <c r="A10" s="148" t="str">
        <f t="shared" si="15"/>
        <v>46207M</v>
      </c>
      <c r="B10" s="51">
        <f t="shared" si="35"/>
        <v>46207</v>
      </c>
      <c r="C10" s="157" t="s">
        <v>87</v>
      </c>
      <c r="D10" s="184">
        <v>123.7</v>
      </c>
      <c r="E10" s="169">
        <v>4.72</v>
      </c>
      <c r="F10" s="169">
        <v>8.48</v>
      </c>
      <c r="G10" s="169">
        <f t="shared" si="16"/>
        <v>5.8386399999999998</v>
      </c>
      <c r="H10" s="170">
        <f t="shared" si="17"/>
        <v>10.48976</v>
      </c>
      <c r="I10" s="160">
        <v>3397.5999999999995</v>
      </c>
      <c r="J10" s="161">
        <v>3499.5279999999993</v>
      </c>
      <c r="K10" s="162">
        <v>5.2745128914527921</v>
      </c>
      <c r="L10" s="163">
        <v>8.5058820932422883</v>
      </c>
      <c r="M10" s="164">
        <v>0</v>
      </c>
      <c r="N10" s="164">
        <v>0</v>
      </c>
      <c r="O10" s="165">
        <v>0</v>
      </c>
      <c r="P10" s="166">
        <v>0</v>
      </c>
      <c r="Q10" s="167">
        <v>0</v>
      </c>
      <c r="R10" s="168">
        <f t="shared" si="18"/>
        <v>3499.5279999999993</v>
      </c>
      <c r="S10" s="169">
        <f t="shared" si="19"/>
        <v>184.58305550000003</v>
      </c>
      <c r="T10" s="170">
        <f t="shared" si="20"/>
        <v>297.66572549999995</v>
      </c>
      <c r="U10" s="171" t="s">
        <v>167</v>
      </c>
      <c r="V10" s="172" t="s">
        <v>167</v>
      </c>
      <c r="W10" s="159">
        <v>0</v>
      </c>
      <c r="X10" s="173">
        <v>0</v>
      </c>
      <c r="Y10" s="174">
        <v>0</v>
      </c>
      <c r="Z10" s="174">
        <v>0</v>
      </c>
      <c r="AA10" s="62">
        <f t="shared" si="21"/>
        <v>0</v>
      </c>
      <c r="AB10" s="63">
        <f t="shared" si="22"/>
        <v>0</v>
      </c>
      <c r="AC10" s="175"/>
      <c r="AD10" s="176"/>
      <c r="AE10" s="176"/>
      <c r="AF10" s="169">
        <f t="shared" si="23"/>
        <v>0</v>
      </c>
      <c r="AG10" s="170">
        <f t="shared" si="24"/>
        <v>0</v>
      </c>
      <c r="AH10" s="183">
        <v>3623.2</v>
      </c>
      <c r="AI10" s="159">
        <v>5.26</v>
      </c>
      <c r="AJ10" s="159">
        <v>8.5</v>
      </c>
      <c r="AK10" s="169">
        <f t="shared" si="30"/>
        <v>190.58032</v>
      </c>
      <c r="AL10" s="178">
        <f t="shared" si="31"/>
        <v>307.97199999999998</v>
      </c>
      <c r="AM10" s="179">
        <f t="shared" si="32"/>
        <v>2.7999999999337888E-2</v>
      </c>
      <c r="AN10" s="180">
        <f t="shared" si="33"/>
        <v>-0.15862449999997352</v>
      </c>
      <c r="AO10" s="180">
        <f t="shared" si="34"/>
        <v>0.18348549999996067</v>
      </c>
      <c r="AP10" s="181">
        <f t="shared" si="28"/>
        <v>5.1552229843764278E-5</v>
      </c>
      <c r="AQ10" s="76">
        <f t="shared" si="13"/>
        <v>-21.27196114218367</v>
      </c>
      <c r="AR10" s="182">
        <f t="shared" si="29"/>
        <v>2.7999999999337888E-2</v>
      </c>
    </row>
    <row r="11" spans="1:44" ht="15" x14ac:dyDescent="0.25">
      <c r="A11" s="148" t="str">
        <f t="shared" si="15"/>
        <v>46207E</v>
      </c>
      <c r="B11" s="51">
        <f t="shared" si="35"/>
        <v>46207</v>
      </c>
      <c r="C11" s="157" t="s">
        <v>88</v>
      </c>
      <c r="D11" s="184">
        <v>3623.2</v>
      </c>
      <c r="E11" s="169">
        <v>5.26</v>
      </c>
      <c r="F11" s="169">
        <v>8.5</v>
      </c>
      <c r="G11" s="169">
        <f t="shared" si="16"/>
        <v>190.58032</v>
      </c>
      <c r="H11" s="170">
        <f t="shared" si="17"/>
        <v>307.97199999999998</v>
      </c>
      <c r="I11" s="160">
        <v>8112.1000000000013</v>
      </c>
      <c r="J11" s="161">
        <v>8355.4630000000016</v>
      </c>
      <c r="K11" s="162">
        <v>4.4646712934998316</v>
      </c>
      <c r="L11" s="163">
        <v>8.3344676470950834</v>
      </c>
      <c r="M11" s="164">
        <v>0</v>
      </c>
      <c r="N11" s="164">
        <v>0</v>
      </c>
      <c r="O11" s="165">
        <v>0</v>
      </c>
      <c r="P11" s="166">
        <v>0</v>
      </c>
      <c r="Q11" s="167">
        <v>0</v>
      </c>
      <c r="R11" s="168">
        <f t="shared" si="18"/>
        <v>8355.4630000000016</v>
      </c>
      <c r="S11" s="169">
        <f t="shared" si="19"/>
        <v>373.04395799999986</v>
      </c>
      <c r="T11" s="170">
        <f t="shared" si="20"/>
        <v>696.38336050000044</v>
      </c>
      <c r="U11" s="171" t="s">
        <v>194</v>
      </c>
      <c r="V11" s="172" t="s">
        <v>274</v>
      </c>
      <c r="W11" s="159" t="s">
        <v>187</v>
      </c>
      <c r="X11" s="173">
        <v>12000</v>
      </c>
      <c r="Y11" s="174">
        <v>4.8</v>
      </c>
      <c r="Z11" s="174">
        <v>8.49</v>
      </c>
      <c r="AA11" s="62">
        <f t="shared" si="21"/>
        <v>576</v>
      </c>
      <c r="AB11" s="63">
        <f t="shared" si="22"/>
        <v>1018.8000000000001</v>
      </c>
      <c r="AC11" s="175">
        <v>12010</v>
      </c>
      <c r="AD11" s="176">
        <v>4.7</v>
      </c>
      <c r="AE11" s="176">
        <v>8.23</v>
      </c>
      <c r="AF11" s="169">
        <f t="shared" si="23"/>
        <v>564.47</v>
      </c>
      <c r="AG11" s="170">
        <f t="shared" si="24"/>
        <v>988.423</v>
      </c>
      <c r="AH11" s="183">
        <v>0</v>
      </c>
      <c r="AI11" s="159">
        <v>0</v>
      </c>
      <c r="AJ11" s="159">
        <v>0</v>
      </c>
      <c r="AK11" s="169">
        <f t="shared" si="30"/>
        <v>0</v>
      </c>
      <c r="AL11" s="178">
        <f t="shared" si="31"/>
        <v>0</v>
      </c>
      <c r="AM11" s="179">
        <f t="shared" si="32"/>
        <v>-31.336999999999534</v>
      </c>
      <c r="AN11" s="180">
        <f t="shared" si="33"/>
        <v>-0.84572200000013709</v>
      </c>
      <c r="AO11" s="180">
        <f t="shared" si="34"/>
        <v>15.932360500000414</v>
      </c>
      <c r="AP11" s="181">
        <f t="shared" si="28"/>
        <v>1.4107212560420742E-2</v>
      </c>
      <c r="AQ11" s="76">
        <f t="shared" si="13"/>
        <v>4365.2031855065889</v>
      </c>
      <c r="AR11" s="182">
        <f t="shared" si="29"/>
        <v>-21.336999999999534</v>
      </c>
    </row>
    <row r="12" spans="1:44" ht="15" x14ac:dyDescent="0.25">
      <c r="A12" s="148" t="str">
        <f t="shared" si="15"/>
        <v>46208M</v>
      </c>
      <c r="B12" s="51">
        <f t="shared" si="35"/>
        <v>46208</v>
      </c>
      <c r="C12" s="157" t="s">
        <v>87</v>
      </c>
      <c r="D12" s="184">
        <v>0</v>
      </c>
      <c r="E12" s="169">
        <v>0</v>
      </c>
      <c r="F12" s="169">
        <v>0</v>
      </c>
      <c r="G12" s="169">
        <f t="shared" si="16"/>
        <v>0</v>
      </c>
      <c r="H12" s="170">
        <f t="shared" si="17"/>
        <v>0</v>
      </c>
      <c r="I12" s="160">
        <v>3476.65</v>
      </c>
      <c r="J12" s="161">
        <v>3580.9495000000002</v>
      </c>
      <c r="K12" s="162">
        <v>5.2992320193289517</v>
      </c>
      <c r="L12" s="163">
        <v>8.5022636733637285</v>
      </c>
      <c r="M12" s="164">
        <v>0</v>
      </c>
      <c r="N12" s="164">
        <v>0</v>
      </c>
      <c r="O12" s="165">
        <v>0</v>
      </c>
      <c r="P12" s="166">
        <v>0</v>
      </c>
      <c r="Q12" s="167">
        <v>0</v>
      </c>
      <c r="R12" s="168">
        <f t="shared" si="18"/>
        <v>3580.9495000000002</v>
      </c>
      <c r="S12" s="169">
        <f t="shared" si="19"/>
        <v>189.76282250000003</v>
      </c>
      <c r="T12" s="170">
        <f t="shared" si="20"/>
        <v>304.46176850000012</v>
      </c>
      <c r="U12" s="171" t="s">
        <v>167</v>
      </c>
      <c r="V12" s="172" t="s">
        <v>180</v>
      </c>
      <c r="W12" s="159">
        <v>0</v>
      </c>
      <c r="X12" s="173">
        <v>0</v>
      </c>
      <c r="Y12" s="174">
        <v>0</v>
      </c>
      <c r="Z12" s="174">
        <v>0</v>
      </c>
      <c r="AA12" s="62">
        <f t="shared" ref="AA12:AA55" si="36">X12*Y12%</f>
        <v>0</v>
      </c>
      <c r="AB12" s="63">
        <f t="shared" ref="AB12:AB64" si="37">X12*Z12%</f>
        <v>0</v>
      </c>
      <c r="AC12" s="175"/>
      <c r="AD12" s="176"/>
      <c r="AE12" s="176"/>
      <c r="AF12" s="169">
        <f t="shared" si="23"/>
        <v>0</v>
      </c>
      <c r="AG12" s="170">
        <f t="shared" si="24"/>
        <v>0</v>
      </c>
      <c r="AH12" s="183">
        <v>3580.8</v>
      </c>
      <c r="AI12" s="159">
        <v>5.3</v>
      </c>
      <c r="AJ12" s="159">
        <v>8.5</v>
      </c>
      <c r="AK12" s="169">
        <f t="shared" si="30"/>
        <v>189.7824</v>
      </c>
      <c r="AL12" s="178">
        <f t="shared" si="31"/>
        <v>304.36800000000005</v>
      </c>
      <c r="AM12" s="179">
        <f t="shared" si="32"/>
        <v>0.14949999999998909</v>
      </c>
      <c r="AN12" s="180">
        <f t="shared" si="33"/>
        <v>-1.9577499999968495E-2</v>
      </c>
      <c r="AO12" s="180">
        <f t="shared" si="34"/>
        <v>9.3768500000066979E-2</v>
      </c>
      <c r="AP12" s="181">
        <f t="shared" si="28"/>
        <v>1.5011596215797862E-4</v>
      </c>
      <c r="AQ12" s="76">
        <f t="shared" si="13"/>
        <v>18.675205047280468</v>
      </c>
      <c r="AR12" s="182">
        <f t="shared" si="29"/>
        <v>0.14949999999998909</v>
      </c>
    </row>
    <row r="13" spans="1:44" ht="15" x14ac:dyDescent="0.25">
      <c r="A13" s="148" t="str">
        <f t="shared" si="15"/>
        <v>46208E</v>
      </c>
      <c r="B13" s="51">
        <f t="shared" si="35"/>
        <v>46208</v>
      </c>
      <c r="C13" s="157" t="s">
        <v>88</v>
      </c>
      <c r="D13" s="184">
        <v>3580.8</v>
      </c>
      <c r="E13" s="169">
        <v>5.3</v>
      </c>
      <c r="F13" s="169">
        <v>8.5</v>
      </c>
      <c r="G13" s="169">
        <f t="shared" si="16"/>
        <v>189.7824</v>
      </c>
      <c r="H13" s="170">
        <f t="shared" si="17"/>
        <v>304.36800000000005</v>
      </c>
      <c r="I13" s="160">
        <v>5991.25</v>
      </c>
      <c r="J13" s="161">
        <v>6170.9875000000002</v>
      </c>
      <c r="K13" s="162">
        <v>4.5411475067807228</v>
      </c>
      <c r="L13" s="163">
        <v>8.4061072397245979</v>
      </c>
      <c r="M13" s="164">
        <v>0</v>
      </c>
      <c r="N13" s="164">
        <v>0</v>
      </c>
      <c r="O13" s="165">
        <v>0</v>
      </c>
      <c r="P13" s="166">
        <v>0</v>
      </c>
      <c r="Q13" s="167">
        <v>0</v>
      </c>
      <c r="R13" s="168">
        <f t="shared" si="18"/>
        <v>6170.9875000000002</v>
      </c>
      <c r="S13" s="169">
        <f t="shared" si="19"/>
        <v>280.23364500000002</v>
      </c>
      <c r="T13" s="170">
        <f t="shared" si="20"/>
        <v>518.73982699999999</v>
      </c>
      <c r="U13" s="171" t="s">
        <v>167</v>
      </c>
      <c r="V13" s="172" t="s">
        <v>180</v>
      </c>
      <c r="W13" s="159">
        <v>0</v>
      </c>
      <c r="X13" s="173">
        <v>0</v>
      </c>
      <c r="Y13" s="174">
        <v>0</v>
      </c>
      <c r="Z13" s="174">
        <v>0</v>
      </c>
      <c r="AA13" s="62">
        <f t="shared" si="36"/>
        <v>0</v>
      </c>
      <c r="AB13" s="63">
        <f t="shared" si="37"/>
        <v>0</v>
      </c>
      <c r="AC13" s="175"/>
      <c r="AD13" s="176"/>
      <c r="AE13" s="176"/>
      <c r="AF13" s="169">
        <f t="shared" si="23"/>
        <v>0</v>
      </c>
      <c r="AG13" s="170">
        <f t="shared" si="24"/>
        <v>0</v>
      </c>
      <c r="AH13" s="183">
        <v>9751.7000000000007</v>
      </c>
      <c r="AI13" s="159">
        <v>4.8099999999999996</v>
      </c>
      <c r="AJ13" s="159">
        <v>8.44</v>
      </c>
      <c r="AK13" s="169">
        <f t="shared" si="30"/>
        <v>469.05677000000003</v>
      </c>
      <c r="AL13" s="178">
        <f t="shared" si="31"/>
        <v>823.04347999999993</v>
      </c>
      <c r="AM13" s="179">
        <f t="shared" si="32"/>
        <v>8.7499999999636202E-2</v>
      </c>
      <c r="AN13" s="180">
        <f t="shared" si="33"/>
        <v>0.959274999999991</v>
      </c>
      <c r="AO13" s="180">
        <f t="shared" si="34"/>
        <v>6.434700000011162E-2</v>
      </c>
      <c r="AP13" s="181">
        <f t="shared" si="28"/>
        <v>1.2811714479552866E-3</v>
      </c>
      <c r="AQ13" s="76">
        <f t="shared" si="13"/>
        <v>480.23421212261195</v>
      </c>
      <c r="AR13" s="182">
        <f t="shared" si="29"/>
        <v>8.7499999999636202E-2</v>
      </c>
    </row>
    <row r="14" spans="1:44" ht="15" x14ac:dyDescent="0.25">
      <c r="A14" s="148" t="str">
        <f t="shared" si="15"/>
        <v>46209M</v>
      </c>
      <c r="B14" s="51">
        <f t="shared" si="35"/>
        <v>46209</v>
      </c>
      <c r="C14" s="157" t="s">
        <v>87</v>
      </c>
      <c r="D14" s="184">
        <v>9751.7000000000007</v>
      </c>
      <c r="E14" s="169">
        <v>4.8099999999999996</v>
      </c>
      <c r="F14" s="169">
        <v>8.44</v>
      </c>
      <c r="G14" s="169">
        <f t="shared" si="16"/>
        <v>469.05677000000003</v>
      </c>
      <c r="H14" s="170">
        <f t="shared" si="17"/>
        <v>823.04347999999993</v>
      </c>
      <c r="I14" s="160">
        <v>3330.85</v>
      </c>
      <c r="J14" s="161">
        <v>3430.7755000000002</v>
      </c>
      <c r="K14" s="162">
        <v>5.3220123992374333</v>
      </c>
      <c r="L14" s="163">
        <v>8.4873485746881432</v>
      </c>
      <c r="M14" s="164">
        <v>0</v>
      </c>
      <c r="N14" s="164">
        <v>0</v>
      </c>
      <c r="O14" s="165">
        <v>0</v>
      </c>
      <c r="P14" s="166">
        <v>0</v>
      </c>
      <c r="Q14" s="167">
        <v>0</v>
      </c>
      <c r="R14" s="168">
        <f t="shared" si="18"/>
        <v>3430.7755000000002</v>
      </c>
      <c r="S14" s="169">
        <f t="shared" si="19"/>
        <v>182.58629750000006</v>
      </c>
      <c r="T14" s="170">
        <f t="shared" si="20"/>
        <v>291.18187550000005</v>
      </c>
      <c r="U14" s="171" t="s">
        <v>194</v>
      </c>
      <c r="V14" s="172" t="s">
        <v>333</v>
      </c>
      <c r="W14" s="159" t="s">
        <v>187</v>
      </c>
      <c r="X14" s="173">
        <v>12470</v>
      </c>
      <c r="Y14" s="174">
        <v>5.05</v>
      </c>
      <c r="Z14" s="174">
        <v>8.5500000000000007</v>
      </c>
      <c r="AA14" s="62">
        <f t="shared" si="36"/>
        <v>629.7349999999999</v>
      </c>
      <c r="AB14" s="63">
        <f t="shared" si="37"/>
        <v>1066.1850000000002</v>
      </c>
      <c r="AC14" s="175">
        <v>12420</v>
      </c>
      <c r="AD14" s="176">
        <v>5.060507246376809</v>
      </c>
      <c r="AE14" s="176">
        <v>8.5567793880837328</v>
      </c>
      <c r="AF14" s="169">
        <f t="shared" si="23"/>
        <v>628.51499999999965</v>
      </c>
      <c r="AG14" s="170">
        <f t="shared" si="24"/>
        <v>1062.7519999999995</v>
      </c>
      <c r="AH14" s="177">
        <v>712.4</v>
      </c>
      <c r="AI14" s="159">
        <v>4.9400000000000004</v>
      </c>
      <c r="AJ14" s="159">
        <v>8.4499999999999993</v>
      </c>
      <c r="AK14" s="169">
        <f t="shared" si="30"/>
        <v>35.19256</v>
      </c>
      <c r="AL14" s="178">
        <f t="shared" si="31"/>
        <v>60.197799999999994</v>
      </c>
      <c r="AM14" s="179">
        <f t="shared" si="32"/>
        <v>50.075500000000488</v>
      </c>
      <c r="AN14" s="180">
        <f t="shared" si="33"/>
        <v>-12.064492499999503</v>
      </c>
      <c r="AO14" s="180">
        <f t="shared" si="34"/>
        <v>-8.7244444999995139</v>
      </c>
      <c r="AP14" s="181">
        <f t="shared" si="28"/>
        <v>-4.3879977982393958E-2</v>
      </c>
      <c r="AQ14" s="76">
        <f t="shared" si="13"/>
        <v>-8410.2747606442172</v>
      </c>
      <c r="AR14" s="182">
        <f t="shared" si="29"/>
        <v>7.5500000000829459E-2</v>
      </c>
    </row>
    <row r="15" spans="1:44" ht="15" x14ac:dyDescent="0.25">
      <c r="A15" s="148" t="str">
        <f t="shared" si="15"/>
        <v>46209E</v>
      </c>
      <c r="B15" s="51">
        <f t="shared" si="35"/>
        <v>46209</v>
      </c>
      <c r="C15" s="157" t="s">
        <v>88</v>
      </c>
      <c r="D15" s="184">
        <v>712.4</v>
      </c>
      <c r="E15" s="169">
        <v>4.9400000000000004</v>
      </c>
      <c r="F15" s="169">
        <v>8.4499999999999993</v>
      </c>
      <c r="G15" s="169">
        <f t="shared" si="16"/>
        <v>35.19256</v>
      </c>
      <c r="H15" s="170">
        <f t="shared" si="17"/>
        <v>60.197799999999994</v>
      </c>
      <c r="I15" s="160">
        <v>6582.4000000000005</v>
      </c>
      <c r="J15" s="161">
        <v>6779.8720000000003</v>
      </c>
      <c r="K15" s="162">
        <v>4.5559666686922728</v>
      </c>
      <c r="L15" s="163">
        <v>8.3357217732134199</v>
      </c>
      <c r="M15" s="164">
        <v>0</v>
      </c>
      <c r="N15" s="164">
        <v>0</v>
      </c>
      <c r="O15" s="165">
        <v>0</v>
      </c>
      <c r="P15" s="166">
        <v>0</v>
      </c>
      <c r="Q15" s="167">
        <v>0</v>
      </c>
      <c r="R15" s="168">
        <f t="shared" si="18"/>
        <v>6779.8720000000003</v>
      </c>
      <c r="S15" s="169">
        <f t="shared" si="19"/>
        <v>308.88870850000018</v>
      </c>
      <c r="T15" s="170">
        <f t="shared" si="20"/>
        <v>565.15126650000013</v>
      </c>
      <c r="U15" s="171" t="s">
        <v>167</v>
      </c>
      <c r="V15" s="172" t="s">
        <v>167</v>
      </c>
      <c r="W15" s="159">
        <v>0</v>
      </c>
      <c r="X15" s="173">
        <v>0</v>
      </c>
      <c r="Y15" s="174">
        <v>0</v>
      </c>
      <c r="Z15" s="174">
        <v>0</v>
      </c>
      <c r="AA15" s="62">
        <f t="shared" si="36"/>
        <v>0</v>
      </c>
      <c r="AB15" s="63">
        <f t="shared" si="37"/>
        <v>0</v>
      </c>
      <c r="AC15" s="175"/>
      <c r="AD15" s="176"/>
      <c r="AE15" s="176"/>
      <c r="AF15" s="169">
        <f t="shared" si="23"/>
        <v>0</v>
      </c>
      <c r="AG15" s="170">
        <f t="shared" si="24"/>
        <v>0</v>
      </c>
      <c r="AH15" s="183">
        <v>7047.8</v>
      </c>
      <c r="AI15" s="159">
        <v>4.3600000000000003</v>
      </c>
      <c r="AJ15" s="159">
        <v>8.31</v>
      </c>
      <c r="AK15" s="169">
        <f t="shared" si="30"/>
        <v>307.28408000000002</v>
      </c>
      <c r="AL15" s="178">
        <f t="shared" si="31"/>
        <v>585.67218000000003</v>
      </c>
      <c r="AM15" s="179">
        <f t="shared" si="32"/>
        <v>444.47199999999975</v>
      </c>
      <c r="AN15" s="180">
        <f t="shared" si="33"/>
        <v>36.797188500000175</v>
      </c>
      <c r="AO15" s="180">
        <f t="shared" si="34"/>
        <v>39.676886500000137</v>
      </c>
      <c r="AP15" s="181">
        <f t="shared" si="28"/>
        <v>8.7494939805242061E-2</v>
      </c>
      <c r="AQ15" s="76">
        <f t="shared" si="13"/>
        <v>29565.120974039412</v>
      </c>
      <c r="AR15" s="182">
        <f t="shared" si="29"/>
        <v>444.47199999999975</v>
      </c>
    </row>
    <row r="16" spans="1:44" ht="15" x14ac:dyDescent="0.25">
      <c r="A16" s="148" t="str">
        <f t="shared" si="15"/>
        <v>46210M</v>
      </c>
      <c r="B16" s="51">
        <f t="shared" si="35"/>
        <v>46210</v>
      </c>
      <c r="C16" s="157" t="s">
        <v>87</v>
      </c>
      <c r="D16" s="184">
        <v>7047.8</v>
      </c>
      <c r="E16" s="169">
        <v>4.3600000000000003</v>
      </c>
      <c r="F16" s="169">
        <v>8.31</v>
      </c>
      <c r="G16" s="169">
        <f t="shared" si="16"/>
        <v>307.28408000000002</v>
      </c>
      <c r="H16" s="170">
        <f t="shared" si="17"/>
        <v>585.67218000000003</v>
      </c>
      <c r="I16" s="160">
        <v>4235.3999999999996</v>
      </c>
      <c r="J16" s="161">
        <v>4362.4619999999995</v>
      </c>
      <c r="K16" s="162">
        <v>5.0981666430561461</v>
      </c>
      <c r="L16" s="163">
        <v>8.4601112055531971</v>
      </c>
      <c r="M16" s="164">
        <v>0</v>
      </c>
      <c r="N16" s="164">
        <v>0</v>
      </c>
      <c r="O16" s="165">
        <v>0</v>
      </c>
      <c r="P16" s="166">
        <v>0</v>
      </c>
      <c r="Q16" s="167">
        <v>0</v>
      </c>
      <c r="R16" s="168">
        <f t="shared" si="18"/>
        <v>4362.4619999999995</v>
      </c>
      <c r="S16" s="169">
        <f t="shared" si="19"/>
        <v>222.40558250000001</v>
      </c>
      <c r="T16" s="170">
        <f t="shared" si="20"/>
        <v>369.06913650000007</v>
      </c>
      <c r="U16" s="171" t="s">
        <v>167</v>
      </c>
      <c r="V16" s="172" t="s">
        <v>167</v>
      </c>
      <c r="W16" s="159">
        <v>0</v>
      </c>
      <c r="X16" s="173">
        <v>0</v>
      </c>
      <c r="Y16" s="174">
        <v>0</v>
      </c>
      <c r="Z16" s="174">
        <v>0</v>
      </c>
      <c r="AA16" s="62">
        <f t="shared" si="36"/>
        <v>0</v>
      </c>
      <c r="AB16" s="63">
        <f t="shared" si="37"/>
        <v>0</v>
      </c>
      <c r="AC16" s="175"/>
      <c r="AD16" s="176"/>
      <c r="AE16" s="176"/>
      <c r="AF16" s="169">
        <f t="shared" si="23"/>
        <v>0</v>
      </c>
      <c r="AG16" s="170">
        <f t="shared" si="24"/>
        <v>0</v>
      </c>
      <c r="AH16" s="183">
        <v>11410.2</v>
      </c>
      <c r="AI16" s="186">
        <v>4.6399999999999997</v>
      </c>
      <c r="AJ16" s="186">
        <v>8.36</v>
      </c>
      <c r="AK16" s="169">
        <f t="shared" si="30"/>
        <v>529.43327999999997</v>
      </c>
      <c r="AL16" s="178">
        <f t="shared" si="31"/>
        <v>953.89271999999994</v>
      </c>
      <c r="AM16" s="179">
        <f t="shared" si="32"/>
        <v>6.1999999998079147E-2</v>
      </c>
      <c r="AN16" s="180">
        <f t="shared" si="33"/>
        <v>0.25638250000008611</v>
      </c>
      <c r="AO16" s="180">
        <f t="shared" si="34"/>
        <v>0.84859650000009879</v>
      </c>
      <c r="AP16" s="181">
        <f t="shared" si="28"/>
        <v>1.8681762119408265E-3</v>
      </c>
      <c r="AQ16" s="76">
        <f t="shared" si="13"/>
        <v>377.34723269433232</v>
      </c>
      <c r="AR16" s="182">
        <f t="shared" si="29"/>
        <v>6.1999999998079147E-2</v>
      </c>
    </row>
    <row r="17" spans="1:45" ht="15" x14ac:dyDescent="0.25">
      <c r="A17" s="148" t="str">
        <f t="shared" si="15"/>
        <v>46210E</v>
      </c>
      <c r="B17" s="51">
        <f t="shared" si="35"/>
        <v>46210</v>
      </c>
      <c r="C17" s="157" t="s">
        <v>88</v>
      </c>
      <c r="D17" s="184">
        <v>11410.2</v>
      </c>
      <c r="E17" s="169">
        <v>4.6399999999999997</v>
      </c>
      <c r="F17" s="169">
        <v>8.36</v>
      </c>
      <c r="G17" s="169">
        <f t="shared" si="16"/>
        <v>529.43327999999997</v>
      </c>
      <c r="H17" s="170">
        <f t="shared" si="17"/>
        <v>953.89271999999994</v>
      </c>
      <c r="I17" s="160">
        <v>5803.7999999999984</v>
      </c>
      <c r="J17" s="161">
        <v>5977.9139999999989</v>
      </c>
      <c r="K17" s="162">
        <v>4.5806075329956242</v>
      </c>
      <c r="L17" s="163">
        <v>8.4375435059788444</v>
      </c>
      <c r="M17" s="164">
        <v>0</v>
      </c>
      <c r="N17" s="164">
        <v>0</v>
      </c>
      <c r="O17" s="165">
        <v>0</v>
      </c>
      <c r="P17" s="166">
        <v>0</v>
      </c>
      <c r="Q17" s="167">
        <v>0</v>
      </c>
      <c r="R17" s="168">
        <f t="shared" si="18"/>
        <v>5977.9139999999989</v>
      </c>
      <c r="S17" s="169">
        <f t="shared" si="19"/>
        <v>273.82477899999998</v>
      </c>
      <c r="T17" s="170">
        <f t="shared" si="20"/>
        <v>504.38909450000011</v>
      </c>
      <c r="U17" s="171" t="s">
        <v>194</v>
      </c>
      <c r="V17" s="172" t="s">
        <v>334</v>
      </c>
      <c r="W17" s="159" t="s">
        <v>187</v>
      </c>
      <c r="X17" s="173">
        <v>18340</v>
      </c>
      <c r="Y17" s="174">
        <v>4.7</v>
      </c>
      <c r="Z17" s="174">
        <v>8.5299999999999994</v>
      </c>
      <c r="AA17" s="62">
        <f t="shared" si="36"/>
        <v>861.98</v>
      </c>
      <c r="AB17" s="63">
        <f t="shared" si="37"/>
        <v>1564.4019999999998</v>
      </c>
      <c r="AC17" s="175">
        <v>18340</v>
      </c>
      <c r="AD17" s="176">
        <v>4.5999999999999996</v>
      </c>
      <c r="AE17" s="176">
        <v>8.27</v>
      </c>
      <c r="AF17" s="169">
        <f t="shared" si="23"/>
        <v>843.64</v>
      </c>
      <c r="AG17" s="170">
        <f t="shared" si="24"/>
        <v>1516.7179999999998</v>
      </c>
      <c r="AH17" s="183">
        <v>0</v>
      </c>
      <c r="AI17" s="159">
        <v>0</v>
      </c>
      <c r="AJ17" s="159">
        <v>0</v>
      </c>
      <c r="AK17" s="169">
        <f t="shared" si="30"/>
        <v>0</v>
      </c>
      <c r="AL17" s="178">
        <f t="shared" si="31"/>
        <v>0</v>
      </c>
      <c r="AM17" s="179">
        <f t="shared" si="32"/>
        <v>-951.8859999999986</v>
      </c>
      <c r="AN17" s="180">
        <f t="shared" si="33"/>
        <v>-40.381940999999983</v>
      </c>
      <c r="AO17" s="180">
        <f t="shared" si="34"/>
        <v>-58.436185499999738</v>
      </c>
      <c r="AP17" s="181">
        <f t="shared" si="28"/>
        <v>-0.12698067955993553</v>
      </c>
      <c r="AQ17" s="76">
        <f t="shared" si="13"/>
        <v>-36905.954266803405</v>
      </c>
      <c r="AR17" s="182">
        <f t="shared" si="29"/>
        <v>-951.8859999999986</v>
      </c>
    </row>
    <row r="18" spans="1:45" ht="15" x14ac:dyDescent="0.25">
      <c r="A18" s="148" t="str">
        <f t="shared" si="15"/>
        <v>46211M</v>
      </c>
      <c r="B18" s="51">
        <f t="shared" si="35"/>
        <v>46211</v>
      </c>
      <c r="C18" s="157" t="s">
        <v>87</v>
      </c>
      <c r="D18" s="184">
        <v>0</v>
      </c>
      <c r="E18" s="169">
        <v>0</v>
      </c>
      <c r="F18" s="169">
        <v>0</v>
      </c>
      <c r="G18" s="169">
        <f t="shared" si="16"/>
        <v>0</v>
      </c>
      <c r="H18" s="170">
        <f t="shared" si="17"/>
        <v>0</v>
      </c>
      <c r="I18" s="160">
        <v>3722.1499999999992</v>
      </c>
      <c r="J18" s="161">
        <v>3833.814499999999</v>
      </c>
      <c r="K18" s="162">
        <v>5.1373856507663582</v>
      </c>
      <c r="L18" s="163">
        <v>8.4924358233816424</v>
      </c>
      <c r="M18" s="164">
        <v>0</v>
      </c>
      <c r="N18" s="164">
        <v>0</v>
      </c>
      <c r="O18" s="165">
        <v>0</v>
      </c>
      <c r="P18" s="166">
        <v>0</v>
      </c>
      <c r="Q18" s="167">
        <v>0</v>
      </c>
      <c r="R18" s="168">
        <f t="shared" si="18"/>
        <v>3833.814499999999</v>
      </c>
      <c r="S18" s="169">
        <f t="shared" si="19"/>
        <v>196.95783599999996</v>
      </c>
      <c r="T18" s="170">
        <f t="shared" si="20"/>
        <v>325.58423599999975</v>
      </c>
      <c r="U18" s="171" t="s">
        <v>167</v>
      </c>
      <c r="V18" s="172" t="s">
        <v>180</v>
      </c>
      <c r="W18" s="159">
        <v>0</v>
      </c>
      <c r="X18" s="173">
        <v>0</v>
      </c>
      <c r="Y18" s="174">
        <v>0</v>
      </c>
      <c r="Z18" s="174">
        <v>0</v>
      </c>
      <c r="AA18" s="62">
        <f t="shared" si="36"/>
        <v>0</v>
      </c>
      <c r="AB18" s="63">
        <f t="shared" si="37"/>
        <v>0</v>
      </c>
      <c r="AC18" s="175"/>
      <c r="AD18" s="176"/>
      <c r="AE18" s="176"/>
      <c r="AF18" s="169">
        <f t="shared" si="23"/>
        <v>0</v>
      </c>
      <c r="AG18" s="170">
        <f t="shared" si="24"/>
        <v>0</v>
      </c>
      <c r="AH18" s="183">
        <v>3794</v>
      </c>
      <c r="AI18" s="159">
        <v>5.1100000000000003</v>
      </c>
      <c r="AJ18" s="159">
        <v>8.49</v>
      </c>
      <c r="AK18" s="169">
        <f t="shared" si="30"/>
        <v>193.87340000000003</v>
      </c>
      <c r="AL18" s="178">
        <f t="shared" si="31"/>
        <v>322.11060000000003</v>
      </c>
      <c r="AM18" s="179">
        <f t="shared" si="32"/>
        <v>39.814499999999043</v>
      </c>
      <c r="AN18" s="180">
        <f t="shared" si="33"/>
        <v>3.0844359999999256</v>
      </c>
      <c r="AO18" s="180">
        <f t="shared" si="34"/>
        <v>3.4736359999997148</v>
      </c>
      <c r="AP18" s="181">
        <f t="shared" si="28"/>
        <v>1.255032341204412E-2</v>
      </c>
      <c r="AQ18" s="76">
        <f t="shared" si="13"/>
        <v>2522.4949432839639</v>
      </c>
      <c r="AR18" s="182">
        <f t="shared" si="29"/>
        <v>39.814499999999043</v>
      </c>
    </row>
    <row r="19" spans="1:45" ht="15" x14ac:dyDescent="0.25">
      <c r="A19" s="148" t="str">
        <f t="shared" si="15"/>
        <v>46211E</v>
      </c>
      <c r="B19" s="51">
        <f t="shared" si="35"/>
        <v>46211</v>
      </c>
      <c r="C19" s="157" t="s">
        <v>88</v>
      </c>
      <c r="D19" s="184">
        <v>3794</v>
      </c>
      <c r="E19" s="169">
        <v>5.1100000000000003</v>
      </c>
      <c r="F19" s="169">
        <v>8.49</v>
      </c>
      <c r="G19" s="169">
        <f t="shared" si="16"/>
        <v>193.87340000000003</v>
      </c>
      <c r="H19" s="170">
        <f t="shared" si="17"/>
        <v>322.11060000000003</v>
      </c>
      <c r="I19" s="160">
        <v>9085.7000000000007</v>
      </c>
      <c r="J19" s="161">
        <v>9358.2710000000006</v>
      </c>
      <c r="K19" s="162">
        <v>4.5604268245704782</v>
      </c>
      <c r="L19" s="163">
        <v>8.3726795954081688</v>
      </c>
      <c r="M19" s="164">
        <v>0</v>
      </c>
      <c r="N19" s="164">
        <v>0</v>
      </c>
      <c r="O19" s="165">
        <v>0</v>
      </c>
      <c r="P19" s="166">
        <v>0</v>
      </c>
      <c r="Q19" s="167">
        <v>0</v>
      </c>
      <c r="R19" s="168">
        <f t="shared" si="18"/>
        <v>9358.2710000000006</v>
      </c>
      <c r="S19" s="169">
        <f t="shared" si="19"/>
        <v>426.77710099999996</v>
      </c>
      <c r="T19" s="170">
        <f t="shared" si="20"/>
        <v>783.53804649999995</v>
      </c>
      <c r="U19" s="171" t="s">
        <v>167</v>
      </c>
      <c r="V19" s="172" t="s">
        <v>167</v>
      </c>
      <c r="W19" s="159">
        <v>0</v>
      </c>
      <c r="X19" s="173">
        <v>0</v>
      </c>
      <c r="Y19" s="174">
        <v>0</v>
      </c>
      <c r="Z19" s="174">
        <v>0</v>
      </c>
      <c r="AA19" s="62">
        <f t="shared" si="36"/>
        <v>0</v>
      </c>
      <c r="AB19" s="63">
        <f t="shared" si="37"/>
        <v>0</v>
      </c>
      <c r="AC19" s="175"/>
      <c r="AD19" s="176"/>
      <c r="AE19" s="176"/>
      <c r="AF19" s="169">
        <f t="shared" si="23"/>
        <v>0</v>
      </c>
      <c r="AG19" s="170">
        <f t="shared" si="24"/>
        <v>0</v>
      </c>
      <c r="AH19" s="183">
        <v>13192</v>
      </c>
      <c r="AI19" s="159">
        <v>4.71</v>
      </c>
      <c r="AJ19" s="159">
        <v>8.4</v>
      </c>
      <c r="AK19" s="169">
        <f t="shared" si="30"/>
        <v>621.34320000000002</v>
      </c>
      <c r="AL19" s="178">
        <f t="shared" si="31"/>
        <v>1108.1280000000002</v>
      </c>
      <c r="AM19" s="179">
        <f t="shared" si="32"/>
        <v>-39.72899999999936</v>
      </c>
      <c r="AN19" s="180">
        <f t="shared" si="33"/>
        <v>-0.69269900000006146</v>
      </c>
      <c r="AO19" s="180">
        <f t="shared" si="34"/>
        <v>-2.4793535000001157</v>
      </c>
      <c r="AP19" s="181">
        <f t="shared" si="28"/>
        <v>-2.6208483852757673E-3</v>
      </c>
      <c r="AQ19" s="76">
        <f t="shared" si="13"/>
        <v>-1075.408715154651</v>
      </c>
      <c r="AR19" s="182">
        <f t="shared" si="29"/>
        <v>-39.72899999999936</v>
      </c>
    </row>
    <row r="20" spans="1:45" ht="15" x14ac:dyDescent="0.25">
      <c r="A20" s="148" t="str">
        <f t="shared" si="15"/>
        <v>46212M</v>
      </c>
      <c r="B20" s="51">
        <f t="shared" si="35"/>
        <v>46212</v>
      </c>
      <c r="C20" s="157" t="s">
        <v>87</v>
      </c>
      <c r="D20" s="184">
        <v>13192</v>
      </c>
      <c r="E20" s="169">
        <v>4.71</v>
      </c>
      <c r="F20" s="169">
        <v>8.4</v>
      </c>
      <c r="G20" s="169">
        <f t="shared" si="16"/>
        <v>621.34320000000002</v>
      </c>
      <c r="H20" s="170">
        <f t="shared" si="17"/>
        <v>1108.1280000000002</v>
      </c>
      <c r="I20" s="160">
        <v>3870.5499999999997</v>
      </c>
      <c r="J20" s="161">
        <v>3986.6664999999998</v>
      </c>
      <c r="K20" s="162">
        <v>5.1716694009895257</v>
      </c>
      <c r="L20" s="163">
        <v>8.5392101897663153</v>
      </c>
      <c r="M20" s="164">
        <v>0</v>
      </c>
      <c r="N20" s="164">
        <v>0</v>
      </c>
      <c r="O20" s="165">
        <v>0</v>
      </c>
      <c r="P20" s="166">
        <v>0</v>
      </c>
      <c r="Q20" s="167">
        <v>0</v>
      </c>
      <c r="R20" s="168">
        <f t="shared" si="18"/>
        <v>3986.6664999999998</v>
      </c>
      <c r="S20" s="169">
        <f t="shared" si="19"/>
        <v>206.17721150000008</v>
      </c>
      <c r="T20" s="170">
        <f t="shared" si="20"/>
        <v>340.42983200000009</v>
      </c>
      <c r="U20" s="171" t="s">
        <v>194</v>
      </c>
      <c r="V20" s="172" t="s">
        <v>398</v>
      </c>
      <c r="W20" s="159" t="s">
        <v>187</v>
      </c>
      <c r="X20" s="173">
        <v>17290</v>
      </c>
      <c r="Y20" s="174">
        <v>4.9000000000000004</v>
      </c>
      <c r="Z20" s="174">
        <v>8.51</v>
      </c>
      <c r="AA20" s="62">
        <f t="shared" si="36"/>
        <v>847.21</v>
      </c>
      <c r="AB20" s="63">
        <f t="shared" si="37"/>
        <v>1471.3789999999999</v>
      </c>
      <c r="AC20" s="175">
        <v>17280</v>
      </c>
      <c r="AD20" s="176">
        <v>4.8499999999999996</v>
      </c>
      <c r="AE20" s="176">
        <v>8.4399999999999977</v>
      </c>
      <c r="AF20" s="169">
        <f t="shared" si="23"/>
        <v>838.07999999999993</v>
      </c>
      <c r="AG20" s="170">
        <f t="shared" si="24"/>
        <v>1458.4319999999996</v>
      </c>
      <c r="AH20" s="183">
        <v>0</v>
      </c>
      <c r="AI20" s="159">
        <v>0</v>
      </c>
      <c r="AJ20" s="159">
        <v>0</v>
      </c>
      <c r="AK20" s="169">
        <f t="shared" si="30"/>
        <v>0</v>
      </c>
      <c r="AL20" s="178">
        <f t="shared" si="31"/>
        <v>0</v>
      </c>
      <c r="AM20" s="179">
        <f t="shared" si="32"/>
        <v>-101.33350000000064</v>
      </c>
      <c r="AN20" s="180">
        <f t="shared" si="33"/>
        <v>-10.559588499999791</v>
      </c>
      <c r="AO20" s="180">
        <f t="shared" si="34"/>
        <v>-9.8741679999993721</v>
      </c>
      <c r="AP20" s="181">
        <f t="shared" si="28"/>
        <v>-3.738290009795521E-2</v>
      </c>
      <c r="AQ20" s="76">
        <f t="shared" si="13"/>
        <v>-8031.4513622220193</v>
      </c>
      <c r="AR20" s="182">
        <f t="shared" si="29"/>
        <v>-111.33350000000064</v>
      </c>
    </row>
    <row r="21" spans="1:45" ht="15" x14ac:dyDescent="0.25">
      <c r="A21" s="148" t="str">
        <f t="shared" si="15"/>
        <v>46212E</v>
      </c>
      <c r="B21" s="51">
        <f t="shared" si="35"/>
        <v>46212</v>
      </c>
      <c r="C21" s="157" t="s">
        <v>88</v>
      </c>
      <c r="D21" s="184">
        <v>0</v>
      </c>
      <c r="E21" s="169">
        <v>0</v>
      </c>
      <c r="F21" s="169">
        <v>0</v>
      </c>
      <c r="G21" s="169">
        <f t="shared" si="16"/>
        <v>0</v>
      </c>
      <c r="H21" s="170">
        <f t="shared" si="17"/>
        <v>0</v>
      </c>
      <c r="I21" s="160">
        <v>6129.0499999999975</v>
      </c>
      <c r="J21" s="161">
        <v>6312.9214999999976</v>
      </c>
      <c r="K21" s="162">
        <v>4.5868609327709837</v>
      </c>
      <c r="L21" s="163">
        <v>8.4291007578662267</v>
      </c>
      <c r="M21" s="164">
        <v>0</v>
      </c>
      <c r="N21" s="164">
        <v>0</v>
      </c>
      <c r="O21" s="165">
        <v>0</v>
      </c>
      <c r="P21" s="166">
        <v>0</v>
      </c>
      <c r="Q21" s="167">
        <v>0</v>
      </c>
      <c r="R21" s="168">
        <f t="shared" si="18"/>
        <v>6312.9214999999976</v>
      </c>
      <c r="S21" s="169">
        <f t="shared" si="19"/>
        <v>289.56492999999989</v>
      </c>
      <c r="T21" s="170">
        <f t="shared" si="20"/>
        <v>532.1225139999998</v>
      </c>
      <c r="U21" s="171" t="s">
        <v>167</v>
      </c>
      <c r="V21" s="172" t="s">
        <v>167</v>
      </c>
      <c r="W21" s="159">
        <v>0</v>
      </c>
      <c r="X21" s="173">
        <v>0</v>
      </c>
      <c r="Y21" s="174">
        <v>0</v>
      </c>
      <c r="Z21" s="174">
        <v>0</v>
      </c>
      <c r="AA21" s="62">
        <f t="shared" si="36"/>
        <v>0</v>
      </c>
      <c r="AB21" s="63">
        <f t="shared" si="37"/>
        <v>0</v>
      </c>
      <c r="AC21" s="175"/>
      <c r="AD21" s="176"/>
      <c r="AE21" s="176"/>
      <c r="AF21" s="169">
        <f t="shared" si="23"/>
        <v>0</v>
      </c>
      <c r="AG21" s="170">
        <f t="shared" si="24"/>
        <v>0</v>
      </c>
      <c r="AH21" s="183">
        <v>6312.8</v>
      </c>
      <c r="AI21" s="159">
        <v>4.59</v>
      </c>
      <c r="AJ21" s="159">
        <v>8.43</v>
      </c>
      <c r="AK21" s="169">
        <f t="shared" si="30"/>
        <v>289.75752</v>
      </c>
      <c r="AL21" s="178">
        <f t="shared" si="31"/>
        <v>532.16904</v>
      </c>
      <c r="AM21" s="179">
        <f t="shared" si="32"/>
        <v>0.12149999999746797</v>
      </c>
      <c r="AN21" s="180">
        <f t="shared" si="33"/>
        <v>-0.19259000000010928</v>
      </c>
      <c r="AO21" s="180">
        <f t="shared" si="34"/>
        <v>-4.6526000000199019E-2</v>
      </c>
      <c r="AP21" s="181">
        <f t="shared" si="28"/>
        <v>-2.9100602880857506E-4</v>
      </c>
      <c r="AQ21" s="76">
        <f t="shared" si="13"/>
        <v>-106.4798859179984</v>
      </c>
      <c r="AR21" s="182">
        <f t="shared" si="29"/>
        <v>0.12149999999746797</v>
      </c>
    </row>
    <row r="22" spans="1:45" ht="15" x14ac:dyDescent="0.25">
      <c r="A22" s="148" t="str">
        <f t="shared" si="15"/>
        <v>46213M</v>
      </c>
      <c r="B22" s="51">
        <f t="shared" si="35"/>
        <v>46213</v>
      </c>
      <c r="C22" s="157" t="s">
        <v>87</v>
      </c>
      <c r="D22" s="184"/>
      <c r="E22" s="169"/>
      <c r="F22" s="169"/>
      <c r="G22" s="169">
        <f t="shared" si="16"/>
        <v>0</v>
      </c>
      <c r="H22" s="170">
        <f t="shared" si="17"/>
        <v>0</v>
      </c>
      <c r="I22" s="160"/>
      <c r="J22" s="161"/>
      <c r="K22" s="162"/>
      <c r="L22" s="163"/>
      <c r="M22" s="164"/>
      <c r="N22" s="164"/>
      <c r="O22" s="165"/>
      <c r="P22" s="166"/>
      <c r="Q22" s="167"/>
      <c r="R22" s="168">
        <f t="shared" si="18"/>
        <v>0</v>
      </c>
      <c r="S22" s="169">
        <f t="shared" si="19"/>
        <v>0</v>
      </c>
      <c r="T22" s="170">
        <f t="shared" si="20"/>
        <v>0</v>
      </c>
      <c r="U22" s="171"/>
      <c r="V22" s="172"/>
      <c r="W22" s="159"/>
      <c r="X22" s="173"/>
      <c r="Y22" s="174"/>
      <c r="Z22" s="174"/>
      <c r="AA22" s="62">
        <f t="shared" si="36"/>
        <v>0</v>
      </c>
      <c r="AB22" s="63">
        <f t="shared" si="37"/>
        <v>0</v>
      </c>
      <c r="AC22" s="175"/>
      <c r="AD22" s="176"/>
      <c r="AE22" s="176"/>
      <c r="AF22" s="169">
        <f t="shared" si="23"/>
        <v>0</v>
      </c>
      <c r="AG22" s="170">
        <f t="shared" si="24"/>
        <v>0</v>
      </c>
      <c r="AH22" s="183"/>
      <c r="AI22" s="159"/>
      <c r="AJ22" s="159"/>
      <c r="AK22" s="169">
        <f t="shared" si="30"/>
        <v>0</v>
      </c>
      <c r="AL22" s="178">
        <f t="shared" si="31"/>
        <v>0</v>
      </c>
      <c r="AM22" s="179">
        <f t="shared" si="32"/>
        <v>0</v>
      </c>
      <c r="AN22" s="180">
        <f t="shared" si="33"/>
        <v>0</v>
      </c>
      <c r="AO22" s="180">
        <f t="shared" si="34"/>
        <v>0</v>
      </c>
      <c r="AP22" s="181" t="e">
        <f t="shared" si="28"/>
        <v>#DIV/0!</v>
      </c>
      <c r="AQ22" s="76">
        <f t="shared" si="13"/>
        <v>0</v>
      </c>
      <c r="AR22" s="182">
        <f t="shared" si="29"/>
        <v>0</v>
      </c>
    </row>
    <row r="23" spans="1:45" ht="15" x14ac:dyDescent="0.25">
      <c r="A23" s="148" t="str">
        <f t="shared" si="15"/>
        <v>46213E</v>
      </c>
      <c r="B23" s="51">
        <f t="shared" si="35"/>
        <v>46213</v>
      </c>
      <c r="C23" s="157" t="s">
        <v>88</v>
      </c>
      <c r="D23" s="184"/>
      <c r="E23" s="169"/>
      <c r="F23" s="169"/>
      <c r="G23" s="169">
        <f t="shared" si="16"/>
        <v>0</v>
      </c>
      <c r="H23" s="170">
        <f t="shared" si="17"/>
        <v>0</v>
      </c>
      <c r="I23" s="160"/>
      <c r="J23" s="161"/>
      <c r="K23" s="162"/>
      <c r="L23" s="163"/>
      <c r="M23" s="164"/>
      <c r="N23" s="164"/>
      <c r="O23" s="165"/>
      <c r="P23" s="166"/>
      <c r="Q23" s="167"/>
      <c r="R23" s="168">
        <f t="shared" si="18"/>
        <v>0</v>
      </c>
      <c r="S23" s="169">
        <f t="shared" si="19"/>
        <v>0</v>
      </c>
      <c r="T23" s="170">
        <f t="shared" si="20"/>
        <v>0</v>
      </c>
      <c r="U23" s="171"/>
      <c r="V23" s="172"/>
      <c r="W23" s="159"/>
      <c r="X23" s="173"/>
      <c r="Y23" s="174"/>
      <c r="Z23" s="174"/>
      <c r="AA23" s="62">
        <f t="shared" si="36"/>
        <v>0</v>
      </c>
      <c r="AB23" s="63">
        <f t="shared" si="37"/>
        <v>0</v>
      </c>
      <c r="AC23" s="175"/>
      <c r="AD23" s="176"/>
      <c r="AE23" s="176"/>
      <c r="AF23" s="169">
        <f t="shared" si="23"/>
        <v>0</v>
      </c>
      <c r="AG23" s="170">
        <f t="shared" si="24"/>
        <v>0</v>
      </c>
      <c r="AH23" s="183"/>
      <c r="AI23" s="159"/>
      <c r="AJ23" s="187"/>
      <c r="AK23" s="169">
        <f t="shared" si="30"/>
        <v>0</v>
      </c>
      <c r="AL23" s="178">
        <f t="shared" si="31"/>
        <v>0</v>
      </c>
      <c r="AM23" s="179">
        <f t="shared" si="32"/>
        <v>0</v>
      </c>
      <c r="AN23" s="180">
        <f t="shared" si="33"/>
        <v>0</v>
      </c>
      <c r="AO23" s="180">
        <f t="shared" si="34"/>
        <v>0</v>
      </c>
      <c r="AP23" s="181" t="e">
        <f t="shared" si="28"/>
        <v>#DIV/0!</v>
      </c>
      <c r="AQ23" s="76">
        <f t="shared" si="13"/>
        <v>0</v>
      </c>
      <c r="AR23" s="182">
        <f t="shared" si="29"/>
        <v>0</v>
      </c>
    </row>
    <row r="24" spans="1:45" ht="15" x14ac:dyDescent="0.25">
      <c r="A24" s="148" t="str">
        <f t="shared" si="15"/>
        <v>46214M</v>
      </c>
      <c r="B24" s="51">
        <f t="shared" si="35"/>
        <v>46214</v>
      </c>
      <c r="C24" s="157" t="s">
        <v>87</v>
      </c>
      <c r="D24" s="184"/>
      <c r="E24" s="169"/>
      <c r="F24" s="169"/>
      <c r="G24" s="169">
        <f t="shared" si="16"/>
        <v>0</v>
      </c>
      <c r="H24" s="170">
        <f t="shared" si="17"/>
        <v>0</v>
      </c>
      <c r="I24" s="160"/>
      <c r="J24" s="161"/>
      <c r="K24" s="162"/>
      <c r="L24" s="163"/>
      <c r="M24" s="164"/>
      <c r="N24" s="164"/>
      <c r="O24" s="165"/>
      <c r="P24" s="166"/>
      <c r="Q24" s="167"/>
      <c r="R24" s="168">
        <f t="shared" si="18"/>
        <v>0</v>
      </c>
      <c r="S24" s="169">
        <f t="shared" si="19"/>
        <v>0</v>
      </c>
      <c r="T24" s="170">
        <f t="shared" si="20"/>
        <v>0</v>
      </c>
      <c r="U24" s="171"/>
      <c r="V24" s="172"/>
      <c r="W24" s="159"/>
      <c r="X24" s="173"/>
      <c r="Y24" s="174"/>
      <c r="Z24" s="174"/>
      <c r="AA24" s="62">
        <f t="shared" si="36"/>
        <v>0</v>
      </c>
      <c r="AB24" s="63">
        <f t="shared" si="37"/>
        <v>0</v>
      </c>
      <c r="AC24" s="175"/>
      <c r="AD24" s="176"/>
      <c r="AE24" s="176"/>
      <c r="AF24" s="169">
        <f t="shared" si="23"/>
        <v>0</v>
      </c>
      <c r="AG24" s="170">
        <f t="shared" si="24"/>
        <v>0</v>
      </c>
      <c r="AH24" s="183"/>
      <c r="AI24" s="159"/>
      <c r="AJ24" s="159"/>
      <c r="AK24" s="169">
        <f t="shared" si="30"/>
        <v>0</v>
      </c>
      <c r="AL24" s="178">
        <f t="shared" si="31"/>
        <v>0</v>
      </c>
      <c r="AM24" s="179">
        <f t="shared" si="32"/>
        <v>0</v>
      </c>
      <c r="AN24" s="180">
        <f t="shared" si="33"/>
        <v>0</v>
      </c>
      <c r="AO24" s="180">
        <f t="shared" si="34"/>
        <v>0</v>
      </c>
      <c r="AP24" s="181" t="e">
        <f t="shared" si="28"/>
        <v>#DIV/0!</v>
      </c>
      <c r="AQ24" s="76">
        <f t="shared" si="13"/>
        <v>0</v>
      </c>
      <c r="AR24" s="182">
        <f t="shared" si="29"/>
        <v>0</v>
      </c>
      <c r="AS24" s="188"/>
    </row>
    <row r="25" spans="1:45" ht="15" x14ac:dyDescent="0.25">
      <c r="A25" s="148" t="str">
        <f t="shared" si="15"/>
        <v>46214E</v>
      </c>
      <c r="B25" s="51">
        <f t="shared" si="35"/>
        <v>46214</v>
      </c>
      <c r="C25" s="157" t="s">
        <v>88</v>
      </c>
      <c r="D25" s="184"/>
      <c r="E25" s="169"/>
      <c r="F25" s="169"/>
      <c r="G25" s="169">
        <f t="shared" si="16"/>
        <v>0</v>
      </c>
      <c r="H25" s="170">
        <f t="shared" si="17"/>
        <v>0</v>
      </c>
      <c r="I25" s="160"/>
      <c r="J25" s="161"/>
      <c r="K25" s="162"/>
      <c r="L25" s="163"/>
      <c r="M25" s="164"/>
      <c r="N25" s="164"/>
      <c r="O25" s="165"/>
      <c r="P25" s="166"/>
      <c r="Q25" s="167"/>
      <c r="R25" s="168">
        <f t="shared" si="18"/>
        <v>0</v>
      </c>
      <c r="S25" s="169">
        <f t="shared" si="19"/>
        <v>0</v>
      </c>
      <c r="T25" s="170">
        <f t="shared" si="20"/>
        <v>0</v>
      </c>
      <c r="U25" s="171"/>
      <c r="V25" s="172"/>
      <c r="W25" s="159"/>
      <c r="X25" s="173"/>
      <c r="Y25" s="174"/>
      <c r="Z25" s="174"/>
      <c r="AA25" s="62">
        <f t="shared" si="36"/>
        <v>0</v>
      </c>
      <c r="AB25" s="63">
        <f t="shared" si="37"/>
        <v>0</v>
      </c>
      <c r="AC25" s="175"/>
      <c r="AD25" s="176"/>
      <c r="AE25" s="176"/>
      <c r="AF25" s="169">
        <f t="shared" si="23"/>
        <v>0</v>
      </c>
      <c r="AG25" s="170">
        <f t="shared" si="24"/>
        <v>0</v>
      </c>
      <c r="AH25" s="183"/>
      <c r="AI25" s="159"/>
      <c r="AJ25" s="159"/>
      <c r="AK25" s="169">
        <f t="shared" si="30"/>
        <v>0</v>
      </c>
      <c r="AL25" s="178">
        <f t="shared" si="31"/>
        <v>0</v>
      </c>
      <c r="AM25" s="179">
        <f t="shared" si="32"/>
        <v>0</v>
      </c>
      <c r="AN25" s="180">
        <f t="shared" si="33"/>
        <v>0</v>
      </c>
      <c r="AO25" s="180">
        <f t="shared" si="34"/>
        <v>0</v>
      </c>
      <c r="AP25" s="181" t="e">
        <f t="shared" si="28"/>
        <v>#DIV/0!</v>
      </c>
      <c r="AQ25" s="76">
        <f t="shared" si="13"/>
        <v>0</v>
      </c>
      <c r="AR25" s="182">
        <f t="shared" si="29"/>
        <v>0</v>
      </c>
    </row>
    <row r="26" spans="1:45" ht="15" x14ac:dyDescent="0.25">
      <c r="A26" s="148" t="str">
        <f t="shared" si="15"/>
        <v>46215M</v>
      </c>
      <c r="B26" s="51">
        <f t="shared" si="35"/>
        <v>46215</v>
      </c>
      <c r="C26" s="157" t="s">
        <v>87</v>
      </c>
      <c r="D26" s="184"/>
      <c r="E26" s="169"/>
      <c r="F26" s="169"/>
      <c r="G26" s="169">
        <f t="shared" si="16"/>
        <v>0</v>
      </c>
      <c r="H26" s="170">
        <f t="shared" si="17"/>
        <v>0</v>
      </c>
      <c r="I26" s="160"/>
      <c r="J26" s="161"/>
      <c r="K26" s="162"/>
      <c r="L26" s="163"/>
      <c r="M26" s="164"/>
      <c r="N26" s="164"/>
      <c r="O26" s="165"/>
      <c r="P26" s="166"/>
      <c r="Q26" s="167"/>
      <c r="R26" s="168">
        <f t="shared" si="18"/>
        <v>0</v>
      </c>
      <c r="S26" s="169">
        <f t="shared" si="19"/>
        <v>0</v>
      </c>
      <c r="T26" s="170">
        <f t="shared" si="20"/>
        <v>0</v>
      </c>
      <c r="U26" s="171"/>
      <c r="V26" s="172"/>
      <c r="W26" s="159"/>
      <c r="X26" s="173"/>
      <c r="Y26" s="174"/>
      <c r="Z26" s="174"/>
      <c r="AA26" s="62">
        <f t="shared" si="36"/>
        <v>0</v>
      </c>
      <c r="AB26" s="63">
        <f t="shared" si="37"/>
        <v>0</v>
      </c>
      <c r="AC26" s="175"/>
      <c r="AD26" s="176"/>
      <c r="AE26" s="176"/>
      <c r="AF26" s="169">
        <f t="shared" si="23"/>
        <v>0</v>
      </c>
      <c r="AG26" s="170">
        <f t="shared" si="24"/>
        <v>0</v>
      </c>
      <c r="AH26" s="183"/>
      <c r="AI26" s="159"/>
      <c r="AJ26" s="159"/>
      <c r="AK26" s="169">
        <f t="shared" si="30"/>
        <v>0</v>
      </c>
      <c r="AL26" s="178">
        <f t="shared" si="31"/>
        <v>0</v>
      </c>
      <c r="AM26" s="179">
        <f t="shared" si="32"/>
        <v>0</v>
      </c>
      <c r="AN26" s="180">
        <f t="shared" si="33"/>
        <v>0</v>
      </c>
      <c r="AO26" s="180">
        <f t="shared" si="34"/>
        <v>0</v>
      </c>
      <c r="AP26" s="181" t="e">
        <f t="shared" si="28"/>
        <v>#DIV/0!</v>
      </c>
      <c r="AQ26" s="76">
        <f t="shared" si="13"/>
        <v>0</v>
      </c>
      <c r="AR26" s="182">
        <f t="shared" si="29"/>
        <v>0</v>
      </c>
    </row>
    <row r="27" spans="1:45" ht="15" x14ac:dyDescent="0.25">
      <c r="A27" s="148" t="str">
        <f t="shared" si="15"/>
        <v>46215E</v>
      </c>
      <c r="B27" s="51">
        <f t="shared" si="35"/>
        <v>46215</v>
      </c>
      <c r="C27" s="157" t="s">
        <v>88</v>
      </c>
      <c r="D27" s="184"/>
      <c r="E27" s="169"/>
      <c r="F27" s="169"/>
      <c r="G27" s="169">
        <f t="shared" si="16"/>
        <v>0</v>
      </c>
      <c r="H27" s="170">
        <f t="shared" si="17"/>
        <v>0</v>
      </c>
      <c r="I27" s="160"/>
      <c r="J27" s="161"/>
      <c r="K27" s="162"/>
      <c r="L27" s="163"/>
      <c r="M27" s="164"/>
      <c r="N27" s="164"/>
      <c r="O27" s="165"/>
      <c r="P27" s="166"/>
      <c r="Q27" s="167"/>
      <c r="R27" s="168">
        <f t="shared" si="18"/>
        <v>0</v>
      </c>
      <c r="S27" s="169">
        <f t="shared" si="19"/>
        <v>0</v>
      </c>
      <c r="T27" s="170">
        <f t="shared" si="20"/>
        <v>0</v>
      </c>
      <c r="U27" s="171"/>
      <c r="V27" s="172"/>
      <c r="W27" s="159"/>
      <c r="X27" s="173"/>
      <c r="Y27" s="174"/>
      <c r="Z27" s="174"/>
      <c r="AA27" s="62">
        <f t="shared" si="36"/>
        <v>0</v>
      </c>
      <c r="AB27" s="63">
        <f t="shared" si="37"/>
        <v>0</v>
      </c>
      <c r="AC27" s="175"/>
      <c r="AD27" s="176"/>
      <c r="AE27" s="176"/>
      <c r="AF27" s="169">
        <f t="shared" si="23"/>
        <v>0</v>
      </c>
      <c r="AG27" s="170">
        <f t="shared" si="24"/>
        <v>0</v>
      </c>
      <c r="AH27" s="158"/>
      <c r="AI27" s="159"/>
      <c r="AJ27" s="159"/>
      <c r="AK27" s="169">
        <f t="shared" si="30"/>
        <v>0</v>
      </c>
      <c r="AL27" s="178">
        <f t="shared" si="31"/>
        <v>0</v>
      </c>
      <c r="AM27" s="179">
        <f t="shared" si="32"/>
        <v>0</v>
      </c>
      <c r="AN27" s="180">
        <f t="shared" si="33"/>
        <v>0</v>
      </c>
      <c r="AO27" s="180">
        <f t="shared" si="34"/>
        <v>0</v>
      </c>
      <c r="AP27" s="181" t="e">
        <f t="shared" si="28"/>
        <v>#DIV/0!</v>
      </c>
      <c r="AQ27" s="76">
        <f t="shared" si="13"/>
        <v>0</v>
      </c>
      <c r="AR27" s="182">
        <f t="shared" si="29"/>
        <v>0</v>
      </c>
    </row>
    <row r="28" spans="1:45" ht="15" x14ac:dyDescent="0.25">
      <c r="A28" s="148" t="str">
        <f t="shared" si="15"/>
        <v>46216M</v>
      </c>
      <c r="B28" s="51">
        <f t="shared" si="35"/>
        <v>46216</v>
      </c>
      <c r="C28" s="157" t="s">
        <v>87</v>
      </c>
      <c r="D28" s="184"/>
      <c r="E28" s="169"/>
      <c r="F28" s="169"/>
      <c r="G28" s="169">
        <f t="shared" si="16"/>
        <v>0</v>
      </c>
      <c r="H28" s="170">
        <f t="shared" si="17"/>
        <v>0</v>
      </c>
      <c r="I28" s="160"/>
      <c r="J28" s="161"/>
      <c r="K28" s="162"/>
      <c r="L28" s="163"/>
      <c r="M28" s="164"/>
      <c r="N28" s="164"/>
      <c r="O28" s="165"/>
      <c r="P28" s="166"/>
      <c r="Q28" s="167"/>
      <c r="R28" s="168">
        <f t="shared" si="18"/>
        <v>0</v>
      </c>
      <c r="S28" s="169">
        <f t="shared" si="19"/>
        <v>0</v>
      </c>
      <c r="T28" s="170">
        <f t="shared" si="20"/>
        <v>0</v>
      </c>
      <c r="U28" s="171"/>
      <c r="V28" s="172"/>
      <c r="W28" s="159"/>
      <c r="X28" s="173"/>
      <c r="Y28" s="174"/>
      <c r="Z28" s="174"/>
      <c r="AA28" s="62">
        <f t="shared" si="36"/>
        <v>0</v>
      </c>
      <c r="AB28" s="63">
        <f t="shared" si="37"/>
        <v>0</v>
      </c>
      <c r="AC28" s="175"/>
      <c r="AD28" s="176"/>
      <c r="AE28" s="176"/>
      <c r="AF28" s="169">
        <f t="shared" si="23"/>
        <v>0</v>
      </c>
      <c r="AG28" s="170">
        <f t="shared" si="24"/>
        <v>0</v>
      </c>
      <c r="AH28" s="158"/>
      <c r="AI28" s="159"/>
      <c r="AJ28" s="159"/>
      <c r="AK28" s="169">
        <f t="shared" si="30"/>
        <v>0</v>
      </c>
      <c r="AL28" s="178">
        <f t="shared" si="31"/>
        <v>0</v>
      </c>
      <c r="AM28" s="179">
        <f t="shared" si="32"/>
        <v>0</v>
      </c>
      <c r="AN28" s="180">
        <f t="shared" si="33"/>
        <v>0</v>
      </c>
      <c r="AO28" s="180">
        <f t="shared" si="34"/>
        <v>0</v>
      </c>
      <c r="AP28" s="181" t="e">
        <f t="shared" si="28"/>
        <v>#DIV/0!</v>
      </c>
      <c r="AQ28" s="76">
        <f t="shared" si="13"/>
        <v>0</v>
      </c>
      <c r="AR28" s="182">
        <f t="shared" si="29"/>
        <v>0</v>
      </c>
    </row>
    <row r="29" spans="1:45" ht="15" x14ac:dyDescent="0.25">
      <c r="A29" s="148" t="str">
        <f t="shared" si="15"/>
        <v>46216E</v>
      </c>
      <c r="B29" s="51">
        <f t="shared" si="35"/>
        <v>46216</v>
      </c>
      <c r="C29" s="157" t="s">
        <v>88</v>
      </c>
      <c r="D29" s="184"/>
      <c r="E29" s="169"/>
      <c r="F29" s="169"/>
      <c r="G29" s="169">
        <f t="shared" si="16"/>
        <v>0</v>
      </c>
      <c r="H29" s="170">
        <f t="shared" si="17"/>
        <v>0</v>
      </c>
      <c r="I29" s="160"/>
      <c r="J29" s="161"/>
      <c r="K29" s="162"/>
      <c r="L29" s="163"/>
      <c r="M29" s="164"/>
      <c r="N29" s="164"/>
      <c r="O29" s="165"/>
      <c r="P29" s="166"/>
      <c r="Q29" s="167"/>
      <c r="R29" s="168">
        <f t="shared" si="18"/>
        <v>0</v>
      </c>
      <c r="S29" s="169">
        <f t="shared" si="19"/>
        <v>0</v>
      </c>
      <c r="T29" s="170">
        <f t="shared" si="20"/>
        <v>0</v>
      </c>
      <c r="U29" s="171"/>
      <c r="V29" s="172"/>
      <c r="W29" s="159"/>
      <c r="X29" s="173"/>
      <c r="Y29" s="174"/>
      <c r="Z29" s="174"/>
      <c r="AA29" s="62">
        <f t="shared" si="36"/>
        <v>0</v>
      </c>
      <c r="AB29" s="63">
        <f t="shared" si="37"/>
        <v>0</v>
      </c>
      <c r="AC29" s="175"/>
      <c r="AD29" s="176"/>
      <c r="AE29" s="176"/>
      <c r="AF29" s="169">
        <f t="shared" si="23"/>
        <v>0</v>
      </c>
      <c r="AG29" s="170">
        <f t="shared" si="24"/>
        <v>0</v>
      </c>
      <c r="AH29" s="158"/>
      <c r="AI29" s="159"/>
      <c r="AJ29" s="159"/>
      <c r="AK29" s="169">
        <f t="shared" si="30"/>
        <v>0</v>
      </c>
      <c r="AL29" s="178">
        <f t="shared" si="31"/>
        <v>0</v>
      </c>
      <c r="AM29" s="179">
        <f t="shared" si="32"/>
        <v>0</v>
      </c>
      <c r="AN29" s="180">
        <f t="shared" si="33"/>
        <v>0</v>
      </c>
      <c r="AO29" s="180">
        <f t="shared" si="34"/>
        <v>0</v>
      </c>
      <c r="AP29" s="181" t="e">
        <f t="shared" si="28"/>
        <v>#DIV/0!</v>
      </c>
      <c r="AQ29" s="76">
        <f t="shared" si="13"/>
        <v>0</v>
      </c>
      <c r="AR29" s="182">
        <f t="shared" si="29"/>
        <v>0</v>
      </c>
    </row>
    <row r="30" spans="1:45" ht="15" x14ac:dyDescent="0.25">
      <c r="A30" s="148" t="str">
        <f t="shared" si="15"/>
        <v>46217M</v>
      </c>
      <c r="B30" s="51">
        <f t="shared" si="35"/>
        <v>46217</v>
      </c>
      <c r="C30" s="157" t="s">
        <v>87</v>
      </c>
      <c r="D30" s="79"/>
      <c r="E30" s="62"/>
      <c r="F30" s="62"/>
      <c r="G30" s="169">
        <f t="shared" si="16"/>
        <v>0</v>
      </c>
      <c r="H30" s="170">
        <f t="shared" si="17"/>
        <v>0</v>
      </c>
      <c r="I30" s="160"/>
      <c r="J30" s="161"/>
      <c r="K30" s="162"/>
      <c r="L30" s="163"/>
      <c r="M30" s="164"/>
      <c r="N30" s="164"/>
      <c r="O30" s="165"/>
      <c r="P30" s="166"/>
      <c r="Q30" s="167"/>
      <c r="R30" s="168">
        <f t="shared" si="18"/>
        <v>0</v>
      </c>
      <c r="S30" s="169">
        <f t="shared" si="19"/>
        <v>0</v>
      </c>
      <c r="T30" s="170">
        <f t="shared" si="20"/>
        <v>0</v>
      </c>
      <c r="U30" s="64"/>
      <c r="V30" s="65"/>
      <c r="W30" s="66"/>
      <c r="X30" s="67"/>
      <c r="Y30" s="68"/>
      <c r="Z30" s="68"/>
      <c r="AA30" s="62">
        <f t="shared" si="36"/>
        <v>0</v>
      </c>
      <c r="AB30" s="63">
        <f t="shared" si="37"/>
        <v>0</v>
      </c>
      <c r="AC30" s="175"/>
      <c r="AD30" s="176"/>
      <c r="AE30" s="176"/>
      <c r="AF30" s="169">
        <f t="shared" si="23"/>
        <v>0</v>
      </c>
      <c r="AG30" s="170">
        <f t="shared" si="24"/>
        <v>0</v>
      </c>
      <c r="AH30" s="71"/>
      <c r="AI30" s="66"/>
      <c r="AJ30" s="66"/>
      <c r="AK30" s="169">
        <f t="shared" si="30"/>
        <v>0</v>
      </c>
      <c r="AL30" s="178">
        <f t="shared" si="31"/>
        <v>0</v>
      </c>
      <c r="AM30" s="179">
        <f t="shared" si="32"/>
        <v>0</v>
      </c>
      <c r="AN30" s="180">
        <f t="shared" si="33"/>
        <v>0</v>
      </c>
      <c r="AO30" s="180">
        <f t="shared" si="34"/>
        <v>0</v>
      </c>
      <c r="AP30" s="181" t="e">
        <f t="shared" si="28"/>
        <v>#DIV/0!</v>
      </c>
      <c r="AQ30" s="76">
        <f t="shared" si="13"/>
        <v>0</v>
      </c>
      <c r="AR30" s="182">
        <f t="shared" si="29"/>
        <v>0</v>
      </c>
    </row>
    <row r="31" spans="1:45" ht="15" x14ac:dyDescent="0.25">
      <c r="A31" s="148" t="str">
        <f t="shared" si="15"/>
        <v>46217E</v>
      </c>
      <c r="B31" s="51">
        <f t="shared" si="35"/>
        <v>46217</v>
      </c>
      <c r="C31" s="157" t="s">
        <v>88</v>
      </c>
      <c r="D31" s="79"/>
      <c r="E31" s="62"/>
      <c r="F31" s="62"/>
      <c r="G31" s="169">
        <f t="shared" si="16"/>
        <v>0</v>
      </c>
      <c r="H31" s="170">
        <f t="shared" si="17"/>
        <v>0</v>
      </c>
      <c r="I31" s="160"/>
      <c r="J31" s="161"/>
      <c r="K31" s="162"/>
      <c r="L31" s="163"/>
      <c r="M31" s="164"/>
      <c r="N31" s="164"/>
      <c r="O31" s="165"/>
      <c r="P31" s="166"/>
      <c r="Q31" s="167"/>
      <c r="R31" s="168">
        <f t="shared" si="18"/>
        <v>0</v>
      </c>
      <c r="S31" s="169">
        <f t="shared" si="19"/>
        <v>0</v>
      </c>
      <c r="T31" s="170">
        <f t="shared" si="20"/>
        <v>0</v>
      </c>
      <c r="U31" s="64"/>
      <c r="V31" s="85"/>
      <c r="W31" s="66"/>
      <c r="X31" s="67"/>
      <c r="Y31" s="68"/>
      <c r="Z31" s="68"/>
      <c r="AA31" s="62">
        <f t="shared" si="36"/>
        <v>0</v>
      </c>
      <c r="AB31" s="63">
        <f t="shared" si="37"/>
        <v>0</v>
      </c>
      <c r="AC31" s="175"/>
      <c r="AD31" s="176"/>
      <c r="AE31" s="176"/>
      <c r="AF31" s="169">
        <f t="shared" si="23"/>
        <v>0</v>
      </c>
      <c r="AG31" s="170">
        <f t="shared" si="24"/>
        <v>0</v>
      </c>
      <c r="AH31" s="71"/>
      <c r="AI31" s="66"/>
      <c r="AJ31" s="66"/>
      <c r="AK31" s="169">
        <f t="shared" si="30"/>
        <v>0</v>
      </c>
      <c r="AL31" s="178">
        <f t="shared" si="31"/>
        <v>0</v>
      </c>
      <c r="AM31" s="179">
        <f t="shared" si="32"/>
        <v>0</v>
      </c>
      <c r="AN31" s="180">
        <f t="shared" si="33"/>
        <v>0</v>
      </c>
      <c r="AO31" s="180">
        <f t="shared" si="34"/>
        <v>0</v>
      </c>
      <c r="AP31" s="181" t="e">
        <f t="shared" si="28"/>
        <v>#DIV/0!</v>
      </c>
      <c r="AQ31" s="76">
        <f t="shared" si="13"/>
        <v>0</v>
      </c>
      <c r="AR31" s="182">
        <f t="shared" si="29"/>
        <v>0</v>
      </c>
    </row>
    <row r="32" spans="1:45" ht="15" x14ac:dyDescent="0.25">
      <c r="A32" s="148" t="str">
        <f t="shared" si="15"/>
        <v>46218M</v>
      </c>
      <c r="B32" s="51">
        <f t="shared" si="35"/>
        <v>46218</v>
      </c>
      <c r="C32" s="157" t="s">
        <v>87</v>
      </c>
      <c r="D32" s="79"/>
      <c r="E32" s="62"/>
      <c r="F32" s="62"/>
      <c r="G32" s="169">
        <f t="shared" si="16"/>
        <v>0</v>
      </c>
      <c r="H32" s="170">
        <f t="shared" si="17"/>
        <v>0</v>
      </c>
      <c r="I32" s="160"/>
      <c r="J32" s="161"/>
      <c r="K32" s="162"/>
      <c r="L32" s="163"/>
      <c r="M32" s="164"/>
      <c r="N32" s="164"/>
      <c r="O32" s="165"/>
      <c r="P32" s="166"/>
      <c r="Q32" s="167"/>
      <c r="R32" s="168">
        <f t="shared" si="18"/>
        <v>0</v>
      </c>
      <c r="S32" s="169">
        <f t="shared" si="19"/>
        <v>0</v>
      </c>
      <c r="T32" s="170">
        <f t="shared" si="20"/>
        <v>0</v>
      </c>
      <c r="U32" s="64"/>
      <c r="V32" s="65"/>
      <c r="W32" s="66"/>
      <c r="X32" s="67"/>
      <c r="Y32" s="68"/>
      <c r="Z32" s="68"/>
      <c r="AA32" s="62">
        <f t="shared" si="36"/>
        <v>0</v>
      </c>
      <c r="AB32" s="63">
        <f t="shared" si="37"/>
        <v>0</v>
      </c>
      <c r="AC32" s="175"/>
      <c r="AD32" s="176"/>
      <c r="AE32" s="176"/>
      <c r="AF32" s="169">
        <f t="shared" si="23"/>
        <v>0</v>
      </c>
      <c r="AG32" s="170">
        <f t="shared" si="24"/>
        <v>0</v>
      </c>
      <c r="AH32" s="71"/>
      <c r="AI32" s="66"/>
      <c r="AJ32" s="66"/>
      <c r="AK32" s="169">
        <f t="shared" si="30"/>
        <v>0</v>
      </c>
      <c r="AL32" s="178">
        <f t="shared" si="31"/>
        <v>0</v>
      </c>
      <c r="AM32" s="179">
        <f t="shared" si="32"/>
        <v>0</v>
      </c>
      <c r="AN32" s="180">
        <f t="shared" si="33"/>
        <v>0</v>
      </c>
      <c r="AO32" s="180">
        <f t="shared" si="34"/>
        <v>0</v>
      </c>
      <c r="AP32" s="181" t="e">
        <f t="shared" si="28"/>
        <v>#DIV/0!</v>
      </c>
      <c r="AQ32" s="76">
        <f t="shared" si="13"/>
        <v>0</v>
      </c>
      <c r="AR32" s="182">
        <f t="shared" si="29"/>
        <v>0</v>
      </c>
    </row>
    <row r="33" spans="1:44" ht="15" x14ac:dyDescent="0.25">
      <c r="A33" s="148" t="str">
        <f t="shared" si="15"/>
        <v>46218E</v>
      </c>
      <c r="B33" s="51">
        <f t="shared" si="35"/>
        <v>46218</v>
      </c>
      <c r="C33" s="157" t="s">
        <v>88</v>
      </c>
      <c r="D33" s="79"/>
      <c r="E33" s="62"/>
      <c r="F33" s="62"/>
      <c r="G33" s="169">
        <f t="shared" si="16"/>
        <v>0</v>
      </c>
      <c r="H33" s="170">
        <f t="shared" si="17"/>
        <v>0</v>
      </c>
      <c r="I33" s="160"/>
      <c r="J33" s="161"/>
      <c r="K33" s="162"/>
      <c r="L33" s="163"/>
      <c r="M33" s="164"/>
      <c r="N33" s="164"/>
      <c r="O33" s="165"/>
      <c r="P33" s="166"/>
      <c r="Q33" s="167"/>
      <c r="R33" s="168">
        <f t="shared" si="18"/>
        <v>0</v>
      </c>
      <c r="S33" s="169">
        <f t="shared" si="19"/>
        <v>0</v>
      </c>
      <c r="T33" s="170">
        <f t="shared" si="20"/>
        <v>0</v>
      </c>
      <c r="U33" s="64"/>
      <c r="V33" s="65"/>
      <c r="W33" s="66"/>
      <c r="X33" s="67"/>
      <c r="Y33" s="68"/>
      <c r="Z33" s="68"/>
      <c r="AA33" s="62">
        <f t="shared" si="36"/>
        <v>0</v>
      </c>
      <c r="AB33" s="63">
        <f t="shared" si="37"/>
        <v>0</v>
      </c>
      <c r="AC33" s="175"/>
      <c r="AD33" s="176"/>
      <c r="AE33" s="176"/>
      <c r="AF33" s="169">
        <f t="shared" si="23"/>
        <v>0</v>
      </c>
      <c r="AG33" s="170">
        <f t="shared" si="24"/>
        <v>0</v>
      </c>
      <c r="AH33" s="71"/>
      <c r="AI33" s="66"/>
      <c r="AJ33" s="66"/>
      <c r="AK33" s="169">
        <f t="shared" si="30"/>
        <v>0</v>
      </c>
      <c r="AL33" s="178">
        <f t="shared" si="31"/>
        <v>0</v>
      </c>
      <c r="AM33" s="179">
        <f t="shared" si="32"/>
        <v>0</v>
      </c>
      <c r="AN33" s="180">
        <f t="shared" si="33"/>
        <v>0</v>
      </c>
      <c r="AO33" s="180">
        <f t="shared" si="34"/>
        <v>0</v>
      </c>
      <c r="AP33" s="181" t="e">
        <f t="shared" si="28"/>
        <v>#DIV/0!</v>
      </c>
      <c r="AQ33" s="76">
        <f t="shared" si="13"/>
        <v>0</v>
      </c>
      <c r="AR33" s="182">
        <f t="shared" si="29"/>
        <v>0</v>
      </c>
    </row>
    <row r="34" spans="1:44" ht="15" x14ac:dyDescent="0.25">
      <c r="A34" s="148" t="str">
        <f t="shared" si="15"/>
        <v>46219M</v>
      </c>
      <c r="B34" s="51">
        <f t="shared" si="35"/>
        <v>46219</v>
      </c>
      <c r="C34" s="157" t="s">
        <v>87</v>
      </c>
      <c r="D34" s="79"/>
      <c r="E34" s="62"/>
      <c r="F34" s="62"/>
      <c r="G34" s="169">
        <f t="shared" si="16"/>
        <v>0</v>
      </c>
      <c r="H34" s="170">
        <f t="shared" si="17"/>
        <v>0</v>
      </c>
      <c r="I34" s="160"/>
      <c r="J34" s="161"/>
      <c r="K34" s="162"/>
      <c r="L34" s="163"/>
      <c r="M34" s="164"/>
      <c r="N34" s="164"/>
      <c r="O34" s="165"/>
      <c r="P34" s="166"/>
      <c r="Q34" s="167"/>
      <c r="R34" s="168">
        <f t="shared" si="18"/>
        <v>0</v>
      </c>
      <c r="S34" s="169">
        <f t="shared" si="19"/>
        <v>0</v>
      </c>
      <c r="T34" s="170">
        <f t="shared" si="20"/>
        <v>0</v>
      </c>
      <c r="U34" s="64"/>
      <c r="V34" s="65"/>
      <c r="W34" s="66"/>
      <c r="X34" s="67"/>
      <c r="Y34" s="68"/>
      <c r="Z34" s="68"/>
      <c r="AA34" s="62">
        <f t="shared" si="36"/>
        <v>0</v>
      </c>
      <c r="AB34" s="63">
        <f t="shared" si="37"/>
        <v>0</v>
      </c>
      <c r="AC34" s="175"/>
      <c r="AD34" s="176"/>
      <c r="AE34" s="176"/>
      <c r="AF34" s="169">
        <f t="shared" si="23"/>
        <v>0</v>
      </c>
      <c r="AG34" s="170">
        <f t="shared" si="24"/>
        <v>0</v>
      </c>
      <c r="AH34" s="71"/>
      <c r="AI34" s="66"/>
      <c r="AJ34" s="66"/>
      <c r="AK34" s="169">
        <f t="shared" si="30"/>
        <v>0</v>
      </c>
      <c r="AL34" s="178">
        <f t="shared" si="31"/>
        <v>0</v>
      </c>
      <c r="AM34" s="179">
        <f t="shared" si="32"/>
        <v>0</v>
      </c>
      <c r="AN34" s="180">
        <f t="shared" si="33"/>
        <v>0</v>
      </c>
      <c r="AO34" s="180">
        <f t="shared" si="34"/>
        <v>0</v>
      </c>
      <c r="AP34" s="181" t="e">
        <f t="shared" si="28"/>
        <v>#DIV/0!</v>
      </c>
      <c r="AQ34" s="76">
        <f t="shared" si="13"/>
        <v>0</v>
      </c>
      <c r="AR34" s="182">
        <f t="shared" si="29"/>
        <v>0</v>
      </c>
    </row>
    <row r="35" spans="1:44" ht="15" x14ac:dyDescent="0.25">
      <c r="A35" s="148" t="str">
        <f t="shared" si="15"/>
        <v>46219E</v>
      </c>
      <c r="B35" s="51">
        <f t="shared" si="35"/>
        <v>46219</v>
      </c>
      <c r="C35" s="157" t="s">
        <v>88</v>
      </c>
      <c r="D35" s="79"/>
      <c r="E35" s="62"/>
      <c r="F35" s="62"/>
      <c r="G35" s="169">
        <f t="shared" si="16"/>
        <v>0</v>
      </c>
      <c r="H35" s="170">
        <f t="shared" si="17"/>
        <v>0</v>
      </c>
      <c r="I35" s="160"/>
      <c r="J35" s="161"/>
      <c r="K35" s="162"/>
      <c r="L35" s="163"/>
      <c r="M35" s="164"/>
      <c r="N35" s="164"/>
      <c r="O35" s="165"/>
      <c r="P35" s="166"/>
      <c r="Q35" s="167"/>
      <c r="R35" s="168">
        <f t="shared" si="18"/>
        <v>0</v>
      </c>
      <c r="S35" s="169">
        <f t="shared" si="19"/>
        <v>0</v>
      </c>
      <c r="T35" s="170">
        <f t="shared" si="20"/>
        <v>0</v>
      </c>
      <c r="U35" s="64"/>
      <c r="V35" s="65"/>
      <c r="W35" s="66"/>
      <c r="X35" s="67"/>
      <c r="Y35" s="68"/>
      <c r="Z35" s="68"/>
      <c r="AA35" s="62">
        <f t="shared" si="36"/>
        <v>0</v>
      </c>
      <c r="AB35" s="63">
        <f t="shared" si="37"/>
        <v>0</v>
      </c>
      <c r="AC35" s="175"/>
      <c r="AD35" s="176"/>
      <c r="AE35" s="176"/>
      <c r="AF35" s="169">
        <f t="shared" si="23"/>
        <v>0</v>
      </c>
      <c r="AG35" s="170">
        <f t="shared" si="24"/>
        <v>0</v>
      </c>
      <c r="AH35" s="71"/>
      <c r="AI35" s="66"/>
      <c r="AJ35" s="66"/>
      <c r="AK35" s="169">
        <f t="shared" si="30"/>
        <v>0</v>
      </c>
      <c r="AL35" s="178">
        <f t="shared" si="31"/>
        <v>0</v>
      </c>
      <c r="AM35" s="179">
        <f t="shared" si="32"/>
        <v>0</v>
      </c>
      <c r="AN35" s="180">
        <f t="shared" si="33"/>
        <v>0</v>
      </c>
      <c r="AO35" s="180">
        <f t="shared" si="34"/>
        <v>0</v>
      </c>
      <c r="AP35" s="181" t="e">
        <f t="shared" si="28"/>
        <v>#DIV/0!</v>
      </c>
      <c r="AQ35" s="76">
        <f t="shared" si="13"/>
        <v>0</v>
      </c>
      <c r="AR35" s="182">
        <f t="shared" si="29"/>
        <v>0</v>
      </c>
    </row>
    <row r="36" spans="1:44" ht="15" x14ac:dyDescent="0.25">
      <c r="A36" s="148" t="str">
        <f t="shared" si="15"/>
        <v>46220M</v>
      </c>
      <c r="B36" s="51">
        <f t="shared" si="35"/>
        <v>46220</v>
      </c>
      <c r="C36" s="157" t="s">
        <v>87</v>
      </c>
      <c r="D36" s="79"/>
      <c r="E36" s="62"/>
      <c r="F36" s="62"/>
      <c r="G36" s="169">
        <f t="shared" si="16"/>
        <v>0</v>
      </c>
      <c r="H36" s="170">
        <f t="shared" si="17"/>
        <v>0</v>
      </c>
      <c r="I36" s="160"/>
      <c r="J36" s="161"/>
      <c r="K36" s="162"/>
      <c r="L36" s="163"/>
      <c r="M36" s="58"/>
      <c r="N36" s="58"/>
      <c r="O36" s="59"/>
      <c r="P36" s="56"/>
      <c r="Q36" s="60"/>
      <c r="R36" s="168">
        <f t="shared" si="18"/>
        <v>0</v>
      </c>
      <c r="S36" s="169">
        <f t="shared" si="19"/>
        <v>0</v>
      </c>
      <c r="T36" s="170">
        <f t="shared" si="20"/>
        <v>0</v>
      </c>
      <c r="U36" s="64"/>
      <c r="V36" s="85"/>
      <c r="W36" s="66"/>
      <c r="X36" s="67"/>
      <c r="Y36" s="68"/>
      <c r="Z36" s="68"/>
      <c r="AA36" s="62">
        <f t="shared" si="36"/>
        <v>0</v>
      </c>
      <c r="AB36" s="63">
        <f t="shared" si="37"/>
        <v>0</v>
      </c>
      <c r="AC36" s="175"/>
      <c r="AD36" s="176"/>
      <c r="AE36" s="176"/>
      <c r="AF36" s="169">
        <f t="shared" si="23"/>
        <v>0</v>
      </c>
      <c r="AG36" s="170">
        <f t="shared" si="24"/>
        <v>0</v>
      </c>
      <c r="AH36" s="71"/>
      <c r="AI36" s="66"/>
      <c r="AJ36" s="66"/>
      <c r="AK36" s="169">
        <f t="shared" si="30"/>
        <v>0</v>
      </c>
      <c r="AL36" s="178">
        <f t="shared" si="31"/>
        <v>0</v>
      </c>
      <c r="AM36" s="179">
        <f t="shared" si="32"/>
        <v>0</v>
      </c>
      <c r="AN36" s="180">
        <f t="shared" si="33"/>
        <v>0</v>
      </c>
      <c r="AO36" s="180">
        <f t="shared" si="34"/>
        <v>0</v>
      </c>
      <c r="AP36" s="181" t="e">
        <f t="shared" si="28"/>
        <v>#DIV/0!</v>
      </c>
      <c r="AQ36" s="76">
        <f t="shared" si="13"/>
        <v>0</v>
      </c>
      <c r="AR36" s="182">
        <f t="shared" si="29"/>
        <v>0</v>
      </c>
    </row>
    <row r="37" spans="1:44" ht="15" x14ac:dyDescent="0.25">
      <c r="A37" s="148" t="str">
        <f t="shared" si="15"/>
        <v>46220E</v>
      </c>
      <c r="B37" s="51">
        <f t="shared" si="35"/>
        <v>46220</v>
      </c>
      <c r="C37" s="157" t="s">
        <v>88</v>
      </c>
      <c r="D37" s="79"/>
      <c r="E37" s="62"/>
      <c r="F37" s="62"/>
      <c r="G37" s="169">
        <f t="shared" si="16"/>
        <v>0</v>
      </c>
      <c r="H37" s="170">
        <f t="shared" si="17"/>
        <v>0</v>
      </c>
      <c r="I37" s="160"/>
      <c r="J37" s="161"/>
      <c r="K37" s="162"/>
      <c r="L37" s="163"/>
      <c r="M37" s="58"/>
      <c r="N37" s="58"/>
      <c r="O37" s="59"/>
      <c r="P37" s="56"/>
      <c r="Q37" s="60"/>
      <c r="R37" s="168">
        <f t="shared" si="18"/>
        <v>0</v>
      </c>
      <c r="S37" s="169">
        <f t="shared" si="19"/>
        <v>0</v>
      </c>
      <c r="T37" s="170">
        <f t="shared" si="20"/>
        <v>0</v>
      </c>
      <c r="U37" s="64"/>
      <c r="V37" s="65"/>
      <c r="W37" s="66"/>
      <c r="X37" s="67"/>
      <c r="Y37" s="68"/>
      <c r="Z37" s="68"/>
      <c r="AA37" s="62">
        <f t="shared" si="36"/>
        <v>0</v>
      </c>
      <c r="AB37" s="63">
        <f t="shared" si="37"/>
        <v>0</v>
      </c>
      <c r="AC37" s="175"/>
      <c r="AD37" s="176"/>
      <c r="AE37" s="176"/>
      <c r="AF37" s="169">
        <f t="shared" si="23"/>
        <v>0</v>
      </c>
      <c r="AG37" s="170">
        <f t="shared" si="24"/>
        <v>0</v>
      </c>
      <c r="AH37" s="71"/>
      <c r="AI37" s="66"/>
      <c r="AJ37" s="66"/>
      <c r="AK37" s="169">
        <f t="shared" si="30"/>
        <v>0</v>
      </c>
      <c r="AL37" s="178">
        <f t="shared" si="31"/>
        <v>0</v>
      </c>
      <c r="AM37" s="179">
        <f t="shared" si="32"/>
        <v>0</v>
      </c>
      <c r="AN37" s="180">
        <f t="shared" si="33"/>
        <v>0</v>
      </c>
      <c r="AO37" s="180">
        <f t="shared" si="34"/>
        <v>0</v>
      </c>
      <c r="AP37" s="181" t="e">
        <f t="shared" si="28"/>
        <v>#DIV/0!</v>
      </c>
      <c r="AQ37" s="76">
        <f t="shared" si="13"/>
        <v>0</v>
      </c>
      <c r="AR37" s="182">
        <f t="shared" si="29"/>
        <v>0</v>
      </c>
    </row>
    <row r="38" spans="1:44" ht="15" x14ac:dyDescent="0.25">
      <c r="A38" s="148" t="str">
        <f t="shared" si="15"/>
        <v>46221M</v>
      </c>
      <c r="B38" s="51">
        <f t="shared" si="35"/>
        <v>46221</v>
      </c>
      <c r="C38" s="157" t="s">
        <v>87</v>
      </c>
      <c r="D38" s="79"/>
      <c r="E38" s="62"/>
      <c r="F38" s="62"/>
      <c r="G38" s="169">
        <f t="shared" si="16"/>
        <v>0</v>
      </c>
      <c r="H38" s="170">
        <f t="shared" si="17"/>
        <v>0</v>
      </c>
      <c r="I38" s="160"/>
      <c r="J38" s="161"/>
      <c r="K38" s="162"/>
      <c r="L38" s="163"/>
      <c r="M38" s="58"/>
      <c r="N38" s="58"/>
      <c r="O38" s="59"/>
      <c r="P38" s="56"/>
      <c r="Q38" s="60"/>
      <c r="R38" s="168">
        <f t="shared" si="18"/>
        <v>0</v>
      </c>
      <c r="S38" s="169">
        <f t="shared" si="19"/>
        <v>0</v>
      </c>
      <c r="T38" s="170">
        <f t="shared" si="20"/>
        <v>0</v>
      </c>
      <c r="U38" s="64"/>
      <c r="V38" s="65"/>
      <c r="W38" s="66"/>
      <c r="X38" s="67"/>
      <c r="Y38" s="68"/>
      <c r="Z38" s="68"/>
      <c r="AA38" s="62">
        <f t="shared" si="36"/>
        <v>0</v>
      </c>
      <c r="AB38" s="63">
        <f t="shared" si="37"/>
        <v>0</v>
      </c>
      <c r="AC38" s="175"/>
      <c r="AD38" s="176"/>
      <c r="AE38" s="176"/>
      <c r="AF38" s="169">
        <f t="shared" si="23"/>
        <v>0</v>
      </c>
      <c r="AG38" s="170">
        <f t="shared" si="24"/>
        <v>0</v>
      </c>
      <c r="AH38" s="71"/>
      <c r="AI38" s="66"/>
      <c r="AJ38" s="66"/>
      <c r="AK38" s="169">
        <f t="shared" si="30"/>
        <v>0</v>
      </c>
      <c r="AL38" s="178">
        <f t="shared" si="31"/>
        <v>0</v>
      </c>
      <c r="AM38" s="179">
        <f t="shared" si="32"/>
        <v>0</v>
      </c>
      <c r="AN38" s="180">
        <f t="shared" si="33"/>
        <v>0</v>
      </c>
      <c r="AO38" s="180">
        <f t="shared" si="34"/>
        <v>0</v>
      </c>
      <c r="AP38" s="181" t="e">
        <f t="shared" si="28"/>
        <v>#DIV/0!</v>
      </c>
      <c r="AQ38" s="76">
        <f t="shared" si="13"/>
        <v>0</v>
      </c>
      <c r="AR38" s="182">
        <f t="shared" si="29"/>
        <v>0</v>
      </c>
    </row>
    <row r="39" spans="1:44" ht="15" x14ac:dyDescent="0.25">
      <c r="A39" s="148" t="str">
        <f t="shared" si="15"/>
        <v>46221E</v>
      </c>
      <c r="B39" s="51">
        <f t="shared" si="35"/>
        <v>46221</v>
      </c>
      <c r="C39" s="157" t="s">
        <v>88</v>
      </c>
      <c r="D39" s="79"/>
      <c r="E39" s="62"/>
      <c r="F39" s="62"/>
      <c r="G39" s="169">
        <f t="shared" si="16"/>
        <v>0</v>
      </c>
      <c r="H39" s="170">
        <f t="shared" si="17"/>
        <v>0</v>
      </c>
      <c r="I39" s="160"/>
      <c r="J39" s="161"/>
      <c r="K39" s="162"/>
      <c r="L39" s="163"/>
      <c r="M39" s="58"/>
      <c r="N39" s="58"/>
      <c r="O39" s="59"/>
      <c r="P39" s="56"/>
      <c r="Q39" s="60"/>
      <c r="R39" s="168">
        <f t="shared" si="18"/>
        <v>0</v>
      </c>
      <c r="S39" s="169">
        <f t="shared" si="19"/>
        <v>0</v>
      </c>
      <c r="T39" s="170">
        <f t="shared" si="20"/>
        <v>0</v>
      </c>
      <c r="U39" s="64"/>
      <c r="V39" s="65"/>
      <c r="W39" s="66"/>
      <c r="X39" s="67"/>
      <c r="Y39" s="68"/>
      <c r="Z39" s="68"/>
      <c r="AA39" s="62">
        <f t="shared" si="36"/>
        <v>0</v>
      </c>
      <c r="AB39" s="63">
        <f t="shared" si="37"/>
        <v>0</v>
      </c>
      <c r="AC39" s="175"/>
      <c r="AD39" s="176"/>
      <c r="AE39" s="176"/>
      <c r="AF39" s="169">
        <f t="shared" si="23"/>
        <v>0</v>
      </c>
      <c r="AG39" s="170">
        <f t="shared" si="24"/>
        <v>0</v>
      </c>
      <c r="AH39" s="71"/>
      <c r="AI39" s="66"/>
      <c r="AJ39" s="66"/>
      <c r="AK39" s="169">
        <f t="shared" si="30"/>
        <v>0</v>
      </c>
      <c r="AL39" s="178">
        <f t="shared" si="31"/>
        <v>0</v>
      </c>
      <c r="AM39" s="179">
        <f t="shared" si="32"/>
        <v>0</v>
      </c>
      <c r="AN39" s="180">
        <f t="shared" si="33"/>
        <v>0</v>
      </c>
      <c r="AO39" s="180">
        <f t="shared" si="34"/>
        <v>0</v>
      </c>
      <c r="AP39" s="181" t="e">
        <f t="shared" si="28"/>
        <v>#DIV/0!</v>
      </c>
      <c r="AQ39" s="76">
        <f t="shared" si="13"/>
        <v>0</v>
      </c>
      <c r="AR39" s="182">
        <f t="shared" si="29"/>
        <v>0</v>
      </c>
    </row>
    <row r="40" spans="1:44" ht="15" x14ac:dyDescent="0.25">
      <c r="A40" s="148" t="str">
        <f t="shared" si="15"/>
        <v>46222M</v>
      </c>
      <c r="B40" s="51">
        <f t="shared" si="35"/>
        <v>46222</v>
      </c>
      <c r="C40" s="157" t="s">
        <v>87</v>
      </c>
      <c r="D40" s="79"/>
      <c r="E40" s="62"/>
      <c r="F40" s="62"/>
      <c r="G40" s="169">
        <f t="shared" si="16"/>
        <v>0</v>
      </c>
      <c r="H40" s="170">
        <f t="shared" si="17"/>
        <v>0</v>
      </c>
      <c r="I40" s="160"/>
      <c r="J40" s="161"/>
      <c r="K40" s="162"/>
      <c r="L40" s="163"/>
      <c r="M40" s="58"/>
      <c r="N40" s="58"/>
      <c r="O40" s="59"/>
      <c r="P40" s="56"/>
      <c r="Q40" s="60"/>
      <c r="R40" s="168">
        <f t="shared" si="18"/>
        <v>0</v>
      </c>
      <c r="S40" s="169">
        <f t="shared" si="19"/>
        <v>0</v>
      </c>
      <c r="T40" s="170">
        <f t="shared" si="20"/>
        <v>0</v>
      </c>
      <c r="U40" s="64"/>
      <c r="V40" s="65"/>
      <c r="W40" s="66"/>
      <c r="X40" s="67"/>
      <c r="Y40" s="68"/>
      <c r="Z40" s="68"/>
      <c r="AA40" s="62">
        <f t="shared" si="36"/>
        <v>0</v>
      </c>
      <c r="AB40" s="63">
        <f t="shared" si="37"/>
        <v>0</v>
      </c>
      <c r="AC40" s="175"/>
      <c r="AD40" s="176"/>
      <c r="AE40" s="176"/>
      <c r="AF40" s="169">
        <f t="shared" si="23"/>
        <v>0</v>
      </c>
      <c r="AG40" s="170">
        <f t="shared" si="24"/>
        <v>0</v>
      </c>
      <c r="AH40" s="71"/>
      <c r="AI40" s="66"/>
      <c r="AJ40" s="66"/>
      <c r="AK40" s="169">
        <f t="shared" si="30"/>
        <v>0</v>
      </c>
      <c r="AL40" s="178">
        <f t="shared" si="31"/>
        <v>0</v>
      </c>
      <c r="AM40" s="179">
        <f t="shared" si="32"/>
        <v>0</v>
      </c>
      <c r="AN40" s="180">
        <f t="shared" si="33"/>
        <v>0</v>
      </c>
      <c r="AO40" s="180">
        <f t="shared" si="34"/>
        <v>0</v>
      </c>
      <c r="AP40" s="181" t="e">
        <f t="shared" si="28"/>
        <v>#DIV/0!</v>
      </c>
      <c r="AQ40" s="76">
        <f t="shared" si="13"/>
        <v>0</v>
      </c>
      <c r="AR40" s="182">
        <f t="shared" si="29"/>
        <v>0</v>
      </c>
    </row>
    <row r="41" spans="1:44" ht="15" x14ac:dyDescent="0.25">
      <c r="A41" s="148" t="str">
        <f t="shared" si="15"/>
        <v>46222E</v>
      </c>
      <c r="B41" s="51">
        <f t="shared" si="35"/>
        <v>46222</v>
      </c>
      <c r="C41" s="157" t="s">
        <v>88</v>
      </c>
      <c r="D41" s="79"/>
      <c r="E41" s="62"/>
      <c r="F41" s="62"/>
      <c r="G41" s="169">
        <f t="shared" si="16"/>
        <v>0</v>
      </c>
      <c r="H41" s="170">
        <f t="shared" si="17"/>
        <v>0</v>
      </c>
      <c r="I41" s="160"/>
      <c r="J41" s="161"/>
      <c r="K41" s="162"/>
      <c r="L41" s="163"/>
      <c r="M41" s="58"/>
      <c r="N41" s="58"/>
      <c r="O41" s="59"/>
      <c r="P41" s="56"/>
      <c r="Q41" s="60"/>
      <c r="R41" s="168">
        <f t="shared" si="18"/>
        <v>0</v>
      </c>
      <c r="S41" s="169">
        <f t="shared" si="19"/>
        <v>0</v>
      </c>
      <c r="T41" s="170">
        <f t="shared" si="20"/>
        <v>0</v>
      </c>
      <c r="U41" s="64"/>
      <c r="V41" s="65"/>
      <c r="W41" s="66"/>
      <c r="X41" s="67"/>
      <c r="Y41" s="68"/>
      <c r="Z41" s="68"/>
      <c r="AA41" s="62">
        <f t="shared" si="36"/>
        <v>0</v>
      </c>
      <c r="AB41" s="63">
        <f t="shared" si="37"/>
        <v>0</v>
      </c>
      <c r="AC41" s="175"/>
      <c r="AD41" s="176"/>
      <c r="AE41" s="176"/>
      <c r="AF41" s="169">
        <f t="shared" si="23"/>
        <v>0</v>
      </c>
      <c r="AG41" s="170">
        <f t="shared" si="24"/>
        <v>0</v>
      </c>
      <c r="AH41" s="71"/>
      <c r="AI41" s="66"/>
      <c r="AJ41" s="66"/>
      <c r="AK41" s="169">
        <f t="shared" si="30"/>
        <v>0</v>
      </c>
      <c r="AL41" s="178">
        <f t="shared" si="31"/>
        <v>0</v>
      </c>
      <c r="AM41" s="179">
        <f t="shared" si="32"/>
        <v>0</v>
      </c>
      <c r="AN41" s="180">
        <f t="shared" si="33"/>
        <v>0</v>
      </c>
      <c r="AO41" s="180">
        <f t="shared" si="34"/>
        <v>0</v>
      </c>
      <c r="AP41" s="181" t="e">
        <f t="shared" si="28"/>
        <v>#DIV/0!</v>
      </c>
      <c r="AQ41" s="76">
        <f t="shared" si="13"/>
        <v>0</v>
      </c>
      <c r="AR41" s="182">
        <f t="shared" si="29"/>
        <v>0</v>
      </c>
    </row>
    <row r="42" spans="1:44" ht="15" x14ac:dyDescent="0.25">
      <c r="A42" s="148" t="str">
        <f t="shared" si="15"/>
        <v>46223M</v>
      </c>
      <c r="B42" s="51">
        <f t="shared" si="35"/>
        <v>46223</v>
      </c>
      <c r="C42" s="157" t="s">
        <v>87</v>
      </c>
      <c r="D42" s="79"/>
      <c r="E42" s="62"/>
      <c r="F42" s="62"/>
      <c r="G42" s="169">
        <f t="shared" si="16"/>
        <v>0</v>
      </c>
      <c r="H42" s="170">
        <f t="shared" si="17"/>
        <v>0</v>
      </c>
      <c r="I42" s="160"/>
      <c r="J42" s="161"/>
      <c r="K42" s="162"/>
      <c r="L42" s="163"/>
      <c r="M42" s="58"/>
      <c r="N42" s="58"/>
      <c r="O42" s="59"/>
      <c r="P42" s="56"/>
      <c r="Q42" s="60"/>
      <c r="R42" s="168">
        <f t="shared" si="18"/>
        <v>0</v>
      </c>
      <c r="S42" s="169">
        <f t="shared" si="19"/>
        <v>0</v>
      </c>
      <c r="T42" s="170">
        <f t="shared" si="20"/>
        <v>0</v>
      </c>
      <c r="U42" s="64"/>
      <c r="V42" s="65"/>
      <c r="W42" s="66"/>
      <c r="X42" s="67"/>
      <c r="Y42" s="68"/>
      <c r="Z42" s="68"/>
      <c r="AA42" s="62">
        <f t="shared" si="36"/>
        <v>0</v>
      </c>
      <c r="AB42" s="63">
        <f t="shared" si="37"/>
        <v>0</v>
      </c>
      <c r="AC42" s="175"/>
      <c r="AD42" s="176"/>
      <c r="AE42" s="176"/>
      <c r="AF42" s="169">
        <f t="shared" si="23"/>
        <v>0</v>
      </c>
      <c r="AG42" s="170">
        <f t="shared" si="24"/>
        <v>0</v>
      </c>
      <c r="AH42" s="71"/>
      <c r="AI42" s="66"/>
      <c r="AJ42" s="66"/>
      <c r="AK42" s="169">
        <f t="shared" si="30"/>
        <v>0</v>
      </c>
      <c r="AL42" s="178">
        <f t="shared" si="31"/>
        <v>0</v>
      </c>
      <c r="AM42" s="179">
        <f t="shared" si="32"/>
        <v>0</v>
      </c>
      <c r="AN42" s="180">
        <f t="shared" si="33"/>
        <v>0</v>
      </c>
      <c r="AO42" s="180">
        <f t="shared" si="34"/>
        <v>0</v>
      </c>
      <c r="AP42" s="181" t="e">
        <f t="shared" si="28"/>
        <v>#DIV/0!</v>
      </c>
      <c r="AQ42" s="76">
        <f t="shared" si="13"/>
        <v>0</v>
      </c>
      <c r="AR42" s="182">
        <f t="shared" si="29"/>
        <v>0</v>
      </c>
    </row>
    <row r="43" spans="1:44" ht="15" x14ac:dyDescent="0.25">
      <c r="A43" s="148" t="str">
        <f t="shared" si="15"/>
        <v>46223E</v>
      </c>
      <c r="B43" s="51">
        <f t="shared" si="35"/>
        <v>46223</v>
      </c>
      <c r="C43" s="157" t="s">
        <v>88</v>
      </c>
      <c r="D43" s="79"/>
      <c r="E43" s="62"/>
      <c r="F43" s="62"/>
      <c r="G43" s="169">
        <f t="shared" si="16"/>
        <v>0</v>
      </c>
      <c r="H43" s="170">
        <f t="shared" si="17"/>
        <v>0</v>
      </c>
      <c r="I43" s="160"/>
      <c r="J43" s="161"/>
      <c r="K43" s="162"/>
      <c r="L43" s="163"/>
      <c r="M43" s="58"/>
      <c r="N43" s="58"/>
      <c r="O43" s="59"/>
      <c r="P43" s="56"/>
      <c r="Q43" s="60"/>
      <c r="R43" s="168">
        <f t="shared" si="18"/>
        <v>0</v>
      </c>
      <c r="S43" s="169">
        <f t="shared" si="19"/>
        <v>0</v>
      </c>
      <c r="T43" s="170">
        <f t="shared" si="20"/>
        <v>0</v>
      </c>
      <c r="U43" s="64"/>
      <c r="V43" s="65"/>
      <c r="W43" s="66"/>
      <c r="X43" s="67"/>
      <c r="Y43" s="68"/>
      <c r="Z43" s="68"/>
      <c r="AA43" s="62">
        <f t="shared" si="36"/>
        <v>0</v>
      </c>
      <c r="AB43" s="63">
        <f t="shared" si="37"/>
        <v>0</v>
      </c>
      <c r="AC43" s="175"/>
      <c r="AD43" s="176"/>
      <c r="AE43" s="176"/>
      <c r="AF43" s="169">
        <f t="shared" si="23"/>
        <v>0</v>
      </c>
      <c r="AG43" s="170">
        <f t="shared" si="24"/>
        <v>0</v>
      </c>
      <c r="AH43" s="71"/>
      <c r="AI43" s="66"/>
      <c r="AJ43" s="66"/>
      <c r="AK43" s="169">
        <f t="shared" si="30"/>
        <v>0</v>
      </c>
      <c r="AL43" s="178">
        <f t="shared" si="31"/>
        <v>0</v>
      </c>
      <c r="AM43" s="179">
        <f t="shared" si="32"/>
        <v>0</v>
      </c>
      <c r="AN43" s="180">
        <f t="shared" si="33"/>
        <v>0</v>
      </c>
      <c r="AO43" s="180">
        <f t="shared" si="34"/>
        <v>0</v>
      </c>
      <c r="AP43" s="181" t="e">
        <f t="shared" si="28"/>
        <v>#DIV/0!</v>
      </c>
      <c r="AQ43" s="76">
        <f t="shared" si="13"/>
        <v>0</v>
      </c>
      <c r="AR43" s="182">
        <f t="shared" si="29"/>
        <v>0</v>
      </c>
    </row>
    <row r="44" spans="1:44" ht="15" x14ac:dyDescent="0.25">
      <c r="A44" s="148" t="str">
        <f t="shared" si="15"/>
        <v>46224M</v>
      </c>
      <c r="B44" s="51">
        <f t="shared" si="35"/>
        <v>46224</v>
      </c>
      <c r="C44" s="157" t="s">
        <v>87</v>
      </c>
      <c r="D44" s="79"/>
      <c r="E44" s="62"/>
      <c r="F44" s="62"/>
      <c r="G44" s="169">
        <f t="shared" si="16"/>
        <v>0</v>
      </c>
      <c r="H44" s="170">
        <f t="shared" si="17"/>
        <v>0</v>
      </c>
      <c r="I44" s="160"/>
      <c r="J44" s="161"/>
      <c r="K44" s="162"/>
      <c r="L44" s="163"/>
      <c r="M44" s="58"/>
      <c r="N44" s="58"/>
      <c r="O44" s="59"/>
      <c r="P44" s="56"/>
      <c r="Q44" s="60"/>
      <c r="R44" s="168">
        <f t="shared" si="18"/>
        <v>0</v>
      </c>
      <c r="S44" s="169">
        <f t="shared" si="19"/>
        <v>0</v>
      </c>
      <c r="T44" s="170">
        <f t="shared" si="20"/>
        <v>0</v>
      </c>
      <c r="U44" s="64"/>
      <c r="V44" s="65"/>
      <c r="W44" s="66"/>
      <c r="X44" s="67"/>
      <c r="Y44" s="68"/>
      <c r="Z44" s="68"/>
      <c r="AA44" s="62">
        <f t="shared" si="36"/>
        <v>0</v>
      </c>
      <c r="AB44" s="63">
        <f t="shared" si="37"/>
        <v>0</v>
      </c>
      <c r="AC44" s="175"/>
      <c r="AD44" s="176"/>
      <c r="AE44" s="176"/>
      <c r="AF44" s="169">
        <f t="shared" si="23"/>
        <v>0</v>
      </c>
      <c r="AG44" s="170">
        <f t="shared" si="24"/>
        <v>0</v>
      </c>
      <c r="AH44" s="71"/>
      <c r="AI44" s="66"/>
      <c r="AJ44" s="66"/>
      <c r="AK44" s="169">
        <f t="shared" si="30"/>
        <v>0</v>
      </c>
      <c r="AL44" s="178">
        <f t="shared" si="31"/>
        <v>0</v>
      </c>
      <c r="AM44" s="179">
        <f t="shared" si="32"/>
        <v>0</v>
      </c>
      <c r="AN44" s="180">
        <f t="shared" si="33"/>
        <v>0</v>
      </c>
      <c r="AO44" s="180">
        <f t="shared" si="34"/>
        <v>0</v>
      </c>
      <c r="AP44" s="181" t="e">
        <f t="shared" si="28"/>
        <v>#DIV/0!</v>
      </c>
      <c r="AQ44" s="76">
        <f t="shared" si="13"/>
        <v>0</v>
      </c>
      <c r="AR44" s="182">
        <f t="shared" si="29"/>
        <v>0</v>
      </c>
    </row>
    <row r="45" spans="1:44" ht="15" x14ac:dyDescent="0.25">
      <c r="A45" s="148" t="str">
        <f t="shared" si="15"/>
        <v>46224E</v>
      </c>
      <c r="B45" s="51">
        <f t="shared" si="35"/>
        <v>46224</v>
      </c>
      <c r="C45" s="157" t="s">
        <v>88</v>
      </c>
      <c r="D45" s="79"/>
      <c r="E45" s="62"/>
      <c r="F45" s="62"/>
      <c r="G45" s="169">
        <f t="shared" si="16"/>
        <v>0</v>
      </c>
      <c r="H45" s="170">
        <f t="shared" si="17"/>
        <v>0</v>
      </c>
      <c r="I45" s="160"/>
      <c r="J45" s="161"/>
      <c r="K45" s="162"/>
      <c r="L45" s="163"/>
      <c r="M45" s="58"/>
      <c r="N45" s="58"/>
      <c r="O45" s="59"/>
      <c r="P45" s="56"/>
      <c r="Q45" s="60"/>
      <c r="R45" s="168">
        <f t="shared" si="18"/>
        <v>0</v>
      </c>
      <c r="S45" s="169">
        <f t="shared" si="19"/>
        <v>0</v>
      </c>
      <c r="T45" s="170">
        <f t="shared" si="20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175"/>
      <c r="AD45" s="176"/>
      <c r="AE45" s="176"/>
      <c r="AF45" s="169">
        <f t="shared" si="23"/>
        <v>0</v>
      </c>
      <c r="AG45" s="170">
        <f t="shared" si="24"/>
        <v>0</v>
      </c>
      <c r="AH45" s="71"/>
      <c r="AI45" s="66"/>
      <c r="AJ45" s="66"/>
      <c r="AK45" s="169">
        <f t="shared" si="30"/>
        <v>0</v>
      </c>
      <c r="AL45" s="178">
        <f t="shared" si="31"/>
        <v>0</v>
      </c>
      <c r="AM45" s="179">
        <f t="shared" si="32"/>
        <v>0</v>
      </c>
      <c r="AN45" s="180">
        <f t="shared" si="33"/>
        <v>0</v>
      </c>
      <c r="AO45" s="180">
        <f t="shared" si="34"/>
        <v>0</v>
      </c>
      <c r="AP45" s="181" t="e">
        <f t="shared" si="28"/>
        <v>#DIV/0!</v>
      </c>
      <c r="AQ45" s="76">
        <f t="shared" si="13"/>
        <v>0</v>
      </c>
      <c r="AR45" s="182">
        <f t="shared" si="29"/>
        <v>0</v>
      </c>
    </row>
    <row r="46" spans="1:44" ht="14.25" customHeight="1" x14ac:dyDescent="0.25">
      <c r="A46" s="148" t="str">
        <f t="shared" si="15"/>
        <v>46225M</v>
      </c>
      <c r="B46" s="51">
        <f t="shared" si="35"/>
        <v>46225</v>
      </c>
      <c r="C46" s="157" t="s">
        <v>87</v>
      </c>
      <c r="D46" s="79"/>
      <c r="E46" s="62"/>
      <c r="F46" s="62"/>
      <c r="G46" s="169">
        <f t="shared" si="16"/>
        <v>0</v>
      </c>
      <c r="H46" s="170">
        <f t="shared" si="17"/>
        <v>0</v>
      </c>
      <c r="I46" s="160"/>
      <c r="J46" s="161"/>
      <c r="K46" s="162"/>
      <c r="L46" s="163"/>
      <c r="M46" s="58"/>
      <c r="N46" s="58"/>
      <c r="O46" s="59"/>
      <c r="P46" s="56"/>
      <c r="Q46" s="60"/>
      <c r="R46" s="168">
        <f t="shared" si="18"/>
        <v>0</v>
      </c>
      <c r="S46" s="169">
        <f t="shared" si="19"/>
        <v>0</v>
      </c>
      <c r="T46" s="170">
        <f t="shared" si="20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175"/>
      <c r="AD46" s="176"/>
      <c r="AE46" s="176"/>
      <c r="AF46" s="169">
        <f t="shared" si="23"/>
        <v>0</v>
      </c>
      <c r="AG46" s="170">
        <f t="shared" si="24"/>
        <v>0</v>
      </c>
      <c r="AH46" s="71"/>
      <c r="AI46" s="66"/>
      <c r="AJ46" s="66"/>
      <c r="AK46" s="169">
        <f t="shared" si="30"/>
        <v>0</v>
      </c>
      <c r="AL46" s="178">
        <f t="shared" si="31"/>
        <v>0</v>
      </c>
      <c r="AM46" s="179">
        <f t="shared" si="32"/>
        <v>0</v>
      </c>
      <c r="AN46" s="180">
        <f t="shared" si="33"/>
        <v>0</v>
      </c>
      <c r="AO46" s="180">
        <f t="shared" si="34"/>
        <v>0</v>
      </c>
      <c r="AP46" s="181" t="e">
        <f t="shared" si="28"/>
        <v>#DIV/0!</v>
      </c>
      <c r="AQ46" s="76">
        <f t="shared" si="13"/>
        <v>0</v>
      </c>
      <c r="AR46" s="182">
        <f t="shared" si="29"/>
        <v>0</v>
      </c>
    </row>
    <row r="47" spans="1:44" ht="15" x14ac:dyDescent="0.25">
      <c r="A47" s="148" t="str">
        <f t="shared" si="15"/>
        <v>46225E</v>
      </c>
      <c r="B47" s="51">
        <f t="shared" si="35"/>
        <v>46225</v>
      </c>
      <c r="C47" s="157" t="s">
        <v>88</v>
      </c>
      <c r="D47" s="79"/>
      <c r="E47" s="62"/>
      <c r="F47" s="62"/>
      <c r="G47" s="169">
        <f t="shared" si="16"/>
        <v>0</v>
      </c>
      <c r="H47" s="170">
        <f t="shared" si="17"/>
        <v>0</v>
      </c>
      <c r="I47" s="160"/>
      <c r="J47" s="161"/>
      <c r="K47" s="162"/>
      <c r="L47" s="163"/>
      <c r="M47" s="58"/>
      <c r="N47" s="58"/>
      <c r="O47" s="59"/>
      <c r="P47" s="56"/>
      <c r="Q47" s="60"/>
      <c r="R47" s="168">
        <f t="shared" si="18"/>
        <v>0</v>
      </c>
      <c r="S47" s="169">
        <f t="shared" si="19"/>
        <v>0</v>
      </c>
      <c r="T47" s="170">
        <f t="shared" si="20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175"/>
      <c r="AD47" s="176"/>
      <c r="AE47" s="176"/>
      <c r="AF47" s="169">
        <f t="shared" si="23"/>
        <v>0</v>
      </c>
      <c r="AG47" s="170">
        <f t="shared" si="24"/>
        <v>0</v>
      </c>
      <c r="AH47" s="71"/>
      <c r="AI47" s="66"/>
      <c r="AJ47" s="66"/>
      <c r="AK47" s="169">
        <f t="shared" si="30"/>
        <v>0</v>
      </c>
      <c r="AL47" s="178">
        <f t="shared" si="31"/>
        <v>0</v>
      </c>
      <c r="AM47" s="179">
        <f t="shared" si="32"/>
        <v>0</v>
      </c>
      <c r="AN47" s="180">
        <f t="shared" si="33"/>
        <v>0</v>
      </c>
      <c r="AO47" s="180">
        <f t="shared" si="34"/>
        <v>0</v>
      </c>
      <c r="AP47" s="181" t="e">
        <f t="shared" si="28"/>
        <v>#DIV/0!</v>
      </c>
      <c r="AQ47" s="76">
        <f t="shared" si="13"/>
        <v>0</v>
      </c>
      <c r="AR47" s="182">
        <f t="shared" si="29"/>
        <v>0</v>
      </c>
    </row>
    <row r="48" spans="1:44" ht="15" x14ac:dyDescent="0.25">
      <c r="A48" s="148" t="str">
        <f t="shared" si="15"/>
        <v>46226M</v>
      </c>
      <c r="B48" s="51">
        <f t="shared" si="35"/>
        <v>46226</v>
      </c>
      <c r="C48" s="157" t="s">
        <v>87</v>
      </c>
      <c r="D48" s="79"/>
      <c r="E48" s="62"/>
      <c r="F48" s="62"/>
      <c r="G48" s="169">
        <f t="shared" si="16"/>
        <v>0</v>
      </c>
      <c r="H48" s="170">
        <f t="shared" si="17"/>
        <v>0</v>
      </c>
      <c r="I48" s="160"/>
      <c r="J48" s="161"/>
      <c r="K48" s="162"/>
      <c r="L48" s="163"/>
      <c r="M48" s="58"/>
      <c r="N48" s="58"/>
      <c r="O48" s="59"/>
      <c r="P48" s="56"/>
      <c r="Q48" s="60"/>
      <c r="R48" s="168">
        <f t="shared" si="18"/>
        <v>0</v>
      </c>
      <c r="S48" s="169">
        <f t="shared" si="19"/>
        <v>0</v>
      </c>
      <c r="T48" s="170">
        <f t="shared" si="20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175"/>
      <c r="AD48" s="176"/>
      <c r="AE48" s="176"/>
      <c r="AF48" s="169">
        <f t="shared" si="23"/>
        <v>0</v>
      </c>
      <c r="AG48" s="170">
        <f t="shared" si="24"/>
        <v>0</v>
      </c>
      <c r="AH48" s="71"/>
      <c r="AI48" s="66"/>
      <c r="AJ48" s="66"/>
      <c r="AK48" s="169">
        <f t="shared" si="30"/>
        <v>0</v>
      </c>
      <c r="AL48" s="178">
        <f t="shared" si="31"/>
        <v>0</v>
      </c>
      <c r="AM48" s="179">
        <f t="shared" si="32"/>
        <v>0</v>
      </c>
      <c r="AN48" s="180">
        <f t="shared" si="33"/>
        <v>0</v>
      </c>
      <c r="AO48" s="180">
        <f t="shared" si="34"/>
        <v>0</v>
      </c>
      <c r="AP48" s="181" t="e">
        <f t="shared" si="28"/>
        <v>#DIV/0!</v>
      </c>
      <c r="AQ48" s="76">
        <f t="shared" si="13"/>
        <v>0</v>
      </c>
      <c r="AR48" s="182">
        <f t="shared" si="29"/>
        <v>0</v>
      </c>
    </row>
    <row r="49" spans="1:44" ht="15" x14ac:dyDescent="0.25">
      <c r="A49" s="148" t="str">
        <f t="shared" si="15"/>
        <v>46226E</v>
      </c>
      <c r="B49" s="51">
        <f t="shared" si="35"/>
        <v>46226</v>
      </c>
      <c r="C49" s="157" t="s">
        <v>88</v>
      </c>
      <c r="D49" s="79"/>
      <c r="E49" s="62"/>
      <c r="F49" s="62"/>
      <c r="G49" s="169">
        <f t="shared" si="16"/>
        <v>0</v>
      </c>
      <c r="H49" s="170">
        <f t="shared" si="17"/>
        <v>0</v>
      </c>
      <c r="I49" s="160"/>
      <c r="J49" s="161"/>
      <c r="K49" s="162"/>
      <c r="L49" s="163"/>
      <c r="M49" s="58"/>
      <c r="N49" s="58"/>
      <c r="O49" s="59"/>
      <c r="P49" s="56"/>
      <c r="Q49" s="60"/>
      <c r="R49" s="168">
        <f t="shared" si="18"/>
        <v>0</v>
      </c>
      <c r="S49" s="169">
        <f t="shared" si="19"/>
        <v>0</v>
      </c>
      <c r="T49" s="170">
        <f t="shared" si="20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175"/>
      <c r="AD49" s="176"/>
      <c r="AE49" s="176"/>
      <c r="AF49" s="169">
        <f t="shared" si="23"/>
        <v>0</v>
      </c>
      <c r="AG49" s="170">
        <f t="shared" si="24"/>
        <v>0</v>
      </c>
      <c r="AH49" s="71"/>
      <c r="AI49" s="66"/>
      <c r="AJ49" s="66"/>
      <c r="AK49" s="169">
        <f t="shared" si="30"/>
        <v>0</v>
      </c>
      <c r="AL49" s="178">
        <f t="shared" si="31"/>
        <v>0</v>
      </c>
      <c r="AM49" s="179">
        <f t="shared" si="32"/>
        <v>0</v>
      </c>
      <c r="AN49" s="180">
        <f t="shared" si="33"/>
        <v>0</v>
      </c>
      <c r="AO49" s="180">
        <f t="shared" si="34"/>
        <v>0</v>
      </c>
      <c r="AP49" s="181" t="e">
        <f t="shared" si="28"/>
        <v>#DIV/0!</v>
      </c>
      <c r="AQ49" s="76">
        <f t="shared" si="13"/>
        <v>0</v>
      </c>
      <c r="AR49" s="182">
        <f t="shared" si="29"/>
        <v>0</v>
      </c>
    </row>
    <row r="50" spans="1:44" ht="15" x14ac:dyDescent="0.25">
      <c r="A50" s="148" t="str">
        <f t="shared" si="15"/>
        <v>46227M</v>
      </c>
      <c r="B50" s="51">
        <f t="shared" si="35"/>
        <v>46227</v>
      </c>
      <c r="C50" s="157" t="s">
        <v>87</v>
      </c>
      <c r="D50" s="79"/>
      <c r="E50" s="62"/>
      <c r="F50" s="62"/>
      <c r="G50" s="169">
        <f t="shared" si="16"/>
        <v>0</v>
      </c>
      <c r="H50" s="170">
        <f t="shared" si="17"/>
        <v>0</v>
      </c>
      <c r="I50" s="160"/>
      <c r="J50" s="161"/>
      <c r="K50" s="162"/>
      <c r="L50" s="163"/>
      <c r="M50" s="58"/>
      <c r="N50" s="58"/>
      <c r="O50" s="59"/>
      <c r="P50" s="56"/>
      <c r="Q50" s="60"/>
      <c r="R50" s="168">
        <f t="shared" si="18"/>
        <v>0</v>
      </c>
      <c r="S50" s="169">
        <f t="shared" si="19"/>
        <v>0</v>
      </c>
      <c r="T50" s="170">
        <f t="shared" si="20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175"/>
      <c r="AD50" s="176"/>
      <c r="AE50" s="176"/>
      <c r="AF50" s="169">
        <f t="shared" si="23"/>
        <v>0</v>
      </c>
      <c r="AG50" s="170">
        <f t="shared" si="24"/>
        <v>0</v>
      </c>
      <c r="AH50" s="71"/>
      <c r="AI50" s="66"/>
      <c r="AJ50" s="66"/>
      <c r="AK50" s="169">
        <f t="shared" si="30"/>
        <v>0</v>
      </c>
      <c r="AL50" s="178">
        <f t="shared" si="31"/>
        <v>0</v>
      </c>
      <c r="AM50" s="179">
        <f t="shared" si="32"/>
        <v>0</v>
      </c>
      <c r="AN50" s="180">
        <f t="shared" si="33"/>
        <v>0</v>
      </c>
      <c r="AO50" s="180">
        <f t="shared" si="34"/>
        <v>0</v>
      </c>
      <c r="AP50" s="181" t="e">
        <f t="shared" si="28"/>
        <v>#DIV/0!</v>
      </c>
      <c r="AQ50" s="76">
        <f t="shared" si="13"/>
        <v>0</v>
      </c>
      <c r="AR50" s="182">
        <f t="shared" si="29"/>
        <v>0</v>
      </c>
    </row>
    <row r="51" spans="1:44" ht="15" x14ac:dyDescent="0.25">
      <c r="A51" s="148" t="str">
        <f t="shared" si="15"/>
        <v>46227E</v>
      </c>
      <c r="B51" s="51">
        <f t="shared" si="35"/>
        <v>46227</v>
      </c>
      <c r="C51" s="157" t="s">
        <v>88</v>
      </c>
      <c r="D51" s="79"/>
      <c r="E51" s="62"/>
      <c r="F51" s="62"/>
      <c r="G51" s="169">
        <f t="shared" si="16"/>
        <v>0</v>
      </c>
      <c r="H51" s="170">
        <f t="shared" si="17"/>
        <v>0</v>
      </c>
      <c r="I51" s="160"/>
      <c r="J51" s="161"/>
      <c r="K51" s="162"/>
      <c r="L51" s="163"/>
      <c r="M51" s="58"/>
      <c r="N51" s="58"/>
      <c r="O51" s="59"/>
      <c r="P51" s="56"/>
      <c r="Q51" s="60"/>
      <c r="R51" s="168">
        <f t="shared" si="18"/>
        <v>0</v>
      </c>
      <c r="S51" s="169">
        <f t="shared" si="19"/>
        <v>0</v>
      </c>
      <c r="T51" s="170">
        <f t="shared" si="20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175"/>
      <c r="AD51" s="176"/>
      <c r="AE51" s="176"/>
      <c r="AF51" s="169">
        <f t="shared" si="23"/>
        <v>0</v>
      </c>
      <c r="AG51" s="170">
        <f t="shared" si="24"/>
        <v>0</v>
      </c>
      <c r="AH51" s="71"/>
      <c r="AI51" s="66"/>
      <c r="AJ51" s="66"/>
      <c r="AK51" s="169">
        <f t="shared" si="30"/>
        <v>0</v>
      </c>
      <c r="AL51" s="178">
        <f t="shared" si="31"/>
        <v>0</v>
      </c>
      <c r="AM51" s="179">
        <f t="shared" si="32"/>
        <v>0</v>
      </c>
      <c r="AN51" s="180">
        <f t="shared" si="33"/>
        <v>0</v>
      </c>
      <c r="AO51" s="180">
        <f t="shared" si="34"/>
        <v>0</v>
      </c>
      <c r="AP51" s="181" t="e">
        <f t="shared" si="28"/>
        <v>#DIV/0!</v>
      </c>
      <c r="AQ51" s="76">
        <f t="shared" si="13"/>
        <v>0</v>
      </c>
      <c r="AR51" s="182">
        <f t="shared" si="29"/>
        <v>0</v>
      </c>
    </row>
    <row r="52" spans="1:44" ht="15" x14ac:dyDescent="0.25">
      <c r="A52" s="148" t="str">
        <f t="shared" si="15"/>
        <v>46228M</v>
      </c>
      <c r="B52" s="51">
        <f t="shared" si="35"/>
        <v>46228</v>
      </c>
      <c r="C52" s="157" t="s">
        <v>87</v>
      </c>
      <c r="D52" s="79"/>
      <c r="E52" s="62"/>
      <c r="F52" s="62"/>
      <c r="G52" s="169">
        <f t="shared" si="16"/>
        <v>0</v>
      </c>
      <c r="H52" s="170">
        <f t="shared" si="17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168">
        <f t="shared" si="18"/>
        <v>0</v>
      </c>
      <c r="S52" s="169">
        <f t="shared" si="19"/>
        <v>0</v>
      </c>
      <c r="T52" s="170">
        <f t="shared" si="20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175"/>
      <c r="AD52" s="176"/>
      <c r="AE52" s="176"/>
      <c r="AF52" s="169">
        <f t="shared" si="23"/>
        <v>0</v>
      </c>
      <c r="AG52" s="170">
        <f t="shared" si="24"/>
        <v>0</v>
      </c>
      <c r="AH52" s="71"/>
      <c r="AI52" s="66"/>
      <c r="AJ52" s="66"/>
      <c r="AK52" s="169">
        <f t="shared" si="30"/>
        <v>0</v>
      </c>
      <c r="AL52" s="178">
        <f t="shared" si="31"/>
        <v>0</v>
      </c>
      <c r="AM52" s="179">
        <f t="shared" si="32"/>
        <v>0</v>
      </c>
      <c r="AN52" s="180">
        <f t="shared" si="33"/>
        <v>0</v>
      </c>
      <c r="AO52" s="180">
        <f t="shared" si="34"/>
        <v>0</v>
      </c>
      <c r="AP52" s="181" t="e">
        <f t="shared" si="28"/>
        <v>#DIV/0!</v>
      </c>
      <c r="AQ52" s="76">
        <f t="shared" si="13"/>
        <v>0</v>
      </c>
      <c r="AR52" s="182">
        <f t="shared" si="29"/>
        <v>0</v>
      </c>
    </row>
    <row r="53" spans="1:44" ht="15" x14ac:dyDescent="0.25">
      <c r="A53" s="148" t="str">
        <f t="shared" si="15"/>
        <v>46228E</v>
      </c>
      <c r="B53" s="51">
        <f t="shared" si="35"/>
        <v>46228</v>
      </c>
      <c r="C53" s="157" t="s">
        <v>88</v>
      </c>
      <c r="D53" s="79"/>
      <c r="E53" s="62"/>
      <c r="F53" s="62"/>
      <c r="G53" s="169">
        <f t="shared" si="16"/>
        <v>0</v>
      </c>
      <c r="H53" s="170">
        <f t="shared" si="17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168">
        <f t="shared" si="18"/>
        <v>0</v>
      </c>
      <c r="S53" s="169">
        <f t="shared" si="19"/>
        <v>0</v>
      </c>
      <c r="T53" s="170">
        <f t="shared" si="20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175"/>
      <c r="AD53" s="176"/>
      <c r="AE53" s="176"/>
      <c r="AF53" s="169">
        <f t="shared" si="23"/>
        <v>0</v>
      </c>
      <c r="AG53" s="170">
        <f t="shared" si="24"/>
        <v>0</v>
      </c>
      <c r="AH53" s="71"/>
      <c r="AI53" s="66"/>
      <c r="AJ53" s="66"/>
      <c r="AK53" s="169">
        <f t="shared" si="30"/>
        <v>0</v>
      </c>
      <c r="AL53" s="178">
        <f t="shared" si="31"/>
        <v>0</v>
      </c>
      <c r="AM53" s="179">
        <f t="shared" si="32"/>
        <v>0</v>
      </c>
      <c r="AN53" s="180">
        <f t="shared" si="33"/>
        <v>0</v>
      </c>
      <c r="AO53" s="180">
        <f t="shared" si="34"/>
        <v>0</v>
      </c>
      <c r="AP53" s="181" t="e">
        <f t="shared" si="28"/>
        <v>#DIV/0!</v>
      </c>
      <c r="AQ53" s="76">
        <f t="shared" si="13"/>
        <v>0</v>
      </c>
      <c r="AR53" s="182">
        <f t="shared" si="29"/>
        <v>0</v>
      </c>
    </row>
    <row r="54" spans="1:44" ht="15" x14ac:dyDescent="0.25">
      <c r="A54" s="148" t="str">
        <f t="shared" si="15"/>
        <v>46229M</v>
      </c>
      <c r="B54" s="51">
        <f t="shared" si="35"/>
        <v>46229</v>
      </c>
      <c r="C54" s="157" t="s">
        <v>87</v>
      </c>
      <c r="D54" s="79"/>
      <c r="E54" s="62"/>
      <c r="F54" s="62"/>
      <c r="G54" s="169">
        <f t="shared" si="16"/>
        <v>0</v>
      </c>
      <c r="H54" s="170">
        <f t="shared" si="17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168">
        <f t="shared" si="18"/>
        <v>0</v>
      </c>
      <c r="S54" s="169">
        <f t="shared" si="19"/>
        <v>0</v>
      </c>
      <c r="T54" s="170">
        <f t="shared" si="20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175"/>
      <c r="AD54" s="176"/>
      <c r="AE54" s="176"/>
      <c r="AF54" s="169">
        <f t="shared" si="23"/>
        <v>0</v>
      </c>
      <c r="AG54" s="170">
        <f t="shared" si="24"/>
        <v>0</v>
      </c>
      <c r="AH54" s="71"/>
      <c r="AI54" s="66"/>
      <c r="AJ54" s="66"/>
      <c r="AK54" s="169">
        <f t="shared" si="30"/>
        <v>0</v>
      </c>
      <c r="AL54" s="178">
        <f t="shared" si="31"/>
        <v>0</v>
      </c>
      <c r="AM54" s="179">
        <f t="shared" si="32"/>
        <v>0</v>
      </c>
      <c r="AN54" s="180">
        <f t="shared" si="33"/>
        <v>0</v>
      </c>
      <c r="AO54" s="180">
        <f t="shared" si="34"/>
        <v>0</v>
      </c>
      <c r="AP54" s="181" t="e">
        <f t="shared" si="28"/>
        <v>#DIV/0!</v>
      </c>
      <c r="AQ54" s="76">
        <f t="shared" si="13"/>
        <v>0</v>
      </c>
      <c r="AR54" s="182">
        <f t="shared" si="29"/>
        <v>0</v>
      </c>
    </row>
    <row r="55" spans="1:44" ht="15" x14ac:dyDescent="0.25">
      <c r="A55" s="148" t="str">
        <f t="shared" si="15"/>
        <v>46229E</v>
      </c>
      <c r="B55" s="51">
        <f t="shared" si="35"/>
        <v>46229</v>
      </c>
      <c r="C55" s="157" t="s">
        <v>88</v>
      </c>
      <c r="D55" s="79"/>
      <c r="E55" s="62"/>
      <c r="F55" s="62"/>
      <c r="G55" s="169">
        <f t="shared" si="16"/>
        <v>0</v>
      </c>
      <c r="H55" s="170">
        <f t="shared" si="17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168">
        <f t="shared" si="18"/>
        <v>0</v>
      </c>
      <c r="S55" s="169">
        <f t="shared" si="19"/>
        <v>0</v>
      </c>
      <c r="T55" s="170">
        <f t="shared" si="20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175"/>
      <c r="AD55" s="176"/>
      <c r="AE55" s="176"/>
      <c r="AF55" s="169">
        <f t="shared" si="23"/>
        <v>0</v>
      </c>
      <c r="AG55" s="170">
        <f t="shared" si="24"/>
        <v>0</v>
      </c>
      <c r="AH55" s="71"/>
      <c r="AI55" s="66"/>
      <c r="AJ55" s="66"/>
      <c r="AK55" s="169">
        <f t="shared" si="30"/>
        <v>0</v>
      </c>
      <c r="AL55" s="178">
        <f t="shared" si="31"/>
        <v>0</v>
      </c>
      <c r="AM55" s="179">
        <f t="shared" si="32"/>
        <v>0</v>
      </c>
      <c r="AN55" s="180">
        <f t="shared" si="33"/>
        <v>0</v>
      </c>
      <c r="AO55" s="180">
        <f t="shared" si="34"/>
        <v>0</v>
      </c>
      <c r="AP55" s="181" t="e">
        <f t="shared" si="28"/>
        <v>#DIV/0!</v>
      </c>
      <c r="AQ55" s="76">
        <f t="shared" si="13"/>
        <v>0</v>
      </c>
      <c r="AR55" s="182">
        <f t="shared" si="29"/>
        <v>0</v>
      </c>
    </row>
    <row r="56" spans="1:44" ht="15" x14ac:dyDescent="0.25">
      <c r="A56" s="148" t="str">
        <f t="shared" si="15"/>
        <v>46230M</v>
      </c>
      <c r="B56" s="51">
        <f t="shared" si="35"/>
        <v>46230</v>
      </c>
      <c r="C56" s="157" t="s">
        <v>87</v>
      </c>
      <c r="D56" s="184"/>
      <c r="E56" s="169"/>
      <c r="F56" s="169"/>
      <c r="G56" s="169">
        <f t="shared" si="16"/>
        <v>0</v>
      </c>
      <c r="H56" s="170">
        <f t="shared" si="17"/>
        <v>0</v>
      </c>
      <c r="I56" s="160"/>
      <c r="J56" s="161"/>
      <c r="K56" s="162"/>
      <c r="L56" s="163"/>
      <c r="M56" s="58"/>
      <c r="N56" s="58"/>
      <c r="O56" s="59"/>
      <c r="P56" s="56"/>
      <c r="Q56" s="60"/>
      <c r="R56" s="168">
        <f t="shared" si="18"/>
        <v>0</v>
      </c>
      <c r="S56" s="169">
        <f t="shared" si="19"/>
        <v>0</v>
      </c>
      <c r="T56" s="170">
        <f t="shared" si="20"/>
        <v>0</v>
      </c>
      <c r="U56" s="171"/>
      <c r="V56" s="172"/>
      <c r="W56" s="159"/>
      <c r="X56" s="67"/>
      <c r="Y56" s="68"/>
      <c r="Z56" s="68"/>
      <c r="AA56" s="62">
        <f t="shared" ref="AA56:AA61" si="38">X56*Y56%</f>
        <v>0</v>
      </c>
      <c r="AB56" s="63">
        <f t="shared" si="37"/>
        <v>0</v>
      </c>
      <c r="AC56" s="175"/>
      <c r="AD56" s="176"/>
      <c r="AE56" s="176"/>
      <c r="AF56" s="169">
        <f t="shared" si="23"/>
        <v>0</v>
      </c>
      <c r="AG56" s="170">
        <f t="shared" si="24"/>
        <v>0</v>
      </c>
      <c r="AH56" s="158"/>
      <c r="AI56" s="159"/>
      <c r="AJ56" s="159"/>
      <c r="AK56" s="169">
        <f t="shared" si="30"/>
        <v>0</v>
      </c>
      <c r="AL56" s="178">
        <f t="shared" si="31"/>
        <v>0</v>
      </c>
      <c r="AM56" s="179">
        <f t="shared" si="32"/>
        <v>0</v>
      </c>
      <c r="AN56" s="180">
        <f t="shared" si="33"/>
        <v>0</v>
      </c>
      <c r="AO56" s="180">
        <f t="shared" si="34"/>
        <v>0</v>
      </c>
      <c r="AP56" s="181" t="e">
        <f t="shared" si="28"/>
        <v>#DIV/0!</v>
      </c>
      <c r="AQ56" s="76">
        <f t="shared" si="13"/>
        <v>0</v>
      </c>
      <c r="AR56" s="182">
        <f t="shared" si="29"/>
        <v>0</v>
      </c>
    </row>
    <row r="57" spans="1:44" ht="15" x14ac:dyDescent="0.25">
      <c r="A57" s="148" t="str">
        <f t="shared" si="15"/>
        <v>46230E</v>
      </c>
      <c r="B57" s="51">
        <f t="shared" si="35"/>
        <v>46230</v>
      </c>
      <c r="C57" s="157" t="s">
        <v>88</v>
      </c>
      <c r="D57" s="184"/>
      <c r="E57" s="169"/>
      <c r="F57" s="169"/>
      <c r="G57" s="169">
        <f t="shared" si="16"/>
        <v>0</v>
      </c>
      <c r="H57" s="170">
        <f t="shared" si="17"/>
        <v>0</v>
      </c>
      <c r="I57" s="160"/>
      <c r="J57" s="161"/>
      <c r="K57" s="162"/>
      <c r="L57" s="163"/>
      <c r="M57" s="58"/>
      <c r="N57" s="58"/>
      <c r="O57" s="59"/>
      <c r="P57" s="56"/>
      <c r="Q57" s="60"/>
      <c r="R57" s="168">
        <f t="shared" si="18"/>
        <v>0</v>
      </c>
      <c r="S57" s="169">
        <f t="shared" si="19"/>
        <v>0</v>
      </c>
      <c r="T57" s="170">
        <f t="shared" si="20"/>
        <v>0</v>
      </c>
      <c r="U57" s="171"/>
      <c r="V57" s="172"/>
      <c r="W57" s="159"/>
      <c r="X57" s="67"/>
      <c r="Y57" s="68"/>
      <c r="Z57" s="68"/>
      <c r="AA57" s="62">
        <f t="shared" si="38"/>
        <v>0</v>
      </c>
      <c r="AB57" s="63">
        <f t="shared" si="37"/>
        <v>0</v>
      </c>
      <c r="AC57" s="175"/>
      <c r="AD57" s="176"/>
      <c r="AE57" s="176"/>
      <c r="AF57" s="169">
        <f t="shared" si="23"/>
        <v>0</v>
      </c>
      <c r="AG57" s="170">
        <f t="shared" si="24"/>
        <v>0</v>
      </c>
      <c r="AH57" s="158"/>
      <c r="AI57" s="159"/>
      <c r="AJ57" s="159"/>
      <c r="AK57" s="169">
        <f t="shared" si="30"/>
        <v>0</v>
      </c>
      <c r="AL57" s="178">
        <f t="shared" si="31"/>
        <v>0</v>
      </c>
      <c r="AM57" s="179">
        <f t="shared" si="32"/>
        <v>0</v>
      </c>
      <c r="AN57" s="180">
        <f t="shared" si="33"/>
        <v>0</v>
      </c>
      <c r="AO57" s="180">
        <f t="shared" si="34"/>
        <v>0</v>
      </c>
      <c r="AP57" s="181" t="e">
        <f t="shared" si="28"/>
        <v>#DIV/0!</v>
      </c>
      <c r="AQ57" s="76">
        <f t="shared" si="13"/>
        <v>0</v>
      </c>
      <c r="AR57" s="182">
        <f t="shared" si="29"/>
        <v>0</v>
      </c>
    </row>
    <row r="58" spans="1:44" ht="15" x14ac:dyDescent="0.25">
      <c r="A58" s="148" t="str">
        <f t="shared" si="15"/>
        <v>46231M</v>
      </c>
      <c r="B58" s="51">
        <f t="shared" si="35"/>
        <v>46231</v>
      </c>
      <c r="C58" s="157" t="s">
        <v>87</v>
      </c>
      <c r="D58" s="184"/>
      <c r="E58" s="169"/>
      <c r="F58" s="169"/>
      <c r="G58" s="169">
        <f t="shared" si="16"/>
        <v>0</v>
      </c>
      <c r="H58" s="170">
        <f t="shared" si="17"/>
        <v>0</v>
      </c>
      <c r="I58" s="160"/>
      <c r="J58" s="161"/>
      <c r="K58" s="162"/>
      <c r="L58" s="163"/>
      <c r="M58" s="58"/>
      <c r="N58" s="58"/>
      <c r="O58" s="59"/>
      <c r="P58" s="56"/>
      <c r="Q58" s="60"/>
      <c r="R58" s="168">
        <f t="shared" si="18"/>
        <v>0</v>
      </c>
      <c r="S58" s="169">
        <f t="shared" si="19"/>
        <v>0</v>
      </c>
      <c r="T58" s="170">
        <f t="shared" si="20"/>
        <v>0</v>
      </c>
      <c r="U58" s="171"/>
      <c r="V58" s="172"/>
      <c r="W58" s="159"/>
      <c r="X58" s="67"/>
      <c r="Y58" s="68"/>
      <c r="Z58" s="68"/>
      <c r="AA58" s="62">
        <f t="shared" si="38"/>
        <v>0</v>
      </c>
      <c r="AB58" s="63">
        <f t="shared" si="37"/>
        <v>0</v>
      </c>
      <c r="AC58" s="175"/>
      <c r="AD58" s="176"/>
      <c r="AE58" s="176"/>
      <c r="AF58" s="169">
        <f t="shared" si="23"/>
        <v>0</v>
      </c>
      <c r="AG58" s="170">
        <f t="shared" si="24"/>
        <v>0</v>
      </c>
      <c r="AH58" s="158"/>
      <c r="AI58" s="159"/>
      <c r="AJ58" s="159"/>
      <c r="AK58" s="169">
        <f t="shared" si="30"/>
        <v>0</v>
      </c>
      <c r="AL58" s="178">
        <f t="shared" si="31"/>
        <v>0</v>
      </c>
      <c r="AM58" s="179">
        <f t="shared" si="32"/>
        <v>0</v>
      </c>
      <c r="AN58" s="180">
        <f t="shared" si="33"/>
        <v>0</v>
      </c>
      <c r="AO58" s="180">
        <f t="shared" si="34"/>
        <v>0</v>
      </c>
      <c r="AP58" s="181" t="e">
        <f t="shared" si="28"/>
        <v>#DIV/0!</v>
      </c>
      <c r="AQ58" s="76">
        <f t="shared" si="13"/>
        <v>0</v>
      </c>
      <c r="AR58" s="182">
        <f t="shared" si="29"/>
        <v>0</v>
      </c>
    </row>
    <row r="59" spans="1:44" ht="15" x14ac:dyDescent="0.25">
      <c r="A59" s="148" t="str">
        <f t="shared" si="15"/>
        <v>46231E</v>
      </c>
      <c r="B59" s="51">
        <f t="shared" si="35"/>
        <v>46231</v>
      </c>
      <c r="C59" s="157" t="s">
        <v>88</v>
      </c>
      <c r="D59" s="184"/>
      <c r="E59" s="169"/>
      <c r="F59" s="169"/>
      <c r="G59" s="169">
        <f t="shared" si="16"/>
        <v>0</v>
      </c>
      <c r="H59" s="170">
        <f t="shared" si="17"/>
        <v>0</v>
      </c>
      <c r="I59" s="160"/>
      <c r="J59" s="161"/>
      <c r="K59" s="162"/>
      <c r="L59" s="163"/>
      <c r="M59" s="58"/>
      <c r="N59" s="58"/>
      <c r="O59" s="59"/>
      <c r="P59" s="56"/>
      <c r="Q59" s="60"/>
      <c r="R59" s="168">
        <f t="shared" si="18"/>
        <v>0</v>
      </c>
      <c r="S59" s="169">
        <f t="shared" si="19"/>
        <v>0</v>
      </c>
      <c r="T59" s="170">
        <f t="shared" si="20"/>
        <v>0</v>
      </c>
      <c r="U59" s="171"/>
      <c r="V59" s="172"/>
      <c r="W59" s="159"/>
      <c r="X59" s="67"/>
      <c r="Y59" s="68"/>
      <c r="Z59" s="68"/>
      <c r="AA59" s="62">
        <f t="shared" si="38"/>
        <v>0</v>
      </c>
      <c r="AB59" s="63">
        <f t="shared" si="37"/>
        <v>0</v>
      </c>
      <c r="AC59" s="175"/>
      <c r="AD59" s="176"/>
      <c r="AE59" s="176"/>
      <c r="AF59" s="169">
        <f t="shared" si="23"/>
        <v>0</v>
      </c>
      <c r="AG59" s="170">
        <f t="shared" si="24"/>
        <v>0</v>
      </c>
      <c r="AH59" s="158"/>
      <c r="AI59" s="159"/>
      <c r="AJ59" s="159"/>
      <c r="AK59" s="169">
        <f t="shared" si="30"/>
        <v>0</v>
      </c>
      <c r="AL59" s="178">
        <f t="shared" si="31"/>
        <v>0</v>
      </c>
      <c r="AM59" s="179">
        <f t="shared" si="32"/>
        <v>0</v>
      </c>
      <c r="AN59" s="180">
        <f t="shared" si="33"/>
        <v>0</v>
      </c>
      <c r="AO59" s="180">
        <f t="shared" si="34"/>
        <v>0</v>
      </c>
      <c r="AP59" s="181" t="e">
        <f t="shared" si="28"/>
        <v>#DIV/0!</v>
      </c>
      <c r="AQ59" s="76">
        <f t="shared" si="13"/>
        <v>0</v>
      </c>
      <c r="AR59" s="182">
        <f t="shared" si="29"/>
        <v>0</v>
      </c>
    </row>
    <row r="60" spans="1:44" ht="15" x14ac:dyDescent="0.25">
      <c r="A60" s="148" t="str">
        <f t="shared" si="15"/>
        <v>46232M</v>
      </c>
      <c r="B60" s="51">
        <f t="shared" si="35"/>
        <v>46232</v>
      </c>
      <c r="C60" s="157" t="s">
        <v>87</v>
      </c>
      <c r="D60" s="184"/>
      <c r="E60" s="169"/>
      <c r="F60" s="169"/>
      <c r="G60" s="169">
        <f t="shared" si="16"/>
        <v>0</v>
      </c>
      <c r="H60" s="170">
        <f t="shared" si="17"/>
        <v>0</v>
      </c>
      <c r="I60" s="160"/>
      <c r="J60" s="161"/>
      <c r="K60" s="162"/>
      <c r="L60" s="163"/>
      <c r="M60" s="58"/>
      <c r="N60" s="58"/>
      <c r="O60" s="59"/>
      <c r="P60" s="56"/>
      <c r="Q60" s="60"/>
      <c r="R60" s="168">
        <f t="shared" si="18"/>
        <v>0</v>
      </c>
      <c r="S60" s="169">
        <f t="shared" si="19"/>
        <v>0</v>
      </c>
      <c r="T60" s="170">
        <f t="shared" si="20"/>
        <v>0</v>
      </c>
      <c r="U60" s="171"/>
      <c r="V60" s="172"/>
      <c r="W60" s="159"/>
      <c r="X60" s="67"/>
      <c r="Y60" s="68"/>
      <c r="Z60" s="68"/>
      <c r="AA60" s="62">
        <f t="shared" si="38"/>
        <v>0</v>
      </c>
      <c r="AB60" s="63">
        <f t="shared" si="37"/>
        <v>0</v>
      </c>
      <c r="AC60" s="175"/>
      <c r="AD60" s="176"/>
      <c r="AE60" s="176"/>
      <c r="AF60" s="169">
        <f t="shared" si="23"/>
        <v>0</v>
      </c>
      <c r="AG60" s="170">
        <f t="shared" si="24"/>
        <v>0</v>
      </c>
      <c r="AH60" s="158"/>
      <c r="AI60" s="159"/>
      <c r="AJ60" s="159"/>
      <c r="AK60" s="169">
        <f t="shared" si="30"/>
        <v>0</v>
      </c>
      <c r="AL60" s="178">
        <f t="shared" si="31"/>
        <v>0</v>
      </c>
      <c r="AM60" s="179">
        <f t="shared" si="32"/>
        <v>0</v>
      </c>
      <c r="AN60" s="180">
        <f t="shared" si="33"/>
        <v>0</v>
      </c>
      <c r="AO60" s="180">
        <f t="shared" si="34"/>
        <v>0</v>
      </c>
      <c r="AP60" s="181" t="e">
        <f t="shared" si="28"/>
        <v>#DIV/0!</v>
      </c>
      <c r="AQ60" s="76">
        <f t="shared" si="13"/>
        <v>0</v>
      </c>
      <c r="AR60" s="182">
        <f t="shared" si="29"/>
        <v>0</v>
      </c>
    </row>
    <row r="61" spans="1:44" ht="15" x14ac:dyDescent="0.25">
      <c r="A61" s="148" t="str">
        <f t="shared" si="15"/>
        <v>46232E</v>
      </c>
      <c r="B61" s="51">
        <f t="shared" si="35"/>
        <v>46232</v>
      </c>
      <c r="C61" s="157" t="s">
        <v>88</v>
      </c>
      <c r="D61" s="184"/>
      <c r="E61" s="169"/>
      <c r="F61" s="169"/>
      <c r="G61" s="169">
        <f t="shared" si="16"/>
        <v>0</v>
      </c>
      <c r="H61" s="170">
        <f t="shared" si="17"/>
        <v>0</v>
      </c>
      <c r="I61" s="160"/>
      <c r="J61" s="161"/>
      <c r="K61" s="162"/>
      <c r="L61" s="163"/>
      <c r="M61" s="58"/>
      <c r="N61" s="58"/>
      <c r="O61" s="59"/>
      <c r="P61" s="56"/>
      <c r="Q61" s="60"/>
      <c r="R61" s="168">
        <f t="shared" si="18"/>
        <v>0</v>
      </c>
      <c r="S61" s="169">
        <f t="shared" si="19"/>
        <v>0</v>
      </c>
      <c r="T61" s="170">
        <f t="shared" si="20"/>
        <v>0</v>
      </c>
      <c r="U61" s="171"/>
      <c r="V61" s="172"/>
      <c r="W61" s="159"/>
      <c r="X61" s="67"/>
      <c r="Y61" s="68"/>
      <c r="Z61" s="68"/>
      <c r="AA61" s="62">
        <f t="shared" si="38"/>
        <v>0</v>
      </c>
      <c r="AB61" s="63">
        <f t="shared" si="37"/>
        <v>0</v>
      </c>
      <c r="AC61" s="175"/>
      <c r="AD61" s="176"/>
      <c r="AE61" s="176"/>
      <c r="AF61" s="169">
        <f t="shared" si="23"/>
        <v>0</v>
      </c>
      <c r="AG61" s="170">
        <f t="shared" si="24"/>
        <v>0</v>
      </c>
      <c r="AH61" s="158"/>
      <c r="AI61" s="159"/>
      <c r="AJ61" s="159"/>
      <c r="AK61" s="169">
        <f t="shared" si="30"/>
        <v>0</v>
      </c>
      <c r="AL61" s="178">
        <f t="shared" si="31"/>
        <v>0</v>
      </c>
      <c r="AM61" s="179">
        <f t="shared" si="32"/>
        <v>0</v>
      </c>
      <c r="AN61" s="180">
        <f t="shared" si="33"/>
        <v>0</v>
      </c>
      <c r="AO61" s="180">
        <f t="shared" si="34"/>
        <v>0</v>
      </c>
      <c r="AP61" s="181" t="e">
        <f t="shared" si="28"/>
        <v>#DIV/0!</v>
      </c>
      <c r="AQ61" s="76">
        <f t="shared" si="13"/>
        <v>0</v>
      </c>
      <c r="AR61" s="182">
        <f t="shared" si="29"/>
        <v>0</v>
      </c>
    </row>
    <row r="62" spans="1:44" ht="15" x14ac:dyDescent="0.25">
      <c r="A62" s="148" t="str">
        <f t="shared" si="15"/>
        <v>46233M</v>
      </c>
      <c r="B62" s="51">
        <f t="shared" si="35"/>
        <v>46233</v>
      </c>
      <c r="C62" s="157" t="s">
        <v>87</v>
      </c>
      <c r="D62" s="184"/>
      <c r="E62" s="169"/>
      <c r="F62" s="169"/>
      <c r="G62" s="169">
        <f t="shared" si="16"/>
        <v>0</v>
      </c>
      <c r="H62" s="170">
        <f t="shared" si="17"/>
        <v>0</v>
      </c>
      <c r="I62" s="160"/>
      <c r="J62" s="161"/>
      <c r="K62" s="162"/>
      <c r="L62" s="163"/>
      <c r="M62" s="58"/>
      <c r="N62" s="58"/>
      <c r="O62" s="59"/>
      <c r="P62" s="56"/>
      <c r="Q62" s="60"/>
      <c r="R62" s="168">
        <f t="shared" si="18"/>
        <v>0</v>
      </c>
      <c r="S62" s="169">
        <f t="shared" si="19"/>
        <v>0</v>
      </c>
      <c r="T62" s="170">
        <f t="shared" si="20"/>
        <v>0</v>
      </c>
      <c r="U62" s="171"/>
      <c r="V62" s="172"/>
      <c r="W62" s="159"/>
      <c r="X62" s="67"/>
      <c r="Y62" s="68"/>
      <c r="Z62" s="68"/>
      <c r="AA62" s="62">
        <f t="shared" ref="AA62:AA65" si="39">X62*Y62%</f>
        <v>0</v>
      </c>
      <c r="AB62" s="63">
        <f t="shared" si="37"/>
        <v>0</v>
      </c>
      <c r="AC62" s="175"/>
      <c r="AD62" s="176"/>
      <c r="AE62" s="176"/>
      <c r="AF62" s="169">
        <f t="shared" si="23"/>
        <v>0</v>
      </c>
      <c r="AG62" s="170">
        <f t="shared" si="24"/>
        <v>0</v>
      </c>
      <c r="AH62" s="158"/>
      <c r="AI62" s="159"/>
      <c r="AJ62" s="159"/>
      <c r="AK62" s="169">
        <f t="shared" si="30"/>
        <v>0</v>
      </c>
      <c r="AL62" s="178">
        <f t="shared" si="31"/>
        <v>0</v>
      </c>
      <c r="AM62" s="179">
        <f t="shared" si="32"/>
        <v>0</v>
      </c>
      <c r="AN62" s="180">
        <f t="shared" si="33"/>
        <v>0</v>
      </c>
      <c r="AO62" s="180">
        <f t="shared" si="34"/>
        <v>0</v>
      </c>
      <c r="AP62" s="181" t="e">
        <f t="shared" ref="AP62:AP65" si="40">(AN62+AO62)/(S62+T62)</f>
        <v>#DIV/0!</v>
      </c>
      <c r="AQ62" s="76">
        <f t="shared" si="13"/>
        <v>0</v>
      </c>
      <c r="AR62" s="182">
        <f t="shared" si="29"/>
        <v>0</v>
      </c>
    </row>
    <row r="63" spans="1:44" ht="15" x14ac:dyDescent="0.25">
      <c r="A63" s="148" t="str">
        <f t="shared" si="15"/>
        <v>46233E</v>
      </c>
      <c r="B63" s="51">
        <f t="shared" si="35"/>
        <v>46233</v>
      </c>
      <c r="C63" s="157" t="s">
        <v>88</v>
      </c>
      <c r="D63" s="184"/>
      <c r="E63" s="169"/>
      <c r="F63" s="169"/>
      <c r="G63" s="169">
        <f t="shared" si="16"/>
        <v>0</v>
      </c>
      <c r="H63" s="170">
        <f t="shared" si="17"/>
        <v>0</v>
      </c>
      <c r="I63" s="160"/>
      <c r="J63" s="161"/>
      <c r="K63" s="162"/>
      <c r="L63" s="163"/>
      <c r="M63" s="58"/>
      <c r="N63" s="58"/>
      <c r="O63" s="59"/>
      <c r="P63" s="56"/>
      <c r="Q63" s="60"/>
      <c r="R63" s="168">
        <f t="shared" si="18"/>
        <v>0</v>
      </c>
      <c r="S63" s="169">
        <f t="shared" si="19"/>
        <v>0</v>
      </c>
      <c r="T63" s="170">
        <f t="shared" si="20"/>
        <v>0</v>
      </c>
      <c r="U63" s="171"/>
      <c r="V63" s="172"/>
      <c r="W63" s="159"/>
      <c r="X63" s="67"/>
      <c r="Y63" s="68"/>
      <c r="Z63" s="68"/>
      <c r="AA63" s="62">
        <f t="shared" si="39"/>
        <v>0</v>
      </c>
      <c r="AB63" s="63">
        <f t="shared" si="37"/>
        <v>0</v>
      </c>
      <c r="AC63" s="175"/>
      <c r="AD63" s="176"/>
      <c r="AE63" s="176"/>
      <c r="AF63" s="169">
        <f t="shared" si="23"/>
        <v>0</v>
      </c>
      <c r="AG63" s="170">
        <f t="shared" si="24"/>
        <v>0</v>
      </c>
      <c r="AH63" s="158"/>
      <c r="AI63" s="159"/>
      <c r="AJ63" s="159"/>
      <c r="AK63" s="169">
        <f t="shared" si="30"/>
        <v>0</v>
      </c>
      <c r="AL63" s="178">
        <f t="shared" si="31"/>
        <v>0</v>
      </c>
      <c r="AM63" s="179">
        <f t="shared" si="32"/>
        <v>0</v>
      </c>
      <c r="AN63" s="180">
        <f t="shared" si="33"/>
        <v>0</v>
      </c>
      <c r="AO63" s="180">
        <f t="shared" si="34"/>
        <v>0</v>
      </c>
      <c r="AP63" s="181" t="e">
        <f t="shared" si="40"/>
        <v>#DIV/0!</v>
      </c>
      <c r="AQ63" s="76">
        <f t="shared" si="13"/>
        <v>0</v>
      </c>
      <c r="AR63" s="182">
        <f t="shared" si="29"/>
        <v>0</v>
      </c>
    </row>
    <row r="64" spans="1:44" ht="15" x14ac:dyDescent="0.25">
      <c r="A64" s="148" t="str">
        <f t="shared" si="15"/>
        <v>46234M</v>
      </c>
      <c r="B64" s="51">
        <f t="shared" si="35"/>
        <v>46234</v>
      </c>
      <c r="C64" s="157" t="s">
        <v>87</v>
      </c>
      <c r="D64" s="184"/>
      <c r="E64" s="169"/>
      <c r="F64" s="169"/>
      <c r="G64" s="169">
        <f t="shared" si="16"/>
        <v>0</v>
      </c>
      <c r="H64" s="170">
        <f t="shared" si="17"/>
        <v>0</v>
      </c>
      <c r="I64" s="160"/>
      <c r="J64" s="161"/>
      <c r="K64" s="162"/>
      <c r="L64" s="163"/>
      <c r="M64" s="58"/>
      <c r="N64" s="58"/>
      <c r="O64" s="59"/>
      <c r="P64" s="56"/>
      <c r="Q64" s="60"/>
      <c r="R64" s="168">
        <f t="shared" si="18"/>
        <v>0</v>
      </c>
      <c r="S64" s="169">
        <f t="shared" si="19"/>
        <v>0</v>
      </c>
      <c r="T64" s="170">
        <f t="shared" si="20"/>
        <v>0</v>
      </c>
      <c r="U64" s="171"/>
      <c r="V64" s="172"/>
      <c r="W64" s="159"/>
      <c r="X64" s="67"/>
      <c r="Y64" s="68"/>
      <c r="Z64" s="68"/>
      <c r="AA64" s="62">
        <f t="shared" si="39"/>
        <v>0</v>
      </c>
      <c r="AB64" s="63">
        <f t="shared" si="37"/>
        <v>0</v>
      </c>
      <c r="AC64" s="175"/>
      <c r="AD64" s="176"/>
      <c r="AE64" s="176"/>
      <c r="AF64" s="169">
        <f t="shared" si="23"/>
        <v>0</v>
      </c>
      <c r="AG64" s="170">
        <f t="shared" si="24"/>
        <v>0</v>
      </c>
      <c r="AH64" s="158"/>
      <c r="AI64" s="159"/>
      <c r="AJ64" s="159"/>
      <c r="AK64" s="169">
        <f t="shared" si="30"/>
        <v>0</v>
      </c>
      <c r="AL64" s="178">
        <f t="shared" si="31"/>
        <v>0</v>
      </c>
      <c r="AM64" s="179">
        <f t="shared" si="32"/>
        <v>0</v>
      </c>
      <c r="AN64" s="180">
        <f t="shared" si="33"/>
        <v>0</v>
      </c>
      <c r="AO64" s="180">
        <f t="shared" si="34"/>
        <v>0</v>
      </c>
      <c r="AP64" s="181" t="e">
        <f t="shared" si="40"/>
        <v>#DIV/0!</v>
      </c>
      <c r="AQ64" s="76">
        <f t="shared" si="13"/>
        <v>0</v>
      </c>
      <c r="AR64" s="182">
        <f t="shared" si="29"/>
        <v>0</v>
      </c>
    </row>
    <row r="65" spans="1:44" ht="15" x14ac:dyDescent="0.25">
      <c r="A65" s="148" t="str">
        <f t="shared" si="15"/>
        <v>46234E</v>
      </c>
      <c r="B65" s="51">
        <f t="shared" si="35"/>
        <v>46234</v>
      </c>
      <c r="C65" s="157" t="s">
        <v>88</v>
      </c>
      <c r="D65" s="184"/>
      <c r="E65" s="169"/>
      <c r="F65" s="169"/>
      <c r="G65" s="169">
        <f t="shared" si="16"/>
        <v>0</v>
      </c>
      <c r="H65" s="170">
        <f t="shared" si="17"/>
        <v>0</v>
      </c>
      <c r="I65" s="160"/>
      <c r="J65" s="161"/>
      <c r="K65" s="162"/>
      <c r="L65" s="163"/>
      <c r="M65" s="58"/>
      <c r="N65" s="58"/>
      <c r="O65" s="59"/>
      <c r="P65" s="56"/>
      <c r="Q65" s="60"/>
      <c r="R65" s="168">
        <f t="shared" si="18"/>
        <v>0</v>
      </c>
      <c r="S65" s="169">
        <f t="shared" si="19"/>
        <v>0</v>
      </c>
      <c r="T65" s="170">
        <f t="shared" si="20"/>
        <v>0</v>
      </c>
      <c r="U65" s="171"/>
      <c r="V65" s="172"/>
      <c r="W65" s="159"/>
      <c r="X65" s="67"/>
      <c r="Y65" s="68"/>
      <c r="Z65" s="68"/>
      <c r="AA65" s="62">
        <f t="shared" si="39"/>
        <v>0</v>
      </c>
      <c r="AB65" s="63">
        <f t="shared" ref="AB65" si="41">X65*Z65%</f>
        <v>0</v>
      </c>
      <c r="AC65" s="175"/>
      <c r="AD65" s="176"/>
      <c r="AE65" s="176"/>
      <c r="AF65" s="169">
        <f t="shared" si="23"/>
        <v>0</v>
      </c>
      <c r="AG65" s="170">
        <f t="shared" si="24"/>
        <v>0</v>
      </c>
      <c r="AH65" s="158"/>
      <c r="AI65" s="159"/>
      <c r="AJ65" s="159"/>
      <c r="AK65" s="169">
        <f t="shared" si="30"/>
        <v>0</v>
      </c>
      <c r="AL65" s="178">
        <f t="shared" si="31"/>
        <v>0</v>
      </c>
      <c r="AM65" s="179">
        <f t="shared" si="32"/>
        <v>0</v>
      </c>
      <c r="AN65" s="180">
        <f t="shared" si="33"/>
        <v>0</v>
      </c>
      <c r="AO65" s="180">
        <f t="shared" si="34"/>
        <v>0</v>
      </c>
      <c r="AP65" s="181" t="e">
        <f t="shared" si="40"/>
        <v>#DIV/0!</v>
      </c>
      <c r="AQ65" s="76">
        <f t="shared" si="13"/>
        <v>0</v>
      </c>
      <c r="AR65" s="182">
        <f t="shared" si="29"/>
        <v>0</v>
      </c>
    </row>
    <row r="66" spans="1:44" x14ac:dyDescent="0.2">
      <c r="J66" s="190">
        <f>SUM(J4:J65)</f>
        <v>96953.900000000009</v>
      </c>
      <c r="AM66" s="190">
        <f>-SUM(AM4:AM65)</f>
        <v>732.40000000000168</v>
      </c>
      <c r="AN66" s="190">
        <f t="shared" ref="AN66:AO66" si="42">-SUM(AN4:AN65)</f>
        <v>43.14603199999884</v>
      </c>
      <c r="AO66" s="190">
        <f t="shared" si="42"/>
        <v>43.531386499998376</v>
      </c>
      <c r="AQ66" s="190">
        <f>-SUM(AQ4:AQ65)</f>
        <v>33770.335343222338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4" priority="6" operator="lessThan">
      <formula>0.1</formula>
    </cfRule>
    <cfRule type="cellIs" dxfId="63" priority="7" operator="greaterThan">
      <formula>0.1</formula>
    </cfRule>
  </conditionalFormatting>
  <conditionalFormatting sqref="AP1:AQ1">
    <cfRule type="cellIs" dxfId="62" priority="5" operator="lessThan">
      <formula>1</formula>
    </cfRule>
  </conditionalFormatting>
  <conditionalFormatting sqref="AQ4:AQ65">
    <cfRule type="cellIs" dxfId="61" priority="1" operator="lessThan">
      <formula>0</formula>
    </cfRule>
    <cfRule type="cellIs" dxfId="60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6"/>
  <sheetViews>
    <sheetView zoomScale="80" zoomScaleNormal="80" workbookViewId="0">
      <selection activeCell="AC18" sqref="AC18:AE18"/>
    </sheetView>
  </sheetViews>
  <sheetFormatPr defaultRowHeight="15" x14ac:dyDescent="0.25"/>
  <cols>
    <col min="1" max="1" width="5" customWidth="1"/>
    <col min="2" max="2" width="9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175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3">
        <v>2158</v>
      </c>
      <c r="E4" s="55">
        <v>4.7</v>
      </c>
      <c r="F4" s="55">
        <v>8.4</v>
      </c>
      <c r="G4" s="169">
        <f t="shared" ref="G4:G65" si="0">+D4*E4%</f>
        <v>101.426</v>
      </c>
      <c r="H4" s="170">
        <f t="shared" ref="H4:H65" si="1">+D4*F4%</f>
        <v>181.27200000000002</v>
      </c>
      <c r="I4" s="118">
        <v>781.8599999999999</v>
      </c>
      <c r="J4" s="119">
        <v>805.31579999999997</v>
      </c>
      <c r="K4" s="120">
        <v>5.308931266467142</v>
      </c>
      <c r="L4" s="121">
        <v>8.2600324866344348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805.31579999999997</v>
      </c>
      <c r="S4" s="62">
        <f t="shared" ref="S4:S65" si="2">+J4*K4%+O4*P4%</f>
        <v>42.753662299999995</v>
      </c>
      <c r="T4" s="63">
        <f t="shared" ref="T4:T65" si="3">+J4*L4%+O4*Q4%</f>
        <v>66.519346699999986</v>
      </c>
      <c r="U4" s="64" t="s">
        <v>180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56" si="4">X4*Y4%</f>
        <v>0</v>
      </c>
      <c r="AB4" s="63">
        <f t="shared" ref="AB4:AB56" si="5">X4*Z4%</f>
        <v>0</v>
      </c>
      <c r="AC4" s="69"/>
      <c r="AD4" s="70"/>
      <c r="AE4" s="70"/>
      <c r="AF4" s="62">
        <f t="shared" ref="AF4:AF65" si="6">AC4*AD4%</f>
        <v>0</v>
      </c>
      <c r="AG4" s="63">
        <f>AC4*AE4%</f>
        <v>0</v>
      </c>
      <c r="AH4" s="89">
        <v>2963.3</v>
      </c>
      <c r="AI4" s="66">
        <v>4.87</v>
      </c>
      <c r="AJ4" s="66">
        <v>8.36</v>
      </c>
      <c r="AK4" s="62">
        <f t="shared" ref="AK4:AK65" si="7">AH4*AI4%</f>
        <v>144.31271000000001</v>
      </c>
      <c r="AL4" s="72">
        <f t="shared" ref="AL4:AL65" si="8">AH4*AJ4%</f>
        <v>247.73187999999999</v>
      </c>
      <c r="AM4" s="73">
        <f>+D4+R4-AC4-AH4</f>
        <v>1.5799999999671854E-2</v>
      </c>
      <c r="AN4" s="74">
        <f t="shared" ref="AN4:AO19" si="9">+G4+S4-AF4-AK4</f>
        <v>-0.13304770000002009</v>
      </c>
      <c r="AO4" s="74">
        <f t="shared" si="9"/>
        <v>5.9466700000029959E-2</v>
      </c>
      <c r="AP4" s="75">
        <f>(AN4+AO4)/(S4+T4)</f>
        <v>-6.7336848022543378E-4</v>
      </c>
      <c r="AQ4" s="76">
        <f t="shared" ref="AQ4:AQ65" si="10">($AP$1*AN4+$AQ$1*AO4)</f>
        <v>-46.124002830029397</v>
      </c>
      <c r="AR4" s="83">
        <f>(D4+J4+O4)-(X4+AH4)</f>
        <v>1.5799999999671854E-2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2963.3</v>
      </c>
      <c r="E5" s="62">
        <v>4.87</v>
      </c>
      <c r="F5" s="62">
        <v>8.36</v>
      </c>
      <c r="G5" s="169">
        <f t="shared" si="0"/>
        <v>144.31271000000001</v>
      </c>
      <c r="H5" s="170">
        <f t="shared" si="1"/>
        <v>247.73187999999999</v>
      </c>
      <c r="I5" s="118">
        <v>1571.65</v>
      </c>
      <c r="J5" s="119">
        <v>1618.7995000000001</v>
      </c>
      <c r="K5" s="120">
        <v>4.208401997900296</v>
      </c>
      <c r="L5" s="121">
        <v>8.2901956542487198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1618.7995000000001</v>
      </c>
      <c r="S5" s="62">
        <f t="shared" si="2"/>
        <v>68.125590500000015</v>
      </c>
      <c r="T5" s="63">
        <f t="shared" si="3"/>
        <v>134.20164579999999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ref="AG5:AG65" si="13">AC5*AE5%</f>
        <v>0</v>
      </c>
      <c r="AH5" s="96">
        <v>4580.3999999999996</v>
      </c>
      <c r="AI5" s="66">
        <v>4.6399999999999997</v>
      </c>
      <c r="AJ5" s="66">
        <v>8.31</v>
      </c>
      <c r="AK5" s="62">
        <f t="shared" si="7"/>
        <v>212.53055999999998</v>
      </c>
      <c r="AL5" s="72">
        <f t="shared" si="8"/>
        <v>380.63123999999999</v>
      </c>
      <c r="AM5" s="73">
        <f t="shared" ref="AM5:AM65" si="14">+D5+R5-AC5-AH5</f>
        <v>1.6995000000006257</v>
      </c>
      <c r="AN5" s="74">
        <f t="shared" si="9"/>
        <v>-9.2259499999954642E-2</v>
      </c>
      <c r="AO5" s="74">
        <f t="shared" si="9"/>
        <v>1.3022857999999928</v>
      </c>
      <c r="AP5" s="75">
        <f t="shared" ref="AP5:AP65" si="15">(AN5+AO5)/(S5+T5)</f>
        <v>5.9805408413026303E-3</v>
      </c>
      <c r="AQ5" s="76">
        <f t="shared" si="10"/>
        <v>345.68931101934822</v>
      </c>
      <c r="AR5" s="83">
        <f t="shared" ref="AR5:AR65" si="16">(D5+J5+O5)-(X5+AH5)</f>
        <v>1.6995000000006257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79">
        <v>4580.3999999999996</v>
      </c>
      <c r="E6" s="62">
        <v>4.6399999999999997</v>
      </c>
      <c r="F6" s="62">
        <v>8.31</v>
      </c>
      <c r="G6" s="169">
        <f t="shared" si="0"/>
        <v>212.53055999999998</v>
      </c>
      <c r="H6" s="170">
        <f t="shared" si="1"/>
        <v>380.63123999999999</v>
      </c>
      <c r="I6" s="118">
        <v>830.83</v>
      </c>
      <c r="J6" s="119">
        <v>855.75490000000002</v>
      </c>
      <c r="K6" s="120">
        <v>4.9018511608873068</v>
      </c>
      <c r="L6" s="121">
        <v>8.7095579119675506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855.75490000000002</v>
      </c>
      <c r="S6" s="62">
        <f t="shared" si="2"/>
        <v>41.947831500000014</v>
      </c>
      <c r="T6" s="63">
        <f t="shared" si="3"/>
        <v>74.532468600000001</v>
      </c>
      <c r="U6" s="64" t="s">
        <v>194</v>
      </c>
      <c r="V6" s="65" t="s">
        <v>234</v>
      </c>
      <c r="W6" s="66" t="s">
        <v>190</v>
      </c>
      <c r="X6" s="67">
        <v>5570</v>
      </c>
      <c r="Y6" s="68">
        <v>4.7</v>
      </c>
      <c r="Z6" s="68">
        <v>8.41</v>
      </c>
      <c r="AA6" s="62">
        <f t="shared" si="4"/>
        <v>261.79000000000002</v>
      </c>
      <c r="AB6" s="63">
        <f t="shared" si="5"/>
        <v>468.43700000000007</v>
      </c>
      <c r="AC6" s="69">
        <v>5570</v>
      </c>
      <c r="AD6" s="70">
        <v>4.6500000000000004</v>
      </c>
      <c r="AE6" s="70">
        <v>8.27</v>
      </c>
      <c r="AF6" s="62">
        <f t="shared" si="6"/>
        <v>259.00500000000005</v>
      </c>
      <c r="AG6" s="63">
        <f t="shared" si="13"/>
        <v>460.63899999999995</v>
      </c>
      <c r="AH6" s="96">
        <v>0</v>
      </c>
      <c r="AI6" s="66">
        <v>0</v>
      </c>
      <c r="AJ6" s="66">
        <v>0</v>
      </c>
      <c r="AK6" s="62">
        <f t="shared" si="7"/>
        <v>0</v>
      </c>
      <c r="AL6" s="72">
        <f t="shared" si="8"/>
        <v>0</v>
      </c>
      <c r="AM6" s="73">
        <f t="shared" si="14"/>
        <v>-133.84510000000046</v>
      </c>
      <c r="AN6" s="74">
        <f t="shared" si="9"/>
        <v>-4.5266085000000658</v>
      </c>
      <c r="AO6" s="74">
        <f t="shared" si="9"/>
        <v>-5.4752913999999464</v>
      </c>
      <c r="AP6" s="75">
        <f t="shared" si="15"/>
        <v>-8.5867738075994279E-2</v>
      </c>
      <c r="AQ6" s="76">
        <f t="shared" si="10"/>
        <v>-3814.9837396348385</v>
      </c>
      <c r="AR6" s="83">
        <f t="shared" si="16"/>
        <v>-133.84510000000046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79">
        <v>0</v>
      </c>
      <c r="E7" s="62">
        <v>0</v>
      </c>
      <c r="F7" s="62">
        <v>0</v>
      </c>
      <c r="G7" s="169">
        <f t="shared" si="0"/>
        <v>0</v>
      </c>
      <c r="H7" s="170">
        <f t="shared" si="1"/>
        <v>0</v>
      </c>
      <c r="I7" s="118">
        <v>2090.6</v>
      </c>
      <c r="J7" s="119">
        <v>2153.3179999999998</v>
      </c>
      <c r="K7" s="120">
        <v>4.4891514397780536</v>
      </c>
      <c r="L7" s="121">
        <v>8.4609490098536302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2153.3179999999998</v>
      </c>
      <c r="S7" s="62">
        <f t="shared" si="2"/>
        <v>96.665705999999986</v>
      </c>
      <c r="T7" s="63">
        <f t="shared" si="3"/>
        <v>182.19113799999997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13"/>
        <v>0</v>
      </c>
      <c r="AH7" s="96">
        <v>2153.3000000000002</v>
      </c>
      <c r="AI7" s="66">
        <v>4.49</v>
      </c>
      <c r="AJ7" s="66">
        <v>8.4600000000000009</v>
      </c>
      <c r="AK7" s="62">
        <f t="shared" si="7"/>
        <v>96.683170000000018</v>
      </c>
      <c r="AL7" s="72">
        <f t="shared" si="8"/>
        <v>182.16918000000004</v>
      </c>
      <c r="AM7" s="73">
        <f t="shared" si="14"/>
        <v>1.7999999999574356E-2</v>
      </c>
      <c r="AN7" s="74">
        <f t="shared" si="9"/>
        <v>-1.7464000000032343E-2</v>
      </c>
      <c r="AO7" s="74">
        <f t="shared" si="9"/>
        <v>2.1957999999926869E-2</v>
      </c>
      <c r="AP7" s="75">
        <f t="shared" si="15"/>
        <v>1.6115795959788339E-5</v>
      </c>
      <c r="AQ7" s="76">
        <f t="shared" si="10"/>
        <v>-1.8157948721523773</v>
      </c>
      <c r="AR7" s="83">
        <f t="shared" si="16"/>
        <v>1.7999999999574356E-2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79">
        <v>2153.3000000000002</v>
      </c>
      <c r="E8" s="62">
        <v>4.49</v>
      </c>
      <c r="F8" s="62">
        <v>8.4600000000000009</v>
      </c>
      <c r="G8" s="169">
        <f t="shared" si="0"/>
        <v>96.683170000000018</v>
      </c>
      <c r="H8" s="170">
        <f t="shared" si="1"/>
        <v>182.16918000000004</v>
      </c>
      <c r="I8" s="118">
        <v>637.54999999999995</v>
      </c>
      <c r="J8" s="119">
        <v>656.67649999999992</v>
      </c>
      <c r="K8" s="120">
        <v>5.1273280527017482</v>
      </c>
      <c r="L8" s="121">
        <v>8.5826084228687947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656.67649999999992</v>
      </c>
      <c r="S8" s="62">
        <f t="shared" si="2"/>
        <v>33.669958399999992</v>
      </c>
      <c r="T8" s="63">
        <f t="shared" si="3"/>
        <v>56.359972599999992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13"/>
        <v>0</v>
      </c>
      <c r="AH8" s="96">
        <v>2809.9</v>
      </c>
      <c r="AI8" s="66">
        <v>4.6399999999999997</v>
      </c>
      <c r="AJ8" s="66">
        <v>8.49</v>
      </c>
      <c r="AK8" s="62">
        <f t="shared" si="7"/>
        <v>130.37935999999999</v>
      </c>
      <c r="AL8" s="72">
        <f t="shared" si="8"/>
        <v>238.56051000000002</v>
      </c>
      <c r="AM8" s="73">
        <f t="shared" si="14"/>
        <v>7.6500000000123691E-2</v>
      </c>
      <c r="AN8" s="74">
        <f t="shared" si="9"/>
        <v>-2.6231599999988475E-2</v>
      </c>
      <c r="AO8" s="74">
        <f t="shared" si="9"/>
        <v>-3.1357399999990321E-2</v>
      </c>
      <c r="AP8" s="75">
        <f t="shared" si="15"/>
        <v>-6.3966504650524289E-4</v>
      </c>
      <c r="AQ8" s="76">
        <f t="shared" si="10"/>
        <v>-21.996399685210768</v>
      </c>
      <c r="AR8" s="83">
        <f t="shared" si="16"/>
        <v>7.6500000000123691E-2</v>
      </c>
    </row>
    <row r="9" spans="1:44" x14ac:dyDescent="0.25">
      <c r="A9" t="str">
        <f t="shared" si="11"/>
        <v>46206E</v>
      </c>
      <c r="B9" s="51">
        <f t="shared" ref="B9:B65" si="17">+B7+1</f>
        <v>46206</v>
      </c>
      <c r="C9" s="52" t="s">
        <v>88</v>
      </c>
      <c r="D9" s="79">
        <v>2809.9</v>
      </c>
      <c r="E9" s="62">
        <v>4.6399999999999997</v>
      </c>
      <c r="F9" s="62">
        <v>8.49</v>
      </c>
      <c r="G9" s="169">
        <f t="shared" si="0"/>
        <v>130.37935999999999</v>
      </c>
      <c r="H9" s="170">
        <f t="shared" si="1"/>
        <v>238.56051000000002</v>
      </c>
      <c r="I9" s="118">
        <v>1842.6699999999996</v>
      </c>
      <c r="J9" s="119">
        <v>1897.9500999999996</v>
      </c>
      <c r="K9" s="120">
        <v>4.2708520787769917</v>
      </c>
      <c r="L9" s="121">
        <v>8.3102671666657617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1897.9500999999996</v>
      </c>
      <c r="S9" s="62">
        <f t="shared" si="2"/>
        <v>81.058641299999977</v>
      </c>
      <c r="T9" s="63">
        <f t="shared" si="3"/>
        <v>157.72472399999995</v>
      </c>
      <c r="U9" s="64" t="s">
        <v>167</v>
      </c>
      <c r="V9" s="65" t="s">
        <v>180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13"/>
        <v>0</v>
      </c>
      <c r="AH9" s="109">
        <v>4707.8999999999996</v>
      </c>
      <c r="AI9" s="66">
        <v>4.49</v>
      </c>
      <c r="AJ9" s="66">
        <v>8.42</v>
      </c>
      <c r="AK9" s="62">
        <f t="shared" si="7"/>
        <v>211.38470999999998</v>
      </c>
      <c r="AL9" s="72">
        <f t="shared" si="8"/>
        <v>396.40517999999997</v>
      </c>
      <c r="AM9" s="73">
        <f t="shared" si="14"/>
        <v>-4.9899999999979627E-2</v>
      </c>
      <c r="AN9" s="74">
        <f t="shared" si="9"/>
        <v>5.3291299999983721E-2</v>
      </c>
      <c r="AO9" s="74">
        <f t="shared" si="9"/>
        <v>-0.1199460000000272</v>
      </c>
      <c r="AP9" s="75">
        <f t="shared" si="15"/>
        <v>-2.7914297931223392E-4</v>
      </c>
      <c r="AQ9" s="76">
        <f t="shared" si="10"/>
        <v>-10.314555088093506</v>
      </c>
      <c r="AR9" s="83">
        <f t="shared" si="16"/>
        <v>-4.9899999999979627E-2</v>
      </c>
    </row>
    <row r="10" spans="1:44" x14ac:dyDescent="0.25">
      <c r="A10" t="str">
        <f t="shared" si="11"/>
        <v>46207M</v>
      </c>
      <c r="B10" s="51">
        <f t="shared" si="17"/>
        <v>46207</v>
      </c>
      <c r="C10" s="52" t="s">
        <v>87</v>
      </c>
      <c r="D10" s="79">
        <v>4707.8999999999996</v>
      </c>
      <c r="E10" s="62">
        <v>4.49</v>
      </c>
      <c r="F10" s="62">
        <v>8.42</v>
      </c>
      <c r="G10" s="169">
        <f t="shared" si="0"/>
        <v>211.38470999999998</v>
      </c>
      <c r="H10" s="170">
        <f t="shared" si="1"/>
        <v>396.40517999999997</v>
      </c>
      <c r="I10" s="118">
        <v>1108.4000000000001</v>
      </c>
      <c r="J10" s="119">
        <v>1141.652</v>
      </c>
      <c r="K10" s="120">
        <v>5.0207966438108986</v>
      </c>
      <c r="L10" s="121">
        <v>8.1824864669794319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1141.652</v>
      </c>
      <c r="S10" s="62">
        <f t="shared" si="2"/>
        <v>57.320025300000005</v>
      </c>
      <c r="T10" s="63">
        <f t="shared" si="3"/>
        <v>93.41552040000002</v>
      </c>
      <c r="U10" s="64" t="s">
        <v>192</v>
      </c>
      <c r="V10" s="65" t="s">
        <v>275</v>
      </c>
      <c r="W10" s="66" t="s">
        <v>187</v>
      </c>
      <c r="X10" s="67">
        <v>5860</v>
      </c>
      <c r="Y10" s="68">
        <v>4.7</v>
      </c>
      <c r="Z10" s="68">
        <v>8.4700000000000006</v>
      </c>
      <c r="AA10" s="62">
        <f t="shared" si="4"/>
        <v>275.42</v>
      </c>
      <c r="AB10" s="63">
        <f t="shared" si="5"/>
        <v>496.34200000000004</v>
      </c>
      <c r="AC10" s="69">
        <v>5850</v>
      </c>
      <c r="AD10" s="70">
        <v>4.7823076923076924</v>
      </c>
      <c r="AE10" s="70">
        <v>8.7185811965811979</v>
      </c>
      <c r="AF10" s="62">
        <f t="shared" si="6"/>
        <v>279.76500000000004</v>
      </c>
      <c r="AG10" s="63">
        <f t="shared" si="13"/>
        <v>510.03700000000003</v>
      </c>
      <c r="AH10" s="96">
        <v>0</v>
      </c>
      <c r="AI10" s="66">
        <v>0</v>
      </c>
      <c r="AJ10" s="66">
        <v>0</v>
      </c>
      <c r="AK10" s="62">
        <f t="shared" si="7"/>
        <v>0</v>
      </c>
      <c r="AL10" s="72">
        <f t="shared" si="8"/>
        <v>0</v>
      </c>
      <c r="AM10" s="73">
        <f t="shared" si="14"/>
        <v>-0.44800000000032014</v>
      </c>
      <c r="AN10" s="74">
        <f t="shared" si="9"/>
        <v>-11.060264700000062</v>
      </c>
      <c r="AO10" s="74">
        <f t="shared" si="9"/>
        <v>-20.21629960000007</v>
      </c>
      <c r="AP10" s="75">
        <f t="shared" si="15"/>
        <v>-0.20749295831155853</v>
      </c>
      <c r="AQ10" s="76">
        <f t="shared" si="10"/>
        <v>-11369.418914802305</v>
      </c>
      <c r="AR10" s="83">
        <f t="shared" si="16"/>
        <v>-10.44800000000032</v>
      </c>
    </row>
    <row r="11" spans="1:44" x14ac:dyDescent="0.25">
      <c r="A11" t="str">
        <f t="shared" si="11"/>
        <v>46207E</v>
      </c>
      <c r="B11" s="51">
        <f t="shared" si="17"/>
        <v>46207</v>
      </c>
      <c r="C11" s="52" t="s">
        <v>88</v>
      </c>
      <c r="D11" s="79">
        <v>0</v>
      </c>
      <c r="E11" s="62">
        <v>0</v>
      </c>
      <c r="F11" s="62">
        <v>0</v>
      </c>
      <c r="G11" s="169">
        <f t="shared" si="0"/>
        <v>0</v>
      </c>
      <c r="H11" s="170">
        <f t="shared" si="1"/>
        <v>0</v>
      </c>
      <c r="I11" s="118">
        <v>1836.3999999999999</v>
      </c>
      <c r="J11" s="119">
        <v>1891.492</v>
      </c>
      <c r="K11" s="120">
        <v>4.2111250272271832</v>
      </c>
      <c r="L11" s="121">
        <v>8.3171640165541287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1891.492</v>
      </c>
      <c r="S11" s="62">
        <f t="shared" si="2"/>
        <v>79.653092999999998</v>
      </c>
      <c r="T11" s="63">
        <f t="shared" si="3"/>
        <v>157.31849200000002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13"/>
        <v>0</v>
      </c>
      <c r="AH11" s="96">
        <v>1891.4</v>
      </c>
      <c r="AI11" s="66">
        <v>4.21</v>
      </c>
      <c r="AJ11" s="66">
        <v>8.32</v>
      </c>
      <c r="AK11" s="62">
        <f t="shared" si="7"/>
        <v>79.627939999999995</v>
      </c>
      <c r="AL11" s="72">
        <f t="shared" si="8"/>
        <v>157.36447999999999</v>
      </c>
      <c r="AM11" s="73">
        <f t="shared" si="14"/>
        <v>9.1999999999870852E-2</v>
      </c>
      <c r="AN11" s="74">
        <f t="shared" si="9"/>
        <v>2.515300000000309E-2</v>
      </c>
      <c r="AO11" s="74">
        <f t="shared" si="9"/>
        <v>-4.5987999999965723E-2</v>
      </c>
      <c r="AP11" s="75">
        <f t="shared" si="15"/>
        <v>-8.7921933762491537E-5</v>
      </c>
      <c r="AQ11" s="76">
        <f t="shared" si="10"/>
        <v>-1.6861614510661838</v>
      </c>
      <c r="AR11" s="83">
        <f t="shared" si="16"/>
        <v>9.1999999999870852E-2</v>
      </c>
    </row>
    <row r="12" spans="1:44" x14ac:dyDescent="0.25">
      <c r="A12" t="str">
        <f t="shared" si="11"/>
        <v>46208M</v>
      </c>
      <c r="B12" s="51">
        <f t="shared" si="17"/>
        <v>46208</v>
      </c>
      <c r="C12" s="52" t="s">
        <v>87</v>
      </c>
      <c r="D12" s="79">
        <v>1891.4</v>
      </c>
      <c r="E12" s="62">
        <v>4.21</v>
      </c>
      <c r="F12" s="62">
        <v>8.32</v>
      </c>
      <c r="G12" s="169">
        <f t="shared" si="0"/>
        <v>79.627939999999995</v>
      </c>
      <c r="H12" s="170">
        <f t="shared" si="1"/>
        <v>157.36447999999999</v>
      </c>
      <c r="I12" s="118">
        <v>1134.0999999999999</v>
      </c>
      <c r="J12" s="119">
        <v>1168.123</v>
      </c>
      <c r="K12" s="120">
        <v>4.5420245128295562</v>
      </c>
      <c r="L12" s="121">
        <v>8.5110484084295912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1168.123</v>
      </c>
      <c r="S12" s="62">
        <f t="shared" si="2"/>
        <v>53.056432999999998</v>
      </c>
      <c r="T12" s="63">
        <f t="shared" si="3"/>
        <v>99.419514000000007</v>
      </c>
      <c r="U12" s="64" t="s">
        <v>167</v>
      </c>
      <c r="V12" s="65" t="s">
        <v>180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13"/>
        <v>0</v>
      </c>
      <c r="AH12" s="96">
        <v>3059.6</v>
      </c>
      <c r="AI12" s="66">
        <v>4.34</v>
      </c>
      <c r="AJ12" s="66">
        <v>8.39</v>
      </c>
      <c r="AK12" s="62">
        <f t="shared" si="7"/>
        <v>132.78664000000001</v>
      </c>
      <c r="AL12" s="72">
        <f t="shared" si="8"/>
        <v>256.70044000000001</v>
      </c>
      <c r="AM12" s="73">
        <f t="shared" si="14"/>
        <v>-7.6999999999770807E-2</v>
      </c>
      <c r="AN12" s="74">
        <f t="shared" si="9"/>
        <v>-0.10226700000001188</v>
      </c>
      <c r="AO12" s="74">
        <f t="shared" si="9"/>
        <v>8.3553999999992357E-2</v>
      </c>
      <c r="AP12" s="75">
        <f t="shared" si="15"/>
        <v>-1.2272755387457616E-4</v>
      </c>
      <c r="AQ12" s="76">
        <f t="shared" si="10"/>
        <v>-24.118942765727081</v>
      </c>
      <c r="AR12" s="83">
        <f t="shared" si="16"/>
        <v>-7.6999999999770807E-2</v>
      </c>
    </row>
    <row r="13" spans="1:44" x14ac:dyDescent="0.25">
      <c r="A13" t="str">
        <f t="shared" si="11"/>
        <v>46208E</v>
      </c>
      <c r="B13" s="51">
        <f t="shared" si="17"/>
        <v>46208</v>
      </c>
      <c r="C13" s="52" t="s">
        <v>88</v>
      </c>
      <c r="D13" s="79">
        <v>3059.6</v>
      </c>
      <c r="E13" s="62">
        <v>4.34</v>
      </c>
      <c r="F13" s="62">
        <v>8.39</v>
      </c>
      <c r="G13" s="169">
        <f t="shared" si="0"/>
        <v>132.78664000000001</v>
      </c>
      <c r="H13" s="170">
        <f t="shared" si="1"/>
        <v>256.70044000000001</v>
      </c>
      <c r="I13" s="118">
        <v>1659.3000000000002</v>
      </c>
      <c r="J13" s="119">
        <v>1709.0790000000002</v>
      </c>
      <c r="K13" s="120">
        <v>4.2429639004399444</v>
      </c>
      <c r="L13" s="121">
        <v>8.2330199481709148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1709.0790000000002</v>
      </c>
      <c r="S13" s="62">
        <f t="shared" si="2"/>
        <v>72.515605000000008</v>
      </c>
      <c r="T13" s="63">
        <f t="shared" si="3"/>
        <v>140.70881500000002</v>
      </c>
      <c r="U13" s="64" t="s">
        <v>167</v>
      </c>
      <c r="V13" s="65" t="s">
        <v>180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13"/>
        <v>0</v>
      </c>
      <c r="AH13" s="96">
        <v>4768.6000000000004</v>
      </c>
      <c r="AI13" s="66">
        <v>4.3</v>
      </c>
      <c r="AJ13" s="66">
        <v>8.33</v>
      </c>
      <c r="AK13" s="62">
        <f t="shared" si="7"/>
        <v>205.0498</v>
      </c>
      <c r="AL13" s="72">
        <f t="shared" si="8"/>
        <v>397.22438000000005</v>
      </c>
      <c r="AM13" s="73">
        <f t="shared" si="14"/>
        <v>7.8999999999723514E-2</v>
      </c>
      <c r="AN13" s="74">
        <f t="shared" si="9"/>
        <v>0.2524450000000229</v>
      </c>
      <c r="AO13" s="74">
        <f t="shared" si="9"/>
        <v>0.18487499999997681</v>
      </c>
      <c r="AP13" s="75">
        <f t="shared" si="15"/>
        <v>2.0509845917273438E-3</v>
      </c>
      <c r="AQ13" s="76">
        <f t="shared" si="10"/>
        <v>176.67645533069717</v>
      </c>
      <c r="AR13" s="83">
        <f t="shared" si="16"/>
        <v>7.8999999999723514E-2</v>
      </c>
    </row>
    <row r="14" spans="1:44" x14ac:dyDescent="0.25">
      <c r="A14" t="str">
        <f t="shared" si="11"/>
        <v>46209M</v>
      </c>
      <c r="B14" s="51">
        <f t="shared" si="17"/>
        <v>46209</v>
      </c>
      <c r="C14" s="52" t="s">
        <v>87</v>
      </c>
      <c r="D14" s="79">
        <v>4768.6000000000004</v>
      </c>
      <c r="E14" s="62">
        <v>4.3</v>
      </c>
      <c r="F14" s="62">
        <v>8.33</v>
      </c>
      <c r="G14" s="169">
        <f t="shared" si="0"/>
        <v>205.0498</v>
      </c>
      <c r="H14" s="170">
        <f t="shared" si="1"/>
        <v>397.22438000000005</v>
      </c>
      <c r="I14" s="118">
        <v>946.5</v>
      </c>
      <c r="J14" s="119">
        <v>974.89499999999998</v>
      </c>
      <c r="K14" s="120">
        <v>4.7365134706814587</v>
      </c>
      <c r="L14" s="121">
        <v>8.3974960380348662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974.89499999999998</v>
      </c>
      <c r="S14" s="62">
        <f t="shared" si="2"/>
        <v>46.176033000000011</v>
      </c>
      <c r="T14" s="63">
        <f t="shared" si="3"/>
        <v>81.866769000000005</v>
      </c>
      <c r="U14" s="64" t="s">
        <v>194</v>
      </c>
      <c r="V14" s="65" t="s">
        <v>335</v>
      </c>
      <c r="W14" s="66" t="s">
        <v>190</v>
      </c>
      <c r="X14" s="67">
        <v>5810</v>
      </c>
      <c r="Y14" s="68">
        <v>4.45</v>
      </c>
      <c r="Z14" s="68">
        <v>8.42</v>
      </c>
      <c r="AA14" s="62">
        <f t="shared" si="4"/>
        <v>258.54500000000002</v>
      </c>
      <c r="AB14" s="63">
        <f t="shared" si="5"/>
        <v>489.202</v>
      </c>
      <c r="AC14" s="69">
        <v>5810</v>
      </c>
      <c r="AD14" s="70">
        <v>4.4000000000000004</v>
      </c>
      <c r="AE14" s="70">
        <v>8.41</v>
      </c>
      <c r="AF14" s="62">
        <f t="shared" si="6"/>
        <v>255.64000000000001</v>
      </c>
      <c r="AG14" s="63">
        <f t="shared" si="13"/>
        <v>488.62100000000004</v>
      </c>
      <c r="AH14" s="89">
        <v>0</v>
      </c>
      <c r="AI14" s="66">
        <v>0</v>
      </c>
      <c r="AJ14" s="66">
        <v>0</v>
      </c>
      <c r="AK14" s="62">
        <f t="shared" si="7"/>
        <v>0</v>
      </c>
      <c r="AL14" s="72">
        <f t="shared" si="8"/>
        <v>0</v>
      </c>
      <c r="AM14" s="73">
        <f t="shared" si="14"/>
        <v>-66.5049999999992</v>
      </c>
      <c r="AN14" s="74">
        <f t="shared" si="9"/>
        <v>-4.414166999999992</v>
      </c>
      <c r="AO14" s="74">
        <f t="shared" si="9"/>
        <v>-9.529850999999951</v>
      </c>
      <c r="AP14" s="75">
        <f t="shared" si="15"/>
        <v>-0.10890122507628301</v>
      </c>
      <c r="AQ14" s="76">
        <f t="shared" si="10"/>
        <v>-4975.2564437542751</v>
      </c>
      <c r="AR14" s="90">
        <f t="shared" si="16"/>
        <v>-66.5049999999992</v>
      </c>
    </row>
    <row r="15" spans="1:44" x14ac:dyDescent="0.25">
      <c r="A15" t="str">
        <f t="shared" si="11"/>
        <v>46209E</v>
      </c>
      <c r="B15" s="51">
        <f t="shared" si="17"/>
        <v>46209</v>
      </c>
      <c r="C15" s="52" t="s">
        <v>88</v>
      </c>
      <c r="D15" s="79">
        <v>0</v>
      </c>
      <c r="E15" s="62">
        <v>0</v>
      </c>
      <c r="F15" s="62">
        <v>0</v>
      </c>
      <c r="G15" s="169">
        <f t="shared" si="0"/>
        <v>0</v>
      </c>
      <c r="H15" s="170">
        <f t="shared" si="1"/>
        <v>0</v>
      </c>
      <c r="I15" s="118">
        <v>1620.62</v>
      </c>
      <c r="J15" s="119">
        <v>1669.2385999999999</v>
      </c>
      <c r="K15" s="120">
        <v>4.0878651380335924</v>
      </c>
      <c r="L15" s="121">
        <v>8.2220495859609279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1669.2385999999999</v>
      </c>
      <c r="S15" s="62">
        <f t="shared" si="2"/>
        <v>68.236222800000007</v>
      </c>
      <c r="T15" s="63">
        <f t="shared" si="3"/>
        <v>137.24562539999997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13"/>
        <v>0</v>
      </c>
      <c r="AH15" s="89">
        <v>1669.2</v>
      </c>
      <c r="AI15" s="66">
        <v>4.09</v>
      </c>
      <c r="AJ15" s="66">
        <v>8.2200000000000006</v>
      </c>
      <c r="AK15" s="62">
        <f t="shared" si="7"/>
        <v>68.27028</v>
      </c>
      <c r="AL15" s="72">
        <f t="shared" si="8"/>
        <v>137.20824000000002</v>
      </c>
      <c r="AM15" s="73">
        <f t="shared" si="14"/>
        <v>3.8599999999860302E-2</v>
      </c>
      <c r="AN15" s="74">
        <f t="shared" si="9"/>
        <v>-3.4057199999992349E-2</v>
      </c>
      <c r="AO15" s="74">
        <f t="shared" si="9"/>
        <v>3.7385399999948277E-2</v>
      </c>
      <c r="AP15" s="75">
        <f t="shared" si="15"/>
        <v>1.6197051122085089E-5</v>
      </c>
      <c r="AQ15" s="76">
        <f t="shared" si="10"/>
        <v>-5.1689985640756202</v>
      </c>
      <c r="AR15" s="90">
        <f t="shared" si="16"/>
        <v>3.8599999999860302E-2</v>
      </c>
    </row>
    <row r="16" spans="1:44" x14ac:dyDescent="0.25">
      <c r="A16" t="str">
        <f t="shared" si="11"/>
        <v>46210M</v>
      </c>
      <c r="B16" s="51">
        <f t="shared" si="17"/>
        <v>46210</v>
      </c>
      <c r="C16" s="52" t="s">
        <v>87</v>
      </c>
      <c r="D16" s="79">
        <v>1669.2</v>
      </c>
      <c r="E16" s="62">
        <v>4.09</v>
      </c>
      <c r="F16" s="62">
        <v>8.2200000000000006</v>
      </c>
      <c r="G16" s="169">
        <f t="shared" si="0"/>
        <v>68.27028</v>
      </c>
      <c r="H16" s="170">
        <f t="shared" si="1"/>
        <v>137.20824000000002</v>
      </c>
      <c r="I16" s="118">
        <v>1092.81</v>
      </c>
      <c r="J16" s="119">
        <v>1125.5943</v>
      </c>
      <c r="K16" s="120">
        <v>4.9244196154866806</v>
      </c>
      <c r="L16" s="121">
        <v>8.395589352220421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1125.5943</v>
      </c>
      <c r="S16" s="62">
        <f t="shared" si="2"/>
        <v>55.428986499999993</v>
      </c>
      <c r="T16" s="63">
        <f t="shared" si="3"/>
        <v>94.50027519999999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13"/>
        <v>0</v>
      </c>
      <c r="AH16" s="96">
        <v>2794.6</v>
      </c>
      <c r="AI16" s="117">
        <v>4.42</v>
      </c>
      <c r="AJ16" s="117">
        <v>8.2899999999999991</v>
      </c>
      <c r="AK16" s="62">
        <f t="shared" si="7"/>
        <v>123.52131999999999</v>
      </c>
      <c r="AL16" s="72">
        <f t="shared" si="8"/>
        <v>231.67233999999996</v>
      </c>
      <c r="AM16" s="73">
        <f t="shared" si="14"/>
        <v>0.19430000000011205</v>
      </c>
      <c r="AN16" s="74">
        <f t="shared" si="9"/>
        <v>0.17794650000000445</v>
      </c>
      <c r="AO16" s="74">
        <f t="shared" si="9"/>
        <v>3.6175200000059249E-2</v>
      </c>
      <c r="AP16" s="75">
        <f t="shared" si="15"/>
        <v>1.4281515000621372E-3</v>
      </c>
      <c r="AQ16" s="76">
        <f t="shared" si="10"/>
        <v>96.343235122433526</v>
      </c>
      <c r="AR16" s="90">
        <f t="shared" si="16"/>
        <v>0.19430000000011205</v>
      </c>
    </row>
    <row r="17" spans="1:48" x14ac:dyDescent="0.25">
      <c r="A17" t="str">
        <f t="shared" si="11"/>
        <v>46210E</v>
      </c>
      <c r="B17" s="51">
        <f t="shared" si="17"/>
        <v>46210</v>
      </c>
      <c r="C17" s="52" t="s">
        <v>88</v>
      </c>
      <c r="D17" s="79">
        <v>2794.6</v>
      </c>
      <c r="E17" s="62">
        <v>4.42</v>
      </c>
      <c r="F17" s="62">
        <v>8.2899999999999991</v>
      </c>
      <c r="G17" s="169">
        <f t="shared" si="0"/>
        <v>123.52131999999999</v>
      </c>
      <c r="H17" s="170">
        <f t="shared" si="1"/>
        <v>231.67233999999996</v>
      </c>
      <c r="I17" s="118">
        <v>1489.3000000000002</v>
      </c>
      <c r="J17" s="119">
        <v>1533.9790000000003</v>
      </c>
      <c r="K17" s="120">
        <v>4.3629288927684158</v>
      </c>
      <c r="L17" s="121">
        <v>8.3164238232726788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1533.9790000000003</v>
      </c>
      <c r="S17" s="62">
        <f t="shared" si="2"/>
        <v>66.926413000000039</v>
      </c>
      <c r="T17" s="63">
        <f t="shared" si="3"/>
        <v>127.57219500000002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13"/>
        <v>0</v>
      </c>
      <c r="AH17" s="96">
        <v>4386.7</v>
      </c>
      <c r="AI17" s="66">
        <v>4.4000000000000004</v>
      </c>
      <c r="AJ17" s="66">
        <v>8.3000000000000007</v>
      </c>
      <c r="AK17" s="62">
        <f t="shared" si="7"/>
        <v>193.01480000000001</v>
      </c>
      <c r="AL17" s="72">
        <f t="shared" si="8"/>
        <v>364.09609999999998</v>
      </c>
      <c r="AM17" s="73">
        <f t="shared" si="14"/>
        <v>-58.121000000000095</v>
      </c>
      <c r="AN17" s="74">
        <f t="shared" si="9"/>
        <v>-2.5670669999999802</v>
      </c>
      <c r="AO17" s="74">
        <f t="shared" si="9"/>
        <v>-4.8515649999999937</v>
      </c>
      <c r="AP17" s="75">
        <f t="shared" si="15"/>
        <v>-3.8142339815614372E-2</v>
      </c>
      <c r="AQ17" s="76">
        <f t="shared" si="10"/>
        <v>-2686.559768744246</v>
      </c>
      <c r="AR17" s="90">
        <f t="shared" si="16"/>
        <v>-58.121000000000095</v>
      </c>
    </row>
    <row r="18" spans="1:48" x14ac:dyDescent="0.25">
      <c r="A18" t="str">
        <f t="shared" si="11"/>
        <v>46211M</v>
      </c>
      <c r="B18" s="51">
        <f t="shared" si="17"/>
        <v>46211</v>
      </c>
      <c r="C18" s="52" t="s">
        <v>87</v>
      </c>
      <c r="D18" s="79">
        <v>4386.7</v>
      </c>
      <c r="E18" s="62">
        <v>4.4000000000000004</v>
      </c>
      <c r="F18" s="62">
        <v>8.3000000000000007</v>
      </c>
      <c r="G18" s="169">
        <f t="shared" si="0"/>
        <v>193.01480000000001</v>
      </c>
      <c r="H18" s="170">
        <f t="shared" si="1"/>
        <v>364.09609999999998</v>
      </c>
      <c r="I18" s="118">
        <v>1092.9000000000001</v>
      </c>
      <c r="J18" s="119">
        <v>1125.6870000000001</v>
      </c>
      <c r="K18" s="120">
        <v>4.5669777655778212</v>
      </c>
      <c r="L18" s="121">
        <v>8.3422637020770427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1125.6870000000001</v>
      </c>
      <c r="S18" s="62">
        <f t="shared" si="2"/>
        <v>51.409875000000014</v>
      </c>
      <c r="T18" s="63">
        <f t="shared" si="3"/>
        <v>93.907778000000008</v>
      </c>
      <c r="U18" s="64" t="s">
        <v>192</v>
      </c>
      <c r="V18" s="65" t="s">
        <v>336</v>
      </c>
      <c r="W18" s="66" t="s">
        <v>187</v>
      </c>
      <c r="X18" s="67">
        <v>5620</v>
      </c>
      <c r="Y18" s="68">
        <v>4.5999999999999996</v>
      </c>
      <c r="Z18" s="68">
        <v>8.49</v>
      </c>
      <c r="AA18" s="62">
        <f t="shared" si="4"/>
        <v>258.52</v>
      </c>
      <c r="AB18" s="63">
        <f t="shared" si="5"/>
        <v>477.13800000000003</v>
      </c>
      <c r="AC18" s="69">
        <v>5630</v>
      </c>
      <c r="AD18" s="70">
        <v>4.6287744227353471</v>
      </c>
      <c r="AE18" s="70">
        <v>8.4991651865008837</v>
      </c>
      <c r="AF18" s="62">
        <f t="shared" si="6"/>
        <v>260.60000000000002</v>
      </c>
      <c r="AG18" s="63">
        <f t="shared" si="13"/>
        <v>478.50299999999982</v>
      </c>
      <c r="AH18" s="96">
        <v>0</v>
      </c>
      <c r="AI18" s="66">
        <v>0</v>
      </c>
      <c r="AJ18" s="66">
        <v>0</v>
      </c>
      <c r="AK18" s="62">
        <f t="shared" si="7"/>
        <v>0</v>
      </c>
      <c r="AL18" s="72">
        <f t="shared" si="8"/>
        <v>0</v>
      </c>
      <c r="AM18" s="73">
        <f t="shared" si="14"/>
        <v>-117.61300000000028</v>
      </c>
      <c r="AN18" s="74">
        <f t="shared" si="9"/>
        <v>-16.175324999999987</v>
      </c>
      <c r="AO18" s="74">
        <f t="shared" si="9"/>
        <v>-20.499121999999829</v>
      </c>
      <c r="AP18" s="75">
        <f t="shared" si="15"/>
        <v>-0.25237434160872263</v>
      </c>
      <c r="AQ18" s="76">
        <f t="shared" si="10"/>
        <v>-13912.074656852383</v>
      </c>
      <c r="AR18" s="90">
        <f t="shared" si="16"/>
        <v>-107.61300000000028</v>
      </c>
    </row>
    <row r="19" spans="1:48" x14ac:dyDescent="0.25">
      <c r="A19" t="str">
        <f t="shared" si="11"/>
        <v>46211E</v>
      </c>
      <c r="B19" s="51">
        <f t="shared" si="17"/>
        <v>46211</v>
      </c>
      <c r="C19" s="52" t="s">
        <v>88</v>
      </c>
      <c r="D19" s="79">
        <v>0</v>
      </c>
      <c r="E19" s="62">
        <v>0</v>
      </c>
      <c r="F19" s="62">
        <v>0</v>
      </c>
      <c r="G19" s="169">
        <f t="shared" si="0"/>
        <v>0</v>
      </c>
      <c r="H19" s="170">
        <f t="shared" si="1"/>
        <v>0</v>
      </c>
      <c r="I19" s="118">
        <v>1568.35</v>
      </c>
      <c r="J19" s="119">
        <v>1615.4005</v>
      </c>
      <c r="K19" s="120">
        <v>4.4735581981062884</v>
      </c>
      <c r="L19" s="121">
        <v>8.3359626358912244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1615.4005</v>
      </c>
      <c r="S19" s="62">
        <f t="shared" si="2"/>
        <v>72.265881499999978</v>
      </c>
      <c r="T19" s="63">
        <f t="shared" si="3"/>
        <v>134.65918210000001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13"/>
        <v>0</v>
      </c>
      <c r="AH19" s="96">
        <v>1615.3</v>
      </c>
      <c r="AI19" s="66">
        <v>4.47</v>
      </c>
      <c r="AJ19" s="66">
        <v>8.34</v>
      </c>
      <c r="AK19" s="62">
        <f t="shared" si="7"/>
        <v>72.203909999999993</v>
      </c>
      <c r="AL19" s="72">
        <f t="shared" si="8"/>
        <v>134.71601999999999</v>
      </c>
      <c r="AM19" s="73">
        <f t="shared" si="14"/>
        <v>0.10050000000001091</v>
      </c>
      <c r="AN19" s="74">
        <f t="shared" si="9"/>
        <v>6.1971499999984303E-2</v>
      </c>
      <c r="AO19" s="74">
        <f t="shared" si="9"/>
        <v>-5.6837899999976571E-2</v>
      </c>
      <c r="AP19" s="75">
        <f t="shared" si="15"/>
        <v>2.4808981138849978E-5</v>
      </c>
      <c r="AQ19" s="76">
        <f t="shared" si="10"/>
        <v>12.756877650848718</v>
      </c>
      <c r="AR19" s="90">
        <f t="shared" si="16"/>
        <v>0.10050000000001091</v>
      </c>
    </row>
    <row r="20" spans="1:48" x14ac:dyDescent="0.25">
      <c r="A20" t="str">
        <f t="shared" si="11"/>
        <v>46212M</v>
      </c>
      <c r="B20" s="51">
        <f t="shared" si="17"/>
        <v>46212</v>
      </c>
      <c r="C20" s="52" t="s">
        <v>87</v>
      </c>
      <c r="D20" s="79">
        <v>1615.3</v>
      </c>
      <c r="E20" s="62">
        <v>4.47</v>
      </c>
      <c r="F20" s="62">
        <v>8.34</v>
      </c>
      <c r="G20" s="169">
        <f t="shared" si="0"/>
        <v>72.203909999999993</v>
      </c>
      <c r="H20" s="170">
        <f t="shared" si="1"/>
        <v>134.71601999999999</v>
      </c>
      <c r="I20" s="118">
        <v>1219.5999999999999</v>
      </c>
      <c r="J20" s="119">
        <v>1256.1879999999999</v>
      </c>
      <c r="K20" s="120">
        <v>4.6156215152509015</v>
      </c>
      <c r="L20" s="121">
        <v>8.2350450967530318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1256.1879999999999</v>
      </c>
      <c r="S20" s="62">
        <f t="shared" si="2"/>
        <v>57.980883599999984</v>
      </c>
      <c r="T20" s="63">
        <f t="shared" si="3"/>
        <v>103.44764829999995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13"/>
        <v>0</v>
      </c>
      <c r="AH20" s="96">
        <v>2871.5</v>
      </c>
      <c r="AI20" s="66">
        <v>4.54</v>
      </c>
      <c r="AJ20" s="66">
        <v>8.2899999999999991</v>
      </c>
      <c r="AK20" s="62">
        <f t="shared" si="7"/>
        <v>130.36610000000002</v>
      </c>
      <c r="AL20" s="72">
        <f t="shared" si="8"/>
        <v>238.04734999999997</v>
      </c>
      <c r="AM20" s="73">
        <f t="shared" si="14"/>
        <v>-1.2000000000170985E-2</v>
      </c>
      <c r="AN20" s="74">
        <f t="shared" ref="AN20:AO65" si="18">+G20+S20-AF20-AK20</f>
        <v>-0.1813064000000395</v>
      </c>
      <c r="AO20" s="74">
        <f t="shared" si="18"/>
        <v>0.11631829999996057</v>
      </c>
      <c r="AP20" s="75">
        <f t="shared" si="15"/>
        <v>-4.0258124902193301E-4</v>
      </c>
      <c r="AQ20" s="76">
        <f t="shared" si="10"/>
        <v>-52.28733075024757</v>
      </c>
      <c r="AR20" s="90">
        <f t="shared" si="16"/>
        <v>-1.2000000000170985E-2</v>
      </c>
    </row>
    <row r="21" spans="1:48" x14ac:dyDescent="0.25">
      <c r="A21" t="str">
        <f t="shared" si="11"/>
        <v>46212E</v>
      </c>
      <c r="B21" s="51">
        <f t="shared" si="17"/>
        <v>46212</v>
      </c>
      <c r="C21" s="52" t="s">
        <v>88</v>
      </c>
      <c r="D21" s="79">
        <v>2871.5</v>
      </c>
      <c r="E21" s="62">
        <v>4.54</v>
      </c>
      <c r="F21" s="62">
        <v>8.2899999999999991</v>
      </c>
      <c r="G21" s="169">
        <f t="shared" si="0"/>
        <v>130.36610000000002</v>
      </c>
      <c r="H21" s="170">
        <f t="shared" si="1"/>
        <v>238.04734999999997</v>
      </c>
      <c r="I21" s="118">
        <v>1334.6999999999998</v>
      </c>
      <c r="J21" s="119">
        <v>1374.7409999999998</v>
      </c>
      <c r="K21" s="120">
        <v>4.2676931145575789</v>
      </c>
      <c r="L21" s="121">
        <v>8.2236457630928292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1374.7409999999998</v>
      </c>
      <c r="S21" s="62">
        <f t="shared" si="2"/>
        <v>58.669726999999995</v>
      </c>
      <c r="T21" s="63">
        <f t="shared" si="3"/>
        <v>113.05382999999998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13"/>
        <v>0</v>
      </c>
      <c r="AH21" s="96">
        <v>4246.2</v>
      </c>
      <c r="AI21" s="66">
        <v>4.45</v>
      </c>
      <c r="AJ21" s="66">
        <v>8.27</v>
      </c>
      <c r="AK21" s="62">
        <f t="shared" si="7"/>
        <v>188.95590000000001</v>
      </c>
      <c r="AL21" s="72">
        <f t="shared" si="8"/>
        <v>351.16073999999998</v>
      </c>
      <c r="AM21" s="73">
        <f t="shared" si="14"/>
        <v>4.1000000000167347E-2</v>
      </c>
      <c r="AN21" s="74">
        <f t="shared" si="18"/>
        <v>7.9926999999997861E-2</v>
      </c>
      <c r="AO21" s="74">
        <f t="shared" si="18"/>
        <v>-5.9560000000033142E-2</v>
      </c>
      <c r="AP21" s="75">
        <f t="shared" si="15"/>
        <v>1.1860341327523703E-4</v>
      </c>
      <c r="AQ21" s="76">
        <f t="shared" si="10"/>
        <v>20.569835071709271</v>
      </c>
      <c r="AR21" s="90">
        <f t="shared" si="16"/>
        <v>4.1000000000167347E-2</v>
      </c>
    </row>
    <row r="22" spans="1:48" x14ac:dyDescent="0.25">
      <c r="A22" t="str">
        <f t="shared" si="11"/>
        <v>46213M</v>
      </c>
      <c r="B22" s="51">
        <f t="shared" si="17"/>
        <v>46213</v>
      </c>
      <c r="C22" s="52" t="s">
        <v>87</v>
      </c>
      <c r="D22" s="79"/>
      <c r="E22" s="62"/>
      <c r="F22" s="62"/>
      <c r="G22" s="169">
        <f t="shared" si="0"/>
        <v>0</v>
      </c>
      <c r="H22" s="170">
        <f t="shared" si="1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2"/>
        <v>0</v>
      </c>
      <c r="S22" s="62">
        <f t="shared" si="2"/>
        <v>0</v>
      </c>
      <c r="T22" s="63">
        <f t="shared" si="3"/>
        <v>0</v>
      </c>
      <c r="U22" s="64"/>
      <c r="V22" s="65"/>
      <c r="W22" s="66"/>
      <c r="X22" s="67"/>
      <c r="Y22" s="68"/>
      <c r="Z22" s="68"/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13"/>
        <v>0</v>
      </c>
      <c r="AH22" s="96"/>
      <c r="AI22" s="66"/>
      <c r="AJ22" s="66"/>
      <c r="AK22" s="62">
        <f t="shared" si="7"/>
        <v>0</v>
      </c>
      <c r="AL22" s="72">
        <f t="shared" si="8"/>
        <v>0</v>
      </c>
      <c r="AM22" s="73">
        <f t="shared" si="14"/>
        <v>0</v>
      </c>
      <c r="AN22" s="74">
        <f t="shared" si="18"/>
        <v>0</v>
      </c>
      <c r="AO22" s="74">
        <f t="shared" si="18"/>
        <v>0</v>
      </c>
      <c r="AP22" s="75" t="e">
        <f t="shared" si="15"/>
        <v>#DIV/0!</v>
      </c>
      <c r="AQ22" s="76">
        <f t="shared" si="10"/>
        <v>0</v>
      </c>
      <c r="AR22" s="83">
        <f>(D22+J22+O22)-(X22+AH22)</f>
        <v>0</v>
      </c>
      <c r="AT22" s="83"/>
      <c r="AU22" s="83"/>
    </row>
    <row r="23" spans="1:48" x14ac:dyDescent="0.25">
      <c r="A23" t="str">
        <f t="shared" si="11"/>
        <v>46213E</v>
      </c>
      <c r="B23" s="51">
        <f t="shared" si="17"/>
        <v>46213</v>
      </c>
      <c r="C23" s="52" t="s">
        <v>88</v>
      </c>
      <c r="D23" s="79"/>
      <c r="E23" s="62"/>
      <c r="F23" s="62"/>
      <c r="G23" s="169">
        <f t="shared" si="0"/>
        <v>0</v>
      </c>
      <c r="H23" s="170">
        <f t="shared" si="1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2"/>
        <v>0</v>
      </c>
      <c r="S23" s="62">
        <f t="shared" si="2"/>
        <v>0</v>
      </c>
      <c r="T23" s="63">
        <f t="shared" si="3"/>
        <v>0</v>
      </c>
      <c r="U23" s="64"/>
      <c r="V23" s="65"/>
      <c r="W23" s="66"/>
      <c r="X23" s="67"/>
      <c r="Y23" s="68"/>
      <c r="Z23" s="68"/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13"/>
        <v>0</v>
      </c>
      <c r="AH23" s="96"/>
      <c r="AI23" s="66"/>
      <c r="AJ23" s="84"/>
      <c r="AK23" s="62">
        <f t="shared" si="7"/>
        <v>0</v>
      </c>
      <c r="AL23" s="72">
        <f t="shared" si="8"/>
        <v>0</v>
      </c>
      <c r="AM23" s="73">
        <f t="shared" si="14"/>
        <v>0</v>
      </c>
      <c r="AN23" s="74">
        <f t="shared" si="18"/>
        <v>0</v>
      </c>
      <c r="AO23" s="74">
        <f t="shared" si="18"/>
        <v>0</v>
      </c>
      <c r="AP23" s="75" t="e">
        <f t="shared" si="15"/>
        <v>#DIV/0!</v>
      </c>
      <c r="AQ23" s="76">
        <f t="shared" si="10"/>
        <v>0</v>
      </c>
      <c r="AR23" s="83">
        <f t="shared" si="16"/>
        <v>0</v>
      </c>
      <c r="AU23" s="83"/>
    </row>
    <row r="24" spans="1:48" x14ac:dyDescent="0.25">
      <c r="A24" t="str">
        <f t="shared" si="11"/>
        <v>46214M</v>
      </c>
      <c r="B24" s="51">
        <f t="shared" si="17"/>
        <v>46214</v>
      </c>
      <c r="C24" s="52" t="s">
        <v>87</v>
      </c>
      <c r="D24" s="79"/>
      <c r="E24" s="62"/>
      <c r="F24" s="62"/>
      <c r="G24" s="169">
        <f t="shared" si="0"/>
        <v>0</v>
      </c>
      <c r="H24" s="170">
        <f t="shared" si="1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2"/>
        <v>0</v>
      </c>
      <c r="S24" s="62">
        <f t="shared" si="2"/>
        <v>0</v>
      </c>
      <c r="T24" s="63">
        <f t="shared" si="3"/>
        <v>0</v>
      </c>
      <c r="U24" s="64"/>
      <c r="V24" s="65"/>
      <c r="W24" s="66"/>
      <c r="X24" s="67"/>
      <c r="Y24" s="68"/>
      <c r="Z24" s="68"/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13"/>
        <v>0</v>
      </c>
      <c r="AH24" s="96"/>
      <c r="AI24" s="66"/>
      <c r="AJ24" s="66"/>
      <c r="AK24" s="62">
        <f t="shared" si="7"/>
        <v>0</v>
      </c>
      <c r="AL24" s="72">
        <f t="shared" si="8"/>
        <v>0</v>
      </c>
      <c r="AM24" s="73">
        <f t="shared" si="14"/>
        <v>0</v>
      </c>
      <c r="AN24" s="74">
        <f t="shared" si="18"/>
        <v>0</v>
      </c>
      <c r="AO24" s="74">
        <f t="shared" si="18"/>
        <v>0</v>
      </c>
      <c r="AP24" s="75" t="e">
        <f t="shared" si="15"/>
        <v>#DIV/0!</v>
      </c>
      <c r="AQ24" s="76">
        <f t="shared" si="10"/>
        <v>0</v>
      </c>
      <c r="AR24" s="83">
        <f t="shared" si="16"/>
        <v>0</v>
      </c>
      <c r="AT24" s="77"/>
      <c r="AU24" s="77"/>
      <c r="AV24" s="77"/>
    </row>
    <row r="25" spans="1:48" x14ac:dyDescent="0.25">
      <c r="A25" t="str">
        <f t="shared" si="11"/>
        <v>46214E</v>
      </c>
      <c r="B25" s="51">
        <f t="shared" si="17"/>
        <v>46214</v>
      </c>
      <c r="C25" s="52" t="s">
        <v>88</v>
      </c>
      <c r="D25" s="79"/>
      <c r="E25" s="62"/>
      <c r="F25" s="62"/>
      <c r="G25" s="169">
        <f t="shared" si="0"/>
        <v>0</v>
      </c>
      <c r="H25" s="170">
        <f t="shared" si="1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2"/>
        <v>0</v>
      </c>
      <c r="S25" s="62">
        <f t="shared" si="2"/>
        <v>0</v>
      </c>
      <c r="T25" s="63">
        <f t="shared" si="3"/>
        <v>0</v>
      </c>
      <c r="U25" s="64"/>
      <c r="V25" s="65"/>
      <c r="W25" s="66"/>
      <c r="X25" s="67"/>
      <c r="Y25" s="68"/>
      <c r="Z25" s="68"/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13"/>
        <v>0</v>
      </c>
      <c r="AH25" s="96"/>
      <c r="AI25" s="66"/>
      <c r="AJ25" s="66"/>
      <c r="AK25" s="62">
        <f t="shared" si="7"/>
        <v>0</v>
      </c>
      <c r="AL25" s="72">
        <f t="shared" si="8"/>
        <v>0</v>
      </c>
      <c r="AM25" s="73">
        <f t="shared" si="14"/>
        <v>0</v>
      </c>
      <c r="AN25" s="74">
        <f t="shared" si="18"/>
        <v>0</v>
      </c>
      <c r="AO25" s="74">
        <f t="shared" si="18"/>
        <v>0</v>
      </c>
      <c r="AP25" s="75" t="e">
        <f t="shared" si="15"/>
        <v>#DIV/0!</v>
      </c>
      <c r="AQ25" s="76">
        <f t="shared" si="10"/>
        <v>0</v>
      </c>
      <c r="AR25" s="83">
        <f t="shared" si="16"/>
        <v>0</v>
      </c>
    </row>
    <row r="26" spans="1:48" x14ac:dyDescent="0.25">
      <c r="A26" t="str">
        <f t="shared" si="11"/>
        <v>46215M</v>
      </c>
      <c r="B26" s="51">
        <f t="shared" si="17"/>
        <v>46215</v>
      </c>
      <c r="C26" s="52" t="s">
        <v>87</v>
      </c>
      <c r="D26" s="79"/>
      <c r="E26" s="62"/>
      <c r="F26" s="62"/>
      <c r="G26" s="169">
        <f t="shared" si="0"/>
        <v>0</v>
      </c>
      <c r="H26" s="170">
        <f t="shared" si="1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2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13"/>
        <v>0</v>
      </c>
      <c r="AH26" s="96"/>
      <c r="AI26" s="66"/>
      <c r="AJ26" s="66"/>
      <c r="AK26" s="62">
        <f t="shared" si="7"/>
        <v>0</v>
      </c>
      <c r="AL26" s="72">
        <f t="shared" si="8"/>
        <v>0</v>
      </c>
      <c r="AM26" s="73">
        <f t="shared" si="14"/>
        <v>0</v>
      </c>
      <c r="AN26" s="74">
        <f t="shared" si="18"/>
        <v>0</v>
      </c>
      <c r="AO26" s="74">
        <f t="shared" si="18"/>
        <v>0</v>
      </c>
      <c r="AP26" s="75" t="e">
        <f t="shared" si="15"/>
        <v>#DIV/0!</v>
      </c>
      <c r="AQ26" s="76">
        <f t="shared" si="10"/>
        <v>0</v>
      </c>
      <c r="AR26" s="83">
        <f t="shared" si="16"/>
        <v>0</v>
      </c>
    </row>
    <row r="27" spans="1:48" x14ac:dyDescent="0.25">
      <c r="A27" t="str">
        <f t="shared" si="11"/>
        <v>46215E</v>
      </c>
      <c r="B27" s="51">
        <f t="shared" si="17"/>
        <v>46215</v>
      </c>
      <c r="C27" s="52" t="s">
        <v>88</v>
      </c>
      <c r="D27" s="79"/>
      <c r="E27" s="62"/>
      <c r="F27" s="62"/>
      <c r="G27" s="169">
        <f t="shared" si="0"/>
        <v>0</v>
      </c>
      <c r="H27" s="170">
        <f t="shared" si="1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2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13"/>
        <v>0</v>
      </c>
      <c r="AH27" s="96"/>
      <c r="AI27" s="66"/>
      <c r="AJ27" s="66"/>
      <c r="AK27" s="62">
        <f t="shared" si="7"/>
        <v>0</v>
      </c>
      <c r="AL27" s="72">
        <f t="shared" si="8"/>
        <v>0</v>
      </c>
      <c r="AM27" s="73">
        <f t="shared" si="14"/>
        <v>0</v>
      </c>
      <c r="AN27" s="74">
        <f t="shared" si="18"/>
        <v>0</v>
      </c>
      <c r="AO27" s="74">
        <f t="shared" si="18"/>
        <v>0</v>
      </c>
      <c r="AP27" s="75" t="e">
        <f t="shared" si="15"/>
        <v>#DIV/0!</v>
      </c>
      <c r="AQ27" s="76">
        <f t="shared" si="10"/>
        <v>0</v>
      </c>
      <c r="AR27" s="83">
        <f t="shared" si="16"/>
        <v>0</v>
      </c>
    </row>
    <row r="28" spans="1:48" x14ac:dyDescent="0.25">
      <c r="A28" t="str">
        <f t="shared" si="11"/>
        <v>46216M</v>
      </c>
      <c r="B28" s="51">
        <f t="shared" si="17"/>
        <v>46216</v>
      </c>
      <c r="C28" s="52" t="s">
        <v>87</v>
      </c>
      <c r="D28" s="79"/>
      <c r="E28" s="62"/>
      <c r="F28" s="62"/>
      <c r="G28" s="169">
        <f t="shared" si="0"/>
        <v>0</v>
      </c>
      <c r="H28" s="170">
        <f t="shared" si="1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2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13"/>
        <v>0</v>
      </c>
      <c r="AH28" s="71"/>
      <c r="AI28" s="66"/>
      <c r="AJ28" s="66"/>
      <c r="AK28" s="62">
        <f t="shared" si="7"/>
        <v>0</v>
      </c>
      <c r="AL28" s="72">
        <f t="shared" si="8"/>
        <v>0</v>
      </c>
      <c r="AM28" s="73">
        <f t="shared" si="14"/>
        <v>0</v>
      </c>
      <c r="AN28" s="74">
        <f t="shared" si="18"/>
        <v>0</v>
      </c>
      <c r="AO28" s="74">
        <f t="shared" si="18"/>
        <v>0</v>
      </c>
      <c r="AP28" s="75" t="e">
        <f t="shared" si="15"/>
        <v>#DIV/0!</v>
      </c>
      <c r="AQ28" s="76">
        <f t="shared" si="10"/>
        <v>0</v>
      </c>
      <c r="AR28" s="90">
        <f t="shared" si="16"/>
        <v>0</v>
      </c>
    </row>
    <row r="29" spans="1:48" x14ac:dyDescent="0.25">
      <c r="A29" t="str">
        <f t="shared" si="11"/>
        <v>46216E</v>
      </c>
      <c r="B29" s="51">
        <f t="shared" si="17"/>
        <v>46216</v>
      </c>
      <c r="C29" s="52" t="s">
        <v>88</v>
      </c>
      <c r="D29" s="79"/>
      <c r="E29" s="62"/>
      <c r="F29" s="62"/>
      <c r="G29" s="169">
        <f t="shared" si="0"/>
        <v>0</v>
      </c>
      <c r="H29" s="170">
        <f t="shared" si="1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 t="shared" si="12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13"/>
        <v>0</v>
      </c>
      <c r="AH29" s="71"/>
      <c r="AI29" s="66"/>
      <c r="AJ29" s="66"/>
      <c r="AK29" s="62">
        <f t="shared" si="7"/>
        <v>0</v>
      </c>
      <c r="AL29" s="72">
        <f t="shared" si="8"/>
        <v>0</v>
      </c>
      <c r="AM29" s="73">
        <f t="shared" si="14"/>
        <v>0</v>
      </c>
      <c r="AN29" s="74">
        <f t="shared" si="18"/>
        <v>0</v>
      </c>
      <c r="AO29" s="74">
        <f t="shared" si="18"/>
        <v>0</v>
      </c>
      <c r="AP29" s="75" t="e">
        <f t="shared" si="15"/>
        <v>#DIV/0!</v>
      </c>
      <c r="AQ29" s="76">
        <f t="shared" si="10"/>
        <v>0</v>
      </c>
      <c r="AR29" s="90">
        <f t="shared" si="16"/>
        <v>0</v>
      </c>
    </row>
    <row r="30" spans="1:48" x14ac:dyDescent="0.25">
      <c r="A30" t="str">
        <f t="shared" si="11"/>
        <v>46217M</v>
      </c>
      <c r="B30" s="51">
        <f t="shared" si="17"/>
        <v>46217</v>
      </c>
      <c r="C30" s="52" t="s">
        <v>87</v>
      </c>
      <c r="D30" s="79"/>
      <c r="E30" s="62"/>
      <c r="F30" s="62"/>
      <c r="G30" s="169">
        <f t="shared" si="0"/>
        <v>0</v>
      </c>
      <c r="H30" s="170">
        <f t="shared" si="1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2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13"/>
        <v>0</v>
      </c>
      <c r="AH30" s="71"/>
      <c r="AI30" s="66"/>
      <c r="AJ30" s="66"/>
      <c r="AK30" s="62">
        <f t="shared" si="7"/>
        <v>0</v>
      </c>
      <c r="AL30" s="72">
        <f t="shared" si="8"/>
        <v>0</v>
      </c>
      <c r="AM30" s="73">
        <f t="shared" si="14"/>
        <v>0</v>
      </c>
      <c r="AN30" s="74">
        <f t="shared" si="18"/>
        <v>0</v>
      </c>
      <c r="AO30" s="74">
        <f t="shared" si="18"/>
        <v>0</v>
      </c>
      <c r="AP30" s="75" t="e">
        <f t="shared" si="15"/>
        <v>#DIV/0!</v>
      </c>
      <c r="AQ30" s="76">
        <f t="shared" si="10"/>
        <v>0</v>
      </c>
      <c r="AR30" s="90">
        <f t="shared" si="16"/>
        <v>0</v>
      </c>
    </row>
    <row r="31" spans="1:48" x14ac:dyDescent="0.25">
      <c r="A31" t="str">
        <f t="shared" si="11"/>
        <v>46217E</v>
      </c>
      <c r="B31" s="51">
        <f t="shared" si="17"/>
        <v>46217</v>
      </c>
      <c r="C31" s="52" t="s">
        <v>88</v>
      </c>
      <c r="D31" s="79"/>
      <c r="E31" s="62"/>
      <c r="F31" s="62"/>
      <c r="G31" s="169">
        <f t="shared" si="0"/>
        <v>0</v>
      </c>
      <c r="H31" s="170">
        <f t="shared" si="1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2"/>
        <v>0</v>
      </c>
      <c r="S31" s="62">
        <f t="shared" si="2"/>
        <v>0</v>
      </c>
      <c r="T31" s="63">
        <f t="shared" si="3"/>
        <v>0</v>
      </c>
      <c r="U31" s="64"/>
      <c r="V31" s="6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13"/>
        <v>0</v>
      </c>
      <c r="AH31" s="71"/>
      <c r="AI31" s="66"/>
      <c r="AJ31" s="66"/>
      <c r="AK31" s="62">
        <f t="shared" si="7"/>
        <v>0</v>
      </c>
      <c r="AL31" s="72">
        <f t="shared" si="8"/>
        <v>0</v>
      </c>
      <c r="AM31" s="73">
        <f t="shared" si="14"/>
        <v>0</v>
      </c>
      <c r="AN31" s="74">
        <f t="shared" si="18"/>
        <v>0</v>
      </c>
      <c r="AO31" s="74">
        <f t="shared" si="18"/>
        <v>0</v>
      </c>
      <c r="AP31" s="75" t="e">
        <f t="shared" si="15"/>
        <v>#DIV/0!</v>
      </c>
      <c r="AQ31" s="76">
        <f t="shared" si="10"/>
        <v>0</v>
      </c>
      <c r="AR31" s="90">
        <f t="shared" si="16"/>
        <v>0</v>
      </c>
    </row>
    <row r="32" spans="1:48" x14ac:dyDescent="0.25">
      <c r="A32" t="str">
        <f t="shared" si="11"/>
        <v>46218M</v>
      </c>
      <c r="B32" s="51">
        <f t="shared" si="17"/>
        <v>46218</v>
      </c>
      <c r="C32" s="52" t="s">
        <v>87</v>
      </c>
      <c r="D32" s="79"/>
      <c r="E32" s="62"/>
      <c r="F32" s="62"/>
      <c r="G32" s="169">
        <f t="shared" si="0"/>
        <v>0</v>
      </c>
      <c r="H32" s="170">
        <f t="shared" si="1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12"/>
        <v>0</v>
      </c>
      <c r="S32" s="62">
        <f t="shared" si="2"/>
        <v>0</v>
      </c>
      <c r="T32" s="63">
        <f t="shared" si="3"/>
        <v>0</v>
      </c>
      <c r="U32" s="64"/>
      <c r="V32" s="6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13"/>
        <v>0</v>
      </c>
      <c r="AH32" s="71"/>
      <c r="AI32" s="66"/>
      <c r="AJ32" s="66"/>
      <c r="AK32" s="62">
        <f t="shared" si="7"/>
        <v>0</v>
      </c>
      <c r="AL32" s="72">
        <f t="shared" si="8"/>
        <v>0</v>
      </c>
      <c r="AM32" s="73">
        <f t="shared" si="14"/>
        <v>0</v>
      </c>
      <c r="AN32" s="74">
        <f t="shared" si="18"/>
        <v>0</v>
      </c>
      <c r="AO32" s="74">
        <f t="shared" si="18"/>
        <v>0</v>
      </c>
      <c r="AP32" s="75" t="e">
        <f t="shared" si="15"/>
        <v>#DIV/0!</v>
      </c>
      <c r="AQ32" s="76">
        <f t="shared" si="10"/>
        <v>0</v>
      </c>
      <c r="AR32" s="90">
        <f t="shared" si="16"/>
        <v>0</v>
      </c>
    </row>
    <row r="33" spans="1:44" x14ac:dyDescent="0.25">
      <c r="A33" t="str">
        <f t="shared" si="11"/>
        <v>46218E</v>
      </c>
      <c r="B33" s="51">
        <f t="shared" si="17"/>
        <v>46218</v>
      </c>
      <c r="C33" s="52" t="s">
        <v>88</v>
      </c>
      <c r="D33" s="79"/>
      <c r="E33" s="62"/>
      <c r="F33" s="62"/>
      <c r="G33" s="169">
        <f t="shared" si="0"/>
        <v>0</v>
      </c>
      <c r="H33" s="170">
        <f t="shared" si="1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2"/>
        <v>0</v>
      </c>
      <c r="S33" s="62">
        <f t="shared" si="2"/>
        <v>0</v>
      </c>
      <c r="T33" s="63">
        <f t="shared" si="3"/>
        <v>0</v>
      </c>
      <c r="U33" s="64"/>
      <c r="V33" s="6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13"/>
        <v>0</v>
      </c>
      <c r="AH33" s="71"/>
      <c r="AI33" s="66"/>
      <c r="AJ33" s="66"/>
      <c r="AK33" s="62">
        <f t="shared" si="7"/>
        <v>0</v>
      </c>
      <c r="AL33" s="72">
        <f t="shared" si="8"/>
        <v>0</v>
      </c>
      <c r="AM33" s="73">
        <f t="shared" si="14"/>
        <v>0</v>
      </c>
      <c r="AN33" s="74">
        <f t="shared" si="18"/>
        <v>0</v>
      </c>
      <c r="AO33" s="74">
        <f t="shared" si="18"/>
        <v>0</v>
      </c>
      <c r="AP33" s="75" t="e">
        <f t="shared" si="15"/>
        <v>#DIV/0!</v>
      </c>
      <c r="AQ33" s="76">
        <f t="shared" si="10"/>
        <v>0</v>
      </c>
      <c r="AR33" s="90">
        <f t="shared" si="16"/>
        <v>0</v>
      </c>
    </row>
    <row r="34" spans="1:44" x14ac:dyDescent="0.25">
      <c r="A34" t="str">
        <f t="shared" si="11"/>
        <v>46219M</v>
      </c>
      <c r="B34" s="51">
        <f t="shared" si="17"/>
        <v>46219</v>
      </c>
      <c r="C34" s="52" t="s">
        <v>87</v>
      </c>
      <c r="D34" s="79"/>
      <c r="E34" s="62"/>
      <c r="F34" s="62"/>
      <c r="G34" s="169">
        <f t="shared" si="0"/>
        <v>0</v>
      </c>
      <c r="H34" s="170">
        <f t="shared" si="1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2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13"/>
        <v>0</v>
      </c>
      <c r="AH34" s="71"/>
      <c r="AI34" s="66"/>
      <c r="AJ34" s="66"/>
      <c r="AK34" s="62">
        <f t="shared" si="7"/>
        <v>0</v>
      </c>
      <c r="AL34" s="72">
        <f t="shared" si="8"/>
        <v>0</v>
      </c>
      <c r="AM34" s="73">
        <f t="shared" si="14"/>
        <v>0</v>
      </c>
      <c r="AN34" s="74">
        <f t="shared" si="18"/>
        <v>0</v>
      </c>
      <c r="AO34" s="74">
        <f t="shared" si="18"/>
        <v>0</v>
      </c>
      <c r="AP34" s="75" t="e">
        <f t="shared" si="15"/>
        <v>#DIV/0!</v>
      </c>
      <c r="AQ34" s="76">
        <f t="shared" si="10"/>
        <v>0</v>
      </c>
      <c r="AR34" s="90">
        <f t="shared" si="16"/>
        <v>0</v>
      </c>
    </row>
    <row r="35" spans="1:44" x14ac:dyDescent="0.25">
      <c r="A35" t="str">
        <f t="shared" si="11"/>
        <v>46219E</v>
      </c>
      <c r="B35" s="51">
        <f t="shared" si="17"/>
        <v>46219</v>
      </c>
      <c r="C35" s="52" t="s">
        <v>88</v>
      </c>
      <c r="D35" s="79"/>
      <c r="E35" s="62"/>
      <c r="F35" s="62"/>
      <c r="G35" s="169">
        <f t="shared" si="0"/>
        <v>0</v>
      </c>
      <c r="H35" s="170">
        <f t="shared" si="1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2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13"/>
        <v>0</v>
      </c>
      <c r="AH35" s="71"/>
      <c r="AI35" s="66"/>
      <c r="AJ35" s="66"/>
      <c r="AK35" s="62">
        <f t="shared" si="7"/>
        <v>0</v>
      </c>
      <c r="AL35" s="72">
        <f t="shared" si="8"/>
        <v>0</v>
      </c>
      <c r="AM35" s="73">
        <f t="shared" si="14"/>
        <v>0</v>
      </c>
      <c r="AN35" s="74">
        <f t="shared" si="18"/>
        <v>0</v>
      </c>
      <c r="AO35" s="74">
        <f t="shared" si="18"/>
        <v>0</v>
      </c>
      <c r="AP35" s="75" t="e">
        <f t="shared" si="15"/>
        <v>#DIV/0!</v>
      </c>
      <c r="AQ35" s="76">
        <f t="shared" si="10"/>
        <v>0</v>
      </c>
      <c r="AR35" s="90">
        <f t="shared" si="16"/>
        <v>0</v>
      </c>
    </row>
    <row r="36" spans="1:44" x14ac:dyDescent="0.25">
      <c r="A36" t="str">
        <f t="shared" si="11"/>
        <v>46220M</v>
      </c>
      <c r="B36" s="51">
        <f t="shared" si="17"/>
        <v>46220</v>
      </c>
      <c r="C36" s="52" t="s">
        <v>87</v>
      </c>
      <c r="D36" s="79"/>
      <c r="E36" s="62"/>
      <c r="F36" s="62"/>
      <c r="G36" s="169">
        <f t="shared" si="0"/>
        <v>0</v>
      </c>
      <c r="H36" s="170">
        <f t="shared" si="1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12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13"/>
        <v>0</v>
      </c>
      <c r="AH36" s="71"/>
      <c r="AI36" s="66"/>
      <c r="AJ36" s="66"/>
      <c r="AK36" s="62">
        <f t="shared" si="7"/>
        <v>0</v>
      </c>
      <c r="AL36" s="72">
        <f t="shared" si="8"/>
        <v>0</v>
      </c>
      <c r="AM36" s="73">
        <f t="shared" si="14"/>
        <v>0</v>
      </c>
      <c r="AN36" s="74">
        <f t="shared" si="18"/>
        <v>0</v>
      </c>
      <c r="AO36" s="74">
        <f t="shared" si="18"/>
        <v>0</v>
      </c>
      <c r="AP36" s="75" t="e">
        <f t="shared" si="15"/>
        <v>#DIV/0!</v>
      </c>
      <c r="AQ36" s="76">
        <f t="shared" si="10"/>
        <v>0</v>
      </c>
      <c r="AR36" s="90">
        <f t="shared" si="16"/>
        <v>0</v>
      </c>
    </row>
    <row r="37" spans="1:44" x14ac:dyDescent="0.25">
      <c r="A37" t="str">
        <f t="shared" si="11"/>
        <v>46220E</v>
      </c>
      <c r="B37" s="51">
        <f t="shared" si="17"/>
        <v>46220</v>
      </c>
      <c r="C37" s="52" t="s">
        <v>88</v>
      </c>
      <c r="D37" s="79"/>
      <c r="E37" s="62"/>
      <c r="F37" s="62"/>
      <c r="G37" s="169">
        <f t="shared" si="0"/>
        <v>0</v>
      </c>
      <c r="H37" s="170">
        <f t="shared" si="1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12"/>
        <v>0</v>
      </c>
      <c r="S37" s="62">
        <f t="shared" si="2"/>
        <v>0</v>
      </c>
      <c r="T37" s="63">
        <f t="shared" si="3"/>
        <v>0</v>
      </c>
      <c r="U37" s="64"/>
      <c r="V37" s="6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13"/>
        <v>0</v>
      </c>
      <c r="AH37" s="71"/>
      <c r="AI37" s="66"/>
      <c r="AJ37" s="66"/>
      <c r="AK37" s="62">
        <f t="shared" si="7"/>
        <v>0</v>
      </c>
      <c r="AL37" s="72">
        <f t="shared" si="8"/>
        <v>0</v>
      </c>
      <c r="AM37" s="73">
        <f t="shared" si="14"/>
        <v>0</v>
      </c>
      <c r="AN37" s="74">
        <f t="shared" si="18"/>
        <v>0</v>
      </c>
      <c r="AO37" s="74">
        <f t="shared" si="18"/>
        <v>0</v>
      </c>
      <c r="AP37" s="75" t="e">
        <f t="shared" si="15"/>
        <v>#DIV/0!</v>
      </c>
      <c r="AQ37" s="76">
        <f t="shared" si="10"/>
        <v>0</v>
      </c>
      <c r="AR37" s="90">
        <f t="shared" si="16"/>
        <v>0</v>
      </c>
    </row>
    <row r="38" spans="1:44" x14ac:dyDescent="0.25">
      <c r="A38" t="str">
        <f t="shared" si="11"/>
        <v>46221M</v>
      </c>
      <c r="B38" s="51">
        <f t="shared" si="17"/>
        <v>46221</v>
      </c>
      <c r="C38" s="52" t="s">
        <v>87</v>
      </c>
      <c r="D38" s="79"/>
      <c r="E38" s="62"/>
      <c r="F38" s="62"/>
      <c r="G38" s="169">
        <f t="shared" si="0"/>
        <v>0</v>
      </c>
      <c r="H38" s="170">
        <f t="shared" si="1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12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13"/>
        <v>0</v>
      </c>
      <c r="AH38" s="71"/>
      <c r="AI38" s="66"/>
      <c r="AJ38" s="66"/>
      <c r="AK38" s="62">
        <f t="shared" si="7"/>
        <v>0</v>
      </c>
      <c r="AL38" s="72">
        <f t="shared" si="8"/>
        <v>0</v>
      </c>
      <c r="AM38" s="73">
        <f t="shared" si="14"/>
        <v>0</v>
      </c>
      <c r="AN38" s="74">
        <f t="shared" si="18"/>
        <v>0</v>
      </c>
      <c r="AO38" s="74">
        <f t="shared" si="18"/>
        <v>0</v>
      </c>
      <c r="AP38" s="75" t="e">
        <f t="shared" si="15"/>
        <v>#DIV/0!</v>
      </c>
      <c r="AQ38" s="76">
        <f t="shared" si="10"/>
        <v>0</v>
      </c>
      <c r="AR38" s="90">
        <f t="shared" si="16"/>
        <v>0</v>
      </c>
    </row>
    <row r="39" spans="1:44" x14ac:dyDescent="0.25">
      <c r="A39" t="str">
        <f t="shared" si="11"/>
        <v>46221E</v>
      </c>
      <c r="B39" s="51">
        <f t="shared" si="17"/>
        <v>46221</v>
      </c>
      <c r="C39" s="52" t="s">
        <v>88</v>
      </c>
      <c r="D39" s="79"/>
      <c r="E39" s="62"/>
      <c r="F39" s="62"/>
      <c r="G39" s="169">
        <f t="shared" si="0"/>
        <v>0</v>
      </c>
      <c r="H39" s="170">
        <f t="shared" si="1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12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13"/>
        <v>0</v>
      </c>
      <c r="AH39" s="71"/>
      <c r="AI39" s="66"/>
      <c r="AJ39" s="66"/>
      <c r="AK39" s="62">
        <f t="shared" si="7"/>
        <v>0</v>
      </c>
      <c r="AL39" s="72">
        <f t="shared" si="8"/>
        <v>0</v>
      </c>
      <c r="AM39" s="73">
        <f t="shared" si="14"/>
        <v>0</v>
      </c>
      <c r="AN39" s="74">
        <f t="shared" si="18"/>
        <v>0</v>
      </c>
      <c r="AO39" s="74">
        <f t="shared" si="18"/>
        <v>0</v>
      </c>
      <c r="AP39" s="75" t="e">
        <f t="shared" si="15"/>
        <v>#DIV/0!</v>
      </c>
      <c r="AQ39" s="76">
        <f t="shared" si="10"/>
        <v>0</v>
      </c>
      <c r="AR39" s="90">
        <f t="shared" si="16"/>
        <v>0</v>
      </c>
    </row>
    <row r="40" spans="1:44" x14ac:dyDescent="0.25">
      <c r="A40" t="str">
        <f t="shared" si="11"/>
        <v>46222M</v>
      </c>
      <c r="B40" s="51">
        <f t="shared" si="17"/>
        <v>46222</v>
      </c>
      <c r="C40" s="52" t="s">
        <v>87</v>
      </c>
      <c r="D40" s="79"/>
      <c r="E40" s="62"/>
      <c r="F40" s="62"/>
      <c r="G40" s="169">
        <f t="shared" si="0"/>
        <v>0</v>
      </c>
      <c r="H40" s="170">
        <f t="shared" si="1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12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13"/>
        <v>0</v>
      </c>
      <c r="AH40" s="71"/>
      <c r="AI40" s="66"/>
      <c r="AJ40" s="66"/>
      <c r="AK40" s="62">
        <f t="shared" si="7"/>
        <v>0</v>
      </c>
      <c r="AL40" s="72">
        <f t="shared" si="8"/>
        <v>0</v>
      </c>
      <c r="AM40" s="73">
        <f t="shared" si="14"/>
        <v>0</v>
      </c>
      <c r="AN40" s="74">
        <f t="shared" si="18"/>
        <v>0</v>
      </c>
      <c r="AO40" s="74">
        <f t="shared" si="18"/>
        <v>0</v>
      </c>
      <c r="AP40" s="75" t="e">
        <f t="shared" si="15"/>
        <v>#DIV/0!</v>
      </c>
      <c r="AQ40" s="76">
        <f t="shared" si="10"/>
        <v>0</v>
      </c>
      <c r="AR40" s="90">
        <f t="shared" si="16"/>
        <v>0</v>
      </c>
    </row>
    <row r="41" spans="1:44" x14ac:dyDescent="0.25">
      <c r="A41" t="str">
        <f t="shared" si="11"/>
        <v>46222E</v>
      </c>
      <c r="B41" s="51">
        <f t="shared" si="17"/>
        <v>46222</v>
      </c>
      <c r="C41" s="52" t="s">
        <v>88</v>
      </c>
      <c r="D41" s="79"/>
      <c r="E41" s="62"/>
      <c r="F41" s="62"/>
      <c r="G41" s="169">
        <f t="shared" si="0"/>
        <v>0</v>
      </c>
      <c r="H41" s="170">
        <f t="shared" si="1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12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13"/>
        <v>0</v>
      </c>
      <c r="AH41" s="71"/>
      <c r="AI41" s="66"/>
      <c r="AJ41" s="66"/>
      <c r="AK41" s="62">
        <f t="shared" si="7"/>
        <v>0</v>
      </c>
      <c r="AL41" s="72">
        <f t="shared" si="8"/>
        <v>0</v>
      </c>
      <c r="AM41" s="73">
        <f t="shared" si="14"/>
        <v>0</v>
      </c>
      <c r="AN41" s="74">
        <f t="shared" si="18"/>
        <v>0</v>
      </c>
      <c r="AO41" s="74">
        <f t="shared" si="18"/>
        <v>0</v>
      </c>
      <c r="AP41" s="75" t="e">
        <f t="shared" si="15"/>
        <v>#DIV/0!</v>
      </c>
      <c r="AQ41" s="76">
        <f t="shared" si="10"/>
        <v>0</v>
      </c>
      <c r="AR41" s="90">
        <f t="shared" si="16"/>
        <v>0</v>
      </c>
    </row>
    <row r="42" spans="1:44" x14ac:dyDescent="0.25">
      <c r="A42" t="str">
        <f t="shared" si="11"/>
        <v>46223M</v>
      </c>
      <c r="B42" s="51">
        <f t="shared" si="17"/>
        <v>46223</v>
      </c>
      <c r="C42" s="52" t="s">
        <v>87</v>
      </c>
      <c r="D42" s="79"/>
      <c r="E42" s="62"/>
      <c r="F42" s="62"/>
      <c r="G42" s="169">
        <f t="shared" si="0"/>
        <v>0</v>
      </c>
      <c r="H42" s="170">
        <f t="shared" si="1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12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13"/>
        <v>0</v>
      </c>
      <c r="AH42" s="71"/>
      <c r="AI42" s="66"/>
      <c r="AJ42" s="66"/>
      <c r="AK42" s="62">
        <f t="shared" si="7"/>
        <v>0</v>
      </c>
      <c r="AL42" s="72">
        <f t="shared" si="8"/>
        <v>0</v>
      </c>
      <c r="AM42" s="73">
        <f t="shared" si="14"/>
        <v>0</v>
      </c>
      <c r="AN42" s="74">
        <f t="shared" si="18"/>
        <v>0</v>
      </c>
      <c r="AO42" s="74">
        <f t="shared" si="18"/>
        <v>0</v>
      </c>
      <c r="AP42" s="75" t="e">
        <f t="shared" si="15"/>
        <v>#DIV/0!</v>
      </c>
      <c r="AQ42" s="76">
        <f t="shared" si="10"/>
        <v>0</v>
      </c>
      <c r="AR42" s="90">
        <f t="shared" si="16"/>
        <v>0</v>
      </c>
    </row>
    <row r="43" spans="1:44" x14ac:dyDescent="0.25">
      <c r="A43" t="str">
        <f t="shared" si="11"/>
        <v>46223E</v>
      </c>
      <c r="B43" s="51">
        <f t="shared" si="17"/>
        <v>46223</v>
      </c>
      <c r="C43" s="52" t="s">
        <v>88</v>
      </c>
      <c r="D43" s="79"/>
      <c r="E43" s="62"/>
      <c r="F43" s="62"/>
      <c r="G43" s="169">
        <f t="shared" si="0"/>
        <v>0</v>
      </c>
      <c r="H43" s="170">
        <f t="shared" si="1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12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13"/>
        <v>0</v>
      </c>
      <c r="AH43" s="71"/>
      <c r="AI43" s="66"/>
      <c r="AJ43" s="66"/>
      <c r="AK43" s="62">
        <f t="shared" si="7"/>
        <v>0</v>
      </c>
      <c r="AL43" s="72">
        <f t="shared" si="8"/>
        <v>0</v>
      </c>
      <c r="AM43" s="73">
        <f t="shared" si="14"/>
        <v>0</v>
      </c>
      <c r="AN43" s="74">
        <f t="shared" si="18"/>
        <v>0</v>
      </c>
      <c r="AO43" s="74">
        <f t="shared" si="18"/>
        <v>0</v>
      </c>
      <c r="AP43" s="75" t="e">
        <f t="shared" si="15"/>
        <v>#DIV/0!</v>
      </c>
      <c r="AQ43" s="76">
        <f t="shared" si="10"/>
        <v>0</v>
      </c>
      <c r="AR43" s="90">
        <f t="shared" si="16"/>
        <v>0</v>
      </c>
    </row>
    <row r="44" spans="1:44" x14ac:dyDescent="0.25">
      <c r="A44" t="str">
        <f t="shared" si="11"/>
        <v>46224M</v>
      </c>
      <c r="B44" s="51">
        <f t="shared" si="17"/>
        <v>46224</v>
      </c>
      <c r="C44" s="52" t="s">
        <v>87</v>
      </c>
      <c r="D44" s="79"/>
      <c r="E44" s="62"/>
      <c r="F44" s="62"/>
      <c r="G44" s="169">
        <f t="shared" si="0"/>
        <v>0</v>
      </c>
      <c r="H44" s="170">
        <f t="shared" si="1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12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13"/>
        <v>0</v>
      </c>
      <c r="AH44" s="71"/>
      <c r="AI44" s="66"/>
      <c r="AJ44" s="66"/>
      <c r="AK44" s="62">
        <f t="shared" si="7"/>
        <v>0</v>
      </c>
      <c r="AL44" s="72">
        <f t="shared" si="8"/>
        <v>0</v>
      </c>
      <c r="AM44" s="73">
        <f t="shared" si="14"/>
        <v>0</v>
      </c>
      <c r="AN44" s="74">
        <f t="shared" si="18"/>
        <v>0</v>
      </c>
      <c r="AO44" s="74">
        <f t="shared" si="18"/>
        <v>0</v>
      </c>
      <c r="AP44" s="75" t="e">
        <f t="shared" si="15"/>
        <v>#DIV/0!</v>
      </c>
      <c r="AQ44" s="76">
        <f t="shared" si="10"/>
        <v>0</v>
      </c>
      <c r="AR44" s="90">
        <f>(D44+J44+O44)-(X44+AH44)</f>
        <v>0</v>
      </c>
    </row>
    <row r="45" spans="1:44" x14ac:dyDescent="0.25">
      <c r="A45" t="str">
        <f t="shared" si="11"/>
        <v>46224E</v>
      </c>
      <c r="B45" s="51">
        <f t="shared" si="17"/>
        <v>46224</v>
      </c>
      <c r="C45" s="52" t="s">
        <v>88</v>
      </c>
      <c r="D45" s="79"/>
      <c r="E45" s="62"/>
      <c r="F45" s="62"/>
      <c r="G45" s="169">
        <f t="shared" si="0"/>
        <v>0</v>
      </c>
      <c r="H45" s="170">
        <f t="shared" si="1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12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13"/>
        <v>0</v>
      </c>
      <c r="AH45" s="71"/>
      <c r="AI45" s="66"/>
      <c r="AJ45" s="66"/>
      <c r="AK45" s="62">
        <f t="shared" si="7"/>
        <v>0</v>
      </c>
      <c r="AL45" s="72">
        <f t="shared" si="8"/>
        <v>0</v>
      </c>
      <c r="AM45" s="73">
        <f t="shared" si="14"/>
        <v>0</v>
      </c>
      <c r="AN45" s="74">
        <f t="shared" si="18"/>
        <v>0</v>
      </c>
      <c r="AO45" s="74">
        <f t="shared" si="18"/>
        <v>0</v>
      </c>
      <c r="AP45" s="75" t="e">
        <f t="shared" si="15"/>
        <v>#DIV/0!</v>
      </c>
      <c r="AQ45" s="76">
        <f t="shared" si="10"/>
        <v>0</v>
      </c>
      <c r="AR45" s="90">
        <f>(D45+J45+O45)-(X45+AH45)</f>
        <v>0</v>
      </c>
    </row>
    <row r="46" spans="1:44" x14ac:dyDescent="0.25">
      <c r="A46" t="str">
        <f t="shared" si="11"/>
        <v>46225M</v>
      </c>
      <c r="B46" s="51">
        <f t="shared" si="17"/>
        <v>46225</v>
      </c>
      <c r="C46" s="52" t="s">
        <v>87</v>
      </c>
      <c r="D46" s="79"/>
      <c r="E46" s="62"/>
      <c r="F46" s="62"/>
      <c r="G46" s="169">
        <f t="shared" si="0"/>
        <v>0</v>
      </c>
      <c r="H46" s="170">
        <f t="shared" si="1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12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13"/>
        <v>0</v>
      </c>
      <c r="AH46" s="71"/>
      <c r="AI46" s="66"/>
      <c r="AJ46" s="66"/>
      <c r="AK46" s="62">
        <f t="shared" si="7"/>
        <v>0</v>
      </c>
      <c r="AL46" s="72">
        <f t="shared" si="8"/>
        <v>0</v>
      </c>
      <c r="AM46" s="73">
        <f t="shared" si="14"/>
        <v>0</v>
      </c>
      <c r="AN46" s="74">
        <f t="shared" si="18"/>
        <v>0</v>
      </c>
      <c r="AO46" s="74">
        <f t="shared" si="18"/>
        <v>0</v>
      </c>
      <c r="AP46" s="75" t="e">
        <f t="shared" si="15"/>
        <v>#DIV/0!</v>
      </c>
      <c r="AQ46" s="76">
        <f t="shared" si="10"/>
        <v>0</v>
      </c>
      <c r="AR46" s="90">
        <f>(D46+J46+O46)-(X46+AH46)</f>
        <v>0</v>
      </c>
    </row>
    <row r="47" spans="1:44" x14ac:dyDescent="0.25">
      <c r="A47" t="str">
        <f t="shared" si="11"/>
        <v>46225E</v>
      </c>
      <c r="B47" s="51">
        <f t="shared" si="17"/>
        <v>46225</v>
      </c>
      <c r="C47" s="52" t="s">
        <v>88</v>
      </c>
      <c r="D47" s="79"/>
      <c r="E47" s="62"/>
      <c r="F47" s="62"/>
      <c r="G47" s="169">
        <f t="shared" si="0"/>
        <v>0</v>
      </c>
      <c r="H47" s="170">
        <f t="shared" si="1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12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13"/>
        <v>0</v>
      </c>
      <c r="AH47" s="71"/>
      <c r="AI47" s="66"/>
      <c r="AJ47" s="66"/>
      <c r="AK47" s="62">
        <f t="shared" si="7"/>
        <v>0</v>
      </c>
      <c r="AL47" s="72">
        <f t="shared" si="8"/>
        <v>0</v>
      </c>
      <c r="AM47" s="73">
        <f t="shared" si="14"/>
        <v>0</v>
      </c>
      <c r="AN47" s="74">
        <f t="shared" si="18"/>
        <v>0</v>
      </c>
      <c r="AO47" s="74">
        <f t="shared" si="18"/>
        <v>0</v>
      </c>
      <c r="AP47" s="75" t="e">
        <f t="shared" si="15"/>
        <v>#DIV/0!</v>
      </c>
      <c r="AQ47" s="76">
        <f t="shared" si="10"/>
        <v>0</v>
      </c>
      <c r="AR47" s="90">
        <f>(D47+J47+O47)-(X47+AH47)</f>
        <v>0</v>
      </c>
    </row>
    <row r="48" spans="1:44" x14ac:dyDescent="0.25">
      <c r="A48" t="str">
        <f t="shared" si="11"/>
        <v>46226M</v>
      </c>
      <c r="B48" s="51">
        <f t="shared" si="17"/>
        <v>46226</v>
      </c>
      <c r="C48" s="52" t="s">
        <v>87</v>
      </c>
      <c r="D48" s="79"/>
      <c r="E48" s="62"/>
      <c r="F48" s="62"/>
      <c r="G48" s="169">
        <f t="shared" si="0"/>
        <v>0</v>
      </c>
      <c r="H48" s="170">
        <f t="shared" si="1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12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13"/>
        <v>0</v>
      </c>
      <c r="AH48" s="71"/>
      <c r="AI48" s="66"/>
      <c r="AJ48" s="66"/>
      <c r="AK48" s="62">
        <f t="shared" si="7"/>
        <v>0</v>
      </c>
      <c r="AL48" s="72">
        <f t="shared" si="8"/>
        <v>0</v>
      </c>
      <c r="AM48" s="73">
        <f t="shared" si="14"/>
        <v>0</v>
      </c>
      <c r="AN48" s="74">
        <f t="shared" si="18"/>
        <v>0</v>
      </c>
      <c r="AO48" s="74">
        <f t="shared" si="18"/>
        <v>0</v>
      </c>
      <c r="AP48" s="75" t="e">
        <f t="shared" si="15"/>
        <v>#DIV/0!</v>
      </c>
      <c r="AQ48" s="76">
        <f t="shared" si="10"/>
        <v>0</v>
      </c>
      <c r="AR48" s="83">
        <f t="shared" si="16"/>
        <v>0</v>
      </c>
    </row>
    <row r="49" spans="1:44" x14ac:dyDescent="0.25">
      <c r="A49" t="str">
        <f t="shared" si="11"/>
        <v>46226E</v>
      </c>
      <c r="B49" s="51">
        <f t="shared" si="17"/>
        <v>46226</v>
      </c>
      <c r="C49" s="52" t="s">
        <v>88</v>
      </c>
      <c r="D49" s="79"/>
      <c r="E49" s="62"/>
      <c r="F49" s="62"/>
      <c r="G49" s="169">
        <f t="shared" si="0"/>
        <v>0</v>
      </c>
      <c r="H49" s="170">
        <f t="shared" si="1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12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13"/>
        <v>0</v>
      </c>
      <c r="AH49" s="71"/>
      <c r="AI49" s="66"/>
      <c r="AJ49" s="66"/>
      <c r="AK49" s="62">
        <f t="shared" si="7"/>
        <v>0</v>
      </c>
      <c r="AL49" s="72">
        <f t="shared" si="8"/>
        <v>0</v>
      </c>
      <c r="AM49" s="73">
        <f t="shared" si="14"/>
        <v>0</v>
      </c>
      <c r="AN49" s="74">
        <f t="shared" si="18"/>
        <v>0</v>
      </c>
      <c r="AO49" s="74">
        <f t="shared" si="18"/>
        <v>0</v>
      </c>
      <c r="AP49" s="75" t="e">
        <f t="shared" si="15"/>
        <v>#DIV/0!</v>
      </c>
      <c r="AQ49" s="76">
        <f t="shared" si="10"/>
        <v>0</v>
      </c>
      <c r="AR49" s="83">
        <f t="shared" si="16"/>
        <v>0</v>
      </c>
    </row>
    <row r="50" spans="1:44" x14ac:dyDescent="0.25">
      <c r="A50" t="str">
        <f t="shared" si="11"/>
        <v>46227M</v>
      </c>
      <c r="B50" s="51">
        <f t="shared" si="17"/>
        <v>46227</v>
      </c>
      <c r="C50" s="52" t="s">
        <v>87</v>
      </c>
      <c r="D50" s="79"/>
      <c r="E50" s="62"/>
      <c r="F50" s="62"/>
      <c r="G50" s="169">
        <f t="shared" si="0"/>
        <v>0</v>
      </c>
      <c r="H50" s="170">
        <f t="shared" si="1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si="12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13"/>
        <v>0</v>
      </c>
      <c r="AH50" s="71"/>
      <c r="AI50" s="66"/>
      <c r="AJ50" s="66"/>
      <c r="AK50" s="62">
        <f t="shared" si="7"/>
        <v>0</v>
      </c>
      <c r="AL50" s="72">
        <f t="shared" si="8"/>
        <v>0</v>
      </c>
      <c r="AM50" s="73">
        <f t="shared" si="14"/>
        <v>0</v>
      </c>
      <c r="AN50" s="74">
        <f t="shared" si="18"/>
        <v>0</v>
      </c>
      <c r="AO50" s="74">
        <f t="shared" si="18"/>
        <v>0</v>
      </c>
      <c r="AP50" s="75" t="e">
        <f t="shared" si="15"/>
        <v>#DIV/0!</v>
      </c>
      <c r="AQ50" s="76">
        <f t="shared" si="10"/>
        <v>0</v>
      </c>
      <c r="AR50" s="83">
        <f t="shared" si="16"/>
        <v>0</v>
      </c>
    </row>
    <row r="51" spans="1:44" x14ac:dyDescent="0.25">
      <c r="A51" t="str">
        <f t="shared" si="11"/>
        <v>46227E</v>
      </c>
      <c r="B51" s="51">
        <f t="shared" si="17"/>
        <v>46227</v>
      </c>
      <c r="C51" s="52" t="s">
        <v>88</v>
      </c>
      <c r="D51" s="79"/>
      <c r="E51" s="62"/>
      <c r="F51" s="62"/>
      <c r="G51" s="169">
        <f t="shared" si="0"/>
        <v>0</v>
      </c>
      <c r="H51" s="170">
        <f t="shared" si="1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12"/>
        <v>0</v>
      </c>
      <c r="S51" s="62">
        <f t="shared" si="2"/>
        <v>0</v>
      </c>
      <c r="T51" s="63">
        <f t="shared" si="3"/>
        <v>0</v>
      </c>
      <c r="U51" s="64"/>
      <c r="V51" s="6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13"/>
        <v>0</v>
      </c>
      <c r="AH51" s="71"/>
      <c r="AI51" s="66"/>
      <c r="AJ51" s="66"/>
      <c r="AK51" s="62">
        <f t="shared" si="7"/>
        <v>0</v>
      </c>
      <c r="AL51" s="72">
        <f t="shared" si="8"/>
        <v>0</v>
      </c>
      <c r="AM51" s="73">
        <f t="shared" si="14"/>
        <v>0</v>
      </c>
      <c r="AN51" s="74">
        <f t="shared" si="18"/>
        <v>0</v>
      </c>
      <c r="AO51" s="74">
        <f t="shared" si="18"/>
        <v>0</v>
      </c>
      <c r="AP51" s="75" t="e">
        <f t="shared" si="15"/>
        <v>#DIV/0!</v>
      </c>
      <c r="AQ51" s="76">
        <f t="shared" si="10"/>
        <v>0</v>
      </c>
      <c r="AR51" s="83">
        <f t="shared" si="16"/>
        <v>0</v>
      </c>
    </row>
    <row r="52" spans="1:44" x14ac:dyDescent="0.25">
      <c r="A52" t="str">
        <f t="shared" si="11"/>
        <v>46228M</v>
      </c>
      <c r="B52" s="51">
        <f t="shared" si="17"/>
        <v>46228</v>
      </c>
      <c r="C52" s="52" t="s">
        <v>87</v>
      </c>
      <c r="D52" s="79"/>
      <c r="E52" s="62"/>
      <c r="F52" s="62"/>
      <c r="G52" s="169">
        <f t="shared" si="0"/>
        <v>0</v>
      </c>
      <c r="H52" s="170">
        <f t="shared" si="1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12"/>
        <v>0</v>
      </c>
      <c r="S52" s="62">
        <f t="shared" si="2"/>
        <v>0</v>
      </c>
      <c r="T52" s="63">
        <f t="shared" si="3"/>
        <v>0</v>
      </c>
      <c r="U52" s="64"/>
      <c r="V52" s="6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13"/>
        <v>0</v>
      </c>
      <c r="AH52" s="71"/>
      <c r="AI52" s="66"/>
      <c r="AJ52" s="66"/>
      <c r="AK52" s="62">
        <f t="shared" si="7"/>
        <v>0</v>
      </c>
      <c r="AL52" s="72">
        <f t="shared" si="8"/>
        <v>0</v>
      </c>
      <c r="AM52" s="73">
        <f t="shared" si="14"/>
        <v>0</v>
      </c>
      <c r="AN52" s="74">
        <f t="shared" si="18"/>
        <v>0</v>
      </c>
      <c r="AO52" s="74">
        <f t="shared" si="18"/>
        <v>0</v>
      </c>
      <c r="AP52" s="75" t="e">
        <f t="shared" si="15"/>
        <v>#DIV/0!</v>
      </c>
      <c r="AQ52" s="76">
        <f t="shared" si="10"/>
        <v>0</v>
      </c>
      <c r="AR52" s="83">
        <f t="shared" si="16"/>
        <v>0</v>
      </c>
    </row>
    <row r="53" spans="1:44" x14ac:dyDescent="0.25">
      <c r="A53" t="str">
        <f t="shared" si="11"/>
        <v>46228E</v>
      </c>
      <c r="B53" s="51">
        <f t="shared" si="17"/>
        <v>46228</v>
      </c>
      <c r="C53" s="52" t="s">
        <v>88</v>
      </c>
      <c r="D53" s="79"/>
      <c r="E53" s="62"/>
      <c r="F53" s="62"/>
      <c r="G53" s="169">
        <f t="shared" si="0"/>
        <v>0</v>
      </c>
      <c r="H53" s="170">
        <f t="shared" si="1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12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13"/>
        <v>0</v>
      </c>
      <c r="AH53" s="71"/>
      <c r="AI53" s="66"/>
      <c r="AJ53" s="66"/>
      <c r="AK53" s="62">
        <f t="shared" si="7"/>
        <v>0</v>
      </c>
      <c r="AL53" s="72">
        <f t="shared" si="8"/>
        <v>0</v>
      </c>
      <c r="AM53" s="73">
        <f t="shared" si="14"/>
        <v>0</v>
      </c>
      <c r="AN53" s="74">
        <f t="shared" si="18"/>
        <v>0</v>
      </c>
      <c r="AO53" s="74">
        <f t="shared" si="18"/>
        <v>0</v>
      </c>
      <c r="AP53" s="75" t="e">
        <f t="shared" si="15"/>
        <v>#DIV/0!</v>
      </c>
      <c r="AQ53" s="76">
        <f t="shared" si="10"/>
        <v>0</v>
      </c>
      <c r="AR53" s="83">
        <f t="shared" si="16"/>
        <v>0</v>
      </c>
    </row>
    <row r="54" spans="1:44" x14ac:dyDescent="0.25">
      <c r="A54" t="str">
        <f t="shared" si="11"/>
        <v>46229M</v>
      </c>
      <c r="B54" s="51">
        <f t="shared" si="17"/>
        <v>46229</v>
      </c>
      <c r="C54" s="52" t="s">
        <v>87</v>
      </c>
      <c r="D54" s="79"/>
      <c r="E54" s="62"/>
      <c r="F54" s="62"/>
      <c r="G54" s="169">
        <f t="shared" si="0"/>
        <v>0</v>
      </c>
      <c r="H54" s="170">
        <f t="shared" si="1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12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13"/>
        <v>0</v>
      </c>
      <c r="AH54" s="71"/>
      <c r="AI54" s="66"/>
      <c r="AJ54" s="66"/>
      <c r="AK54" s="62">
        <f t="shared" si="7"/>
        <v>0</v>
      </c>
      <c r="AL54" s="72">
        <f t="shared" si="8"/>
        <v>0</v>
      </c>
      <c r="AM54" s="73">
        <f t="shared" si="14"/>
        <v>0</v>
      </c>
      <c r="AN54" s="74">
        <f t="shared" si="18"/>
        <v>0</v>
      </c>
      <c r="AO54" s="74">
        <f t="shared" si="18"/>
        <v>0</v>
      </c>
      <c r="AP54" s="75" t="e">
        <f t="shared" si="15"/>
        <v>#DIV/0!</v>
      </c>
      <c r="AQ54" s="76">
        <f t="shared" si="10"/>
        <v>0</v>
      </c>
      <c r="AR54" s="90">
        <f t="shared" si="16"/>
        <v>0</v>
      </c>
    </row>
    <row r="55" spans="1:44" x14ac:dyDescent="0.25">
      <c r="A55" t="str">
        <f t="shared" si="11"/>
        <v>46229E</v>
      </c>
      <c r="B55" s="51">
        <f t="shared" si="17"/>
        <v>46229</v>
      </c>
      <c r="C55" s="52" t="s">
        <v>88</v>
      </c>
      <c r="D55" s="79"/>
      <c r="E55" s="62"/>
      <c r="F55" s="62"/>
      <c r="G55" s="169">
        <f t="shared" si="0"/>
        <v>0</v>
      </c>
      <c r="H55" s="170">
        <f t="shared" si="1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12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13"/>
        <v>0</v>
      </c>
      <c r="AH55" s="71"/>
      <c r="AI55" s="66"/>
      <c r="AJ55" s="66"/>
      <c r="AK55" s="62">
        <f t="shared" si="7"/>
        <v>0</v>
      </c>
      <c r="AL55" s="72">
        <f t="shared" si="8"/>
        <v>0</v>
      </c>
      <c r="AM55" s="73">
        <f t="shared" si="14"/>
        <v>0</v>
      </c>
      <c r="AN55" s="74">
        <f t="shared" si="18"/>
        <v>0</v>
      </c>
      <c r="AO55" s="74">
        <f t="shared" si="18"/>
        <v>0</v>
      </c>
      <c r="AP55" s="75" t="e">
        <f t="shared" si="15"/>
        <v>#DIV/0!</v>
      </c>
      <c r="AQ55" s="76">
        <f t="shared" si="10"/>
        <v>0</v>
      </c>
      <c r="AR55" s="90">
        <f t="shared" si="16"/>
        <v>0</v>
      </c>
    </row>
    <row r="56" spans="1:44" x14ac:dyDescent="0.25">
      <c r="A56" t="str">
        <f t="shared" si="11"/>
        <v>46230M</v>
      </c>
      <c r="B56" s="51">
        <f t="shared" si="17"/>
        <v>46230</v>
      </c>
      <c r="C56" s="52" t="s">
        <v>87</v>
      </c>
      <c r="D56" s="79"/>
      <c r="E56" s="62"/>
      <c r="F56" s="62"/>
      <c r="G56" s="169">
        <f t="shared" si="0"/>
        <v>0</v>
      </c>
      <c r="H56" s="170">
        <f t="shared" si="1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12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13"/>
        <v>0</v>
      </c>
      <c r="AH56" s="71"/>
      <c r="AI56" s="66"/>
      <c r="AJ56" s="66"/>
      <c r="AK56" s="62">
        <f t="shared" si="7"/>
        <v>0</v>
      </c>
      <c r="AL56" s="72">
        <f t="shared" si="8"/>
        <v>0</v>
      </c>
      <c r="AM56" s="73">
        <f t="shared" si="14"/>
        <v>0</v>
      </c>
      <c r="AN56" s="74">
        <f t="shared" si="18"/>
        <v>0</v>
      </c>
      <c r="AO56" s="74">
        <f t="shared" si="18"/>
        <v>0</v>
      </c>
      <c r="AP56" s="75" t="e">
        <f t="shared" si="15"/>
        <v>#DIV/0!</v>
      </c>
      <c r="AQ56" s="76">
        <f t="shared" si="10"/>
        <v>0</v>
      </c>
      <c r="AR56" s="90">
        <f t="shared" si="16"/>
        <v>0</v>
      </c>
    </row>
    <row r="57" spans="1:44" x14ac:dyDescent="0.25">
      <c r="A57" t="str">
        <f t="shared" si="11"/>
        <v>46230E</v>
      </c>
      <c r="B57" s="51">
        <f t="shared" si="17"/>
        <v>46230</v>
      </c>
      <c r="C57" s="52" t="s">
        <v>88</v>
      </c>
      <c r="D57" s="79"/>
      <c r="E57" s="62"/>
      <c r="F57" s="62"/>
      <c r="G57" s="169">
        <f t="shared" si="0"/>
        <v>0</v>
      </c>
      <c r="H57" s="170">
        <f t="shared" si="1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12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6"/>
        <v>0</v>
      </c>
      <c r="AG57" s="63">
        <f t="shared" si="13"/>
        <v>0</v>
      </c>
      <c r="AH57" s="71"/>
      <c r="AI57" s="66"/>
      <c r="AJ57" s="66"/>
      <c r="AK57" s="62">
        <f t="shared" si="7"/>
        <v>0</v>
      </c>
      <c r="AL57" s="72">
        <f t="shared" si="8"/>
        <v>0</v>
      </c>
      <c r="AM57" s="73">
        <f t="shared" si="14"/>
        <v>0</v>
      </c>
      <c r="AN57" s="74">
        <f t="shared" si="18"/>
        <v>0</v>
      </c>
      <c r="AO57" s="74">
        <f t="shared" si="18"/>
        <v>0</v>
      </c>
      <c r="AP57" s="75" t="e">
        <f t="shared" si="15"/>
        <v>#DIV/0!</v>
      </c>
      <c r="AQ57" s="76">
        <f t="shared" si="10"/>
        <v>0</v>
      </c>
      <c r="AR57" s="90">
        <f t="shared" si="16"/>
        <v>0</v>
      </c>
    </row>
    <row r="58" spans="1:44" x14ac:dyDescent="0.25">
      <c r="A58" t="str">
        <f t="shared" si="11"/>
        <v>46231M</v>
      </c>
      <c r="B58" s="51">
        <f t="shared" si="17"/>
        <v>46231</v>
      </c>
      <c r="C58" s="52" t="s">
        <v>87</v>
      </c>
      <c r="D58" s="79"/>
      <c r="E58" s="62"/>
      <c r="F58" s="62"/>
      <c r="G58" s="169">
        <f t="shared" si="0"/>
        <v>0</v>
      </c>
      <c r="H58" s="170">
        <f t="shared" si="1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12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ref="AA58:AA65" si="19">X58*Y58%</f>
        <v>0</v>
      </c>
      <c r="AB58" s="63">
        <f t="shared" ref="AB58:AB65" si="20">X58*Z58%</f>
        <v>0</v>
      </c>
      <c r="AC58" s="69"/>
      <c r="AD58" s="70"/>
      <c r="AE58" s="70"/>
      <c r="AF58" s="62">
        <f t="shared" si="6"/>
        <v>0</v>
      </c>
      <c r="AG58" s="63">
        <f t="shared" si="13"/>
        <v>0</v>
      </c>
      <c r="AH58" s="71"/>
      <c r="AI58" s="66"/>
      <c r="AJ58" s="66"/>
      <c r="AK58" s="62">
        <f t="shared" si="7"/>
        <v>0</v>
      </c>
      <c r="AL58" s="72">
        <f>AH58*AJ58%</f>
        <v>0</v>
      </c>
      <c r="AM58" s="73">
        <f t="shared" si="14"/>
        <v>0</v>
      </c>
      <c r="AN58" s="74">
        <f t="shared" si="18"/>
        <v>0</v>
      </c>
      <c r="AO58" s="74">
        <f t="shared" si="18"/>
        <v>0</v>
      </c>
      <c r="AP58" s="75" t="e">
        <f t="shared" si="15"/>
        <v>#DIV/0!</v>
      </c>
      <c r="AQ58" s="76">
        <f t="shared" si="10"/>
        <v>0</v>
      </c>
      <c r="AR58" s="90">
        <f t="shared" si="16"/>
        <v>0</v>
      </c>
    </row>
    <row r="59" spans="1:44" x14ac:dyDescent="0.25">
      <c r="A59" t="str">
        <f t="shared" si="11"/>
        <v>46231E</v>
      </c>
      <c r="B59" s="51">
        <f t="shared" si="17"/>
        <v>46231</v>
      </c>
      <c r="C59" s="52" t="s">
        <v>88</v>
      </c>
      <c r="D59" s="79"/>
      <c r="E59" s="62"/>
      <c r="F59" s="62"/>
      <c r="G59" s="169">
        <f t="shared" si="0"/>
        <v>0</v>
      </c>
      <c r="H59" s="170">
        <f t="shared" si="1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12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6"/>
        <v>0</v>
      </c>
      <c r="AG59" s="63">
        <f t="shared" si="13"/>
        <v>0</v>
      </c>
      <c r="AH59" s="71"/>
      <c r="AI59" s="66"/>
      <c r="AJ59" s="66"/>
      <c r="AK59" s="62">
        <f t="shared" si="7"/>
        <v>0</v>
      </c>
      <c r="AL59" s="72">
        <f t="shared" si="8"/>
        <v>0</v>
      </c>
      <c r="AM59" s="73">
        <f t="shared" si="14"/>
        <v>0</v>
      </c>
      <c r="AN59" s="74">
        <f t="shared" si="18"/>
        <v>0</v>
      </c>
      <c r="AO59" s="74">
        <f t="shared" si="18"/>
        <v>0</v>
      </c>
      <c r="AP59" s="75" t="e">
        <f t="shared" si="15"/>
        <v>#DIV/0!</v>
      </c>
      <c r="AQ59" s="76">
        <f t="shared" si="10"/>
        <v>0</v>
      </c>
      <c r="AR59" s="90">
        <f t="shared" si="16"/>
        <v>0</v>
      </c>
    </row>
    <row r="60" spans="1:44" x14ac:dyDescent="0.25">
      <c r="A60" t="str">
        <f t="shared" si="11"/>
        <v>46232M</v>
      </c>
      <c r="B60" s="51">
        <f t="shared" si="17"/>
        <v>46232</v>
      </c>
      <c r="C60" s="52" t="s">
        <v>87</v>
      </c>
      <c r="D60" s="79"/>
      <c r="E60" s="62"/>
      <c r="F60" s="62"/>
      <c r="G60" s="169">
        <f t="shared" si="0"/>
        <v>0</v>
      </c>
      <c r="H60" s="170">
        <f t="shared" si="1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12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6"/>
        <v>0</v>
      </c>
      <c r="AG60" s="63">
        <f t="shared" si="13"/>
        <v>0</v>
      </c>
      <c r="AH60" s="71"/>
      <c r="AI60" s="66"/>
      <c r="AJ60" s="66"/>
      <c r="AK60" s="62">
        <f t="shared" si="7"/>
        <v>0</v>
      </c>
      <c r="AL60" s="72">
        <f t="shared" si="8"/>
        <v>0</v>
      </c>
      <c r="AM60" s="73">
        <f t="shared" si="14"/>
        <v>0</v>
      </c>
      <c r="AN60" s="74">
        <f t="shared" si="18"/>
        <v>0</v>
      </c>
      <c r="AO60" s="74">
        <f t="shared" si="18"/>
        <v>0</v>
      </c>
      <c r="AP60" s="75" t="e">
        <f t="shared" si="15"/>
        <v>#DIV/0!</v>
      </c>
      <c r="AQ60" s="76">
        <f t="shared" si="10"/>
        <v>0</v>
      </c>
      <c r="AR60" s="90">
        <f t="shared" si="16"/>
        <v>0</v>
      </c>
    </row>
    <row r="61" spans="1:44" x14ac:dyDescent="0.25">
      <c r="A61" t="str">
        <f t="shared" si="11"/>
        <v>46232E</v>
      </c>
      <c r="B61" s="51">
        <f t="shared" si="17"/>
        <v>46232</v>
      </c>
      <c r="C61" s="52" t="s">
        <v>88</v>
      </c>
      <c r="D61" s="79"/>
      <c r="E61" s="62"/>
      <c r="F61" s="62"/>
      <c r="G61" s="169">
        <f t="shared" si="0"/>
        <v>0</v>
      </c>
      <c r="H61" s="170">
        <f t="shared" si="1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12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6"/>
        <v>0</v>
      </c>
      <c r="AG61" s="63">
        <f t="shared" si="13"/>
        <v>0</v>
      </c>
      <c r="AH61" s="71"/>
      <c r="AI61" s="66"/>
      <c r="AJ61" s="66"/>
      <c r="AK61" s="62">
        <f t="shared" si="7"/>
        <v>0</v>
      </c>
      <c r="AL61" s="72">
        <f t="shared" si="8"/>
        <v>0</v>
      </c>
      <c r="AM61" s="73">
        <f t="shared" si="14"/>
        <v>0</v>
      </c>
      <c r="AN61" s="74">
        <f t="shared" si="18"/>
        <v>0</v>
      </c>
      <c r="AO61" s="74">
        <f t="shared" si="18"/>
        <v>0</v>
      </c>
      <c r="AP61" s="75" t="e">
        <f t="shared" si="15"/>
        <v>#DIV/0!</v>
      </c>
      <c r="AQ61" s="76">
        <f t="shared" si="10"/>
        <v>0</v>
      </c>
      <c r="AR61" s="90">
        <f t="shared" si="16"/>
        <v>0</v>
      </c>
    </row>
    <row r="62" spans="1:44" x14ac:dyDescent="0.25">
      <c r="A62" t="str">
        <f t="shared" si="11"/>
        <v>46233M</v>
      </c>
      <c r="B62" s="51">
        <f t="shared" si="17"/>
        <v>46233</v>
      </c>
      <c r="C62" s="52" t="s">
        <v>87</v>
      </c>
      <c r="D62" s="79"/>
      <c r="E62" s="62"/>
      <c r="F62" s="62"/>
      <c r="G62" s="169">
        <f t="shared" si="0"/>
        <v>0</v>
      </c>
      <c r="H62" s="170">
        <f t="shared" si="1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12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6"/>
        <v>0</v>
      </c>
      <c r="AG62" s="63">
        <f t="shared" si="13"/>
        <v>0</v>
      </c>
      <c r="AH62" s="71"/>
      <c r="AI62" s="66"/>
      <c r="AJ62" s="66"/>
      <c r="AK62" s="62">
        <f t="shared" si="7"/>
        <v>0</v>
      </c>
      <c r="AL62" s="72">
        <f t="shared" si="8"/>
        <v>0</v>
      </c>
      <c r="AM62" s="73">
        <f t="shared" si="14"/>
        <v>0</v>
      </c>
      <c r="AN62" s="74">
        <f t="shared" si="18"/>
        <v>0</v>
      </c>
      <c r="AO62" s="74">
        <f t="shared" si="18"/>
        <v>0</v>
      </c>
      <c r="AP62" s="75" t="e">
        <f t="shared" si="15"/>
        <v>#DIV/0!</v>
      </c>
      <c r="AQ62" s="76">
        <f t="shared" si="10"/>
        <v>0</v>
      </c>
      <c r="AR62" s="90">
        <f t="shared" si="16"/>
        <v>0</v>
      </c>
    </row>
    <row r="63" spans="1:44" x14ac:dyDescent="0.25">
      <c r="A63" t="str">
        <f t="shared" si="11"/>
        <v>46233E</v>
      </c>
      <c r="B63" s="51">
        <f t="shared" si="17"/>
        <v>46233</v>
      </c>
      <c r="C63" s="52" t="s">
        <v>88</v>
      </c>
      <c r="D63" s="79"/>
      <c r="E63" s="62"/>
      <c r="F63" s="62"/>
      <c r="G63" s="169">
        <f t="shared" si="0"/>
        <v>0</v>
      </c>
      <c r="H63" s="170">
        <f t="shared" si="1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12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6"/>
        <v>0</v>
      </c>
      <c r="AG63" s="63">
        <f t="shared" si="13"/>
        <v>0</v>
      </c>
      <c r="AH63" s="71"/>
      <c r="AI63" s="66"/>
      <c r="AJ63" s="66"/>
      <c r="AK63" s="62">
        <f t="shared" si="7"/>
        <v>0</v>
      </c>
      <c r="AL63" s="72">
        <f t="shared" si="8"/>
        <v>0</v>
      </c>
      <c r="AM63" s="73">
        <f t="shared" si="14"/>
        <v>0</v>
      </c>
      <c r="AN63" s="74">
        <f t="shared" si="18"/>
        <v>0</v>
      </c>
      <c r="AO63" s="74">
        <f t="shared" si="18"/>
        <v>0</v>
      </c>
      <c r="AP63" s="75" t="e">
        <f t="shared" si="15"/>
        <v>#DIV/0!</v>
      </c>
      <c r="AQ63" s="76">
        <f t="shared" si="10"/>
        <v>0</v>
      </c>
      <c r="AR63" s="90">
        <f t="shared" si="16"/>
        <v>0</v>
      </c>
    </row>
    <row r="64" spans="1:44" x14ac:dyDescent="0.25">
      <c r="A64" t="str">
        <f t="shared" si="11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169">
        <f t="shared" si="0"/>
        <v>0</v>
      </c>
      <c r="H64" s="170">
        <f t="shared" si="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2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7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6"/>
        <v>0</v>
      </c>
      <c r="AG64" s="63">
        <f t="shared" si="13"/>
        <v>0</v>
      </c>
      <c r="AH64" s="89"/>
      <c r="AI64" s="66"/>
      <c r="AJ64" s="66"/>
      <c r="AK64" s="62">
        <f t="shared" si="7"/>
        <v>0</v>
      </c>
      <c r="AL64" s="72">
        <f t="shared" si="8"/>
        <v>0</v>
      </c>
      <c r="AM64" s="73">
        <f t="shared" si="14"/>
        <v>0</v>
      </c>
      <c r="AN64" s="74">
        <f t="shared" si="18"/>
        <v>0</v>
      </c>
      <c r="AO64" s="74">
        <f t="shared" si="18"/>
        <v>0</v>
      </c>
      <c r="AP64" s="75" t="e">
        <f t="shared" si="15"/>
        <v>#DIV/0!</v>
      </c>
      <c r="AQ64" s="76">
        <f t="shared" si="10"/>
        <v>0</v>
      </c>
      <c r="AR64" s="83">
        <f t="shared" si="16"/>
        <v>0</v>
      </c>
    </row>
    <row r="65" spans="1:44" x14ac:dyDescent="0.25">
      <c r="A65" t="str">
        <f t="shared" si="11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169">
        <f t="shared" si="0"/>
        <v>0</v>
      </c>
      <c r="H65" s="170">
        <f t="shared" si="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2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7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6"/>
        <v>0</v>
      </c>
      <c r="AG65" s="63">
        <f t="shared" si="13"/>
        <v>0</v>
      </c>
      <c r="AH65" s="89"/>
      <c r="AI65" s="66"/>
      <c r="AJ65" s="66"/>
      <c r="AK65" s="62">
        <f t="shared" si="7"/>
        <v>0</v>
      </c>
      <c r="AL65" s="72">
        <f t="shared" si="8"/>
        <v>0</v>
      </c>
      <c r="AM65" s="73">
        <f t="shared" si="14"/>
        <v>0</v>
      </c>
      <c r="AN65" s="74">
        <f t="shared" si="18"/>
        <v>0</v>
      </c>
      <c r="AO65" s="74">
        <f t="shared" si="18"/>
        <v>0</v>
      </c>
      <c r="AP65" s="75" t="e">
        <f t="shared" si="15"/>
        <v>#DIV/0!</v>
      </c>
      <c r="AQ65" s="76">
        <f t="shared" si="10"/>
        <v>0</v>
      </c>
      <c r="AR65" s="83">
        <f t="shared" si="16"/>
        <v>0</v>
      </c>
    </row>
    <row r="66" spans="1:44" x14ac:dyDescent="0.25">
      <c r="J66" s="83">
        <f>SUM(J4:J65)</f>
        <v>24573.884199999997</v>
      </c>
      <c r="AM66" s="97">
        <f t="shared" ref="AM66:AO66" si="21">-SUM(AM4:AM65)</f>
        <v>374.31580000000054</v>
      </c>
      <c r="AN66" s="97">
        <f t="shared" si="21"/>
        <v>38.679331300000129</v>
      </c>
      <c r="AO66" s="97">
        <f t="shared" si="21"/>
        <v>59.043799899999897</v>
      </c>
      <c r="AQ66" s="128">
        <f>-SUM(AQ4:AQ65)</f>
        <v>36269.769995599614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9" priority="2" operator="lessThan">
      <formula>0.1</formula>
    </cfRule>
    <cfRule type="cellIs" dxfId="58" priority="3" operator="greaterThan">
      <formula>0.1</formula>
    </cfRule>
  </conditionalFormatting>
  <conditionalFormatting sqref="AP1:AQ1">
    <cfRule type="cellIs" dxfId="57" priority="1" operator="lessThan">
      <formula>1</formula>
    </cfRule>
  </conditionalFormatting>
  <conditionalFormatting sqref="AQ4:AQ65">
    <cfRule type="cellIs" dxfId="56" priority="4" operator="lessThan">
      <formula>0</formula>
    </cfRule>
    <cfRule type="cellIs" dxfId="55" priority="5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AV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0" sqref="AC20:AE20"/>
    </sheetView>
  </sheetViews>
  <sheetFormatPr defaultRowHeight="15" x14ac:dyDescent="0.25"/>
  <cols>
    <col min="1" max="1" width="5" customWidth="1"/>
    <col min="2" max="2" width="10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95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3">
        <v>6164.9</v>
      </c>
      <c r="E4" s="55">
        <v>4.2</v>
      </c>
      <c r="F4" s="55">
        <v>8.1999999999999993</v>
      </c>
      <c r="G4" s="169">
        <f t="shared" ref="G4:G29" si="0">+D4*E4%</f>
        <v>258.92579999999998</v>
      </c>
      <c r="H4" s="170">
        <f t="shared" ref="H4:H29" si="1">+D4*F4%</f>
        <v>505.52179999999993</v>
      </c>
      <c r="I4" s="118">
        <v>2967.7000000000003</v>
      </c>
      <c r="J4" s="119">
        <v>3056.7310000000002</v>
      </c>
      <c r="K4" s="120">
        <v>4.1117666880075481</v>
      </c>
      <c r="L4" s="121">
        <v>8.1950972133301878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3056.7310000000002</v>
      </c>
      <c r="S4" s="62">
        <f t="shared" ref="S4" si="2">+J4*K4%+O4*P4%</f>
        <v>125.68564700000002</v>
      </c>
      <c r="T4" s="63">
        <f t="shared" ref="T4" si="3">+J4*L4%+O4*Q4%</f>
        <v>250.50207700000001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>AC4*AE4%</f>
        <v>0</v>
      </c>
      <c r="AH4" s="89">
        <v>9221.6</v>
      </c>
      <c r="AI4" s="66">
        <v>4.16</v>
      </c>
      <c r="AJ4" s="66">
        <v>8.1999999999999993</v>
      </c>
      <c r="AK4" s="62">
        <f t="shared" ref="AK4" si="7">AH4*AI4%</f>
        <v>383.61856</v>
      </c>
      <c r="AL4" s="72">
        <f t="shared" ref="AL4" si="8">AH4*AJ4%</f>
        <v>756.17119999999989</v>
      </c>
      <c r="AM4" s="73">
        <f>+D4+R4-AC4-AH4</f>
        <v>3.0999999999039574E-2</v>
      </c>
      <c r="AN4" s="74">
        <f t="shared" ref="AN4:AO4" si="9">+G4+S4-AF4-AK4</f>
        <v>0.99288699999999608</v>
      </c>
      <c r="AO4" s="74">
        <f t="shared" si="9"/>
        <v>-0.14732299999991483</v>
      </c>
      <c r="AP4" s="75">
        <f>(AN4+AO4)/(S4+T4)</f>
        <v>2.2477182163447768E-3</v>
      </c>
      <c r="AQ4" s="76">
        <f t="shared" ref="AQ4" si="10">($AP$1*AN4+$AQ$1*AO4)</f>
        <v>432.9925914675776</v>
      </c>
      <c r="AR4" s="83">
        <f>(D4+J4+O4)-(X4+AH4)</f>
        <v>3.0999999999039574E-2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9221.6</v>
      </c>
      <c r="E5" s="62">
        <v>4.16</v>
      </c>
      <c r="F5" s="62">
        <v>8.1999999999999993</v>
      </c>
      <c r="G5" s="169">
        <f t="shared" si="0"/>
        <v>383.61856</v>
      </c>
      <c r="H5" s="170">
        <f t="shared" si="1"/>
        <v>756.17119999999989</v>
      </c>
      <c r="I5" s="118">
        <v>3106.2000000000007</v>
      </c>
      <c r="J5" s="119">
        <v>3199.3860000000009</v>
      </c>
      <c r="K5" s="120">
        <v>4.0734112420320656</v>
      </c>
      <c r="L5" s="121">
        <v>8.1777606078166247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49" si="12">+J5+O5</f>
        <v>3199.3860000000009</v>
      </c>
      <c r="S5" s="62">
        <f t="shared" ref="S5:S49" si="13">+J5*K5%+O5*P5%</f>
        <v>130.32414900000006</v>
      </c>
      <c r="T5" s="63">
        <f t="shared" ref="T5:T49" si="14">+J5*L5%+O5*Q5%</f>
        <v>261.63812800000011</v>
      </c>
      <c r="U5" s="64" t="s">
        <v>195</v>
      </c>
      <c r="V5" s="65" t="s">
        <v>235</v>
      </c>
      <c r="W5" s="66" t="s">
        <v>181</v>
      </c>
      <c r="X5" s="67">
        <v>9355</v>
      </c>
      <c r="Y5" s="68">
        <v>4.17</v>
      </c>
      <c r="Z5" s="68">
        <v>8</v>
      </c>
      <c r="AA5" s="62">
        <f t="shared" ref="AA5:AA49" si="15">X5*Y5%</f>
        <v>390.1035</v>
      </c>
      <c r="AB5" s="63">
        <f t="shared" ref="AB5:AB49" si="16">X5*Z5%</f>
        <v>748.4</v>
      </c>
      <c r="AC5" s="69">
        <v>9400</v>
      </c>
      <c r="AD5" s="70">
        <v>4.1500000000000004</v>
      </c>
      <c r="AE5" s="70">
        <v>7.86</v>
      </c>
      <c r="AF5" s="62">
        <f t="shared" ref="AF5:AF49" si="17">AC5*AD5%</f>
        <v>390.1</v>
      </c>
      <c r="AG5" s="63">
        <f t="shared" ref="AG5:AG49" si="18">AC5*AE5%</f>
        <v>738.84</v>
      </c>
      <c r="AH5" s="96">
        <v>3020.9</v>
      </c>
      <c r="AI5" s="66">
        <v>4.1500000000000004</v>
      </c>
      <c r="AJ5" s="66">
        <v>8.19</v>
      </c>
      <c r="AK5" s="62">
        <f t="shared" ref="AK5:AK49" si="19">AH5*AI5%</f>
        <v>125.36735000000002</v>
      </c>
      <c r="AL5" s="72">
        <f t="shared" ref="AL5:AL49" si="20">AH5*AJ5%</f>
        <v>247.41171</v>
      </c>
      <c r="AM5" s="73">
        <f t="shared" ref="AM5:AM65" si="21">+D5+R5-AC5-AH5</f>
        <v>8.6000000000694854E-2</v>
      </c>
      <c r="AN5" s="74">
        <f t="shared" ref="AN5:AN65" si="22">+G5+S5-AF5-AK5</f>
        <v>-1.5246410000000026</v>
      </c>
      <c r="AO5" s="74">
        <f t="shared" ref="AO5:AO65" si="23">+H5+T5-AG5-AL5</f>
        <v>31.557618000000019</v>
      </c>
      <c r="AP5" s="75">
        <f t="shared" ref="AP5:AP65" si="24">(AN5+AO5)/(S5+T5)</f>
        <v>7.6622110754806141E-2</v>
      </c>
      <c r="AQ5" s="76">
        <f t="shared" ref="AQ5:AQ65" si="25">($AP$1*AN5+$AQ$1*AO5)</f>
        <v>8718.5860268423512</v>
      </c>
      <c r="AR5" s="83">
        <f t="shared" ref="AR5:AR65" si="26">(D5+J5+O5)-(X5+AH5)</f>
        <v>45.08600000000115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79">
        <v>3020.9</v>
      </c>
      <c r="E6" s="62">
        <v>4.1500000000000004</v>
      </c>
      <c r="F6" s="62">
        <v>8.19</v>
      </c>
      <c r="G6" s="169">
        <f t="shared" si="0"/>
        <v>125.36735000000002</v>
      </c>
      <c r="H6" s="170">
        <f t="shared" si="1"/>
        <v>247.41171</v>
      </c>
      <c r="I6" s="118">
        <v>3137.2</v>
      </c>
      <c r="J6" s="119">
        <v>3231.3159999999998</v>
      </c>
      <c r="K6" s="120">
        <v>4.1296857069998731</v>
      </c>
      <c r="L6" s="121">
        <v>8.2155935228866532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3231.3159999999998</v>
      </c>
      <c r="S6" s="62">
        <f t="shared" si="13"/>
        <v>133.443195</v>
      </c>
      <c r="T6" s="63">
        <f t="shared" si="14"/>
        <v>265.47178800000006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96">
        <v>6252.2</v>
      </c>
      <c r="AI6" s="66">
        <v>4.13</v>
      </c>
      <c r="AJ6" s="66">
        <v>8.1999999999999993</v>
      </c>
      <c r="AK6" s="62">
        <f t="shared" si="19"/>
        <v>258.21585999999996</v>
      </c>
      <c r="AL6" s="72">
        <f t="shared" si="20"/>
        <v>512.68039999999996</v>
      </c>
      <c r="AM6" s="73">
        <f t="shared" si="21"/>
        <v>1.6000000000531145E-2</v>
      </c>
      <c r="AN6" s="74">
        <f t="shared" si="22"/>
        <v>0.59468500000008362</v>
      </c>
      <c r="AO6" s="74">
        <f t="shared" si="23"/>
        <v>0.20309800000006817</v>
      </c>
      <c r="AP6" s="75">
        <f t="shared" si="24"/>
        <v>1.9998822656409265E-3</v>
      </c>
      <c r="AQ6" s="76">
        <f t="shared" si="25"/>
        <v>346.59154028900781</v>
      </c>
      <c r="AR6" s="83">
        <f t="shared" si="26"/>
        <v>1.6000000000531145E-2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79">
        <v>6252.2</v>
      </c>
      <c r="E7" s="62">
        <v>4.13</v>
      </c>
      <c r="F7" s="62">
        <v>8.1999999999999993</v>
      </c>
      <c r="G7" s="169">
        <f t="shared" si="0"/>
        <v>258.21585999999996</v>
      </c>
      <c r="H7" s="170">
        <f t="shared" si="1"/>
        <v>512.68039999999996</v>
      </c>
      <c r="I7" s="118">
        <v>4179.9999999999991</v>
      </c>
      <c r="J7" s="119">
        <v>4305.3999999999987</v>
      </c>
      <c r="K7" s="120">
        <v>3.8657607655502373</v>
      </c>
      <c r="L7" s="121">
        <v>8.1475933014354087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4305.3999999999987</v>
      </c>
      <c r="S7" s="62">
        <f t="shared" si="13"/>
        <v>166.43646399999986</v>
      </c>
      <c r="T7" s="63">
        <f t="shared" si="14"/>
        <v>350.78648199999998</v>
      </c>
      <c r="U7" s="64" t="s">
        <v>196</v>
      </c>
      <c r="V7" s="65" t="s">
        <v>236</v>
      </c>
      <c r="W7" s="66" t="s">
        <v>181</v>
      </c>
      <c r="X7" s="67">
        <v>10500</v>
      </c>
      <c r="Y7" s="68">
        <v>4.05</v>
      </c>
      <c r="Z7" s="68">
        <v>7.8</v>
      </c>
      <c r="AA7" s="62">
        <f t="shared" si="15"/>
        <v>425.25</v>
      </c>
      <c r="AB7" s="63">
        <f t="shared" si="16"/>
        <v>819</v>
      </c>
      <c r="AC7" s="69">
        <v>10500</v>
      </c>
      <c r="AD7" s="70">
        <v>4</v>
      </c>
      <c r="AE7" s="70">
        <v>7.71</v>
      </c>
      <c r="AF7" s="62">
        <f t="shared" si="17"/>
        <v>420</v>
      </c>
      <c r="AG7" s="63">
        <f t="shared" si="18"/>
        <v>809.55000000000007</v>
      </c>
      <c r="AH7" s="96">
        <v>57.4</v>
      </c>
      <c r="AI7" s="66">
        <v>4.0199999999999996</v>
      </c>
      <c r="AJ7" s="66">
        <v>8.18</v>
      </c>
      <c r="AK7" s="62">
        <f t="shared" si="19"/>
        <v>2.3074799999999995</v>
      </c>
      <c r="AL7" s="72">
        <f t="shared" si="20"/>
        <v>4.6953199999999997</v>
      </c>
      <c r="AM7" s="73">
        <f t="shared" si="21"/>
        <v>0.19999999999854623</v>
      </c>
      <c r="AN7" s="74">
        <f t="shared" si="22"/>
        <v>2.3448439999997945</v>
      </c>
      <c r="AO7" s="74">
        <f t="shared" si="23"/>
        <v>49.221561999999871</v>
      </c>
      <c r="AP7" s="75">
        <f t="shared" si="24"/>
        <v>9.9698604632284971E-2</v>
      </c>
      <c r="AQ7" s="76">
        <f t="shared" si="25"/>
        <v>15868.193481791539</v>
      </c>
      <c r="AR7" s="83">
        <f t="shared" si="26"/>
        <v>0.19999999999890861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79">
        <v>57.4</v>
      </c>
      <c r="E8" s="62">
        <v>4.0199999999999996</v>
      </c>
      <c r="F8" s="62">
        <v>8.18</v>
      </c>
      <c r="G8" s="169">
        <f t="shared" si="0"/>
        <v>2.3074799999999995</v>
      </c>
      <c r="H8" s="170">
        <f t="shared" si="1"/>
        <v>4.6953199999999997</v>
      </c>
      <c r="I8" s="118">
        <v>2612</v>
      </c>
      <c r="J8" s="119">
        <v>2690.36</v>
      </c>
      <c r="K8" s="120">
        <v>4.2455245022970907</v>
      </c>
      <c r="L8" s="121">
        <v>8.1813820826952579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2690.36</v>
      </c>
      <c r="S8" s="62">
        <f t="shared" si="13"/>
        <v>114.21989300000001</v>
      </c>
      <c r="T8" s="63">
        <f t="shared" si="14"/>
        <v>220.10863100000017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96">
        <v>2747.3</v>
      </c>
      <c r="AI8" s="66">
        <v>4.24</v>
      </c>
      <c r="AJ8" s="66">
        <v>8.18</v>
      </c>
      <c r="AK8" s="62">
        <f t="shared" si="19"/>
        <v>116.48552000000001</v>
      </c>
      <c r="AL8" s="72">
        <f t="shared" si="20"/>
        <v>224.72914</v>
      </c>
      <c r="AM8" s="73">
        <f t="shared" si="21"/>
        <v>0.46000000000003638</v>
      </c>
      <c r="AN8" s="74">
        <f t="shared" si="22"/>
        <v>4.1853000000003249E-2</v>
      </c>
      <c r="AO8" s="74">
        <f t="shared" si="23"/>
        <v>7.4811000000181593E-2</v>
      </c>
      <c r="AP8" s="75">
        <f t="shared" si="24"/>
        <v>3.4895018410150601E-4</v>
      </c>
      <c r="AQ8" s="76">
        <f t="shared" si="25"/>
        <v>42.516957159854897</v>
      </c>
      <c r="AR8" s="83">
        <f t="shared" si="26"/>
        <v>0.46000000000003638</v>
      </c>
    </row>
    <row r="9" spans="1:44" x14ac:dyDescent="0.25">
      <c r="A9" t="str">
        <f t="shared" si="11"/>
        <v>46206E</v>
      </c>
      <c r="B9" s="51">
        <f t="shared" ref="B9:B65" si="27">+B7+1</f>
        <v>46206</v>
      </c>
      <c r="C9" s="52" t="s">
        <v>88</v>
      </c>
      <c r="D9" s="79">
        <v>2747.3</v>
      </c>
      <c r="E9" s="62">
        <v>4.24</v>
      </c>
      <c r="F9" s="62">
        <v>8.18</v>
      </c>
      <c r="G9" s="169">
        <f t="shared" si="0"/>
        <v>116.48552000000001</v>
      </c>
      <c r="H9" s="170">
        <f t="shared" si="1"/>
        <v>224.72914</v>
      </c>
      <c r="I9" s="118">
        <v>2938.9</v>
      </c>
      <c r="J9" s="119">
        <v>3027.067</v>
      </c>
      <c r="K9" s="120">
        <v>4.0406444588111174</v>
      </c>
      <c r="L9" s="121">
        <v>8.0996189050324929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3027.067</v>
      </c>
      <c r="S9" s="62">
        <f t="shared" si="13"/>
        <v>122.31301499999994</v>
      </c>
      <c r="T9" s="63">
        <f t="shared" si="14"/>
        <v>245.18089099999995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09">
        <v>5774.3</v>
      </c>
      <c r="AI9" s="66">
        <v>4.13</v>
      </c>
      <c r="AJ9" s="66">
        <v>8.1300000000000008</v>
      </c>
      <c r="AK9" s="62">
        <f t="shared" si="19"/>
        <v>238.47859</v>
      </c>
      <c r="AL9" s="72">
        <f t="shared" si="20"/>
        <v>469.45059000000009</v>
      </c>
      <c r="AM9" s="73">
        <f t="shared" si="21"/>
        <v>6.7000000000007276E-2</v>
      </c>
      <c r="AN9" s="74">
        <f t="shared" si="22"/>
        <v>0.31994499999996151</v>
      </c>
      <c r="AO9" s="74">
        <f t="shared" si="23"/>
        <v>0.4594409999998561</v>
      </c>
      <c r="AP9" s="75">
        <f t="shared" si="24"/>
        <v>2.1208133992834644E-3</v>
      </c>
      <c r="AQ9" s="76">
        <f t="shared" si="25"/>
        <v>291.34247488751578</v>
      </c>
      <c r="AR9" s="83">
        <f t="shared" si="26"/>
        <v>6.7000000000007276E-2</v>
      </c>
    </row>
    <row r="10" spans="1:44" x14ac:dyDescent="0.25">
      <c r="A10" t="str">
        <f t="shared" si="11"/>
        <v>46207M</v>
      </c>
      <c r="B10" s="51">
        <f t="shared" si="27"/>
        <v>46207</v>
      </c>
      <c r="C10" s="52" t="s">
        <v>87</v>
      </c>
      <c r="D10" s="79">
        <v>5774.3</v>
      </c>
      <c r="E10" s="62">
        <v>4.13</v>
      </c>
      <c r="F10" s="62">
        <v>8.1300000000000008</v>
      </c>
      <c r="G10" s="169">
        <f t="shared" si="0"/>
        <v>238.47859</v>
      </c>
      <c r="H10" s="170">
        <f t="shared" si="1"/>
        <v>469.45059000000009</v>
      </c>
      <c r="I10" s="118">
        <v>2690.5999999999995</v>
      </c>
      <c r="J10" s="119">
        <v>2771.3179999999993</v>
      </c>
      <c r="K10" s="120">
        <v>4.296710770831786</v>
      </c>
      <c r="L10" s="121">
        <v>8.1569538392923544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2771.3179999999993</v>
      </c>
      <c r="S10" s="62">
        <f t="shared" si="13"/>
        <v>119.075519</v>
      </c>
      <c r="T10" s="63">
        <f t="shared" si="14"/>
        <v>226.05513000000002</v>
      </c>
      <c r="U10" s="64" t="s">
        <v>195</v>
      </c>
      <c r="V10" s="65" t="s">
        <v>276</v>
      </c>
      <c r="W10" s="66" t="s">
        <v>181</v>
      </c>
      <c r="X10" s="67">
        <v>9130</v>
      </c>
      <c r="Y10" s="68">
        <v>4.3</v>
      </c>
      <c r="Z10" s="68">
        <v>7.88</v>
      </c>
      <c r="AA10" s="62">
        <f t="shared" si="15"/>
        <v>392.59</v>
      </c>
      <c r="AB10" s="63">
        <f t="shared" si="16"/>
        <v>719.44399999999996</v>
      </c>
      <c r="AC10" s="69">
        <v>9140</v>
      </c>
      <c r="AD10" s="70">
        <v>4.2757658643326035</v>
      </c>
      <c r="AE10" s="70">
        <v>7.8251531728665205</v>
      </c>
      <c r="AF10" s="62">
        <f t="shared" si="17"/>
        <v>390.80499999999995</v>
      </c>
      <c r="AG10" s="63">
        <f t="shared" si="18"/>
        <v>715.21900000000005</v>
      </c>
      <c r="AH10" s="96">
        <v>0</v>
      </c>
      <c r="AI10" s="66">
        <v>0</v>
      </c>
      <c r="AJ10" s="66">
        <v>0</v>
      </c>
      <c r="AK10" s="62">
        <f t="shared" si="19"/>
        <v>0</v>
      </c>
      <c r="AL10" s="72">
        <f t="shared" si="20"/>
        <v>0</v>
      </c>
      <c r="AM10" s="73">
        <f t="shared" si="21"/>
        <v>-594.38200000000143</v>
      </c>
      <c r="AN10" s="74">
        <f t="shared" si="22"/>
        <v>-33.250890999999967</v>
      </c>
      <c r="AO10" s="74">
        <f t="shared" si="23"/>
        <v>-19.713279999999941</v>
      </c>
      <c r="AP10" s="75">
        <f t="shared" si="24"/>
        <v>-0.15346122157930955</v>
      </c>
      <c r="AQ10" s="76">
        <f t="shared" si="25"/>
        <v>-21882.087185458662</v>
      </c>
      <c r="AR10" s="83">
        <f t="shared" si="26"/>
        <v>-584.38200000000143</v>
      </c>
    </row>
    <row r="11" spans="1:44" x14ac:dyDescent="0.25">
      <c r="A11" t="str">
        <f t="shared" si="11"/>
        <v>46207E</v>
      </c>
      <c r="B11" s="51">
        <f t="shared" si="27"/>
        <v>46207</v>
      </c>
      <c r="C11" s="52" t="s">
        <v>88</v>
      </c>
      <c r="D11" s="79">
        <v>0</v>
      </c>
      <c r="E11" s="62">
        <v>0</v>
      </c>
      <c r="F11" s="62">
        <v>0</v>
      </c>
      <c r="G11" s="169">
        <f t="shared" si="0"/>
        <v>0</v>
      </c>
      <c r="H11" s="170">
        <f t="shared" si="1"/>
        <v>0</v>
      </c>
      <c r="I11" s="118">
        <v>3306.7</v>
      </c>
      <c r="J11" s="119">
        <v>3405.9009999999998</v>
      </c>
      <c r="K11" s="120">
        <v>3.9022923156016591</v>
      </c>
      <c r="L11" s="121">
        <v>8.0987903347748489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3405.9009999999998</v>
      </c>
      <c r="S11" s="62">
        <f t="shared" si="13"/>
        <v>132.90821300000005</v>
      </c>
      <c r="T11" s="63">
        <f t="shared" si="14"/>
        <v>275.83678099999992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96">
        <v>3405.9</v>
      </c>
      <c r="AI11" s="66">
        <v>3.9</v>
      </c>
      <c r="AJ11" s="66">
        <v>8.1</v>
      </c>
      <c r="AK11" s="62">
        <f t="shared" si="19"/>
        <v>132.83010000000002</v>
      </c>
      <c r="AL11" s="72">
        <f t="shared" si="20"/>
        <v>275.87790000000001</v>
      </c>
      <c r="AM11" s="73">
        <f t="shared" si="21"/>
        <v>9.9999999974897946E-4</v>
      </c>
      <c r="AN11" s="74">
        <f t="shared" si="22"/>
        <v>7.8113000000030297E-2</v>
      </c>
      <c r="AO11" s="74">
        <f t="shared" si="23"/>
        <v>-4.1119000000094275E-2</v>
      </c>
      <c r="AP11" s="75">
        <f t="shared" si="24"/>
        <v>9.0506307215926476E-5</v>
      </c>
      <c r="AQ11" s="76">
        <f t="shared" si="25"/>
        <v>25.221064361284299</v>
      </c>
      <c r="AR11" s="83">
        <f t="shared" si="26"/>
        <v>9.9999999974897946E-4</v>
      </c>
    </row>
    <row r="12" spans="1:44" x14ac:dyDescent="0.25">
      <c r="A12" t="str">
        <f t="shared" si="11"/>
        <v>46208M</v>
      </c>
      <c r="B12" s="51">
        <f t="shared" si="27"/>
        <v>46208</v>
      </c>
      <c r="C12" s="52" t="s">
        <v>87</v>
      </c>
      <c r="D12" s="79">
        <v>3405.9</v>
      </c>
      <c r="E12" s="62">
        <v>3.9</v>
      </c>
      <c r="F12" s="62">
        <v>8.1</v>
      </c>
      <c r="G12" s="169">
        <f t="shared" si="0"/>
        <v>132.83010000000002</v>
      </c>
      <c r="H12" s="170">
        <f t="shared" si="1"/>
        <v>275.87790000000001</v>
      </c>
      <c r="I12" s="118">
        <v>2988.9999999999991</v>
      </c>
      <c r="J12" s="119">
        <v>3078.6699999999992</v>
      </c>
      <c r="K12" s="120">
        <v>4.1611241217798591</v>
      </c>
      <c r="L12" s="121">
        <v>8.0959785881565747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3078.6699999999992</v>
      </c>
      <c r="S12" s="62">
        <f t="shared" si="13"/>
        <v>128.10727999999995</v>
      </c>
      <c r="T12" s="63">
        <f t="shared" si="14"/>
        <v>249.24846399999993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96">
        <v>6484.5</v>
      </c>
      <c r="AI12" s="66">
        <v>4.0199999999999996</v>
      </c>
      <c r="AJ12" s="66">
        <v>8.1</v>
      </c>
      <c r="AK12" s="62">
        <f t="shared" si="19"/>
        <v>260.67689999999993</v>
      </c>
      <c r="AL12" s="72">
        <f t="shared" si="20"/>
        <v>525.24450000000002</v>
      </c>
      <c r="AM12" s="73">
        <f t="shared" si="21"/>
        <v>6.9999999999708962E-2</v>
      </c>
      <c r="AN12" s="74">
        <f t="shared" si="22"/>
        <v>0.26048000000002958</v>
      </c>
      <c r="AO12" s="74">
        <f t="shared" si="23"/>
        <v>-0.11813600000004953</v>
      </c>
      <c r="AP12" s="75">
        <f t="shared" si="24"/>
        <v>3.7721434551683965E-4</v>
      </c>
      <c r="AQ12" s="76">
        <f t="shared" si="25"/>
        <v>89.788437399995942</v>
      </c>
      <c r="AR12" s="83">
        <f t="shared" si="26"/>
        <v>6.9999999999708962E-2</v>
      </c>
    </row>
    <row r="13" spans="1:44" x14ac:dyDescent="0.25">
      <c r="A13" t="str">
        <f t="shared" si="11"/>
        <v>46208E</v>
      </c>
      <c r="B13" s="51">
        <f t="shared" si="27"/>
        <v>46208</v>
      </c>
      <c r="C13" s="52" t="s">
        <v>88</v>
      </c>
      <c r="D13" s="79">
        <v>6484.5</v>
      </c>
      <c r="E13" s="62">
        <v>4.0199999999999996</v>
      </c>
      <c r="F13" s="62">
        <v>8.1</v>
      </c>
      <c r="G13" s="169">
        <f t="shared" si="0"/>
        <v>260.67689999999993</v>
      </c>
      <c r="H13" s="170">
        <f t="shared" si="1"/>
        <v>525.24450000000002</v>
      </c>
      <c r="I13" s="118">
        <v>3143.8999999999992</v>
      </c>
      <c r="J13" s="119">
        <v>3238.2169999999992</v>
      </c>
      <c r="K13" s="120">
        <v>3.8909634530360373</v>
      </c>
      <c r="L13" s="121">
        <v>8.0898756321765948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3238.2169999999992</v>
      </c>
      <c r="S13" s="62">
        <f t="shared" si="13"/>
        <v>125.99783999999994</v>
      </c>
      <c r="T13" s="63">
        <f t="shared" si="14"/>
        <v>261.96772799999991</v>
      </c>
      <c r="U13" s="64" t="s">
        <v>196</v>
      </c>
      <c r="V13" s="65" t="s">
        <v>277</v>
      </c>
      <c r="W13" s="66" t="s">
        <v>181</v>
      </c>
      <c r="X13" s="67">
        <v>9900</v>
      </c>
      <c r="Y13" s="68">
        <v>4.1900000000000004</v>
      </c>
      <c r="Z13" s="68">
        <v>7.99</v>
      </c>
      <c r="AA13" s="62">
        <f t="shared" si="15"/>
        <v>414.81000000000006</v>
      </c>
      <c r="AB13" s="63">
        <f t="shared" si="16"/>
        <v>791.01</v>
      </c>
      <c r="AC13" s="69">
        <v>9880</v>
      </c>
      <c r="AD13" s="70">
        <v>4.1396761133603244</v>
      </c>
      <c r="AE13" s="70">
        <v>7.9363562753036447</v>
      </c>
      <c r="AF13" s="62">
        <f t="shared" si="17"/>
        <v>409.00000000000006</v>
      </c>
      <c r="AG13" s="63">
        <f t="shared" si="18"/>
        <v>784.11200000000019</v>
      </c>
      <c r="AH13" s="96">
        <v>0</v>
      </c>
      <c r="AI13" s="66">
        <v>0</v>
      </c>
      <c r="AJ13" s="66">
        <v>0</v>
      </c>
      <c r="AK13" s="62">
        <f t="shared" si="19"/>
        <v>0</v>
      </c>
      <c r="AL13" s="72">
        <f t="shared" si="20"/>
        <v>0</v>
      </c>
      <c r="AM13" s="73">
        <f t="shared" si="21"/>
        <v>-157.28300000000127</v>
      </c>
      <c r="AN13" s="74">
        <f t="shared" si="22"/>
        <v>-22.325260000000185</v>
      </c>
      <c r="AO13" s="74">
        <f t="shared" si="23"/>
        <v>3.1002279999996745</v>
      </c>
      <c r="AP13" s="75">
        <f t="shared" si="24"/>
        <v>-4.9553449031849439E-2</v>
      </c>
      <c r="AQ13" s="76">
        <f t="shared" si="25"/>
        <v>-9799.5233512287905</v>
      </c>
      <c r="AR13" s="83">
        <f t="shared" si="26"/>
        <v>-177.28300000000127</v>
      </c>
    </row>
    <row r="14" spans="1:44" x14ac:dyDescent="0.25">
      <c r="A14" t="str">
        <f t="shared" si="11"/>
        <v>46209M</v>
      </c>
      <c r="B14" s="51">
        <f t="shared" si="27"/>
        <v>46209</v>
      </c>
      <c r="C14" s="52" t="s">
        <v>87</v>
      </c>
      <c r="D14" s="79">
        <v>0</v>
      </c>
      <c r="E14" s="62">
        <v>0</v>
      </c>
      <c r="F14" s="62">
        <v>0</v>
      </c>
      <c r="G14" s="169">
        <f t="shared" si="0"/>
        <v>0</v>
      </c>
      <c r="H14" s="170">
        <f t="shared" si="1"/>
        <v>0</v>
      </c>
      <c r="I14" s="118">
        <v>2569.3999999999992</v>
      </c>
      <c r="J14" s="119">
        <v>2646.4819999999991</v>
      </c>
      <c r="K14" s="120">
        <v>4.3828714875068115</v>
      </c>
      <c r="L14" s="121">
        <v>8.1142640305129596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2646.4819999999991</v>
      </c>
      <c r="S14" s="62">
        <f t="shared" si="13"/>
        <v>115.99190499999997</v>
      </c>
      <c r="T14" s="63">
        <f t="shared" si="14"/>
        <v>214.74253699999988</v>
      </c>
      <c r="U14" s="64" t="s">
        <v>167</v>
      </c>
      <c r="V14" s="65" t="s">
        <v>180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2646.4</v>
      </c>
      <c r="AI14" s="66">
        <v>4.38</v>
      </c>
      <c r="AJ14" s="66">
        <v>8.11</v>
      </c>
      <c r="AK14" s="62">
        <f t="shared" si="19"/>
        <v>115.91231999999999</v>
      </c>
      <c r="AL14" s="72">
        <f t="shared" si="20"/>
        <v>214.62303999999997</v>
      </c>
      <c r="AM14" s="73">
        <f t="shared" si="21"/>
        <v>8.1999999998970452E-2</v>
      </c>
      <c r="AN14" s="74">
        <f t="shared" si="22"/>
        <v>7.9584999999980255E-2</v>
      </c>
      <c r="AO14" s="74">
        <f t="shared" si="23"/>
        <v>0.11949699999991026</v>
      </c>
      <c r="AP14" s="75">
        <f t="shared" si="24"/>
        <v>6.0193912311040957E-4</v>
      </c>
      <c r="AQ14" s="76">
        <f t="shared" si="25"/>
        <v>74.031470383886614</v>
      </c>
      <c r="AR14" s="90">
        <f t="shared" ref="AR14:AR21" si="28">(D14+J14+O14)-(X14+AH14)</f>
        <v>8.1999999998970452E-2</v>
      </c>
    </row>
    <row r="15" spans="1:44" x14ac:dyDescent="0.25">
      <c r="A15" t="str">
        <f t="shared" si="11"/>
        <v>46209E</v>
      </c>
      <c r="B15" s="51">
        <f t="shared" si="27"/>
        <v>46209</v>
      </c>
      <c r="C15" s="52" t="s">
        <v>88</v>
      </c>
      <c r="D15" s="79">
        <v>2646.4</v>
      </c>
      <c r="E15" s="62">
        <v>4.38</v>
      </c>
      <c r="F15" s="62">
        <v>8.11</v>
      </c>
      <c r="G15" s="169">
        <f t="shared" si="0"/>
        <v>115.91231999999999</v>
      </c>
      <c r="H15" s="170">
        <f t="shared" si="1"/>
        <v>214.62303999999997</v>
      </c>
      <c r="I15" s="118">
        <v>2133.099999999999</v>
      </c>
      <c r="J15" s="119">
        <v>2197.0929999999989</v>
      </c>
      <c r="K15" s="120">
        <v>4.1607097651305605</v>
      </c>
      <c r="L15" s="121">
        <v>8.1114621911771607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2197.0929999999989</v>
      </c>
      <c r="S15" s="62">
        <f t="shared" si="13"/>
        <v>91.414662999999933</v>
      </c>
      <c r="T15" s="63">
        <f t="shared" si="14"/>
        <v>178.2163679999999</v>
      </c>
      <c r="U15" s="64" t="s">
        <v>167</v>
      </c>
      <c r="V15" s="65" t="s">
        <v>180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4843.3999999999996</v>
      </c>
      <c r="AI15" s="66">
        <v>4.28</v>
      </c>
      <c r="AJ15" s="66">
        <v>8.11</v>
      </c>
      <c r="AK15" s="62">
        <f t="shared" si="19"/>
        <v>207.29752000000002</v>
      </c>
      <c r="AL15" s="72">
        <f t="shared" si="20"/>
        <v>392.79973999999993</v>
      </c>
      <c r="AM15" s="73">
        <f t="shared" si="21"/>
        <v>9.299999999893771E-2</v>
      </c>
      <c r="AN15" s="74">
        <f t="shared" si="22"/>
        <v>2.9462999999907424E-2</v>
      </c>
      <c r="AO15" s="74">
        <f t="shared" si="23"/>
        <v>3.9667999999949188E-2</v>
      </c>
      <c r="AP15" s="75">
        <f t="shared" si="24"/>
        <v>2.5639111248978107E-4</v>
      </c>
      <c r="AQ15" s="76">
        <f t="shared" si="25"/>
        <v>26.03814327047106</v>
      </c>
      <c r="AR15" s="90">
        <f t="shared" si="28"/>
        <v>9.299999999893771E-2</v>
      </c>
    </row>
    <row r="16" spans="1:44" x14ac:dyDescent="0.25">
      <c r="A16" t="str">
        <f t="shared" si="11"/>
        <v>46210M</v>
      </c>
      <c r="B16" s="51">
        <f t="shared" si="27"/>
        <v>46210</v>
      </c>
      <c r="C16" s="52" t="s">
        <v>87</v>
      </c>
      <c r="D16" s="79">
        <v>4843.3999999999996</v>
      </c>
      <c r="E16" s="62">
        <v>4.28</v>
      </c>
      <c r="F16" s="62">
        <v>8.11</v>
      </c>
      <c r="G16" s="169">
        <f t="shared" si="0"/>
        <v>207.29752000000002</v>
      </c>
      <c r="H16" s="170">
        <f t="shared" si="1"/>
        <v>392.79973999999993</v>
      </c>
      <c r="I16" s="118">
        <v>2870.4</v>
      </c>
      <c r="J16" s="119">
        <v>2956.5120000000002</v>
      </c>
      <c r="K16" s="120">
        <v>4.3057727146042373</v>
      </c>
      <c r="L16" s="121">
        <v>8.1391130156075828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2956.5120000000002</v>
      </c>
      <c r="S16" s="62">
        <f t="shared" si="13"/>
        <v>127.30068700000002</v>
      </c>
      <c r="T16" s="63">
        <f t="shared" si="14"/>
        <v>240.63385300000007</v>
      </c>
      <c r="U16" s="64" t="s">
        <v>167</v>
      </c>
      <c r="V16" s="65" t="s">
        <v>180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5"/>
        <v>0</v>
      </c>
      <c r="AB16" s="63">
        <f t="shared" si="1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96">
        <v>7790.9</v>
      </c>
      <c r="AI16" s="117">
        <v>4.29</v>
      </c>
      <c r="AJ16" s="117">
        <v>8.1199999999999992</v>
      </c>
      <c r="AK16" s="62">
        <f t="shared" si="19"/>
        <v>334.22960999999998</v>
      </c>
      <c r="AL16" s="72">
        <f t="shared" si="20"/>
        <v>632.62107999999989</v>
      </c>
      <c r="AM16" s="73">
        <f t="shared" si="21"/>
        <v>9.0120000000006257</v>
      </c>
      <c r="AN16" s="74">
        <f t="shared" si="22"/>
        <v>0.36859700000007933</v>
      </c>
      <c r="AO16" s="74">
        <f t="shared" si="23"/>
        <v>0.81251300000008086</v>
      </c>
      <c r="AP16" s="75">
        <f t="shared" si="24"/>
        <v>3.2101090590738231E-3</v>
      </c>
      <c r="AQ16" s="76">
        <f t="shared" si="25"/>
        <v>420.46326510896148</v>
      </c>
      <c r="AR16" s="90">
        <f t="shared" si="28"/>
        <v>9.0120000000006257</v>
      </c>
    </row>
    <row r="17" spans="1:48" x14ac:dyDescent="0.25">
      <c r="A17" t="str">
        <f t="shared" si="11"/>
        <v>46210E</v>
      </c>
      <c r="B17" s="51">
        <f t="shared" si="27"/>
        <v>46210</v>
      </c>
      <c r="C17" s="52" t="s">
        <v>88</v>
      </c>
      <c r="D17" s="79">
        <v>7790.9</v>
      </c>
      <c r="E17" s="62">
        <v>4.29</v>
      </c>
      <c r="F17" s="62">
        <v>8.1199999999999992</v>
      </c>
      <c r="G17" s="169">
        <f t="shared" si="0"/>
        <v>334.22960999999998</v>
      </c>
      <c r="H17" s="170">
        <f t="shared" si="1"/>
        <v>632.62107999999989</v>
      </c>
      <c r="I17" s="118">
        <v>2847.0999999999995</v>
      </c>
      <c r="J17" s="119">
        <v>2932.5129999999995</v>
      </c>
      <c r="K17" s="120">
        <v>4.0163956306417052</v>
      </c>
      <c r="L17" s="121">
        <v>8.0986863826349644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2932.5129999999995</v>
      </c>
      <c r="S17" s="62">
        <f t="shared" si="13"/>
        <v>117.78132399999997</v>
      </c>
      <c r="T17" s="63">
        <f t="shared" si="14"/>
        <v>237.49503100000004</v>
      </c>
      <c r="U17" s="64" t="s">
        <v>195</v>
      </c>
      <c r="V17" s="65" t="s">
        <v>337</v>
      </c>
      <c r="W17" s="66" t="s">
        <v>181</v>
      </c>
      <c r="X17" s="67">
        <v>9310</v>
      </c>
      <c r="Y17" s="68">
        <v>4.3499999999999996</v>
      </c>
      <c r="Z17" s="68">
        <v>8.07</v>
      </c>
      <c r="AA17" s="62">
        <f t="shared" si="15"/>
        <v>404.98499999999996</v>
      </c>
      <c r="AB17" s="63">
        <f t="shared" si="16"/>
        <v>751.31700000000012</v>
      </c>
      <c r="AC17" s="69">
        <v>9300</v>
      </c>
      <c r="AD17" s="70">
        <v>4.3</v>
      </c>
      <c r="AE17" s="70">
        <v>7.89</v>
      </c>
      <c r="AF17" s="62">
        <f t="shared" si="17"/>
        <v>399.9</v>
      </c>
      <c r="AG17" s="63">
        <f t="shared" si="18"/>
        <v>733.77</v>
      </c>
      <c r="AH17" s="96">
        <v>1413.4</v>
      </c>
      <c r="AI17" s="66">
        <v>4.21</v>
      </c>
      <c r="AJ17" s="66">
        <v>8.11</v>
      </c>
      <c r="AK17" s="62">
        <f t="shared" si="19"/>
        <v>59.50414</v>
      </c>
      <c r="AL17" s="72">
        <f t="shared" si="20"/>
        <v>114.62674</v>
      </c>
      <c r="AM17" s="73">
        <f t="shared" si="21"/>
        <v>10.012999999998556</v>
      </c>
      <c r="AN17" s="74">
        <f t="shared" si="22"/>
        <v>-7.3932060000000135</v>
      </c>
      <c r="AO17" s="74">
        <f t="shared" si="23"/>
        <v>21.719370999999953</v>
      </c>
      <c r="AP17" s="75">
        <f t="shared" si="24"/>
        <v>4.0324003549293164E-2</v>
      </c>
      <c r="AQ17" s="76">
        <f t="shared" si="25"/>
        <v>2952.082152130462</v>
      </c>
      <c r="AR17" s="90">
        <f t="shared" si="28"/>
        <v>1.299999999901047E-2</v>
      </c>
    </row>
    <row r="18" spans="1:48" x14ac:dyDescent="0.25">
      <c r="A18" t="str">
        <f t="shared" si="11"/>
        <v>46211M</v>
      </c>
      <c r="B18" s="51">
        <f t="shared" si="27"/>
        <v>46211</v>
      </c>
      <c r="C18" s="52" t="s">
        <v>87</v>
      </c>
      <c r="D18" s="79">
        <v>1413.4</v>
      </c>
      <c r="E18" s="62">
        <v>4.21</v>
      </c>
      <c r="F18" s="62">
        <v>8.11</v>
      </c>
      <c r="G18" s="169">
        <f t="shared" si="0"/>
        <v>59.50414</v>
      </c>
      <c r="H18" s="170">
        <f t="shared" si="1"/>
        <v>114.62674</v>
      </c>
      <c r="I18" s="118">
        <v>2967.8999999999996</v>
      </c>
      <c r="J18" s="119">
        <v>3056.9369999999999</v>
      </c>
      <c r="K18" s="120">
        <v>4.2439603760234501</v>
      </c>
      <c r="L18" s="121">
        <v>8.1163988004986667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3056.9369999999999</v>
      </c>
      <c r="S18" s="62">
        <f t="shared" si="13"/>
        <v>129.73519499999998</v>
      </c>
      <c r="T18" s="63">
        <f t="shared" si="14"/>
        <v>248.11319799999993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96">
        <v>4470.3</v>
      </c>
      <c r="AI18" s="66">
        <v>4.22</v>
      </c>
      <c r="AJ18" s="66">
        <v>8.1199999999999992</v>
      </c>
      <c r="AK18" s="62">
        <f t="shared" si="19"/>
        <v>188.64666</v>
      </c>
      <c r="AL18" s="72">
        <f t="shared" si="20"/>
        <v>362.98836</v>
      </c>
      <c r="AM18" s="73">
        <f t="shared" si="21"/>
        <v>3.699999999935244E-2</v>
      </c>
      <c r="AN18" s="74">
        <f t="shared" si="22"/>
        <v>0.59267499999998563</v>
      </c>
      <c r="AO18" s="74">
        <f t="shared" si="23"/>
        <v>-0.24842200000006187</v>
      </c>
      <c r="AP18" s="75">
        <f t="shared" si="24"/>
        <v>9.1108763826322232E-4</v>
      </c>
      <c r="AQ18" s="76">
        <f t="shared" si="25"/>
        <v>210.39944953239205</v>
      </c>
      <c r="AR18" s="90">
        <f t="shared" si="28"/>
        <v>3.699999999935244E-2</v>
      </c>
    </row>
    <row r="19" spans="1:48" x14ac:dyDescent="0.25">
      <c r="A19" t="str">
        <f t="shared" si="11"/>
        <v>46211E</v>
      </c>
      <c r="B19" s="51">
        <f t="shared" si="27"/>
        <v>46211</v>
      </c>
      <c r="C19" s="52" t="s">
        <v>88</v>
      </c>
      <c r="D19" s="79">
        <v>4470.3</v>
      </c>
      <c r="E19" s="62">
        <v>4.22</v>
      </c>
      <c r="F19" s="62">
        <v>8.1199999999999992</v>
      </c>
      <c r="G19" s="169">
        <f t="shared" si="0"/>
        <v>188.64666</v>
      </c>
      <c r="H19" s="170">
        <f t="shared" si="1"/>
        <v>362.98836</v>
      </c>
      <c r="I19" s="118">
        <v>3217.8999999999992</v>
      </c>
      <c r="J19" s="119">
        <v>3314.4369999999994</v>
      </c>
      <c r="K19" s="120">
        <v>3.9930637993722615</v>
      </c>
      <c r="L19" s="121">
        <v>8.0321669411728145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3314.4369999999994</v>
      </c>
      <c r="S19" s="62">
        <f t="shared" si="13"/>
        <v>132.34758399999998</v>
      </c>
      <c r="T19" s="63">
        <f t="shared" si="14"/>
        <v>266.22111299999995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96">
        <v>7784.7</v>
      </c>
      <c r="AI19" s="66">
        <v>4.12</v>
      </c>
      <c r="AJ19" s="66">
        <v>8.08</v>
      </c>
      <c r="AK19" s="62">
        <f t="shared" si="19"/>
        <v>320.72964000000002</v>
      </c>
      <c r="AL19" s="72">
        <f t="shared" si="20"/>
        <v>629.00375999999994</v>
      </c>
      <c r="AM19" s="73">
        <f t="shared" si="21"/>
        <v>3.699999999935244E-2</v>
      </c>
      <c r="AN19" s="74">
        <f t="shared" si="22"/>
        <v>0.26460399999996298</v>
      </c>
      <c r="AO19" s="74">
        <f t="shared" si="23"/>
        <v>0.20571299999994608</v>
      </c>
      <c r="AP19" s="75">
        <f t="shared" si="24"/>
        <v>1.1800148971556317E-3</v>
      </c>
      <c r="AQ19" s="76">
        <f t="shared" si="25"/>
        <v>188.76004605212347</v>
      </c>
      <c r="AR19" s="90">
        <f t="shared" si="28"/>
        <v>3.699999999935244E-2</v>
      </c>
    </row>
    <row r="20" spans="1:48" x14ac:dyDescent="0.25">
      <c r="A20" t="str">
        <f t="shared" si="11"/>
        <v>46212M</v>
      </c>
      <c r="B20" s="51">
        <f>+B18+1</f>
        <v>46212</v>
      </c>
      <c r="C20" s="52" t="s">
        <v>87</v>
      </c>
      <c r="D20" s="79">
        <v>7784.7</v>
      </c>
      <c r="E20" s="62">
        <v>4.12</v>
      </c>
      <c r="F20" s="62">
        <v>8.08</v>
      </c>
      <c r="G20" s="169">
        <f t="shared" si="0"/>
        <v>320.72964000000002</v>
      </c>
      <c r="H20" s="170">
        <f t="shared" si="1"/>
        <v>629.00375999999994</v>
      </c>
      <c r="I20" s="118">
        <v>3461.4999999999995</v>
      </c>
      <c r="J20" s="119">
        <v>3565.3449999999998</v>
      </c>
      <c r="K20" s="120">
        <v>4.1584168712985692</v>
      </c>
      <c r="L20" s="121">
        <v>8.0531503683374286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3565.3449999999998</v>
      </c>
      <c r="S20" s="62">
        <f t="shared" si="13"/>
        <v>148.26190799999995</v>
      </c>
      <c r="T20" s="63">
        <f t="shared" si="14"/>
        <v>287.12259400000011</v>
      </c>
      <c r="U20" s="64" t="s">
        <v>195</v>
      </c>
      <c r="V20" s="65" t="s">
        <v>399</v>
      </c>
      <c r="W20" s="66" t="s">
        <v>181</v>
      </c>
      <c r="X20" s="67">
        <v>9400</v>
      </c>
      <c r="Y20" s="68">
        <v>4.3499999999999996</v>
      </c>
      <c r="Z20" s="68">
        <v>8</v>
      </c>
      <c r="AA20" s="62">
        <f t="shared" si="15"/>
        <v>408.9</v>
      </c>
      <c r="AB20" s="63">
        <f t="shared" si="16"/>
        <v>752</v>
      </c>
      <c r="AC20" s="69">
        <v>9440</v>
      </c>
      <c r="AD20" s="70">
        <v>4.2999999999999989</v>
      </c>
      <c r="AE20" s="70">
        <v>7.8299999999999992</v>
      </c>
      <c r="AF20" s="62">
        <f t="shared" si="17"/>
        <v>405.9199999999999</v>
      </c>
      <c r="AG20" s="63">
        <f t="shared" si="18"/>
        <v>739.15199999999993</v>
      </c>
      <c r="AH20" s="96">
        <v>1950</v>
      </c>
      <c r="AI20" s="66">
        <v>4.1399999999999997</v>
      </c>
      <c r="AJ20" s="66">
        <v>8.06</v>
      </c>
      <c r="AK20" s="62">
        <f t="shared" si="19"/>
        <v>80.73</v>
      </c>
      <c r="AL20" s="72">
        <f t="shared" si="20"/>
        <v>157.17000000000002</v>
      </c>
      <c r="AM20" s="73">
        <f t="shared" si="21"/>
        <v>-39.954999999999927</v>
      </c>
      <c r="AN20" s="74">
        <f t="shared" si="22"/>
        <v>-17.65845199999994</v>
      </c>
      <c r="AO20" s="74">
        <f t="shared" si="23"/>
        <v>19.804354000000046</v>
      </c>
      <c r="AP20" s="75">
        <f t="shared" si="24"/>
        <v>4.9287514602439977E-3</v>
      </c>
      <c r="AQ20" s="76">
        <f t="shared" si="25"/>
        <v>-2554.2331909751547</v>
      </c>
      <c r="AR20" s="90">
        <f t="shared" si="28"/>
        <v>4.500000000007276E-2</v>
      </c>
    </row>
    <row r="21" spans="1:48" x14ac:dyDescent="0.25">
      <c r="A21" t="str">
        <f t="shared" si="11"/>
        <v>46212E</v>
      </c>
      <c r="B21" s="51">
        <f t="shared" si="27"/>
        <v>46212</v>
      </c>
      <c r="C21" s="52" t="s">
        <v>88</v>
      </c>
      <c r="D21" s="79">
        <v>1950</v>
      </c>
      <c r="E21" s="62">
        <v>4.1399999999999997</v>
      </c>
      <c r="F21" s="62">
        <v>8.06</v>
      </c>
      <c r="G21" s="169">
        <f t="shared" si="0"/>
        <v>80.73</v>
      </c>
      <c r="H21" s="170">
        <f t="shared" si="1"/>
        <v>157.17000000000002</v>
      </c>
      <c r="I21" s="118">
        <v>3020.6299999999997</v>
      </c>
      <c r="J21" s="119">
        <v>3111.2488999999996</v>
      </c>
      <c r="K21" s="120">
        <v>4.0339621204848006</v>
      </c>
      <c r="L21" s="121">
        <v>8.0927167511413192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3111.2488999999996</v>
      </c>
      <c r="S21" s="62">
        <f t="shared" si="13"/>
        <v>125.50660210000001</v>
      </c>
      <c r="T21" s="63">
        <f t="shared" si="14"/>
        <v>251.7845609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96">
        <v>5061.2</v>
      </c>
      <c r="AI21" s="66">
        <v>4.07</v>
      </c>
      <c r="AJ21" s="66">
        <v>8.07</v>
      </c>
      <c r="AK21" s="62">
        <f t="shared" si="19"/>
        <v>205.99083999999999</v>
      </c>
      <c r="AL21" s="72">
        <f t="shared" si="20"/>
        <v>408.43884000000003</v>
      </c>
      <c r="AM21" s="73">
        <f t="shared" si="21"/>
        <v>4.8899999999775901E-2</v>
      </c>
      <c r="AN21" s="74">
        <f t="shared" si="22"/>
        <v>0.24576210000003584</v>
      </c>
      <c r="AO21" s="74">
        <f t="shared" si="23"/>
        <v>0.51572090000001936</v>
      </c>
      <c r="AP21" s="75">
        <f t="shared" si="24"/>
        <v>2.0182900493750902E-3</v>
      </c>
      <c r="AQ21" s="76">
        <f t="shared" si="25"/>
        <v>272.55050606693015</v>
      </c>
      <c r="AR21" s="90">
        <f t="shared" si="28"/>
        <v>4.8899999999775901E-2</v>
      </c>
    </row>
    <row r="22" spans="1:48" x14ac:dyDescent="0.25">
      <c r="A22" t="str">
        <f t="shared" si="11"/>
        <v>46213M</v>
      </c>
      <c r="B22" s="51">
        <f t="shared" si="27"/>
        <v>46213</v>
      </c>
      <c r="C22" s="52" t="s">
        <v>87</v>
      </c>
      <c r="D22" s="79"/>
      <c r="E22" s="62"/>
      <c r="F22" s="62"/>
      <c r="G22" s="169">
        <f t="shared" si="0"/>
        <v>0</v>
      </c>
      <c r="H22" s="170">
        <f t="shared" si="1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2"/>
        <v>0</v>
      </c>
      <c r="S22" s="62">
        <f t="shared" si="13"/>
        <v>0</v>
      </c>
      <c r="T22" s="63">
        <f t="shared" si="14"/>
        <v>0</v>
      </c>
      <c r="U22" s="64"/>
      <c r="V22" s="65"/>
      <c r="W22" s="66"/>
      <c r="X22" s="67"/>
      <c r="Y22" s="68"/>
      <c r="Z22" s="68"/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96"/>
      <c r="AI22" s="66"/>
      <c r="AJ22" s="66"/>
      <c r="AK22" s="62">
        <f t="shared" si="19"/>
        <v>0</v>
      </c>
      <c r="AL22" s="72">
        <f t="shared" si="20"/>
        <v>0</v>
      </c>
      <c r="AM22" s="73">
        <f t="shared" si="21"/>
        <v>0</v>
      </c>
      <c r="AN22" s="74">
        <f t="shared" si="22"/>
        <v>0</v>
      </c>
      <c r="AO22" s="74">
        <f t="shared" si="23"/>
        <v>0</v>
      </c>
      <c r="AP22" s="75" t="e">
        <f t="shared" si="24"/>
        <v>#DIV/0!</v>
      </c>
      <c r="AQ22" s="76">
        <f t="shared" si="25"/>
        <v>0</v>
      </c>
      <c r="AR22" s="83">
        <f>(D22+J22+O22)-(X22+AH22)</f>
        <v>0</v>
      </c>
      <c r="AT22" s="83"/>
      <c r="AU22" s="83"/>
    </row>
    <row r="23" spans="1:48" x14ac:dyDescent="0.25">
      <c r="A23" t="str">
        <f t="shared" si="11"/>
        <v>46213E</v>
      </c>
      <c r="B23" s="51">
        <f t="shared" si="27"/>
        <v>46213</v>
      </c>
      <c r="C23" s="52" t="s">
        <v>88</v>
      </c>
      <c r="D23" s="79"/>
      <c r="E23" s="62"/>
      <c r="F23" s="62"/>
      <c r="G23" s="169">
        <f t="shared" si="0"/>
        <v>0</v>
      </c>
      <c r="H23" s="170">
        <f t="shared" si="1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2"/>
        <v>0</v>
      </c>
      <c r="S23" s="62">
        <f t="shared" si="13"/>
        <v>0</v>
      </c>
      <c r="T23" s="63">
        <f t="shared" si="14"/>
        <v>0</v>
      </c>
      <c r="U23" s="64"/>
      <c r="V23" s="65"/>
      <c r="W23" s="66"/>
      <c r="X23" s="67"/>
      <c r="Y23" s="68"/>
      <c r="Z23" s="68"/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96"/>
      <c r="AI23" s="66"/>
      <c r="AJ23" s="84"/>
      <c r="AK23" s="62">
        <f t="shared" si="19"/>
        <v>0</v>
      </c>
      <c r="AL23" s="72">
        <f t="shared" si="20"/>
        <v>0</v>
      </c>
      <c r="AM23" s="73">
        <f t="shared" si="21"/>
        <v>0</v>
      </c>
      <c r="AN23" s="74">
        <f t="shared" si="22"/>
        <v>0</v>
      </c>
      <c r="AO23" s="74">
        <f t="shared" si="23"/>
        <v>0</v>
      </c>
      <c r="AP23" s="75" t="e">
        <f t="shared" si="24"/>
        <v>#DIV/0!</v>
      </c>
      <c r="AQ23" s="76">
        <f t="shared" si="25"/>
        <v>0</v>
      </c>
      <c r="AR23" s="83">
        <f t="shared" si="26"/>
        <v>0</v>
      </c>
      <c r="AU23" s="83"/>
    </row>
    <row r="24" spans="1:48" x14ac:dyDescent="0.25">
      <c r="A24" t="str">
        <f t="shared" si="11"/>
        <v>46214M</v>
      </c>
      <c r="B24" s="51">
        <f t="shared" si="27"/>
        <v>46214</v>
      </c>
      <c r="C24" s="52" t="s">
        <v>87</v>
      </c>
      <c r="D24" s="79"/>
      <c r="E24" s="62"/>
      <c r="F24" s="62"/>
      <c r="G24" s="169">
        <f t="shared" si="0"/>
        <v>0</v>
      </c>
      <c r="H24" s="170">
        <f t="shared" si="1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96"/>
      <c r="AI24" s="66"/>
      <c r="AJ24" s="66"/>
      <c r="AK24" s="62">
        <f t="shared" si="19"/>
        <v>0</v>
      </c>
      <c r="AL24" s="72">
        <f t="shared" si="20"/>
        <v>0</v>
      </c>
      <c r="AM24" s="73">
        <f t="shared" si="21"/>
        <v>0</v>
      </c>
      <c r="AN24" s="74">
        <f t="shared" si="22"/>
        <v>0</v>
      </c>
      <c r="AO24" s="74">
        <f t="shared" si="23"/>
        <v>0</v>
      </c>
      <c r="AP24" s="75" t="e">
        <f t="shared" si="24"/>
        <v>#DIV/0!</v>
      </c>
      <c r="AQ24" s="76">
        <f t="shared" si="25"/>
        <v>0</v>
      </c>
      <c r="AR24" s="83">
        <f t="shared" si="26"/>
        <v>0</v>
      </c>
      <c r="AT24" s="77"/>
      <c r="AU24" s="77"/>
      <c r="AV24" s="77"/>
    </row>
    <row r="25" spans="1:48" x14ac:dyDescent="0.25">
      <c r="A25" t="str">
        <f t="shared" si="11"/>
        <v>46214E</v>
      </c>
      <c r="B25" s="51">
        <f t="shared" si="27"/>
        <v>46214</v>
      </c>
      <c r="C25" s="52" t="s">
        <v>88</v>
      </c>
      <c r="D25" s="79"/>
      <c r="E25" s="62"/>
      <c r="F25" s="62"/>
      <c r="G25" s="169">
        <f t="shared" si="0"/>
        <v>0</v>
      </c>
      <c r="H25" s="170">
        <f t="shared" si="1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96"/>
      <c r="AI25" s="66"/>
      <c r="AJ25" s="66"/>
      <c r="AK25" s="62">
        <f t="shared" si="19"/>
        <v>0</v>
      </c>
      <c r="AL25" s="72">
        <f t="shared" si="20"/>
        <v>0</v>
      </c>
      <c r="AM25" s="73">
        <f t="shared" si="21"/>
        <v>0</v>
      </c>
      <c r="AN25" s="74">
        <f t="shared" si="22"/>
        <v>0</v>
      </c>
      <c r="AO25" s="74">
        <f t="shared" si="23"/>
        <v>0</v>
      </c>
      <c r="AP25" s="75" t="e">
        <f t="shared" si="24"/>
        <v>#DIV/0!</v>
      </c>
      <c r="AQ25" s="76">
        <f t="shared" si="25"/>
        <v>0</v>
      </c>
      <c r="AR25" s="83">
        <f t="shared" si="26"/>
        <v>0</v>
      </c>
    </row>
    <row r="26" spans="1:48" x14ac:dyDescent="0.25">
      <c r="A26" t="str">
        <f t="shared" si="11"/>
        <v>46215M</v>
      </c>
      <c r="B26" s="51">
        <f t="shared" si="27"/>
        <v>46215</v>
      </c>
      <c r="C26" s="52" t="s">
        <v>87</v>
      </c>
      <c r="D26" s="79"/>
      <c r="E26" s="62"/>
      <c r="F26" s="62"/>
      <c r="G26" s="169">
        <f t="shared" si="0"/>
        <v>0</v>
      </c>
      <c r="H26" s="170">
        <f t="shared" si="1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96"/>
      <c r="AI26" s="66"/>
      <c r="AJ26" s="66"/>
      <c r="AK26" s="62">
        <f t="shared" si="19"/>
        <v>0</v>
      </c>
      <c r="AL26" s="72">
        <f t="shared" si="20"/>
        <v>0</v>
      </c>
      <c r="AM26" s="73">
        <f t="shared" si="21"/>
        <v>0</v>
      </c>
      <c r="AN26" s="74">
        <f t="shared" si="22"/>
        <v>0</v>
      </c>
      <c r="AO26" s="74">
        <f t="shared" si="23"/>
        <v>0</v>
      </c>
      <c r="AP26" s="75" t="e">
        <f t="shared" si="24"/>
        <v>#DIV/0!</v>
      </c>
      <c r="AQ26" s="76">
        <f t="shared" si="25"/>
        <v>0</v>
      </c>
      <c r="AR26" s="83">
        <f t="shared" si="26"/>
        <v>0</v>
      </c>
    </row>
    <row r="27" spans="1:48" x14ac:dyDescent="0.25">
      <c r="A27" t="str">
        <f t="shared" si="11"/>
        <v>46215E</v>
      </c>
      <c r="B27" s="51">
        <f t="shared" si="27"/>
        <v>46215</v>
      </c>
      <c r="C27" s="52" t="s">
        <v>88</v>
      </c>
      <c r="D27" s="79"/>
      <c r="E27" s="62"/>
      <c r="F27" s="62"/>
      <c r="G27" s="169">
        <f t="shared" si="0"/>
        <v>0</v>
      </c>
      <c r="H27" s="170">
        <f t="shared" si="1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96"/>
      <c r="AI27" s="66"/>
      <c r="AJ27" s="66"/>
      <c r="AK27" s="62">
        <f t="shared" si="19"/>
        <v>0</v>
      </c>
      <c r="AL27" s="72">
        <f t="shared" si="20"/>
        <v>0</v>
      </c>
      <c r="AM27" s="73">
        <f t="shared" si="21"/>
        <v>0</v>
      </c>
      <c r="AN27" s="74">
        <f t="shared" si="22"/>
        <v>0</v>
      </c>
      <c r="AO27" s="74">
        <f t="shared" si="23"/>
        <v>0</v>
      </c>
      <c r="AP27" s="75" t="e">
        <f t="shared" si="24"/>
        <v>#DIV/0!</v>
      </c>
      <c r="AQ27" s="76">
        <f t="shared" si="25"/>
        <v>0</v>
      </c>
      <c r="AR27" s="83">
        <f t="shared" si="26"/>
        <v>0</v>
      </c>
    </row>
    <row r="28" spans="1:48" x14ac:dyDescent="0.25">
      <c r="A28" t="str">
        <f t="shared" si="11"/>
        <v>46216M</v>
      </c>
      <c r="B28" s="51">
        <f t="shared" si="27"/>
        <v>46216</v>
      </c>
      <c r="C28" s="52" t="s">
        <v>87</v>
      </c>
      <c r="D28" s="79"/>
      <c r="E28" s="62"/>
      <c r="F28" s="62"/>
      <c r="G28" s="169">
        <f t="shared" si="0"/>
        <v>0</v>
      </c>
      <c r="H28" s="170">
        <f t="shared" si="1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71"/>
      <c r="AI28" s="66"/>
      <c r="AJ28" s="66"/>
      <c r="AK28" s="62">
        <f t="shared" si="19"/>
        <v>0</v>
      </c>
      <c r="AL28" s="72">
        <f t="shared" si="20"/>
        <v>0</v>
      </c>
      <c r="AM28" s="73">
        <f t="shared" si="21"/>
        <v>0</v>
      </c>
      <c r="AN28" s="74">
        <f t="shared" si="22"/>
        <v>0</v>
      </c>
      <c r="AO28" s="74">
        <f t="shared" si="23"/>
        <v>0</v>
      </c>
      <c r="AP28" s="75" t="e">
        <f t="shared" si="24"/>
        <v>#DIV/0!</v>
      </c>
      <c r="AQ28" s="76">
        <f t="shared" si="25"/>
        <v>0</v>
      </c>
      <c r="AR28" s="90">
        <f t="shared" ref="AR28:AR33" si="29">(D28+J28+O28)-(X28+AH28)</f>
        <v>0</v>
      </c>
    </row>
    <row r="29" spans="1:48" x14ac:dyDescent="0.25">
      <c r="A29" t="str">
        <f t="shared" si="11"/>
        <v>46216E</v>
      </c>
      <c r="B29" s="51">
        <f t="shared" si="27"/>
        <v>46216</v>
      </c>
      <c r="C29" s="52" t="s">
        <v>88</v>
      </c>
      <c r="D29" s="79"/>
      <c r="E29" s="62"/>
      <c r="F29" s="62"/>
      <c r="G29" s="169">
        <f t="shared" si="0"/>
        <v>0</v>
      </c>
      <c r="H29" s="170">
        <f t="shared" si="1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71"/>
      <c r="AI29" s="66"/>
      <c r="AJ29" s="66"/>
      <c r="AK29" s="62">
        <f t="shared" si="19"/>
        <v>0</v>
      </c>
      <c r="AL29" s="72">
        <f t="shared" si="20"/>
        <v>0</v>
      </c>
      <c r="AM29" s="73">
        <f t="shared" si="21"/>
        <v>0</v>
      </c>
      <c r="AN29" s="74">
        <f t="shared" si="22"/>
        <v>0</v>
      </c>
      <c r="AO29" s="74">
        <f t="shared" si="23"/>
        <v>0</v>
      </c>
      <c r="AP29" s="75" t="e">
        <f t="shared" si="24"/>
        <v>#DIV/0!</v>
      </c>
      <c r="AQ29" s="76">
        <f t="shared" si="25"/>
        <v>0</v>
      </c>
      <c r="AR29" s="90">
        <f t="shared" si="29"/>
        <v>0</v>
      </c>
    </row>
    <row r="30" spans="1:48" x14ac:dyDescent="0.25">
      <c r="A30" t="str">
        <f t="shared" si="11"/>
        <v>46217M</v>
      </c>
      <c r="B30" s="51">
        <f t="shared" si="27"/>
        <v>46217</v>
      </c>
      <c r="C30" s="52" t="s">
        <v>87</v>
      </c>
      <c r="D30" s="79"/>
      <c r="E30" s="62"/>
      <c r="F30" s="62"/>
      <c r="G30" s="169">
        <f t="shared" ref="G30:G65" si="30">+D30*E30%</f>
        <v>0</v>
      </c>
      <c r="H30" s="170">
        <f t="shared" ref="H30:H65" si="31">+D30*F30%</f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71"/>
      <c r="AI30" s="66"/>
      <c r="AJ30" s="66"/>
      <c r="AK30" s="62">
        <f t="shared" si="19"/>
        <v>0</v>
      </c>
      <c r="AL30" s="72">
        <f t="shared" si="20"/>
        <v>0</v>
      </c>
      <c r="AM30" s="73">
        <f t="shared" si="21"/>
        <v>0</v>
      </c>
      <c r="AN30" s="74">
        <f t="shared" si="22"/>
        <v>0</v>
      </c>
      <c r="AO30" s="74">
        <f t="shared" si="23"/>
        <v>0</v>
      </c>
      <c r="AP30" s="75" t="e">
        <f t="shared" si="24"/>
        <v>#DIV/0!</v>
      </c>
      <c r="AQ30" s="76">
        <f t="shared" si="25"/>
        <v>0</v>
      </c>
      <c r="AR30" s="90">
        <f t="shared" si="29"/>
        <v>0</v>
      </c>
    </row>
    <row r="31" spans="1:48" x14ac:dyDescent="0.25">
      <c r="A31" t="str">
        <f t="shared" si="11"/>
        <v>46217E</v>
      </c>
      <c r="B31" s="51">
        <f t="shared" si="27"/>
        <v>46217</v>
      </c>
      <c r="C31" s="52" t="s">
        <v>88</v>
      </c>
      <c r="D31" s="79"/>
      <c r="E31" s="62"/>
      <c r="F31" s="62"/>
      <c r="G31" s="169">
        <f t="shared" si="30"/>
        <v>0</v>
      </c>
      <c r="H31" s="170">
        <f t="shared" si="31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8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71"/>
      <c r="AI31" s="66"/>
      <c r="AJ31" s="66"/>
      <c r="AK31" s="62">
        <f t="shared" si="19"/>
        <v>0</v>
      </c>
      <c r="AL31" s="72">
        <f t="shared" si="20"/>
        <v>0</v>
      </c>
      <c r="AM31" s="73">
        <f t="shared" si="21"/>
        <v>0</v>
      </c>
      <c r="AN31" s="74">
        <f t="shared" si="22"/>
        <v>0</v>
      </c>
      <c r="AO31" s="74">
        <f t="shared" si="23"/>
        <v>0</v>
      </c>
      <c r="AP31" s="75" t="e">
        <f t="shared" si="24"/>
        <v>#DIV/0!</v>
      </c>
      <c r="AQ31" s="76">
        <f t="shared" si="25"/>
        <v>0</v>
      </c>
      <c r="AR31" s="90">
        <f t="shared" si="29"/>
        <v>0</v>
      </c>
    </row>
    <row r="32" spans="1:48" x14ac:dyDescent="0.25">
      <c r="A32" t="str">
        <f t="shared" si="11"/>
        <v>46218M</v>
      </c>
      <c r="B32" s="51">
        <f t="shared" si="27"/>
        <v>46218</v>
      </c>
      <c r="C32" s="52" t="s">
        <v>87</v>
      </c>
      <c r="D32" s="79"/>
      <c r="E32" s="62"/>
      <c r="F32" s="62"/>
      <c r="G32" s="169">
        <f t="shared" si="30"/>
        <v>0</v>
      </c>
      <c r="H32" s="170">
        <f t="shared" si="31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71"/>
      <c r="AI32" s="66"/>
      <c r="AJ32" s="66"/>
      <c r="AK32" s="62">
        <f t="shared" si="19"/>
        <v>0</v>
      </c>
      <c r="AL32" s="72">
        <f t="shared" si="20"/>
        <v>0</v>
      </c>
      <c r="AM32" s="73">
        <f t="shared" si="21"/>
        <v>0</v>
      </c>
      <c r="AN32" s="74">
        <f t="shared" si="22"/>
        <v>0</v>
      </c>
      <c r="AO32" s="74">
        <f t="shared" si="23"/>
        <v>0</v>
      </c>
      <c r="AP32" s="75" t="e">
        <f t="shared" si="24"/>
        <v>#DIV/0!</v>
      </c>
      <c r="AQ32" s="76">
        <f t="shared" si="25"/>
        <v>0</v>
      </c>
      <c r="AR32" s="90">
        <f t="shared" si="29"/>
        <v>0</v>
      </c>
    </row>
    <row r="33" spans="1:44" x14ac:dyDescent="0.25">
      <c r="A33" t="str">
        <f t="shared" si="11"/>
        <v>46218E</v>
      </c>
      <c r="B33" s="51">
        <f t="shared" si="27"/>
        <v>46218</v>
      </c>
      <c r="C33" s="52" t="s">
        <v>88</v>
      </c>
      <c r="D33" s="79"/>
      <c r="E33" s="62"/>
      <c r="F33" s="62"/>
      <c r="G33" s="169">
        <f t="shared" si="30"/>
        <v>0</v>
      </c>
      <c r="H33" s="170">
        <f t="shared" si="31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71"/>
      <c r="AI33" s="66"/>
      <c r="AJ33" s="66"/>
      <c r="AK33" s="62">
        <f t="shared" si="19"/>
        <v>0</v>
      </c>
      <c r="AL33" s="72">
        <f t="shared" si="20"/>
        <v>0</v>
      </c>
      <c r="AM33" s="73">
        <f t="shared" si="21"/>
        <v>0</v>
      </c>
      <c r="AN33" s="74">
        <f t="shared" si="22"/>
        <v>0</v>
      </c>
      <c r="AO33" s="74">
        <f t="shared" si="23"/>
        <v>0</v>
      </c>
      <c r="AP33" s="75" t="e">
        <f t="shared" si="24"/>
        <v>#DIV/0!</v>
      </c>
      <c r="AQ33" s="76">
        <f t="shared" si="25"/>
        <v>0</v>
      </c>
      <c r="AR33" s="90">
        <f t="shared" si="29"/>
        <v>0</v>
      </c>
    </row>
    <row r="34" spans="1:44" x14ac:dyDescent="0.25">
      <c r="A34" t="str">
        <f t="shared" si="11"/>
        <v>46219M</v>
      </c>
      <c r="B34" s="51">
        <f t="shared" si="27"/>
        <v>46219</v>
      </c>
      <c r="C34" s="52" t="s">
        <v>87</v>
      </c>
      <c r="D34" s="79"/>
      <c r="E34" s="62"/>
      <c r="F34" s="62"/>
      <c r="G34" s="169">
        <f t="shared" si="30"/>
        <v>0</v>
      </c>
      <c r="H34" s="170">
        <f t="shared" si="31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71"/>
      <c r="AI34" s="66"/>
      <c r="AJ34" s="66"/>
      <c r="AK34" s="62">
        <f t="shared" si="19"/>
        <v>0</v>
      </c>
      <c r="AL34" s="72">
        <f t="shared" si="20"/>
        <v>0</v>
      </c>
      <c r="AM34" s="73">
        <f t="shared" si="21"/>
        <v>0</v>
      </c>
      <c r="AN34" s="74">
        <f t="shared" si="22"/>
        <v>0</v>
      </c>
      <c r="AO34" s="74">
        <f t="shared" si="23"/>
        <v>0</v>
      </c>
      <c r="AP34" s="75" t="e">
        <f t="shared" si="24"/>
        <v>#DIV/0!</v>
      </c>
      <c r="AQ34" s="76">
        <f t="shared" si="25"/>
        <v>0</v>
      </c>
      <c r="AR34" s="90">
        <f t="shared" ref="AR34:AR43" si="32">(D34+J34+O34)-(X34+AH34)</f>
        <v>0</v>
      </c>
    </row>
    <row r="35" spans="1:44" x14ac:dyDescent="0.25">
      <c r="A35" t="str">
        <f t="shared" si="11"/>
        <v>46219E</v>
      </c>
      <c r="B35" s="51">
        <f t="shared" si="27"/>
        <v>46219</v>
      </c>
      <c r="C35" s="52" t="s">
        <v>88</v>
      </c>
      <c r="D35" s="79"/>
      <c r="E35" s="62"/>
      <c r="F35" s="62"/>
      <c r="G35" s="169">
        <f t="shared" si="30"/>
        <v>0</v>
      </c>
      <c r="H35" s="170">
        <f t="shared" si="31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71"/>
      <c r="AI35" s="66"/>
      <c r="AJ35" s="66"/>
      <c r="AK35" s="62">
        <f t="shared" si="19"/>
        <v>0</v>
      </c>
      <c r="AL35" s="72">
        <f t="shared" si="20"/>
        <v>0</v>
      </c>
      <c r="AM35" s="73">
        <f t="shared" si="21"/>
        <v>0</v>
      </c>
      <c r="AN35" s="74">
        <f t="shared" si="22"/>
        <v>0</v>
      </c>
      <c r="AO35" s="74">
        <f t="shared" si="23"/>
        <v>0</v>
      </c>
      <c r="AP35" s="75" t="e">
        <f t="shared" si="24"/>
        <v>#DIV/0!</v>
      </c>
      <c r="AQ35" s="76">
        <f t="shared" si="25"/>
        <v>0</v>
      </c>
      <c r="AR35" s="90">
        <f t="shared" si="32"/>
        <v>0</v>
      </c>
    </row>
    <row r="36" spans="1:44" x14ac:dyDescent="0.25">
      <c r="A36" t="str">
        <f t="shared" si="11"/>
        <v>46220M</v>
      </c>
      <c r="B36" s="51">
        <f t="shared" si="27"/>
        <v>46220</v>
      </c>
      <c r="C36" s="52" t="s">
        <v>87</v>
      </c>
      <c r="D36" s="79"/>
      <c r="E36" s="62"/>
      <c r="F36" s="62"/>
      <c r="G36" s="169">
        <f t="shared" si="30"/>
        <v>0</v>
      </c>
      <c r="H36" s="170">
        <f t="shared" si="31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8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71"/>
      <c r="AI36" s="66"/>
      <c r="AJ36" s="66"/>
      <c r="AK36" s="62">
        <f t="shared" si="19"/>
        <v>0</v>
      </c>
      <c r="AL36" s="72">
        <f t="shared" si="20"/>
        <v>0</v>
      </c>
      <c r="AM36" s="73">
        <f t="shared" si="21"/>
        <v>0</v>
      </c>
      <c r="AN36" s="74">
        <f t="shared" si="22"/>
        <v>0</v>
      </c>
      <c r="AO36" s="74">
        <f t="shared" si="23"/>
        <v>0</v>
      </c>
      <c r="AP36" s="75" t="e">
        <f t="shared" si="24"/>
        <v>#DIV/0!</v>
      </c>
      <c r="AQ36" s="76">
        <f t="shared" si="25"/>
        <v>0</v>
      </c>
      <c r="AR36" s="90">
        <f t="shared" si="32"/>
        <v>0</v>
      </c>
    </row>
    <row r="37" spans="1:44" x14ac:dyDescent="0.25">
      <c r="A37" t="str">
        <f t="shared" si="11"/>
        <v>46220E</v>
      </c>
      <c r="B37" s="51">
        <f t="shared" si="27"/>
        <v>46220</v>
      </c>
      <c r="C37" s="52" t="s">
        <v>88</v>
      </c>
      <c r="D37" s="79"/>
      <c r="E37" s="62"/>
      <c r="F37" s="62"/>
      <c r="G37" s="169">
        <f t="shared" si="30"/>
        <v>0</v>
      </c>
      <c r="H37" s="170">
        <f t="shared" si="31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71"/>
      <c r="AI37" s="66"/>
      <c r="AJ37" s="66"/>
      <c r="AK37" s="62">
        <f t="shared" si="19"/>
        <v>0</v>
      </c>
      <c r="AL37" s="72">
        <f t="shared" si="20"/>
        <v>0</v>
      </c>
      <c r="AM37" s="73">
        <f t="shared" si="21"/>
        <v>0</v>
      </c>
      <c r="AN37" s="74">
        <f t="shared" si="22"/>
        <v>0</v>
      </c>
      <c r="AO37" s="74">
        <f t="shared" si="23"/>
        <v>0</v>
      </c>
      <c r="AP37" s="75" t="e">
        <f t="shared" si="24"/>
        <v>#DIV/0!</v>
      </c>
      <c r="AQ37" s="76">
        <f t="shared" si="25"/>
        <v>0</v>
      </c>
      <c r="AR37" s="90">
        <f t="shared" si="32"/>
        <v>0</v>
      </c>
    </row>
    <row r="38" spans="1:44" x14ac:dyDescent="0.25">
      <c r="A38" t="str">
        <f t="shared" si="11"/>
        <v>46221M</v>
      </c>
      <c r="B38" s="51">
        <f t="shared" si="27"/>
        <v>46221</v>
      </c>
      <c r="C38" s="52" t="s">
        <v>87</v>
      </c>
      <c r="D38" s="79"/>
      <c r="E38" s="62"/>
      <c r="F38" s="62"/>
      <c r="G38" s="169">
        <f t="shared" si="30"/>
        <v>0</v>
      </c>
      <c r="H38" s="170">
        <f t="shared" si="31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71"/>
      <c r="AI38" s="66"/>
      <c r="AJ38" s="66"/>
      <c r="AK38" s="62">
        <f t="shared" si="19"/>
        <v>0</v>
      </c>
      <c r="AL38" s="72">
        <f t="shared" si="20"/>
        <v>0</v>
      </c>
      <c r="AM38" s="73">
        <f t="shared" si="21"/>
        <v>0</v>
      </c>
      <c r="AN38" s="74">
        <f t="shared" si="22"/>
        <v>0</v>
      </c>
      <c r="AO38" s="74">
        <f t="shared" si="23"/>
        <v>0</v>
      </c>
      <c r="AP38" s="75" t="e">
        <f t="shared" si="24"/>
        <v>#DIV/0!</v>
      </c>
      <c r="AQ38" s="76">
        <f t="shared" si="25"/>
        <v>0</v>
      </c>
      <c r="AR38" s="90">
        <f t="shared" si="32"/>
        <v>0</v>
      </c>
    </row>
    <row r="39" spans="1:44" x14ac:dyDescent="0.25">
      <c r="A39" t="str">
        <f t="shared" si="11"/>
        <v>46221E</v>
      </c>
      <c r="B39" s="51">
        <f t="shared" si="27"/>
        <v>46221</v>
      </c>
      <c r="C39" s="52" t="s">
        <v>88</v>
      </c>
      <c r="D39" s="79"/>
      <c r="E39" s="62"/>
      <c r="F39" s="62"/>
      <c r="G39" s="169">
        <f t="shared" si="30"/>
        <v>0</v>
      </c>
      <c r="H39" s="170">
        <f t="shared" si="31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71"/>
      <c r="AI39" s="66"/>
      <c r="AJ39" s="66"/>
      <c r="AK39" s="62">
        <f t="shared" si="19"/>
        <v>0</v>
      </c>
      <c r="AL39" s="72">
        <f t="shared" si="20"/>
        <v>0</v>
      </c>
      <c r="AM39" s="73">
        <f t="shared" si="21"/>
        <v>0</v>
      </c>
      <c r="AN39" s="74">
        <f t="shared" si="22"/>
        <v>0</v>
      </c>
      <c r="AO39" s="74">
        <f t="shared" si="23"/>
        <v>0</v>
      </c>
      <c r="AP39" s="75" t="e">
        <f t="shared" si="24"/>
        <v>#DIV/0!</v>
      </c>
      <c r="AQ39" s="76">
        <f t="shared" si="25"/>
        <v>0</v>
      </c>
      <c r="AR39" s="90">
        <f t="shared" si="32"/>
        <v>0</v>
      </c>
    </row>
    <row r="40" spans="1:44" x14ac:dyDescent="0.25">
      <c r="A40" t="str">
        <f t="shared" si="11"/>
        <v>46222M</v>
      </c>
      <c r="B40" s="51">
        <f t="shared" si="27"/>
        <v>46222</v>
      </c>
      <c r="C40" s="52" t="s">
        <v>87</v>
      </c>
      <c r="D40" s="79"/>
      <c r="E40" s="62"/>
      <c r="F40" s="62"/>
      <c r="G40" s="169">
        <f t="shared" si="30"/>
        <v>0</v>
      </c>
      <c r="H40" s="170">
        <f t="shared" si="31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71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21"/>
        <v>0</v>
      </c>
      <c r="AN40" s="74">
        <f t="shared" si="22"/>
        <v>0</v>
      </c>
      <c r="AO40" s="74">
        <f t="shared" si="23"/>
        <v>0</v>
      </c>
      <c r="AP40" s="75" t="e">
        <f t="shared" si="24"/>
        <v>#DIV/0!</v>
      </c>
      <c r="AQ40" s="76">
        <f t="shared" si="25"/>
        <v>0</v>
      </c>
      <c r="AR40" s="90">
        <f t="shared" si="32"/>
        <v>0</v>
      </c>
    </row>
    <row r="41" spans="1:44" x14ac:dyDescent="0.25">
      <c r="A41" t="str">
        <f t="shared" si="11"/>
        <v>46222E</v>
      </c>
      <c r="B41" s="51">
        <f t="shared" si="27"/>
        <v>46222</v>
      </c>
      <c r="C41" s="52" t="s">
        <v>88</v>
      </c>
      <c r="D41" s="79"/>
      <c r="E41" s="62"/>
      <c r="F41" s="62"/>
      <c r="G41" s="169">
        <f t="shared" si="30"/>
        <v>0</v>
      </c>
      <c r="H41" s="170">
        <f t="shared" si="31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71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21"/>
        <v>0</v>
      </c>
      <c r="AN41" s="74">
        <f t="shared" si="22"/>
        <v>0</v>
      </c>
      <c r="AO41" s="74">
        <f t="shared" si="23"/>
        <v>0</v>
      </c>
      <c r="AP41" s="75" t="e">
        <f t="shared" si="24"/>
        <v>#DIV/0!</v>
      </c>
      <c r="AQ41" s="76">
        <f t="shared" si="25"/>
        <v>0</v>
      </c>
      <c r="AR41" s="90">
        <f t="shared" si="32"/>
        <v>0</v>
      </c>
    </row>
    <row r="42" spans="1:44" x14ac:dyDescent="0.25">
      <c r="A42" t="str">
        <f t="shared" si="11"/>
        <v>46223M</v>
      </c>
      <c r="B42" s="51">
        <f t="shared" si="27"/>
        <v>46223</v>
      </c>
      <c r="C42" s="52" t="s">
        <v>87</v>
      </c>
      <c r="D42" s="79"/>
      <c r="E42" s="62"/>
      <c r="F42" s="62"/>
      <c r="G42" s="169">
        <f t="shared" si="30"/>
        <v>0</v>
      </c>
      <c r="H42" s="170">
        <f t="shared" si="31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71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21"/>
        <v>0</v>
      </c>
      <c r="AN42" s="74">
        <f t="shared" si="22"/>
        <v>0</v>
      </c>
      <c r="AO42" s="74">
        <f t="shared" si="23"/>
        <v>0</v>
      </c>
      <c r="AP42" s="75" t="e">
        <f t="shared" si="24"/>
        <v>#DIV/0!</v>
      </c>
      <c r="AQ42" s="76">
        <f t="shared" si="25"/>
        <v>0</v>
      </c>
      <c r="AR42" s="90">
        <f t="shared" si="32"/>
        <v>0</v>
      </c>
    </row>
    <row r="43" spans="1:44" x14ac:dyDescent="0.25">
      <c r="A43" t="str">
        <f t="shared" si="11"/>
        <v>46223E</v>
      </c>
      <c r="B43" s="51">
        <f t="shared" si="27"/>
        <v>46223</v>
      </c>
      <c r="C43" s="52" t="s">
        <v>88</v>
      </c>
      <c r="D43" s="79"/>
      <c r="E43" s="62"/>
      <c r="F43" s="62"/>
      <c r="G43" s="169">
        <f t="shared" si="30"/>
        <v>0</v>
      </c>
      <c r="H43" s="170">
        <f t="shared" si="31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71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21"/>
        <v>0</v>
      </c>
      <c r="AN43" s="74">
        <f t="shared" si="22"/>
        <v>0</v>
      </c>
      <c r="AO43" s="74">
        <f t="shared" si="23"/>
        <v>0</v>
      </c>
      <c r="AP43" s="75" t="e">
        <f t="shared" si="24"/>
        <v>#DIV/0!</v>
      </c>
      <c r="AQ43" s="76">
        <f t="shared" si="25"/>
        <v>0</v>
      </c>
      <c r="AR43" s="90">
        <f t="shared" si="32"/>
        <v>0</v>
      </c>
    </row>
    <row r="44" spans="1:44" x14ac:dyDescent="0.25">
      <c r="A44" t="str">
        <f t="shared" si="11"/>
        <v>46224M</v>
      </c>
      <c r="B44" s="51">
        <f t="shared" si="27"/>
        <v>46224</v>
      </c>
      <c r="C44" s="52" t="s">
        <v>87</v>
      </c>
      <c r="D44" s="79"/>
      <c r="E44" s="62"/>
      <c r="F44" s="62"/>
      <c r="G44" s="169">
        <f t="shared" si="30"/>
        <v>0</v>
      </c>
      <c r="H44" s="170">
        <f t="shared" si="31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71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21"/>
        <v>0</v>
      </c>
      <c r="AN44" s="74">
        <f t="shared" si="22"/>
        <v>0</v>
      </c>
      <c r="AO44" s="74">
        <f t="shared" si="23"/>
        <v>0</v>
      </c>
      <c r="AP44" s="75" t="e">
        <f t="shared" si="24"/>
        <v>#DIV/0!</v>
      </c>
      <c r="AQ44" s="76">
        <f t="shared" si="25"/>
        <v>0</v>
      </c>
      <c r="AR44" s="90">
        <f>(D44+J44+O44)-(X44+AH44)</f>
        <v>0</v>
      </c>
    </row>
    <row r="45" spans="1:44" x14ac:dyDescent="0.25">
      <c r="A45" t="str">
        <f t="shared" si="11"/>
        <v>46224E</v>
      </c>
      <c r="B45" s="51">
        <f t="shared" si="27"/>
        <v>46224</v>
      </c>
      <c r="C45" s="52" t="s">
        <v>88</v>
      </c>
      <c r="D45" s="79"/>
      <c r="E45" s="62"/>
      <c r="F45" s="62"/>
      <c r="G45" s="169">
        <f t="shared" si="30"/>
        <v>0</v>
      </c>
      <c r="H45" s="170">
        <f t="shared" si="31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71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21"/>
        <v>0</v>
      </c>
      <c r="AN45" s="74">
        <f t="shared" si="22"/>
        <v>0</v>
      </c>
      <c r="AO45" s="74">
        <f t="shared" si="23"/>
        <v>0</v>
      </c>
      <c r="AP45" s="75" t="e">
        <f t="shared" si="24"/>
        <v>#DIV/0!</v>
      </c>
      <c r="AQ45" s="76">
        <f t="shared" si="25"/>
        <v>0</v>
      </c>
      <c r="AR45" s="90">
        <f>(D45+J45+O45)-(X45+AH45)</f>
        <v>0</v>
      </c>
    </row>
    <row r="46" spans="1:44" x14ac:dyDescent="0.25">
      <c r="A46" t="str">
        <f t="shared" si="11"/>
        <v>46225M</v>
      </c>
      <c r="B46" s="51">
        <f t="shared" si="27"/>
        <v>46225</v>
      </c>
      <c r="C46" s="52" t="s">
        <v>87</v>
      </c>
      <c r="D46" s="79"/>
      <c r="E46" s="62"/>
      <c r="F46" s="62"/>
      <c r="G46" s="169">
        <f t="shared" si="30"/>
        <v>0</v>
      </c>
      <c r="H46" s="170">
        <f t="shared" si="31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71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21"/>
        <v>0</v>
      </c>
      <c r="AN46" s="74">
        <f t="shared" si="22"/>
        <v>0</v>
      </c>
      <c r="AO46" s="74">
        <f t="shared" si="23"/>
        <v>0</v>
      </c>
      <c r="AP46" s="75" t="e">
        <f t="shared" si="24"/>
        <v>#DIV/0!</v>
      </c>
      <c r="AQ46" s="76">
        <f t="shared" si="25"/>
        <v>0</v>
      </c>
      <c r="AR46" s="90">
        <f>(D46+J46+O46)-(X46+AH46)</f>
        <v>0</v>
      </c>
    </row>
    <row r="47" spans="1:44" x14ac:dyDescent="0.25">
      <c r="A47" t="str">
        <f t="shared" si="11"/>
        <v>46225E</v>
      </c>
      <c r="B47" s="51">
        <f t="shared" si="27"/>
        <v>46225</v>
      </c>
      <c r="C47" s="52" t="s">
        <v>88</v>
      </c>
      <c r="D47" s="79"/>
      <c r="E47" s="62"/>
      <c r="F47" s="62"/>
      <c r="G47" s="169">
        <f t="shared" si="30"/>
        <v>0</v>
      </c>
      <c r="H47" s="170">
        <f t="shared" si="31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71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21"/>
        <v>0</v>
      </c>
      <c r="AN47" s="74">
        <f t="shared" si="22"/>
        <v>0</v>
      </c>
      <c r="AO47" s="74">
        <f t="shared" si="23"/>
        <v>0</v>
      </c>
      <c r="AP47" s="75" t="e">
        <f t="shared" si="24"/>
        <v>#DIV/0!</v>
      </c>
      <c r="AQ47" s="76">
        <f t="shared" si="25"/>
        <v>0</v>
      </c>
      <c r="AR47" s="90">
        <f>(D47+J47+O47)-(X47+AH47)</f>
        <v>0</v>
      </c>
    </row>
    <row r="48" spans="1:44" x14ac:dyDescent="0.25">
      <c r="A48" t="str">
        <f t="shared" si="11"/>
        <v>46226M</v>
      </c>
      <c r="B48" s="51">
        <f t="shared" si="27"/>
        <v>46226</v>
      </c>
      <c r="C48" s="52" t="s">
        <v>87</v>
      </c>
      <c r="D48" s="79"/>
      <c r="E48" s="62"/>
      <c r="F48" s="62"/>
      <c r="G48" s="169">
        <f t="shared" si="30"/>
        <v>0</v>
      </c>
      <c r="H48" s="170">
        <f t="shared" si="31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71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21"/>
        <v>0</v>
      </c>
      <c r="AN48" s="74">
        <f t="shared" si="22"/>
        <v>0</v>
      </c>
      <c r="AO48" s="74">
        <f t="shared" si="23"/>
        <v>0</v>
      </c>
      <c r="AP48" s="75" t="e">
        <f t="shared" si="24"/>
        <v>#DIV/0!</v>
      </c>
      <c r="AQ48" s="76">
        <f t="shared" si="25"/>
        <v>0</v>
      </c>
      <c r="AR48" s="83">
        <f t="shared" si="26"/>
        <v>0</v>
      </c>
    </row>
    <row r="49" spans="1:44" x14ac:dyDescent="0.25">
      <c r="A49" t="str">
        <f t="shared" si="11"/>
        <v>46226E</v>
      </c>
      <c r="B49" s="51">
        <f t="shared" si="27"/>
        <v>46226</v>
      </c>
      <c r="C49" s="52" t="s">
        <v>88</v>
      </c>
      <c r="D49" s="79"/>
      <c r="E49" s="62"/>
      <c r="F49" s="62"/>
      <c r="G49" s="169">
        <f t="shared" si="30"/>
        <v>0</v>
      </c>
      <c r="H49" s="170">
        <f t="shared" si="31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71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21"/>
        <v>0</v>
      </c>
      <c r="AN49" s="74">
        <f t="shared" si="22"/>
        <v>0</v>
      </c>
      <c r="AO49" s="74">
        <f t="shared" si="23"/>
        <v>0</v>
      </c>
      <c r="AP49" s="75" t="e">
        <f t="shared" si="24"/>
        <v>#DIV/0!</v>
      </c>
      <c r="AQ49" s="76">
        <f t="shared" si="25"/>
        <v>0</v>
      </c>
      <c r="AR49" s="83">
        <f t="shared" si="26"/>
        <v>0</v>
      </c>
    </row>
    <row r="50" spans="1:44" x14ac:dyDescent="0.25">
      <c r="A50" t="str">
        <f t="shared" si="11"/>
        <v>46227M</v>
      </c>
      <c r="B50" s="51">
        <f t="shared" si="27"/>
        <v>46227</v>
      </c>
      <c r="C50" s="52" t="s">
        <v>87</v>
      </c>
      <c r="D50" s="79"/>
      <c r="E50" s="62"/>
      <c r="F50" s="62"/>
      <c r="G50" s="169">
        <f t="shared" si="30"/>
        <v>0</v>
      </c>
      <c r="H50" s="170">
        <f t="shared" si="31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ref="R50:R65" si="33">+J50+O50</f>
        <v>0</v>
      </c>
      <c r="S50" s="62">
        <f t="shared" ref="S50:S65" si="34">+J50*K50%+O50*P50%</f>
        <v>0</v>
      </c>
      <c r="T50" s="63">
        <f t="shared" ref="T50:T65" si="35">+J50*L50%+O50*Q50%</f>
        <v>0</v>
      </c>
      <c r="U50" s="64"/>
      <c r="V50" s="65"/>
      <c r="W50" s="66"/>
      <c r="X50" s="67"/>
      <c r="Y50" s="68"/>
      <c r="Z50" s="68"/>
      <c r="AA50" s="62">
        <f t="shared" ref="AA50" si="36">X50*Y50%</f>
        <v>0</v>
      </c>
      <c r="AB50" s="63">
        <f t="shared" ref="AB50" si="37">X50*Z50%</f>
        <v>0</v>
      </c>
      <c r="AC50" s="69"/>
      <c r="AD50" s="70"/>
      <c r="AE50" s="70"/>
      <c r="AF50" s="62">
        <f t="shared" ref="AF50" si="38">AC50*AD50%</f>
        <v>0</v>
      </c>
      <c r="AG50" s="63">
        <f t="shared" ref="AG50" si="39">AC50*AE50%</f>
        <v>0</v>
      </c>
      <c r="AH50" s="71"/>
      <c r="AI50" s="66"/>
      <c r="AJ50" s="66"/>
      <c r="AK50" s="62">
        <f t="shared" ref="AK50:AK63" si="40">AH50*AI50%</f>
        <v>0</v>
      </c>
      <c r="AL50" s="72">
        <f t="shared" ref="AL50:AL63" si="41">AH50*AJ50%</f>
        <v>0</v>
      </c>
      <c r="AM50" s="73">
        <f t="shared" si="21"/>
        <v>0</v>
      </c>
      <c r="AN50" s="74">
        <f t="shared" si="22"/>
        <v>0</v>
      </c>
      <c r="AO50" s="74">
        <f t="shared" si="23"/>
        <v>0</v>
      </c>
      <c r="AP50" s="75" t="e">
        <f t="shared" si="24"/>
        <v>#DIV/0!</v>
      </c>
      <c r="AQ50" s="76">
        <f t="shared" si="25"/>
        <v>0</v>
      </c>
      <c r="AR50" s="83">
        <f t="shared" si="26"/>
        <v>0</v>
      </c>
    </row>
    <row r="51" spans="1:44" x14ac:dyDescent="0.25">
      <c r="A51" t="str">
        <f t="shared" si="11"/>
        <v>46227E</v>
      </c>
      <c r="B51" s="51">
        <f t="shared" si="27"/>
        <v>46227</v>
      </c>
      <c r="C51" s="52" t="s">
        <v>88</v>
      </c>
      <c r="D51" s="79"/>
      <c r="E51" s="62"/>
      <c r="F51" s="62"/>
      <c r="G51" s="169">
        <f t="shared" si="30"/>
        <v>0</v>
      </c>
      <c r="H51" s="170">
        <f t="shared" si="31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33"/>
        <v>0</v>
      </c>
      <c r="S51" s="62">
        <f t="shared" si="34"/>
        <v>0</v>
      </c>
      <c r="T51" s="63">
        <f t="shared" si="35"/>
        <v>0</v>
      </c>
      <c r="U51" s="64"/>
      <c r="V51" s="85"/>
      <c r="W51" s="66"/>
      <c r="X51" s="67"/>
      <c r="Y51" s="68"/>
      <c r="Z51" s="68"/>
      <c r="AA51" s="62">
        <f t="shared" ref="AA51:AA53" si="42">X51*Y51%</f>
        <v>0</v>
      </c>
      <c r="AB51" s="63">
        <f t="shared" ref="AB51:AB53" si="43">X51*Z51%</f>
        <v>0</v>
      </c>
      <c r="AC51" s="69"/>
      <c r="AD51" s="70"/>
      <c r="AE51" s="70"/>
      <c r="AF51" s="62">
        <f t="shared" ref="AF51:AF53" si="44">AC51*AD51%</f>
        <v>0</v>
      </c>
      <c r="AG51" s="63">
        <f t="shared" ref="AG51:AG53" si="45">AC51*AE51%</f>
        <v>0</v>
      </c>
      <c r="AH51" s="71"/>
      <c r="AI51" s="66"/>
      <c r="AJ51" s="66"/>
      <c r="AK51" s="62">
        <f t="shared" si="40"/>
        <v>0</v>
      </c>
      <c r="AL51" s="72">
        <f t="shared" si="41"/>
        <v>0</v>
      </c>
      <c r="AM51" s="73">
        <f t="shared" si="21"/>
        <v>0</v>
      </c>
      <c r="AN51" s="74">
        <f t="shared" si="22"/>
        <v>0</v>
      </c>
      <c r="AO51" s="74">
        <f t="shared" si="23"/>
        <v>0</v>
      </c>
      <c r="AP51" s="75" t="e">
        <f t="shared" si="24"/>
        <v>#DIV/0!</v>
      </c>
      <c r="AQ51" s="76">
        <f t="shared" si="25"/>
        <v>0</v>
      </c>
      <c r="AR51" s="83">
        <f t="shared" si="26"/>
        <v>0</v>
      </c>
    </row>
    <row r="52" spans="1:44" x14ac:dyDescent="0.25">
      <c r="A52" t="str">
        <f t="shared" si="11"/>
        <v>46228M</v>
      </c>
      <c r="B52" s="51">
        <f t="shared" si="27"/>
        <v>46228</v>
      </c>
      <c r="C52" s="52" t="s">
        <v>87</v>
      </c>
      <c r="D52" s="79"/>
      <c r="E52" s="62"/>
      <c r="F52" s="62"/>
      <c r="G52" s="169">
        <f t="shared" si="30"/>
        <v>0</v>
      </c>
      <c r="H52" s="170">
        <f t="shared" si="31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33"/>
        <v>0</v>
      </c>
      <c r="S52" s="62">
        <f t="shared" si="34"/>
        <v>0</v>
      </c>
      <c r="T52" s="63">
        <f t="shared" si="35"/>
        <v>0</v>
      </c>
      <c r="U52" s="64"/>
      <c r="V52" s="65"/>
      <c r="W52" s="66"/>
      <c r="X52" s="67"/>
      <c r="Y52" s="68"/>
      <c r="Z52" s="68"/>
      <c r="AA52" s="62">
        <f t="shared" si="42"/>
        <v>0</v>
      </c>
      <c r="AB52" s="63">
        <f t="shared" si="43"/>
        <v>0</v>
      </c>
      <c r="AC52" s="69"/>
      <c r="AD52" s="70"/>
      <c r="AE52" s="70"/>
      <c r="AF52" s="62">
        <f t="shared" si="44"/>
        <v>0</v>
      </c>
      <c r="AG52" s="63">
        <f t="shared" si="45"/>
        <v>0</v>
      </c>
      <c r="AH52" s="71"/>
      <c r="AI52" s="66"/>
      <c r="AJ52" s="66"/>
      <c r="AK52" s="62">
        <f t="shared" si="40"/>
        <v>0</v>
      </c>
      <c r="AL52" s="72">
        <f t="shared" si="41"/>
        <v>0</v>
      </c>
      <c r="AM52" s="73">
        <f t="shared" si="21"/>
        <v>0</v>
      </c>
      <c r="AN52" s="74">
        <f t="shared" si="22"/>
        <v>0</v>
      </c>
      <c r="AO52" s="74">
        <f t="shared" si="23"/>
        <v>0</v>
      </c>
      <c r="AP52" s="75" t="e">
        <f t="shared" si="24"/>
        <v>#DIV/0!</v>
      </c>
      <c r="AQ52" s="76">
        <f t="shared" si="25"/>
        <v>0</v>
      </c>
      <c r="AR52" s="83">
        <f t="shared" si="26"/>
        <v>0</v>
      </c>
    </row>
    <row r="53" spans="1:44" x14ac:dyDescent="0.25">
      <c r="A53" t="str">
        <f t="shared" si="11"/>
        <v>46228E</v>
      </c>
      <c r="B53" s="51">
        <f t="shared" si="27"/>
        <v>46228</v>
      </c>
      <c r="C53" s="52" t="s">
        <v>88</v>
      </c>
      <c r="D53" s="79"/>
      <c r="E53" s="62"/>
      <c r="F53" s="62"/>
      <c r="G53" s="169">
        <f t="shared" si="30"/>
        <v>0</v>
      </c>
      <c r="H53" s="170">
        <f t="shared" si="31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33"/>
        <v>0</v>
      </c>
      <c r="S53" s="62">
        <f t="shared" si="34"/>
        <v>0</v>
      </c>
      <c r="T53" s="63">
        <f t="shared" si="35"/>
        <v>0</v>
      </c>
      <c r="U53" s="64"/>
      <c r="V53" s="65"/>
      <c r="W53" s="66"/>
      <c r="X53" s="67"/>
      <c r="Y53" s="68"/>
      <c r="Z53" s="68"/>
      <c r="AA53" s="62">
        <f t="shared" si="42"/>
        <v>0</v>
      </c>
      <c r="AB53" s="63">
        <f t="shared" si="43"/>
        <v>0</v>
      </c>
      <c r="AC53" s="69"/>
      <c r="AD53" s="70"/>
      <c r="AE53" s="70"/>
      <c r="AF53" s="62">
        <f t="shared" si="44"/>
        <v>0</v>
      </c>
      <c r="AG53" s="63">
        <f t="shared" si="45"/>
        <v>0</v>
      </c>
      <c r="AH53" s="71"/>
      <c r="AI53" s="66"/>
      <c r="AJ53" s="66"/>
      <c r="AK53" s="62">
        <f t="shared" si="40"/>
        <v>0</v>
      </c>
      <c r="AL53" s="72">
        <f t="shared" si="41"/>
        <v>0</v>
      </c>
      <c r="AM53" s="73">
        <f t="shared" si="21"/>
        <v>0</v>
      </c>
      <c r="AN53" s="74">
        <f t="shared" si="22"/>
        <v>0</v>
      </c>
      <c r="AO53" s="74">
        <f t="shared" si="23"/>
        <v>0</v>
      </c>
      <c r="AP53" s="75" t="e">
        <f t="shared" si="24"/>
        <v>#DIV/0!</v>
      </c>
      <c r="AQ53" s="76">
        <f t="shared" si="25"/>
        <v>0</v>
      </c>
      <c r="AR53" s="83">
        <f t="shared" si="26"/>
        <v>0</v>
      </c>
    </row>
    <row r="54" spans="1:44" x14ac:dyDescent="0.25">
      <c r="A54" t="str">
        <f t="shared" si="11"/>
        <v>46229M</v>
      </c>
      <c r="B54" s="51">
        <f t="shared" si="27"/>
        <v>46229</v>
      </c>
      <c r="C54" s="52" t="s">
        <v>87</v>
      </c>
      <c r="D54" s="79"/>
      <c r="E54" s="62"/>
      <c r="F54" s="62"/>
      <c r="G54" s="169">
        <f t="shared" si="30"/>
        <v>0</v>
      </c>
      <c r="H54" s="170">
        <f t="shared" si="31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33"/>
        <v>0</v>
      </c>
      <c r="S54" s="62">
        <f t="shared" si="34"/>
        <v>0</v>
      </c>
      <c r="T54" s="63">
        <f t="shared" si="35"/>
        <v>0</v>
      </c>
      <c r="U54" s="64"/>
      <c r="V54" s="65"/>
      <c r="W54" s="66"/>
      <c r="X54" s="67"/>
      <c r="Y54" s="68"/>
      <c r="Z54" s="68"/>
      <c r="AA54" s="62">
        <f t="shared" ref="AA54:AA56" si="46">X54*Y54%</f>
        <v>0</v>
      </c>
      <c r="AB54" s="63">
        <f t="shared" ref="AB54:AB56" si="47">X54*Z54%</f>
        <v>0</v>
      </c>
      <c r="AC54" s="69"/>
      <c r="AD54" s="70"/>
      <c r="AE54" s="70"/>
      <c r="AF54" s="62">
        <f t="shared" ref="AF54:AF63" si="48">AC54*AD54%</f>
        <v>0</v>
      </c>
      <c r="AG54" s="63">
        <f t="shared" ref="AG54:AG63" si="49">AC54*AE54%</f>
        <v>0</v>
      </c>
      <c r="AH54" s="71"/>
      <c r="AI54" s="66"/>
      <c r="AJ54" s="66"/>
      <c r="AK54" s="62">
        <f t="shared" si="40"/>
        <v>0</v>
      </c>
      <c r="AL54" s="72">
        <f t="shared" si="41"/>
        <v>0</v>
      </c>
      <c r="AM54" s="73">
        <f t="shared" si="21"/>
        <v>0</v>
      </c>
      <c r="AN54" s="74">
        <f t="shared" si="22"/>
        <v>0</v>
      </c>
      <c r="AO54" s="74">
        <f t="shared" si="23"/>
        <v>0</v>
      </c>
      <c r="AP54" s="75" t="e">
        <f t="shared" si="24"/>
        <v>#DIV/0!</v>
      </c>
      <c r="AQ54" s="76">
        <f t="shared" si="25"/>
        <v>0</v>
      </c>
      <c r="AR54" s="90">
        <f t="shared" ref="AR54:AR63" si="50">(D54+J54+O54)-(X54+AH54)</f>
        <v>0</v>
      </c>
    </row>
    <row r="55" spans="1:44" x14ac:dyDescent="0.25">
      <c r="A55" t="str">
        <f t="shared" si="11"/>
        <v>46229E</v>
      </c>
      <c r="B55" s="51">
        <f t="shared" si="27"/>
        <v>46229</v>
      </c>
      <c r="C55" s="52" t="s">
        <v>88</v>
      </c>
      <c r="D55" s="79"/>
      <c r="E55" s="62"/>
      <c r="F55" s="62"/>
      <c r="G55" s="169">
        <f t="shared" si="30"/>
        <v>0</v>
      </c>
      <c r="H55" s="170">
        <f t="shared" si="31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33"/>
        <v>0</v>
      </c>
      <c r="S55" s="62">
        <f t="shared" si="34"/>
        <v>0</v>
      </c>
      <c r="T55" s="63">
        <f t="shared" si="35"/>
        <v>0</v>
      </c>
      <c r="U55" s="64"/>
      <c r="V55" s="65"/>
      <c r="W55" s="66"/>
      <c r="X55" s="67"/>
      <c r="Y55" s="68"/>
      <c r="Z55" s="68"/>
      <c r="AA55" s="62">
        <f t="shared" si="46"/>
        <v>0</v>
      </c>
      <c r="AB55" s="63">
        <f t="shared" si="4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71"/>
      <c r="AI55" s="66"/>
      <c r="AJ55" s="66"/>
      <c r="AK55" s="62">
        <f t="shared" si="40"/>
        <v>0</v>
      </c>
      <c r="AL55" s="72">
        <f t="shared" si="41"/>
        <v>0</v>
      </c>
      <c r="AM55" s="73">
        <f t="shared" si="21"/>
        <v>0</v>
      </c>
      <c r="AN55" s="74">
        <f t="shared" si="22"/>
        <v>0</v>
      </c>
      <c r="AO55" s="74">
        <f t="shared" si="23"/>
        <v>0</v>
      </c>
      <c r="AP55" s="75" t="e">
        <f t="shared" si="24"/>
        <v>#DIV/0!</v>
      </c>
      <c r="AQ55" s="76">
        <f t="shared" si="25"/>
        <v>0</v>
      </c>
      <c r="AR55" s="90">
        <f t="shared" si="50"/>
        <v>0</v>
      </c>
    </row>
    <row r="56" spans="1:44" x14ac:dyDescent="0.25">
      <c r="A56" t="str">
        <f t="shared" si="11"/>
        <v>46230M</v>
      </c>
      <c r="B56" s="51">
        <f t="shared" si="27"/>
        <v>46230</v>
      </c>
      <c r="C56" s="52" t="s">
        <v>87</v>
      </c>
      <c r="D56" s="79"/>
      <c r="E56" s="62"/>
      <c r="F56" s="62"/>
      <c r="G56" s="169">
        <f t="shared" si="30"/>
        <v>0</v>
      </c>
      <c r="H56" s="170">
        <f t="shared" si="31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33"/>
        <v>0</v>
      </c>
      <c r="S56" s="62">
        <f t="shared" si="34"/>
        <v>0</v>
      </c>
      <c r="T56" s="63">
        <f t="shared" si="35"/>
        <v>0</v>
      </c>
      <c r="U56" s="64"/>
      <c r="V56" s="65"/>
      <c r="W56" s="66"/>
      <c r="X56" s="67"/>
      <c r="Y56" s="68"/>
      <c r="Z56" s="68"/>
      <c r="AA56" s="62">
        <f t="shared" si="46"/>
        <v>0</v>
      </c>
      <c r="AB56" s="63">
        <f t="shared" si="47"/>
        <v>0</v>
      </c>
      <c r="AC56" s="69"/>
      <c r="AD56" s="70"/>
      <c r="AE56" s="70"/>
      <c r="AF56" s="62">
        <f t="shared" si="48"/>
        <v>0</v>
      </c>
      <c r="AG56" s="63">
        <f t="shared" si="49"/>
        <v>0</v>
      </c>
      <c r="AH56" s="71"/>
      <c r="AI56" s="66"/>
      <c r="AJ56" s="66"/>
      <c r="AK56" s="62">
        <f t="shared" si="40"/>
        <v>0</v>
      </c>
      <c r="AL56" s="72">
        <f t="shared" si="41"/>
        <v>0</v>
      </c>
      <c r="AM56" s="73">
        <f t="shared" si="21"/>
        <v>0</v>
      </c>
      <c r="AN56" s="74">
        <f t="shared" si="22"/>
        <v>0</v>
      </c>
      <c r="AO56" s="74">
        <f t="shared" si="23"/>
        <v>0</v>
      </c>
      <c r="AP56" s="75" t="e">
        <f t="shared" si="24"/>
        <v>#DIV/0!</v>
      </c>
      <c r="AQ56" s="76">
        <f t="shared" si="25"/>
        <v>0</v>
      </c>
      <c r="AR56" s="90">
        <f t="shared" si="50"/>
        <v>0</v>
      </c>
    </row>
    <row r="57" spans="1:44" x14ac:dyDescent="0.25">
      <c r="A57" t="str">
        <f t="shared" si="11"/>
        <v>46230E</v>
      </c>
      <c r="B57" s="51">
        <f t="shared" si="27"/>
        <v>46230</v>
      </c>
      <c r="C57" s="52" t="s">
        <v>88</v>
      </c>
      <c r="D57" s="79"/>
      <c r="E57" s="62"/>
      <c r="F57" s="62"/>
      <c r="G57" s="169">
        <f t="shared" si="30"/>
        <v>0</v>
      </c>
      <c r="H57" s="170">
        <f t="shared" si="31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33"/>
        <v>0</v>
      </c>
      <c r="S57" s="62">
        <f t="shared" si="34"/>
        <v>0</v>
      </c>
      <c r="T57" s="63">
        <f t="shared" si="35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48"/>
        <v>0</v>
      </c>
      <c r="AG57" s="63">
        <f t="shared" si="49"/>
        <v>0</v>
      </c>
      <c r="AH57" s="71"/>
      <c r="AI57" s="66"/>
      <c r="AJ57" s="66"/>
      <c r="AK57" s="62">
        <f t="shared" si="40"/>
        <v>0</v>
      </c>
      <c r="AL57" s="72">
        <f t="shared" si="41"/>
        <v>0</v>
      </c>
      <c r="AM57" s="73">
        <f t="shared" si="21"/>
        <v>0</v>
      </c>
      <c r="AN57" s="74">
        <f t="shared" si="22"/>
        <v>0</v>
      </c>
      <c r="AO57" s="74">
        <f t="shared" si="23"/>
        <v>0</v>
      </c>
      <c r="AP57" s="75" t="e">
        <f t="shared" si="24"/>
        <v>#DIV/0!</v>
      </c>
      <c r="AQ57" s="76">
        <f t="shared" si="25"/>
        <v>0</v>
      </c>
      <c r="AR57" s="90">
        <f t="shared" si="50"/>
        <v>0</v>
      </c>
    </row>
    <row r="58" spans="1:44" x14ac:dyDescent="0.25">
      <c r="A58" t="str">
        <f t="shared" si="11"/>
        <v>46231M</v>
      </c>
      <c r="B58" s="51">
        <f t="shared" si="27"/>
        <v>46231</v>
      </c>
      <c r="C58" s="52" t="s">
        <v>87</v>
      </c>
      <c r="D58" s="79"/>
      <c r="E58" s="62"/>
      <c r="F58" s="62"/>
      <c r="G58" s="169">
        <f t="shared" si="30"/>
        <v>0</v>
      </c>
      <c r="H58" s="170">
        <f t="shared" si="31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33"/>
        <v>0</v>
      </c>
      <c r="S58" s="62">
        <f t="shared" si="34"/>
        <v>0</v>
      </c>
      <c r="T58" s="63">
        <f t="shared" si="35"/>
        <v>0</v>
      </c>
      <c r="U58" s="64"/>
      <c r="V58" s="65"/>
      <c r="W58" s="66"/>
      <c r="X58" s="67"/>
      <c r="Y58" s="68"/>
      <c r="Z58" s="68"/>
      <c r="AA58" s="62">
        <f t="shared" ref="AA58:AA63" si="51">X58*Y58%</f>
        <v>0</v>
      </c>
      <c r="AB58" s="63">
        <f t="shared" ref="AB58:AB63" si="52">X58*Z58%</f>
        <v>0</v>
      </c>
      <c r="AC58" s="69"/>
      <c r="AD58" s="70"/>
      <c r="AE58" s="70"/>
      <c r="AF58" s="62">
        <f t="shared" si="48"/>
        <v>0</v>
      </c>
      <c r="AG58" s="63">
        <f t="shared" si="49"/>
        <v>0</v>
      </c>
      <c r="AH58" s="71"/>
      <c r="AI58" s="66"/>
      <c r="AJ58" s="66"/>
      <c r="AK58" s="62">
        <f t="shared" si="40"/>
        <v>0</v>
      </c>
      <c r="AL58" s="72">
        <f>AH58*AJ58%</f>
        <v>0</v>
      </c>
      <c r="AM58" s="73">
        <f t="shared" si="21"/>
        <v>0</v>
      </c>
      <c r="AN58" s="74">
        <f t="shared" si="22"/>
        <v>0</v>
      </c>
      <c r="AO58" s="74">
        <f t="shared" si="23"/>
        <v>0</v>
      </c>
      <c r="AP58" s="75" t="e">
        <f t="shared" si="24"/>
        <v>#DIV/0!</v>
      </c>
      <c r="AQ58" s="76">
        <f t="shared" si="25"/>
        <v>0</v>
      </c>
      <c r="AR58" s="90">
        <f t="shared" si="50"/>
        <v>0</v>
      </c>
    </row>
    <row r="59" spans="1:44" x14ac:dyDescent="0.25">
      <c r="A59" t="str">
        <f t="shared" si="11"/>
        <v>46231E</v>
      </c>
      <c r="B59" s="51">
        <f t="shared" si="27"/>
        <v>46231</v>
      </c>
      <c r="C59" s="52" t="s">
        <v>88</v>
      </c>
      <c r="D59" s="79"/>
      <c r="E59" s="62"/>
      <c r="F59" s="62"/>
      <c r="G59" s="169">
        <f t="shared" si="30"/>
        <v>0</v>
      </c>
      <c r="H59" s="170">
        <f t="shared" si="31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33"/>
        <v>0</v>
      </c>
      <c r="S59" s="62">
        <f t="shared" si="34"/>
        <v>0</v>
      </c>
      <c r="T59" s="63">
        <f t="shared" si="35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48"/>
        <v>0</v>
      </c>
      <c r="AG59" s="63">
        <f t="shared" si="49"/>
        <v>0</v>
      </c>
      <c r="AH59" s="71"/>
      <c r="AI59" s="66"/>
      <c r="AJ59" s="66"/>
      <c r="AK59" s="62">
        <f t="shared" si="40"/>
        <v>0</v>
      </c>
      <c r="AL59" s="72">
        <f t="shared" si="41"/>
        <v>0</v>
      </c>
      <c r="AM59" s="73">
        <f t="shared" si="21"/>
        <v>0</v>
      </c>
      <c r="AN59" s="74">
        <f t="shared" si="22"/>
        <v>0</v>
      </c>
      <c r="AO59" s="74">
        <f t="shared" si="23"/>
        <v>0</v>
      </c>
      <c r="AP59" s="75" t="e">
        <f t="shared" si="24"/>
        <v>#DIV/0!</v>
      </c>
      <c r="AQ59" s="76">
        <f t="shared" si="25"/>
        <v>0</v>
      </c>
      <c r="AR59" s="90">
        <f t="shared" si="50"/>
        <v>0</v>
      </c>
    </row>
    <row r="60" spans="1:44" x14ac:dyDescent="0.25">
      <c r="A60" t="str">
        <f t="shared" si="11"/>
        <v>46232M</v>
      </c>
      <c r="B60" s="51">
        <f t="shared" si="27"/>
        <v>46232</v>
      </c>
      <c r="C60" s="52" t="s">
        <v>87</v>
      </c>
      <c r="D60" s="79"/>
      <c r="E60" s="62"/>
      <c r="F60" s="62"/>
      <c r="G60" s="169">
        <f t="shared" si="30"/>
        <v>0</v>
      </c>
      <c r="H60" s="170">
        <f t="shared" si="31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33"/>
        <v>0</v>
      </c>
      <c r="S60" s="62">
        <f t="shared" si="34"/>
        <v>0</v>
      </c>
      <c r="T60" s="63">
        <f t="shared" si="35"/>
        <v>0</v>
      </c>
      <c r="U60" s="64"/>
      <c r="V60" s="65"/>
      <c r="W60" s="66"/>
      <c r="X60" s="67"/>
      <c r="Y60" s="68"/>
      <c r="Z60" s="68"/>
      <c r="AA60" s="62">
        <f t="shared" si="51"/>
        <v>0</v>
      </c>
      <c r="AB60" s="63">
        <f t="shared" si="52"/>
        <v>0</v>
      </c>
      <c r="AC60" s="69"/>
      <c r="AD60" s="70"/>
      <c r="AE60" s="70"/>
      <c r="AF60" s="62">
        <f t="shared" si="48"/>
        <v>0</v>
      </c>
      <c r="AG60" s="63">
        <f t="shared" si="49"/>
        <v>0</v>
      </c>
      <c r="AH60" s="71"/>
      <c r="AI60" s="66"/>
      <c r="AJ60" s="66"/>
      <c r="AK60" s="62">
        <f t="shared" si="40"/>
        <v>0</v>
      </c>
      <c r="AL60" s="72">
        <f t="shared" si="41"/>
        <v>0</v>
      </c>
      <c r="AM60" s="73">
        <f t="shared" si="21"/>
        <v>0</v>
      </c>
      <c r="AN60" s="74">
        <f t="shared" si="22"/>
        <v>0</v>
      </c>
      <c r="AO60" s="74">
        <f t="shared" si="23"/>
        <v>0</v>
      </c>
      <c r="AP60" s="75" t="e">
        <f t="shared" si="24"/>
        <v>#DIV/0!</v>
      </c>
      <c r="AQ60" s="76">
        <f t="shared" si="25"/>
        <v>0</v>
      </c>
      <c r="AR60" s="90">
        <f t="shared" si="50"/>
        <v>0</v>
      </c>
    </row>
    <row r="61" spans="1:44" x14ac:dyDescent="0.25">
      <c r="A61" t="str">
        <f t="shared" si="11"/>
        <v>46232E</v>
      </c>
      <c r="B61" s="51">
        <f t="shared" si="27"/>
        <v>46232</v>
      </c>
      <c r="C61" s="52" t="s">
        <v>88</v>
      </c>
      <c r="D61" s="79"/>
      <c r="E61" s="62"/>
      <c r="F61" s="62"/>
      <c r="G61" s="169">
        <f t="shared" si="30"/>
        <v>0</v>
      </c>
      <c r="H61" s="170">
        <f t="shared" si="31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33"/>
        <v>0</v>
      </c>
      <c r="S61" s="62">
        <f t="shared" si="34"/>
        <v>0</v>
      </c>
      <c r="T61" s="63">
        <f t="shared" si="35"/>
        <v>0</v>
      </c>
      <c r="U61" s="64"/>
      <c r="V61" s="65"/>
      <c r="W61" s="66"/>
      <c r="X61" s="67"/>
      <c r="Y61" s="68"/>
      <c r="Z61" s="68"/>
      <c r="AA61" s="62">
        <f t="shared" si="51"/>
        <v>0</v>
      </c>
      <c r="AB61" s="63">
        <f t="shared" si="52"/>
        <v>0</v>
      </c>
      <c r="AC61" s="69"/>
      <c r="AD61" s="70"/>
      <c r="AE61" s="70"/>
      <c r="AF61" s="62">
        <f t="shared" si="48"/>
        <v>0</v>
      </c>
      <c r="AG61" s="63">
        <f t="shared" si="49"/>
        <v>0</v>
      </c>
      <c r="AH61" s="71"/>
      <c r="AI61" s="66"/>
      <c r="AJ61" s="66"/>
      <c r="AK61" s="62">
        <f t="shared" si="40"/>
        <v>0</v>
      </c>
      <c r="AL61" s="72">
        <f t="shared" si="41"/>
        <v>0</v>
      </c>
      <c r="AM61" s="73">
        <f t="shared" si="21"/>
        <v>0</v>
      </c>
      <c r="AN61" s="74">
        <f t="shared" si="22"/>
        <v>0</v>
      </c>
      <c r="AO61" s="74">
        <f t="shared" si="23"/>
        <v>0</v>
      </c>
      <c r="AP61" s="75" t="e">
        <f t="shared" si="24"/>
        <v>#DIV/0!</v>
      </c>
      <c r="AQ61" s="76">
        <f t="shared" si="25"/>
        <v>0</v>
      </c>
      <c r="AR61" s="90">
        <f t="shared" si="50"/>
        <v>0</v>
      </c>
    </row>
    <row r="62" spans="1:44" x14ac:dyDescent="0.25">
      <c r="A62" t="str">
        <f t="shared" si="11"/>
        <v>46233M</v>
      </c>
      <c r="B62" s="51">
        <f t="shared" si="27"/>
        <v>46233</v>
      </c>
      <c r="C62" s="52" t="s">
        <v>87</v>
      </c>
      <c r="D62" s="79"/>
      <c r="E62" s="62"/>
      <c r="F62" s="62"/>
      <c r="G62" s="169">
        <f t="shared" si="30"/>
        <v>0</v>
      </c>
      <c r="H62" s="170">
        <f t="shared" si="31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33"/>
        <v>0</v>
      </c>
      <c r="S62" s="62">
        <f t="shared" si="34"/>
        <v>0</v>
      </c>
      <c r="T62" s="63">
        <f t="shared" si="35"/>
        <v>0</v>
      </c>
      <c r="U62" s="64"/>
      <c r="V62" s="65"/>
      <c r="W62" s="66"/>
      <c r="X62" s="67"/>
      <c r="Y62" s="68"/>
      <c r="Z62" s="68"/>
      <c r="AA62" s="62">
        <f t="shared" si="51"/>
        <v>0</v>
      </c>
      <c r="AB62" s="63">
        <f t="shared" si="52"/>
        <v>0</v>
      </c>
      <c r="AC62" s="69"/>
      <c r="AD62" s="70"/>
      <c r="AE62" s="70"/>
      <c r="AF62" s="62">
        <f t="shared" si="48"/>
        <v>0</v>
      </c>
      <c r="AG62" s="63">
        <f t="shared" si="49"/>
        <v>0</v>
      </c>
      <c r="AH62" s="71"/>
      <c r="AI62" s="66"/>
      <c r="AJ62" s="66"/>
      <c r="AK62" s="62">
        <f t="shared" si="40"/>
        <v>0</v>
      </c>
      <c r="AL62" s="72">
        <f t="shared" si="41"/>
        <v>0</v>
      </c>
      <c r="AM62" s="73">
        <f t="shared" si="21"/>
        <v>0</v>
      </c>
      <c r="AN62" s="74">
        <f t="shared" si="22"/>
        <v>0</v>
      </c>
      <c r="AO62" s="74">
        <f t="shared" si="23"/>
        <v>0</v>
      </c>
      <c r="AP62" s="75" t="e">
        <f t="shared" si="24"/>
        <v>#DIV/0!</v>
      </c>
      <c r="AQ62" s="76">
        <f t="shared" si="25"/>
        <v>0</v>
      </c>
      <c r="AR62" s="90">
        <f t="shared" si="50"/>
        <v>0</v>
      </c>
    </row>
    <row r="63" spans="1:44" x14ac:dyDescent="0.25">
      <c r="A63" t="str">
        <f t="shared" si="11"/>
        <v>46233E</v>
      </c>
      <c r="B63" s="51">
        <f t="shared" si="27"/>
        <v>46233</v>
      </c>
      <c r="C63" s="52" t="s">
        <v>88</v>
      </c>
      <c r="D63" s="79"/>
      <c r="E63" s="62"/>
      <c r="F63" s="62"/>
      <c r="G63" s="169">
        <f t="shared" si="30"/>
        <v>0</v>
      </c>
      <c r="H63" s="170">
        <f t="shared" si="31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33"/>
        <v>0</v>
      </c>
      <c r="S63" s="62">
        <f t="shared" si="34"/>
        <v>0</v>
      </c>
      <c r="T63" s="63">
        <f t="shared" si="35"/>
        <v>0</v>
      </c>
      <c r="U63" s="64"/>
      <c r="V63" s="65"/>
      <c r="W63" s="66"/>
      <c r="X63" s="67"/>
      <c r="Y63" s="68"/>
      <c r="Z63" s="68"/>
      <c r="AA63" s="62">
        <f t="shared" si="51"/>
        <v>0</v>
      </c>
      <c r="AB63" s="63">
        <f t="shared" si="52"/>
        <v>0</v>
      </c>
      <c r="AC63" s="69"/>
      <c r="AD63" s="70"/>
      <c r="AE63" s="70"/>
      <c r="AF63" s="62">
        <f t="shared" si="48"/>
        <v>0</v>
      </c>
      <c r="AG63" s="63">
        <f t="shared" si="49"/>
        <v>0</v>
      </c>
      <c r="AH63" s="71"/>
      <c r="AI63" s="66"/>
      <c r="AJ63" s="66"/>
      <c r="AK63" s="62">
        <f t="shared" si="40"/>
        <v>0</v>
      </c>
      <c r="AL63" s="72">
        <f t="shared" si="41"/>
        <v>0</v>
      </c>
      <c r="AM63" s="73">
        <f t="shared" si="21"/>
        <v>0</v>
      </c>
      <c r="AN63" s="74">
        <f t="shared" si="22"/>
        <v>0</v>
      </c>
      <c r="AO63" s="74">
        <f t="shared" si="23"/>
        <v>0</v>
      </c>
      <c r="AP63" s="75" t="e">
        <f t="shared" si="24"/>
        <v>#DIV/0!</v>
      </c>
      <c r="AQ63" s="76">
        <f t="shared" si="25"/>
        <v>0</v>
      </c>
      <c r="AR63" s="90">
        <f t="shared" si="50"/>
        <v>0</v>
      </c>
    </row>
    <row r="64" spans="1:44" x14ac:dyDescent="0.25">
      <c r="A64" t="str">
        <f t="shared" si="11"/>
        <v>46234M</v>
      </c>
      <c r="B64" s="51">
        <f t="shared" si="27"/>
        <v>46234</v>
      </c>
      <c r="C64" s="52" t="s">
        <v>87</v>
      </c>
      <c r="D64" s="79"/>
      <c r="E64" s="62"/>
      <c r="F64" s="62"/>
      <c r="G64" s="169">
        <f t="shared" si="30"/>
        <v>0</v>
      </c>
      <c r="H64" s="170">
        <f t="shared" si="3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33"/>
        <v>0</v>
      </c>
      <c r="S64" s="62">
        <f t="shared" si="34"/>
        <v>0</v>
      </c>
      <c r="T64" s="63">
        <f t="shared" si="35"/>
        <v>0</v>
      </c>
      <c r="U64" s="64"/>
      <c r="V64" s="65"/>
      <c r="W64" s="66"/>
      <c r="X64" s="67"/>
      <c r="Y64" s="68"/>
      <c r="Z64" s="68"/>
      <c r="AA64" s="62">
        <f t="shared" ref="AA64" si="53">X64*Y64%</f>
        <v>0</v>
      </c>
      <c r="AB64" s="63">
        <f t="shared" ref="AB64" si="54">X64*Z64%</f>
        <v>0</v>
      </c>
      <c r="AC64" s="69"/>
      <c r="AD64" s="70"/>
      <c r="AE64" s="70"/>
      <c r="AF64" s="62">
        <f t="shared" ref="AF64" si="55">AC64*AD64%</f>
        <v>0</v>
      </c>
      <c r="AG64" s="63">
        <f t="shared" ref="AG64" si="56">AC64*AE64%</f>
        <v>0</v>
      </c>
      <c r="AH64" s="89"/>
      <c r="AI64" s="66"/>
      <c r="AJ64" s="66"/>
      <c r="AK64" s="62">
        <f t="shared" ref="AK64" si="57">AH64*AI64%</f>
        <v>0</v>
      </c>
      <c r="AL64" s="72">
        <f t="shared" ref="AL64" si="58">AH64*AJ64%</f>
        <v>0</v>
      </c>
      <c r="AM64" s="73">
        <f t="shared" si="21"/>
        <v>0</v>
      </c>
      <c r="AN64" s="74">
        <f t="shared" si="22"/>
        <v>0</v>
      </c>
      <c r="AO64" s="74">
        <f t="shared" si="23"/>
        <v>0</v>
      </c>
      <c r="AP64" s="75" t="e">
        <f t="shared" si="24"/>
        <v>#DIV/0!</v>
      </c>
      <c r="AQ64" s="76">
        <f t="shared" si="25"/>
        <v>0</v>
      </c>
      <c r="AR64" s="83">
        <f t="shared" si="26"/>
        <v>0</v>
      </c>
    </row>
    <row r="65" spans="1:44" x14ac:dyDescent="0.25">
      <c r="A65" t="str">
        <f t="shared" si="11"/>
        <v>46234E</v>
      </c>
      <c r="B65" s="51">
        <f t="shared" si="27"/>
        <v>46234</v>
      </c>
      <c r="C65" s="52" t="s">
        <v>88</v>
      </c>
      <c r="D65" s="79"/>
      <c r="E65" s="62"/>
      <c r="F65" s="62"/>
      <c r="G65" s="169">
        <f t="shared" si="30"/>
        <v>0</v>
      </c>
      <c r="H65" s="170">
        <f t="shared" si="3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33"/>
        <v>0</v>
      </c>
      <c r="S65" s="62">
        <f t="shared" si="34"/>
        <v>0</v>
      </c>
      <c r="T65" s="63">
        <f t="shared" si="35"/>
        <v>0</v>
      </c>
      <c r="U65" s="64"/>
      <c r="V65" s="65"/>
      <c r="W65" s="66"/>
      <c r="X65" s="67"/>
      <c r="Y65" s="68"/>
      <c r="Z65" s="68"/>
      <c r="AA65" s="62">
        <f t="shared" ref="AA65" si="59">X65*Y65%</f>
        <v>0</v>
      </c>
      <c r="AB65" s="63">
        <f t="shared" ref="AB65" si="60">X65*Z65%</f>
        <v>0</v>
      </c>
      <c r="AC65" s="69"/>
      <c r="AD65" s="70"/>
      <c r="AE65" s="70"/>
      <c r="AF65" s="62">
        <f t="shared" ref="AF65" si="61">AC65*AD65%</f>
        <v>0</v>
      </c>
      <c r="AG65" s="63">
        <f t="shared" ref="AG65" si="62">AC65*AE65%</f>
        <v>0</v>
      </c>
      <c r="AH65" s="89"/>
      <c r="AI65" s="66"/>
      <c r="AJ65" s="66"/>
      <c r="AK65" s="62">
        <f t="shared" ref="AK65" si="63">AH65*AI65%</f>
        <v>0</v>
      </c>
      <c r="AL65" s="72">
        <f t="shared" ref="AL65" si="64">AH65*AJ65%</f>
        <v>0</v>
      </c>
      <c r="AM65" s="73">
        <f t="shared" si="21"/>
        <v>0</v>
      </c>
      <c r="AN65" s="74">
        <f t="shared" si="22"/>
        <v>0</v>
      </c>
      <c r="AO65" s="74">
        <f t="shared" si="23"/>
        <v>0</v>
      </c>
      <c r="AP65" s="75" t="e">
        <f t="shared" si="24"/>
        <v>#DIV/0!</v>
      </c>
      <c r="AQ65" s="76">
        <f t="shared" si="25"/>
        <v>0</v>
      </c>
      <c r="AR65" s="83">
        <f t="shared" si="26"/>
        <v>0</v>
      </c>
    </row>
    <row r="66" spans="1:44" x14ac:dyDescent="0.25">
      <c r="J66" s="83">
        <f>SUM(J4:J65)</f>
        <v>55784.933899999996</v>
      </c>
      <c r="AM66" s="97">
        <f t="shared" ref="AM66:AO66" si="65">-SUM(AM4:AM65)</f>
        <v>771.36610000000871</v>
      </c>
      <c r="AN66" s="97">
        <f t="shared" si="65"/>
        <v>75.93895690000025</v>
      </c>
      <c r="AO66" s="97">
        <f t="shared" si="65"/>
        <v>-107.56531489999951</v>
      </c>
      <c r="AQ66" s="128">
        <f>-SUM(AQ4:AQ65)</f>
        <v>4276.2861209182547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4" priority="2" operator="lessThan">
      <formula>0.1</formula>
    </cfRule>
    <cfRule type="cellIs" dxfId="53" priority="3" operator="greaterThan">
      <formula>0.1</formula>
    </cfRule>
  </conditionalFormatting>
  <conditionalFormatting sqref="AP1:AQ1">
    <cfRule type="cellIs" dxfId="52" priority="1" operator="lessThan">
      <formula>1</formula>
    </cfRule>
  </conditionalFormatting>
  <conditionalFormatting sqref="AQ4:AQ65">
    <cfRule type="cellIs" dxfId="51" priority="22" operator="lessThan">
      <formula>0</formula>
    </cfRule>
    <cfRule type="cellIs" dxfId="50" priority="23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AW66"/>
  <sheetViews>
    <sheetView topLeftCell="A2" zoomScale="80" zoomScaleNormal="80" workbookViewId="0">
      <pane xSplit="2" ySplit="2" topLeftCell="C4" activePane="bottomRight" state="frozen"/>
      <selection activeCell="A2" sqref="A2"/>
      <selection pane="topRight" activeCell="C2" sqref="C2"/>
      <selection pane="bottomLeft" activeCell="A4" sqref="A4"/>
      <selection pane="bottomRight" activeCell="AC20" sqref="AC20:AE20"/>
    </sheetView>
  </sheetViews>
  <sheetFormatPr defaultRowHeight="15" x14ac:dyDescent="0.25"/>
  <cols>
    <col min="1" max="1" width="3.85546875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9.28515625" bestFit="1" customWidth="1"/>
    <col min="11" max="12" width="5.85546875" bestFit="1" customWidth="1"/>
    <col min="13" max="13" width="7" bestFit="1" customWidth="1"/>
    <col min="14" max="14" width="8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7.85546875" customWidth="1"/>
    <col min="22" max="22" width="9.28515625" customWidth="1"/>
    <col min="23" max="23" width="8.7109375" bestFit="1" customWidth="1"/>
    <col min="24" max="24" width="7.425781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7.425781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4.140625" bestFit="1" customWidth="1"/>
    <col min="45" max="45" width="6.5703125" bestFit="1" customWidth="1"/>
    <col min="46" max="46" width="6" bestFit="1" customWidth="1"/>
    <col min="47" max="47" width="5" bestFit="1" customWidth="1"/>
    <col min="48" max="48" width="5.7109375" bestFit="1" customWidth="1"/>
    <col min="49" max="49" width="8.140625" bestFit="1" customWidth="1"/>
  </cols>
  <sheetData>
    <row r="1" spans="1:44" ht="15.75" thickBot="1" x14ac:dyDescent="0.3">
      <c r="B1" s="110" t="s">
        <v>97</v>
      </c>
      <c r="C1" s="44"/>
      <c r="I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27" t="s">
        <v>68</v>
      </c>
      <c r="N2" s="228"/>
      <c r="O2" s="228"/>
      <c r="P2" s="228"/>
      <c r="Q2" s="229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1" t="s">
        <v>11</v>
      </c>
    </row>
    <row r="4" spans="1:44" ht="15.75" x14ac:dyDescent="0.25">
      <c r="A4" t="str">
        <f>CONCATENATE(B4,C4)</f>
        <v>46204M</v>
      </c>
      <c r="B4" s="51">
        <v>46204</v>
      </c>
      <c r="C4" s="99" t="s">
        <v>87</v>
      </c>
      <c r="D4" s="100">
        <v>11450</v>
      </c>
      <c r="E4" s="101">
        <v>4.03</v>
      </c>
      <c r="F4" s="101">
        <v>8.35</v>
      </c>
      <c r="G4" s="62">
        <f t="shared" ref="G4:G29" si="0">+D4*E4%</f>
        <v>461.435</v>
      </c>
      <c r="H4" s="72">
        <f t="shared" ref="H4:H29" si="1">+D4*F4%</f>
        <v>956.07499999999993</v>
      </c>
      <c r="I4" s="120">
        <v>4785.55</v>
      </c>
      <c r="J4" s="120">
        <v>4929.1165000000001</v>
      </c>
      <c r="K4" s="120">
        <v>4.4668449812456243</v>
      </c>
      <c r="L4" s="120">
        <v>8.3094106215586496</v>
      </c>
      <c r="M4" s="58">
        <v>0</v>
      </c>
      <c r="N4" s="58" t="s">
        <v>167</v>
      </c>
      <c r="O4" s="59">
        <v>0</v>
      </c>
      <c r="P4" s="56">
        <v>0</v>
      </c>
      <c r="Q4" s="60">
        <v>0</v>
      </c>
      <c r="R4" s="61">
        <f t="shared" ref="R4" si="2">+J4+O4</f>
        <v>4929.1165000000001</v>
      </c>
      <c r="S4" s="62">
        <f t="shared" ref="S4" si="3">+J4*K4%+O4*P4%</f>
        <v>220.17599299999995</v>
      </c>
      <c r="T4" s="63">
        <f t="shared" ref="T4" si="4">+J4*L4%+O4*Q4%</f>
        <v>409.58052999999995</v>
      </c>
      <c r="U4" s="136" t="s">
        <v>197</v>
      </c>
      <c r="V4" s="137" t="s">
        <v>237</v>
      </c>
      <c r="W4" s="138" t="s">
        <v>184</v>
      </c>
      <c r="X4" s="139">
        <v>9200</v>
      </c>
      <c r="Y4" s="140">
        <v>4.3</v>
      </c>
      <c r="Z4" s="140">
        <v>8.39</v>
      </c>
      <c r="AA4" s="62">
        <f t="shared" ref="AA4:AA47" si="5">X4*Y4%</f>
        <v>395.59999999999997</v>
      </c>
      <c r="AB4" s="63">
        <f t="shared" ref="AB4:AB47" si="6">X4*Z4%</f>
        <v>771.88</v>
      </c>
      <c r="AC4" s="69">
        <v>9180</v>
      </c>
      <c r="AD4" s="70">
        <v>4.25</v>
      </c>
      <c r="AE4" s="70">
        <v>8.3800000000000008</v>
      </c>
      <c r="AF4" s="62">
        <f t="shared" ref="AF4" si="7">AC4*AD4%</f>
        <v>390.15000000000003</v>
      </c>
      <c r="AG4" s="63">
        <f t="shared" ref="AG4" si="8">AC4*AE4%</f>
        <v>769.28400000000011</v>
      </c>
      <c r="AH4" s="141">
        <v>7177</v>
      </c>
      <c r="AI4" s="138">
        <v>4.16</v>
      </c>
      <c r="AJ4" s="138">
        <v>8.34</v>
      </c>
      <c r="AK4" s="62">
        <f t="shared" ref="AK4" si="9">AH4*AI4%</f>
        <v>298.56319999999999</v>
      </c>
      <c r="AL4" s="72">
        <f t="shared" ref="AL4" si="10">AH4*AJ4%</f>
        <v>598.56180000000006</v>
      </c>
      <c r="AM4" s="81">
        <f>+D4+R4-AC4-AH4</f>
        <v>22.116500000000087</v>
      </c>
      <c r="AN4" s="80">
        <f t="shared" ref="AN4:AO4" si="11">+G4+S4-AF4-AK4</f>
        <v>-7.1022070000000213</v>
      </c>
      <c r="AO4" s="80">
        <f t="shared" si="11"/>
        <v>-2.1902700000001687</v>
      </c>
      <c r="AP4" s="114">
        <f>(AN4+AO4)/(S4+T4)</f>
        <v>-1.475566613543468E-2</v>
      </c>
      <c r="AQ4" s="115">
        <f t="shared" ref="AQ4:AQ65" si="12">($AP$1*AN4+$AQ$1*AO4)</f>
        <v>-4068.8079810492432</v>
      </c>
      <c r="AR4" s="90">
        <f>(D4+J4+O4)-(X4+AH4)</f>
        <v>2.1165000000000873</v>
      </c>
    </row>
    <row r="5" spans="1:44" ht="15.75" x14ac:dyDescent="0.25">
      <c r="A5" t="str">
        <f t="shared" ref="A5:A65" si="13">CONCATENATE(B5,C5)</f>
        <v>46204E</v>
      </c>
      <c r="B5" s="51">
        <f>+B4</f>
        <v>46204</v>
      </c>
      <c r="C5" s="99" t="s">
        <v>88</v>
      </c>
      <c r="D5" s="105">
        <v>7177</v>
      </c>
      <c r="E5" s="106">
        <v>4.16</v>
      </c>
      <c r="F5" s="106">
        <v>8.34</v>
      </c>
      <c r="G5" s="62">
        <f t="shared" si="0"/>
        <v>298.56319999999999</v>
      </c>
      <c r="H5" s="72">
        <f t="shared" si="1"/>
        <v>598.56180000000006</v>
      </c>
      <c r="I5" s="120">
        <v>8654.3499999999985</v>
      </c>
      <c r="J5" s="120">
        <v>8913.9804999999978</v>
      </c>
      <c r="K5" s="120">
        <v>4.0903262521159851</v>
      </c>
      <c r="L5" s="120">
        <v>8.2436052389838608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8913.9804999999978</v>
      </c>
      <c r="S5" s="62">
        <f t="shared" ref="S5:S65" si="15">+J5*K5%+O5*P5%</f>
        <v>364.61088449999971</v>
      </c>
      <c r="T5" s="63">
        <f t="shared" ref="T5:T65" si="16">+J5*L5%+O5*Q5%</f>
        <v>734.83336349999956</v>
      </c>
      <c r="U5" s="102" t="s">
        <v>198</v>
      </c>
      <c r="V5" s="103" t="s">
        <v>238</v>
      </c>
      <c r="W5" s="104" t="s">
        <v>184</v>
      </c>
      <c r="X5" s="112">
        <v>7200</v>
      </c>
      <c r="Y5" s="113">
        <v>4.4000000000000004</v>
      </c>
      <c r="Z5" s="113">
        <v>8.5399999999999991</v>
      </c>
      <c r="AA5" s="62">
        <f t="shared" si="5"/>
        <v>316.8</v>
      </c>
      <c r="AB5" s="63">
        <f t="shared" si="6"/>
        <v>614.87999999999988</v>
      </c>
      <c r="AC5" s="69">
        <v>7150</v>
      </c>
      <c r="AD5" s="70">
        <v>4.3</v>
      </c>
      <c r="AE5" s="70">
        <v>8.39</v>
      </c>
      <c r="AF5" s="62">
        <f t="shared" ref="AF5:AF65" si="17">AC5*AD5%</f>
        <v>307.45</v>
      </c>
      <c r="AG5" s="63">
        <f t="shared" ref="AG5:AG65" si="18">AC5*AE5%</f>
        <v>599.88499999999999</v>
      </c>
      <c r="AH5" s="141">
        <v>8890</v>
      </c>
      <c r="AI5" s="138">
        <v>4.1900000000000004</v>
      </c>
      <c r="AJ5" s="138">
        <v>8.3000000000000007</v>
      </c>
      <c r="AK5" s="62">
        <f t="shared" ref="AK5:AK65" si="19">AH5*AI5%</f>
        <v>372.49100000000004</v>
      </c>
      <c r="AL5" s="72">
        <f t="shared" ref="AL5:AL65" si="20">AH5*AJ5%</f>
        <v>737.87</v>
      </c>
      <c r="AM5" s="81">
        <f t="shared" ref="AM5:AM65" si="21">+D5+R5-AC5-AH5</f>
        <v>50.980499999997846</v>
      </c>
      <c r="AN5" s="80">
        <f t="shared" ref="AN5:AN65" si="22">+G5+S5-AF5-AK5</f>
        <v>-16.766915500000323</v>
      </c>
      <c r="AO5" s="80">
        <f t="shared" ref="AO5:AO65" si="23">+H5+T5-AG5-AL5</f>
        <v>-4.3598365000003696</v>
      </c>
      <c r="AP5" s="114">
        <f t="shared" ref="AP5:AP65" si="24">(AN5+AO5)/(S5+T5)</f>
        <v>-1.9215846586520778E-2</v>
      </c>
      <c r="AQ5" s="115">
        <f t="shared" si="12"/>
        <v>-9362.7808191763033</v>
      </c>
      <c r="AR5" s="90">
        <f t="shared" ref="AR5:AR13" si="25">(D5+J5+O5)-(X5+AH5)</f>
        <v>0.98049999999784632</v>
      </c>
    </row>
    <row r="6" spans="1:44" ht="15.75" x14ac:dyDescent="0.25">
      <c r="A6" t="str">
        <f t="shared" si="13"/>
        <v>46205M</v>
      </c>
      <c r="B6" s="51">
        <f>+B4+1</f>
        <v>46205</v>
      </c>
      <c r="C6" s="99" t="s">
        <v>87</v>
      </c>
      <c r="D6" s="105">
        <v>8890</v>
      </c>
      <c r="E6" s="106">
        <v>4.1900000000000004</v>
      </c>
      <c r="F6" s="106">
        <v>8.3000000000000007</v>
      </c>
      <c r="G6" s="62">
        <f t="shared" si="0"/>
        <v>372.49100000000004</v>
      </c>
      <c r="H6" s="72">
        <f t="shared" si="1"/>
        <v>737.87</v>
      </c>
      <c r="I6" s="120">
        <v>4191.550000000002</v>
      </c>
      <c r="J6" s="120">
        <v>4317.2965000000022</v>
      </c>
      <c r="K6" s="120">
        <v>4.4972110555760985</v>
      </c>
      <c r="L6" s="120">
        <v>8.3952845606040736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4317.2965000000022</v>
      </c>
      <c r="S6" s="62">
        <f t="shared" si="15"/>
        <v>194.15793550000004</v>
      </c>
      <c r="T6" s="63">
        <f t="shared" si="16"/>
        <v>362.44932650000021</v>
      </c>
      <c r="U6" s="102" t="s">
        <v>167</v>
      </c>
      <c r="V6" s="103" t="s">
        <v>167</v>
      </c>
      <c r="W6" s="104">
        <v>0</v>
      </c>
      <c r="X6" s="112">
        <v>0</v>
      </c>
      <c r="Y6" s="113">
        <v>0</v>
      </c>
      <c r="Z6" s="113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141">
        <v>13205</v>
      </c>
      <c r="AI6" s="138">
        <v>4.29</v>
      </c>
      <c r="AJ6" s="138">
        <v>8.32</v>
      </c>
      <c r="AK6" s="62">
        <f t="shared" si="19"/>
        <v>566.49450000000002</v>
      </c>
      <c r="AL6" s="72">
        <f t="shared" si="20"/>
        <v>1098.6559999999999</v>
      </c>
      <c r="AM6" s="81">
        <f t="shared" si="21"/>
        <v>2.2965000000021973</v>
      </c>
      <c r="AN6" s="80">
        <f t="shared" si="22"/>
        <v>0.15443550000009054</v>
      </c>
      <c r="AO6" s="80">
        <f t="shared" si="23"/>
        <v>1.6633265000002666</v>
      </c>
      <c r="AP6" s="114">
        <f t="shared" si="24"/>
        <v>3.2657892271631133E-3</v>
      </c>
      <c r="AQ6" s="115">
        <f t="shared" si="12"/>
        <v>572.362763041108</v>
      </c>
      <c r="AR6" s="90">
        <f t="shared" si="25"/>
        <v>2.2965000000021973</v>
      </c>
    </row>
    <row r="7" spans="1:44" ht="15.75" x14ac:dyDescent="0.25">
      <c r="A7" t="str">
        <f t="shared" si="13"/>
        <v>46205E</v>
      </c>
      <c r="B7" s="51">
        <f>+B5+1</f>
        <v>46205</v>
      </c>
      <c r="C7" s="99" t="s">
        <v>88</v>
      </c>
      <c r="D7" s="105">
        <v>13205</v>
      </c>
      <c r="E7" s="106">
        <v>4.29</v>
      </c>
      <c r="F7" s="106">
        <v>8.32</v>
      </c>
      <c r="G7" s="62">
        <f t="shared" si="0"/>
        <v>566.49450000000002</v>
      </c>
      <c r="H7" s="72">
        <f t="shared" si="1"/>
        <v>1098.6559999999999</v>
      </c>
      <c r="I7" s="120">
        <v>10114.900000000003</v>
      </c>
      <c r="J7" s="120">
        <v>10418.347000000003</v>
      </c>
      <c r="K7" s="120">
        <v>4.1464923034335488</v>
      </c>
      <c r="L7" s="120">
        <v>8.3118256235850083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10418.347000000003</v>
      </c>
      <c r="S7" s="62">
        <f t="shared" si="15"/>
        <v>431.99595650000015</v>
      </c>
      <c r="T7" s="63">
        <f t="shared" si="16"/>
        <v>865.95483550000017</v>
      </c>
      <c r="U7" s="102" t="s">
        <v>197</v>
      </c>
      <c r="V7" s="103" t="s">
        <v>239</v>
      </c>
      <c r="W7" s="138" t="s">
        <v>184</v>
      </c>
      <c r="X7" s="112">
        <v>9200</v>
      </c>
      <c r="Y7" s="113">
        <v>4.4000000000000004</v>
      </c>
      <c r="Z7" s="113">
        <v>8.48</v>
      </c>
      <c r="AA7" s="62">
        <f t="shared" si="5"/>
        <v>404.80000000000007</v>
      </c>
      <c r="AB7" s="63">
        <f t="shared" si="6"/>
        <v>780.16</v>
      </c>
      <c r="AC7" s="69">
        <v>9140</v>
      </c>
      <c r="AD7" s="70">
        <v>4.1752735229759299</v>
      </c>
      <c r="AE7" s="70">
        <v>8.2450547045951854</v>
      </c>
      <c r="AF7" s="62">
        <f t="shared" si="17"/>
        <v>381.62</v>
      </c>
      <c r="AG7" s="63">
        <f t="shared" si="18"/>
        <v>753.59799999999996</v>
      </c>
      <c r="AH7" s="141">
        <v>14190</v>
      </c>
      <c r="AI7" s="138">
        <v>4.28</v>
      </c>
      <c r="AJ7" s="138">
        <v>8.33</v>
      </c>
      <c r="AK7" s="62">
        <f t="shared" si="19"/>
        <v>607.33200000000011</v>
      </c>
      <c r="AL7" s="72">
        <f t="shared" si="20"/>
        <v>1182.027</v>
      </c>
      <c r="AM7" s="81">
        <f t="shared" si="21"/>
        <v>293.34700000000157</v>
      </c>
      <c r="AN7" s="80">
        <f t="shared" si="22"/>
        <v>9.5384565000000521</v>
      </c>
      <c r="AO7" s="80">
        <f t="shared" si="23"/>
        <v>28.985835500000121</v>
      </c>
      <c r="AP7" s="114">
        <f t="shared" si="24"/>
        <v>2.9680857115267405E-2</v>
      </c>
      <c r="AQ7" s="115">
        <f t="shared" si="12"/>
        <v>13264.538476444704</v>
      </c>
      <c r="AR7" s="90">
        <f t="shared" si="25"/>
        <v>233.34700000000157</v>
      </c>
    </row>
    <row r="8" spans="1:44" ht="15.75" x14ac:dyDescent="0.25">
      <c r="A8" t="str">
        <f t="shared" si="13"/>
        <v>46206M</v>
      </c>
      <c r="B8" s="51">
        <f>+B6+1</f>
        <v>46206</v>
      </c>
      <c r="C8" s="99" t="s">
        <v>87</v>
      </c>
      <c r="D8" s="105">
        <v>14190</v>
      </c>
      <c r="E8" s="106">
        <v>4.28</v>
      </c>
      <c r="F8" s="106">
        <v>8.33</v>
      </c>
      <c r="G8" s="62">
        <f t="shared" si="0"/>
        <v>607.33200000000011</v>
      </c>
      <c r="H8" s="72">
        <f t="shared" si="1"/>
        <v>1182.027</v>
      </c>
      <c r="I8" s="120">
        <v>3716.4499999999994</v>
      </c>
      <c r="J8" s="120">
        <v>3827.9434999999994</v>
      </c>
      <c r="K8" s="120">
        <v>4.5644835797602568</v>
      </c>
      <c r="L8" s="120">
        <v>8.4444940736455525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3827.9434999999994</v>
      </c>
      <c r="S8" s="62">
        <f t="shared" si="15"/>
        <v>174.72585250000003</v>
      </c>
      <c r="T8" s="63">
        <f t="shared" si="16"/>
        <v>323.25046200000014</v>
      </c>
      <c r="U8" s="102" t="s">
        <v>198</v>
      </c>
      <c r="V8" s="103" t="s">
        <v>278</v>
      </c>
      <c r="W8" s="104" t="s">
        <v>184</v>
      </c>
      <c r="X8" s="112">
        <v>7200</v>
      </c>
      <c r="Y8" s="113">
        <v>4.4000000000000004</v>
      </c>
      <c r="Z8" s="113">
        <v>8.5399999999999991</v>
      </c>
      <c r="AA8" s="62">
        <f t="shared" si="5"/>
        <v>316.8</v>
      </c>
      <c r="AB8" s="63">
        <f t="shared" si="6"/>
        <v>614.87999999999988</v>
      </c>
      <c r="AC8" s="69">
        <v>7190</v>
      </c>
      <c r="AD8" s="70">
        <v>4.3484005563282331</v>
      </c>
      <c r="AE8" s="70">
        <v>8.3377607788595274</v>
      </c>
      <c r="AF8" s="62">
        <f t="shared" si="17"/>
        <v>312.64999999999998</v>
      </c>
      <c r="AG8" s="63">
        <f t="shared" si="18"/>
        <v>599.48500000000001</v>
      </c>
      <c r="AH8" s="141">
        <v>10816</v>
      </c>
      <c r="AI8" s="138">
        <v>4.34</v>
      </c>
      <c r="AJ8" s="138">
        <v>8.35</v>
      </c>
      <c r="AK8" s="62">
        <f t="shared" si="19"/>
        <v>469.4144</v>
      </c>
      <c r="AL8" s="72">
        <f t="shared" si="20"/>
        <v>903.13599999999985</v>
      </c>
      <c r="AM8" s="81">
        <f t="shared" si="21"/>
        <v>11.943500000001222</v>
      </c>
      <c r="AN8" s="80">
        <f t="shared" si="22"/>
        <v>-6.5474999998968997E-3</v>
      </c>
      <c r="AO8" s="80">
        <f t="shared" si="23"/>
        <v>2.6564620000003742</v>
      </c>
      <c r="AP8" s="114">
        <f t="shared" si="24"/>
        <v>5.3213665446340749E-3</v>
      </c>
      <c r="AQ8" s="115">
        <f t="shared" si="12"/>
        <v>792.44043297015151</v>
      </c>
      <c r="AR8" s="90">
        <f t="shared" si="25"/>
        <v>1.9435000000012224</v>
      </c>
    </row>
    <row r="9" spans="1:44" ht="15.75" x14ac:dyDescent="0.25">
      <c r="A9" t="str">
        <f t="shared" si="13"/>
        <v>46206E</v>
      </c>
      <c r="B9" s="51">
        <f t="shared" ref="B9:B65" si="26">+B7+1</f>
        <v>46206</v>
      </c>
      <c r="C9" s="99" t="s">
        <v>88</v>
      </c>
      <c r="D9" s="105">
        <v>10816</v>
      </c>
      <c r="E9" s="106">
        <v>4.34</v>
      </c>
      <c r="F9" s="106">
        <v>8.35</v>
      </c>
      <c r="G9" s="62">
        <f t="shared" si="0"/>
        <v>469.4144</v>
      </c>
      <c r="H9" s="72">
        <f t="shared" si="1"/>
        <v>903.13599999999985</v>
      </c>
      <c r="I9" s="120">
        <v>8742.9999999999945</v>
      </c>
      <c r="J9" s="120">
        <v>9005.2899999999954</v>
      </c>
      <c r="K9" s="120">
        <v>3.9858189408669822</v>
      </c>
      <c r="L9" s="120">
        <v>8.2467333867093693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9005.2899999999954</v>
      </c>
      <c r="S9" s="62">
        <f t="shared" si="15"/>
        <v>358.9345545000001</v>
      </c>
      <c r="T9" s="63">
        <f t="shared" si="16"/>
        <v>742.64225699999974</v>
      </c>
      <c r="U9" s="102" t="s">
        <v>199</v>
      </c>
      <c r="V9" s="103" t="s">
        <v>279</v>
      </c>
      <c r="W9" s="138" t="s">
        <v>184</v>
      </c>
      <c r="X9" s="112">
        <v>9810</v>
      </c>
      <c r="Y9" s="113">
        <v>4.2</v>
      </c>
      <c r="Z9" s="113">
        <v>8.370000000000001</v>
      </c>
      <c r="AA9" s="62">
        <f t="shared" si="5"/>
        <v>412.02000000000004</v>
      </c>
      <c r="AB9" s="63">
        <f t="shared" si="6"/>
        <v>821.09700000000009</v>
      </c>
      <c r="AC9" s="69">
        <v>9680</v>
      </c>
      <c r="AD9" s="70">
        <v>4.0999999999999996</v>
      </c>
      <c r="AE9" s="70">
        <v>8.35</v>
      </c>
      <c r="AF9" s="62">
        <f t="shared" si="17"/>
        <v>396.87999999999994</v>
      </c>
      <c r="AG9" s="63">
        <f t="shared" si="18"/>
        <v>808.27999999999986</v>
      </c>
      <c r="AH9" s="141">
        <v>10010</v>
      </c>
      <c r="AI9" s="138">
        <v>4.18</v>
      </c>
      <c r="AJ9" s="138">
        <v>8.3000000000000007</v>
      </c>
      <c r="AK9" s="62">
        <f t="shared" si="19"/>
        <v>418.41799999999995</v>
      </c>
      <c r="AL9" s="72">
        <f t="shared" si="20"/>
        <v>830.83</v>
      </c>
      <c r="AM9" s="81">
        <f t="shared" si="21"/>
        <v>131.2899999999936</v>
      </c>
      <c r="AN9" s="80">
        <f t="shared" si="22"/>
        <v>13.050954500000216</v>
      </c>
      <c r="AO9" s="80">
        <f t="shared" si="23"/>
        <v>6.6682569999995849</v>
      </c>
      <c r="AP9" s="114">
        <f t="shared" si="24"/>
        <v>1.790089560177693E-2</v>
      </c>
      <c r="AQ9" s="115">
        <f t="shared" si="12"/>
        <v>8268.4920064386388</v>
      </c>
      <c r="AR9" s="90">
        <f t="shared" si="25"/>
        <v>1.2899999999935972</v>
      </c>
    </row>
    <row r="10" spans="1:44" ht="15.75" x14ac:dyDescent="0.25">
      <c r="A10" t="str">
        <f t="shared" si="13"/>
        <v>46207M</v>
      </c>
      <c r="B10" s="51">
        <f t="shared" si="26"/>
        <v>46207</v>
      </c>
      <c r="C10" s="99" t="s">
        <v>87</v>
      </c>
      <c r="D10" s="105">
        <v>10010</v>
      </c>
      <c r="E10" s="106">
        <v>4.18</v>
      </c>
      <c r="F10" s="106">
        <v>8.3000000000000007</v>
      </c>
      <c r="G10" s="62">
        <f t="shared" si="0"/>
        <v>418.41799999999995</v>
      </c>
      <c r="H10" s="72">
        <f t="shared" si="1"/>
        <v>830.83</v>
      </c>
      <c r="I10" s="120">
        <v>3726.2999999999984</v>
      </c>
      <c r="J10" s="120">
        <v>3838.0889999999986</v>
      </c>
      <c r="K10" s="120">
        <v>4.6852776212328591</v>
      </c>
      <c r="L10" s="120">
        <v>8.4010224619595881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3838.0889999999986</v>
      </c>
      <c r="S10" s="62">
        <f t="shared" si="15"/>
        <v>179.82512499999996</v>
      </c>
      <c r="T10" s="63">
        <f t="shared" si="16"/>
        <v>322.43871900000005</v>
      </c>
      <c r="U10" s="102" t="s">
        <v>198</v>
      </c>
      <c r="V10" s="103" t="s">
        <v>280</v>
      </c>
      <c r="W10" s="104" t="s">
        <v>184</v>
      </c>
      <c r="X10" s="112">
        <v>7200</v>
      </c>
      <c r="Y10" s="113">
        <v>4.5000000000000009</v>
      </c>
      <c r="Z10" s="113">
        <v>8.4299999999999979</v>
      </c>
      <c r="AA10" s="62">
        <f t="shared" si="5"/>
        <v>324.00000000000011</v>
      </c>
      <c r="AB10" s="63">
        <f t="shared" si="6"/>
        <v>606.95999999999992</v>
      </c>
      <c r="AC10" s="69">
        <v>7170</v>
      </c>
      <c r="AD10" s="70">
        <v>4.4000000000000004</v>
      </c>
      <c r="AE10" s="70">
        <v>8.41</v>
      </c>
      <c r="AF10" s="62">
        <f t="shared" si="17"/>
        <v>315.48</v>
      </c>
      <c r="AG10" s="63">
        <f t="shared" si="18"/>
        <v>602.99700000000007</v>
      </c>
      <c r="AH10" s="141">
        <v>6647</v>
      </c>
      <c r="AI10" s="138">
        <v>4.32</v>
      </c>
      <c r="AJ10" s="138">
        <v>8.32</v>
      </c>
      <c r="AK10" s="62">
        <f t="shared" si="19"/>
        <v>287.15039999999999</v>
      </c>
      <c r="AL10" s="72">
        <f t="shared" si="20"/>
        <v>553.03039999999999</v>
      </c>
      <c r="AM10" s="81">
        <f t="shared" si="21"/>
        <v>31.088999999998123</v>
      </c>
      <c r="AN10" s="80">
        <f t="shared" si="22"/>
        <v>-4.3872750000000451</v>
      </c>
      <c r="AO10" s="80">
        <f t="shared" si="23"/>
        <v>-2.7586809999999105</v>
      </c>
      <c r="AP10" s="114">
        <f t="shared" si="24"/>
        <v>-1.4227494344585862E-2</v>
      </c>
      <c r="AQ10" s="115">
        <f t="shared" si="12"/>
        <v>-2934.4288279315033</v>
      </c>
      <c r="AR10" s="90">
        <f t="shared" si="25"/>
        <v>1.0889999999981228</v>
      </c>
    </row>
    <row r="11" spans="1:44" ht="15.75" x14ac:dyDescent="0.25">
      <c r="A11" t="str">
        <f t="shared" si="13"/>
        <v>46207E</v>
      </c>
      <c r="B11" s="51">
        <f t="shared" si="26"/>
        <v>46207</v>
      </c>
      <c r="C11" s="99" t="s">
        <v>88</v>
      </c>
      <c r="D11" s="105">
        <v>6647</v>
      </c>
      <c r="E11" s="106">
        <v>4.32</v>
      </c>
      <c r="F11" s="106">
        <v>8.32</v>
      </c>
      <c r="G11" s="62">
        <f t="shared" si="0"/>
        <v>287.15039999999999</v>
      </c>
      <c r="H11" s="72">
        <f t="shared" si="1"/>
        <v>553.03039999999999</v>
      </c>
      <c r="I11" s="120">
        <v>9496.9500000000007</v>
      </c>
      <c r="J11" s="120">
        <v>9781.8585000000003</v>
      </c>
      <c r="K11" s="120">
        <v>3.9605399628301727</v>
      </c>
      <c r="L11" s="120">
        <v>8.2437250906870112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9781.8585000000003</v>
      </c>
      <c r="S11" s="62">
        <f t="shared" si="15"/>
        <v>387.41441500000013</v>
      </c>
      <c r="T11" s="63">
        <f t="shared" si="16"/>
        <v>806.38952350000011</v>
      </c>
      <c r="U11" s="102" t="s">
        <v>199</v>
      </c>
      <c r="V11" s="103" t="s">
        <v>281</v>
      </c>
      <c r="W11" s="138" t="s">
        <v>184</v>
      </c>
      <c r="X11" s="112">
        <v>9810</v>
      </c>
      <c r="Y11" s="113">
        <v>4.2</v>
      </c>
      <c r="Z11" s="113">
        <v>8.5000000000000018</v>
      </c>
      <c r="AA11" s="62">
        <f t="shared" si="5"/>
        <v>412.02000000000004</v>
      </c>
      <c r="AB11" s="63">
        <f t="shared" si="6"/>
        <v>833.85000000000025</v>
      </c>
      <c r="AC11" s="69">
        <v>9740</v>
      </c>
      <c r="AD11" s="70">
        <v>4.0999999999999988</v>
      </c>
      <c r="AE11" s="70">
        <v>8.4799999999999986</v>
      </c>
      <c r="AF11" s="62">
        <f t="shared" si="17"/>
        <v>399.33999999999986</v>
      </c>
      <c r="AG11" s="63">
        <f t="shared" si="18"/>
        <v>825.95199999999988</v>
      </c>
      <c r="AH11" s="141">
        <v>6617</v>
      </c>
      <c r="AI11" s="138">
        <v>4.0999999999999996</v>
      </c>
      <c r="AJ11" s="138">
        <v>8.27</v>
      </c>
      <c r="AK11" s="62">
        <f t="shared" si="19"/>
        <v>271.29699999999997</v>
      </c>
      <c r="AL11" s="72">
        <f t="shared" si="20"/>
        <v>547.22590000000002</v>
      </c>
      <c r="AM11" s="81">
        <f t="shared" si="21"/>
        <v>71.858500000002095</v>
      </c>
      <c r="AN11" s="80">
        <f t="shared" si="22"/>
        <v>3.9278150000003507</v>
      </c>
      <c r="AO11" s="80">
        <f t="shared" si="23"/>
        <v>-13.757976499999813</v>
      </c>
      <c r="AP11" s="114">
        <f t="shared" si="24"/>
        <v>-8.2343182016562447E-3</v>
      </c>
      <c r="AQ11" s="115">
        <f t="shared" si="12"/>
        <v>-2232.9485373732205</v>
      </c>
      <c r="AR11" s="90">
        <f t="shared" si="25"/>
        <v>1.8585000000020955</v>
      </c>
    </row>
    <row r="12" spans="1:44" ht="15.75" x14ac:dyDescent="0.25">
      <c r="A12" t="str">
        <f t="shared" si="13"/>
        <v>46208M</v>
      </c>
      <c r="B12" s="51">
        <f t="shared" si="26"/>
        <v>46208</v>
      </c>
      <c r="C12" s="99" t="s">
        <v>87</v>
      </c>
      <c r="D12" s="105">
        <v>6617</v>
      </c>
      <c r="E12" s="106">
        <v>4.0999999999999996</v>
      </c>
      <c r="F12" s="106">
        <v>8.27</v>
      </c>
      <c r="G12" s="62">
        <f t="shared" si="0"/>
        <v>271.29699999999997</v>
      </c>
      <c r="H12" s="72">
        <f t="shared" si="1"/>
        <v>547.22590000000002</v>
      </c>
      <c r="I12" s="120">
        <v>3602.5000000000009</v>
      </c>
      <c r="J12" s="120">
        <v>3710.5750000000012</v>
      </c>
      <c r="K12" s="120">
        <v>4.753454545454546</v>
      </c>
      <c r="L12" s="120">
        <v>8.4201804302567638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3710.5750000000012</v>
      </c>
      <c r="S12" s="62">
        <f t="shared" si="15"/>
        <v>176.38049600000008</v>
      </c>
      <c r="T12" s="63">
        <f t="shared" si="16"/>
        <v>312.43711000000002</v>
      </c>
      <c r="U12" s="102" t="s">
        <v>198</v>
      </c>
      <c r="V12" s="103" t="s">
        <v>282</v>
      </c>
      <c r="W12" s="104" t="s">
        <v>184</v>
      </c>
      <c r="X12" s="112">
        <v>7050</v>
      </c>
      <c r="Y12" s="113">
        <v>4.2</v>
      </c>
      <c r="Z12" s="113">
        <v>8.3699999999999992</v>
      </c>
      <c r="AA12" s="62">
        <f t="shared" si="5"/>
        <v>296.10000000000002</v>
      </c>
      <c r="AB12" s="63">
        <f t="shared" si="6"/>
        <v>590.08499999999992</v>
      </c>
      <c r="AC12" s="69">
        <v>7010</v>
      </c>
      <c r="AD12" s="70">
        <v>4.1751069900142657</v>
      </c>
      <c r="AE12" s="70">
        <v>8.2450213980028551</v>
      </c>
      <c r="AF12" s="62">
        <f t="shared" si="17"/>
        <v>292.67500000000001</v>
      </c>
      <c r="AG12" s="63">
        <f t="shared" si="18"/>
        <v>577.97600000000011</v>
      </c>
      <c r="AH12" s="141">
        <v>3276</v>
      </c>
      <c r="AI12" s="138">
        <v>4.33</v>
      </c>
      <c r="AJ12" s="138">
        <v>8.32</v>
      </c>
      <c r="AK12" s="62">
        <f t="shared" si="19"/>
        <v>141.85079999999999</v>
      </c>
      <c r="AL12" s="72">
        <f t="shared" si="20"/>
        <v>272.56319999999999</v>
      </c>
      <c r="AM12" s="81">
        <f t="shared" si="21"/>
        <v>41.575000000000728</v>
      </c>
      <c r="AN12" s="80">
        <f t="shared" si="22"/>
        <v>13.151696000000015</v>
      </c>
      <c r="AO12" s="80">
        <f t="shared" si="23"/>
        <v>9.1238099999998781</v>
      </c>
      <c r="AP12" s="114">
        <f t="shared" si="24"/>
        <v>4.5570179401434839E-2</v>
      </c>
      <c r="AQ12" s="115">
        <f t="shared" si="12"/>
        <v>9052.3178388766719</v>
      </c>
      <c r="AR12" s="90">
        <f t="shared" si="25"/>
        <v>1.5750000000007276</v>
      </c>
    </row>
    <row r="13" spans="1:44" ht="15.75" x14ac:dyDescent="0.25">
      <c r="A13" t="str">
        <f t="shared" si="13"/>
        <v>46208E</v>
      </c>
      <c r="B13" s="51">
        <f t="shared" si="26"/>
        <v>46208</v>
      </c>
      <c r="C13" s="99" t="s">
        <v>88</v>
      </c>
      <c r="D13" s="105">
        <v>3276</v>
      </c>
      <c r="E13" s="106">
        <v>4.33</v>
      </c>
      <c r="F13" s="106">
        <v>8.32</v>
      </c>
      <c r="G13" s="62">
        <f t="shared" si="0"/>
        <v>141.85079999999999</v>
      </c>
      <c r="H13" s="72">
        <f t="shared" si="1"/>
        <v>272.56319999999999</v>
      </c>
      <c r="I13" s="120">
        <v>3925.3000000000006</v>
      </c>
      <c r="J13" s="120">
        <v>4043.0590000000007</v>
      </c>
      <c r="K13" s="120">
        <v>4.073772705270934</v>
      </c>
      <c r="L13" s="120">
        <v>8.3501350215270129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4043.0590000000007</v>
      </c>
      <c r="S13" s="62">
        <f t="shared" si="15"/>
        <v>164.70503399999998</v>
      </c>
      <c r="T13" s="63">
        <f t="shared" si="16"/>
        <v>337.60088549999989</v>
      </c>
      <c r="U13" s="102" t="s">
        <v>167</v>
      </c>
      <c r="V13" s="65" t="s">
        <v>167</v>
      </c>
      <c r="W13" s="138">
        <v>0</v>
      </c>
      <c r="X13" s="112">
        <v>0</v>
      </c>
      <c r="Y13" s="113">
        <v>0</v>
      </c>
      <c r="Z13" s="113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17"/>
        <v>0</v>
      </c>
      <c r="AG13" s="63">
        <f t="shared" si="18"/>
        <v>0</v>
      </c>
      <c r="AH13" s="141">
        <v>7317</v>
      </c>
      <c r="AI13" s="138">
        <v>4.18</v>
      </c>
      <c r="AJ13" s="138">
        <v>8.33</v>
      </c>
      <c r="AK13" s="62">
        <f t="shared" si="19"/>
        <v>305.85059999999999</v>
      </c>
      <c r="AL13" s="72">
        <f t="shared" si="20"/>
        <v>609.50609999999995</v>
      </c>
      <c r="AM13" s="81">
        <f t="shared" si="21"/>
        <v>2.0590000000011059</v>
      </c>
      <c r="AN13" s="80">
        <f t="shared" si="22"/>
        <v>0.70523400000001857</v>
      </c>
      <c r="AO13" s="80">
        <f t="shared" si="23"/>
        <v>0.65798549999988154</v>
      </c>
      <c r="AP13" s="114">
        <f t="shared" si="24"/>
        <v>2.7139228248730615E-3</v>
      </c>
      <c r="AQ13" s="115">
        <f t="shared" si="12"/>
        <v>535.94868937273759</v>
      </c>
      <c r="AR13" s="90">
        <f t="shared" si="25"/>
        <v>2.0590000000011059</v>
      </c>
    </row>
    <row r="14" spans="1:44" ht="15.75" x14ac:dyDescent="0.25">
      <c r="A14" t="str">
        <f t="shared" si="13"/>
        <v>46209M</v>
      </c>
      <c r="B14" s="51">
        <f t="shared" si="26"/>
        <v>46209</v>
      </c>
      <c r="C14" s="99" t="s">
        <v>87</v>
      </c>
      <c r="D14" s="91">
        <v>7317</v>
      </c>
      <c r="E14" s="62">
        <v>4.18</v>
      </c>
      <c r="F14" s="62">
        <v>8.33</v>
      </c>
      <c r="G14" s="62">
        <f t="shared" si="0"/>
        <v>305.85059999999999</v>
      </c>
      <c r="H14" s="72">
        <f t="shared" si="1"/>
        <v>609.50609999999995</v>
      </c>
      <c r="I14" s="120">
        <v>3711.85</v>
      </c>
      <c r="J14" s="120">
        <v>3823.2055</v>
      </c>
      <c r="K14" s="120">
        <v>4.5752387623422281</v>
      </c>
      <c r="L14" s="120">
        <v>8.3526691541953468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3823.2055</v>
      </c>
      <c r="S14" s="62">
        <f t="shared" si="15"/>
        <v>174.92078000000001</v>
      </c>
      <c r="T14" s="63">
        <f t="shared" si="16"/>
        <v>319.33970649999998</v>
      </c>
      <c r="U14" s="64" t="s">
        <v>199</v>
      </c>
      <c r="V14" s="65" t="s">
        <v>400</v>
      </c>
      <c r="W14" s="138" t="s">
        <v>184</v>
      </c>
      <c r="X14" s="67">
        <v>9810</v>
      </c>
      <c r="Y14" s="68">
        <v>4.4500000000000011</v>
      </c>
      <c r="Z14" s="68">
        <v>8.5500000000000025</v>
      </c>
      <c r="AA14" s="62">
        <f t="shared" si="5"/>
        <v>436.54500000000013</v>
      </c>
      <c r="AB14" s="63">
        <f t="shared" si="6"/>
        <v>838.75500000000022</v>
      </c>
      <c r="AC14" s="215">
        <v>9810</v>
      </c>
      <c r="AD14" s="216">
        <v>4.4500000000000011</v>
      </c>
      <c r="AE14" s="216">
        <v>8.5500000000000025</v>
      </c>
      <c r="AF14" s="62">
        <f t="shared" si="17"/>
        <v>436.54500000000013</v>
      </c>
      <c r="AG14" s="63">
        <f t="shared" si="18"/>
        <v>838.75500000000022</v>
      </c>
      <c r="AH14" s="141">
        <v>1328</v>
      </c>
      <c r="AI14" s="138">
        <v>4.3099999999999996</v>
      </c>
      <c r="AJ14" s="138">
        <v>8.34</v>
      </c>
      <c r="AK14" s="62">
        <f t="shared" si="19"/>
        <v>57.236800000000002</v>
      </c>
      <c r="AL14" s="72">
        <f t="shared" si="20"/>
        <v>110.7552</v>
      </c>
      <c r="AM14" s="81">
        <f t="shared" si="21"/>
        <v>2.2055000000000291</v>
      </c>
      <c r="AN14" s="80">
        <f t="shared" si="22"/>
        <v>-13.01042000000011</v>
      </c>
      <c r="AO14" s="80">
        <f t="shared" si="23"/>
        <v>-20.664393500000244</v>
      </c>
      <c r="AP14" s="114">
        <f t="shared" si="24"/>
        <v>-6.8131712770448938E-2</v>
      </c>
      <c r="AQ14" s="115">
        <f t="shared" si="12"/>
        <v>-12440.732140925957</v>
      </c>
      <c r="AR14" s="90">
        <f t="shared" ref="AR14:AR19" si="27">(D14+J14+O14)-(X14+AH14)</f>
        <v>2.2055000000000291</v>
      </c>
    </row>
    <row r="15" spans="1:44" ht="15.75" x14ac:dyDescent="0.25">
      <c r="A15" t="str">
        <f t="shared" si="13"/>
        <v>46209E</v>
      </c>
      <c r="B15" s="51">
        <f t="shared" si="26"/>
        <v>46209</v>
      </c>
      <c r="C15" s="99" t="s">
        <v>88</v>
      </c>
      <c r="D15" s="91">
        <v>1328</v>
      </c>
      <c r="E15" s="62">
        <v>4.3099999999999996</v>
      </c>
      <c r="F15" s="62">
        <v>8.34</v>
      </c>
      <c r="G15" s="62">
        <f t="shared" si="0"/>
        <v>57.236800000000002</v>
      </c>
      <c r="H15" s="72">
        <f t="shared" si="1"/>
        <v>110.7552</v>
      </c>
      <c r="I15" s="120">
        <v>6833.6000000000031</v>
      </c>
      <c r="J15" s="120">
        <v>7038.6080000000038</v>
      </c>
      <c r="K15" s="120">
        <v>4.1998178119878267</v>
      </c>
      <c r="L15" s="120">
        <v>8.3050639487239515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7038.6080000000038</v>
      </c>
      <c r="S15" s="62">
        <f t="shared" si="15"/>
        <v>295.60871250000025</v>
      </c>
      <c r="T15" s="63">
        <f t="shared" si="16"/>
        <v>584.56089550000024</v>
      </c>
      <c r="U15" s="64" t="s">
        <v>167</v>
      </c>
      <c r="V15" s="65" t="s">
        <v>167</v>
      </c>
      <c r="W15" s="138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141">
        <v>8364</v>
      </c>
      <c r="AI15" s="138">
        <v>4.21</v>
      </c>
      <c r="AJ15" s="138">
        <v>8.32</v>
      </c>
      <c r="AK15" s="62">
        <f t="shared" si="19"/>
        <v>352.12439999999998</v>
      </c>
      <c r="AL15" s="72">
        <f t="shared" si="20"/>
        <v>695.88479999999993</v>
      </c>
      <c r="AM15" s="81">
        <f t="shared" si="21"/>
        <v>2.6080000000038126</v>
      </c>
      <c r="AN15" s="80">
        <f t="shared" si="22"/>
        <v>0.72111250000028804</v>
      </c>
      <c r="AO15" s="80">
        <f t="shared" si="23"/>
        <v>-0.56870449999962602</v>
      </c>
      <c r="AP15" s="114">
        <f t="shared" si="24"/>
        <v>1.7315753533796402E-4</v>
      </c>
      <c r="AQ15" s="115">
        <f t="shared" si="12"/>
        <v>176.1960910327046</v>
      </c>
      <c r="AR15" s="90">
        <f t="shared" si="27"/>
        <v>2.6080000000038126</v>
      </c>
    </row>
    <row r="16" spans="1:44" ht="15.75" x14ac:dyDescent="0.25">
      <c r="A16" t="str">
        <f t="shared" si="13"/>
        <v>46210M</v>
      </c>
      <c r="B16" s="51">
        <f t="shared" si="26"/>
        <v>46210</v>
      </c>
      <c r="C16" s="99" t="s">
        <v>87</v>
      </c>
      <c r="D16" s="91">
        <v>8364</v>
      </c>
      <c r="E16" s="62">
        <v>4.21</v>
      </c>
      <c r="F16" s="62">
        <v>8.32</v>
      </c>
      <c r="G16" s="62">
        <f t="shared" si="0"/>
        <v>352.12439999999998</v>
      </c>
      <c r="H16" s="72">
        <f t="shared" si="1"/>
        <v>695.88479999999993</v>
      </c>
      <c r="I16" s="120">
        <v>8097.3999999999969</v>
      </c>
      <c r="J16" s="120">
        <v>8340.3219999999965</v>
      </c>
      <c r="K16" s="120">
        <v>4.196369822412132</v>
      </c>
      <c r="L16" s="120">
        <v>8.3173444562452108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8340.3219999999965</v>
      </c>
      <c r="S16" s="62">
        <f t="shared" si="15"/>
        <v>349.99075549999981</v>
      </c>
      <c r="T16" s="63">
        <f t="shared" si="16"/>
        <v>693.69330949999937</v>
      </c>
      <c r="U16" s="64" t="s">
        <v>401</v>
      </c>
      <c r="V16" s="65" t="s">
        <v>402</v>
      </c>
      <c r="W16" s="138" t="s">
        <v>184</v>
      </c>
      <c r="X16" s="67">
        <v>16400</v>
      </c>
      <c r="Y16" s="68">
        <v>4.38</v>
      </c>
      <c r="Z16" s="68">
        <v>8.52</v>
      </c>
      <c r="AA16" s="62">
        <f t="shared" si="5"/>
        <v>718.31999999999994</v>
      </c>
      <c r="AB16" s="63">
        <f t="shared" si="6"/>
        <v>1397.28</v>
      </c>
      <c r="AC16" s="69">
        <v>16270</v>
      </c>
      <c r="AD16" s="70">
        <v>4.2230485556238468</v>
      </c>
      <c r="AE16" s="70">
        <v>8.3649354640442528</v>
      </c>
      <c r="AF16" s="62">
        <f t="shared" si="17"/>
        <v>687.08999999999992</v>
      </c>
      <c r="AG16" s="63">
        <f t="shared" si="18"/>
        <v>1360.9749999999999</v>
      </c>
      <c r="AH16" s="141">
        <v>302</v>
      </c>
      <c r="AI16" s="138">
        <v>4.2</v>
      </c>
      <c r="AJ16" s="138">
        <v>8.32</v>
      </c>
      <c r="AK16" s="62">
        <f t="shared" si="19"/>
        <v>12.684000000000001</v>
      </c>
      <c r="AL16" s="72">
        <f t="shared" si="20"/>
        <v>25.1264</v>
      </c>
      <c r="AM16" s="81">
        <f t="shared" si="21"/>
        <v>132.32199999999648</v>
      </c>
      <c r="AN16" s="80">
        <f t="shared" si="22"/>
        <v>2.3411554999998678</v>
      </c>
      <c r="AO16" s="80">
        <f t="shared" si="23"/>
        <v>3.4767094999993908</v>
      </c>
      <c r="AP16" s="114">
        <f t="shared" si="24"/>
        <v>5.5743545341944674E-3</v>
      </c>
      <c r="AQ16" s="115">
        <f t="shared" si="12"/>
        <v>2166.2449577984444</v>
      </c>
      <c r="AR16" s="90">
        <f t="shared" si="27"/>
        <v>2.3219999999964784</v>
      </c>
    </row>
    <row r="17" spans="1:49" ht="15.75" x14ac:dyDescent="0.25">
      <c r="A17" t="str">
        <f t="shared" si="13"/>
        <v>46210E</v>
      </c>
      <c r="B17" s="51">
        <f t="shared" si="26"/>
        <v>46210</v>
      </c>
      <c r="C17" s="99" t="s">
        <v>88</v>
      </c>
      <c r="D17" s="91">
        <v>302</v>
      </c>
      <c r="E17" s="62">
        <v>4.2</v>
      </c>
      <c r="F17" s="62">
        <v>8.32</v>
      </c>
      <c r="G17" s="62">
        <f t="shared" si="0"/>
        <v>12.684000000000001</v>
      </c>
      <c r="H17" s="72">
        <f t="shared" si="1"/>
        <v>25.1264</v>
      </c>
      <c r="I17" s="120">
        <v>5826.4000000000015</v>
      </c>
      <c r="J17" s="120">
        <v>6001.1920000000018</v>
      </c>
      <c r="K17" s="120">
        <v>3.9776319854455595</v>
      </c>
      <c r="L17" s="120">
        <v>8.210090278731295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6001.1920000000018</v>
      </c>
      <c r="S17" s="62">
        <f t="shared" si="15"/>
        <v>238.70533250000014</v>
      </c>
      <c r="T17" s="63">
        <f t="shared" si="16"/>
        <v>492.70328100000035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141">
        <v>6301</v>
      </c>
      <c r="AI17" s="138">
        <v>4.2</v>
      </c>
      <c r="AJ17" s="138">
        <v>8.32</v>
      </c>
      <c r="AK17" s="62">
        <f t="shared" si="19"/>
        <v>264.642</v>
      </c>
      <c r="AL17" s="72">
        <f t="shared" si="20"/>
        <v>524.2432</v>
      </c>
      <c r="AM17" s="81">
        <f t="shared" si="21"/>
        <v>2.1920000000018263</v>
      </c>
      <c r="AN17" s="80">
        <f t="shared" si="22"/>
        <v>-13.252667499999859</v>
      </c>
      <c r="AO17" s="80">
        <f t="shared" si="23"/>
        <v>-6.4135189999996101</v>
      </c>
      <c r="AP17" s="114">
        <f t="shared" si="24"/>
        <v>-2.6888098030307728E-2</v>
      </c>
      <c r="AQ17" s="115">
        <f t="shared" si="12"/>
        <v>-8289.1299047834891</v>
      </c>
      <c r="AR17" s="90">
        <f t="shared" si="27"/>
        <v>2.1920000000018263</v>
      </c>
      <c r="AS17" s="90">
        <f>SUM(J4:J17)</f>
        <v>87988.883000000002</v>
      </c>
      <c r="AT17" s="83">
        <f>SUM(AM4:AM17)</f>
        <v>797.88300000000072</v>
      </c>
      <c r="AU17" s="83">
        <f>SUM(AN4:AN17)</f>
        <v>-10.935172999999356</v>
      </c>
      <c r="AV17" s="83">
        <f>SUM(AO4:AO17)</f>
        <v>2.5190049999997548</v>
      </c>
      <c r="AW17" s="83">
        <f>-SUM(AQ4:AQ17)</f>
        <v>4500.2869552645543</v>
      </c>
    </row>
    <row r="18" spans="1:49" ht="15.75" x14ac:dyDescent="0.25">
      <c r="A18" t="str">
        <f t="shared" si="13"/>
        <v>46211M</v>
      </c>
      <c r="B18" s="51">
        <f t="shared" si="26"/>
        <v>46211</v>
      </c>
      <c r="C18" s="99" t="s">
        <v>87</v>
      </c>
      <c r="D18" s="91">
        <v>6301</v>
      </c>
      <c r="E18" s="62">
        <v>4.2</v>
      </c>
      <c r="F18" s="62">
        <v>8.32</v>
      </c>
      <c r="G18" s="62">
        <f t="shared" si="0"/>
        <v>264.642</v>
      </c>
      <c r="H18" s="72">
        <f t="shared" si="1"/>
        <v>524.2432</v>
      </c>
      <c r="I18" s="120">
        <v>4052.2</v>
      </c>
      <c r="J18" s="120">
        <v>4173.7659999999996</v>
      </c>
      <c r="K18" s="120">
        <v>4.4608138788806082</v>
      </c>
      <c r="L18" s="120">
        <v>8.3976074724840846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4173.7659999999996</v>
      </c>
      <c r="S18" s="62">
        <f t="shared" si="15"/>
        <v>186.183933</v>
      </c>
      <c r="T18" s="63">
        <f t="shared" si="16"/>
        <v>350.49648550000006</v>
      </c>
      <c r="U18" s="64" t="s">
        <v>199</v>
      </c>
      <c r="V18" s="65" t="s">
        <v>403</v>
      </c>
      <c r="W18" s="138" t="s">
        <v>184</v>
      </c>
      <c r="X18" s="67">
        <v>9810</v>
      </c>
      <c r="Y18" s="68">
        <v>4.2</v>
      </c>
      <c r="Z18" s="68">
        <v>8.5000000000000018</v>
      </c>
      <c r="AA18" s="62">
        <f t="shared" si="5"/>
        <v>412.02000000000004</v>
      </c>
      <c r="AB18" s="63">
        <f t="shared" si="6"/>
        <v>833.85000000000025</v>
      </c>
      <c r="AC18" s="69">
        <v>9740</v>
      </c>
      <c r="AD18" s="70">
        <v>4.2</v>
      </c>
      <c r="AE18" s="70">
        <v>8.2499999999999982</v>
      </c>
      <c r="AF18" s="62">
        <f t="shared" si="17"/>
        <v>409.08000000000004</v>
      </c>
      <c r="AG18" s="63">
        <f t="shared" si="18"/>
        <v>803.54999999999973</v>
      </c>
      <c r="AH18" s="141">
        <v>663</v>
      </c>
      <c r="AI18" s="138">
        <v>4.3</v>
      </c>
      <c r="AJ18" s="138">
        <v>8.35</v>
      </c>
      <c r="AK18" s="62">
        <f t="shared" si="19"/>
        <v>28.508999999999997</v>
      </c>
      <c r="AL18" s="72">
        <f t="shared" si="20"/>
        <v>55.360499999999995</v>
      </c>
      <c r="AM18" s="81">
        <f t="shared" si="21"/>
        <v>71.765999999999622</v>
      </c>
      <c r="AN18" s="80">
        <f t="shared" si="22"/>
        <v>13.236932999999926</v>
      </c>
      <c r="AO18" s="80">
        <f t="shared" si="23"/>
        <v>15.829185500000342</v>
      </c>
      <c r="AP18" s="114">
        <f t="shared" si="24"/>
        <v>5.4159081453426017E-2</v>
      </c>
      <c r="AQ18" s="115">
        <f t="shared" si="12"/>
        <v>11101.477259107021</v>
      </c>
      <c r="AR18" s="90">
        <f t="shared" si="27"/>
        <v>1.7659999999996217</v>
      </c>
    </row>
    <row r="19" spans="1:49" ht="15.75" x14ac:dyDescent="0.25">
      <c r="A19" t="str">
        <f t="shared" si="13"/>
        <v>46211E</v>
      </c>
      <c r="B19" s="51">
        <f t="shared" si="26"/>
        <v>46211</v>
      </c>
      <c r="C19" s="99" t="s">
        <v>88</v>
      </c>
      <c r="D19" s="91">
        <v>663</v>
      </c>
      <c r="E19" s="62">
        <v>4.3</v>
      </c>
      <c r="F19" s="62">
        <v>8.35</v>
      </c>
      <c r="G19" s="62">
        <f t="shared" si="0"/>
        <v>28.508999999999997</v>
      </c>
      <c r="H19" s="72">
        <f t="shared" si="1"/>
        <v>55.360499999999995</v>
      </c>
      <c r="I19" s="120">
        <v>6486.7999999999984</v>
      </c>
      <c r="J19" s="120">
        <v>6681.4039999999986</v>
      </c>
      <c r="K19" s="120">
        <v>4.2616058765492983</v>
      </c>
      <c r="L19" s="120">
        <v>8.3836945797619755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6681.4039999999986</v>
      </c>
      <c r="S19" s="62">
        <f t="shared" si="15"/>
        <v>284.73510549999986</v>
      </c>
      <c r="T19" s="63">
        <f t="shared" si="16"/>
        <v>560.14850499999977</v>
      </c>
      <c r="U19" s="64" t="s">
        <v>198</v>
      </c>
      <c r="V19" s="65" t="s">
        <v>404</v>
      </c>
      <c r="W19" s="66" t="s">
        <v>184</v>
      </c>
      <c r="X19" s="67">
        <v>7200</v>
      </c>
      <c r="Y19" s="68">
        <v>4.45</v>
      </c>
      <c r="Z19" s="68">
        <v>8.42</v>
      </c>
      <c r="AA19" s="62">
        <f t="shared" si="5"/>
        <v>320.40000000000003</v>
      </c>
      <c r="AB19" s="63">
        <f t="shared" si="6"/>
        <v>606.24</v>
      </c>
      <c r="AC19" s="69">
        <v>7180</v>
      </c>
      <c r="AD19" s="70">
        <v>4.3756267409470757</v>
      </c>
      <c r="AE19" s="70">
        <v>8.4051253481894168</v>
      </c>
      <c r="AF19" s="62">
        <f t="shared" si="17"/>
        <v>314.17</v>
      </c>
      <c r="AG19" s="63">
        <f t="shared" si="18"/>
        <v>603.48800000000017</v>
      </c>
      <c r="AH19" s="141">
        <v>143</v>
      </c>
      <c r="AI19" s="138">
        <v>4.2699999999999996</v>
      </c>
      <c r="AJ19" s="138">
        <v>8.3699999999999992</v>
      </c>
      <c r="AK19" s="62">
        <f t="shared" si="19"/>
        <v>6.1060999999999996</v>
      </c>
      <c r="AL19" s="72">
        <f t="shared" si="20"/>
        <v>11.969099999999999</v>
      </c>
      <c r="AM19" s="81">
        <f t="shared" si="21"/>
        <v>21.403999999998632</v>
      </c>
      <c r="AN19" s="80">
        <f t="shared" si="22"/>
        <v>-7.03199450000014</v>
      </c>
      <c r="AO19" s="80">
        <f t="shared" si="23"/>
        <v>5.1904999999605295E-2</v>
      </c>
      <c r="AP19" s="114">
        <f t="shared" si="24"/>
        <v>-8.2615988915558901E-3</v>
      </c>
      <c r="AQ19" s="115">
        <f t="shared" si="12"/>
        <v>-3363.5571381211535</v>
      </c>
      <c r="AR19" s="90">
        <f t="shared" si="27"/>
        <v>1.4039999999986321</v>
      </c>
    </row>
    <row r="20" spans="1:49" ht="15.75" x14ac:dyDescent="0.25">
      <c r="A20" t="str">
        <f t="shared" si="13"/>
        <v>46212M</v>
      </c>
      <c r="B20" s="51">
        <f t="shared" si="26"/>
        <v>46212</v>
      </c>
      <c r="C20" s="99" t="s">
        <v>87</v>
      </c>
      <c r="D20" s="91">
        <v>143</v>
      </c>
      <c r="E20" s="62">
        <v>4.2699999999999996</v>
      </c>
      <c r="F20" s="62">
        <v>8.3699999999999992</v>
      </c>
      <c r="G20" s="62">
        <f t="shared" si="0"/>
        <v>6.1060999999999996</v>
      </c>
      <c r="H20" s="72">
        <f t="shared" si="1"/>
        <v>11.969099999999999</v>
      </c>
      <c r="I20" s="120">
        <v>7236.2</v>
      </c>
      <c r="J20" s="120">
        <v>7453.2860000000001</v>
      </c>
      <c r="K20" s="120">
        <v>4.1935193886293929</v>
      </c>
      <c r="L20" s="120">
        <v>8.322994803902608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7453.2860000000001</v>
      </c>
      <c r="S20" s="62">
        <f t="shared" si="15"/>
        <v>312.55499350000014</v>
      </c>
      <c r="T20" s="63">
        <f t="shared" si="16"/>
        <v>620.33660650000058</v>
      </c>
      <c r="U20" s="64" t="s">
        <v>198</v>
      </c>
      <c r="V20" s="65" t="s">
        <v>405</v>
      </c>
      <c r="W20" s="138" t="s">
        <v>184</v>
      </c>
      <c r="X20" s="67">
        <v>7200</v>
      </c>
      <c r="Y20" s="68">
        <v>4.4000000000000004</v>
      </c>
      <c r="Z20" s="68">
        <v>8.5399999999999991</v>
      </c>
      <c r="AA20" s="62">
        <f t="shared" si="5"/>
        <v>316.8</v>
      </c>
      <c r="AB20" s="63">
        <f t="shared" si="6"/>
        <v>614.87999999999988</v>
      </c>
      <c r="AC20" s="215">
        <v>7200</v>
      </c>
      <c r="AD20" s="216">
        <v>4.4000000000000004</v>
      </c>
      <c r="AE20" s="216">
        <v>8.5399999999999991</v>
      </c>
      <c r="AF20" s="62">
        <f t="shared" si="17"/>
        <v>316.8</v>
      </c>
      <c r="AG20" s="63">
        <f t="shared" si="18"/>
        <v>614.87999999999988</v>
      </c>
      <c r="AH20" s="141">
        <v>394</v>
      </c>
      <c r="AI20" s="138">
        <v>4.2</v>
      </c>
      <c r="AJ20" s="138">
        <v>8.33</v>
      </c>
      <c r="AK20" s="62">
        <f t="shared" si="19"/>
        <v>16.548000000000002</v>
      </c>
      <c r="AL20" s="72">
        <f t="shared" si="20"/>
        <v>32.8202</v>
      </c>
      <c r="AM20" s="81">
        <f t="shared" si="21"/>
        <v>2.2860000000000582</v>
      </c>
      <c r="AN20" s="80">
        <f t="shared" si="22"/>
        <v>-14.68690649999985</v>
      </c>
      <c r="AO20" s="80">
        <f t="shared" si="23"/>
        <v>-15.394493499999271</v>
      </c>
      <c r="AP20" s="114">
        <f t="shared" si="24"/>
        <v>-3.2245332683882133E-2</v>
      </c>
      <c r="AQ20" s="115">
        <f t="shared" si="12"/>
        <v>-11668.0503331617</v>
      </c>
      <c r="AR20" s="90">
        <f>(D20+J20+O20)-(X20+AH20)</f>
        <v>2.2860000000000582</v>
      </c>
    </row>
    <row r="21" spans="1:49" ht="15.75" x14ac:dyDescent="0.25">
      <c r="A21" t="str">
        <f t="shared" si="13"/>
        <v>46212E</v>
      </c>
      <c r="B21" s="51">
        <f t="shared" si="26"/>
        <v>46212</v>
      </c>
      <c r="C21" s="99" t="s">
        <v>88</v>
      </c>
      <c r="D21" s="91">
        <v>394</v>
      </c>
      <c r="E21" s="62">
        <v>4.2</v>
      </c>
      <c r="F21" s="62">
        <v>8.33</v>
      </c>
      <c r="G21" s="62">
        <f t="shared" si="0"/>
        <v>16.548000000000002</v>
      </c>
      <c r="H21" s="72">
        <f t="shared" si="1"/>
        <v>32.8202</v>
      </c>
      <c r="I21" s="120">
        <v>6963.8499999999985</v>
      </c>
      <c r="J21" s="120">
        <v>7172.7654999999986</v>
      </c>
      <c r="K21" s="120">
        <v>3.9272062149529359</v>
      </c>
      <c r="L21" s="120">
        <v>8.2049024605641989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7172.7654999999986</v>
      </c>
      <c r="S21" s="62">
        <f t="shared" si="15"/>
        <v>281.68929249999997</v>
      </c>
      <c r="T21" s="63">
        <f t="shared" si="16"/>
        <v>588.5184129999999</v>
      </c>
      <c r="U21" s="64" t="s">
        <v>167</v>
      </c>
      <c r="V21" s="65" t="s">
        <v>167</v>
      </c>
      <c r="W21" s="104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141">
        <v>7380</v>
      </c>
      <c r="AI21" s="138">
        <v>4.07</v>
      </c>
      <c r="AJ21" s="138">
        <v>8.34</v>
      </c>
      <c r="AK21" s="62">
        <f t="shared" si="19"/>
        <v>300.36599999999999</v>
      </c>
      <c r="AL21" s="72">
        <f t="shared" si="20"/>
        <v>615.49199999999996</v>
      </c>
      <c r="AM21" s="81">
        <f t="shared" si="21"/>
        <v>186.76549999999861</v>
      </c>
      <c r="AN21" s="80">
        <f t="shared" si="22"/>
        <v>-2.1287075000000186</v>
      </c>
      <c r="AO21" s="80">
        <f t="shared" si="23"/>
        <v>5.8466129999999339</v>
      </c>
      <c r="AP21" s="114">
        <f t="shared" si="24"/>
        <v>4.2724345883190023E-3</v>
      </c>
      <c r="AQ21" s="115">
        <f t="shared" si="12"/>
        <v>728.0953083928099</v>
      </c>
      <c r="AR21" s="90">
        <f>(D21+J21+O21)-(X21+AH21)</f>
        <v>186.76549999999861</v>
      </c>
    </row>
    <row r="22" spans="1:49" ht="15.75" x14ac:dyDescent="0.25">
      <c r="A22" t="str">
        <f t="shared" si="13"/>
        <v>46213M</v>
      </c>
      <c r="B22" s="51">
        <f t="shared" si="26"/>
        <v>46213</v>
      </c>
      <c r="C22" s="99" t="s">
        <v>87</v>
      </c>
      <c r="D22" s="91"/>
      <c r="E22" s="62"/>
      <c r="F22" s="62"/>
      <c r="G22" s="62">
        <f t="shared" si="0"/>
        <v>0</v>
      </c>
      <c r="H22" s="72">
        <f t="shared" si="1"/>
        <v>0</v>
      </c>
      <c r="I22" s="120"/>
      <c r="J22" s="120"/>
      <c r="K22" s="120"/>
      <c r="L22" s="120"/>
      <c r="M22" s="58"/>
      <c r="N22" s="58"/>
      <c r="O22" s="59"/>
      <c r="P22" s="56"/>
      <c r="Q22" s="60"/>
      <c r="R22" s="61">
        <f t="shared" si="14"/>
        <v>0</v>
      </c>
      <c r="S22" s="62">
        <f t="shared" si="15"/>
        <v>0</v>
      </c>
      <c r="T22" s="63">
        <f t="shared" si="16"/>
        <v>0</v>
      </c>
      <c r="U22" s="64"/>
      <c r="V22" s="65"/>
      <c r="W22" s="138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141"/>
      <c r="AI22" s="138"/>
      <c r="AJ22" s="138"/>
      <c r="AK22" s="62">
        <f t="shared" si="19"/>
        <v>0</v>
      </c>
      <c r="AL22" s="72">
        <f t="shared" si="20"/>
        <v>0</v>
      </c>
      <c r="AM22" s="81">
        <f t="shared" si="21"/>
        <v>0</v>
      </c>
      <c r="AN22" s="80">
        <f t="shared" si="22"/>
        <v>0</v>
      </c>
      <c r="AO22" s="80">
        <f t="shared" si="23"/>
        <v>0</v>
      </c>
      <c r="AP22" s="114" t="e">
        <f t="shared" si="24"/>
        <v>#DIV/0!</v>
      </c>
      <c r="AQ22" s="115">
        <f t="shared" si="12"/>
        <v>0</v>
      </c>
      <c r="AR22" s="90">
        <f t="shared" ref="AR22:AR57" si="28">(D22+J22+O22)-(X22+AH22)</f>
        <v>0</v>
      </c>
    </row>
    <row r="23" spans="1:49" ht="15.75" x14ac:dyDescent="0.25">
      <c r="A23" t="str">
        <f t="shared" si="13"/>
        <v>46213E</v>
      </c>
      <c r="B23" s="51">
        <f t="shared" si="26"/>
        <v>46213</v>
      </c>
      <c r="C23" s="99" t="s">
        <v>88</v>
      </c>
      <c r="D23" s="91"/>
      <c r="E23" s="62"/>
      <c r="F23" s="62"/>
      <c r="G23" s="62">
        <f t="shared" si="0"/>
        <v>0</v>
      </c>
      <c r="H23" s="72">
        <f t="shared" si="1"/>
        <v>0</v>
      </c>
      <c r="I23" s="120"/>
      <c r="J23" s="120"/>
      <c r="K23" s="120"/>
      <c r="L23" s="120"/>
      <c r="M23" s="58"/>
      <c r="N23" s="58"/>
      <c r="O23" s="59"/>
      <c r="P23" s="56"/>
      <c r="Q23" s="60"/>
      <c r="R23" s="61">
        <f t="shared" si="14"/>
        <v>0</v>
      </c>
      <c r="S23" s="62">
        <f t="shared" si="15"/>
        <v>0</v>
      </c>
      <c r="T23" s="63">
        <f t="shared" si="16"/>
        <v>0</v>
      </c>
      <c r="U23" s="64"/>
      <c r="V23" s="65"/>
      <c r="W23" s="104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141"/>
      <c r="AI23" s="138"/>
      <c r="AJ23" s="138"/>
      <c r="AK23" s="62">
        <f t="shared" si="19"/>
        <v>0</v>
      </c>
      <c r="AL23" s="72">
        <f t="shared" si="20"/>
        <v>0</v>
      </c>
      <c r="AM23" s="81">
        <f t="shared" si="21"/>
        <v>0</v>
      </c>
      <c r="AN23" s="80">
        <f t="shared" si="22"/>
        <v>0</v>
      </c>
      <c r="AO23" s="80">
        <f t="shared" si="23"/>
        <v>0</v>
      </c>
      <c r="AP23" s="114" t="e">
        <f t="shared" si="24"/>
        <v>#DIV/0!</v>
      </c>
      <c r="AQ23" s="115">
        <f t="shared" si="12"/>
        <v>0</v>
      </c>
      <c r="AR23" s="90">
        <f t="shared" si="28"/>
        <v>0</v>
      </c>
    </row>
    <row r="24" spans="1:49" ht="15.75" x14ac:dyDescent="0.25">
      <c r="A24" t="str">
        <f t="shared" si="13"/>
        <v>46214M</v>
      </c>
      <c r="B24" s="51">
        <f t="shared" si="26"/>
        <v>46214</v>
      </c>
      <c r="C24" s="99" t="s">
        <v>87</v>
      </c>
      <c r="D24" s="91"/>
      <c r="E24" s="62"/>
      <c r="F24" s="62"/>
      <c r="G24" s="62">
        <f t="shared" si="0"/>
        <v>0</v>
      </c>
      <c r="H24" s="72">
        <f t="shared" si="1"/>
        <v>0</v>
      </c>
      <c r="I24" s="120"/>
      <c r="J24" s="120"/>
      <c r="K24" s="120"/>
      <c r="L24" s="120"/>
      <c r="M24" s="58"/>
      <c r="N24" s="58"/>
      <c r="O24" s="59"/>
      <c r="P24" s="56"/>
      <c r="Q24" s="60"/>
      <c r="R24" s="61">
        <f t="shared" si="14"/>
        <v>0</v>
      </c>
      <c r="S24" s="62">
        <f t="shared" si="15"/>
        <v>0</v>
      </c>
      <c r="T24" s="63">
        <f t="shared" si="16"/>
        <v>0</v>
      </c>
      <c r="U24" s="64"/>
      <c r="V24" s="65"/>
      <c r="W24" s="104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141"/>
      <c r="AI24" s="138"/>
      <c r="AJ24" s="138"/>
      <c r="AK24" s="62">
        <f t="shared" si="19"/>
        <v>0</v>
      </c>
      <c r="AL24" s="72">
        <f t="shared" si="20"/>
        <v>0</v>
      </c>
      <c r="AM24" s="81">
        <f t="shared" si="21"/>
        <v>0</v>
      </c>
      <c r="AN24" s="80">
        <f t="shared" si="22"/>
        <v>0</v>
      </c>
      <c r="AO24" s="80">
        <f t="shared" si="23"/>
        <v>0</v>
      </c>
      <c r="AP24" s="114" t="e">
        <f t="shared" si="24"/>
        <v>#DIV/0!</v>
      </c>
      <c r="AQ24" s="115">
        <f t="shared" si="12"/>
        <v>0</v>
      </c>
      <c r="AR24" s="90">
        <f t="shared" si="28"/>
        <v>0</v>
      </c>
    </row>
    <row r="25" spans="1:49" ht="15.75" x14ac:dyDescent="0.25">
      <c r="A25" t="str">
        <f t="shared" si="13"/>
        <v>46214E</v>
      </c>
      <c r="B25" s="51">
        <f t="shared" si="26"/>
        <v>46214</v>
      </c>
      <c r="C25" s="99" t="s">
        <v>88</v>
      </c>
      <c r="D25" s="91"/>
      <c r="E25" s="62"/>
      <c r="F25" s="62"/>
      <c r="G25" s="62">
        <f t="shared" si="0"/>
        <v>0</v>
      </c>
      <c r="H25" s="72">
        <f t="shared" si="1"/>
        <v>0</v>
      </c>
      <c r="I25" s="120"/>
      <c r="J25" s="120"/>
      <c r="K25" s="120"/>
      <c r="L25" s="120"/>
      <c r="M25" s="58"/>
      <c r="N25" s="58"/>
      <c r="O25" s="59"/>
      <c r="P25" s="56"/>
      <c r="Q25" s="60"/>
      <c r="R25" s="61">
        <f t="shared" si="14"/>
        <v>0</v>
      </c>
      <c r="S25" s="62">
        <f t="shared" si="15"/>
        <v>0</v>
      </c>
      <c r="T25" s="63">
        <f t="shared" si="16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141"/>
      <c r="AI25" s="138"/>
      <c r="AJ25" s="138"/>
      <c r="AK25" s="62">
        <f t="shared" si="19"/>
        <v>0</v>
      </c>
      <c r="AL25" s="72">
        <f t="shared" si="20"/>
        <v>0</v>
      </c>
      <c r="AM25" s="81">
        <f t="shared" si="21"/>
        <v>0</v>
      </c>
      <c r="AN25" s="80">
        <f t="shared" si="22"/>
        <v>0</v>
      </c>
      <c r="AO25" s="80">
        <f t="shared" si="23"/>
        <v>0</v>
      </c>
      <c r="AP25" s="114" t="e">
        <f t="shared" si="24"/>
        <v>#DIV/0!</v>
      </c>
      <c r="AQ25" s="115">
        <f t="shared" si="12"/>
        <v>0</v>
      </c>
      <c r="AR25" s="90">
        <f t="shared" si="28"/>
        <v>0</v>
      </c>
      <c r="AS25" s="90">
        <f>SUM(J12:J25)</f>
        <v>58438.183000000005</v>
      </c>
      <c r="AT25" s="83">
        <f>SUM(AM12:AM25)</f>
        <v>465.1830000000009</v>
      </c>
      <c r="AU25" s="83">
        <f>SUM(AN12:AN25)</f>
        <v>-19.95456499999986</v>
      </c>
      <c r="AV25" s="83">
        <f>SUM(AO12:AO25)</f>
        <v>-8.0549019999997196</v>
      </c>
      <c r="AW25" s="83">
        <f>-SUM(AQ12:AQ25)</f>
        <v>12001.189372411909</v>
      </c>
    </row>
    <row r="26" spans="1:49" ht="15.75" x14ac:dyDescent="0.25">
      <c r="A26" t="str">
        <f t="shared" si="13"/>
        <v>46215M</v>
      </c>
      <c r="B26" s="51">
        <f t="shared" si="26"/>
        <v>46215</v>
      </c>
      <c r="C26" s="99" t="s">
        <v>87</v>
      </c>
      <c r="D26" s="91"/>
      <c r="E26" s="62"/>
      <c r="F26" s="62"/>
      <c r="G26" s="62">
        <f t="shared" si="0"/>
        <v>0</v>
      </c>
      <c r="H26" s="72">
        <f t="shared" si="1"/>
        <v>0</v>
      </c>
      <c r="I26" s="120"/>
      <c r="J26" s="120"/>
      <c r="K26" s="120"/>
      <c r="L26" s="120"/>
      <c r="M26" s="58"/>
      <c r="N26" s="58"/>
      <c r="O26" s="59"/>
      <c r="P26" s="56"/>
      <c r="Q26" s="60"/>
      <c r="R26" s="61">
        <f t="shared" si="14"/>
        <v>0</v>
      </c>
      <c r="S26" s="62">
        <f t="shared" si="15"/>
        <v>0</v>
      </c>
      <c r="T26" s="63">
        <f t="shared" si="16"/>
        <v>0</v>
      </c>
      <c r="U26" s="64"/>
      <c r="V26" s="65"/>
      <c r="W26" s="138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141"/>
      <c r="AI26" s="138"/>
      <c r="AJ26" s="138"/>
      <c r="AK26" s="62">
        <f t="shared" si="19"/>
        <v>0</v>
      </c>
      <c r="AL26" s="72">
        <f t="shared" si="20"/>
        <v>0</v>
      </c>
      <c r="AM26" s="81">
        <f t="shared" si="21"/>
        <v>0</v>
      </c>
      <c r="AN26" s="80">
        <f t="shared" si="22"/>
        <v>0</v>
      </c>
      <c r="AO26" s="80">
        <f t="shared" si="23"/>
        <v>0</v>
      </c>
      <c r="AP26" s="114" t="e">
        <f t="shared" si="24"/>
        <v>#DIV/0!</v>
      </c>
      <c r="AQ26" s="115">
        <f t="shared" si="12"/>
        <v>0</v>
      </c>
      <c r="AR26" s="90">
        <f t="shared" si="28"/>
        <v>0</v>
      </c>
    </row>
    <row r="27" spans="1:49" ht="15.75" x14ac:dyDescent="0.25">
      <c r="A27" t="str">
        <f t="shared" si="13"/>
        <v>46215E</v>
      </c>
      <c r="B27" s="51">
        <f t="shared" si="26"/>
        <v>46215</v>
      </c>
      <c r="C27" s="99" t="s">
        <v>88</v>
      </c>
      <c r="D27" s="91"/>
      <c r="E27" s="62"/>
      <c r="F27" s="62"/>
      <c r="G27" s="62">
        <f t="shared" si="0"/>
        <v>0</v>
      </c>
      <c r="H27" s="72">
        <f t="shared" si="1"/>
        <v>0</v>
      </c>
      <c r="I27" s="120"/>
      <c r="J27" s="120"/>
      <c r="K27" s="120"/>
      <c r="L27" s="120"/>
      <c r="M27" s="58"/>
      <c r="N27" s="58"/>
      <c r="O27" s="59"/>
      <c r="P27" s="56"/>
      <c r="Q27" s="60"/>
      <c r="R27" s="61">
        <f t="shared" si="14"/>
        <v>0</v>
      </c>
      <c r="S27" s="62">
        <f t="shared" si="15"/>
        <v>0</v>
      </c>
      <c r="T27" s="63">
        <f t="shared" si="16"/>
        <v>0</v>
      </c>
      <c r="U27" s="64"/>
      <c r="V27" s="65"/>
      <c r="W27" s="104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141"/>
      <c r="AI27" s="138"/>
      <c r="AJ27" s="138"/>
      <c r="AK27" s="62">
        <f t="shared" si="19"/>
        <v>0</v>
      </c>
      <c r="AL27" s="72">
        <f t="shared" si="20"/>
        <v>0</v>
      </c>
      <c r="AM27" s="81">
        <f t="shared" si="21"/>
        <v>0</v>
      </c>
      <c r="AN27" s="80">
        <f t="shared" si="22"/>
        <v>0</v>
      </c>
      <c r="AO27" s="80">
        <f t="shared" si="23"/>
        <v>0</v>
      </c>
      <c r="AP27" s="114" t="e">
        <f t="shared" si="24"/>
        <v>#DIV/0!</v>
      </c>
      <c r="AQ27" s="115">
        <f t="shared" si="12"/>
        <v>0</v>
      </c>
      <c r="AR27" s="90">
        <f>(D27+J27+O27)-(X27+AH27)</f>
        <v>0</v>
      </c>
    </row>
    <row r="28" spans="1:49" ht="15.75" x14ac:dyDescent="0.25">
      <c r="A28" t="str">
        <f t="shared" si="13"/>
        <v>46216M</v>
      </c>
      <c r="B28" s="51">
        <f t="shared" si="26"/>
        <v>46216</v>
      </c>
      <c r="C28" s="99" t="s">
        <v>87</v>
      </c>
      <c r="D28" s="91"/>
      <c r="E28" s="62"/>
      <c r="F28" s="62"/>
      <c r="G28" s="62">
        <f t="shared" si="0"/>
        <v>0</v>
      </c>
      <c r="H28" s="72">
        <f t="shared" si="1"/>
        <v>0</v>
      </c>
      <c r="I28" s="120"/>
      <c r="J28" s="120"/>
      <c r="K28" s="120"/>
      <c r="L28" s="120"/>
      <c r="M28" s="58"/>
      <c r="N28" s="58"/>
      <c r="O28" s="59"/>
      <c r="P28" s="56"/>
      <c r="Q28" s="60"/>
      <c r="R28" s="61">
        <f t="shared" si="14"/>
        <v>0</v>
      </c>
      <c r="S28" s="62">
        <f t="shared" si="15"/>
        <v>0</v>
      </c>
      <c r="T28" s="63">
        <f t="shared" si="16"/>
        <v>0</v>
      </c>
      <c r="U28" s="64"/>
      <c r="V28" s="65"/>
      <c r="W28" s="138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141"/>
      <c r="AI28" s="138"/>
      <c r="AJ28" s="138"/>
      <c r="AK28" s="62">
        <f t="shared" si="19"/>
        <v>0</v>
      </c>
      <c r="AL28" s="72">
        <f t="shared" si="20"/>
        <v>0</v>
      </c>
      <c r="AM28" s="81">
        <f t="shared" si="21"/>
        <v>0</v>
      </c>
      <c r="AN28" s="80">
        <f t="shared" si="22"/>
        <v>0</v>
      </c>
      <c r="AO28" s="80">
        <f t="shared" si="23"/>
        <v>0</v>
      </c>
      <c r="AP28" s="114" t="e">
        <f t="shared" si="24"/>
        <v>#DIV/0!</v>
      </c>
      <c r="AQ28" s="115">
        <f t="shared" si="12"/>
        <v>0</v>
      </c>
      <c r="AR28" s="90">
        <f>(D28+J28+O28)-(X28+AH28)</f>
        <v>0</v>
      </c>
    </row>
    <row r="29" spans="1:49" ht="15.75" x14ac:dyDescent="0.25">
      <c r="A29" t="str">
        <f t="shared" si="13"/>
        <v>46216E</v>
      </c>
      <c r="B29" s="51">
        <f t="shared" si="26"/>
        <v>46216</v>
      </c>
      <c r="C29" s="99" t="s">
        <v>88</v>
      </c>
      <c r="D29" s="91"/>
      <c r="E29" s="62"/>
      <c r="F29" s="62"/>
      <c r="G29" s="62">
        <f t="shared" si="0"/>
        <v>0</v>
      </c>
      <c r="H29" s="72">
        <f t="shared" si="1"/>
        <v>0</v>
      </c>
      <c r="I29" s="120"/>
      <c r="J29" s="120"/>
      <c r="K29" s="120"/>
      <c r="L29" s="120"/>
      <c r="M29" s="58"/>
      <c r="N29" s="58"/>
      <c r="O29" s="59"/>
      <c r="P29" s="56"/>
      <c r="Q29" s="60"/>
      <c r="R29" s="61">
        <f t="shared" si="14"/>
        <v>0</v>
      </c>
      <c r="S29" s="62">
        <f t="shared" si="15"/>
        <v>0</v>
      </c>
      <c r="T29" s="63">
        <f t="shared" si="16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141"/>
      <c r="AI29" s="138"/>
      <c r="AJ29" s="138"/>
      <c r="AK29" s="62">
        <f t="shared" si="19"/>
        <v>0</v>
      </c>
      <c r="AL29" s="72">
        <f t="shared" si="20"/>
        <v>0</v>
      </c>
      <c r="AM29" s="81">
        <f t="shared" si="21"/>
        <v>0</v>
      </c>
      <c r="AN29" s="80">
        <f t="shared" si="22"/>
        <v>0</v>
      </c>
      <c r="AO29" s="80">
        <f t="shared" si="23"/>
        <v>0</v>
      </c>
      <c r="AP29" s="114" t="e">
        <f t="shared" si="24"/>
        <v>#DIV/0!</v>
      </c>
      <c r="AQ29" s="115">
        <f t="shared" si="12"/>
        <v>0</v>
      </c>
      <c r="AR29" s="90">
        <f t="shared" si="28"/>
        <v>0</v>
      </c>
    </row>
    <row r="30" spans="1:49" ht="15.75" x14ac:dyDescent="0.25">
      <c r="A30" t="str">
        <f t="shared" si="13"/>
        <v>46217M</v>
      </c>
      <c r="B30" s="51">
        <f t="shared" si="26"/>
        <v>46217</v>
      </c>
      <c r="C30" s="99" t="s">
        <v>87</v>
      </c>
      <c r="D30" s="91"/>
      <c r="E30" s="62"/>
      <c r="F30" s="62"/>
      <c r="G30" s="62">
        <f t="shared" ref="G30:G47" si="29">+D30*E30%</f>
        <v>0</v>
      </c>
      <c r="H30" s="72">
        <f t="shared" ref="H30:H47" si="30">+D30*F30%</f>
        <v>0</v>
      </c>
      <c r="I30" s="120"/>
      <c r="J30" s="120"/>
      <c r="K30" s="120"/>
      <c r="L30" s="120"/>
      <c r="M30" s="58"/>
      <c r="N30" s="58"/>
      <c r="O30" s="59"/>
      <c r="P30" s="56"/>
      <c r="Q30" s="60"/>
      <c r="R30" s="61">
        <f t="shared" si="14"/>
        <v>0</v>
      </c>
      <c r="S30" s="62">
        <f t="shared" si="15"/>
        <v>0</v>
      </c>
      <c r="T30" s="63">
        <f t="shared" si="16"/>
        <v>0</v>
      </c>
      <c r="U30" s="64"/>
      <c r="V30" s="65"/>
      <c r="W30" s="138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141"/>
      <c r="AI30" s="138"/>
      <c r="AJ30" s="138"/>
      <c r="AK30" s="62">
        <f t="shared" si="19"/>
        <v>0</v>
      </c>
      <c r="AL30" s="72">
        <f t="shared" si="20"/>
        <v>0</v>
      </c>
      <c r="AM30" s="81">
        <f t="shared" si="21"/>
        <v>0</v>
      </c>
      <c r="AN30" s="80">
        <f t="shared" si="22"/>
        <v>0</v>
      </c>
      <c r="AO30" s="80">
        <f t="shared" si="23"/>
        <v>0</v>
      </c>
      <c r="AP30" s="114" t="e">
        <f t="shared" si="24"/>
        <v>#DIV/0!</v>
      </c>
      <c r="AQ30" s="115">
        <f t="shared" si="12"/>
        <v>0</v>
      </c>
      <c r="AR30" s="90">
        <f t="shared" ref="AR30:AR35" si="31">(D30+J30+O30)-(X30+AH30)</f>
        <v>0</v>
      </c>
    </row>
    <row r="31" spans="1:49" ht="15.75" x14ac:dyDescent="0.25">
      <c r="A31" t="str">
        <f t="shared" si="13"/>
        <v>46217E</v>
      </c>
      <c r="B31" s="51">
        <f t="shared" si="26"/>
        <v>46217</v>
      </c>
      <c r="C31" s="99" t="s">
        <v>88</v>
      </c>
      <c r="D31" s="91"/>
      <c r="E31" s="62"/>
      <c r="F31" s="62"/>
      <c r="G31" s="62">
        <f t="shared" si="29"/>
        <v>0</v>
      </c>
      <c r="H31" s="72">
        <f t="shared" si="30"/>
        <v>0</v>
      </c>
      <c r="I31" s="120"/>
      <c r="J31" s="120"/>
      <c r="K31" s="120"/>
      <c r="L31" s="120"/>
      <c r="M31" s="58"/>
      <c r="N31" s="58"/>
      <c r="O31" s="59"/>
      <c r="P31" s="56"/>
      <c r="Q31" s="60"/>
      <c r="R31" s="61">
        <f t="shared" si="14"/>
        <v>0</v>
      </c>
      <c r="S31" s="62">
        <f t="shared" si="15"/>
        <v>0</v>
      </c>
      <c r="T31" s="63">
        <f t="shared" si="16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141"/>
      <c r="AI31" s="138"/>
      <c r="AJ31" s="138"/>
      <c r="AK31" s="62">
        <f t="shared" si="19"/>
        <v>0</v>
      </c>
      <c r="AL31" s="72">
        <f t="shared" si="20"/>
        <v>0</v>
      </c>
      <c r="AM31" s="81">
        <f t="shared" si="21"/>
        <v>0</v>
      </c>
      <c r="AN31" s="80">
        <f t="shared" si="22"/>
        <v>0</v>
      </c>
      <c r="AO31" s="80">
        <f t="shared" si="23"/>
        <v>0</v>
      </c>
      <c r="AP31" s="114" t="e">
        <f t="shared" si="24"/>
        <v>#DIV/0!</v>
      </c>
      <c r="AQ31" s="115">
        <f t="shared" si="12"/>
        <v>0</v>
      </c>
      <c r="AR31" s="90">
        <f t="shared" si="31"/>
        <v>0</v>
      </c>
    </row>
    <row r="32" spans="1:49" ht="15.75" x14ac:dyDescent="0.25">
      <c r="A32" t="str">
        <f t="shared" si="13"/>
        <v>46218M</v>
      </c>
      <c r="B32" s="51">
        <f t="shared" si="26"/>
        <v>46218</v>
      </c>
      <c r="C32" s="99" t="s">
        <v>87</v>
      </c>
      <c r="D32" s="91"/>
      <c r="E32" s="62"/>
      <c r="F32" s="62"/>
      <c r="G32" s="62">
        <f t="shared" si="29"/>
        <v>0</v>
      </c>
      <c r="H32" s="72">
        <f t="shared" si="30"/>
        <v>0</v>
      </c>
      <c r="I32" s="120"/>
      <c r="J32" s="120"/>
      <c r="K32" s="120"/>
      <c r="L32" s="120"/>
      <c r="M32" s="58"/>
      <c r="N32" s="58"/>
      <c r="O32" s="59"/>
      <c r="P32" s="56"/>
      <c r="Q32" s="60"/>
      <c r="R32" s="61">
        <f t="shared" si="14"/>
        <v>0</v>
      </c>
      <c r="S32" s="62">
        <f t="shared" si="15"/>
        <v>0</v>
      </c>
      <c r="T32" s="63">
        <f t="shared" si="16"/>
        <v>0</v>
      </c>
      <c r="U32" s="64"/>
      <c r="V32" s="65"/>
      <c r="W32" s="104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141"/>
      <c r="AI32" s="138"/>
      <c r="AJ32" s="138"/>
      <c r="AK32" s="62">
        <f t="shared" si="19"/>
        <v>0</v>
      </c>
      <c r="AL32" s="72">
        <f t="shared" si="20"/>
        <v>0</v>
      </c>
      <c r="AM32" s="81">
        <f t="shared" si="21"/>
        <v>0</v>
      </c>
      <c r="AN32" s="80">
        <f t="shared" si="22"/>
        <v>0</v>
      </c>
      <c r="AO32" s="80">
        <f t="shared" si="23"/>
        <v>0</v>
      </c>
      <c r="AP32" s="114" t="e">
        <f t="shared" si="24"/>
        <v>#DIV/0!</v>
      </c>
      <c r="AQ32" s="115">
        <f t="shared" si="12"/>
        <v>0</v>
      </c>
      <c r="AR32" s="90">
        <f t="shared" si="31"/>
        <v>0</v>
      </c>
    </row>
    <row r="33" spans="1:49" ht="15.75" x14ac:dyDescent="0.25">
      <c r="A33" t="str">
        <f t="shared" si="13"/>
        <v>46218E</v>
      </c>
      <c r="B33" s="51">
        <f t="shared" si="26"/>
        <v>46218</v>
      </c>
      <c r="C33" s="99" t="s">
        <v>88</v>
      </c>
      <c r="D33" s="91"/>
      <c r="E33" s="62"/>
      <c r="F33" s="62"/>
      <c r="G33" s="62">
        <f t="shared" si="29"/>
        <v>0</v>
      </c>
      <c r="H33" s="72">
        <f t="shared" si="30"/>
        <v>0</v>
      </c>
      <c r="I33" s="120"/>
      <c r="J33" s="120"/>
      <c r="K33" s="120"/>
      <c r="L33" s="120"/>
      <c r="M33" s="58"/>
      <c r="N33" s="58"/>
      <c r="O33" s="59"/>
      <c r="P33" s="56"/>
      <c r="Q33" s="60"/>
      <c r="R33" s="61">
        <f t="shared" si="14"/>
        <v>0</v>
      </c>
      <c r="S33" s="62">
        <f t="shared" si="15"/>
        <v>0</v>
      </c>
      <c r="T33" s="63">
        <f t="shared" si="16"/>
        <v>0</v>
      </c>
      <c r="U33" s="64"/>
      <c r="V33" s="65"/>
      <c r="W33" s="138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141"/>
      <c r="AI33" s="138"/>
      <c r="AJ33" s="138"/>
      <c r="AK33" s="62">
        <f t="shared" si="19"/>
        <v>0</v>
      </c>
      <c r="AL33" s="72">
        <f t="shared" si="20"/>
        <v>0</v>
      </c>
      <c r="AM33" s="81">
        <f t="shared" si="21"/>
        <v>0</v>
      </c>
      <c r="AN33" s="80">
        <f t="shared" si="22"/>
        <v>0</v>
      </c>
      <c r="AO33" s="80">
        <f t="shared" si="23"/>
        <v>0</v>
      </c>
      <c r="AP33" s="114" t="e">
        <f t="shared" si="24"/>
        <v>#DIV/0!</v>
      </c>
      <c r="AQ33" s="115">
        <f t="shared" si="12"/>
        <v>0</v>
      </c>
      <c r="AR33" s="90">
        <f t="shared" si="31"/>
        <v>0</v>
      </c>
    </row>
    <row r="34" spans="1:49" ht="15.75" x14ac:dyDescent="0.25">
      <c r="A34" t="str">
        <f t="shared" si="13"/>
        <v>46219M</v>
      </c>
      <c r="B34" s="51">
        <f t="shared" si="26"/>
        <v>46219</v>
      </c>
      <c r="C34" s="99" t="s">
        <v>87</v>
      </c>
      <c r="D34" s="91"/>
      <c r="E34" s="62"/>
      <c r="F34" s="62"/>
      <c r="G34" s="62">
        <f t="shared" si="29"/>
        <v>0</v>
      </c>
      <c r="H34" s="72">
        <f t="shared" si="30"/>
        <v>0</v>
      </c>
      <c r="I34" s="120"/>
      <c r="J34" s="120"/>
      <c r="K34" s="120"/>
      <c r="L34" s="120"/>
      <c r="M34" s="58"/>
      <c r="N34" s="58"/>
      <c r="O34" s="59"/>
      <c r="P34" s="56"/>
      <c r="Q34" s="60"/>
      <c r="R34" s="61">
        <f t="shared" si="14"/>
        <v>0</v>
      </c>
      <c r="S34" s="62">
        <f t="shared" si="15"/>
        <v>0</v>
      </c>
      <c r="T34" s="63">
        <f t="shared" si="16"/>
        <v>0</v>
      </c>
      <c r="U34" s="64"/>
      <c r="V34" s="65"/>
      <c r="W34" s="104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141"/>
      <c r="AI34" s="138"/>
      <c r="AJ34" s="138"/>
      <c r="AK34" s="62">
        <f t="shared" si="19"/>
        <v>0</v>
      </c>
      <c r="AL34" s="72">
        <f t="shared" si="20"/>
        <v>0</v>
      </c>
      <c r="AM34" s="81">
        <f t="shared" si="21"/>
        <v>0</v>
      </c>
      <c r="AN34" s="80">
        <f t="shared" si="22"/>
        <v>0</v>
      </c>
      <c r="AO34" s="80">
        <f t="shared" si="23"/>
        <v>0</v>
      </c>
      <c r="AP34" s="114" t="e">
        <f t="shared" si="24"/>
        <v>#DIV/0!</v>
      </c>
      <c r="AQ34" s="115">
        <f t="shared" si="12"/>
        <v>0</v>
      </c>
      <c r="AR34" s="90">
        <f t="shared" si="31"/>
        <v>0</v>
      </c>
    </row>
    <row r="35" spans="1:49" ht="15.75" x14ac:dyDescent="0.25">
      <c r="A35" t="str">
        <f t="shared" si="13"/>
        <v>46219E</v>
      </c>
      <c r="B35" s="51">
        <f t="shared" si="26"/>
        <v>46219</v>
      </c>
      <c r="C35" s="99" t="s">
        <v>88</v>
      </c>
      <c r="D35" s="91"/>
      <c r="E35" s="62"/>
      <c r="F35" s="62"/>
      <c r="G35" s="62">
        <f t="shared" si="29"/>
        <v>0</v>
      </c>
      <c r="H35" s="72">
        <f t="shared" si="30"/>
        <v>0</v>
      </c>
      <c r="I35" s="120"/>
      <c r="J35" s="120"/>
      <c r="K35" s="120"/>
      <c r="L35" s="120"/>
      <c r="M35" s="58"/>
      <c r="N35" s="58"/>
      <c r="O35" s="59"/>
      <c r="P35" s="56"/>
      <c r="Q35" s="60"/>
      <c r="R35" s="61">
        <f t="shared" si="14"/>
        <v>0</v>
      </c>
      <c r="S35" s="62">
        <f t="shared" si="15"/>
        <v>0</v>
      </c>
      <c r="T35" s="63">
        <f t="shared" si="16"/>
        <v>0</v>
      </c>
      <c r="U35" s="64"/>
      <c r="V35" s="65"/>
      <c r="W35" s="104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141"/>
      <c r="AI35" s="138"/>
      <c r="AJ35" s="138"/>
      <c r="AK35" s="62">
        <f t="shared" si="19"/>
        <v>0</v>
      </c>
      <c r="AL35" s="72">
        <f t="shared" si="20"/>
        <v>0</v>
      </c>
      <c r="AM35" s="81">
        <f t="shared" si="21"/>
        <v>0</v>
      </c>
      <c r="AN35" s="80">
        <f t="shared" si="22"/>
        <v>0</v>
      </c>
      <c r="AO35" s="80">
        <f t="shared" si="23"/>
        <v>0</v>
      </c>
      <c r="AP35" s="114" t="e">
        <f t="shared" si="24"/>
        <v>#DIV/0!</v>
      </c>
      <c r="AQ35" s="115">
        <f t="shared" si="12"/>
        <v>0</v>
      </c>
      <c r="AR35" s="90">
        <f t="shared" si="31"/>
        <v>0</v>
      </c>
      <c r="AS35" s="90">
        <f>SUM(J22:J35)</f>
        <v>0</v>
      </c>
      <c r="AT35" s="83">
        <f>SUM(AM22:AM35)</f>
        <v>0</v>
      </c>
      <c r="AU35" s="83">
        <f>SUM(AN22:AN35)</f>
        <v>0</v>
      </c>
      <c r="AV35" s="83">
        <f>SUM(AO22:AO35)</f>
        <v>0</v>
      </c>
      <c r="AW35" s="83">
        <f>-SUM(AQ22:AQ35)</f>
        <v>0</v>
      </c>
    </row>
    <row r="36" spans="1:49" ht="15.75" x14ac:dyDescent="0.25">
      <c r="A36" t="str">
        <f t="shared" si="13"/>
        <v>46220M</v>
      </c>
      <c r="B36" s="51">
        <f t="shared" si="26"/>
        <v>46220</v>
      </c>
      <c r="C36" s="99" t="s">
        <v>87</v>
      </c>
      <c r="D36" s="91"/>
      <c r="E36" s="62"/>
      <c r="F36" s="62"/>
      <c r="G36" s="62">
        <f t="shared" si="29"/>
        <v>0</v>
      </c>
      <c r="H36" s="72">
        <f t="shared" si="30"/>
        <v>0</v>
      </c>
      <c r="I36" s="120"/>
      <c r="J36" s="120"/>
      <c r="K36" s="120"/>
      <c r="L36" s="120"/>
      <c r="M36" s="58"/>
      <c r="N36" s="58"/>
      <c r="O36" s="59"/>
      <c r="P36" s="56"/>
      <c r="Q36" s="60"/>
      <c r="R36" s="61">
        <f t="shared" si="14"/>
        <v>0</v>
      </c>
      <c r="S36" s="62">
        <f t="shared" si="15"/>
        <v>0</v>
      </c>
      <c r="T36" s="63">
        <f t="shared" si="16"/>
        <v>0</v>
      </c>
      <c r="U36" s="64"/>
      <c r="V36" s="85"/>
      <c r="W36" s="104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141"/>
      <c r="AI36" s="138"/>
      <c r="AJ36" s="138"/>
      <c r="AK36" s="62">
        <f t="shared" si="19"/>
        <v>0</v>
      </c>
      <c r="AL36" s="72">
        <f t="shared" si="20"/>
        <v>0</v>
      </c>
      <c r="AM36" s="81">
        <f t="shared" si="21"/>
        <v>0</v>
      </c>
      <c r="AN36" s="80">
        <f t="shared" si="22"/>
        <v>0</v>
      </c>
      <c r="AO36" s="80">
        <f t="shared" si="23"/>
        <v>0</v>
      </c>
      <c r="AP36" s="114" t="e">
        <f t="shared" si="24"/>
        <v>#DIV/0!</v>
      </c>
      <c r="AQ36" s="115">
        <f t="shared" si="12"/>
        <v>0</v>
      </c>
      <c r="AR36" s="90">
        <f t="shared" ref="AR36:AR43" si="32">(D36+J36+O36)-(X36+AH36)</f>
        <v>0</v>
      </c>
    </row>
    <row r="37" spans="1:49" ht="15.75" x14ac:dyDescent="0.25">
      <c r="A37" t="str">
        <f t="shared" si="13"/>
        <v>46220E</v>
      </c>
      <c r="B37" s="51">
        <f t="shared" si="26"/>
        <v>46220</v>
      </c>
      <c r="C37" s="99" t="s">
        <v>88</v>
      </c>
      <c r="D37" s="91"/>
      <c r="E37" s="62"/>
      <c r="F37" s="62"/>
      <c r="G37" s="62">
        <f t="shared" si="29"/>
        <v>0</v>
      </c>
      <c r="H37" s="72">
        <f t="shared" si="30"/>
        <v>0</v>
      </c>
      <c r="I37" s="120"/>
      <c r="J37" s="120"/>
      <c r="K37" s="120"/>
      <c r="L37" s="120"/>
      <c r="M37" s="58"/>
      <c r="N37" s="58"/>
      <c r="O37" s="59"/>
      <c r="P37" s="56"/>
      <c r="Q37" s="60"/>
      <c r="R37" s="61">
        <f t="shared" si="14"/>
        <v>0</v>
      </c>
      <c r="S37" s="62">
        <f t="shared" si="15"/>
        <v>0</v>
      </c>
      <c r="T37" s="63">
        <f t="shared" si="16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141"/>
      <c r="AI37" s="138"/>
      <c r="AJ37" s="138"/>
      <c r="AK37" s="62">
        <f t="shared" si="19"/>
        <v>0</v>
      </c>
      <c r="AL37" s="72">
        <f t="shared" si="20"/>
        <v>0</v>
      </c>
      <c r="AM37" s="81">
        <f t="shared" si="21"/>
        <v>0</v>
      </c>
      <c r="AN37" s="80">
        <f t="shared" si="22"/>
        <v>0</v>
      </c>
      <c r="AO37" s="80">
        <f t="shared" si="23"/>
        <v>0</v>
      </c>
      <c r="AP37" s="114" t="e">
        <f t="shared" si="24"/>
        <v>#DIV/0!</v>
      </c>
      <c r="AQ37" s="115">
        <f t="shared" si="12"/>
        <v>0</v>
      </c>
      <c r="AR37" s="90">
        <f t="shared" si="32"/>
        <v>0</v>
      </c>
    </row>
    <row r="38" spans="1:49" ht="15.75" x14ac:dyDescent="0.25">
      <c r="A38" t="str">
        <f t="shared" si="13"/>
        <v>46221M</v>
      </c>
      <c r="B38" s="51">
        <f t="shared" si="26"/>
        <v>46221</v>
      </c>
      <c r="C38" s="99" t="s">
        <v>87</v>
      </c>
      <c r="D38" s="91"/>
      <c r="E38" s="62"/>
      <c r="F38" s="62"/>
      <c r="G38" s="62">
        <f t="shared" si="29"/>
        <v>0</v>
      </c>
      <c r="H38" s="72">
        <f t="shared" si="30"/>
        <v>0</v>
      </c>
      <c r="I38" s="120"/>
      <c r="J38" s="120"/>
      <c r="K38" s="120"/>
      <c r="L38" s="120"/>
      <c r="M38" s="58"/>
      <c r="N38" s="58"/>
      <c r="O38" s="59"/>
      <c r="P38" s="56"/>
      <c r="Q38" s="60"/>
      <c r="R38" s="61">
        <f t="shared" si="14"/>
        <v>0</v>
      </c>
      <c r="S38" s="62">
        <f t="shared" si="15"/>
        <v>0</v>
      </c>
      <c r="T38" s="63">
        <f t="shared" si="16"/>
        <v>0</v>
      </c>
      <c r="U38" s="64"/>
      <c r="V38" s="65"/>
      <c r="W38" s="138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141"/>
      <c r="AI38" s="138"/>
      <c r="AJ38" s="138"/>
      <c r="AK38" s="62">
        <f t="shared" si="19"/>
        <v>0</v>
      </c>
      <c r="AL38" s="72">
        <f t="shared" si="20"/>
        <v>0</v>
      </c>
      <c r="AM38" s="81">
        <f t="shared" si="21"/>
        <v>0</v>
      </c>
      <c r="AN38" s="80">
        <f t="shared" si="22"/>
        <v>0</v>
      </c>
      <c r="AO38" s="80">
        <f t="shared" si="23"/>
        <v>0</v>
      </c>
      <c r="AP38" s="114" t="e">
        <f t="shared" si="24"/>
        <v>#DIV/0!</v>
      </c>
      <c r="AQ38" s="115">
        <f t="shared" si="12"/>
        <v>0</v>
      </c>
      <c r="AR38" s="90">
        <f t="shared" si="32"/>
        <v>0</v>
      </c>
    </row>
    <row r="39" spans="1:49" ht="15.75" x14ac:dyDescent="0.25">
      <c r="A39" t="str">
        <f t="shared" si="13"/>
        <v>46221E</v>
      </c>
      <c r="B39" s="51">
        <f t="shared" si="26"/>
        <v>46221</v>
      </c>
      <c r="C39" s="99" t="s">
        <v>88</v>
      </c>
      <c r="D39" s="91"/>
      <c r="E39" s="62"/>
      <c r="F39" s="62"/>
      <c r="G39" s="62">
        <f t="shared" si="29"/>
        <v>0</v>
      </c>
      <c r="H39" s="72">
        <f t="shared" si="30"/>
        <v>0</v>
      </c>
      <c r="I39" s="120"/>
      <c r="J39" s="120"/>
      <c r="K39" s="120"/>
      <c r="L39" s="120"/>
      <c r="M39" s="58"/>
      <c r="N39" s="58"/>
      <c r="O39" s="59"/>
      <c r="P39" s="56"/>
      <c r="Q39" s="60"/>
      <c r="R39" s="61">
        <f t="shared" si="14"/>
        <v>0</v>
      </c>
      <c r="S39" s="62">
        <f t="shared" si="15"/>
        <v>0</v>
      </c>
      <c r="T39" s="63">
        <f t="shared" si="16"/>
        <v>0</v>
      </c>
      <c r="U39" s="64"/>
      <c r="V39" s="65"/>
      <c r="W39" s="138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141"/>
      <c r="AI39" s="138"/>
      <c r="AJ39" s="138"/>
      <c r="AK39" s="62">
        <f t="shared" si="19"/>
        <v>0</v>
      </c>
      <c r="AL39" s="72">
        <f t="shared" si="20"/>
        <v>0</v>
      </c>
      <c r="AM39" s="81">
        <f t="shared" si="21"/>
        <v>0</v>
      </c>
      <c r="AN39" s="80">
        <f t="shared" si="22"/>
        <v>0</v>
      </c>
      <c r="AO39" s="80">
        <f t="shared" si="23"/>
        <v>0</v>
      </c>
      <c r="AP39" s="114" t="e">
        <f t="shared" si="24"/>
        <v>#DIV/0!</v>
      </c>
      <c r="AQ39" s="115">
        <f t="shared" si="12"/>
        <v>0</v>
      </c>
      <c r="AR39" s="90">
        <f t="shared" si="32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ht="15.75" x14ac:dyDescent="0.25">
      <c r="A40" t="str">
        <f t="shared" si="13"/>
        <v>46222M</v>
      </c>
      <c r="B40" s="51">
        <f t="shared" si="26"/>
        <v>46222</v>
      </c>
      <c r="C40" s="99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120"/>
      <c r="J40" s="120"/>
      <c r="K40" s="120"/>
      <c r="L40" s="120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104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141"/>
      <c r="AI40" s="138"/>
      <c r="AJ40" s="138"/>
      <c r="AK40" s="62">
        <f t="shared" si="19"/>
        <v>0</v>
      </c>
      <c r="AL40" s="72">
        <f t="shared" si="20"/>
        <v>0</v>
      </c>
      <c r="AM40" s="81">
        <f t="shared" si="21"/>
        <v>0</v>
      </c>
      <c r="AN40" s="80">
        <f t="shared" si="22"/>
        <v>0</v>
      </c>
      <c r="AO40" s="80">
        <f t="shared" si="23"/>
        <v>0</v>
      </c>
      <c r="AP40" s="114" t="e">
        <f t="shared" si="24"/>
        <v>#DIV/0!</v>
      </c>
      <c r="AQ40" s="115">
        <f t="shared" si="12"/>
        <v>0</v>
      </c>
      <c r="AR40" s="90">
        <f t="shared" si="32"/>
        <v>0</v>
      </c>
    </row>
    <row r="41" spans="1:49" ht="15.75" x14ac:dyDescent="0.25">
      <c r="A41" t="str">
        <f t="shared" si="13"/>
        <v>46222E</v>
      </c>
      <c r="B41" s="51">
        <f t="shared" si="26"/>
        <v>46222</v>
      </c>
      <c r="C41" s="99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120"/>
      <c r="J41" s="120"/>
      <c r="K41" s="120"/>
      <c r="L41" s="120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138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141"/>
      <c r="AI41" s="138"/>
      <c r="AJ41" s="138"/>
      <c r="AK41" s="62">
        <f t="shared" si="19"/>
        <v>0</v>
      </c>
      <c r="AL41" s="72">
        <f t="shared" si="20"/>
        <v>0</v>
      </c>
      <c r="AM41" s="81">
        <f t="shared" si="21"/>
        <v>0</v>
      </c>
      <c r="AN41" s="80">
        <f t="shared" si="22"/>
        <v>0</v>
      </c>
      <c r="AO41" s="80">
        <f t="shared" si="23"/>
        <v>0</v>
      </c>
      <c r="AP41" s="114" t="e">
        <f t="shared" si="24"/>
        <v>#DIV/0!</v>
      </c>
      <c r="AQ41" s="115">
        <f t="shared" si="12"/>
        <v>0</v>
      </c>
      <c r="AR41" s="90">
        <f t="shared" si="32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ht="15.75" x14ac:dyDescent="0.25">
      <c r="A42" t="str">
        <f t="shared" si="13"/>
        <v>46223M</v>
      </c>
      <c r="B42" s="51">
        <f t="shared" si="26"/>
        <v>46223</v>
      </c>
      <c r="C42" s="99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120"/>
      <c r="J42" s="120"/>
      <c r="K42" s="120"/>
      <c r="L42" s="120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141"/>
      <c r="AI42" s="138"/>
      <c r="AJ42" s="138"/>
      <c r="AK42" s="62">
        <f t="shared" si="19"/>
        <v>0</v>
      </c>
      <c r="AL42" s="72">
        <f t="shared" si="20"/>
        <v>0</v>
      </c>
      <c r="AM42" s="81">
        <f t="shared" si="21"/>
        <v>0</v>
      </c>
      <c r="AN42" s="80">
        <f t="shared" si="22"/>
        <v>0</v>
      </c>
      <c r="AO42" s="80">
        <f t="shared" si="23"/>
        <v>0</v>
      </c>
      <c r="AP42" s="114" t="e">
        <f t="shared" si="24"/>
        <v>#DIV/0!</v>
      </c>
      <c r="AQ42" s="115">
        <f t="shared" si="12"/>
        <v>0</v>
      </c>
      <c r="AR42" s="90">
        <f t="shared" si="32"/>
        <v>0</v>
      </c>
    </row>
    <row r="43" spans="1:49" ht="15.75" x14ac:dyDescent="0.25">
      <c r="A43" t="str">
        <f t="shared" si="13"/>
        <v>46223E</v>
      </c>
      <c r="B43" s="51">
        <f t="shared" si="26"/>
        <v>46223</v>
      </c>
      <c r="C43" s="99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120"/>
      <c r="J43" s="120"/>
      <c r="K43" s="120"/>
      <c r="L43" s="120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138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141"/>
      <c r="AI43" s="138"/>
      <c r="AJ43" s="138"/>
      <c r="AK43" s="62">
        <f t="shared" si="19"/>
        <v>0</v>
      </c>
      <c r="AL43" s="72">
        <f t="shared" si="20"/>
        <v>0</v>
      </c>
      <c r="AM43" s="81">
        <f t="shared" si="21"/>
        <v>0</v>
      </c>
      <c r="AN43" s="80">
        <f t="shared" si="22"/>
        <v>0</v>
      </c>
      <c r="AO43" s="80">
        <f t="shared" si="23"/>
        <v>0</v>
      </c>
      <c r="AP43" s="114" t="e">
        <f t="shared" si="24"/>
        <v>#DIV/0!</v>
      </c>
      <c r="AQ43" s="115">
        <f t="shared" si="12"/>
        <v>0</v>
      </c>
      <c r="AR43" s="90">
        <f t="shared" si="32"/>
        <v>0</v>
      </c>
    </row>
    <row r="44" spans="1:49" ht="15.75" x14ac:dyDescent="0.25">
      <c r="A44" t="str">
        <f t="shared" si="13"/>
        <v>46224M</v>
      </c>
      <c r="B44" s="51">
        <f t="shared" si="26"/>
        <v>46224</v>
      </c>
      <c r="C44" s="99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120"/>
      <c r="J44" s="120"/>
      <c r="K44" s="120"/>
      <c r="L44" s="120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138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141"/>
      <c r="AI44" s="138"/>
      <c r="AJ44" s="138"/>
      <c r="AK44" s="62">
        <f t="shared" si="19"/>
        <v>0</v>
      </c>
      <c r="AL44" s="72">
        <f t="shared" si="20"/>
        <v>0</v>
      </c>
      <c r="AM44" s="81">
        <f t="shared" si="21"/>
        <v>0</v>
      </c>
      <c r="AN44" s="80">
        <f t="shared" si="22"/>
        <v>0</v>
      </c>
      <c r="AO44" s="80">
        <f t="shared" si="23"/>
        <v>0</v>
      </c>
      <c r="AP44" s="114" t="e">
        <f t="shared" si="24"/>
        <v>#DIV/0!</v>
      </c>
      <c r="AQ44" s="115">
        <f t="shared" si="12"/>
        <v>0</v>
      </c>
      <c r="AR44" s="90">
        <f t="shared" si="28"/>
        <v>0</v>
      </c>
    </row>
    <row r="45" spans="1:49" ht="15.75" x14ac:dyDescent="0.25">
      <c r="A45" t="str">
        <f t="shared" si="13"/>
        <v>46224E</v>
      </c>
      <c r="B45" s="51">
        <f t="shared" si="26"/>
        <v>46224</v>
      </c>
      <c r="C45" s="99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120"/>
      <c r="J45" s="120"/>
      <c r="K45" s="120"/>
      <c r="L45" s="120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138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141"/>
      <c r="AI45" s="138"/>
      <c r="AJ45" s="138"/>
      <c r="AK45" s="62">
        <f t="shared" si="19"/>
        <v>0</v>
      </c>
      <c r="AL45" s="72">
        <f t="shared" si="20"/>
        <v>0</v>
      </c>
      <c r="AM45" s="81">
        <f t="shared" si="21"/>
        <v>0</v>
      </c>
      <c r="AN45" s="80">
        <f t="shared" si="22"/>
        <v>0</v>
      </c>
      <c r="AO45" s="80">
        <f t="shared" si="23"/>
        <v>0</v>
      </c>
      <c r="AP45" s="114" t="e">
        <f t="shared" si="24"/>
        <v>#DIV/0!</v>
      </c>
      <c r="AQ45" s="115">
        <f t="shared" si="12"/>
        <v>0</v>
      </c>
      <c r="AR45" s="90">
        <f t="shared" si="28"/>
        <v>0</v>
      </c>
    </row>
    <row r="46" spans="1:49" ht="15.75" x14ac:dyDescent="0.25">
      <c r="A46" t="str">
        <f t="shared" si="13"/>
        <v>46225M</v>
      </c>
      <c r="B46" s="51">
        <f t="shared" si="26"/>
        <v>46225</v>
      </c>
      <c r="C46" s="99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120"/>
      <c r="J46" s="120"/>
      <c r="K46" s="120"/>
      <c r="L46" s="120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138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141"/>
      <c r="AI46" s="138"/>
      <c r="AJ46" s="138"/>
      <c r="AK46" s="62">
        <f t="shared" si="19"/>
        <v>0</v>
      </c>
      <c r="AL46" s="72">
        <f t="shared" si="20"/>
        <v>0</v>
      </c>
      <c r="AM46" s="81">
        <f t="shared" si="21"/>
        <v>0</v>
      </c>
      <c r="AN46" s="80">
        <f t="shared" si="22"/>
        <v>0</v>
      </c>
      <c r="AO46" s="80">
        <f t="shared" si="23"/>
        <v>0</v>
      </c>
      <c r="AP46" s="114" t="e">
        <f t="shared" si="24"/>
        <v>#DIV/0!</v>
      </c>
      <c r="AQ46" s="115">
        <f t="shared" si="12"/>
        <v>0</v>
      </c>
      <c r="AR46" s="90">
        <f t="shared" si="28"/>
        <v>0</v>
      </c>
    </row>
    <row r="47" spans="1:49" ht="15.75" x14ac:dyDescent="0.25">
      <c r="A47" t="str">
        <f t="shared" si="13"/>
        <v>46225E</v>
      </c>
      <c r="B47" s="51">
        <f t="shared" si="26"/>
        <v>46225</v>
      </c>
      <c r="C47" s="99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120"/>
      <c r="J47" s="120"/>
      <c r="K47" s="120"/>
      <c r="L47" s="120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141"/>
      <c r="AI47" s="138"/>
      <c r="AJ47" s="138"/>
      <c r="AK47" s="62">
        <f t="shared" si="19"/>
        <v>0</v>
      </c>
      <c r="AL47" s="72">
        <f t="shared" si="20"/>
        <v>0</v>
      </c>
      <c r="AM47" s="81">
        <f t="shared" si="21"/>
        <v>0</v>
      </c>
      <c r="AN47" s="80">
        <f t="shared" si="22"/>
        <v>0</v>
      </c>
      <c r="AO47" s="80">
        <f t="shared" si="23"/>
        <v>0</v>
      </c>
      <c r="AP47" s="114" t="e">
        <f t="shared" si="24"/>
        <v>#DIV/0!</v>
      </c>
      <c r="AQ47" s="115">
        <f t="shared" si="12"/>
        <v>0</v>
      </c>
      <c r="AR47" s="90">
        <f t="shared" si="28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46226M</v>
      </c>
      <c r="B48" s="51">
        <f t="shared" si="26"/>
        <v>46226</v>
      </c>
      <c r="C48" s="99" t="s">
        <v>87</v>
      </c>
      <c r="D48" s="105"/>
      <c r="E48" s="106"/>
      <c r="F48" s="106"/>
      <c r="G48" s="62">
        <f t="shared" ref="G48:G51" si="33">+D48*E48%</f>
        <v>0</v>
      </c>
      <c r="H48" s="72">
        <f t="shared" ref="H48:H51" si="34">+D48*F48%</f>
        <v>0</v>
      </c>
      <c r="I48" s="120"/>
      <c r="J48" s="120"/>
      <c r="K48" s="120"/>
      <c r="L48" s="120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102"/>
      <c r="V48" s="85"/>
      <c r="W48" s="104"/>
      <c r="X48" s="112"/>
      <c r="Y48" s="113"/>
      <c r="Z48" s="113"/>
      <c r="AA48" s="62">
        <f t="shared" ref="AA48:AA51" si="35">X48*Y48%</f>
        <v>0</v>
      </c>
      <c r="AB48" s="63">
        <f t="shared" ref="AB48:AB51" si="36">X48*Z48%</f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141"/>
      <c r="AI48" s="138"/>
      <c r="AJ48" s="138"/>
      <c r="AK48" s="62">
        <f t="shared" si="19"/>
        <v>0</v>
      </c>
      <c r="AL48" s="72">
        <f t="shared" si="20"/>
        <v>0</v>
      </c>
      <c r="AM48" s="81">
        <f t="shared" si="21"/>
        <v>0</v>
      </c>
      <c r="AN48" s="80">
        <f t="shared" si="22"/>
        <v>0</v>
      </c>
      <c r="AO48" s="80">
        <f t="shared" si="23"/>
        <v>0</v>
      </c>
      <c r="AP48" s="114" t="e">
        <f t="shared" si="24"/>
        <v>#DIV/0!</v>
      </c>
      <c r="AQ48" s="115">
        <f t="shared" si="12"/>
        <v>0</v>
      </c>
      <c r="AR48" s="90">
        <f t="shared" si="28"/>
        <v>0</v>
      </c>
    </row>
    <row r="49" spans="1:49" ht="15.75" x14ac:dyDescent="0.25">
      <c r="A49" t="str">
        <f t="shared" si="13"/>
        <v>46226E</v>
      </c>
      <c r="B49" s="51">
        <f t="shared" si="26"/>
        <v>46226</v>
      </c>
      <c r="C49" s="99" t="s">
        <v>88</v>
      </c>
      <c r="D49" s="105"/>
      <c r="E49" s="106"/>
      <c r="F49" s="106"/>
      <c r="G49" s="62">
        <f t="shared" si="33"/>
        <v>0</v>
      </c>
      <c r="H49" s="72">
        <f t="shared" si="34"/>
        <v>0</v>
      </c>
      <c r="I49" s="120"/>
      <c r="J49" s="120"/>
      <c r="K49" s="120"/>
      <c r="L49" s="120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102"/>
      <c r="V49" s="103"/>
      <c r="W49" s="104"/>
      <c r="X49" s="112"/>
      <c r="Y49" s="113"/>
      <c r="Z49" s="113"/>
      <c r="AA49" s="62">
        <f t="shared" si="35"/>
        <v>0</v>
      </c>
      <c r="AB49" s="63">
        <f t="shared" si="3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141"/>
      <c r="AI49" s="138"/>
      <c r="AJ49" s="138"/>
      <c r="AK49" s="62">
        <f t="shared" si="19"/>
        <v>0</v>
      </c>
      <c r="AL49" s="72">
        <f t="shared" si="20"/>
        <v>0</v>
      </c>
      <c r="AM49" s="81">
        <f t="shared" si="21"/>
        <v>0</v>
      </c>
      <c r="AN49" s="80">
        <f t="shared" si="22"/>
        <v>0</v>
      </c>
      <c r="AO49" s="80">
        <f t="shared" si="23"/>
        <v>0</v>
      </c>
      <c r="AP49" s="114" t="e">
        <f t="shared" si="24"/>
        <v>#DIV/0!</v>
      </c>
      <c r="AQ49" s="115">
        <f t="shared" si="12"/>
        <v>0</v>
      </c>
      <c r="AR49" s="90">
        <f t="shared" si="28"/>
        <v>0</v>
      </c>
    </row>
    <row r="50" spans="1:49" ht="15.75" x14ac:dyDescent="0.25">
      <c r="A50" t="str">
        <f t="shared" si="13"/>
        <v>46227M</v>
      </c>
      <c r="B50" s="51">
        <f t="shared" si="26"/>
        <v>46227</v>
      </c>
      <c r="C50" s="99" t="s">
        <v>87</v>
      </c>
      <c r="D50" s="91"/>
      <c r="E50" s="62"/>
      <c r="F50" s="62"/>
      <c r="G50" s="62">
        <f t="shared" si="33"/>
        <v>0</v>
      </c>
      <c r="H50" s="72">
        <f t="shared" si="34"/>
        <v>0</v>
      </c>
      <c r="I50" s="120"/>
      <c r="J50" s="120"/>
      <c r="K50" s="120"/>
      <c r="L50" s="120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35"/>
        <v>0</v>
      </c>
      <c r="AB50" s="63">
        <f t="shared" si="3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141"/>
      <c r="AI50" s="138"/>
      <c r="AJ50" s="138"/>
      <c r="AK50" s="62">
        <f t="shared" si="19"/>
        <v>0</v>
      </c>
      <c r="AL50" s="72">
        <f t="shared" si="20"/>
        <v>0</v>
      </c>
      <c r="AM50" s="81">
        <f t="shared" si="21"/>
        <v>0</v>
      </c>
      <c r="AN50" s="80">
        <f t="shared" si="22"/>
        <v>0</v>
      </c>
      <c r="AO50" s="80">
        <f t="shared" si="23"/>
        <v>0</v>
      </c>
      <c r="AP50" s="114" t="e">
        <f t="shared" si="24"/>
        <v>#DIV/0!</v>
      </c>
      <c r="AQ50" s="115">
        <f t="shared" si="12"/>
        <v>0</v>
      </c>
      <c r="AR50" s="90">
        <f t="shared" ref="AR50:AR55" si="37">(D50+J50+O50)-(X50+AH50)</f>
        <v>0</v>
      </c>
    </row>
    <row r="51" spans="1:49" ht="15.75" x14ac:dyDescent="0.25">
      <c r="A51" t="str">
        <f t="shared" si="13"/>
        <v>46227E</v>
      </c>
      <c r="B51" s="51">
        <f t="shared" si="26"/>
        <v>46227</v>
      </c>
      <c r="C51" s="99" t="s">
        <v>88</v>
      </c>
      <c r="D51" s="91"/>
      <c r="E51" s="62"/>
      <c r="F51" s="62"/>
      <c r="G51" s="62">
        <f t="shared" si="33"/>
        <v>0</v>
      </c>
      <c r="H51" s="72">
        <f t="shared" si="34"/>
        <v>0</v>
      </c>
      <c r="I51" s="120"/>
      <c r="J51" s="120"/>
      <c r="K51" s="120"/>
      <c r="L51" s="120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35"/>
        <v>0</v>
      </c>
      <c r="AB51" s="63">
        <f t="shared" si="3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141"/>
      <c r="AI51" s="138"/>
      <c r="AJ51" s="138"/>
      <c r="AK51" s="62">
        <f t="shared" si="19"/>
        <v>0</v>
      </c>
      <c r="AL51" s="72">
        <f t="shared" si="20"/>
        <v>0</v>
      </c>
      <c r="AM51" s="81">
        <f t="shared" si="21"/>
        <v>0</v>
      </c>
      <c r="AN51" s="80">
        <f t="shared" si="22"/>
        <v>0</v>
      </c>
      <c r="AO51" s="80">
        <f t="shared" si="23"/>
        <v>0</v>
      </c>
      <c r="AP51" s="114" t="e">
        <f t="shared" si="24"/>
        <v>#DIV/0!</v>
      </c>
      <c r="AQ51" s="115">
        <f t="shared" si="12"/>
        <v>0</v>
      </c>
      <c r="AR51" s="90">
        <f t="shared" si="37"/>
        <v>0</v>
      </c>
    </row>
    <row r="52" spans="1:49" ht="15.75" x14ac:dyDescent="0.25">
      <c r="A52" t="str">
        <f t="shared" si="13"/>
        <v>46228M</v>
      </c>
      <c r="B52" s="51">
        <f t="shared" si="26"/>
        <v>46228</v>
      </c>
      <c r="C52" s="99" t="s">
        <v>87</v>
      </c>
      <c r="D52" s="91"/>
      <c r="E52" s="62"/>
      <c r="F52" s="62"/>
      <c r="G52" s="62">
        <f t="shared" ref="G52:G65" si="38">+D52*E52%</f>
        <v>0</v>
      </c>
      <c r="H52" s="72">
        <f t="shared" ref="H52:H65" si="39">+D52*F52%</f>
        <v>0</v>
      </c>
      <c r="I52" s="120"/>
      <c r="J52" s="120"/>
      <c r="K52" s="120"/>
      <c r="L52" s="120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ref="AA52:AA65" si="40">X52*Y52%</f>
        <v>0</v>
      </c>
      <c r="AB52" s="63">
        <f t="shared" ref="AB52:AB65" si="41">X52*Z52%</f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141"/>
      <c r="AI52" s="138"/>
      <c r="AJ52" s="138"/>
      <c r="AK52" s="62">
        <f t="shared" si="19"/>
        <v>0</v>
      </c>
      <c r="AL52" s="72">
        <f t="shared" si="20"/>
        <v>0</v>
      </c>
      <c r="AM52" s="81">
        <f t="shared" si="21"/>
        <v>0</v>
      </c>
      <c r="AN52" s="80">
        <f t="shared" si="22"/>
        <v>0</v>
      </c>
      <c r="AO52" s="80">
        <f t="shared" si="23"/>
        <v>0</v>
      </c>
      <c r="AP52" s="114" t="e">
        <f t="shared" si="24"/>
        <v>#DIV/0!</v>
      </c>
      <c r="AQ52" s="115">
        <f t="shared" si="12"/>
        <v>0</v>
      </c>
      <c r="AR52" s="90">
        <f t="shared" si="37"/>
        <v>0</v>
      </c>
    </row>
    <row r="53" spans="1:49" ht="15.75" x14ac:dyDescent="0.25">
      <c r="A53" t="str">
        <f t="shared" si="13"/>
        <v>46228E</v>
      </c>
      <c r="B53" s="51">
        <f t="shared" si="26"/>
        <v>46228</v>
      </c>
      <c r="C53" s="99" t="s">
        <v>88</v>
      </c>
      <c r="D53" s="91"/>
      <c r="E53" s="62"/>
      <c r="F53" s="62"/>
      <c r="G53" s="62">
        <f t="shared" si="38"/>
        <v>0</v>
      </c>
      <c r="H53" s="72">
        <f t="shared" si="39"/>
        <v>0</v>
      </c>
      <c r="I53" s="120"/>
      <c r="J53" s="120"/>
      <c r="K53" s="120"/>
      <c r="L53" s="120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40"/>
        <v>0</v>
      </c>
      <c r="AB53" s="63">
        <f t="shared" si="41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141"/>
      <c r="AI53" s="138"/>
      <c r="AJ53" s="138"/>
      <c r="AK53" s="62">
        <f t="shared" si="19"/>
        <v>0</v>
      </c>
      <c r="AL53" s="72">
        <f t="shared" si="20"/>
        <v>0</v>
      </c>
      <c r="AM53" s="81">
        <f t="shared" si="21"/>
        <v>0</v>
      </c>
      <c r="AN53" s="80">
        <f t="shared" si="22"/>
        <v>0</v>
      </c>
      <c r="AO53" s="80">
        <f t="shared" si="23"/>
        <v>0</v>
      </c>
      <c r="AP53" s="114" t="e">
        <f t="shared" si="24"/>
        <v>#DIV/0!</v>
      </c>
      <c r="AQ53" s="115">
        <f t="shared" si="12"/>
        <v>0</v>
      </c>
      <c r="AR53" s="90">
        <f t="shared" si="37"/>
        <v>0</v>
      </c>
    </row>
    <row r="54" spans="1:49" ht="15.75" x14ac:dyDescent="0.25">
      <c r="A54" t="str">
        <f t="shared" si="13"/>
        <v>46229M</v>
      </c>
      <c r="B54" s="51">
        <f t="shared" si="26"/>
        <v>46229</v>
      </c>
      <c r="C54" s="99" t="s">
        <v>87</v>
      </c>
      <c r="D54" s="91"/>
      <c r="E54" s="62"/>
      <c r="F54" s="62"/>
      <c r="G54" s="62">
        <f t="shared" si="38"/>
        <v>0</v>
      </c>
      <c r="H54" s="72">
        <f t="shared" si="39"/>
        <v>0</v>
      </c>
      <c r="I54" s="120"/>
      <c r="J54" s="120"/>
      <c r="K54" s="120"/>
      <c r="L54" s="120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104"/>
      <c r="X54" s="67"/>
      <c r="Y54" s="68"/>
      <c r="Z54" s="68"/>
      <c r="AA54" s="62">
        <f t="shared" si="40"/>
        <v>0</v>
      </c>
      <c r="AB54" s="63">
        <f t="shared" si="41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141"/>
      <c r="AI54" s="138"/>
      <c r="AJ54" s="138"/>
      <c r="AK54" s="62">
        <f t="shared" si="19"/>
        <v>0</v>
      </c>
      <c r="AL54" s="72">
        <f t="shared" si="20"/>
        <v>0</v>
      </c>
      <c r="AM54" s="81">
        <f t="shared" si="21"/>
        <v>0</v>
      </c>
      <c r="AN54" s="80">
        <f t="shared" si="22"/>
        <v>0</v>
      </c>
      <c r="AO54" s="80">
        <f t="shared" si="23"/>
        <v>0</v>
      </c>
      <c r="AP54" s="114" t="e">
        <f t="shared" si="24"/>
        <v>#DIV/0!</v>
      </c>
      <c r="AQ54" s="115">
        <f t="shared" si="12"/>
        <v>0</v>
      </c>
      <c r="AR54" s="90">
        <f t="shared" si="37"/>
        <v>0</v>
      </c>
    </row>
    <row r="55" spans="1:49" ht="15.75" x14ac:dyDescent="0.25">
      <c r="A55" t="str">
        <f t="shared" si="13"/>
        <v>46229E</v>
      </c>
      <c r="B55" s="51">
        <f t="shared" si="26"/>
        <v>46229</v>
      </c>
      <c r="C55" s="99" t="s">
        <v>88</v>
      </c>
      <c r="D55" s="91"/>
      <c r="E55" s="62"/>
      <c r="F55" s="62"/>
      <c r="G55" s="62">
        <f t="shared" si="38"/>
        <v>0</v>
      </c>
      <c r="H55" s="72">
        <f t="shared" si="39"/>
        <v>0</v>
      </c>
      <c r="I55" s="120"/>
      <c r="J55" s="120"/>
      <c r="K55" s="120"/>
      <c r="L55" s="120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104"/>
      <c r="X55" s="67"/>
      <c r="Y55" s="68"/>
      <c r="Z55" s="68"/>
      <c r="AA55" s="62">
        <f t="shared" si="40"/>
        <v>0</v>
      </c>
      <c r="AB55" s="63">
        <f t="shared" si="41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141"/>
      <c r="AI55" s="138"/>
      <c r="AJ55" s="138"/>
      <c r="AK55" s="62">
        <f t="shared" si="19"/>
        <v>0</v>
      </c>
      <c r="AL55" s="72">
        <f t="shared" si="20"/>
        <v>0</v>
      </c>
      <c r="AM55" s="81">
        <f t="shared" si="21"/>
        <v>0</v>
      </c>
      <c r="AN55" s="80">
        <f t="shared" si="22"/>
        <v>0</v>
      </c>
      <c r="AO55" s="80">
        <f t="shared" si="23"/>
        <v>0</v>
      </c>
      <c r="AP55" s="114" t="e">
        <f t="shared" si="24"/>
        <v>#DIV/0!</v>
      </c>
      <c r="AQ55" s="115">
        <f t="shared" si="12"/>
        <v>0</v>
      </c>
      <c r="AR55" s="90">
        <f t="shared" si="37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46230M</v>
      </c>
      <c r="B56" s="51">
        <f t="shared" si="26"/>
        <v>46230</v>
      </c>
      <c r="C56" s="99" t="s">
        <v>87</v>
      </c>
      <c r="D56" s="91"/>
      <c r="E56" s="62"/>
      <c r="F56" s="62"/>
      <c r="G56" s="62">
        <f t="shared" si="38"/>
        <v>0</v>
      </c>
      <c r="H56" s="72">
        <f t="shared" si="39"/>
        <v>0</v>
      </c>
      <c r="I56" s="120"/>
      <c r="J56" s="120"/>
      <c r="K56" s="120"/>
      <c r="L56" s="120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40"/>
        <v>0</v>
      </c>
      <c r="AB56" s="63">
        <f t="shared" si="41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141"/>
      <c r="AI56" s="138"/>
      <c r="AJ56" s="138"/>
      <c r="AK56" s="62">
        <f t="shared" si="19"/>
        <v>0</v>
      </c>
      <c r="AL56" s="72">
        <f t="shared" si="20"/>
        <v>0</v>
      </c>
      <c r="AM56" s="81">
        <f t="shared" si="21"/>
        <v>0</v>
      </c>
      <c r="AN56" s="80">
        <f t="shared" si="22"/>
        <v>0</v>
      </c>
      <c r="AO56" s="80">
        <f t="shared" si="23"/>
        <v>0</v>
      </c>
      <c r="AP56" s="114" t="e">
        <f t="shared" si="24"/>
        <v>#DIV/0!</v>
      </c>
      <c r="AQ56" s="115">
        <f t="shared" si="12"/>
        <v>0</v>
      </c>
      <c r="AR56" s="90">
        <f t="shared" si="28"/>
        <v>0</v>
      </c>
    </row>
    <row r="57" spans="1:49" ht="15.75" x14ac:dyDescent="0.25">
      <c r="A57" t="str">
        <f t="shared" si="13"/>
        <v>46230E</v>
      </c>
      <c r="B57" s="51">
        <f t="shared" si="26"/>
        <v>46230</v>
      </c>
      <c r="C57" s="99" t="s">
        <v>88</v>
      </c>
      <c r="D57" s="91"/>
      <c r="E57" s="62"/>
      <c r="F57" s="62"/>
      <c r="G57" s="62">
        <f t="shared" si="38"/>
        <v>0</v>
      </c>
      <c r="H57" s="72">
        <f t="shared" si="39"/>
        <v>0</v>
      </c>
      <c r="I57" s="120"/>
      <c r="J57" s="120"/>
      <c r="K57" s="120"/>
      <c r="L57" s="120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104"/>
      <c r="X57" s="67"/>
      <c r="Y57" s="68"/>
      <c r="Z57" s="68"/>
      <c r="AA57" s="62">
        <f t="shared" si="40"/>
        <v>0</v>
      </c>
      <c r="AB57" s="63">
        <f t="shared" si="41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141"/>
      <c r="AI57" s="138"/>
      <c r="AJ57" s="138"/>
      <c r="AK57" s="62">
        <f t="shared" si="19"/>
        <v>0</v>
      </c>
      <c r="AL57" s="72">
        <f t="shared" si="20"/>
        <v>0</v>
      </c>
      <c r="AM57" s="81">
        <f t="shared" si="21"/>
        <v>0</v>
      </c>
      <c r="AN57" s="80">
        <f t="shared" si="22"/>
        <v>0</v>
      </c>
      <c r="AO57" s="80">
        <f t="shared" si="23"/>
        <v>0</v>
      </c>
      <c r="AP57" s="114" t="e">
        <f t="shared" si="24"/>
        <v>#DIV/0!</v>
      </c>
      <c r="AQ57" s="115">
        <f t="shared" si="12"/>
        <v>0</v>
      </c>
      <c r="AR57" s="90">
        <f t="shared" si="28"/>
        <v>0</v>
      </c>
    </row>
    <row r="58" spans="1:49" ht="15.75" x14ac:dyDescent="0.25">
      <c r="A58" t="str">
        <f t="shared" si="13"/>
        <v>46231M</v>
      </c>
      <c r="B58" s="51">
        <f t="shared" si="26"/>
        <v>46231</v>
      </c>
      <c r="C58" s="99" t="s">
        <v>87</v>
      </c>
      <c r="D58" s="91"/>
      <c r="E58" s="62"/>
      <c r="F58" s="62"/>
      <c r="G58" s="62">
        <f t="shared" si="38"/>
        <v>0</v>
      </c>
      <c r="H58" s="72">
        <f t="shared" si="39"/>
        <v>0</v>
      </c>
      <c r="I58" s="120"/>
      <c r="J58" s="120"/>
      <c r="K58" s="120"/>
      <c r="L58" s="120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40"/>
        <v>0</v>
      </c>
      <c r="AB58" s="63">
        <f t="shared" si="41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141"/>
      <c r="AI58" s="138"/>
      <c r="AJ58" s="138"/>
      <c r="AK58" s="62">
        <f t="shared" si="19"/>
        <v>0</v>
      </c>
      <c r="AL58" s="72">
        <f t="shared" si="20"/>
        <v>0</v>
      </c>
      <c r="AM58" s="81">
        <f t="shared" si="21"/>
        <v>0</v>
      </c>
      <c r="AN58" s="80">
        <f t="shared" si="22"/>
        <v>0</v>
      </c>
      <c r="AO58" s="80">
        <f t="shared" si="23"/>
        <v>0</v>
      </c>
      <c r="AP58" s="114" t="e">
        <f t="shared" si="24"/>
        <v>#DIV/0!</v>
      </c>
      <c r="AQ58" s="115">
        <f t="shared" si="12"/>
        <v>0</v>
      </c>
      <c r="AR58" s="90">
        <f t="shared" ref="AR58:AR63" si="42">(D58+J58+O58)-(X58+AH58)</f>
        <v>0</v>
      </c>
    </row>
    <row r="59" spans="1:49" ht="15.75" x14ac:dyDescent="0.25">
      <c r="A59" t="str">
        <f t="shared" si="13"/>
        <v>46231E</v>
      </c>
      <c r="B59" s="51">
        <f t="shared" si="26"/>
        <v>46231</v>
      </c>
      <c r="C59" s="99" t="s">
        <v>88</v>
      </c>
      <c r="D59" s="91"/>
      <c r="E59" s="62"/>
      <c r="F59" s="62"/>
      <c r="G59" s="62">
        <f t="shared" si="38"/>
        <v>0</v>
      </c>
      <c r="H59" s="72">
        <f t="shared" si="39"/>
        <v>0</v>
      </c>
      <c r="I59" s="120"/>
      <c r="J59" s="120"/>
      <c r="K59" s="120"/>
      <c r="L59" s="120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40"/>
        <v>0</v>
      </c>
      <c r="AB59" s="63">
        <f t="shared" si="41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141"/>
      <c r="AI59" s="138"/>
      <c r="AJ59" s="138"/>
      <c r="AK59" s="62">
        <f t="shared" si="19"/>
        <v>0</v>
      </c>
      <c r="AL59" s="72">
        <f t="shared" si="20"/>
        <v>0</v>
      </c>
      <c r="AM59" s="81">
        <f t="shared" si="21"/>
        <v>0</v>
      </c>
      <c r="AN59" s="80">
        <f t="shared" si="22"/>
        <v>0</v>
      </c>
      <c r="AO59" s="80">
        <f t="shared" si="23"/>
        <v>0</v>
      </c>
      <c r="AP59" s="114" t="e">
        <f t="shared" si="24"/>
        <v>#DIV/0!</v>
      </c>
      <c r="AQ59" s="115">
        <f t="shared" si="12"/>
        <v>0</v>
      </c>
      <c r="AR59" s="90">
        <f t="shared" si="42"/>
        <v>0</v>
      </c>
    </row>
    <row r="60" spans="1:49" ht="15.75" x14ac:dyDescent="0.25">
      <c r="A60" t="str">
        <f t="shared" si="13"/>
        <v>46232M</v>
      </c>
      <c r="B60" s="51">
        <f t="shared" si="26"/>
        <v>46232</v>
      </c>
      <c r="C60" s="99" t="s">
        <v>87</v>
      </c>
      <c r="D60" s="91"/>
      <c r="E60" s="62"/>
      <c r="F60" s="62"/>
      <c r="G60" s="62">
        <f t="shared" si="38"/>
        <v>0</v>
      </c>
      <c r="H60" s="72">
        <f t="shared" si="39"/>
        <v>0</v>
      </c>
      <c r="I60" s="120"/>
      <c r="J60" s="120"/>
      <c r="K60" s="120"/>
      <c r="L60" s="120"/>
      <c r="M60" s="58"/>
      <c r="N60" s="58"/>
      <c r="O60" s="59"/>
      <c r="P60" s="56"/>
      <c r="Q60" s="60"/>
      <c r="R60" s="61">
        <f t="shared" si="14"/>
        <v>0</v>
      </c>
      <c r="S60" s="62">
        <f t="shared" si="15"/>
        <v>0</v>
      </c>
      <c r="T60" s="63">
        <f t="shared" si="16"/>
        <v>0</v>
      </c>
      <c r="U60" s="64"/>
      <c r="V60" s="65"/>
      <c r="W60" s="66"/>
      <c r="X60" s="67"/>
      <c r="Y60" s="68"/>
      <c r="Z60" s="68"/>
      <c r="AA60" s="62">
        <f t="shared" si="40"/>
        <v>0</v>
      </c>
      <c r="AB60" s="63">
        <f t="shared" si="41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141"/>
      <c r="AI60" s="138"/>
      <c r="AJ60" s="138"/>
      <c r="AK60" s="62">
        <f t="shared" si="19"/>
        <v>0</v>
      </c>
      <c r="AL60" s="72">
        <f t="shared" si="20"/>
        <v>0</v>
      </c>
      <c r="AM60" s="81">
        <f t="shared" si="21"/>
        <v>0</v>
      </c>
      <c r="AN60" s="80">
        <f t="shared" si="22"/>
        <v>0</v>
      </c>
      <c r="AO60" s="80">
        <f t="shared" si="23"/>
        <v>0</v>
      </c>
      <c r="AP60" s="114" t="e">
        <f t="shared" si="24"/>
        <v>#DIV/0!</v>
      </c>
      <c r="AQ60" s="115">
        <f t="shared" si="12"/>
        <v>0</v>
      </c>
      <c r="AR60" s="90">
        <f t="shared" si="42"/>
        <v>0</v>
      </c>
    </row>
    <row r="61" spans="1:49" ht="15.75" x14ac:dyDescent="0.25">
      <c r="A61" t="str">
        <f t="shared" si="13"/>
        <v>46232E</v>
      </c>
      <c r="B61" s="51">
        <f t="shared" si="26"/>
        <v>46232</v>
      </c>
      <c r="C61" s="99" t="s">
        <v>88</v>
      </c>
      <c r="D61" s="91"/>
      <c r="E61" s="62"/>
      <c r="F61" s="62"/>
      <c r="G61" s="62">
        <f t="shared" si="38"/>
        <v>0</v>
      </c>
      <c r="H61" s="72">
        <f t="shared" si="39"/>
        <v>0</v>
      </c>
      <c r="I61" s="120"/>
      <c r="J61" s="120"/>
      <c r="K61" s="120"/>
      <c r="L61" s="120"/>
      <c r="M61" s="58"/>
      <c r="N61" s="58"/>
      <c r="O61" s="59"/>
      <c r="P61" s="56"/>
      <c r="Q61" s="60"/>
      <c r="R61" s="61">
        <f t="shared" si="14"/>
        <v>0</v>
      </c>
      <c r="S61" s="62">
        <f t="shared" si="15"/>
        <v>0</v>
      </c>
      <c r="T61" s="63">
        <f t="shared" si="16"/>
        <v>0</v>
      </c>
      <c r="U61" s="64"/>
      <c r="V61" s="65"/>
      <c r="W61" s="104"/>
      <c r="X61" s="67"/>
      <c r="Y61" s="68"/>
      <c r="Z61" s="68"/>
      <c r="AA61" s="62">
        <f t="shared" si="40"/>
        <v>0</v>
      </c>
      <c r="AB61" s="63">
        <f t="shared" si="41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141"/>
      <c r="AI61" s="138"/>
      <c r="AJ61" s="138"/>
      <c r="AK61" s="62">
        <f t="shared" si="19"/>
        <v>0</v>
      </c>
      <c r="AL61" s="72">
        <f t="shared" si="20"/>
        <v>0</v>
      </c>
      <c r="AM61" s="81">
        <f t="shared" si="21"/>
        <v>0</v>
      </c>
      <c r="AN61" s="80">
        <f t="shared" si="22"/>
        <v>0</v>
      </c>
      <c r="AO61" s="80">
        <f t="shared" si="23"/>
        <v>0</v>
      </c>
      <c r="AP61" s="114" t="e">
        <f t="shared" si="24"/>
        <v>#DIV/0!</v>
      </c>
      <c r="AQ61" s="115">
        <f t="shared" si="12"/>
        <v>0</v>
      </c>
      <c r="AR61" s="90">
        <f t="shared" si="4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46233M</v>
      </c>
      <c r="B62" s="51">
        <f t="shared" si="26"/>
        <v>46233</v>
      </c>
      <c r="C62" s="99" t="s">
        <v>87</v>
      </c>
      <c r="D62" s="91"/>
      <c r="E62" s="62"/>
      <c r="F62" s="62"/>
      <c r="G62" s="62">
        <f t="shared" si="38"/>
        <v>0</v>
      </c>
      <c r="H62" s="72">
        <f t="shared" si="39"/>
        <v>0</v>
      </c>
      <c r="I62" s="120"/>
      <c r="J62" s="120"/>
      <c r="K62" s="120"/>
      <c r="L62" s="120"/>
      <c r="M62" s="58"/>
      <c r="N62" s="58"/>
      <c r="O62" s="59"/>
      <c r="P62" s="56"/>
      <c r="Q62" s="60"/>
      <c r="R62" s="61">
        <f t="shared" si="14"/>
        <v>0</v>
      </c>
      <c r="S62" s="62">
        <f t="shared" si="15"/>
        <v>0</v>
      </c>
      <c r="T62" s="63">
        <f t="shared" si="16"/>
        <v>0</v>
      </c>
      <c r="U62" s="64"/>
      <c r="V62" s="65"/>
      <c r="W62" s="104"/>
      <c r="X62" s="67"/>
      <c r="Y62" s="68"/>
      <c r="Z62" s="68"/>
      <c r="AA62" s="62">
        <f t="shared" si="40"/>
        <v>0</v>
      </c>
      <c r="AB62" s="63">
        <f t="shared" si="41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141"/>
      <c r="AI62" s="138"/>
      <c r="AJ62" s="138"/>
      <c r="AK62" s="62">
        <f t="shared" si="19"/>
        <v>0</v>
      </c>
      <c r="AL62" s="72">
        <f t="shared" si="20"/>
        <v>0</v>
      </c>
      <c r="AM62" s="81">
        <f t="shared" si="21"/>
        <v>0</v>
      </c>
      <c r="AN62" s="80">
        <f t="shared" si="22"/>
        <v>0</v>
      </c>
      <c r="AO62" s="80">
        <f t="shared" si="23"/>
        <v>0</v>
      </c>
      <c r="AP62" s="114" t="e">
        <f t="shared" si="24"/>
        <v>#DIV/0!</v>
      </c>
      <c r="AQ62" s="115">
        <f t="shared" si="12"/>
        <v>0</v>
      </c>
      <c r="AR62" s="90">
        <f t="shared" si="42"/>
        <v>0</v>
      </c>
    </row>
    <row r="63" spans="1:49" ht="15.75" x14ac:dyDescent="0.25">
      <c r="A63" t="str">
        <f t="shared" si="13"/>
        <v>46233E</v>
      </c>
      <c r="B63" s="51">
        <f t="shared" si="26"/>
        <v>46233</v>
      </c>
      <c r="C63" s="99" t="s">
        <v>88</v>
      </c>
      <c r="D63" s="91"/>
      <c r="E63" s="62"/>
      <c r="F63" s="62"/>
      <c r="G63" s="62">
        <f t="shared" si="38"/>
        <v>0</v>
      </c>
      <c r="H63" s="72">
        <f t="shared" si="39"/>
        <v>0</v>
      </c>
      <c r="I63" s="120"/>
      <c r="J63" s="120"/>
      <c r="K63" s="120"/>
      <c r="L63" s="120"/>
      <c r="M63" s="58"/>
      <c r="N63" s="58"/>
      <c r="O63" s="59"/>
      <c r="P63" s="56"/>
      <c r="Q63" s="60"/>
      <c r="R63" s="61">
        <f t="shared" si="14"/>
        <v>0</v>
      </c>
      <c r="S63" s="62">
        <f t="shared" si="15"/>
        <v>0</v>
      </c>
      <c r="T63" s="63">
        <f t="shared" si="16"/>
        <v>0</v>
      </c>
      <c r="U63" s="64"/>
      <c r="V63" s="65"/>
      <c r="W63" s="104"/>
      <c r="X63" s="67"/>
      <c r="Y63" s="68"/>
      <c r="Z63" s="68"/>
      <c r="AA63" s="62">
        <f t="shared" si="40"/>
        <v>0</v>
      </c>
      <c r="AB63" s="63">
        <f t="shared" si="41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141"/>
      <c r="AI63" s="138"/>
      <c r="AJ63" s="138"/>
      <c r="AK63" s="62">
        <f t="shared" si="19"/>
        <v>0</v>
      </c>
      <c r="AL63" s="72">
        <f t="shared" si="20"/>
        <v>0</v>
      </c>
      <c r="AM63" s="81">
        <f t="shared" si="21"/>
        <v>0</v>
      </c>
      <c r="AN63" s="80">
        <f t="shared" si="22"/>
        <v>0</v>
      </c>
      <c r="AO63" s="80">
        <f t="shared" si="23"/>
        <v>0</v>
      </c>
      <c r="AP63" s="114" t="e">
        <f t="shared" si="24"/>
        <v>#DIV/0!</v>
      </c>
      <c r="AQ63" s="115">
        <f t="shared" si="12"/>
        <v>0</v>
      </c>
      <c r="AR63" s="90">
        <f t="shared" si="42"/>
        <v>0</v>
      </c>
    </row>
    <row r="64" spans="1:49" ht="15.75" x14ac:dyDescent="0.25">
      <c r="A64" t="str">
        <f t="shared" si="13"/>
        <v>46234M</v>
      </c>
      <c r="B64" s="51">
        <f t="shared" si="26"/>
        <v>46234</v>
      </c>
      <c r="C64" s="99" t="s">
        <v>87</v>
      </c>
      <c r="D64" s="105"/>
      <c r="E64" s="106"/>
      <c r="F64" s="106"/>
      <c r="G64" s="62">
        <f t="shared" si="38"/>
        <v>0</v>
      </c>
      <c r="H64" s="72">
        <f t="shared" si="39"/>
        <v>0</v>
      </c>
      <c r="I64" s="120"/>
      <c r="J64" s="120"/>
      <c r="K64" s="120"/>
      <c r="L64" s="120"/>
      <c r="M64" s="58"/>
      <c r="N64" s="58"/>
      <c r="O64" s="59"/>
      <c r="P64" s="56"/>
      <c r="Q64" s="60"/>
      <c r="R64" s="61">
        <f t="shared" si="14"/>
        <v>0</v>
      </c>
      <c r="S64" s="62">
        <f t="shared" si="15"/>
        <v>0</v>
      </c>
      <c r="T64" s="63">
        <f t="shared" si="16"/>
        <v>0</v>
      </c>
      <c r="U64" s="102"/>
      <c r="V64" s="65"/>
      <c r="W64" s="104"/>
      <c r="X64" s="67"/>
      <c r="Y64" s="68"/>
      <c r="Z64" s="68"/>
      <c r="AA64" s="62">
        <f t="shared" si="40"/>
        <v>0</v>
      </c>
      <c r="AB64" s="63">
        <f t="shared" si="41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141"/>
      <c r="AI64" s="138"/>
      <c r="AJ64" s="138"/>
      <c r="AK64" s="62">
        <f t="shared" si="19"/>
        <v>0</v>
      </c>
      <c r="AL64" s="72">
        <f t="shared" si="20"/>
        <v>0</v>
      </c>
      <c r="AM64" s="81">
        <f t="shared" si="21"/>
        <v>0</v>
      </c>
      <c r="AN64" s="80">
        <f t="shared" si="22"/>
        <v>0</v>
      </c>
      <c r="AO64" s="80">
        <f t="shared" si="23"/>
        <v>0</v>
      </c>
      <c r="AP64" s="114" t="e">
        <f t="shared" si="24"/>
        <v>#DIV/0!</v>
      </c>
      <c r="AQ64" s="115">
        <f t="shared" si="12"/>
        <v>0</v>
      </c>
    </row>
    <row r="65" spans="1:43" ht="15.75" x14ac:dyDescent="0.25">
      <c r="A65" t="str">
        <f t="shared" si="13"/>
        <v>46234E</v>
      </c>
      <c r="B65" s="51">
        <f t="shared" si="26"/>
        <v>46234</v>
      </c>
      <c r="C65" s="99" t="s">
        <v>88</v>
      </c>
      <c r="D65" s="105"/>
      <c r="E65" s="106"/>
      <c r="F65" s="106"/>
      <c r="G65" s="62">
        <f t="shared" si="38"/>
        <v>0</v>
      </c>
      <c r="H65" s="72">
        <f t="shared" si="39"/>
        <v>0</v>
      </c>
      <c r="I65" s="120"/>
      <c r="J65" s="120"/>
      <c r="K65" s="120"/>
      <c r="L65" s="120"/>
      <c r="M65" s="58"/>
      <c r="N65" s="58"/>
      <c r="O65" s="59"/>
      <c r="P65" s="56"/>
      <c r="Q65" s="60"/>
      <c r="R65" s="61">
        <f t="shared" si="14"/>
        <v>0</v>
      </c>
      <c r="S65" s="62">
        <f t="shared" si="15"/>
        <v>0</v>
      </c>
      <c r="T65" s="63">
        <f t="shared" si="16"/>
        <v>0</v>
      </c>
      <c r="U65" s="102"/>
      <c r="V65" s="103"/>
      <c r="W65" s="104"/>
      <c r="X65" s="112"/>
      <c r="Y65" s="113"/>
      <c r="Z65" s="113"/>
      <c r="AA65" s="62">
        <f t="shared" si="40"/>
        <v>0</v>
      </c>
      <c r="AB65" s="63">
        <f t="shared" si="41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141"/>
      <c r="AI65" s="138"/>
      <c r="AJ65" s="138"/>
      <c r="AK65" s="62">
        <f t="shared" si="19"/>
        <v>0</v>
      </c>
      <c r="AL65" s="72">
        <f t="shared" si="20"/>
        <v>0</v>
      </c>
      <c r="AM65" s="81">
        <f t="shared" si="21"/>
        <v>0</v>
      </c>
      <c r="AN65" s="80">
        <f t="shared" si="22"/>
        <v>0</v>
      </c>
      <c r="AO65" s="80">
        <f t="shared" si="23"/>
        <v>0</v>
      </c>
      <c r="AP65" s="114" t="e">
        <f t="shared" si="24"/>
        <v>#DIV/0!</v>
      </c>
      <c r="AQ65" s="115">
        <f t="shared" si="12"/>
        <v>0</v>
      </c>
    </row>
    <row r="66" spans="1:43" x14ac:dyDescent="0.25">
      <c r="J66" s="83">
        <f>SUM(J4:J65)</f>
        <v>113470.1045</v>
      </c>
      <c r="AM66" s="97">
        <f t="shared" ref="AM66:AO66" si="43">-SUM(AM4:AM65)</f>
        <v>-1080.1044999999976</v>
      </c>
      <c r="AN66" s="97">
        <f>-SUM(AN4:AN65)</f>
        <v>21.545848499999437</v>
      </c>
      <c r="AO66" s="97">
        <f t="shared" si="43"/>
        <v>-8.8522150000003634</v>
      </c>
      <c r="AP66" s="97"/>
      <c r="AQ66" s="97">
        <f>-SUM(AQ4:AQ65)</f>
        <v>7702.3218590475763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9" priority="2" operator="lessThan">
      <formula>0.1</formula>
    </cfRule>
    <cfRule type="cellIs" dxfId="48" priority="3" operator="greaterThan">
      <formula>0.1</formula>
    </cfRule>
  </conditionalFormatting>
  <conditionalFormatting sqref="AP1:AQ1">
    <cfRule type="cellIs" dxfId="47" priority="1" operator="lessThan">
      <formula>1</formula>
    </cfRule>
  </conditionalFormatting>
  <conditionalFormatting sqref="AQ4:AQ65"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AW66"/>
  <sheetViews>
    <sheetView topLeftCell="A2" zoomScale="80" zoomScaleNormal="80" workbookViewId="0">
      <pane xSplit="3" ySplit="2" topLeftCell="D4" activePane="bottomRight" state="frozen"/>
      <selection activeCell="AH28" sqref="AH28:AJ41"/>
      <selection pane="topRight" activeCell="AH28" sqref="AH28:AJ41"/>
      <selection pane="bottomLeft" activeCell="AH28" sqref="AH28:AJ41"/>
      <selection pane="bottomRight" activeCell="AC21" sqref="AC21:AE21"/>
    </sheetView>
  </sheetViews>
  <sheetFormatPr defaultRowHeight="15" x14ac:dyDescent="0.25"/>
  <cols>
    <col min="1" max="1" width="2.85546875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8.42578125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20" width="7.28515625" customWidth="1"/>
    <col min="21" max="21" width="9.28515625" customWidth="1"/>
    <col min="22" max="22" width="9.7109375" customWidth="1"/>
    <col min="23" max="23" width="10.85546875" customWidth="1"/>
    <col min="24" max="24" width="8.5703125" bestFit="1" customWidth="1"/>
    <col min="25" max="26" width="5.85546875" bestFit="1" customWidth="1"/>
    <col min="27" max="28" width="7.42578125" customWidth="1"/>
    <col min="29" max="29" width="8.85546875" customWidth="1"/>
    <col min="30" max="31" width="5.85546875" bestFit="1" customWidth="1"/>
    <col min="32" max="33" width="7.140625" customWidth="1"/>
    <col min="34" max="34" width="8.140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28515625" bestFit="1" customWidth="1"/>
    <col min="45" max="45" width="6.5703125" bestFit="1" customWidth="1"/>
    <col min="46" max="46" width="7.85546875" bestFit="1" customWidth="1"/>
    <col min="47" max="48" width="6.7109375" bestFit="1" customWidth="1"/>
    <col min="49" max="49" width="8.85546875" bestFit="1" customWidth="1"/>
  </cols>
  <sheetData>
    <row r="1" spans="1:44" ht="15.75" thickBot="1" x14ac:dyDescent="0.3">
      <c r="B1" s="43" t="s">
        <v>96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200">
        <v>20200</v>
      </c>
      <c r="E4" s="201">
        <v>4.55</v>
      </c>
      <c r="F4" s="201">
        <v>8.5500000000000007</v>
      </c>
      <c r="G4" s="62">
        <f t="shared" ref="G4:G15" si="0">+D4*E4%</f>
        <v>919.1</v>
      </c>
      <c r="H4" s="72">
        <f t="shared" ref="H4:H15" si="1">+D4*F4%</f>
        <v>1727.1000000000001</v>
      </c>
      <c r="I4" s="202">
        <v>4515.2</v>
      </c>
      <c r="J4" s="202">
        <v>4650.6559999999999</v>
      </c>
      <c r="K4" s="202">
        <v>4.5937101346562708</v>
      </c>
      <c r="L4" s="202">
        <v>8.3075101878100615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4650.6559999999999</v>
      </c>
      <c r="S4" s="62">
        <f t="shared" ref="S4" si="3">+J4*K4%+O4*P4%</f>
        <v>213.63765599999994</v>
      </c>
      <c r="T4" s="63">
        <f t="shared" ref="T4" si="4">+J4*L4%+O4*Q4%</f>
        <v>386.35372099999989</v>
      </c>
      <c r="U4" s="64" t="s">
        <v>200</v>
      </c>
      <c r="V4" s="65" t="s">
        <v>240</v>
      </c>
      <c r="W4" s="66" t="s">
        <v>201</v>
      </c>
      <c r="X4" s="67">
        <v>18500</v>
      </c>
      <c r="Y4" s="68">
        <v>4.55</v>
      </c>
      <c r="Z4" s="68">
        <v>8.32</v>
      </c>
      <c r="AA4" s="62">
        <f t="shared" ref="AA4:AA36" si="5">X4*Y4%</f>
        <v>841.75</v>
      </c>
      <c r="AB4" s="63">
        <f t="shared" ref="AB4:AB36" si="6">X4*Z4%</f>
        <v>1539.1999999999998</v>
      </c>
      <c r="AC4" s="69">
        <v>18360</v>
      </c>
      <c r="AD4" s="70">
        <v>4.5</v>
      </c>
      <c r="AE4" s="70">
        <v>8.25</v>
      </c>
      <c r="AF4" s="62">
        <f t="shared" ref="AF4:AF36" si="7">AC4*AD4%</f>
        <v>826.19999999999993</v>
      </c>
      <c r="AG4" s="63">
        <f t="shared" ref="AG4:AG36" si="8">AC4*AE4%</f>
        <v>1514.7</v>
      </c>
      <c r="AH4" s="96">
        <v>6350</v>
      </c>
      <c r="AI4" s="66">
        <v>4.5599999999999996</v>
      </c>
      <c r="AJ4" s="66">
        <v>8.51</v>
      </c>
      <c r="AK4" s="62">
        <f t="shared" ref="AK4" si="9">AH4*AI4%</f>
        <v>289.55999999999995</v>
      </c>
      <c r="AL4" s="72">
        <f t="shared" ref="AL4" si="10">AH4*AJ4%</f>
        <v>540.38499999999999</v>
      </c>
      <c r="AM4" s="73">
        <f>+D4+R4-AC4-AH4</f>
        <v>140.65599999999904</v>
      </c>
      <c r="AN4" s="74">
        <f t="shared" ref="AN4:AO4" si="11">+G4+S4-AF4-AK4</f>
        <v>16.977656000000138</v>
      </c>
      <c r="AO4" s="74">
        <f t="shared" si="11"/>
        <v>58.368720999999823</v>
      </c>
      <c r="AP4" s="75">
        <f>(AN4+AO4)/(S4+T4)</f>
        <v>0.12557909978096232</v>
      </c>
      <c r="AQ4" s="76">
        <f t="shared" ref="AQ4" si="12">($AP$1*AN4+$AQ$1*AO4)</f>
        <v>25639.228581335428</v>
      </c>
      <c r="AR4" s="90">
        <f t="shared" ref="AR4:AR65" si="13">(D4+J4+O4)-(X4+AH4)</f>
        <v>0.65599999999903957</v>
      </c>
    </row>
    <row r="5" spans="1:44" x14ac:dyDescent="0.25">
      <c r="A5" t="str">
        <f t="shared" ref="A5:A65" si="14">CONCATENATE(B5,C5)</f>
        <v>46204E</v>
      </c>
      <c r="B5" s="51">
        <f>+B4</f>
        <v>46204</v>
      </c>
      <c r="C5" s="52" t="s">
        <v>88</v>
      </c>
      <c r="D5" s="91">
        <v>6350</v>
      </c>
      <c r="E5" s="62">
        <v>4.5599999999999996</v>
      </c>
      <c r="F5" s="62">
        <v>8.51</v>
      </c>
      <c r="G5" s="62">
        <f t="shared" si="0"/>
        <v>289.55999999999995</v>
      </c>
      <c r="H5" s="72">
        <f t="shared" si="1"/>
        <v>540.38499999999999</v>
      </c>
      <c r="I5" s="202">
        <v>5881.2000000000007</v>
      </c>
      <c r="J5" s="202">
        <v>6057.6360000000013</v>
      </c>
      <c r="K5" s="202">
        <v>4.4029109705502272</v>
      </c>
      <c r="L5" s="202">
        <v>8.4688822009113771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5">+J5+O5</f>
        <v>6057.6360000000013</v>
      </c>
      <c r="S5" s="62">
        <f t="shared" ref="S5:S65" si="16">+J5*K5%+O5*P5%</f>
        <v>266.71232000000003</v>
      </c>
      <c r="T5" s="63">
        <f t="shared" ref="T5:T65" si="17">+J5*L5%+O5*Q5%</f>
        <v>513.01405700000009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3">
        <f t="shared" si="8"/>
        <v>0</v>
      </c>
      <c r="AH5" s="96">
        <v>12407</v>
      </c>
      <c r="AI5" s="66">
        <v>4.4800000000000004</v>
      </c>
      <c r="AJ5" s="66">
        <v>8.49</v>
      </c>
      <c r="AK5" s="62">
        <f t="shared" ref="AK5:AK65" si="18">AH5*AI5%</f>
        <v>555.83360000000005</v>
      </c>
      <c r="AL5" s="72">
        <f t="shared" ref="AL5:AL65" si="19">AH5*AJ5%</f>
        <v>1053.3543</v>
      </c>
      <c r="AM5" s="73">
        <f t="shared" ref="AM5:AM65" si="20">+D5+R5-AC5-AH5</f>
        <v>0.63600000000224099</v>
      </c>
      <c r="AN5" s="74">
        <f t="shared" ref="AN5:AN65" si="21">+G5+S5-AF5-AK5</f>
        <v>0.43871999999998934</v>
      </c>
      <c r="AO5" s="74">
        <f t="shared" ref="AO5:AO65" si="22">+H5+T5-AG5-AL5</f>
        <v>4.4757000000117841E-2</v>
      </c>
      <c r="AP5" s="75">
        <f t="shared" ref="AP5:AP65" si="23">(AN5+AO5)/(S5+T5)</f>
        <v>6.2005982388371489E-4</v>
      </c>
      <c r="AQ5" s="76">
        <f t="shared" ref="AQ5:AQ65" si="24">($AP$1*AN5+$AQ$1*AO5)</f>
        <v>224.22356181820257</v>
      </c>
      <c r="AR5" s="90">
        <f t="shared" si="13"/>
        <v>0.63600000000224099</v>
      </c>
    </row>
    <row r="6" spans="1:44" x14ac:dyDescent="0.25">
      <c r="A6" t="str">
        <f t="shared" si="14"/>
        <v>46205M</v>
      </c>
      <c r="B6" s="51">
        <f>+B4+1</f>
        <v>46205</v>
      </c>
      <c r="C6" s="52" t="s">
        <v>87</v>
      </c>
      <c r="D6" s="91">
        <v>12407</v>
      </c>
      <c r="E6" s="62">
        <v>4.4800000000000004</v>
      </c>
      <c r="F6" s="62">
        <v>8.49</v>
      </c>
      <c r="G6" s="62">
        <f t="shared" si="0"/>
        <v>555.83360000000005</v>
      </c>
      <c r="H6" s="72">
        <f t="shared" si="1"/>
        <v>1053.3543</v>
      </c>
      <c r="I6" s="202">
        <v>5121.4000000000005</v>
      </c>
      <c r="J6" s="202">
        <v>5275.0420000000004</v>
      </c>
      <c r="K6" s="202">
        <v>4.7155270043347519</v>
      </c>
      <c r="L6" s="202">
        <v>8.3717030499472802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5"/>
        <v>5275.0420000000004</v>
      </c>
      <c r="S6" s="62">
        <f t="shared" si="16"/>
        <v>248.74602999999999</v>
      </c>
      <c r="T6" s="63">
        <f t="shared" si="17"/>
        <v>441.61085200000008</v>
      </c>
      <c r="U6" s="64" t="s">
        <v>199</v>
      </c>
      <c r="V6" s="65" t="s">
        <v>241</v>
      </c>
      <c r="W6" s="66" t="s">
        <v>184</v>
      </c>
      <c r="X6" s="67">
        <v>9050</v>
      </c>
      <c r="Y6" s="68">
        <v>4.4000000000000004</v>
      </c>
      <c r="Z6" s="68">
        <v>8.3699999999999992</v>
      </c>
      <c r="AA6" s="62">
        <f t="shared" si="5"/>
        <v>398.20000000000005</v>
      </c>
      <c r="AB6" s="63">
        <f t="shared" si="6"/>
        <v>757.48500000000001</v>
      </c>
      <c r="AC6" s="69">
        <v>8920</v>
      </c>
      <c r="AD6" s="70">
        <v>4.3028026905829586</v>
      </c>
      <c r="AE6" s="70">
        <v>8.2778923766816135</v>
      </c>
      <c r="AF6" s="62">
        <f t="shared" si="7"/>
        <v>383.80999999999995</v>
      </c>
      <c r="AG6" s="63">
        <f t="shared" si="8"/>
        <v>738.38799999999992</v>
      </c>
      <c r="AH6" s="96">
        <v>8632</v>
      </c>
      <c r="AI6" s="66">
        <v>4.55</v>
      </c>
      <c r="AJ6" s="66">
        <v>8.4499999999999993</v>
      </c>
      <c r="AK6" s="62">
        <f t="shared" si="18"/>
        <v>392.75599999999997</v>
      </c>
      <c r="AL6" s="72">
        <f t="shared" si="19"/>
        <v>729.40399999999988</v>
      </c>
      <c r="AM6" s="73">
        <f t="shared" si="20"/>
        <v>130.04200000000128</v>
      </c>
      <c r="AN6" s="74">
        <f t="shared" si="21"/>
        <v>28.013630000000148</v>
      </c>
      <c r="AO6" s="74">
        <f t="shared" si="22"/>
        <v>27.173152000000186</v>
      </c>
      <c r="AP6" s="75">
        <f t="shared" si="23"/>
        <v>7.9939497148375394E-2</v>
      </c>
      <c r="AQ6" s="76">
        <f t="shared" si="24"/>
        <v>21599.578073240245</v>
      </c>
      <c r="AR6" s="90">
        <f t="shared" si="13"/>
        <v>4.2000000001280569E-2</v>
      </c>
    </row>
    <row r="7" spans="1:44" x14ac:dyDescent="0.25">
      <c r="A7" t="str">
        <f t="shared" si="14"/>
        <v>46205E</v>
      </c>
      <c r="B7" s="51">
        <f>+B5+1</f>
        <v>46205</v>
      </c>
      <c r="C7" s="52" t="s">
        <v>88</v>
      </c>
      <c r="D7" s="91">
        <v>8632</v>
      </c>
      <c r="E7" s="62">
        <v>4.55</v>
      </c>
      <c r="F7" s="62">
        <v>8.4499999999999993</v>
      </c>
      <c r="G7" s="62">
        <f t="shared" si="0"/>
        <v>392.75599999999997</v>
      </c>
      <c r="H7" s="72">
        <f t="shared" si="1"/>
        <v>729.40399999999988</v>
      </c>
      <c r="I7" s="202">
        <v>5963.4000000000005</v>
      </c>
      <c r="J7" s="202">
        <v>6142.3020000000006</v>
      </c>
      <c r="K7" s="202">
        <v>4.3729198108461613</v>
      </c>
      <c r="L7" s="202">
        <v>8.3215380487641273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5"/>
        <v>6142.3020000000006</v>
      </c>
      <c r="S7" s="62">
        <f t="shared" si="16"/>
        <v>268.59794099999999</v>
      </c>
      <c r="T7" s="63">
        <f t="shared" si="17"/>
        <v>511.13399799999996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96">
        <v>15600</v>
      </c>
      <c r="AI7" s="66">
        <v>4.55</v>
      </c>
      <c r="AJ7" s="66">
        <v>8.4499999999999993</v>
      </c>
      <c r="AK7" s="62">
        <f t="shared" si="18"/>
        <v>709.8</v>
      </c>
      <c r="AL7" s="72">
        <f t="shared" si="19"/>
        <v>1318.1999999999998</v>
      </c>
      <c r="AM7" s="73">
        <f t="shared" si="20"/>
        <v>-825.69800000000032</v>
      </c>
      <c r="AN7" s="74">
        <f t="shared" si="21"/>
        <v>-48.446058999999991</v>
      </c>
      <c r="AO7" s="74">
        <f t="shared" si="22"/>
        <v>-77.66200200000003</v>
      </c>
      <c r="AP7" s="75">
        <f t="shared" si="23"/>
        <v>-0.16173258358729362</v>
      </c>
      <c r="AQ7" s="76">
        <f t="shared" si="24"/>
        <v>-46538.986307726693</v>
      </c>
      <c r="AR7" s="90">
        <f t="shared" si="13"/>
        <v>-825.69800000000032</v>
      </c>
    </row>
    <row r="8" spans="1:44" x14ac:dyDescent="0.25">
      <c r="A8" t="str">
        <f t="shared" si="14"/>
        <v>46206M</v>
      </c>
      <c r="B8" s="51">
        <f>+B6+1</f>
        <v>46206</v>
      </c>
      <c r="C8" s="52" t="s">
        <v>87</v>
      </c>
      <c r="D8" s="91">
        <v>15600</v>
      </c>
      <c r="E8" s="62">
        <v>4.55</v>
      </c>
      <c r="F8" s="62">
        <v>8.4499999999999993</v>
      </c>
      <c r="G8" s="62">
        <f t="shared" si="0"/>
        <v>709.8</v>
      </c>
      <c r="H8" s="72">
        <f t="shared" si="1"/>
        <v>1318.1999999999998</v>
      </c>
      <c r="I8" s="202">
        <v>5243.8000000000011</v>
      </c>
      <c r="J8" s="202">
        <v>5401.1140000000014</v>
      </c>
      <c r="K8" s="202">
        <v>4.6619264655402564</v>
      </c>
      <c r="L8" s="202">
        <v>8.4373145428887444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5"/>
        <v>5401.1140000000014</v>
      </c>
      <c r="S8" s="62">
        <f t="shared" si="16"/>
        <v>251.79596300000003</v>
      </c>
      <c r="T8" s="63">
        <f t="shared" si="17"/>
        <v>455.70897700000012</v>
      </c>
      <c r="U8" s="64" t="s">
        <v>200</v>
      </c>
      <c r="V8" s="65" t="s">
        <v>338</v>
      </c>
      <c r="W8" s="66" t="s">
        <v>201</v>
      </c>
      <c r="X8" s="67">
        <v>18000</v>
      </c>
      <c r="Y8" s="68">
        <v>4.6500000000000004</v>
      </c>
      <c r="Z8" s="68">
        <v>8.34</v>
      </c>
      <c r="AA8" s="62">
        <f t="shared" si="5"/>
        <v>837.00000000000011</v>
      </c>
      <c r="AB8" s="63">
        <f t="shared" si="6"/>
        <v>1501.2</v>
      </c>
      <c r="AC8" s="69">
        <v>17830</v>
      </c>
      <c r="AD8" s="70">
        <v>4.5</v>
      </c>
      <c r="AE8" s="70">
        <v>8.31</v>
      </c>
      <c r="AF8" s="62">
        <f t="shared" si="7"/>
        <v>802.35</v>
      </c>
      <c r="AG8" s="63">
        <f>AC8*AE8%</f>
        <v>1481.6730000000002</v>
      </c>
      <c r="AH8" s="96">
        <v>3001</v>
      </c>
      <c r="AI8" s="66">
        <v>4.58</v>
      </c>
      <c r="AJ8" s="66">
        <v>8.4499999999999993</v>
      </c>
      <c r="AK8" s="62">
        <f t="shared" si="18"/>
        <v>137.44579999999999</v>
      </c>
      <c r="AL8" s="72">
        <f t="shared" si="19"/>
        <v>253.58449999999996</v>
      </c>
      <c r="AM8" s="73">
        <f t="shared" si="20"/>
        <v>170.1140000000014</v>
      </c>
      <c r="AN8" s="74">
        <f t="shared" si="21"/>
        <v>21.800162999999969</v>
      </c>
      <c r="AO8" s="74">
        <f t="shared" si="22"/>
        <v>38.651476999999858</v>
      </c>
      <c r="AP8" s="75">
        <f t="shared" si="23"/>
        <v>8.5443417539953589E-2</v>
      </c>
      <c r="AQ8" s="76">
        <f t="shared" si="24"/>
        <v>22051.461105183287</v>
      </c>
      <c r="AR8" s="90">
        <f t="shared" ref="AR8:AR21" si="25">(D8+J8+O8)-(X8+AH8)</f>
        <v>0.11400000000139698</v>
      </c>
    </row>
    <row r="9" spans="1:44" x14ac:dyDescent="0.25">
      <c r="A9" t="str">
        <f t="shared" si="14"/>
        <v>46206E</v>
      </c>
      <c r="B9" s="51">
        <f t="shared" ref="B9:B65" si="26">+B7+1</f>
        <v>46206</v>
      </c>
      <c r="C9" s="52" t="s">
        <v>88</v>
      </c>
      <c r="D9" s="91">
        <v>3001</v>
      </c>
      <c r="E9" s="62">
        <v>4.58</v>
      </c>
      <c r="F9" s="62">
        <v>8.4499999999999993</v>
      </c>
      <c r="G9" s="62">
        <f t="shared" si="0"/>
        <v>137.44579999999999</v>
      </c>
      <c r="H9" s="72">
        <f t="shared" si="1"/>
        <v>253.58449999999996</v>
      </c>
      <c r="I9" s="202">
        <v>7882.2000000000016</v>
      </c>
      <c r="J9" s="202">
        <v>8118.666000000002</v>
      </c>
      <c r="K9" s="202">
        <v>4.255556824236888</v>
      </c>
      <c r="L9" s="202">
        <v>8.4543084418055852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5"/>
        <v>8118.666000000002</v>
      </c>
      <c r="S9" s="62">
        <f t="shared" si="16"/>
        <v>345.49444500000004</v>
      </c>
      <c r="T9" s="63">
        <f t="shared" si="17"/>
        <v>686.37706500000002</v>
      </c>
      <c r="U9" s="64" t="s">
        <v>339</v>
      </c>
      <c r="V9" s="65" t="s">
        <v>340</v>
      </c>
      <c r="W9" s="66" t="s">
        <v>184</v>
      </c>
      <c r="X9" s="67">
        <v>5910</v>
      </c>
      <c r="Y9" s="68">
        <v>4.4000000000000004</v>
      </c>
      <c r="Z9" s="68">
        <v>8.41</v>
      </c>
      <c r="AA9" s="62">
        <f t="shared" si="5"/>
        <v>260.04000000000002</v>
      </c>
      <c r="AB9" s="63">
        <f t="shared" si="6"/>
        <v>497.03100000000006</v>
      </c>
      <c r="AC9" s="69">
        <v>5860</v>
      </c>
      <c r="AD9" s="70">
        <v>4.25</v>
      </c>
      <c r="AE9" s="70">
        <v>8.1300000000000008</v>
      </c>
      <c r="AF9" s="62">
        <f t="shared" si="7"/>
        <v>249.05</v>
      </c>
      <c r="AG9" s="63">
        <f t="shared" si="8"/>
        <v>476.41800000000006</v>
      </c>
      <c r="AH9" s="96">
        <v>5209</v>
      </c>
      <c r="AI9" s="66">
        <v>4.3499999999999996</v>
      </c>
      <c r="AJ9" s="66">
        <v>8.4499999999999993</v>
      </c>
      <c r="AK9" s="62">
        <f t="shared" si="18"/>
        <v>226.5915</v>
      </c>
      <c r="AL9" s="72">
        <f t="shared" si="19"/>
        <v>440.16049999999996</v>
      </c>
      <c r="AM9" s="73">
        <f t="shared" si="20"/>
        <v>50.666000000001077</v>
      </c>
      <c r="AN9" s="74">
        <f t="shared" si="21"/>
        <v>7.2987449999999967</v>
      </c>
      <c r="AO9" s="74">
        <f t="shared" si="22"/>
        <v>23.383064999999931</v>
      </c>
      <c r="AP9" s="75">
        <f t="shared" si="23"/>
        <v>2.9734138119580342E-2</v>
      </c>
      <c r="AQ9" s="76">
        <f t="shared" si="24"/>
        <v>10510.304320067062</v>
      </c>
      <c r="AR9" s="90">
        <f t="shared" si="25"/>
        <v>0.66600000000107684</v>
      </c>
    </row>
    <row r="10" spans="1:44" x14ac:dyDescent="0.25">
      <c r="A10" t="str">
        <f t="shared" si="14"/>
        <v>46207M</v>
      </c>
      <c r="B10" s="51">
        <f t="shared" si="26"/>
        <v>46207</v>
      </c>
      <c r="C10" s="52" t="s">
        <v>87</v>
      </c>
      <c r="D10" s="91">
        <v>5209</v>
      </c>
      <c r="E10" s="62">
        <v>4.3499999999999996</v>
      </c>
      <c r="F10" s="62">
        <v>8.4499999999999993</v>
      </c>
      <c r="G10" s="62">
        <f t="shared" si="0"/>
        <v>226.5915</v>
      </c>
      <c r="H10" s="72">
        <f t="shared" si="1"/>
        <v>440.16049999999996</v>
      </c>
      <c r="I10" s="202">
        <v>6851.4</v>
      </c>
      <c r="J10" s="202">
        <v>7056.942</v>
      </c>
      <c r="K10" s="202">
        <v>4.7024403771491956</v>
      </c>
      <c r="L10" s="202">
        <v>8.477606036722424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5"/>
        <v>7056.942</v>
      </c>
      <c r="S10" s="62">
        <f t="shared" si="16"/>
        <v>331.84848999999997</v>
      </c>
      <c r="T10" s="72">
        <f t="shared" si="17"/>
        <v>598.25974100000019</v>
      </c>
      <c r="U10" s="65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96">
        <v>12265</v>
      </c>
      <c r="AI10" s="66">
        <v>4.55</v>
      </c>
      <c r="AJ10" s="66">
        <v>8.4700000000000006</v>
      </c>
      <c r="AK10" s="62">
        <f t="shared" si="18"/>
        <v>558.0575</v>
      </c>
      <c r="AL10" s="72">
        <f t="shared" si="19"/>
        <v>1038.8455000000001</v>
      </c>
      <c r="AM10" s="73">
        <f t="shared" si="20"/>
        <v>0.94199999999909778</v>
      </c>
      <c r="AN10" s="74">
        <f t="shared" si="21"/>
        <v>0.38248999999996158</v>
      </c>
      <c r="AO10" s="74">
        <f t="shared" si="22"/>
        <v>-0.42525899999986905</v>
      </c>
      <c r="AP10" s="75">
        <f t="shared" si="23"/>
        <v>-4.5982820680905742E-5</v>
      </c>
      <c r="AQ10" s="76">
        <f t="shared" si="24"/>
        <v>56.437609055309139</v>
      </c>
      <c r="AR10" s="90">
        <f t="shared" si="25"/>
        <v>0.94199999999909778</v>
      </c>
    </row>
    <row r="11" spans="1:44" x14ac:dyDescent="0.25">
      <c r="A11" t="str">
        <f t="shared" si="14"/>
        <v>46207E</v>
      </c>
      <c r="B11" s="51">
        <f t="shared" si="26"/>
        <v>46207</v>
      </c>
      <c r="C11" s="52" t="s">
        <v>88</v>
      </c>
      <c r="D11" s="91">
        <v>12265</v>
      </c>
      <c r="E11" s="62">
        <v>4.55</v>
      </c>
      <c r="F11" s="62">
        <v>8.4700000000000006</v>
      </c>
      <c r="G11" s="62">
        <f t="shared" si="0"/>
        <v>558.0575</v>
      </c>
      <c r="H11" s="72">
        <f t="shared" si="1"/>
        <v>1038.8455000000001</v>
      </c>
      <c r="I11" s="202">
        <v>7398.2999999999993</v>
      </c>
      <c r="J11" s="202">
        <v>7620.2489999999998</v>
      </c>
      <c r="K11" s="202">
        <v>4.3596420799372835</v>
      </c>
      <c r="L11" s="202">
        <v>8.3541908276225652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5"/>
        <v>7620.2489999999998</v>
      </c>
      <c r="S11" s="62">
        <f t="shared" si="16"/>
        <v>332.21558200000004</v>
      </c>
      <c r="T11" s="72">
        <f t="shared" si="17"/>
        <v>636.61014300000022</v>
      </c>
      <c r="U11" s="65" t="s">
        <v>200</v>
      </c>
      <c r="V11" s="65" t="s">
        <v>341</v>
      </c>
      <c r="W11" s="66" t="s">
        <v>201</v>
      </c>
      <c r="X11" s="67">
        <v>18500</v>
      </c>
      <c r="Y11" s="68">
        <v>4.3</v>
      </c>
      <c r="Z11" s="68">
        <v>8.39</v>
      </c>
      <c r="AA11" s="62">
        <f t="shared" si="5"/>
        <v>795.49999999999989</v>
      </c>
      <c r="AB11" s="63">
        <f t="shared" si="6"/>
        <v>1552.15</v>
      </c>
      <c r="AC11" s="69">
        <v>18290</v>
      </c>
      <c r="AD11" s="70">
        <v>4.2</v>
      </c>
      <c r="AE11" s="70">
        <v>8.3800000000000008</v>
      </c>
      <c r="AF11" s="62">
        <f t="shared" si="7"/>
        <v>768.18000000000006</v>
      </c>
      <c r="AG11" s="63">
        <f t="shared" si="8"/>
        <v>1532.7020000000002</v>
      </c>
      <c r="AH11" s="96">
        <v>1385</v>
      </c>
      <c r="AI11" s="66">
        <v>4.4800000000000004</v>
      </c>
      <c r="AJ11" s="66">
        <v>8.42</v>
      </c>
      <c r="AK11" s="62">
        <f t="shared" si="18"/>
        <v>62.048000000000009</v>
      </c>
      <c r="AL11" s="72">
        <f t="shared" si="19"/>
        <v>116.61699999999999</v>
      </c>
      <c r="AM11" s="73">
        <f t="shared" si="20"/>
        <v>210.2489999999998</v>
      </c>
      <c r="AN11" s="74">
        <f t="shared" si="21"/>
        <v>60.045081999999972</v>
      </c>
      <c r="AO11" s="74">
        <f t="shared" si="22"/>
        <v>26.136643000000021</v>
      </c>
      <c r="AP11" s="75">
        <f t="shared" si="23"/>
        <v>8.8954827247181095E-2</v>
      </c>
      <c r="AQ11" s="76">
        <f t="shared" si="24"/>
        <v>36681.308050543761</v>
      </c>
      <c r="AR11" s="90">
        <f t="shared" si="25"/>
        <v>0.24899999999979627</v>
      </c>
    </row>
    <row r="12" spans="1:44" x14ac:dyDescent="0.25">
      <c r="A12" t="str">
        <f t="shared" si="14"/>
        <v>46208M</v>
      </c>
      <c r="B12" s="51">
        <f t="shared" si="26"/>
        <v>46208</v>
      </c>
      <c r="C12" s="52" t="s">
        <v>87</v>
      </c>
      <c r="D12" s="91">
        <v>1385</v>
      </c>
      <c r="E12" s="62">
        <v>4.4800000000000004</v>
      </c>
      <c r="F12" s="62">
        <v>8.42</v>
      </c>
      <c r="G12" s="62">
        <f t="shared" si="0"/>
        <v>62.048000000000009</v>
      </c>
      <c r="H12" s="72">
        <f t="shared" si="1"/>
        <v>116.61699999999999</v>
      </c>
      <c r="I12" s="202">
        <v>7360.7999999999993</v>
      </c>
      <c r="J12" s="202">
        <v>7581.6239999999998</v>
      </c>
      <c r="K12" s="202">
        <v>4.5260528746875321</v>
      </c>
      <c r="L12" s="202">
        <v>8.2739240299967385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5"/>
        <v>7581.6239999999998</v>
      </c>
      <c r="S12" s="62">
        <f t="shared" si="16"/>
        <v>343.14831099999986</v>
      </c>
      <c r="T12" s="72">
        <f t="shared" si="17"/>
        <v>627.29780999999991</v>
      </c>
      <c r="U12" s="65" t="s">
        <v>167</v>
      </c>
      <c r="V12" s="65" t="s">
        <v>167</v>
      </c>
      <c r="W12" s="66">
        <v>0</v>
      </c>
      <c r="X12" s="68">
        <v>0</v>
      </c>
      <c r="Y12" s="68">
        <v>0</v>
      </c>
      <c r="Z12" s="68">
        <v>0</v>
      </c>
      <c r="AA12" s="62">
        <f>Y12*Z12%</f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96">
        <v>8966</v>
      </c>
      <c r="AI12" s="66">
        <v>4.5199999999999996</v>
      </c>
      <c r="AJ12" s="66">
        <v>8.2899999999999991</v>
      </c>
      <c r="AK12" s="62">
        <f t="shared" si="18"/>
        <v>405.26319999999998</v>
      </c>
      <c r="AL12" s="72">
        <f t="shared" si="19"/>
        <v>743.28139999999985</v>
      </c>
      <c r="AM12" s="73">
        <f t="shared" si="20"/>
        <v>0.62399999999979627</v>
      </c>
      <c r="AN12" s="74">
        <f t="shared" si="21"/>
        <v>-6.6889000000116994E-2</v>
      </c>
      <c r="AO12" s="74">
        <f t="shared" si="22"/>
        <v>0.63341000000002623</v>
      </c>
      <c r="AP12" s="75">
        <f t="shared" si="23"/>
        <v>5.8377377964696862E-4</v>
      </c>
      <c r="AQ12" s="76">
        <f t="shared" si="24"/>
        <v>157.55831456256738</v>
      </c>
      <c r="AR12" s="90">
        <f t="shared" si="25"/>
        <v>0.62399999999979627</v>
      </c>
    </row>
    <row r="13" spans="1:44" x14ac:dyDescent="0.25">
      <c r="A13" t="str">
        <f t="shared" si="14"/>
        <v>46208E</v>
      </c>
      <c r="B13" s="51">
        <f t="shared" si="26"/>
        <v>46208</v>
      </c>
      <c r="C13" s="52" t="s">
        <v>88</v>
      </c>
      <c r="D13" s="91">
        <v>8966</v>
      </c>
      <c r="E13" s="62">
        <v>4.5199999999999996</v>
      </c>
      <c r="F13" s="62">
        <v>8.2899999999999991</v>
      </c>
      <c r="G13" s="62">
        <f t="shared" si="0"/>
        <v>405.26319999999998</v>
      </c>
      <c r="H13" s="72">
        <f t="shared" si="1"/>
        <v>743.28139999999985</v>
      </c>
      <c r="I13" s="202">
        <v>7699.800000000002</v>
      </c>
      <c r="J13" s="202">
        <v>7930.7940000000026</v>
      </c>
      <c r="K13" s="202">
        <v>4.296547962284734</v>
      </c>
      <c r="L13" s="202">
        <v>8.4265877035767236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5"/>
        <v>7930.7940000000026</v>
      </c>
      <c r="S13" s="62">
        <f t="shared" si="16"/>
        <v>340.75036800000004</v>
      </c>
      <c r="T13" s="72">
        <f t="shared" si="17"/>
        <v>668.29531200000088</v>
      </c>
      <c r="U13" s="65" t="s">
        <v>197</v>
      </c>
      <c r="V13" s="65" t="s">
        <v>342</v>
      </c>
      <c r="W13" s="66" t="s">
        <v>184</v>
      </c>
      <c r="X13" s="67">
        <v>9200</v>
      </c>
      <c r="Y13" s="68">
        <v>4.3500000000000005</v>
      </c>
      <c r="Z13" s="68">
        <v>8.4000000000000021</v>
      </c>
      <c r="AA13" s="62">
        <f t="shared" si="5"/>
        <v>400.20000000000005</v>
      </c>
      <c r="AB13" s="63">
        <f>X13*Z13%</f>
        <v>772.80000000000018</v>
      </c>
      <c r="AC13" s="69">
        <v>9190</v>
      </c>
      <c r="AD13" s="70">
        <v>4.2</v>
      </c>
      <c r="AE13" s="70">
        <v>8.3699999999999992</v>
      </c>
      <c r="AF13" s="62">
        <f t="shared" si="7"/>
        <v>385.98</v>
      </c>
      <c r="AG13" s="63">
        <f t="shared" si="8"/>
        <v>769.20299999999997</v>
      </c>
      <c r="AH13" s="96">
        <v>7696</v>
      </c>
      <c r="AI13" s="66">
        <v>4.42</v>
      </c>
      <c r="AJ13" s="66">
        <v>8.36</v>
      </c>
      <c r="AK13" s="62">
        <f t="shared" si="18"/>
        <v>340.16319999999996</v>
      </c>
      <c r="AL13" s="72">
        <f t="shared" si="19"/>
        <v>643.38559999999995</v>
      </c>
      <c r="AM13" s="73">
        <f t="shared" si="20"/>
        <v>10.794000000001688</v>
      </c>
      <c r="AN13" s="74">
        <f t="shared" si="21"/>
        <v>19.870368000000099</v>
      </c>
      <c r="AO13" s="74">
        <f t="shared" si="22"/>
        <v>-1.0118879999992032</v>
      </c>
      <c r="AP13" s="75">
        <f t="shared" si="23"/>
        <v>1.8689421473962287E-2</v>
      </c>
      <c r="AQ13" s="76">
        <f t="shared" si="24"/>
        <v>9245.3070857990369</v>
      </c>
      <c r="AR13" s="90">
        <f t="shared" si="25"/>
        <v>0.79400000000168802</v>
      </c>
    </row>
    <row r="14" spans="1:44" x14ac:dyDescent="0.25">
      <c r="A14" t="str">
        <f t="shared" si="14"/>
        <v>46209M</v>
      </c>
      <c r="B14" s="51">
        <f t="shared" si="26"/>
        <v>46209</v>
      </c>
      <c r="C14" s="52" t="s">
        <v>87</v>
      </c>
      <c r="D14" s="91">
        <v>7696</v>
      </c>
      <c r="E14" s="62">
        <v>4.42</v>
      </c>
      <c r="F14" s="62">
        <v>8.36</v>
      </c>
      <c r="G14" s="62">
        <f t="shared" si="0"/>
        <v>340.16319999999996</v>
      </c>
      <c r="H14" s="72">
        <f t="shared" si="1"/>
        <v>643.38559999999995</v>
      </c>
      <c r="I14" s="202">
        <v>9077.6</v>
      </c>
      <c r="J14" s="202">
        <v>9349.9279999999999</v>
      </c>
      <c r="K14" s="202">
        <v>4.3871540935930202</v>
      </c>
      <c r="L14" s="202">
        <v>8.2641149643077441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5"/>
        <v>9349.9279999999999</v>
      </c>
      <c r="S14" s="62">
        <f t="shared" si="16"/>
        <v>410.19574899999998</v>
      </c>
      <c r="T14" s="72">
        <f t="shared" si="17"/>
        <v>772.68879899999968</v>
      </c>
      <c r="U14" s="65" t="s">
        <v>198</v>
      </c>
      <c r="V14" s="65" t="s">
        <v>406</v>
      </c>
      <c r="W14" s="66" t="s">
        <v>184</v>
      </c>
      <c r="X14" s="67">
        <v>7200</v>
      </c>
      <c r="Y14" s="68">
        <v>4.05</v>
      </c>
      <c r="Z14" s="68">
        <v>8.4700000000000024</v>
      </c>
      <c r="AA14" s="62">
        <f t="shared" si="5"/>
        <v>291.60000000000002</v>
      </c>
      <c r="AB14" s="63">
        <f t="shared" si="6"/>
        <v>609.84000000000015</v>
      </c>
      <c r="AC14" s="69">
        <v>7210</v>
      </c>
      <c r="AD14" s="70">
        <v>3.9257281553398053</v>
      </c>
      <c r="AE14" s="70">
        <v>8.4451456310679625</v>
      </c>
      <c r="AF14" s="62">
        <f t="shared" si="7"/>
        <v>283.04499999999996</v>
      </c>
      <c r="AG14" s="63">
        <f t="shared" si="8"/>
        <v>608.8950000000001</v>
      </c>
      <c r="AH14" s="96">
        <v>9845</v>
      </c>
      <c r="AI14" s="66">
        <v>4.4000000000000004</v>
      </c>
      <c r="AJ14" s="66">
        <v>8.31</v>
      </c>
      <c r="AK14" s="62">
        <f t="shared" si="18"/>
        <v>433.18000000000006</v>
      </c>
      <c r="AL14" s="72">
        <f t="shared" si="19"/>
        <v>818.11950000000002</v>
      </c>
      <c r="AM14" s="73">
        <f t="shared" si="20"/>
        <v>-9.0720000000001164</v>
      </c>
      <c r="AN14" s="74">
        <f t="shared" si="21"/>
        <v>34.133948999999916</v>
      </c>
      <c r="AO14" s="74">
        <f t="shared" si="22"/>
        <v>-10.940101000000482</v>
      </c>
      <c r="AP14" s="75">
        <f t="shared" si="23"/>
        <v>1.9607871316955815E-2</v>
      </c>
      <c r="AQ14" s="76">
        <f t="shared" si="24"/>
        <v>13126.01057740288</v>
      </c>
      <c r="AR14" s="90">
        <f t="shared" si="25"/>
        <v>0.92799999999988358</v>
      </c>
    </row>
    <row r="15" spans="1:44" x14ac:dyDescent="0.25">
      <c r="A15" t="str">
        <f t="shared" si="14"/>
        <v>46209E</v>
      </c>
      <c r="B15" s="51">
        <f t="shared" si="26"/>
        <v>46209</v>
      </c>
      <c r="C15" s="52" t="s">
        <v>88</v>
      </c>
      <c r="D15" s="91">
        <v>9845</v>
      </c>
      <c r="E15" s="62">
        <v>4.4000000000000004</v>
      </c>
      <c r="F15" s="62">
        <v>8.31</v>
      </c>
      <c r="G15" s="62">
        <f t="shared" si="0"/>
        <v>433.18000000000006</v>
      </c>
      <c r="H15" s="72">
        <f t="shared" si="1"/>
        <v>818.11950000000002</v>
      </c>
      <c r="I15" s="202">
        <v>9557.8999999999978</v>
      </c>
      <c r="J15" s="202">
        <v>9844.6369999999988</v>
      </c>
      <c r="K15" s="202">
        <v>4.3808179621046479</v>
      </c>
      <c r="L15" s="202">
        <v>8.3500068006570487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5"/>
        <v>9844.6369999999988</v>
      </c>
      <c r="S15" s="62">
        <f t="shared" si="16"/>
        <v>431.2756260000001</v>
      </c>
      <c r="T15" s="72">
        <f t="shared" si="17"/>
        <v>822.02785900000003</v>
      </c>
      <c r="U15" s="65" t="s">
        <v>200</v>
      </c>
      <c r="V15" s="65" t="s">
        <v>407</v>
      </c>
      <c r="W15" s="66" t="s">
        <v>184</v>
      </c>
      <c r="X15" s="67">
        <v>18500</v>
      </c>
      <c r="Y15" s="68">
        <v>4.3</v>
      </c>
      <c r="Z15" s="68">
        <v>8.39</v>
      </c>
      <c r="AA15" s="62">
        <f t="shared" si="5"/>
        <v>795.49999999999989</v>
      </c>
      <c r="AB15" s="63">
        <f t="shared" si="6"/>
        <v>1552.15</v>
      </c>
      <c r="AC15" s="69">
        <v>18340</v>
      </c>
      <c r="AD15" s="70">
        <v>4.2999999999999989</v>
      </c>
      <c r="AE15" s="70">
        <v>8.39</v>
      </c>
      <c r="AF15" s="62">
        <f t="shared" si="7"/>
        <v>788.61999999999978</v>
      </c>
      <c r="AG15" s="63">
        <f t="shared" si="8"/>
        <v>1538.7260000000001</v>
      </c>
      <c r="AH15" s="96">
        <v>1189</v>
      </c>
      <c r="AI15" s="66">
        <v>4.3899999999999997</v>
      </c>
      <c r="AJ15" s="66">
        <v>8.33</v>
      </c>
      <c r="AK15" s="62">
        <f t="shared" si="18"/>
        <v>52.197099999999992</v>
      </c>
      <c r="AL15" s="72">
        <f t="shared" si="19"/>
        <v>99.043700000000001</v>
      </c>
      <c r="AM15" s="73">
        <f t="shared" si="20"/>
        <v>160.63699999999881</v>
      </c>
      <c r="AN15" s="74">
        <f t="shared" si="21"/>
        <v>23.638526000000397</v>
      </c>
      <c r="AO15" s="74">
        <f t="shared" si="22"/>
        <v>2.3776589999999374</v>
      </c>
      <c r="AP15" s="75">
        <f t="shared" si="23"/>
        <v>2.0758088772090448E-2</v>
      </c>
      <c r="AQ15" s="76">
        <f t="shared" si="24"/>
        <v>12071.168795893493</v>
      </c>
      <c r="AR15" s="90">
        <f t="shared" si="25"/>
        <v>0.63699999999880674</v>
      </c>
    </row>
    <row r="16" spans="1:44" x14ac:dyDescent="0.25">
      <c r="A16" t="str">
        <f t="shared" si="14"/>
        <v>46210M</v>
      </c>
      <c r="B16" s="51">
        <f t="shared" si="26"/>
        <v>46210</v>
      </c>
      <c r="C16" s="52" t="s">
        <v>87</v>
      </c>
      <c r="D16" s="91">
        <v>1189</v>
      </c>
      <c r="E16" s="62">
        <v>4.3899999999999997</v>
      </c>
      <c r="F16" s="62">
        <v>8.33</v>
      </c>
      <c r="G16" s="62">
        <f t="shared" ref="G16:G27" si="27">+D16*E16%</f>
        <v>52.197099999999992</v>
      </c>
      <c r="H16" s="72">
        <f t="shared" ref="H16:H27" si="28">+D16*F16%</f>
        <v>99.043700000000001</v>
      </c>
      <c r="I16" s="202">
        <v>8832.1999999999971</v>
      </c>
      <c r="J16" s="202">
        <v>9097.1659999999974</v>
      </c>
      <c r="K16" s="202">
        <v>4.3886211815855605</v>
      </c>
      <c r="L16" s="202">
        <v>8.444875568940919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5"/>
        <v>9097.1659999999974</v>
      </c>
      <c r="S16" s="62">
        <f t="shared" si="16"/>
        <v>399.24015399999979</v>
      </c>
      <c r="T16" s="72">
        <f t="shared" si="17"/>
        <v>768.2443489999996</v>
      </c>
      <c r="U16" s="65" t="s">
        <v>339</v>
      </c>
      <c r="V16" s="65" t="s">
        <v>408</v>
      </c>
      <c r="W16" s="66" t="s">
        <v>184</v>
      </c>
      <c r="X16" s="67">
        <v>5900</v>
      </c>
      <c r="Y16" s="68">
        <v>4.45</v>
      </c>
      <c r="Z16" s="68">
        <v>8.41</v>
      </c>
      <c r="AA16" s="62">
        <f t="shared" si="5"/>
        <v>262.55</v>
      </c>
      <c r="AB16" s="63">
        <f t="shared" si="6"/>
        <v>496.19000000000005</v>
      </c>
      <c r="AC16" s="69">
        <v>5870</v>
      </c>
      <c r="AD16" s="70">
        <v>4.2999999999999989</v>
      </c>
      <c r="AE16" s="70">
        <v>8.3899999999999988</v>
      </c>
      <c r="AF16" s="62">
        <f t="shared" si="7"/>
        <v>252.40999999999994</v>
      </c>
      <c r="AG16" s="63">
        <f t="shared" si="8"/>
        <v>492.49299999999994</v>
      </c>
      <c r="AH16" s="96">
        <v>4386</v>
      </c>
      <c r="AI16" s="66">
        <v>4.3899999999999997</v>
      </c>
      <c r="AJ16" s="66">
        <v>8.43</v>
      </c>
      <c r="AK16" s="62">
        <f t="shared" si="18"/>
        <v>192.54539999999997</v>
      </c>
      <c r="AL16" s="72">
        <f t="shared" si="19"/>
        <v>369.7398</v>
      </c>
      <c r="AM16" s="73">
        <f t="shared" si="20"/>
        <v>30.165999999997439</v>
      </c>
      <c r="AN16" s="74">
        <f t="shared" si="21"/>
        <v>6.4818539999998563</v>
      </c>
      <c r="AO16" s="74">
        <f t="shared" si="22"/>
        <v>5.0552489999996055</v>
      </c>
      <c r="AP16" s="75">
        <f t="shared" si="23"/>
        <v>9.8820181084660341E-3</v>
      </c>
      <c r="AQ16" s="76">
        <f t="shared" si="24"/>
        <v>4628.7438792690236</v>
      </c>
      <c r="AR16" s="90">
        <f t="shared" si="25"/>
        <v>0.16599999999743886</v>
      </c>
    </row>
    <row r="17" spans="1:49" x14ac:dyDescent="0.25">
      <c r="A17" t="str">
        <f t="shared" si="14"/>
        <v>46210E</v>
      </c>
      <c r="B17" s="51">
        <f t="shared" si="26"/>
        <v>46210</v>
      </c>
      <c r="C17" s="52" t="s">
        <v>88</v>
      </c>
      <c r="D17" s="91">
        <v>4386</v>
      </c>
      <c r="E17" s="62">
        <v>4.3899999999999997</v>
      </c>
      <c r="F17" s="62">
        <v>8.43</v>
      </c>
      <c r="G17" s="62">
        <f t="shared" si="27"/>
        <v>192.54539999999997</v>
      </c>
      <c r="H17" s="72">
        <f t="shared" si="28"/>
        <v>369.7398</v>
      </c>
      <c r="I17" s="202">
        <v>9787.5</v>
      </c>
      <c r="J17" s="202">
        <v>10081.125</v>
      </c>
      <c r="K17" s="202">
        <v>4.1667320561941255</v>
      </c>
      <c r="L17" s="202">
        <v>8.4104214559387014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5"/>
        <v>10081.125</v>
      </c>
      <c r="S17" s="62">
        <f t="shared" si="16"/>
        <v>420.05346700000001</v>
      </c>
      <c r="T17" s="72">
        <f t="shared" si="17"/>
        <v>847.86510000000044</v>
      </c>
      <c r="U17" s="65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96">
        <v>14467</v>
      </c>
      <c r="AI17" s="66">
        <v>4.2300000000000004</v>
      </c>
      <c r="AJ17" s="66">
        <v>8.44</v>
      </c>
      <c r="AK17" s="62">
        <f t="shared" si="18"/>
        <v>611.95410000000004</v>
      </c>
      <c r="AL17" s="72">
        <f t="shared" si="19"/>
        <v>1221.0147999999999</v>
      </c>
      <c r="AM17" s="73">
        <f t="shared" si="20"/>
        <v>0.125</v>
      </c>
      <c r="AN17" s="74">
        <f t="shared" si="21"/>
        <v>0.64476699999988796</v>
      </c>
      <c r="AO17" s="74">
        <f t="shared" si="22"/>
        <v>-3.4098999999994248</v>
      </c>
      <c r="AP17" s="75">
        <f t="shared" si="23"/>
        <v>-2.1808443160053008E-3</v>
      </c>
      <c r="AQ17" s="76">
        <f t="shared" si="24"/>
        <v>-711.40316496625474</v>
      </c>
      <c r="AR17" s="90">
        <f t="shared" si="25"/>
        <v>0.125</v>
      </c>
      <c r="AS17" s="90">
        <f>SUM(J4:J17)</f>
        <v>104207.88100000001</v>
      </c>
      <c r="AT17" s="83">
        <f>SUM(AM4:AM17)</f>
        <v>70.881000000001222</v>
      </c>
      <c r="AU17" s="83">
        <f>SUM(AN4:AN17)</f>
        <v>171.21300200000022</v>
      </c>
      <c r="AV17" s="83">
        <f>SUM(AO4:AO17)</f>
        <v>88.374983000000498</v>
      </c>
      <c r="AW17" s="83">
        <f>-SUM(AQ4:AQ17)</f>
        <v>-108740.94048147736</v>
      </c>
    </row>
    <row r="18" spans="1:49" x14ac:dyDescent="0.25">
      <c r="A18" t="str">
        <f t="shared" si="14"/>
        <v>46211M</v>
      </c>
      <c r="B18" s="51">
        <f t="shared" si="26"/>
        <v>46211</v>
      </c>
      <c r="C18" s="52" t="s">
        <v>87</v>
      </c>
      <c r="D18" s="91">
        <v>14467</v>
      </c>
      <c r="E18" s="62">
        <v>4.2300000000000004</v>
      </c>
      <c r="F18" s="62">
        <v>8.44</v>
      </c>
      <c r="G18" s="62">
        <f t="shared" si="27"/>
        <v>611.95410000000004</v>
      </c>
      <c r="H18" s="72">
        <f t="shared" si="28"/>
        <v>1221.0147999999999</v>
      </c>
      <c r="I18" s="202">
        <v>7332.7999999999993</v>
      </c>
      <c r="J18" s="202">
        <v>7552.7839999999997</v>
      </c>
      <c r="K18" s="202">
        <v>4.3248472616190261</v>
      </c>
      <c r="L18" s="202">
        <v>8.3838724634518869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5"/>
        <v>7552.7839999999997</v>
      </c>
      <c r="S18" s="62">
        <f t="shared" si="16"/>
        <v>326.64637199999993</v>
      </c>
      <c r="T18" s="72">
        <f t="shared" si="17"/>
        <v>633.215778</v>
      </c>
      <c r="U18" s="65" t="s">
        <v>200</v>
      </c>
      <c r="V18" s="65" t="s">
        <v>409</v>
      </c>
      <c r="W18" s="66" t="s">
        <v>201</v>
      </c>
      <c r="X18" s="67">
        <v>17700</v>
      </c>
      <c r="Y18" s="68">
        <v>4.2</v>
      </c>
      <c r="Z18" s="68">
        <v>8.3699999999999992</v>
      </c>
      <c r="AA18" s="62">
        <f t="shared" si="5"/>
        <v>743.40000000000009</v>
      </c>
      <c r="AB18" s="63">
        <f t="shared" si="6"/>
        <v>1481.49</v>
      </c>
      <c r="AC18" s="69">
        <v>17440</v>
      </c>
      <c r="AD18" s="70">
        <v>4.0999999999999996</v>
      </c>
      <c r="AE18" s="70">
        <v>8.36</v>
      </c>
      <c r="AF18" s="62">
        <f t="shared" si="7"/>
        <v>715.04</v>
      </c>
      <c r="AG18" s="63">
        <f t="shared" si="8"/>
        <v>1457.9839999999999</v>
      </c>
      <c r="AH18" s="96">
        <v>4319</v>
      </c>
      <c r="AI18" s="66">
        <v>4.26</v>
      </c>
      <c r="AJ18" s="66">
        <v>8.42</v>
      </c>
      <c r="AK18" s="62">
        <f t="shared" si="18"/>
        <v>183.98939999999999</v>
      </c>
      <c r="AL18" s="72">
        <f t="shared" si="19"/>
        <v>363.65979999999996</v>
      </c>
      <c r="AM18" s="73">
        <f t="shared" si="20"/>
        <v>260.78399999999965</v>
      </c>
      <c r="AN18" s="74">
        <f t="shared" si="21"/>
        <v>39.571072000000015</v>
      </c>
      <c r="AO18" s="74">
        <f t="shared" si="22"/>
        <v>32.586778000000038</v>
      </c>
      <c r="AP18" s="75">
        <f t="shared" si="23"/>
        <v>7.5175221775335199E-2</v>
      </c>
      <c r="AQ18" s="76">
        <f t="shared" si="24"/>
        <v>28774.637899801597</v>
      </c>
      <c r="AR18" s="90">
        <f t="shared" si="25"/>
        <v>0.78399999999965075</v>
      </c>
    </row>
    <row r="19" spans="1:49" x14ac:dyDescent="0.25">
      <c r="A19" t="str">
        <f t="shared" si="14"/>
        <v>46211E</v>
      </c>
      <c r="B19" s="51">
        <f t="shared" si="26"/>
        <v>46211</v>
      </c>
      <c r="C19" s="52" t="s">
        <v>88</v>
      </c>
      <c r="D19" s="91">
        <v>4319</v>
      </c>
      <c r="E19" s="62">
        <v>4.26</v>
      </c>
      <c r="F19" s="62">
        <v>8.42</v>
      </c>
      <c r="G19" s="62">
        <f t="shared" si="27"/>
        <v>183.98939999999999</v>
      </c>
      <c r="H19" s="72">
        <f t="shared" si="28"/>
        <v>363.65979999999996</v>
      </c>
      <c r="I19" s="202">
        <v>8138.7000000000025</v>
      </c>
      <c r="J19" s="202">
        <v>8382.8610000000026</v>
      </c>
      <c r="K19" s="202">
        <v>4.3585879808814694</v>
      </c>
      <c r="L19" s="202">
        <v>8.3298708638971881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5"/>
        <v>8382.8610000000026</v>
      </c>
      <c r="S19" s="62">
        <f t="shared" si="16"/>
        <v>365.37437200000028</v>
      </c>
      <c r="T19" s="72">
        <f t="shared" si="17"/>
        <v>698.28149600000063</v>
      </c>
      <c r="U19" s="65" t="s">
        <v>199</v>
      </c>
      <c r="V19" s="65" t="s">
        <v>410</v>
      </c>
      <c r="W19" s="66" t="s">
        <v>184</v>
      </c>
      <c r="X19" s="67">
        <v>9900</v>
      </c>
      <c r="Y19" s="68">
        <v>4.4000000000000004</v>
      </c>
      <c r="Z19" s="68">
        <v>8.2899999999999991</v>
      </c>
      <c r="AA19" s="62">
        <f t="shared" si="5"/>
        <v>435.6</v>
      </c>
      <c r="AB19" s="63">
        <f t="shared" si="6"/>
        <v>820.70999999999992</v>
      </c>
      <c r="AC19" s="69">
        <v>9770</v>
      </c>
      <c r="AD19" s="70">
        <v>4.3495394063459569</v>
      </c>
      <c r="AE19" s="70">
        <v>8.1499078812691916</v>
      </c>
      <c r="AF19" s="62">
        <f t="shared" si="7"/>
        <v>424.95</v>
      </c>
      <c r="AG19" s="63">
        <f t="shared" si="8"/>
        <v>796.24599999999998</v>
      </c>
      <c r="AH19" s="96">
        <v>2801</v>
      </c>
      <c r="AI19" s="66">
        <v>4.32</v>
      </c>
      <c r="AJ19" s="66">
        <v>8.35</v>
      </c>
      <c r="AK19" s="62">
        <f t="shared" si="18"/>
        <v>121.00320000000001</v>
      </c>
      <c r="AL19" s="72">
        <f t="shared" si="19"/>
        <v>233.88349999999997</v>
      </c>
      <c r="AM19" s="73">
        <f t="shared" si="20"/>
        <v>130.8610000000026</v>
      </c>
      <c r="AN19" s="74">
        <f t="shared" si="21"/>
        <v>3.4105720000002719</v>
      </c>
      <c r="AO19" s="74">
        <f t="shared" si="22"/>
        <v>31.811796000000697</v>
      </c>
      <c r="AP19" s="75">
        <f t="shared" si="23"/>
        <v>3.3114439603694208E-2</v>
      </c>
      <c r="AQ19" s="76">
        <f t="shared" si="24"/>
        <v>11166.240545063183</v>
      </c>
      <c r="AR19" s="90">
        <f t="shared" si="25"/>
        <v>0.86100000000260479</v>
      </c>
    </row>
    <row r="20" spans="1:49" x14ac:dyDescent="0.25">
      <c r="A20" t="str">
        <f t="shared" si="14"/>
        <v>46212M</v>
      </c>
      <c r="B20" s="51">
        <f t="shared" si="26"/>
        <v>46212</v>
      </c>
      <c r="C20" s="52" t="s">
        <v>87</v>
      </c>
      <c r="D20" s="91">
        <v>2801</v>
      </c>
      <c r="E20" s="62">
        <v>4.32</v>
      </c>
      <c r="F20" s="62">
        <v>8.35</v>
      </c>
      <c r="G20" s="62">
        <f t="shared" si="27"/>
        <v>121.00320000000001</v>
      </c>
      <c r="H20" s="72">
        <f t="shared" si="28"/>
        <v>233.88349999999997</v>
      </c>
      <c r="I20" s="202">
        <v>9309.5999999999985</v>
      </c>
      <c r="J20" s="202">
        <v>9588.887999999999</v>
      </c>
      <c r="K20" s="202">
        <v>4.2821238291655925</v>
      </c>
      <c r="L20" s="202">
        <v>8.4418063074675622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5"/>
        <v>9588.887999999999</v>
      </c>
      <c r="S20" s="62">
        <f t="shared" si="16"/>
        <v>410.60805799999997</v>
      </c>
      <c r="T20" s="72">
        <f t="shared" si="17"/>
        <v>809.47535200000016</v>
      </c>
      <c r="U20" s="65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96">
        <v>12389</v>
      </c>
      <c r="AI20" s="66">
        <v>4.29</v>
      </c>
      <c r="AJ20" s="66">
        <v>8.42</v>
      </c>
      <c r="AK20" s="62">
        <f t="shared" si="18"/>
        <v>531.48810000000003</v>
      </c>
      <c r="AL20" s="72">
        <f t="shared" si="19"/>
        <v>1043.1538</v>
      </c>
      <c r="AM20" s="73">
        <f t="shared" si="20"/>
        <v>0.88799999999901047</v>
      </c>
      <c r="AN20" s="74">
        <f t="shared" si="21"/>
        <v>0.12315799999998944</v>
      </c>
      <c r="AO20" s="74">
        <f t="shared" si="22"/>
        <v>0.20505200000002333</v>
      </c>
      <c r="AP20" s="75">
        <f t="shared" si="23"/>
        <v>2.6900619851884776E-4</v>
      </c>
      <c r="AQ20" s="76">
        <f t="shared" si="24"/>
        <v>120.59267587499731</v>
      </c>
      <c r="AR20" s="90">
        <f t="shared" si="25"/>
        <v>0.88799999999901047</v>
      </c>
    </row>
    <row r="21" spans="1:49" x14ac:dyDescent="0.25">
      <c r="A21" t="str">
        <f t="shared" si="14"/>
        <v>46212E</v>
      </c>
      <c r="B21" s="51">
        <f t="shared" si="26"/>
        <v>46212</v>
      </c>
      <c r="C21" s="98" t="s">
        <v>88</v>
      </c>
      <c r="D21" s="91">
        <v>12389</v>
      </c>
      <c r="E21" s="62">
        <v>4.29</v>
      </c>
      <c r="F21" s="62">
        <v>8.42</v>
      </c>
      <c r="G21" s="62">
        <f t="shared" si="27"/>
        <v>531.48810000000003</v>
      </c>
      <c r="H21" s="72">
        <f t="shared" si="28"/>
        <v>1043.1538</v>
      </c>
      <c r="I21" s="202">
        <v>9827.6000000000022</v>
      </c>
      <c r="J21" s="202">
        <v>10122.428000000002</v>
      </c>
      <c r="K21" s="202">
        <v>4.2594417762220695</v>
      </c>
      <c r="L21" s="202">
        <v>8.3702735154055965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5"/>
        <v>10122.428000000002</v>
      </c>
      <c r="S21" s="62">
        <f t="shared" si="16"/>
        <v>431.15892700000023</v>
      </c>
      <c r="T21" s="72">
        <f t="shared" si="17"/>
        <v>847.27491000000055</v>
      </c>
      <c r="U21" s="65" t="s">
        <v>200</v>
      </c>
      <c r="V21" s="65" t="s">
        <v>411</v>
      </c>
      <c r="W21" s="66" t="s">
        <v>201</v>
      </c>
      <c r="X21" s="67">
        <v>18500</v>
      </c>
      <c r="Y21" s="68">
        <v>4.3</v>
      </c>
      <c r="Z21" s="68">
        <v>8.14</v>
      </c>
      <c r="AA21" s="62">
        <f t="shared" si="5"/>
        <v>795.49999999999989</v>
      </c>
      <c r="AB21" s="63">
        <f t="shared" si="6"/>
        <v>1505.9</v>
      </c>
      <c r="AC21" s="215">
        <v>18500</v>
      </c>
      <c r="AD21" s="216">
        <v>4.3</v>
      </c>
      <c r="AE21" s="216">
        <v>8.14</v>
      </c>
      <c r="AF21" s="62">
        <f t="shared" si="7"/>
        <v>795.49999999999989</v>
      </c>
      <c r="AG21" s="63">
        <f t="shared" si="8"/>
        <v>1505.9</v>
      </c>
      <c r="AH21" s="96">
        <v>7560</v>
      </c>
      <c r="AI21" s="66">
        <v>4.6500000000000004</v>
      </c>
      <c r="AJ21" s="66">
        <v>8.4499999999999993</v>
      </c>
      <c r="AK21" s="62">
        <f t="shared" si="18"/>
        <v>351.54000000000008</v>
      </c>
      <c r="AL21" s="72">
        <f t="shared" si="19"/>
        <v>638.81999999999994</v>
      </c>
      <c r="AM21" s="73">
        <f t="shared" si="20"/>
        <v>-3548.5720000000001</v>
      </c>
      <c r="AN21" s="74">
        <f t="shared" si="21"/>
        <v>-184.39297299999976</v>
      </c>
      <c r="AO21" s="74">
        <f t="shared" si="22"/>
        <v>-254.29128999999944</v>
      </c>
      <c r="AP21" s="75">
        <f t="shared" si="23"/>
        <v>-0.34314193687913075</v>
      </c>
      <c r="AQ21" s="76">
        <f t="shared" si="24"/>
        <v>-164764.80238266781</v>
      </c>
      <c r="AR21" s="90">
        <f t="shared" si="25"/>
        <v>-3548.5720000000001</v>
      </c>
      <c r="AS21" s="90">
        <f>SUM(J8:J21)</f>
        <v>117729.20599999999</v>
      </c>
      <c r="AT21" s="83">
        <f>SUM(AM8:AM21)</f>
        <v>-2530.7939999999999</v>
      </c>
      <c r="AU21" s="83">
        <f>SUM(AN8:AN21)</f>
        <v>32.940884000000437</v>
      </c>
      <c r="AV21" s="83">
        <f>SUM(AO8:AO21)</f>
        <v>-109.23730899999828</v>
      </c>
      <c r="AW21" s="83">
        <f>-SUM(AQ8:AQ21)</f>
        <v>16886.434689117857</v>
      </c>
    </row>
    <row r="22" spans="1:49" x14ac:dyDescent="0.25">
      <c r="A22" t="str">
        <f t="shared" si="14"/>
        <v>46213M</v>
      </c>
      <c r="B22" s="51">
        <f t="shared" si="26"/>
        <v>46213</v>
      </c>
      <c r="C22" s="52" t="s">
        <v>87</v>
      </c>
      <c r="D22" s="91"/>
      <c r="E22" s="62"/>
      <c r="F22" s="62"/>
      <c r="G22" s="62">
        <f t="shared" si="27"/>
        <v>0</v>
      </c>
      <c r="H22" s="72">
        <f t="shared" si="28"/>
        <v>0</v>
      </c>
      <c r="I22" s="202"/>
      <c r="J22" s="202"/>
      <c r="K22" s="202"/>
      <c r="L22" s="202"/>
      <c r="M22" s="58"/>
      <c r="N22" s="58"/>
      <c r="O22" s="59"/>
      <c r="P22" s="56"/>
      <c r="Q22" s="60"/>
      <c r="R22" s="61">
        <f t="shared" si="15"/>
        <v>0</v>
      </c>
      <c r="S22" s="62">
        <f t="shared" si="16"/>
        <v>0</v>
      </c>
      <c r="T22" s="72">
        <f t="shared" si="17"/>
        <v>0</v>
      </c>
      <c r="U22" s="65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96"/>
      <c r="AI22" s="66"/>
      <c r="AJ22" s="66"/>
      <c r="AK22" s="62">
        <f t="shared" si="18"/>
        <v>0</v>
      </c>
      <c r="AL22" s="72">
        <f t="shared" si="19"/>
        <v>0</v>
      </c>
      <c r="AM22" s="73">
        <f t="shared" si="20"/>
        <v>0</v>
      </c>
      <c r="AN22" s="74">
        <f t="shared" si="21"/>
        <v>0</v>
      </c>
      <c r="AO22" s="74">
        <f t="shared" si="22"/>
        <v>0</v>
      </c>
      <c r="AP22" s="75" t="e">
        <f t="shared" si="23"/>
        <v>#DIV/0!</v>
      </c>
      <c r="AQ22" s="76">
        <f t="shared" si="24"/>
        <v>0</v>
      </c>
      <c r="AR22" s="90">
        <f t="shared" si="13"/>
        <v>0</v>
      </c>
    </row>
    <row r="23" spans="1:49" x14ac:dyDescent="0.25">
      <c r="A23" t="str">
        <f t="shared" si="14"/>
        <v>46213E</v>
      </c>
      <c r="B23" s="51">
        <f t="shared" si="26"/>
        <v>46213</v>
      </c>
      <c r="C23" s="52" t="s">
        <v>88</v>
      </c>
      <c r="D23" s="91"/>
      <c r="E23" s="62"/>
      <c r="F23" s="62"/>
      <c r="G23" s="62">
        <f t="shared" si="27"/>
        <v>0</v>
      </c>
      <c r="H23" s="72">
        <f t="shared" si="28"/>
        <v>0</v>
      </c>
      <c r="I23" s="202"/>
      <c r="J23" s="202"/>
      <c r="K23" s="202"/>
      <c r="L23" s="202"/>
      <c r="M23" s="58"/>
      <c r="N23" s="58"/>
      <c r="O23" s="59"/>
      <c r="P23" s="56"/>
      <c r="Q23" s="60"/>
      <c r="R23" s="61">
        <f t="shared" si="15"/>
        <v>0</v>
      </c>
      <c r="S23" s="62">
        <f t="shared" si="16"/>
        <v>0</v>
      </c>
      <c r="T23" s="72">
        <f t="shared" si="17"/>
        <v>0</v>
      </c>
      <c r="U23" s="65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96"/>
      <c r="AI23" s="66"/>
      <c r="AJ23" s="66"/>
      <c r="AK23" s="62">
        <f t="shared" si="18"/>
        <v>0</v>
      </c>
      <c r="AL23" s="72">
        <f t="shared" si="19"/>
        <v>0</v>
      </c>
      <c r="AM23" s="73">
        <f t="shared" si="20"/>
        <v>0</v>
      </c>
      <c r="AN23" s="74">
        <f t="shared" si="21"/>
        <v>0</v>
      </c>
      <c r="AO23" s="74">
        <f t="shared" si="22"/>
        <v>0</v>
      </c>
      <c r="AP23" s="75" t="e">
        <f t="shared" si="23"/>
        <v>#DIV/0!</v>
      </c>
      <c r="AQ23" s="76">
        <f t="shared" si="24"/>
        <v>0</v>
      </c>
      <c r="AR23" s="90">
        <f t="shared" si="13"/>
        <v>0</v>
      </c>
    </row>
    <row r="24" spans="1:49" x14ac:dyDescent="0.25">
      <c r="A24" t="str">
        <f t="shared" si="14"/>
        <v>46214M</v>
      </c>
      <c r="B24" s="51">
        <f t="shared" si="26"/>
        <v>46214</v>
      </c>
      <c r="C24" s="52" t="s">
        <v>87</v>
      </c>
      <c r="D24" s="91"/>
      <c r="E24" s="62"/>
      <c r="F24" s="62"/>
      <c r="G24" s="62">
        <f t="shared" si="27"/>
        <v>0</v>
      </c>
      <c r="H24" s="72">
        <f t="shared" si="28"/>
        <v>0</v>
      </c>
      <c r="I24" s="202"/>
      <c r="J24" s="202"/>
      <c r="K24" s="202"/>
      <c r="L24" s="202"/>
      <c r="M24" s="58"/>
      <c r="N24" s="58"/>
      <c r="O24" s="59"/>
      <c r="P24" s="56"/>
      <c r="Q24" s="60"/>
      <c r="R24" s="61">
        <f t="shared" si="15"/>
        <v>0</v>
      </c>
      <c r="S24" s="62">
        <f t="shared" si="16"/>
        <v>0</v>
      </c>
      <c r="T24" s="63">
        <f t="shared" si="17"/>
        <v>0</v>
      </c>
      <c r="U24" s="65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96"/>
      <c r="AI24" s="66"/>
      <c r="AJ24" s="66"/>
      <c r="AK24" s="62">
        <f t="shared" si="18"/>
        <v>0</v>
      </c>
      <c r="AL24" s="72">
        <f t="shared" si="19"/>
        <v>0</v>
      </c>
      <c r="AM24" s="73">
        <f t="shared" si="20"/>
        <v>0</v>
      </c>
      <c r="AN24" s="74">
        <f t="shared" si="21"/>
        <v>0</v>
      </c>
      <c r="AO24" s="74">
        <f t="shared" si="22"/>
        <v>0</v>
      </c>
      <c r="AP24" s="75" t="e">
        <f t="shared" si="23"/>
        <v>#DIV/0!</v>
      </c>
      <c r="AQ24" s="76">
        <f t="shared" si="24"/>
        <v>0</v>
      </c>
      <c r="AR24" s="90">
        <f t="shared" si="13"/>
        <v>0</v>
      </c>
    </row>
    <row r="25" spans="1:49" x14ac:dyDescent="0.25">
      <c r="A25" t="str">
        <f t="shared" si="14"/>
        <v>46214E</v>
      </c>
      <c r="B25" s="51">
        <f t="shared" si="26"/>
        <v>46214</v>
      </c>
      <c r="C25" s="52" t="s">
        <v>88</v>
      </c>
      <c r="D25" s="91"/>
      <c r="E25" s="62"/>
      <c r="F25" s="62"/>
      <c r="G25" s="62">
        <f t="shared" si="27"/>
        <v>0</v>
      </c>
      <c r="H25" s="72">
        <f t="shared" si="28"/>
        <v>0</v>
      </c>
      <c r="I25" s="202"/>
      <c r="J25" s="202"/>
      <c r="K25" s="202"/>
      <c r="L25" s="202"/>
      <c r="M25" s="58"/>
      <c r="N25" s="58"/>
      <c r="O25" s="59"/>
      <c r="P25" s="56"/>
      <c r="Q25" s="60"/>
      <c r="R25" s="61">
        <f t="shared" si="15"/>
        <v>0</v>
      </c>
      <c r="S25" s="62">
        <f t="shared" si="16"/>
        <v>0</v>
      </c>
      <c r="T25" s="63">
        <f t="shared" si="17"/>
        <v>0</v>
      </c>
      <c r="U25" s="65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96"/>
      <c r="AI25" s="66"/>
      <c r="AJ25" s="66"/>
      <c r="AK25" s="62">
        <f t="shared" si="18"/>
        <v>0</v>
      </c>
      <c r="AL25" s="72">
        <f t="shared" si="19"/>
        <v>0</v>
      </c>
      <c r="AM25" s="73">
        <f t="shared" si="20"/>
        <v>0</v>
      </c>
      <c r="AN25" s="74">
        <f t="shared" si="21"/>
        <v>0</v>
      </c>
      <c r="AO25" s="74">
        <f t="shared" si="22"/>
        <v>0</v>
      </c>
      <c r="AP25" s="75" t="e">
        <f t="shared" si="23"/>
        <v>#DIV/0!</v>
      </c>
      <c r="AQ25" s="76">
        <f t="shared" si="24"/>
        <v>0</v>
      </c>
      <c r="AR25" s="90">
        <f t="shared" si="13"/>
        <v>0</v>
      </c>
      <c r="AS25" s="90">
        <f>SUM(J12:J25)</f>
        <v>89532.235000000001</v>
      </c>
      <c r="AT25" s="83">
        <f>SUM(AM12:AM25)</f>
        <v>-2962.7650000000012</v>
      </c>
      <c r="AU25" s="83">
        <f>SUM(AN12:AN25)</f>
        <v>-56.585595999999441</v>
      </c>
      <c r="AV25" s="83">
        <f>SUM(AO12:AO25)</f>
        <v>-196.98323499999822</v>
      </c>
      <c r="AW25" s="83">
        <f>-SUM(AQ12:AQ25)</f>
        <v>86185.945773967294</v>
      </c>
    </row>
    <row r="26" spans="1:49" x14ac:dyDescent="0.25">
      <c r="A26" t="str">
        <f t="shared" si="14"/>
        <v>46215M</v>
      </c>
      <c r="B26" s="51">
        <f t="shared" si="26"/>
        <v>46215</v>
      </c>
      <c r="C26" s="52" t="s">
        <v>87</v>
      </c>
      <c r="D26" s="91"/>
      <c r="E26" s="62"/>
      <c r="F26" s="62"/>
      <c r="G26" s="62">
        <f t="shared" si="27"/>
        <v>0</v>
      </c>
      <c r="H26" s="72">
        <f t="shared" si="28"/>
        <v>0</v>
      </c>
      <c r="I26" s="202"/>
      <c r="J26" s="202"/>
      <c r="K26" s="202"/>
      <c r="L26" s="202"/>
      <c r="M26" s="58"/>
      <c r="N26" s="58"/>
      <c r="O26" s="59"/>
      <c r="P26" s="56"/>
      <c r="Q26" s="60"/>
      <c r="R26" s="61">
        <f t="shared" si="15"/>
        <v>0</v>
      </c>
      <c r="S26" s="62">
        <f t="shared" si="16"/>
        <v>0</v>
      </c>
      <c r="T26" s="63">
        <f t="shared" si="17"/>
        <v>0</v>
      </c>
      <c r="U26" s="65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96"/>
      <c r="AI26" s="66"/>
      <c r="AJ26" s="66"/>
      <c r="AK26" s="62">
        <f t="shared" si="18"/>
        <v>0</v>
      </c>
      <c r="AL26" s="72">
        <f t="shared" si="19"/>
        <v>0</v>
      </c>
      <c r="AM26" s="73">
        <f t="shared" si="20"/>
        <v>0</v>
      </c>
      <c r="AN26" s="74">
        <f t="shared" si="21"/>
        <v>0</v>
      </c>
      <c r="AO26" s="74">
        <f t="shared" si="22"/>
        <v>0</v>
      </c>
      <c r="AP26" s="75" t="e">
        <f t="shared" si="23"/>
        <v>#DIV/0!</v>
      </c>
      <c r="AQ26" s="76">
        <f t="shared" si="24"/>
        <v>0</v>
      </c>
      <c r="AR26" s="90">
        <f t="shared" si="13"/>
        <v>0</v>
      </c>
    </row>
    <row r="27" spans="1:49" x14ac:dyDescent="0.25">
      <c r="A27" t="str">
        <f t="shared" si="14"/>
        <v>46215E</v>
      </c>
      <c r="B27" s="51">
        <f t="shared" si="26"/>
        <v>46215</v>
      </c>
      <c r="C27" s="52" t="s">
        <v>88</v>
      </c>
      <c r="D27" s="91"/>
      <c r="E27" s="62"/>
      <c r="F27" s="62"/>
      <c r="G27" s="62">
        <f t="shared" si="27"/>
        <v>0</v>
      </c>
      <c r="H27" s="72">
        <f t="shared" si="28"/>
        <v>0</v>
      </c>
      <c r="I27" s="202"/>
      <c r="J27" s="202"/>
      <c r="K27" s="202"/>
      <c r="L27" s="202"/>
      <c r="M27" s="58"/>
      <c r="N27" s="58"/>
      <c r="O27" s="59"/>
      <c r="P27" s="56"/>
      <c r="Q27" s="60"/>
      <c r="R27" s="61">
        <f t="shared" si="15"/>
        <v>0</v>
      </c>
      <c r="S27" s="62">
        <f t="shared" si="16"/>
        <v>0</v>
      </c>
      <c r="T27" s="63">
        <f t="shared" si="17"/>
        <v>0</v>
      </c>
      <c r="U27" s="65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96"/>
      <c r="AI27" s="66"/>
      <c r="AJ27" s="66"/>
      <c r="AK27" s="62">
        <f t="shared" si="18"/>
        <v>0</v>
      </c>
      <c r="AL27" s="72">
        <f t="shared" si="19"/>
        <v>0</v>
      </c>
      <c r="AM27" s="73">
        <f t="shared" si="20"/>
        <v>0</v>
      </c>
      <c r="AN27" s="74">
        <f t="shared" si="21"/>
        <v>0</v>
      </c>
      <c r="AO27" s="74">
        <f t="shared" si="22"/>
        <v>0</v>
      </c>
      <c r="AP27" s="75" t="e">
        <f t="shared" si="23"/>
        <v>#DIV/0!</v>
      </c>
      <c r="AQ27" s="76">
        <f t="shared" si="24"/>
        <v>0</v>
      </c>
      <c r="AR27" s="90">
        <f t="shared" si="13"/>
        <v>0</v>
      </c>
    </row>
    <row r="28" spans="1:49" x14ac:dyDescent="0.25">
      <c r="A28" t="str">
        <f t="shared" si="14"/>
        <v>46216M</v>
      </c>
      <c r="B28" s="51">
        <f t="shared" si="26"/>
        <v>46216</v>
      </c>
      <c r="C28" s="52" t="s">
        <v>87</v>
      </c>
      <c r="D28" s="91"/>
      <c r="E28" s="62"/>
      <c r="F28" s="62"/>
      <c r="G28" s="62">
        <f t="shared" ref="G28:G65" si="29">+D28*E28%</f>
        <v>0</v>
      </c>
      <c r="H28" s="72">
        <f t="shared" ref="H28:H65" si="30">+D28*F28%</f>
        <v>0</v>
      </c>
      <c r="I28" s="202"/>
      <c r="J28" s="202"/>
      <c r="K28" s="202"/>
      <c r="L28" s="202"/>
      <c r="M28" s="58"/>
      <c r="N28" s="58"/>
      <c r="O28" s="59"/>
      <c r="P28" s="56"/>
      <c r="Q28" s="60"/>
      <c r="R28" s="61">
        <f t="shared" si="15"/>
        <v>0</v>
      </c>
      <c r="S28" s="62">
        <f t="shared" si="16"/>
        <v>0</v>
      </c>
      <c r="T28" s="63">
        <f t="shared" si="17"/>
        <v>0</v>
      </c>
      <c r="U28" s="65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96"/>
      <c r="AI28" s="66"/>
      <c r="AJ28" s="66"/>
      <c r="AK28" s="62">
        <f t="shared" si="18"/>
        <v>0</v>
      </c>
      <c r="AL28" s="72">
        <f t="shared" si="19"/>
        <v>0</v>
      </c>
      <c r="AM28" s="73">
        <f t="shared" si="20"/>
        <v>0</v>
      </c>
      <c r="AN28" s="74">
        <f t="shared" si="21"/>
        <v>0</v>
      </c>
      <c r="AO28" s="74">
        <f t="shared" si="22"/>
        <v>0</v>
      </c>
      <c r="AP28" s="75" t="e">
        <f t="shared" si="23"/>
        <v>#DIV/0!</v>
      </c>
      <c r="AQ28" s="76">
        <f t="shared" si="24"/>
        <v>0</v>
      </c>
      <c r="AR28" s="90">
        <f t="shared" si="13"/>
        <v>0</v>
      </c>
    </row>
    <row r="29" spans="1:49" x14ac:dyDescent="0.25">
      <c r="A29" t="str">
        <f t="shared" si="14"/>
        <v>46216E</v>
      </c>
      <c r="B29" s="51">
        <f t="shared" si="26"/>
        <v>46216</v>
      </c>
      <c r="C29" s="52" t="s">
        <v>88</v>
      </c>
      <c r="D29" s="91"/>
      <c r="E29" s="62"/>
      <c r="F29" s="62"/>
      <c r="G29" s="62">
        <f t="shared" si="29"/>
        <v>0</v>
      </c>
      <c r="H29" s="72">
        <f t="shared" si="30"/>
        <v>0</v>
      </c>
      <c r="I29" s="202"/>
      <c r="J29" s="202"/>
      <c r="K29" s="202"/>
      <c r="L29" s="202"/>
      <c r="M29" s="58"/>
      <c r="N29" s="58"/>
      <c r="O29" s="59"/>
      <c r="P29" s="56"/>
      <c r="Q29" s="60"/>
      <c r="R29" s="61">
        <f t="shared" si="15"/>
        <v>0</v>
      </c>
      <c r="S29" s="62">
        <f t="shared" si="16"/>
        <v>0</v>
      </c>
      <c r="T29" s="63">
        <f t="shared" si="17"/>
        <v>0</v>
      </c>
      <c r="U29" s="65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96"/>
      <c r="AI29" s="66"/>
      <c r="AJ29" s="66"/>
      <c r="AK29" s="62">
        <f t="shared" si="18"/>
        <v>0</v>
      </c>
      <c r="AL29" s="72">
        <f t="shared" si="19"/>
        <v>0</v>
      </c>
      <c r="AM29" s="73">
        <f t="shared" si="20"/>
        <v>0</v>
      </c>
      <c r="AN29" s="74">
        <f t="shared" si="21"/>
        <v>0</v>
      </c>
      <c r="AO29" s="74">
        <f t="shared" si="22"/>
        <v>0</v>
      </c>
      <c r="AP29" s="75" t="e">
        <f t="shared" si="23"/>
        <v>#DIV/0!</v>
      </c>
      <c r="AQ29" s="76">
        <f t="shared" si="24"/>
        <v>0</v>
      </c>
      <c r="AR29" s="90">
        <f t="shared" si="13"/>
        <v>0</v>
      </c>
      <c r="AS29" s="90">
        <f>SUM(J16:J29)</f>
        <v>54825.252</v>
      </c>
      <c r="AT29" s="83">
        <f>SUM(AM16:AM29)</f>
        <v>-3125.7480000000014</v>
      </c>
      <c r="AU29" s="83">
        <f>SUM(AN16:AN29)</f>
        <v>-134.16154999999975</v>
      </c>
      <c r="AV29" s="83">
        <f>SUM(AO16:AO29)</f>
        <v>-188.0423149999985</v>
      </c>
      <c r="AW29" s="83">
        <f>-SUM(AQ16:AQ29)</f>
        <v>120785.99054762526</v>
      </c>
    </row>
    <row r="30" spans="1:49" x14ac:dyDescent="0.25">
      <c r="A30" t="str">
        <f t="shared" si="14"/>
        <v>46217M</v>
      </c>
      <c r="B30" s="51">
        <f t="shared" si="26"/>
        <v>46217</v>
      </c>
      <c r="C30" s="52" t="s">
        <v>87</v>
      </c>
      <c r="D30" s="91"/>
      <c r="E30" s="62"/>
      <c r="F30" s="62"/>
      <c r="G30" s="62">
        <f t="shared" si="29"/>
        <v>0</v>
      </c>
      <c r="H30" s="72">
        <f t="shared" si="30"/>
        <v>0</v>
      </c>
      <c r="I30" s="202"/>
      <c r="J30" s="202"/>
      <c r="K30" s="202"/>
      <c r="L30" s="202"/>
      <c r="M30" s="58"/>
      <c r="N30" s="58"/>
      <c r="O30" s="59"/>
      <c r="P30" s="56"/>
      <c r="Q30" s="60"/>
      <c r="R30" s="61">
        <f t="shared" si="15"/>
        <v>0</v>
      </c>
      <c r="S30" s="62">
        <f t="shared" si="16"/>
        <v>0</v>
      </c>
      <c r="T30" s="63">
        <f t="shared" si="17"/>
        <v>0</v>
      </c>
      <c r="U30" s="65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96"/>
      <c r="AI30" s="66"/>
      <c r="AJ30" s="66"/>
      <c r="AK30" s="62">
        <f t="shared" si="18"/>
        <v>0</v>
      </c>
      <c r="AL30" s="72">
        <f t="shared" si="19"/>
        <v>0</v>
      </c>
      <c r="AM30" s="73">
        <f t="shared" si="20"/>
        <v>0</v>
      </c>
      <c r="AN30" s="74">
        <f t="shared" si="21"/>
        <v>0</v>
      </c>
      <c r="AO30" s="74">
        <f t="shared" si="22"/>
        <v>0</v>
      </c>
      <c r="AP30" s="75" t="e">
        <f t="shared" si="23"/>
        <v>#DIV/0!</v>
      </c>
      <c r="AQ30" s="76">
        <f t="shared" si="24"/>
        <v>0</v>
      </c>
      <c r="AR30" s="90">
        <f t="shared" si="13"/>
        <v>0</v>
      </c>
    </row>
    <row r="31" spans="1:49" x14ac:dyDescent="0.25">
      <c r="A31" t="str">
        <f t="shared" si="14"/>
        <v>46217E</v>
      </c>
      <c r="B31" s="51">
        <f t="shared" si="26"/>
        <v>46217</v>
      </c>
      <c r="C31" s="52" t="s">
        <v>88</v>
      </c>
      <c r="D31" s="91"/>
      <c r="E31" s="62"/>
      <c r="F31" s="62"/>
      <c r="G31" s="62">
        <f t="shared" si="29"/>
        <v>0</v>
      </c>
      <c r="H31" s="72">
        <f t="shared" si="30"/>
        <v>0</v>
      </c>
      <c r="I31" s="202"/>
      <c r="J31" s="202"/>
      <c r="K31" s="202"/>
      <c r="L31" s="202"/>
      <c r="M31" s="58"/>
      <c r="N31" s="58"/>
      <c r="O31" s="59"/>
      <c r="P31" s="56"/>
      <c r="Q31" s="60"/>
      <c r="R31" s="61">
        <f t="shared" si="15"/>
        <v>0</v>
      </c>
      <c r="S31" s="62">
        <f t="shared" si="16"/>
        <v>0</v>
      </c>
      <c r="T31" s="63">
        <f t="shared" si="17"/>
        <v>0</v>
      </c>
      <c r="U31" s="65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96"/>
      <c r="AI31" s="66"/>
      <c r="AJ31" s="66"/>
      <c r="AK31" s="62">
        <f t="shared" si="18"/>
        <v>0</v>
      </c>
      <c r="AL31" s="72">
        <f t="shared" si="19"/>
        <v>0</v>
      </c>
      <c r="AM31" s="73">
        <f t="shared" si="20"/>
        <v>0</v>
      </c>
      <c r="AN31" s="74">
        <f t="shared" si="21"/>
        <v>0</v>
      </c>
      <c r="AO31" s="74">
        <f t="shared" si="22"/>
        <v>0</v>
      </c>
      <c r="AP31" s="75" t="e">
        <f t="shared" si="23"/>
        <v>#DIV/0!</v>
      </c>
      <c r="AQ31" s="76">
        <f t="shared" si="24"/>
        <v>0</v>
      </c>
      <c r="AR31" s="90">
        <f t="shared" si="13"/>
        <v>0</v>
      </c>
    </row>
    <row r="32" spans="1:49" x14ac:dyDescent="0.25">
      <c r="A32" t="str">
        <f t="shared" si="14"/>
        <v>46218M</v>
      </c>
      <c r="B32" s="51">
        <f t="shared" si="26"/>
        <v>46218</v>
      </c>
      <c r="C32" s="52" t="s">
        <v>87</v>
      </c>
      <c r="D32" s="91"/>
      <c r="E32" s="62"/>
      <c r="F32" s="62"/>
      <c r="G32" s="62">
        <f t="shared" si="29"/>
        <v>0</v>
      </c>
      <c r="H32" s="72">
        <f t="shared" si="30"/>
        <v>0</v>
      </c>
      <c r="I32" s="202"/>
      <c r="J32" s="202"/>
      <c r="K32" s="202"/>
      <c r="L32" s="202"/>
      <c r="M32" s="58"/>
      <c r="N32" s="57"/>
      <c r="O32" s="59"/>
      <c r="P32" s="56"/>
      <c r="Q32" s="60"/>
      <c r="R32" s="61">
        <f t="shared" si="15"/>
        <v>0</v>
      </c>
      <c r="S32" s="62">
        <f t="shared" si="16"/>
        <v>0</v>
      </c>
      <c r="T32" s="63">
        <f t="shared" si="17"/>
        <v>0</v>
      </c>
      <c r="U32" s="65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96"/>
      <c r="AI32" s="66"/>
      <c r="AJ32" s="66"/>
      <c r="AK32" s="62">
        <f t="shared" si="18"/>
        <v>0</v>
      </c>
      <c r="AL32" s="72">
        <f t="shared" si="19"/>
        <v>0</v>
      </c>
      <c r="AM32" s="73">
        <f t="shared" si="20"/>
        <v>0</v>
      </c>
      <c r="AN32" s="74">
        <f t="shared" si="21"/>
        <v>0</v>
      </c>
      <c r="AO32" s="74">
        <f t="shared" si="22"/>
        <v>0</v>
      </c>
      <c r="AP32" s="75" t="e">
        <f t="shared" si="23"/>
        <v>#DIV/0!</v>
      </c>
      <c r="AQ32" s="76">
        <f t="shared" si="24"/>
        <v>0</v>
      </c>
      <c r="AR32" s="90">
        <f t="shared" si="13"/>
        <v>0</v>
      </c>
    </row>
    <row r="33" spans="1:49" x14ac:dyDescent="0.25">
      <c r="A33" t="str">
        <f t="shared" si="14"/>
        <v>46218E</v>
      </c>
      <c r="B33" s="51">
        <f t="shared" si="26"/>
        <v>46218</v>
      </c>
      <c r="C33" s="52" t="s">
        <v>88</v>
      </c>
      <c r="D33" s="91"/>
      <c r="E33" s="62"/>
      <c r="F33" s="62"/>
      <c r="G33" s="62">
        <f t="shared" si="29"/>
        <v>0</v>
      </c>
      <c r="H33" s="72">
        <f t="shared" si="30"/>
        <v>0</v>
      </c>
      <c r="I33" s="202"/>
      <c r="J33" s="202"/>
      <c r="K33" s="202"/>
      <c r="L33" s="202"/>
      <c r="M33" s="58"/>
      <c r="N33" s="58"/>
      <c r="O33" s="59"/>
      <c r="P33" s="56"/>
      <c r="Q33" s="60"/>
      <c r="R33" s="61">
        <f t="shared" si="15"/>
        <v>0</v>
      </c>
      <c r="S33" s="62">
        <f t="shared" si="16"/>
        <v>0</v>
      </c>
      <c r="T33" s="63">
        <f t="shared" si="17"/>
        <v>0</v>
      </c>
      <c r="U33" s="65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96"/>
      <c r="AI33" s="66"/>
      <c r="AJ33" s="66"/>
      <c r="AK33" s="62">
        <f t="shared" si="18"/>
        <v>0</v>
      </c>
      <c r="AL33" s="72">
        <f t="shared" si="19"/>
        <v>0</v>
      </c>
      <c r="AM33" s="73">
        <f t="shared" si="20"/>
        <v>0</v>
      </c>
      <c r="AN33" s="74">
        <f t="shared" si="21"/>
        <v>0</v>
      </c>
      <c r="AO33" s="74">
        <f t="shared" si="22"/>
        <v>0</v>
      </c>
      <c r="AP33" s="75" t="e">
        <f t="shared" si="23"/>
        <v>#DIV/0!</v>
      </c>
      <c r="AQ33" s="76">
        <f t="shared" si="24"/>
        <v>0</v>
      </c>
      <c r="AR33" s="90">
        <f t="shared" si="13"/>
        <v>0</v>
      </c>
    </row>
    <row r="34" spans="1:49" x14ac:dyDescent="0.25">
      <c r="A34" t="str">
        <f t="shared" si="14"/>
        <v>46219M</v>
      </c>
      <c r="B34" s="51">
        <f t="shared" si="26"/>
        <v>46219</v>
      </c>
      <c r="C34" s="52" t="s">
        <v>87</v>
      </c>
      <c r="D34" s="91"/>
      <c r="E34" s="62"/>
      <c r="F34" s="62"/>
      <c r="G34" s="62">
        <f t="shared" si="29"/>
        <v>0</v>
      </c>
      <c r="H34" s="72">
        <f t="shared" si="30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5"/>
        <v>0</v>
      </c>
      <c r="S34" s="62">
        <f t="shared" si="16"/>
        <v>0</v>
      </c>
      <c r="T34" s="63">
        <f t="shared" si="17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96"/>
      <c r="AI34" s="66"/>
      <c r="AJ34" s="66"/>
      <c r="AK34" s="62">
        <f t="shared" si="18"/>
        <v>0</v>
      </c>
      <c r="AL34" s="72">
        <f t="shared" si="19"/>
        <v>0</v>
      </c>
      <c r="AM34" s="73">
        <f t="shared" si="20"/>
        <v>0</v>
      </c>
      <c r="AN34" s="74">
        <f t="shared" si="21"/>
        <v>0</v>
      </c>
      <c r="AO34" s="74">
        <f t="shared" si="22"/>
        <v>0</v>
      </c>
      <c r="AP34" s="75" t="e">
        <f t="shared" si="23"/>
        <v>#DIV/0!</v>
      </c>
      <c r="AQ34" s="76">
        <f t="shared" si="24"/>
        <v>0</v>
      </c>
      <c r="AR34" s="90">
        <f t="shared" si="13"/>
        <v>0</v>
      </c>
    </row>
    <row r="35" spans="1:49" x14ac:dyDescent="0.25">
      <c r="A35" t="str">
        <f t="shared" si="14"/>
        <v>46219E</v>
      </c>
      <c r="B35" s="51">
        <f t="shared" si="26"/>
        <v>46219</v>
      </c>
      <c r="C35" s="52" t="s">
        <v>88</v>
      </c>
      <c r="D35" s="91"/>
      <c r="E35" s="62"/>
      <c r="F35" s="62"/>
      <c r="G35" s="62">
        <f t="shared" si="29"/>
        <v>0</v>
      </c>
      <c r="H35" s="72">
        <f t="shared" si="30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5"/>
        <v>0</v>
      </c>
      <c r="S35" s="62">
        <f t="shared" si="16"/>
        <v>0</v>
      </c>
      <c r="T35" s="63">
        <f t="shared" si="17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96"/>
      <c r="AI35" s="66"/>
      <c r="AJ35" s="66"/>
      <c r="AK35" s="62">
        <f t="shared" si="18"/>
        <v>0</v>
      </c>
      <c r="AL35" s="72">
        <f t="shared" si="19"/>
        <v>0</v>
      </c>
      <c r="AM35" s="73">
        <f t="shared" si="20"/>
        <v>0</v>
      </c>
      <c r="AN35" s="74">
        <f t="shared" si="21"/>
        <v>0</v>
      </c>
      <c r="AO35" s="74">
        <f t="shared" si="22"/>
        <v>0</v>
      </c>
      <c r="AP35" s="75" t="e">
        <f t="shared" si="23"/>
        <v>#DIV/0!</v>
      </c>
      <c r="AQ35" s="76">
        <f t="shared" si="24"/>
        <v>0</v>
      </c>
      <c r="AR35" s="90">
        <f t="shared" si="13"/>
        <v>0</v>
      </c>
    </row>
    <row r="36" spans="1:49" x14ac:dyDescent="0.25">
      <c r="A36" t="str">
        <f t="shared" si="14"/>
        <v>46220M</v>
      </c>
      <c r="B36" s="51">
        <f t="shared" si="26"/>
        <v>46220</v>
      </c>
      <c r="C36" s="52" t="s">
        <v>87</v>
      </c>
      <c r="D36" s="91"/>
      <c r="E36" s="62"/>
      <c r="F36" s="62"/>
      <c r="G36" s="62">
        <f t="shared" si="29"/>
        <v>0</v>
      </c>
      <c r="H36" s="72">
        <f t="shared" si="30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5"/>
        <v>0</v>
      </c>
      <c r="S36" s="62">
        <f t="shared" si="16"/>
        <v>0</v>
      </c>
      <c r="T36" s="63">
        <f t="shared" si="17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96"/>
      <c r="AI36" s="66"/>
      <c r="AJ36" s="66"/>
      <c r="AK36" s="62">
        <f t="shared" si="18"/>
        <v>0</v>
      </c>
      <c r="AL36" s="72">
        <f t="shared" si="19"/>
        <v>0</v>
      </c>
      <c r="AM36" s="73">
        <f t="shared" si="20"/>
        <v>0</v>
      </c>
      <c r="AN36" s="74">
        <f t="shared" si="21"/>
        <v>0</v>
      </c>
      <c r="AO36" s="74">
        <f t="shared" si="22"/>
        <v>0</v>
      </c>
      <c r="AP36" s="75" t="e">
        <f t="shared" si="23"/>
        <v>#DIV/0!</v>
      </c>
      <c r="AQ36" s="76">
        <f t="shared" si="24"/>
        <v>0</v>
      </c>
      <c r="AR36" s="90">
        <f t="shared" ref="AR36:AR48" si="31">(D36+J36+O36)-(X36+AH36)</f>
        <v>0</v>
      </c>
    </row>
    <row r="37" spans="1:49" x14ac:dyDescent="0.25">
      <c r="A37" t="str">
        <f t="shared" si="14"/>
        <v>46220E</v>
      </c>
      <c r="B37" s="51">
        <f t="shared" si="26"/>
        <v>46220</v>
      </c>
      <c r="C37" s="52" t="s">
        <v>88</v>
      </c>
      <c r="D37" s="91"/>
      <c r="E37" s="62"/>
      <c r="F37" s="62"/>
      <c r="G37" s="62">
        <f t="shared" si="29"/>
        <v>0</v>
      </c>
      <c r="H37" s="72">
        <f t="shared" si="30"/>
        <v>0</v>
      </c>
      <c r="I37" s="202"/>
      <c r="J37" s="202"/>
      <c r="K37" s="202"/>
      <c r="L37" s="202"/>
      <c r="M37" s="58"/>
      <c r="N37" s="58"/>
      <c r="O37" s="59"/>
      <c r="P37" s="56"/>
      <c r="Q37" s="60"/>
      <c r="R37" s="61">
        <f t="shared" si="15"/>
        <v>0</v>
      </c>
      <c r="S37" s="62">
        <f t="shared" si="16"/>
        <v>0</v>
      </c>
      <c r="T37" s="63">
        <f t="shared" si="17"/>
        <v>0</v>
      </c>
      <c r="U37" s="64"/>
      <c r="V37" s="65"/>
      <c r="W37" s="66"/>
      <c r="X37" s="67"/>
      <c r="Y37" s="68"/>
      <c r="Z37" s="68"/>
      <c r="AA37" s="62">
        <f t="shared" ref="AA37:AA43" si="32">X37*Y37%</f>
        <v>0</v>
      </c>
      <c r="AB37" s="63">
        <f t="shared" ref="AB37:AB43" si="33">X37*Z37%</f>
        <v>0</v>
      </c>
      <c r="AC37" s="69"/>
      <c r="AD37" s="70"/>
      <c r="AE37" s="70"/>
      <c r="AF37" s="62">
        <f t="shared" ref="AF37:AF49" si="34">AC37*AD37%</f>
        <v>0</v>
      </c>
      <c r="AG37" s="63">
        <f t="shared" ref="AG37:AG49" si="35">AC37*AE37%</f>
        <v>0</v>
      </c>
      <c r="AH37" s="96"/>
      <c r="AI37" s="66"/>
      <c r="AJ37" s="66"/>
      <c r="AK37" s="62">
        <f t="shared" si="18"/>
        <v>0</v>
      </c>
      <c r="AL37" s="72">
        <f t="shared" si="19"/>
        <v>0</v>
      </c>
      <c r="AM37" s="73">
        <f t="shared" si="20"/>
        <v>0</v>
      </c>
      <c r="AN37" s="74">
        <f t="shared" si="21"/>
        <v>0</v>
      </c>
      <c r="AO37" s="74">
        <f t="shared" si="22"/>
        <v>0</v>
      </c>
      <c r="AP37" s="75" t="e">
        <f t="shared" si="23"/>
        <v>#DIV/0!</v>
      </c>
      <c r="AQ37" s="76">
        <f t="shared" si="24"/>
        <v>0</v>
      </c>
      <c r="AR37" s="90">
        <f t="shared" si="31"/>
        <v>0</v>
      </c>
    </row>
    <row r="38" spans="1:49" x14ac:dyDescent="0.25">
      <c r="A38" t="str">
        <f t="shared" si="14"/>
        <v>46221M</v>
      </c>
      <c r="B38" s="51">
        <f t="shared" si="26"/>
        <v>46221</v>
      </c>
      <c r="C38" s="52" t="s">
        <v>87</v>
      </c>
      <c r="D38" s="91"/>
      <c r="E38" s="62"/>
      <c r="F38" s="62"/>
      <c r="G38" s="62">
        <f t="shared" si="29"/>
        <v>0</v>
      </c>
      <c r="H38" s="72">
        <f t="shared" si="30"/>
        <v>0</v>
      </c>
      <c r="I38" s="202"/>
      <c r="J38" s="202"/>
      <c r="K38" s="202"/>
      <c r="L38" s="202"/>
      <c r="M38" s="58"/>
      <c r="N38" s="58"/>
      <c r="O38" s="59"/>
      <c r="P38" s="56"/>
      <c r="Q38" s="60"/>
      <c r="R38" s="61">
        <f t="shared" si="15"/>
        <v>0</v>
      </c>
      <c r="S38" s="62">
        <f t="shared" si="16"/>
        <v>0</v>
      </c>
      <c r="T38" s="63">
        <f t="shared" si="17"/>
        <v>0</v>
      </c>
      <c r="U38" s="64"/>
      <c r="V38" s="65"/>
      <c r="W38" s="66"/>
      <c r="X38" s="67"/>
      <c r="Y38" s="68"/>
      <c r="Z38" s="68"/>
      <c r="AA38" s="62">
        <f t="shared" si="32"/>
        <v>0</v>
      </c>
      <c r="AB38" s="63">
        <f t="shared" si="33"/>
        <v>0</v>
      </c>
      <c r="AC38" s="69"/>
      <c r="AD38" s="70"/>
      <c r="AE38" s="70"/>
      <c r="AF38" s="62">
        <f t="shared" si="34"/>
        <v>0</v>
      </c>
      <c r="AG38" s="63">
        <f t="shared" si="35"/>
        <v>0</v>
      </c>
      <c r="AH38" s="96"/>
      <c r="AI38" s="66"/>
      <c r="AJ38" s="66"/>
      <c r="AK38" s="62">
        <f t="shared" si="18"/>
        <v>0</v>
      </c>
      <c r="AL38" s="72">
        <f t="shared" si="19"/>
        <v>0</v>
      </c>
      <c r="AM38" s="73">
        <f t="shared" si="20"/>
        <v>0</v>
      </c>
      <c r="AN38" s="74">
        <f t="shared" si="21"/>
        <v>0</v>
      </c>
      <c r="AO38" s="74">
        <f t="shared" si="22"/>
        <v>0</v>
      </c>
      <c r="AP38" s="75" t="e">
        <f t="shared" si="23"/>
        <v>#DIV/0!</v>
      </c>
      <c r="AQ38" s="76">
        <f t="shared" si="24"/>
        <v>0</v>
      </c>
      <c r="AR38" s="90">
        <f t="shared" si="31"/>
        <v>0</v>
      </c>
    </row>
    <row r="39" spans="1:49" x14ac:dyDescent="0.25">
      <c r="A39" t="str">
        <f t="shared" si="14"/>
        <v>46221E</v>
      </c>
      <c r="B39" s="51">
        <f t="shared" si="26"/>
        <v>46221</v>
      </c>
      <c r="C39" s="52" t="s">
        <v>88</v>
      </c>
      <c r="D39" s="91"/>
      <c r="E39" s="62"/>
      <c r="F39" s="62"/>
      <c r="G39" s="62">
        <f t="shared" si="29"/>
        <v>0</v>
      </c>
      <c r="H39" s="72">
        <f t="shared" si="30"/>
        <v>0</v>
      </c>
      <c r="I39" s="202"/>
      <c r="J39" s="202"/>
      <c r="K39" s="202"/>
      <c r="L39" s="202"/>
      <c r="M39" s="58"/>
      <c r="N39" s="58"/>
      <c r="O39" s="59"/>
      <c r="P39" s="56"/>
      <c r="Q39" s="60"/>
      <c r="R39" s="61">
        <f t="shared" si="15"/>
        <v>0</v>
      </c>
      <c r="S39" s="62">
        <f t="shared" si="16"/>
        <v>0</v>
      </c>
      <c r="T39" s="63">
        <f t="shared" si="17"/>
        <v>0</v>
      </c>
      <c r="U39" s="64"/>
      <c r="V39" s="65"/>
      <c r="W39" s="66"/>
      <c r="X39" s="67"/>
      <c r="Y39" s="68"/>
      <c r="Z39" s="68"/>
      <c r="AA39" s="62">
        <f t="shared" si="32"/>
        <v>0</v>
      </c>
      <c r="AB39" s="63">
        <f t="shared" si="33"/>
        <v>0</v>
      </c>
      <c r="AC39" s="69"/>
      <c r="AD39" s="70"/>
      <c r="AE39" s="70"/>
      <c r="AF39" s="62">
        <f t="shared" si="34"/>
        <v>0</v>
      </c>
      <c r="AG39" s="63">
        <f t="shared" si="35"/>
        <v>0</v>
      </c>
      <c r="AH39" s="96"/>
      <c r="AI39" s="66"/>
      <c r="AJ39" s="66"/>
      <c r="AK39" s="62">
        <f t="shared" si="18"/>
        <v>0</v>
      </c>
      <c r="AL39" s="72">
        <f t="shared" si="19"/>
        <v>0</v>
      </c>
      <c r="AM39" s="73">
        <f t="shared" si="20"/>
        <v>0</v>
      </c>
      <c r="AN39" s="74">
        <f t="shared" si="21"/>
        <v>0</v>
      </c>
      <c r="AO39" s="74">
        <f t="shared" si="22"/>
        <v>0</v>
      </c>
      <c r="AP39" s="75" t="e">
        <f t="shared" si="23"/>
        <v>#DIV/0!</v>
      </c>
      <c r="AQ39" s="76">
        <f t="shared" si="24"/>
        <v>0</v>
      </c>
      <c r="AR39" s="90">
        <f t="shared" si="31"/>
        <v>0</v>
      </c>
    </row>
    <row r="40" spans="1:49" x14ac:dyDescent="0.25">
      <c r="A40" t="str">
        <f t="shared" si="14"/>
        <v>46222M</v>
      </c>
      <c r="B40" s="51">
        <f t="shared" si="26"/>
        <v>46222</v>
      </c>
      <c r="C40" s="52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202"/>
      <c r="J40" s="202"/>
      <c r="K40" s="202"/>
      <c r="L40" s="202"/>
      <c r="M40" s="58"/>
      <c r="N40" s="58"/>
      <c r="O40" s="59"/>
      <c r="P40" s="56"/>
      <c r="Q40" s="60"/>
      <c r="R40" s="61">
        <f t="shared" si="15"/>
        <v>0</v>
      </c>
      <c r="S40" s="62">
        <f t="shared" si="16"/>
        <v>0</v>
      </c>
      <c r="T40" s="63">
        <f t="shared" si="17"/>
        <v>0</v>
      </c>
      <c r="U40" s="64"/>
      <c r="V40" s="65"/>
      <c r="W40" s="66"/>
      <c r="X40" s="67"/>
      <c r="Y40" s="68"/>
      <c r="Z40" s="68"/>
      <c r="AA40" s="62">
        <f t="shared" si="32"/>
        <v>0</v>
      </c>
      <c r="AB40" s="63">
        <f t="shared" si="33"/>
        <v>0</v>
      </c>
      <c r="AC40" s="69"/>
      <c r="AD40" s="70"/>
      <c r="AE40" s="70"/>
      <c r="AF40" s="62">
        <f t="shared" si="34"/>
        <v>0</v>
      </c>
      <c r="AG40" s="63">
        <f t="shared" si="35"/>
        <v>0</v>
      </c>
      <c r="AH40" s="96"/>
      <c r="AI40" s="66"/>
      <c r="AJ40" s="66"/>
      <c r="AK40" s="62">
        <f t="shared" si="18"/>
        <v>0</v>
      </c>
      <c r="AL40" s="72">
        <f t="shared" si="19"/>
        <v>0</v>
      </c>
      <c r="AM40" s="73">
        <f t="shared" si="20"/>
        <v>0</v>
      </c>
      <c r="AN40" s="74">
        <f t="shared" si="21"/>
        <v>0</v>
      </c>
      <c r="AO40" s="74">
        <f t="shared" si="22"/>
        <v>0</v>
      </c>
      <c r="AP40" s="75" t="e">
        <f t="shared" si="23"/>
        <v>#DIV/0!</v>
      </c>
      <c r="AQ40" s="76">
        <f t="shared" si="24"/>
        <v>0</v>
      </c>
      <c r="AR40" s="90">
        <f t="shared" si="31"/>
        <v>0</v>
      </c>
    </row>
    <row r="41" spans="1:49" x14ac:dyDescent="0.25">
      <c r="A41" t="str">
        <f t="shared" si="14"/>
        <v>46222E</v>
      </c>
      <c r="B41" s="51">
        <f t="shared" si="26"/>
        <v>46222</v>
      </c>
      <c r="C41" s="52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202"/>
      <c r="J41" s="202"/>
      <c r="K41" s="202"/>
      <c r="L41" s="202"/>
      <c r="M41" s="58"/>
      <c r="N41" s="58"/>
      <c r="O41" s="59"/>
      <c r="P41" s="56"/>
      <c r="Q41" s="60"/>
      <c r="R41" s="61">
        <f t="shared" si="15"/>
        <v>0</v>
      </c>
      <c r="S41" s="62">
        <f t="shared" si="16"/>
        <v>0</v>
      </c>
      <c r="T41" s="63">
        <f t="shared" si="17"/>
        <v>0</v>
      </c>
      <c r="U41" s="64"/>
      <c r="V41" s="65"/>
      <c r="W41" s="66"/>
      <c r="X41" s="67"/>
      <c r="Y41" s="68"/>
      <c r="Z41" s="68"/>
      <c r="AA41" s="62">
        <f t="shared" si="32"/>
        <v>0</v>
      </c>
      <c r="AB41" s="63">
        <f t="shared" si="33"/>
        <v>0</v>
      </c>
      <c r="AC41" s="69"/>
      <c r="AD41" s="70"/>
      <c r="AE41" s="70"/>
      <c r="AF41" s="62">
        <f t="shared" si="34"/>
        <v>0</v>
      </c>
      <c r="AG41" s="63">
        <f t="shared" si="35"/>
        <v>0</v>
      </c>
      <c r="AH41" s="96"/>
      <c r="AI41" s="66"/>
      <c r="AJ41" s="66"/>
      <c r="AK41" s="62">
        <f t="shared" si="18"/>
        <v>0</v>
      </c>
      <c r="AL41" s="72">
        <f t="shared" si="19"/>
        <v>0</v>
      </c>
      <c r="AM41" s="73">
        <f t="shared" si="20"/>
        <v>0</v>
      </c>
      <c r="AN41" s="74">
        <f t="shared" si="21"/>
        <v>0</v>
      </c>
      <c r="AO41" s="74">
        <f t="shared" si="22"/>
        <v>0</v>
      </c>
      <c r="AP41" s="75" t="e">
        <f t="shared" si="23"/>
        <v>#DIV/0!</v>
      </c>
      <c r="AQ41" s="76">
        <f t="shared" si="24"/>
        <v>0</v>
      </c>
      <c r="AR41" s="90">
        <f t="shared" si="31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x14ac:dyDescent="0.25">
      <c r="A42" t="str">
        <f t="shared" si="14"/>
        <v>46223M</v>
      </c>
      <c r="B42" s="51">
        <f t="shared" si="26"/>
        <v>46223</v>
      </c>
      <c r="C42" s="52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202"/>
      <c r="J42" s="202"/>
      <c r="K42" s="202"/>
      <c r="L42" s="202"/>
      <c r="M42" s="58"/>
      <c r="N42" s="58"/>
      <c r="O42" s="59"/>
      <c r="P42" s="56"/>
      <c r="Q42" s="60"/>
      <c r="R42" s="61">
        <f t="shared" si="15"/>
        <v>0</v>
      </c>
      <c r="S42" s="62">
        <f t="shared" si="16"/>
        <v>0</v>
      </c>
      <c r="T42" s="63">
        <f t="shared" si="17"/>
        <v>0</v>
      </c>
      <c r="U42" s="64"/>
      <c r="V42" s="65"/>
      <c r="W42" s="66"/>
      <c r="X42" s="67"/>
      <c r="Y42" s="68"/>
      <c r="Z42" s="68"/>
      <c r="AA42" s="62">
        <f t="shared" si="32"/>
        <v>0</v>
      </c>
      <c r="AB42" s="63">
        <f t="shared" si="33"/>
        <v>0</v>
      </c>
      <c r="AC42" s="69"/>
      <c r="AD42" s="70"/>
      <c r="AE42" s="70"/>
      <c r="AF42" s="62">
        <f t="shared" si="34"/>
        <v>0</v>
      </c>
      <c r="AG42" s="63">
        <f t="shared" si="35"/>
        <v>0</v>
      </c>
      <c r="AH42" s="96"/>
      <c r="AI42" s="66"/>
      <c r="AJ42" s="66"/>
      <c r="AK42" s="62">
        <f t="shared" si="18"/>
        <v>0</v>
      </c>
      <c r="AL42" s="72">
        <f t="shared" si="19"/>
        <v>0</v>
      </c>
      <c r="AM42" s="73">
        <f t="shared" si="20"/>
        <v>0</v>
      </c>
      <c r="AN42" s="74">
        <f t="shared" si="21"/>
        <v>0</v>
      </c>
      <c r="AO42" s="74">
        <f t="shared" si="22"/>
        <v>0</v>
      </c>
      <c r="AP42" s="75" t="e">
        <f t="shared" si="23"/>
        <v>#DIV/0!</v>
      </c>
      <c r="AQ42" s="76">
        <f t="shared" si="24"/>
        <v>0</v>
      </c>
      <c r="AR42" s="90">
        <f t="shared" si="31"/>
        <v>0</v>
      </c>
    </row>
    <row r="43" spans="1:49" x14ac:dyDescent="0.25">
      <c r="A43" t="str">
        <f t="shared" si="14"/>
        <v>46223E</v>
      </c>
      <c r="B43" s="51">
        <f t="shared" si="26"/>
        <v>46223</v>
      </c>
      <c r="C43" s="52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202"/>
      <c r="J43" s="202"/>
      <c r="K43" s="202"/>
      <c r="L43" s="202"/>
      <c r="M43" s="58"/>
      <c r="N43" s="58"/>
      <c r="O43" s="59"/>
      <c r="P43" s="56"/>
      <c r="Q43" s="60"/>
      <c r="R43" s="61">
        <f t="shared" si="15"/>
        <v>0</v>
      </c>
      <c r="S43" s="62">
        <f t="shared" si="16"/>
        <v>0</v>
      </c>
      <c r="T43" s="63">
        <f t="shared" si="17"/>
        <v>0</v>
      </c>
      <c r="U43" s="64"/>
      <c r="V43" s="65"/>
      <c r="W43" s="66"/>
      <c r="X43" s="67"/>
      <c r="Y43" s="68"/>
      <c r="Z43" s="68"/>
      <c r="AA43" s="62">
        <f t="shared" si="32"/>
        <v>0</v>
      </c>
      <c r="AB43" s="63">
        <f t="shared" si="33"/>
        <v>0</v>
      </c>
      <c r="AC43" s="69"/>
      <c r="AD43" s="70"/>
      <c r="AE43" s="70"/>
      <c r="AF43" s="62">
        <f t="shared" si="34"/>
        <v>0</v>
      </c>
      <c r="AG43" s="63">
        <f t="shared" si="35"/>
        <v>0</v>
      </c>
      <c r="AH43" s="96"/>
      <c r="AI43" s="66"/>
      <c r="AJ43" s="66"/>
      <c r="AK43" s="62">
        <f t="shared" si="18"/>
        <v>0</v>
      </c>
      <c r="AL43" s="72">
        <f t="shared" si="19"/>
        <v>0</v>
      </c>
      <c r="AM43" s="73">
        <f t="shared" si="20"/>
        <v>0</v>
      </c>
      <c r="AN43" s="74">
        <f t="shared" si="21"/>
        <v>0</v>
      </c>
      <c r="AO43" s="74">
        <f t="shared" si="22"/>
        <v>0</v>
      </c>
      <c r="AP43" s="75" t="e">
        <f t="shared" si="23"/>
        <v>#DIV/0!</v>
      </c>
      <c r="AQ43" s="76">
        <f t="shared" si="24"/>
        <v>0</v>
      </c>
      <c r="AR43" s="90">
        <f t="shared" si="31"/>
        <v>0</v>
      </c>
    </row>
    <row r="44" spans="1:49" x14ac:dyDescent="0.25">
      <c r="A44" t="str">
        <f t="shared" si="14"/>
        <v>46224M</v>
      </c>
      <c r="B44" s="51">
        <f t="shared" si="26"/>
        <v>46224</v>
      </c>
      <c r="C44" s="52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202"/>
      <c r="J44" s="202"/>
      <c r="K44" s="202"/>
      <c r="L44" s="202"/>
      <c r="M44" s="58"/>
      <c r="N44" s="58"/>
      <c r="O44" s="59"/>
      <c r="P44" s="56"/>
      <c r="Q44" s="60"/>
      <c r="R44" s="61">
        <f t="shared" si="15"/>
        <v>0</v>
      </c>
      <c r="S44" s="62">
        <f t="shared" si="16"/>
        <v>0</v>
      </c>
      <c r="T44" s="63">
        <f t="shared" si="17"/>
        <v>0</v>
      </c>
      <c r="U44" s="64"/>
      <c r="V44" s="65"/>
      <c r="W44" s="66"/>
      <c r="X44" s="67"/>
      <c r="Y44" s="68"/>
      <c r="Z44" s="68"/>
      <c r="AA44" s="62">
        <f t="shared" ref="AA44:AA63" si="36">X44*Y44%</f>
        <v>0</v>
      </c>
      <c r="AB44" s="63">
        <f t="shared" ref="AB44:AB63" si="37">X44*Z44%</f>
        <v>0</v>
      </c>
      <c r="AC44" s="69"/>
      <c r="AD44" s="70"/>
      <c r="AE44" s="70"/>
      <c r="AF44" s="62">
        <f t="shared" si="34"/>
        <v>0</v>
      </c>
      <c r="AG44" s="63">
        <f t="shared" si="35"/>
        <v>0</v>
      </c>
      <c r="AH44" s="96"/>
      <c r="AI44" s="66"/>
      <c r="AJ44" s="66"/>
      <c r="AK44" s="62">
        <f t="shared" si="18"/>
        <v>0</v>
      </c>
      <c r="AL44" s="72">
        <f t="shared" si="19"/>
        <v>0</v>
      </c>
      <c r="AM44" s="73">
        <f t="shared" si="20"/>
        <v>0</v>
      </c>
      <c r="AN44" s="74">
        <f t="shared" si="21"/>
        <v>0</v>
      </c>
      <c r="AO44" s="74">
        <f t="shared" si="22"/>
        <v>0</v>
      </c>
      <c r="AP44" s="75" t="e">
        <f t="shared" si="23"/>
        <v>#DIV/0!</v>
      </c>
      <c r="AQ44" s="76">
        <f t="shared" si="24"/>
        <v>0</v>
      </c>
      <c r="AR44" s="90">
        <f t="shared" si="31"/>
        <v>0</v>
      </c>
    </row>
    <row r="45" spans="1:49" x14ac:dyDescent="0.25">
      <c r="A45" t="str">
        <f t="shared" si="14"/>
        <v>46224E</v>
      </c>
      <c r="B45" s="51">
        <f t="shared" si="26"/>
        <v>46224</v>
      </c>
      <c r="C45" s="52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5"/>
        <v>0</v>
      </c>
      <c r="S45" s="62">
        <f t="shared" si="16"/>
        <v>0</v>
      </c>
      <c r="T45" s="63">
        <f t="shared" si="17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69"/>
      <c r="AD45" s="70"/>
      <c r="AE45" s="70"/>
      <c r="AF45" s="62">
        <f t="shared" si="34"/>
        <v>0</v>
      </c>
      <c r="AG45" s="63">
        <f t="shared" si="35"/>
        <v>0</v>
      </c>
      <c r="AH45" s="96"/>
      <c r="AI45" s="66"/>
      <c r="AJ45" s="66"/>
      <c r="AK45" s="62">
        <f t="shared" si="18"/>
        <v>0</v>
      </c>
      <c r="AL45" s="72">
        <f t="shared" si="19"/>
        <v>0</v>
      </c>
      <c r="AM45" s="73">
        <f t="shared" si="20"/>
        <v>0</v>
      </c>
      <c r="AN45" s="74">
        <f t="shared" si="21"/>
        <v>0</v>
      </c>
      <c r="AO45" s="74">
        <f t="shared" si="22"/>
        <v>0</v>
      </c>
      <c r="AP45" s="75" t="e">
        <f t="shared" si="23"/>
        <v>#DIV/0!</v>
      </c>
      <c r="AQ45" s="76">
        <f t="shared" si="24"/>
        <v>0</v>
      </c>
      <c r="AR45" s="90">
        <f t="shared" si="31"/>
        <v>0</v>
      </c>
    </row>
    <row r="46" spans="1:49" x14ac:dyDescent="0.25">
      <c r="A46" t="str">
        <f t="shared" si="14"/>
        <v>46225M</v>
      </c>
      <c r="B46" s="51">
        <f t="shared" si="26"/>
        <v>46225</v>
      </c>
      <c r="C46" s="52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5"/>
        <v>0</v>
      </c>
      <c r="S46" s="62">
        <f t="shared" si="16"/>
        <v>0</v>
      </c>
      <c r="T46" s="63">
        <f t="shared" si="17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69"/>
      <c r="AD46" s="70"/>
      <c r="AE46" s="70"/>
      <c r="AF46" s="62">
        <f t="shared" si="34"/>
        <v>0</v>
      </c>
      <c r="AG46" s="63">
        <f t="shared" si="35"/>
        <v>0</v>
      </c>
      <c r="AH46" s="96"/>
      <c r="AI46" s="66"/>
      <c r="AJ46" s="66"/>
      <c r="AK46" s="62">
        <f t="shared" si="18"/>
        <v>0</v>
      </c>
      <c r="AL46" s="72">
        <f t="shared" si="19"/>
        <v>0</v>
      </c>
      <c r="AM46" s="73">
        <f t="shared" si="20"/>
        <v>0</v>
      </c>
      <c r="AN46" s="74">
        <f t="shared" si="21"/>
        <v>0</v>
      </c>
      <c r="AO46" s="74">
        <f t="shared" si="22"/>
        <v>0</v>
      </c>
      <c r="AP46" s="75" t="e">
        <f t="shared" si="23"/>
        <v>#DIV/0!</v>
      </c>
      <c r="AQ46" s="76">
        <f t="shared" si="24"/>
        <v>0</v>
      </c>
      <c r="AR46" s="90">
        <f t="shared" si="31"/>
        <v>0</v>
      </c>
    </row>
    <row r="47" spans="1:49" x14ac:dyDescent="0.25">
      <c r="A47" t="str">
        <f t="shared" si="14"/>
        <v>46225E</v>
      </c>
      <c r="B47" s="51">
        <f t="shared" si="26"/>
        <v>46225</v>
      </c>
      <c r="C47" s="52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5"/>
        <v>0</v>
      </c>
      <c r="S47" s="62">
        <f t="shared" si="16"/>
        <v>0</v>
      </c>
      <c r="T47" s="63">
        <f t="shared" si="17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69"/>
      <c r="AD47" s="70"/>
      <c r="AE47" s="70"/>
      <c r="AF47" s="62">
        <f t="shared" si="34"/>
        <v>0</v>
      </c>
      <c r="AG47" s="63">
        <f t="shared" si="35"/>
        <v>0</v>
      </c>
      <c r="AH47" s="96"/>
      <c r="AI47" s="66"/>
      <c r="AJ47" s="66"/>
      <c r="AK47" s="62">
        <f t="shared" si="18"/>
        <v>0</v>
      </c>
      <c r="AL47" s="72">
        <f t="shared" si="19"/>
        <v>0</v>
      </c>
      <c r="AM47" s="73">
        <f t="shared" si="20"/>
        <v>0</v>
      </c>
      <c r="AN47" s="74">
        <f t="shared" si="21"/>
        <v>0</v>
      </c>
      <c r="AO47" s="74">
        <f t="shared" si="22"/>
        <v>0</v>
      </c>
      <c r="AP47" s="75" t="e">
        <f t="shared" si="23"/>
        <v>#DIV/0!</v>
      </c>
      <c r="AQ47" s="76">
        <f t="shared" si="24"/>
        <v>0</v>
      </c>
      <c r="AR47" s="90">
        <f t="shared" si="31"/>
        <v>0</v>
      </c>
    </row>
    <row r="48" spans="1:49" x14ac:dyDescent="0.25">
      <c r="A48" t="str">
        <f t="shared" si="14"/>
        <v>46226M</v>
      </c>
      <c r="B48" s="51">
        <f t="shared" si="26"/>
        <v>46226</v>
      </c>
      <c r="C48" s="52" t="s">
        <v>87</v>
      </c>
      <c r="D48" s="91"/>
      <c r="E48" s="62"/>
      <c r="F48" s="62"/>
      <c r="G48" s="62">
        <f t="shared" si="29"/>
        <v>0</v>
      </c>
      <c r="H48" s="72">
        <f t="shared" si="30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5"/>
        <v>0</v>
      </c>
      <c r="S48" s="62">
        <f t="shared" si="16"/>
        <v>0</v>
      </c>
      <c r="T48" s="63">
        <f t="shared" si="17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69"/>
      <c r="AD48" s="70"/>
      <c r="AE48" s="70"/>
      <c r="AF48" s="62">
        <f t="shared" si="34"/>
        <v>0</v>
      </c>
      <c r="AG48" s="63">
        <f t="shared" si="35"/>
        <v>0</v>
      </c>
      <c r="AH48" s="96"/>
      <c r="AI48" s="66"/>
      <c r="AJ48" s="66"/>
      <c r="AK48" s="62">
        <f t="shared" si="18"/>
        <v>0</v>
      </c>
      <c r="AL48" s="72">
        <f t="shared" si="19"/>
        <v>0</v>
      </c>
      <c r="AM48" s="73">
        <f t="shared" si="20"/>
        <v>0</v>
      </c>
      <c r="AN48" s="74">
        <f t="shared" si="21"/>
        <v>0</v>
      </c>
      <c r="AO48" s="74">
        <f t="shared" si="22"/>
        <v>0</v>
      </c>
      <c r="AP48" s="75" t="e">
        <f t="shared" si="23"/>
        <v>#DIV/0!</v>
      </c>
      <c r="AQ48" s="76">
        <f t="shared" si="24"/>
        <v>0</v>
      </c>
      <c r="AR48" s="90">
        <f t="shared" si="31"/>
        <v>0</v>
      </c>
    </row>
    <row r="49" spans="1:49" x14ac:dyDescent="0.25">
      <c r="A49" t="str">
        <f t="shared" si="14"/>
        <v>46226E</v>
      </c>
      <c r="B49" s="51">
        <f t="shared" si="26"/>
        <v>46226</v>
      </c>
      <c r="C49" s="52" t="s">
        <v>88</v>
      </c>
      <c r="D49" s="91"/>
      <c r="E49" s="62"/>
      <c r="F49" s="62"/>
      <c r="G49" s="62">
        <f t="shared" si="29"/>
        <v>0</v>
      </c>
      <c r="H49" s="72">
        <f t="shared" si="30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5"/>
        <v>0</v>
      </c>
      <c r="S49" s="62">
        <f t="shared" si="16"/>
        <v>0</v>
      </c>
      <c r="T49" s="63">
        <f t="shared" si="17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69"/>
      <c r="AD49" s="70"/>
      <c r="AE49" s="70"/>
      <c r="AF49" s="62">
        <f t="shared" si="34"/>
        <v>0</v>
      </c>
      <c r="AG49" s="63">
        <f t="shared" si="35"/>
        <v>0</v>
      </c>
      <c r="AH49" s="96"/>
      <c r="AI49" s="66"/>
      <c r="AJ49" s="66"/>
      <c r="AK49" s="62">
        <f t="shared" si="18"/>
        <v>0</v>
      </c>
      <c r="AL49" s="72">
        <f t="shared" si="19"/>
        <v>0</v>
      </c>
      <c r="AM49" s="73">
        <f t="shared" si="20"/>
        <v>0</v>
      </c>
      <c r="AN49" s="74">
        <f t="shared" si="21"/>
        <v>0</v>
      </c>
      <c r="AO49" s="74">
        <f t="shared" si="22"/>
        <v>0</v>
      </c>
      <c r="AP49" s="75" t="e">
        <f t="shared" si="23"/>
        <v>#DIV/0!</v>
      </c>
      <c r="AQ49" s="76">
        <f t="shared" si="24"/>
        <v>0</v>
      </c>
      <c r="AR49" s="90">
        <f t="shared" si="13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4"/>
        <v>46227M</v>
      </c>
      <c r="B50" s="51">
        <f t="shared" si="26"/>
        <v>46227</v>
      </c>
      <c r="C50" s="52" t="s">
        <v>87</v>
      </c>
      <c r="D50" s="91"/>
      <c r="E50" s="62"/>
      <c r="F50" s="62"/>
      <c r="G50" s="62">
        <f t="shared" si="29"/>
        <v>0</v>
      </c>
      <c r="H50" s="72">
        <f t="shared" si="30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5"/>
        <v>0</v>
      </c>
      <c r="S50" s="62">
        <f t="shared" si="16"/>
        <v>0</v>
      </c>
      <c r="T50" s="63">
        <f t="shared" si="17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69"/>
      <c r="AD50" s="70"/>
      <c r="AE50" s="70"/>
      <c r="AF50" s="62">
        <f t="shared" ref="AF50:AF63" si="38">AC50*AD50%</f>
        <v>0</v>
      </c>
      <c r="AG50" s="63">
        <f t="shared" ref="AG50:AG63" si="39">AC50*AE50%</f>
        <v>0</v>
      </c>
      <c r="AH50" s="96"/>
      <c r="AI50" s="66"/>
      <c r="AJ50" s="66"/>
      <c r="AK50" s="62">
        <f t="shared" si="18"/>
        <v>0</v>
      </c>
      <c r="AL50" s="72">
        <f t="shared" si="19"/>
        <v>0</v>
      </c>
      <c r="AM50" s="73">
        <f t="shared" si="20"/>
        <v>0</v>
      </c>
      <c r="AN50" s="74">
        <f t="shared" si="21"/>
        <v>0</v>
      </c>
      <c r="AO50" s="74">
        <f t="shared" si="22"/>
        <v>0</v>
      </c>
      <c r="AP50" s="75" t="e">
        <f t="shared" si="23"/>
        <v>#DIV/0!</v>
      </c>
      <c r="AQ50" s="76">
        <f t="shared" si="24"/>
        <v>0</v>
      </c>
      <c r="AR50" s="90">
        <v>0.40899999999965075</v>
      </c>
    </row>
    <row r="51" spans="1:49" x14ac:dyDescent="0.25">
      <c r="A51" t="str">
        <f t="shared" si="14"/>
        <v>46227E</v>
      </c>
      <c r="B51" s="51">
        <f t="shared" si="26"/>
        <v>46227</v>
      </c>
      <c r="C51" s="52" t="s">
        <v>88</v>
      </c>
      <c r="D51" s="91"/>
      <c r="E51" s="62"/>
      <c r="F51" s="62"/>
      <c r="G51" s="62">
        <f t="shared" si="29"/>
        <v>0</v>
      </c>
      <c r="H51" s="72">
        <f t="shared" si="30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5"/>
        <v>0</v>
      </c>
      <c r="S51" s="62">
        <f t="shared" si="16"/>
        <v>0</v>
      </c>
      <c r="T51" s="63">
        <f t="shared" si="17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69"/>
      <c r="AD51" s="70"/>
      <c r="AE51" s="70"/>
      <c r="AF51" s="62">
        <f t="shared" si="38"/>
        <v>0</v>
      </c>
      <c r="AG51" s="63">
        <f t="shared" si="39"/>
        <v>0</v>
      </c>
      <c r="AH51" s="96"/>
      <c r="AI51" s="66"/>
      <c r="AJ51" s="66"/>
      <c r="AK51" s="62">
        <f t="shared" si="18"/>
        <v>0</v>
      </c>
      <c r="AL51" s="72">
        <f t="shared" si="19"/>
        <v>0</v>
      </c>
      <c r="AM51" s="73">
        <f t="shared" si="20"/>
        <v>0</v>
      </c>
      <c r="AN51" s="74">
        <f t="shared" si="21"/>
        <v>0</v>
      </c>
      <c r="AO51" s="74">
        <f t="shared" si="22"/>
        <v>0</v>
      </c>
      <c r="AP51" s="75" t="e">
        <f t="shared" si="23"/>
        <v>#DIV/0!</v>
      </c>
      <c r="AQ51" s="76">
        <f t="shared" si="24"/>
        <v>0</v>
      </c>
      <c r="AR51" s="90">
        <v>8.1999999998515705E-2</v>
      </c>
    </row>
    <row r="52" spans="1:49" x14ac:dyDescent="0.25">
      <c r="A52" t="str">
        <f t="shared" si="14"/>
        <v>46228M</v>
      </c>
      <c r="B52" s="51">
        <f t="shared" si="26"/>
        <v>46228</v>
      </c>
      <c r="C52" s="52" t="s">
        <v>87</v>
      </c>
      <c r="D52" s="91"/>
      <c r="E52" s="62"/>
      <c r="F52" s="62"/>
      <c r="G52" s="62">
        <f t="shared" si="29"/>
        <v>0</v>
      </c>
      <c r="H52" s="72">
        <f t="shared" si="30"/>
        <v>0</v>
      </c>
      <c r="I52" s="118"/>
      <c r="J52" s="119"/>
      <c r="K52" s="120"/>
      <c r="L52" s="192"/>
      <c r="M52" s="58"/>
      <c r="N52" s="58"/>
      <c r="O52" s="59"/>
      <c r="P52" s="56"/>
      <c r="Q52" s="60"/>
      <c r="R52" s="61">
        <f t="shared" si="15"/>
        <v>0</v>
      </c>
      <c r="S52" s="62">
        <f t="shared" si="16"/>
        <v>0</v>
      </c>
      <c r="T52" s="63">
        <f t="shared" si="17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96"/>
      <c r="AI52" s="66"/>
      <c r="AJ52" s="66"/>
      <c r="AK52" s="62">
        <f t="shared" si="18"/>
        <v>0</v>
      </c>
      <c r="AL52" s="72">
        <f t="shared" si="19"/>
        <v>0</v>
      </c>
      <c r="AM52" s="73">
        <f t="shared" si="20"/>
        <v>0</v>
      </c>
      <c r="AN52" s="74">
        <f t="shared" si="21"/>
        <v>0</v>
      </c>
      <c r="AO52" s="74">
        <f t="shared" si="22"/>
        <v>0</v>
      </c>
      <c r="AP52" s="75" t="e">
        <f t="shared" si="23"/>
        <v>#DIV/0!</v>
      </c>
      <c r="AQ52" s="76">
        <f t="shared" si="24"/>
        <v>0</v>
      </c>
      <c r="AR52" s="90">
        <v>0.85900000000037835</v>
      </c>
    </row>
    <row r="53" spans="1:49" x14ac:dyDescent="0.25">
      <c r="A53" t="str">
        <f t="shared" si="14"/>
        <v>46228E</v>
      </c>
      <c r="B53" s="51">
        <f t="shared" si="26"/>
        <v>46228</v>
      </c>
      <c r="C53" s="52" t="s">
        <v>88</v>
      </c>
      <c r="D53" s="91"/>
      <c r="E53" s="62"/>
      <c r="F53" s="62"/>
      <c r="G53" s="62">
        <f t="shared" si="29"/>
        <v>0</v>
      </c>
      <c r="H53" s="72">
        <f t="shared" si="30"/>
        <v>0</v>
      </c>
      <c r="I53" s="118"/>
      <c r="J53" s="119"/>
      <c r="K53" s="120"/>
      <c r="L53" s="192"/>
      <c r="M53" s="58"/>
      <c r="N53" s="58"/>
      <c r="O53" s="59"/>
      <c r="P53" s="56"/>
      <c r="Q53" s="60"/>
      <c r="R53" s="61">
        <f t="shared" si="15"/>
        <v>0</v>
      </c>
      <c r="S53" s="62">
        <f t="shared" si="16"/>
        <v>0</v>
      </c>
      <c r="T53" s="63">
        <f t="shared" si="17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96"/>
      <c r="AI53" s="66"/>
      <c r="AJ53" s="66"/>
      <c r="AK53" s="62">
        <f t="shared" si="18"/>
        <v>0</v>
      </c>
      <c r="AL53" s="72">
        <f t="shared" si="19"/>
        <v>0</v>
      </c>
      <c r="AM53" s="73">
        <f t="shared" si="20"/>
        <v>0</v>
      </c>
      <c r="AN53" s="74">
        <f t="shared" si="21"/>
        <v>0</v>
      </c>
      <c r="AO53" s="74">
        <f t="shared" si="22"/>
        <v>0</v>
      </c>
      <c r="AP53" s="75" t="e">
        <f t="shared" si="23"/>
        <v>#DIV/0!</v>
      </c>
      <c r="AQ53" s="76">
        <f t="shared" si="24"/>
        <v>0</v>
      </c>
      <c r="AR53" s="90">
        <v>0.88000000000101863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4"/>
        <v>46229M</v>
      </c>
      <c r="B54" s="51">
        <f t="shared" si="26"/>
        <v>46229</v>
      </c>
      <c r="C54" s="52" t="s">
        <v>87</v>
      </c>
      <c r="D54" s="91"/>
      <c r="E54" s="62"/>
      <c r="F54" s="62"/>
      <c r="G54" s="62">
        <f t="shared" si="29"/>
        <v>0</v>
      </c>
      <c r="H54" s="72">
        <f t="shared" si="30"/>
        <v>0</v>
      </c>
      <c r="I54" s="118"/>
      <c r="J54" s="119"/>
      <c r="K54" s="120"/>
      <c r="L54" s="192"/>
      <c r="M54" s="58"/>
      <c r="N54" s="58"/>
      <c r="O54" s="59"/>
      <c r="P54" s="56"/>
      <c r="Q54" s="60"/>
      <c r="R54" s="61">
        <f t="shared" si="15"/>
        <v>0</v>
      </c>
      <c r="S54" s="62">
        <f t="shared" si="16"/>
        <v>0</v>
      </c>
      <c r="T54" s="63">
        <f t="shared" si="17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96"/>
      <c r="AI54" s="66"/>
      <c r="AJ54" s="66"/>
      <c r="AK54" s="62">
        <f t="shared" si="18"/>
        <v>0</v>
      </c>
      <c r="AL54" s="72">
        <f t="shared" si="19"/>
        <v>0</v>
      </c>
      <c r="AM54" s="73">
        <f t="shared" si="20"/>
        <v>0</v>
      </c>
      <c r="AN54" s="74">
        <f t="shared" si="21"/>
        <v>0</v>
      </c>
      <c r="AO54" s="74">
        <f t="shared" si="22"/>
        <v>0</v>
      </c>
      <c r="AP54" s="75" t="e">
        <f t="shared" si="23"/>
        <v>#DIV/0!</v>
      </c>
      <c r="AQ54" s="76">
        <f t="shared" si="24"/>
        <v>0</v>
      </c>
      <c r="AR54" s="90">
        <v>0.49500000000080036</v>
      </c>
    </row>
    <row r="55" spans="1:49" x14ac:dyDescent="0.25">
      <c r="A55" t="str">
        <f t="shared" si="14"/>
        <v>46229E</v>
      </c>
      <c r="B55" s="51">
        <f t="shared" si="26"/>
        <v>46229</v>
      </c>
      <c r="C55" s="52" t="s">
        <v>88</v>
      </c>
      <c r="D55" s="91"/>
      <c r="E55" s="62"/>
      <c r="F55" s="62"/>
      <c r="G55" s="62">
        <f t="shared" si="29"/>
        <v>0</v>
      </c>
      <c r="H55" s="72">
        <f t="shared" si="30"/>
        <v>0</v>
      </c>
      <c r="I55" s="118"/>
      <c r="J55" s="119"/>
      <c r="K55" s="120"/>
      <c r="L55" s="192"/>
      <c r="M55" s="58"/>
      <c r="N55" s="58"/>
      <c r="O55" s="59"/>
      <c r="P55" s="56"/>
      <c r="Q55" s="60"/>
      <c r="R55" s="61">
        <f t="shared" si="15"/>
        <v>0</v>
      </c>
      <c r="S55" s="62">
        <f t="shared" si="16"/>
        <v>0</v>
      </c>
      <c r="T55" s="63">
        <f t="shared" si="17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96"/>
      <c r="AI55" s="66"/>
      <c r="AJ55" s="66"/>
      <c r="AK55" s="62">
        <f t="shared" si="18"/>
        <v>0</v>
      </c>
      <c r="AL55" s="72">
        <f t="shared" si="19"/>
        <v>0</v>
      </c>
      <c r="AM55" s="73">
        <f t="shared" si="20"/>
        <v>0</v>
      </c>
      <c r="AN55" s="74">
        <f t="shared" si="21"/>
        <v>0</v>
      </c>
      <c r="AO55" s="74">
        <f t="shared" si="22"/>
        <v>0</v>
      </c>
      <c r="AP55" s="75" t="e">
        <f t="shared" si="23"/>
        <v>#DIV/0!</v>
      </c>
      <c r="AQ55" s="76">
        <f t="shared" si="24"/>
        <v>0</v>
      </c>
      <c r="AR55" s="90">
        <v>0.87800000000061118</v>
      </c>
    </row>
    <row r="56" spans="1:49" x14ac:dyDescent="0.25">
      <c r="A56" t="str">
        <f t="shared" si="14"/>
        <v>46230M</v>
      </c>
      <c r="B56" s="51">
        <f t="shared" si="26"/>
        <v>46230</v>
      </c>
      <c r="C56" s="52" t="s">
        <v>87</v>
      </c>
      <c r="D56" s="91"/>
      <c r="E56" s="62"/>
      <c r="F56" s="62"/>
      <c r="G56" s="62">
        <f t="shared" si="29"/>
        <v>0</v>
      </c>
      <c r="H56" s="72">
        <f t="shared" si="30"/>
        <v>0</v>
      </c>
      <c r="I56" s="118"/>
      <c r="J56" s="119"/>
      <c r="K56" s="120"/>
      <c r="L56" s="192"/>
      <c r="M56" s="58"/>
      <c r="N56" s="58"/>
      <c r="O56" s="59"/>
      <c r="P56" s="56"/>
      <c r="Q56" s="60"/>
      <c r="R56" s="61">
        <f t="shared" si="15"/>
        <v>0</v>
      </c>
      <c r="S56" s="62">
        <f t="shared" si="16"/>
        <v>0</v>
      </c>
      <c r="T56" s="63">
        <f t="shared" si="17"/>
        <v>0</v>
      </c>
      <c r="U56" s="64"/>
      <c r="V56" s="65"/>
      <c r="W56" s="66"/>
      <c r="X56" s="67"/>
      <c r="Y56" s="68"/>
      <c r="Z56" s="68"/>
      <c r="AA56" s="62">
        <f t="shared" si="36"/>
        <v>0</v>
      </c>
      <c r="AB56" s="63">
        <f t="shared" si="37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96"/>
      <c r="AI56" s="66"/>
      <c r="AJ56" s="66"/>
      <c r="AK56" s="62">
        <f t="shared" si="18"/>
        <v>0</v>
      </c>
      <c r="AL56" s="72">
        <f t="shared" si="19"/>
        <v>0</v>
      </c>
      <c r="AM56" s="73">
        <f t="shared" si="20"/>
        <v>0</v>
      </c>
      <c r="AN56" s="74">
        <f t="shared" si="21"/>
        <v>0</v>
      </c>
      <c r="AO56" s="74">
        <f t="shared" si="22"/>
        <v>0</v>
      </c>
      <c r="AP56" s="75" t="e">
        <f t="shared" si="23"/>
        <v>#DIV/0!</v>
      </c>
      <c r="AQ56" s="76">
        <f t="shared" si="24"/>
        <v>0</v>
      </c>
      <c r="AR56" s="90">
        <v>0.52599999999802094</v>
      </c>
    </row>
    <row r="57" spans="1:49" x14ac:dyDescent="0.25">
      <c r="A57" t="str">
        <f t="shared" si="14"/>
        <v>46230E</v>
      </c>
      <c r="B57" s="51">
        <f t="shared" si="26"/>
        <v>46230</v>
      </c>
      <c r="C57" s="52" t="s">
        <v>88</v>
      </c>
      <c r="D57" s="91"/>
      <c r="E57" s="62"/>
      <c r="F57" s="62"/>
      <c r="G57" s="62">
        <f t="shared" si="29"/>
        <v>0</v>
      </c>
      <c r="H57" s="72">
        <f t="shared" si="30"/>
        <v>0</v>
      </c>
      <c r="I57" s="118"/>
      <c r="J57" s="119"/>
      <c r="K57" s="120"/>
      <c r="L57" s="192"/>
      <c r="M57" s="58"/>
      <c r="N57" s="58"/>
      <c r="O57" s="59"/>
      <c r="P57" s="56"/>
      <c r="Q57" s="60"/>
      <c r="R57" s="61">
        <f t="shared" si="15"/>
        <v>0</v>
      </c>
      <c r="S57" s="62">
        <f t="shared" si="16"/>
        <v>0</v>
      </c>
      <c r="T57" s="63">
        <f t="shared" si="17"/>
        <v>0</v>
      </c>
      <c r="U57" s="64"/>
      <c r="V57" s="65"/>
      <c r="W57" s="66"/>
      <c r="X57" s="67"/>
      <c r="Y57" s="68"/>
      <c r="Z57" s="68"/>
      <c r="AA57" s="62">
        <f t="shared" si="36"/>
        <v>0</v>
      </c>
      <c r="AB57" s="63">
        <f t="shared" si="37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96"/>
      <c r="AI57" s="66"/>
      <c r="AJ57" s="66"/>
      <c r="AK57" s="62">
        <f t="shared" si="18"/>
        <v>0</v>
      </c>
      <c r="AL57" s="72">
        <f t="shared" si="19"/>
        <v>0</v>
      </c>
      <c r="AM57" s="73">
        <f t="shared" si="20"/>
        <v>0</v>
      </c>
      <c r="AN57" s="74">
        <f t="shared" si="21"/>
        <v>0</v>
      </c>
      <c r="AO57" s="74">
        <f t="shared" si="22"/>
        <v>0</v>
      </c>
      <c r="AP57" s="75" t="e">
        <f t="shared" si="23"/>
        <v>#DIV/0!</v>
      </c>
      <c r="AQ57" s="76">
        <f t="shared" si="24"/>
        <v>0</v>
      </c>
      <c r="AR57" s="90">
        <v>0.88300000000162981</v>
      </c>
    </row>
    <row r="58" spans="1:49" x14ac:dyDescent="0.25">
      <c r="A58" t="str">
        <f t="shared" si="14"/>
        <v>46231M</v>
      </c>
      <c r="B58" s="51">
        <f t="shared" si="26"/>
        <v>46231</v>
      </c>
      <c r="C58" s="52" t="s">
        <v>87</v>
      </c>
      <c r="D58" s="91"/>
      <c r="E58" s="62"/>
      <c r="F58" s="62"/>
      <c r="G58" s="62">
        <f t="shared" si="29"/>
        <v>0</v>
      </c>
      <c r="H58" s="72">
        <f t="shared" si="30"/>
        <v>0</v>
      </c>
      <c r="I58" s="118"/>
      <c r="J58" s="119"/>
      <c r="K58" s="120"/>
      <c r="L58" s="192"/>
      <c r="M58" s="58"/>
      <c r="N58" s="58"/>
      <c r="O58" s="59"/>
      <c r="P58" s="56"/>
      <c r="Q58" s="60"/>
      <c r="R58" s="61">
        <f t="shared" si="15"/>
        <v>0</v>
      </c>
      <c r="S58" s="62">
        <f t="shared" si="16"/>
        <v>0</v>
      </c>
      <c r="T58" s="63">
        <f t="shared" si="17"/>
        <v>0</v>
      </c>
      <c r="U58" s="64"/>
      <c r="V58" s="65"/>
      <c r="W58" s="66"/>
      <c r="X58" s="67"/>
      <c r="Y58" s="68"/>
      <c r="Z58" s="68"/>
      <c r="AA58" s="62">
        <f t="shared" si="36"/>
        <v>0</v>
      </c>
      <c r="AB58" s="63">
        <f t="shared" si="37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96"/>
      <c r="AI58" s="66"/>
      <c r="AJ58" s="66"/>
      <c r="AK58" s="62">
        <f t="shared" si="18"/>
        <v>0</v>
      </c>
      <c r="AL58" s="72">
        <f t="shared" si="19"/>
        <v>0</v>
      </c>
      <c r="AM58" s="73">
        <f t="shared" si="20"/>
        <v>0</v>
      </c>
      <c r="AN58" s="74">
        <f t="shared" si="21"/>
        <v>0</v>
      </c>
      <c r="AO58" s="74">
        <f t="shared" si="22"/>
        <v>0</v>
      </c>
      <c r="AP58" s="75" t="e">
        <f t="shared" si="23"/>
        <v>#DIV/0!</v>
      </c>
      <c r="AQ58" s="76">
        <f t="shared" si="24"/>
        <v>0</v>
      </c>
      <c r="AR58" s="90">
        <v>0.21500000000014552</v>
      </c>
    </row>
    <row r="59" spans="1:49" x14ac:dyDescent="0.25">
      <c r="A59" t="str">
        <f t="shared" si="14"/>
        <v>46231E</v>
      </c>
      <c r="B59" s="51">
        <f t="shared" si="26"/>
        <v>46231</v>
      </c>
      <c r="C59" s="52" t="s">
        <v>88</v>
      </c>
      <c r="D59" s="91"/>
      <c r="E59" s="62"/>
      <c r="F59" s="62"/>
      <c r="G59" s="62">
        <f t="shared" si="29"/>
        <v>0</v>
      </c>
      <c r="H59" s="72">
        <f t="shared" si="30"/>
        <v>0</v>
      </c>
      <c r="I59" s="118"/>
      <c r="J59" s="119"/>
      <c r="K59" s="120"/>
      <c r="L59" s="192"/>
      <c r="M59" s="58"/>
      <c r="N59" s="58"/>
      <c r="O59" s="59"/>
      <c r="P59" s="56"/>
      <c r="Q59" s="60"/>
      <c r="R59" s="61">
        <f t="shared" si="15"/>
        <v>0</v>
      </c>
      <c r="S59" s="62">
        <f t="shared" si="16"/>
        <v>0</v>
      </c>
      <c r="T59" s="63">
        <f t="shared" si="17"/>
        <v>0</v>
      </c>
      <c r="U59" s="64"/>
      <c r="V59" s="65"/>
      <c r="W59" s="66"/>
      <c r="X59" s="67"/>
      <c r="Y59" s="68"/>
      <c r="Z59" s="68"/>
      <c r="AA59" s="62">
        <f t="shared" si="36"/>
        <v>0</v>
      </c>
      <c r="AB59" s="63">
        <f t="shared" si="37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96"/>
      <c r="AI59" s="66"/>
      <c r="AJ59" s="66"/>
      <c r="AK59" s="62">
        <f t="shared" si="18"/>
        <v>0</v>
      </c>
      <c r="AL59" s="72">
        <f t="shared" si="19"/>
        <v>0</v>
      </c>
      <c r="AM59" s="73">
        <f t="shared" si="20"/>
        <v>0</v>
      </c>
      <c r="AN59" s="74">
        <f t="shared" si="21"/>
        <v>0</v>
      </c>
      <c r="AO59" s="74">
        <f t="shared" si="22"/>
        <v>0</v>
      </c>
      <c r="AP59" s="75" t="e">
        <f t="shared" si="23"/>
        <v>#DIV/0!</v>
      </c>
      <c r="AQ59" s="76">
        <f t="shared" si="24"/>
        <v>0</v>
      </c>
      <c r="AR59" s="90">
        <v>0.15099999999983993</v>
      </c>
    </row>
    <row r="60" spans="1:49" x14ac:dyDescent="0.25">
      <c r="A60" t="str">
        <f t="shared" si="14"/>
        <v>46232M</v>
      </c>
      <c r="B60" s="51">
        <f t="shared" si="26"/>
        <v>46232</v>
      </c>
      <c r="C60" s="52" t="s">
        <v>87</v>
      </c>
      <c r="D60" s="91"/>
      <c r="E60" s="62"/>
      <c r="F60" s="62"/>
      <c r="G60" s="62">
        <f t="shared" si="29"/>
        <v>0</v>
      </c>
      <c r="H60" s="72">
        <f t="shared" si="30"/>
        <v>0</v>
      </c>
      <c r="I60" s="118"/>
      <c r="J60" s="119"/>
      <c r="K60" s="120"/>
      <c r="L60" s="192"/>
      <c r="M60" s="58"/>
      <c r="N60" s="58"/>
      <c r="O60" s="59"/>
      <c r="P60" s="56"/>
      <c r="Q60" s="60"/>
      <c r="R60" s="61">
        <f t="shared" si="15"/>
        <v>0</v>
      </c>
      <c r="S60" s="62">
        <f t="shared" si="16"/>
        <v>0</v>
      </c>
      <c r="T60" s="63">
        <f t="shared" si="17"/>
        <v>0</v>
      </c>
      <c r="U60" s="64"/>
      <c r="V60" s="65"/>
      <c r="W60" s="66"/>
      <c r="X60" s="67"/>
      <c r="Y60" s="68"/>
      <c r="Z60" s="68"/>
      <c r="AA60" s="62">
        <f t="shared" si="36"/>
        <v>0</v>
      </c>
      <c r="AB60" s="63">
        <f t="shared" si="37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96"/>
      <c r="AI60" s="66"/>
      <c r="AJ60" s="66"/>
      <c r="AK60" s="62">
        <f t="shared" si="18"/>
        <v>0</v>
      </c>
      <c r="AL60" s="72">
        <f t="shared" si="19"/>
        <v>0</v>
      </c>
      <c r="AM60" s="73">
        <f t="shared" si="20"/>
        <v>0</v>
      </c>
      <c r="AN60" s="74">
        <f t="shared" si="21"/>
        <v>0</v>
      </c>
      <c r="AO60" s="74">
        <f t="shared" si="22"/>
        <v>0</v>
      </c>
      <c r="AP60" s="75" t="e">
        <f t="shared" si="23"/>
        <v>#DIV/0!</v>
      </c>
      <c r="AQ60" s="76">
        <f t="shared" si="24"/>
        <v>0</v>
      </c>
      <c r="AR60" s="90">
        <v>0.66500000000087311</v>
      </c>
    </row>
    <row r="61" spans="1:49" x14ac:dyDescent="0.25">
      <c r="A61" t="str">
        <f t="shared" si="14"/>
        <v>46232E</v>
      </c>
      <c r="B61" s="51">
        <f t="shared" si="26"/>
        <v>46232</v>
      </c>
      <c r="C61" s="52" t="s">
        <v>88</v>
      </c>
      <c r="D61" s="91"/>
      <c r="E61" s="62"/>
      <c r="F61" s="62"/>
      <c r="G61" s="62">
        <f t="shared" si="29"/>
        <v>0</v>
      </c>
      <c r="H61" s="72">
        <f t="shared" si="30"/>
        <v>0</v>
      </c>
      <c r="I61" s="118"/>
      <c r="J61" s="119"/>
      <c r="K61" s="120"/>
      <c r="L61" s="192"/>
      <c r="M61" s="58"/>
      <c r="N61" s="58"/>
      <c r="O61" s="59"/>
      <c r="P61" s="56"/>
      <c r="Q61" s="60"/>
      <c r="R61" s="61">
        <f t="shared" si="15"/>
        <v>0</v>
      </c>
      <c r="S61" s="62">
        <f t="shared" si="16"/>
        <v>0</v>
      </c>
      <c r="T61" s="63">
        <f t="shared" si="17"/>
        <v>0</v>
      </c>
      <c r="U61" s="64"/>
      <c r="V61" s="65"/>
      <c r="W61" s="66"/>
      <c r="X61" s="67"/>
      <c r="Y61" s="68"/>
      <c r="Z61" s="68"/>
      <c r="AA61" s="62">
        <f t="shared" si="36"/>
        <v>0</v>
      </c>
      <c r="AB61" s="63">
        <f t="shared" si="37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96"/>
      <c r="AI61" s="66"/>
      <c r="AJ61" s="66"/>
      <c r="AK61" s="62">
        <f t="shared" si="18"/>
        <v>0</v>
      </c>
      <c r="AL61" s="72">
        <f t="shared" si="19"/>
        <v>0</v>
      </c>
      <c r="AM61" s="73">
        <f t="shared" si="20"/>
        <v>0</v>
      </c>
      <c r="AN61" s="74">
        <f t="shared" si="21"/>
        <v>0</v>
      </c>
      <c r="AO61" s="74">
        <f t="shared" si="22"/>
        <v>0</v>
      </c>
      <c r="AP61" s="75" t="e">
        <f t="shared" si="23"/>
        <v>#DIV/0!</v>
      </c>
      <c r="AQ61" s="76">
        <f t="shared" si="24"/>
        <v>0</v>
      </c>
      <c r="AR61" s="90">
        <v>0.37300000000141154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4"/>
        <v>46233M</v>
      </c>
      <c r="B62" s="51">
        <f t="shared" si="26"/>
        <v>46233</v>
      </c>
      <c r="C62" s="52" t="s">
        <v>87</v>
      </c>
      <c r="D62" s="91"/>
      <c r="E62" s="62"/>
      <c r="F62" s="62"/>
      <c r="G62" s="62">
        <f t="shared" si="29"/>
        <v>0</v>
      </c>
      <c r="H62" s="72">
        <f t="shared" si="30"/>
        <v>0</v>
      </c>
      <c r="I62" s="118"/>
      <c r="J62" s="119"/>
      <c r="K62" s="120"/>
      <c r="L62" s="192"/>
      <c r="M62" s="58"/>
      <c r="N62" s="58"/>
      <c r="O62" s="59"/>
      <c r="P62" s="56"/>
      <c r="Q62" s="60"/>
      <c r="R62" s="61">
        <f t="shared" si="15"/>
        <v>0</v>
      </c>
      <c r="S62" s="62">
        <f t="shared" si="16"/>
        <v>0</v>
      </c>
      <c r="T62" s="63">
        <f t="shared" si="17"/>
        <v>0</v>
      </c>
      <c r="U62" s="64"/>
      <c r="V62" s="65"/>
      <c r="W62" s="66"/>
      <c r="X62" s="67"/>
      <c r="Y62" s="68"/>
      <c r="Z62" s="68"/>
      <c r="AA62" s="62">
        <f t="shared" si="36"/>
        <v>0</v>
      </c>
      <c r="AB62" s="63">
        <f t="shared" si="37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96"/>
      <c r="AI62" s="66"/>
      <c r="AJ62" s="66"/>
      <c r="AK62" s="62">
        <f t="shared" si="18"/>
        <v>0</v>
      </c>
      <c r="AL62" s="72">
        <f t="shared" si="19"/>
        <v>0</v>
      </c>
      <c r="AM62" s="73">
        <f t="shared" si="20"/>
        <v>0</v>
      </c>
      <c r="AN62" s="74">
        <f t="shared" si="21"/>
        <v>0</v>
      </c>
      <c r="AO62" s="74">
        <f t="shared" si="22"/>
        <v>0</v>
      </c>
      <c r="AP62" s="75" t="e">
        <f t="shared" si="23"/>
        <v>#DIV/0!</v>
      </c>
      <c r="AQ62" s="76">
        <f t="shared" si="24"/>
        <v>0</v>
      </c>
      <c r="AR62" s="90">
        <v>0.79000000000087311</v>
      </c>
    </row>
    <row r="63" spans="1:49" x14ac:dyDescent="0.25">
      <c r="A63" t="str">
        <f t="shared" si="14"/>
        <v>46233E</v>
      </c>
      <c r="B63" s="51">
        <f t="shared" si="26"/>
        <v>46233</v>
      </c>
      <c r="C63" s="52" t="s">
        <v>88</v>
      </c>
      <c r="D63" s="91"/>
      <c r="E63" s="62"/>
      <c r="F63" s="62"/>
      <c r="G63" s="62">
        <f t="shared" si="29"/>
        <v>0</v>
      </c>
      <c r="H63" s="72">
        <f t="shared" si="30"/>
        <v>0</v>
      </c>
      <c r="I63" s="118"/>
      <c r="J63" s="119"/>
      <c r="K63" s="120"/>
      <c r="L63" s="192"/>
      <c r="M63" s="58"/>
      <c r="N63" s="58"/>
      <c r="O63" s="59"/>
      <c r="P63" s="56"/>
      <c r="Q63" s="60"/>
      <c r="R63" s="61">
        <f t="shared" si="15"/>
        <v>0</v>
      </c>
      <c r="S63" s="62">
        <f t="shared" si="16"/>
        <v>0</v>
      </c>
      <c r="T63" s="63">
        <f t="shared" si="17"/>
        <v>0</v>
      </c>
      <c r="U63" s="64"/>
      <c r="V63" s="65"/>
      <c r="W63" s="66"/>
      <c r="X63" s="67"/>
      <c r="Y63" s="68"/>
      <c r="Z63" s="68"/>
      <c r="AA63" s="62">
        <f t="shared" si="36"/>
        <v>0</v>
      </c>
      <c r="AB63" s="63">
        <f t="shared" si="37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96"/>
      <c r="AI63" s="66"/>
      <c r="AJ63" s="66"/>
      <c r="AK63" s="62">
        <f t="shared" si="18"/>
        <v>0</v>
      </c>
      <c r="AL63" s="72">
        <f t="shared" si="19"/>
        <v>0</v>
      </c>
      <c r="AM63" s="73">
        <f t="shared" si="20"/>
        <v>0</v>
      </c>
      <c r="AN63" s="74">
        <f t="shared" si="21"/>
        <v>0</v>
      </c>
      <c r="AO63" s="74">
        <f t="shared" si="22"/>
        <v>0</v>
      </c>
      <c r="AP63" s="75" t="e">
        <f t="shared" si="23"/>
        <v>#DIV/0!</v>
      </c>
      <c r="AQ63" s="76">
        <f t="shared" si="24"/>
        <v>0</v>
      </c>
      <c r="AR63" s="90">
        <v>1200.5440000000017</v>
      </c>
    </row>
    <row r="64" spans="1:49" x14ac:dyDescent="0.25">
      <c r="A64" t="str">
        <f t="shared" si="14"/>
        <v>46234M</v>
      </c>
      <c r="B64" s="51">
        <f t="shared" si="26"/>
        <v>46234</v>
      </c>
      <c r="C64" s="52" t="s">
        <v>87</v>
      </c>
      <c r="D64" s="91"/>
      <c r="E64" s="62"/>
      <c r="F64" s="62"/>
      <c r="G64" s="62">
        <f t="shared" si="29"/>
        <v>0</v>
      </c>
      <c r="H64" s="72">
        <f t="shared" si="30"/>
        <v>0</v>
      </c>
      <c r="I64" s="118"/>
      <c r="J64" s="119"/>
      <c r="K64" s="120"/>
      <c r="L64" s="192"/>
      <c r="M64" s="58"/>
      <c r="N64" s="58"/>
      <c r="O64" s="59"/>
      <c r="P64" s="56"/>
      <c r="Q64" s="60"/>
      <c r="R64" s="61">
        <f t="shared" si="15"/>
        <v>0</v>
      </c>
      <c r="S64" s="62">
        <f t="shared" si="16"/>
        <v>0</v>
      </c>
      <c r="T64" s="63">
        <f t="shared" si="17"/>
        <v>0</v>
      </c>
      <c r="U64" s="64"/>
      <c r="V64" s="65"/>
      <c r="W64" s="66"/>
      <c r="X64" s="67"/>
      <c r="Y64" s="68"/>
      <c r="Z64" s="68"/>
      <c r="AA64" s="62">
        <f t="shared" ref="AA64" si="40">X64*Y64%</f>
        <v>0</v>
      </c>
      <c r="AB64" s="63">
        <f t="shared" ref="AB64" si="41">X64*Z64%</f>
        <v>0</v>
      </c>
      <c r="AC64" s="69"/>
      <c r="AD64" s="70"/>
      <c r="AE64" s="70"/>
      <c r="AF64" s="62">
        <f t="shared" ref="AF64:AF65" si="42">AC64*AD64%</f>
        <v>0</v>
      </c>
      <c r="AG64" s="63">
        <f t="shared" ref="AG64:AG65" si="43">AC64*AE64%</f>
        <v>0</v>
      </c>
      <c r="AH64" s="96"/>
      <c r="AI64" s="66"/>
      <c r="AJ64" s="66"/>
      <c r="AK64" s="62">
        <f t="shared" si="18"/>
        <v>0</v>
      </c>
      <c r="AL64" s="72">
        <f t="shared" si="19"/>
        <v>0</v>
      </c>
      <c r="AM64" s="73">
        <f t="shared" si="20"/>
        <v>0</v>
      </c>
      <c r="AN64" s="74">
        <f t="shared" si="21"/>
        <v>0</v>
      </c>
      <c r="AO64" s="74">
        <f t="shared" si="22"/>
        <v>0</v>
      </c>
      <c r="AP64" s="75" t="e">
        <f t="shared" si="23"/>
        <v>#DIV/0!</v>
      </c>
      <c r="AQ64" s="76">
        <f t="shared" si="24"/>
        <v>0</v>
      </c>
      <c r="AR64" s="90">
        <f t="shared" si="13"/>
        <v>0</v>
      </c>
    </row>
    <row r="65" spans="1:44" x14ac:dyDescent="0.25">
      <c r="A65" t="str">
        <f t="shared" si="14"/>
        <v>46234E</v>
      </c>
      <c r="B65" s="51">
        <f t="shared" si="26"/>
        <v>46234</v>
      </c>
      <c r="C65" s="52" t="s">
        <v>88</v>
      </c>
      <c r="D65" s="91"/>
      <c r="E65" s="62"/>
      <c r="F65" s="62"/>
      <c r="G65" s="62">
        <f t="shared" si="29"/>
        <v>0</v>
      </c>
      <c r="H65" s="72">
        <f t="shared" si="30"/>
        <v>0</v>
      </c>
      <c r="I65" s="118"/>
      <c r="J65" s="119"/>
      <c r="K65" s="120"/>
      <c r="L65" s="192"/>
      <c r="M65" s="58"/>
      <c r="N65" s="58"/>
      <c r="O65" s="59"/>
      <c r="P65" s="56"/>
      <c r="Q65" s="60"/>
      <c r="R65" s="61">
        <f t="shared" si="15"/>
        <v>0</v>
      </c>
      <c r="S65" s="62">
        <f t="shared" si="16"/>
        <v>0</v>
      </c>
      <c r="T65" s="63">
        <f t="shared" si="17"/>
        <v>0</v>
      </c>
      <c r="U65" s="64"/>
      <c r="V65" s="65"/>
      <c r="W65" s="66"/>
      <c r="X65" s="67"/>
      <c r="Y65" s="68"/>
      <c r="Z65" s="68"/>
      <c r="AA65" s="62">
        <f t="shared" ref="AA65" si="44">X65*Y65%</f>
        <v>0</v>
      </c>
      <c r="AB65" s="63">
        <f t="shared" ref="AB65" si="45">X65*Z65%</f>
        <v>0</v>
      </c>
      <c r="AC65" s="69"/>
      <c r="AD65" s="70"/>
      <c r="AE65" s="70"/>
      <c r="AF65" s="62">
        <f t="shared" si="42"/>
        <v>0</v>
      </c>
      <c r="AG65" s="63">
        <f t="shared" si="43"/>
        <v>0</v>
      </c>
      <c r="AH65" s="96"/>
      <c r="AI65" s="66"/>
      <c r="AJ65" s="66"/>
      <c r="AK65" s="62">
        <f t="shared" si="18"/>
        <v>0</v>
      </c>
      <c r="AL65" s="72">
        <f t="shared" si="19"/>
        <v>0</v>
      </c>
      <c r="AM65" s="73">
        <f t="shared" si="20"/>
        <v>0</v>
      </c>
      <c r="AN65" s="74">
        <f t="shared" si="21"/>
        <v>0</v>
      </c>
      <c r="AO65" s="74">
        <f t="shared" si="22"/>
        <v>0</v>
      </c>
      <c r="AP65" s="75" t="e">
        <f t="shared" si="23"/>
        <v>#DIV/0!</v>
      </c>
      <c r="AQ65" s="76">
        <f t="shared" si="24"/>
        <v>0</v>
      </c>
      <c r="AR65" s="90">
        <f t="shared" si="13"/>
        <v>0</v>
      </c>
    </row>
    <row r="66" spans="1:44" ht="15.75" thickBot="1" x14ac:dyDescent="0.3">
      <c r="J66" s="83">
        <f>SUM(J4:J65)</f>
        <v>139854.84200000003</v>
      </c>
      <c r="AM66" s="93">
        <f>-SUM(AM4:AM65)</f>
        <v>3085.1579999999976</v>
      </c>
      <c r="AN66" s="93">
        <f>-SUM(AN4:AN65)</f>
        <v>-29.924831000000722</v>
      </c>
      <c r="AO66" s="93">
        <f>-SUM(AO4:AO65)</f>
        <v>101.31268099999818</v>
      </c>
      <c r="AP66" s="94"/>
      <c r="AQ66" s="127">
        <f>-SUM(AQ4:AQ65)</f>
        <v>15962.39078045066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4" priority="2" operator="lessThan">
      <formula>0.1</formula>
    </cfRule>
    <cfRule type="cellIs" dxfId="43" priority="3" operator="greaterThan">
      <formula>0.1</formula>
    </cfRule>
  </conditionalFormatting>
  <conditionalFormatting sqref="AP1:AQ1">
    <cfRule type="cellIs" dxfId="42" priority="1" operator="lessThan">
      <formula>1</formula>
    </cfRule>
  </conditionalFormatting>
  <conditionalFormatting sqref="AQ4:AQ65">
    <cfRule type="cellIs" dxfId="41" priority="8" operator="lessThan">
      <formula>0</formula>
    </cfRule>
    <cfRule type="cellIs" dxfId="40" priority="9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9" sqref="AC19:AE19"/>
    </sheetView>
  </sheetViews>
  <sheetFormatPr defaultRowHeight="15" x14ac:dyDescent="0.25"/>
  <cols>
    <col min="1" max="1" width="2.5703125" customWidth="1"/>
    <col min="2" max="2" width="9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140625" bestFit="1" customWidth="1"/>
  </cols>
  <sheetData>
    <row r="1" spans="1:44" ht="15.75" thickBot="1" x14ac:dyDescent="0.3">
      <c r="B1" s="110" t="s">
        <v>155</v>
      </c>
      <c r="C1" s="44"/>
      <c r="I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27" t="s">
        <v>68</v>
      </c>
      <c r="N2" s="228"/>
      <c r="O2" s="228"/>
      <c r="P2" s="228"/>
      <c r="Q2" s="229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1" t="s">
        <v>11</v>
      </c>
    </row>
    <row r="4" spans="1:44" ht="15.75" x14ac:dyDescent="0.25">
      <c r="A4" t="str">
        <f>CONCATENATE(B4,C4)</f>
        <v>46204M</v>
      </c>
      <c r="B4" s="51">
        <v>46204</v>
      </c>
      <c r="C4" s="99" t="s">
        <v>87</v>
      </c>
      <c r="D4" s="100">
        <v>3365</v>
      </c>
      <c r="E4" s="101">
        <v>4.55</v>
      </c>
      <c r="F4" s="101">
        <v>8.1999999999999993</v>
      </c>
      <c r="G4" s="62">
        <f t="shared" ref="G4:G65" si="0">+D4*E4%</f>
        <v>153.10749999999999</v>
      </c>
      <c r="H4" s="72">
        <f t="shared" ref="H4:H65" si="1">+D4*F4%</f>
        <v>275.92999999999995</v>
      </c>
      <c r="I4" s="120">
        <v>2193.7000000000003</v>
      </c>
      <c r="J4" s="120">
        <v>2259.5110000000004</v>
      </c>
      <c r="K4" s="120">
        <v>5.3165565027123121</v>
      </c>
      <c r="L4" s="120">
        <v>8.6461503396088801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2259.5110000000004</v>
      </c>
      <c r="S4" s="62">
        <f t="shared" ref="S4:S65" si="3">+J4*K4%+O4*P4%</f>
        <v>120.12817900000002</v>
      </c>
      <c r="T4" s="63">
        <f t="shared" ref="T4:T65" si="4">+J4*L4%+O4*Q4%</f>
        <v>195.36071800000002</v>
      </c>
      <c r="U4" s="136" t="s">
        <v>167</v>
      </c>
      <c r="V4" s="137" t="s">
        <v>167</v>
      </c>
      <c r="W4" s="138">
        <v>0</v>
      </c>
      <c r="X4" s="139">
        <v>0</v>
      </c>
      <c r="Y4" s="140">
        <v>0</v>
      </c>
      <c r="Z4" s="140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141">
        <v>5624</v>
      </c>
      <c r="AI4" s="138">
        <v>4.8499999999999996</v>
      </c>
      <c r="AJ4" s="138">
        <v>8.36</v>
      </c>
      <c r="AK4" s="62">
        <f t="shared" ref="AK4:AK65" si="9">AH4*AI4%</f>
        <v>272.76399999999995</v>
      </c>
      <c r="AL4" s="72">
        <f t="shared" ref="AL4:AL65" si="10">AH4*AJ4%</f>
        <v>470.16639999999995</v>
      </c>
      <c r="AM4" s="81">
        <f>+D4+R4-AC4-AH4</f>
        <v>0.51100000000042201</v>
      </c>
      <c r="AN4" s="80">
        <f t="shared" ref="AN4:AO19" si="11">+G4+S4-AF4-AK4</f>
        <v>0.47167900000005147</v>
      </c>
      <c r="AO4" s="80">
        <f t="shared" si="11"/>
        <v>1.1243180000000166</v>
      </c>
      <c r="AP4" s="114">
        <f>(AN4+AO4)/(S4+T4)</f>
        <v>5.0588056035457494E-3</v>
      </c>
      <c r="AQ4" s="115">
        <f t="shared" ref="AQ4:AQ65" si="12">($AP$1*AN4+$AQ$1*AO4)</f>
        <v>563.38034271212166</v>
      </c>
      <c r="AR4" s="90">
        <f>(D4+J4+O4)-(X4+AH4)</f>
        <v>0.51100000000042201</v>
      </c>
    </row>
    <row r="5" spans="1:44" ht="15.75" x14ac:dyDescent="0.25">
      <c r="A5" t="str">
        <f t="shared" ref="A5:A65" si="13">CONCATENATE(B5,C5)</f>
        <v>46204E</v>
      </c>
      <c r="B5" s="51">
        <f>+B4</f>
        <v>46204</v>
      </c>
      <c r="C5" s="99" t="s">
        <v>88</v>
      </c>
      <c r="D5" s="105">
        <v>5624</v>
      </c>
      <c r="E5" s="106">
        <v>4.8499999999999996</v>
      </c>
      <c r="F5" s="106">
        <v>8.36</v>
      </c>
      <c r="G5" s="62">
        <f t="shared" si="0"/>
        <v>272.76399999999995</v>
      </c>
      <c r="H5" s="72">
        <f t="shared" si="1"/>
        <v>470.16639999999995</v>
      </c>
      <c r="I5" s="120">
        <v>6580.7</v>
      </c>
      <c r="J5" s="120">
        <v>6778.1210000000001</v>
      </c>
      <c r="K5" s="120">
        <v>3.6614493898825353</v>
      </c>
      <c r="L5" s="120">
        <v>7.9010485206740917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6778.1210000000001</v>
      </c>
      <c r="S5" s="62">
        <f t="shared" si="3"/>
        <v>248.17747</v>
      </c>
      <c r="T5" s="63">
        <f t="shared" si="4"/>
        <v>535.54262900000003</v>
      </c>
      <c r="U5" s="102" t="s">
        <v>210</v>
      </c>
      <c r="V5" s="103" t="s">
        <v>242</v>
      </c>
      <c r="W5" s="104" t="s">
        <v>243</v>
      </c>
      <c r="X5" s="112">
        <v>10050</v>
      </c>
      <c r="Y5" s="113">
        <v>4.13</v>
      </c>
      <c r="Z5" s="113">
        <v>8.24</v>
      </c>
      <c r="AA5" s="62">
        <f t="shared" si="5"/>
        <v>415.06499999999994</v>
      </c>
      <c r="AB5" s="63">
        <f t="shared" si="6"/>
        <v>828.12</v>
      </c>
      <c r="AC5" s="69">
        <v>10060</v>
      </c>
      <c r="AD5" s="70">
        <v>4.0999999999999996</v>
      </c>
      <c r="AE5" s="70">
        <v>8.1000000000000014</v>
      </c>
      <c r="AF5" s="62">
        <f t="shared" si="7"/>
        <v>412.45999999999992</v>
      </c>
      <c r="AG5" s="63">
        <f t="shared" si="8"/>
        <v>814.86000000000013</v>
      </c>
      <c r="AH5" s="141">
        <v>2352</v>
      </c>
      <c r="AI5" s="138">
        <v>4.22</v>
      </c>
      <c r="AJ5" s="138">
        <v>8.11</v>
      </c>
      <c r="AK5" s="62">
        <f t="shared" si="9"/>
        <v>99.25439999999999</v>
      </c>
      <c r="AL5" s="72">
        <f t="shared" si="10"/>
        <v>190.74719999999999</v>
      </c>
      <c r="AM5" s="81">
        <f t="shared" ref="AM5:AM65" si="14">+D5+R5-AC5-AH5</f>
        <v>-9.8790000000008149</v>
      </c>
      <c r="AN5" s="80">
        <f t="shared" si="11"/>
        <v>9.2270700000000687</v>
      </c>
      <c r="AO5" s="80">
        <f t="shared" si="11"/>
        <v>0.10182899999986716</v>
      </c>
      <c r="AP5" s="114">
        <f t="shared" ref="AP5:AP65" si="15">(AN5+AO5)/(S5+T5)</f>
        <v>1.1903355562659796E-2</v>
      </c>
      <c r="AQ5" s="115">
        <f t="shared" si="12"/>
        <v>4464.4043221138754</v>
      </c>
      <c r="AR5" s="90">
        <f t="shared" ref="AR5:AR19" si="16">(D5+J5+O5)-(X5+AH5)</f>
        <v>0.12099999999918509</v>
      </c>
    </row>
    <row r="6" spans="1:44" ht="15.75" x14ac:dyDescent="0.25">
      <c r="A6" t="str">
        <f t="shared" si="13"/>
        <v>46205M</v>
      </c>
      <c r="B6" s="51">
        <f>+B4+1</f>
        <v>46205</v>
      </c>
      <c r="C6" s="99" t="s">
        <v>87</v>
      </c>
      <c r="D6" s="105">
        <v>2352</v>
      </c>
      <c r="E6" s="106">
        <v>4.22</v>
      </c>
      <c r="F6" s="106">
        <v>8.11</v>
      </c>
      <c r="G6" s="62">
        <f t="shared" si="0"/>
        <v>99.25439999999999</v>
      </c>
      <c r="H6" s="72">
        <f t="shared" si="1"/>
        <v>190.74719999999999</v>
      </c>
      <c r="I6" s="120">
        <v>2508.1</v>
      </c>
      <c r="J6" s="120">
        <v>2583.3429999999998</v>
      </c>
      <c r="K6" s="120">
        <v>5.094741039033531</v>
      </c>
      <c r="L6" s="120">
        <v>8.5000837287189519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2583.3429999999998</v>
      </c>
      <c r="S6" s="62">
        <f t="shared" si="3"/>
        <v>131.61463599999999</v>
      </c>
      <c r="T6" s="63">
        <f t="shared" si="4"/>
        <v>219.58631800000001</v>
      </c>
      <c r="U6" s="102" t="s">
        <v>167</v>
      </c>
      <c r="V6" s="103" t="s">
        <v>167</v>
      </c>
      <c r="W6" s="104" t="s">
        <v>167</v>
      </c>
      <c r="X6" s="112">
        <v>0</v>
      </c>
      <c r="Y6" s="113">
        <v>0</v>
      </c>
      <c r="Z6" s="113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141">
        <v>4932</v>
      </c>
      <c r="AI6" s="138">
        <v>4.68</v>
      </c>
      <c r="AJ6" s="138">
        <v>8.31</v>
      </c>
      <c r="AK6" s="62">
        <f t="shared" si="9"/>
        <v>230.81759999999997</v>
      </c>
      <c r="AL6" s="72">
        <f t="shared" si="10"/>
        <v>409.84920000000005</v>
      </c>
      <c r="AM6" s="81">
        <f t="shared" si="14"/>
        <v>3.3429999999998472</v>
      </c>
      <c r="AN6" s="80">
        <f t="shared" si="11"/>
        <v>5.1436000000023796E-2</v>
      </c>
      <c r="AO6" s="80">
        <f t="shared" si="11"/>
        <v>0.48431799999997338</v>
      </c>
      <c r="AP6" s="114">
        <f t="shared" si="15"/>
        <v>1.5254913003453776E-3</v>
      </c>
      <c r="AQ6" s="115">
        <f t="shared" si="12"/>
        <v>169.76560141161002</v>
      </c>
      <c r="AR6" s="90">
        <f t="shared" si="16"/>
        <v>3.3429999999998472</v>
      </c>
    </row>
    <row r="7" spans="1:44" ht="15.75" x14ac:dyDescent="0.25">
      <c r="A7" t="str">
        <f t="shared" si="13"/>
        <v>46205E</v>
      </c>
      <c r="B7" s="51">
        <f>+B5+1</f>
        <v>46205</v>
      </c>
      <c r="C7" s="99" t="s">
        <v>88</v>
      </c>
      <c r="D7" s="105">
        <v>4932</v>
      </c>
      <c r="E7" s="106">
        <v>4.68</v>
      </c>
      <c r="F7" s="106">
        <v>8.31</v>
      </c>
      <c r="G7" s="62">
        <f t="shared" si="0"/>
        <v>230.81759999999997</v>
      </c>
      <c r="H7" s="72">
        <f t="shared" si="1"/>
        <v>409.84920000000005</v>
      </c>
      <c r="I7" s="120">
        <v>1626</v>
      </c>
      <c r="J7" s="120">
        <v>1674.78</v>
      </c>
      <c r="K7" s="120">
        <v>4.1369987699876996</v>
      </c>
      <c r="L7" s="120">
        <v>8.0953628536285365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1674.78</v>
      </c>
      <c r="S7" s="62">
        <f t="shared" si="3"/>
        <v>69.285627999999988</v>
      </c>
      <c r="T7" s="63">
        <f t="shared" si="4"/>
        <v>135.57951800000001</v>
      </c>
      <c r="U7" s="102" t="s">
        <v>167</v>
      </c>
      <c r="V7" s="103" t="s">
        <v>167</v>
      </c>
      <c r="W7" s="138">
        <v>0</v>
      </c>
      <c r="X7" s="112">
        <v>0</v>
      </c>
      <c r="Y7" s="113">
        <v>0</v>
      </c>
      <c r="Z7" s="113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141">
        <v>6710</v>
      </c>
      <c r="AI7" s="138">
        <v>4.53</v>
      </c>
      <c r="AJ7" s="138">
        <v>8.26</v>
      </c>
      <c r="AK7" s="62">
        <f t="shared" si="9"/>
        <v>303.96300000000002</v>
      </c>
      <c r="AL7" s="72">
        <f t="shared" si="10"/>
        <v>554.24599999999998</v>
      </c>
      <c r="AM7" s="81">
        <f t="shared" si="14"/>
        <v>-103.22000000000025</v>
      </c>
      <c r="AN7" s="80">
        <f t="shared" si="11"/>
        <v>-3.8597720000000777</v>
      </c>
      <c r="AO7" s="80">
        <f t="shared" si="11"/>
        <v>-8.8172819999998637</v>
      </c>
      <c r="AP7" s="114">
        <f t="shared" si="15"/>
        <v>-6.1879993974182132E-2</v>
      </c>
      <c r="AQ7" s="115">
        <f t="shared" si="12"/>
        <v>-4495.4435308320353</v>
      </c>
      <c r="AR7" s="90">
        <f t="shared" si="16"/>
        <v>-103.22000000000025</v>
      </c>
    </row>
    <row r="8" spans="1:44" ht="15.75" x14ac:dyDescent="0.25">
      <c r="A8" t="str">
        <f t="shared" si="13"/>
        <v>46206M</v>
      </c>
      <c r="B8" s="51">
        <f>+B6+1</f>
        <v>46206</v>
      </c>
      <c r="C8" s="99" t="s">
        <v>87</v>
      </c>
      <c r="D8" s="105">
        <v>6710</v>
      </c>
      <c r="E8" s="106">
        <v>4.53</v>
      </c>
      <c r="F8" s="106">
        <v>8.26</v>
      </c>
      <c r="G8" s="62">
        <f t="shared" si="0"/>
        <v>303.96300000000002</v>
      </c>
      <c r="H8" s="72">
        <f t="shared" si="1"/>
        <v>554.24599999999998</v>
      </c>
      <c r="I8" s="120">
        <v>5915.1</v>
      </c>
      <c r="J8" s="120">
        <v>6092.5530000000008</v>
      </c>
      <c r="K8" s="120">
        <v>4.1490338286757629</v>
      </c>
      <c r="L8" s="120">
        <v>8.0078172811955852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6092.5530000000008</v>
      </c>
      <c r="S8" s="62">
        <f t="shared" si="3"/>
        <v>252.78208500000008</v>
      </c>
      <c r="T8" s="63">
        <f t="shared" si="4"/>
        <v>487.88051200000012</v>
      </c>
      <c r="U8" s="102" t="s">
        <v>210</v>
      </c>
      <c r="V8" s="103" t="s">
        <v>343</v>
      </c>
      <c r="W8" s="104" t="s">
        <v>243</v>
      </c>
      <c r="X8" s="112">
        <v>10050</v>
      </c>
      <c r="Y8" s="113">
        <v>4.4000000000000004</v>
      </c>
      <c r="Z8" s="113">
        <v>8.16</v>
      </c>
      <c r="AA8" s="62">
        <f t="shared" si="5"/>
        <v>442.20000000000005</v>
      </c>
      <c r="AB8" s="63">
        <f t="shared" si="6"/>
        <v>820.08</v>
      </c>
      <c r="AC8" s="69">
        <v>10100</v>
      </c>
      <c r="AD8" s="70">
        <v>4.4031683168316826</v>
      </c>
      <c r="AE8" s="70">
        <v>8.1606336633663368</v>
      </c>
      <c r="AF8" s="62">
        <f t="shared" si="7"/>
        <v>444.71999999999997</v>
      </c>
      <c r="AG8" s="63">
        <f t="shared" si="8"/>
        <v>824.22400000000005</v>
      </c>
      <c r="AH8" s="141">
        <v>2752</v>
      </c>
      <c r="AI8" s="138">
        <v>4.33</v>
      </c>
      <c r="AJ8" s="138">
        <v>8.14</v>
      </c>
      <c r="AK8" s="62">
        <f t="shared" si="9"/>
        <v>119.16159999999999</v>
      </c>
      <c r="AL8" s="72">
        <f t="shared" si="10"/>
        <v>224.0128</v>
      </c>
      <c r="AM8" s="81">
        <f t="shared" si="14"/>
        <v>-49.447000000000116</v>
      </c>
      <c r="AN8" s="80">
        <f t="shared" si="11"/>
        <v>-7.1365149999998323</v>
      </c>
      <c r="AO8" s="80">
        <f t="shared" si="11"/>
        <v>-6.1102879999999971</v>
      </c>
      <c r="AP8" s="114">
        <f t="shared" si="15"/>
        <v>-1.7885070818554949E-2</v>
      </c>
      <c r="AQ8" s="115">
        <f t="shared" si="12"/>
        <v>-5259.3045846483419</v>
      </c>
      <c r="AR8" s="90">
        <f t="shared" si="16"/>
        <v>0.55299999999988358</v>
      </c>
    </row>
    <row r="9" spans="1:44" ht="15.75" x14ac:dyDescent="0.25">
      <c r="A9" t="str">
        <f t="shared" si="13"/>
        <v>46206E</v>
      </c>
      <c r="B9" s="51">
        <f t="shared" ref="B9:B65" si="17">+B7+1</f>
        <v>46206</v>
      </c>
      <c r="C9" s="99" t="s">
        <v>88</v>
      </c>
      <c r="D9" s="105">
        <v>2752</v>
      </c>
      <c r="E9" s="106">
        <v>4.33</v>
      </c>
      <c r="F9" s="106">
        <v>8.14</v>
      </c>
      <c r="G9" s="62">
        <f t="shared" si="0"/>
        <v>119.16159999999999</v>
      </c>
      <c r="H9" s="72">
        <f t="shared" si="1"/>
        <v>224.0128</v>
      </c>
      <c r="I9" s="120">
        <v>1623.5</v>
      </c>
      <c r="J9" s="120">
        <v>1672.2050000000002</v>
      </c>
      <c r="K9" s="120">
        <v>4.2376901755466569</v>
      </c>
      <c r="L9" s="120">
        <v>8.1469972282106582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1672.2050000000002</v>
      </c>
      <c r="S9" s="62">
        <f t="shared" si="3"/>
        <v>70.86286699999998</v>
      </c>
      <c r="T9" s="63">
        <f t="shared" si="4"/>
        <v>136.23449500000004</v>
      </c>
      <c r="U9" s="102" t="s">
        <v>167</v>
      </c>
      <c r="V9" s="103" t="s">
        <v>167</v>
      </c>
      <c r="W9" s="138">
        <v>0</v>
      </c>
      <c r="X9" s="112">
        <v>0</v>
      </c>
      <c r="Y9" s="113">
        <v>0</v>
      </c>
      <c r="Z9" s="113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41">
        <v>4424</v>
      </c>
      <c r="AI9" s="138">
        <v>4.28</v>
      </c>
      <c r="AJ9" s="138">
        <v>8.1199999999999992</v>
      </c>
      <c r="AK9" s="62">
        <f t="shared" si="9"/>
        <v>189.34720000000002</v>
      </c>
      <c r="AL9" s="72">
        <f t="shared" si="10"/>
        <v>359.22879999999998</v>
      </c>
      <c r="AM9" s="81">
        <f t="shared" si="14"/>
        <v>0.20499999999992724</v>
      </c>
      <c r="AN9" s="80">
        <f t="shared" si="11"/>
        <v>0.67726699999994366</v>
      </c>
      <c r="AO9" s="80">
        <f t="shared" si="11"/>
        <v>1.0184950000000299</v>
      </c>
      <c r="AP9" s="114">
        <f t="shared" si="15"/>
        <v>8.1882356376899341E-3</v>
      </c>
      <c r="AQ9" s="115">
        <f t="shared" si="12"/>
        <v>630.47902145705552</v>
      </c>
      <c r="AR9" s="90">
        <f t="shared" si="16"/>
        <v>0.20499999999992724</v>
      </c>
    </row>
    <row r="10" spans="1:44" ht="15.75" x14ac:dyDescent="0.25">
      <c r="A10" t="str">
        <f t="shared" si="13"/>
        <v>46207M</v>
      </c>
      <c r="B10" s="51">
        <f t="shared" si="17"/>
        <v>46207</v>
      </c>
      <c r="C10" s="99" t="s">
        <v>87</v>
      </c>
      <c r="D10" s="105">
        <v>4424</v>
      </c>
      <c r="E10" s="106">
        <v>4.28</v>
      </c>
      <c r="F10" s="106">
        <v>8.1199999999999992</v>
      </c>
      <c r="G10" s="62">
        <f t="shared" si="0"/>
        <v>189.34720000000002</v>
      </c>
      <c r="H10" s="72">
        <f t="shared" si="1"/>
        <v>359.22879999999998</v>
      </c>
      <c r="I10" s="120">
        <v>2038.1000000000004</v>
      </c>
      <c r="J10" s="120">
        <v>2099.2430000000004</v>
      </c>
      <c r="K10" s="120">
        <v>5.2768509886659141</v>
      </c>
      <c r="L10" s="120">
        <v>8.4896030616750888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2099.2430000000004</v>
      </c>
      <c r="S10" s="62">
        <f t="shared" si="3"/>
        <v>110.77392500000002</v>
      </c>
      <c r="T10" s="63">
        <f t="shared" si="4"/>
        <v>178.217398</v>
      </c>
      <c r="U10" s="102" t="s">
        <v>167</v>
      </c>
      <c r="V10" s="103" t="s">
        <v>167</v>
      </c>
      <c r="W10" s="104">
        <v>0</v>
      </c>
      <c r="X10" s="112">
        <v>0</v>
      </c>
      <c r="Y10" s="113">
        <v>0</v>
      </c>
      <c r="Z10" s="113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141">
        <v>6523</v>
      </c>
      <c r="AI10" s="138">
        <v>4.6100000000000003</v>
      </c>
      <c r="AJ10" s="138">
        <v>8.24</v>
      </c>
      <c r="AK10" s="62">
        <f t="shared" si="9"/>
        <v>300.71030000000002</v>
      </c>
      <c r="AL10" s="72">
        <f t="shared" si="10"/>
        <v>537.49519999999995</v>
      </c>
      <c r="AM10" s="81">
        <f t="shared" si="14"/>
        <v>0.2430000000003929</v>
      </c>
      <c r="AN10" s="80">
        <f t="shared" si="11"/>
        <v>-0.58917500000001155</v>
      </c>
      <c r="AO10" s="80">
        <f t="shared" si="11"/>
        <v>-4.9001999999973123E-2</v>
      </c>
      <c r="AP10" s="114">
        <f t="shared" si="15"/>
        <v>-2.2082912157192504E-3</v>
      </c>
      <c r="AQ10" s="115">
        <f t="shared" si="12"/>
        <v>-297.79342579948099</v>
      </c>
      <c r="AR10" s="90">
        <f t="shared" si="16"/>
        <v>0.2430000000003929</v>
      </c>
    </row>
    <row r="11" spans="1:44" ht="15.75" x14ac:dyDescent="0.25">
      <c r="A11" t="str">
        <f t="shared" si="13"/>
        <v>46207E</v>
      </c>
      <c r="B11" s="51">
        <f t="shared" si="17"/>
        <v>46207</v>
      </c>
      <c r="C11" s="99" t="s">
        <v>88</v>
      </c>
      <c r="D11" s="105">
        <v>6523</v>
      </c>
      <c r="E11" s="106">
        <v>4.6100000000000003</v>
      </c>
      <c r="F11" s="106">
        <v>8.24</v>
      </c>
      <c r="G11" s="62">
        <f t="shared" si="0"/>
        <v>300.71030000000002</v>
      </c>
      <c r="H11" s="72">
        <f t="shared" si="1"/>
        <v>537.49519999999995</v>
      </c>
      <c r="I11" s="120">
        <v>1656</v>
      </c>
      <c r="J11" s="120">
        <v>1705.68</v>
      </c>
      <c r="K11" s="120">
        <v>4.2995591787439631</v>
      </c>
      <c r="L11" s="120">
        <v>8.0957487922705322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1705.68</v>
      </c>
      <c r="S11" s="62">
        <f t="shared" si="3"/>
        <v>73.33672100000004</v>
      </c>
      <c r="T11" s="63">
        <f t="shared" si="4"/>
        <v>138.08756800000003</v>
      </c>
      <c r="U11" s="102" t="s">
        <v>167</v>
      </c>
      <c r="V11" s="103" t="s">
        <v>167</v>
      </c>
      <c r="W11" s="138" t="s">
        <v>167</v>
      </c>
      <c r="X11" s="112">
        <v>0</v>
      </c>
      <c r="Y11" s="113">
        <v>0</v>
      </c>
      <c r="Z11" s="113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141">
        <v>8229</v>
      </c>
      <c r="AI11" s="138">
        <v>4.55</v>
      </c>
      <c r="AJ11" s="138">
        <v>8.2100000000000009</v>
      </c>
      <c r="AK11" s="62">
        <f t="shared" si="9"/>
        <v>374.41949999999997</v>
      </c>
      <c r="AL11" s="72">
        <f t="shared" si="10"/>
        <v>675.60090000000002</v>
      </c>
      <c r="AM11" s="81">
        <f t="shared" si="14"/>
        <v>-0.31999999999970896</v>
      </c>
      <c r="AN11" s="80">
        <f t="shared" si="11"/>
        <v>-0.37247899999988476</v>
      </c>
      <c r="AO11" s="80">
        <f t="shared" si="11"/>
        <v>-1.8132000000036896E-2</v>
      </c>
      <c r="AP11" s="114">
        <f t="shared" si="15"/>
        <v>-1.8475218805154479E-3</v>
      </c>
      <c r="AQ11" s="115">
        <f t="shared" si="12"/>
        <v>-184.4186549397034</v>
      </c>
      <c r="AR11" s="90">
        <f t="shared" si="16"/>
        <v>-0.31999999999970896</v>
      </c>
    </row>
    <row r="12" spans="1:44" ht="15.75" x14ac:dyDescent="0.25">
      <c r="A12" t="str">
        <f t="shared" si="13"/>
        <v>46208M</v>
      </c>
      <c r="B12" s="51">
        <f t="shared" si="17"/>
        <v>46208</v>
      </c>
      <c r="C12" s="99" t="s">
        <v>87</v>
      </c>
      <c r="D12" s="105">
        <v>8229</v>
      </c>
      <c r="E12" s="106">
        <v>4.55</v>
      </c>
      <c r="F12" s="106">
        <v>8.2100000000000009</v>
      </c>
      <c r="G12" s="62">
        <f t="shared" si="0"/>
        <v>374.41949999999997</v>
      </c>
      <c r="H12" s="72">
        <f t="shared" si="1"/>
        <v>675.60090000000002</v>
      </c>
      <c r="I12" s="120">
        <v>5960.8</v>
      </c>
      <c r="J12" s="120">
        <v>6139.6240000000007</v>
      </c>
      <c r="K12" s="120">
        <v>3.8728945779090056</v>
      </c>
      <c r="L12" s="120">
        <v>7.8503103610253646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6139.6240000000007</v>
      </c>
      <c r="S12" s="62">
        <f t="shared" si="3"/>
        <v>237.78116500000004</v>
      </c>
      <c r="T12" s="63">
        <f t="shared" si="4"/>
        <v>481.97953899999999</v>
      </c>
      <c r="U12" s="102" t="s">
        <v>210</v>
      </c>
      <c r="V12" s="103" t="s">
        <v>344</v>
      </c>
      <c r="W12" s="104" t="s">
        <v>243</v>
      </c>
      <c r="X12" s="112">
        <v>10050</v>
      </c>
      <c r="Y12" s="113">
        <v>4.33</v>
      </c>
      <c r="Z12" s="113">
        <v>8.2799999999999994</v>
      </c>
      <c r="AA12" s="62">
        <f t="shared" si="5"/>
        <v>435.16499999999996</v>
      </c>
      <c r="AB12" s="63">
        <f t="shared" si="6"/>
        <v>832.14</v>
      </c>
      <c r="AC12" s="69">
        <v>10050</v>
      </c>
      <c r="AD12" s="70">
        <v>4.2516417910447757</v>
      </c>
      <c r="AE12" s="70">
        <v>8.1303283582089545</v>
      </c>
      <c r="AF12" s="62">
        <f t="shared" si="7"/>
        <v>427.28999999999996</v>
      </c>
      <c r="AG12" s="63">
        <f t="shared" si="8"/>
        <v>817.09799999999996</v>
      </c>
      <c r="AH12" s="141">
        <v>4319</v>
      </c>
      <c r="AI12" s="138">
        <v>4.2699999999999996</v>
      </c>
      <c r="AJ12" s="138">
        <v>8.08</v>
      </c>
      <c r="AK12" s="62">
        <f t="shared" si="9"/>
        <v>184.42129999999997</v>
      </c>
      <c r="AL12" s="72">
        <f t="shared" si="10"/>
        <v>348.97519999999997</v>
      </c>
      <c r="AM12" s="81">
        <f t="shared" si="14"/>
        <v>-0.37600000000020373</v>
      </c>
      <c r="AN12" s="80">
        <f t="shared" si="11"/>
        <v>0.48936500000013439</v>
      </c>
      <c r="AO12" s="80">
        <f t="shared" si="11"/>
        <v>-8.4927609999998595</v>
      </c>
      <c r="AP12" s="114">
        <f t="shared" si="15"/>
        <v>-1.1119523413158888E-2</v>
      </c>
      <c r="AQ12" s="115">
        <f t="shared" si="12"/>
        <v>-2308.3505030197261</v>
      </c>
      <c r="AR12" s="90">
        <f t="shared" si="16"/>
        <v>-0.37600000000020373</v>
      </c>
    </row>
    <row r="13" spans="1:44" ht="15.75" x14ac:dyDescent="0.25">
      <c r="A13" t="str">
        <f t="shared" si="13"/>
        <v>46208E</v>
      </c>
      <c r="B13" s="51">
        <f t="shared" si="17"/>
        <v>46208</v>
      </c>
      <c r="C13" s="99" t="s">
        <v>88</v>
      </c>
      <c r="D13" s="105">
        <v>4319</v>
      </c>
      <c r="E13" s="106">
        <v>4.2699999999999996</v>
      </c>
      <c r="F13" s="106">
        <v>8.08</v>
      </c>
      <c r="G13" s="62">
        <f t="shared" si="0"/>
        <v>184.42129999999997</v>
      </c>
      <c r="H13" s="72">
        <f t="shared" si="1"/>
        <v>348.97519999999997</v>
      </c>
      <c r="I13" s="120">
        <v>2009.6</v>
      </c>
      <c r="J13" s="120">
        <v>2069.8879999999999</v>
      </c>
      <c r="K13" s="120">
        <v>4.635434912420382</v>
      </c>
      <c r="L13" s="120">
        <v>8.3095939490445865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2069.8879999999999</v>
      </c>
      <c r="S13" s="62">
        <f t="shared" si="3"/>
        <v>95.94831099999999</v>
      </c>
      <c r="T13" s="63">
        <f t="shared" si="4"/>
        <v>171.99928799999998</v>
      </c>
      <c r="U13" s="102" t="s">
        <v>167</v>
      </c>
      <c r="V13" s="103" t="s">
        <v>167</v>
      </c>
      <c r="W13" s="138" t="s">
        <v>180</v>
      </c>
      <c r="X13" s="112">
        <v>0</v>
      </c>
      <c r="Y13" s="113">
        <v>0</v>
      </c>
      <c r="Z13" s="113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141">
        <v>6389</v>
      </c>
      <c r="AI13" s="138">
        <v>4.38</v>
      </c>
      <c r="AJ13" s="138">
        <v>8.15</v>
      </c>
      <c r="AK13" s="62">
        <f t="shared" si="9"/>
        <v>279.83819999999997</v>
      </c>
      <c r="AL13" s="72">
        <f t="shared" si="10"/>
        <v>520.70349999999996</v>
      </c>
      <c r="AM13" s="81">
        <f t="shared" si="14"/>
        <v>-0.11200000000008004</v>
      </c>
      <c r="AN13" s="80">
        <f t="shared" si="11"/>
        <v>0.53141099999999142</v>
      </c>
      <c r="AO13" s="80">
        <f t="shared" si="11"/>
        <v>0.27098799999998846</v>
      </c>
      <c r="AP13" s="114">
        <f t="shared" si="15"/>
        <v>2.994611644196819E-3</v>
      </c>
      <c r="AQ13" s="115">
        <f t="shared" si="12"/>
        <v>336.51877455492871</v>
      </c>
      <c r="AR13" s="90">
        <f t="shared" si="16"/>
        <v>-0.11200000000008004</v>
      </c>
    </row>
    <row r="14" spans="1:44" ht="15.75" x14ac:dyDescent="0.25">
      <c r="A14" t="str">
        <f t="shared" si="13"/>
        <v>46209M</v>
      </c>
      <c r="B14" s="51">
        <f t="shared" si="17"/>
        <v>46209</v>
      </c>
      <c r="C14" s="99" t="s">
        <v>87</v>
      </c>
      <c r="D14" s="91">
        <v>6389</v>
      </c>
      <c r="E14" s="62">
        <v>4.38</v>
      </c>
      <c r="F14" s="62">
        <v>8.15</v>
      </c>
      <c r="G14" s="62">
        <f t="shared" si="0"/>
        <v>279.83819999999997</v>
      </c>
      <c r="H14" s="72">
        <f t="shared" si="1"/>
        <v>520.70349999999996</v>
      </c>
      <c r="I14" s="120">
        <v>2074.1999999999998</v>
      </c>
      <c r="J14" s="120">
        <v>2136.4259999999999</v>
      </c>
      <c r="K14" s="120">
        <v>5.3118599942146378</v>
      </c>
      <c r="L14" s="120">
        <v>8.4922235078584514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2136.4259999999999</v>
      </c>
      <c r="S14" s="62">
        <f t="shared" si="3"/>
        <v>113.48395800000002</v>
      </c>
      <c r="T14" s="63">
        <f t="shared" si="4"/>
        <v>181.430071</v>
      </c>
      <c r="U14" s="64" t="s">
        <v>167</v>
      </c>
      <c r="V14" s="65" t="s">
        <v>167</v>
      </c>
      <c r="W14" s="138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141">
        <v>8525</v>
      </c>
      <c r="AI14" s="138">
        <v>4.5999999999999996</v>
      </c>
      <c r="AJ14" s="138">
        <v>8.24</v>
      </c>
      <c r="AK14" s="62">
        <f t="shared" si="9"/>
        <v>392.15</v>
      </c>
      <c r="AL14" s="72">
        <f t="shared" si="10"/>
        <v>702.46</v>
      </c>
      <c r="AM14" s="81">
        <f t="shared" si="14"/>
        <v>0.42599999999947613</v>
      </c>
      <c r="AN14" s="80">
        <f t="shared" si="11"/>
        <v>1.1721580000000245</v>
      </c>
      <c r="AO14" s="80">
        <f t="shared" si="11"/>
        <v>-0.32642900000007558</v>
      </c>
      <c r="AP14" s="114">
        <f t="shared" si="15"/>
        <v>2.8677136956409381E-3</v>
      </c>
      <c r="AQ14" s="115">
        <f t="shared" si="12"/>
        <v>465.49748909095763</v>
      </c>
      <c r="AR14" s="90">
        <f t="shared" si="16"/>
        <v>0.42599999999947613</v>
      </c>
    </row>
    <row r="15" spans="1:44" ht="15.75" x14ac:dyDescent="0.25">
      <c r="A15" t="str">
        <f t="shared" si="13"/>
        <v>46209E</v>
      </c>
      <c r="B15" s="51">
        <f t="shared" si="17"/>
        <v>46209</v>
      </c>
      <c r="C15" s="99" t="s">
        <v>88</v>
      </c>
      <c r="D15" s="91">
        <v>8525</v>
      </c>
      <c r="E15" s="62">
        <v>4.5999999999999996</v>
      </c>
      <c r="F15" s="62">
        <v>8.24</v>
      </c>
      <c r="G15" s="62">
        <f t="shared" si="0"/>
        <v>392.15</v>
      </c>
      <c r="H15" s="72">
        <f t="shared" si="1"/>
        <v>702.46</v>
      </c>
      <c r="I15" s="120">
        <v>3459.9</v>
      </c>
      <c r="J15" s="120">
        <v>3563.6970000000001</v>
      </c>
      <c r="K15" s="120">
        <v>3.9563137662938237</v>
      </c>
      <c r="L15" s="120">
        <v>7.9409722824359115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3563.6970000000001</v>
      </c>
      <c r="S15" s="62">
        <f t="shared" si="3"/>
        <v>140.99103500000001</v>
      </c>
      <c r="T15" s="63">
        <f t="shared" si="4"/>
        <v>282.9921910000001</v>
      </c>
      <c r="U15" s="64" t="s">
        <v>168</v>
      </c>
      <c r="V15" s="65" t="s">
        <v>345</v>
      </c>
      <c r="W15" s="138" t="s">
        <v>243</v>
      </c>
      <c r="X15" s="67">
        <v>9820</v>
      </c>
      <c r="Y15" s="68">
        <v>4.45</v>
      </c>
      <c r="Z15" s="68">
        <v>8.17</v>
      </c>
      <c r="AA15" s="62">
        <f t="shared" si="5"/>
        <v>436.99000000000007</v>
      </c>
      <c r="AB15" s="63">
        <f t="shared" si="6"/>
        <v>802.29399999999998</v>
      </c>
      <c r="AC15" s="69">
        <v>9800</v>
      </c>
      <c r="AD15" s="70">
        <v>4.3</v>
      </c>
      <c r="AE15" s="70">
        <v>8.14</v>
      </c>
      <c r="AF15" s="62">
        <f t="shared" si="7"/>
        <v>421.4</v>
      </c>
      <c r="AG15" s="63">
        <f t="shared" si="8"/>
        <v>797.72</v>
      </c>
      <c r="AH15" s="141">
        <v>2269</v>
      </c>
      <c r="AI15" s="138">
        <v>4.42</v>
      </c>
      <c r="AJ15" s="138">
        <v>8.14</v>
      </c>
      <c r="AK15" s="62">
        <f t="shared" si="9"/>
        <v>100.28979999999999</v>
      </c>
      <c r="AL15" s="72">
        <f t="shared" si="10"/>
        <v>184.69659999999999</v>
      </c>
      <c r="AM15" s="81">
        <f t="shared" si="14"/>
        <v>19.697000000000116</v>
      </c>
      <c r="AN15" s="80">
        <f t="shared" si="11"/>
        <v>11.451235000000025</v>
      </c>
      <c r="AO15" s="80">
        <f t="shared" si="11"/>
        <v>3.0355910000000677</v>
      </c>
      <c r="AP15" s="114">
        <f t="shared" si="15"/>
        <v>3.4168394199633002E-2</v>
      </c>
      <c r="AQ15" s="115">
        <f t="shared" si="12"/>
        <v>6411.82359438611</v>
      </c>
      <c r="AR15" s="90">
        <f t="shared" si="16"/>
        <v>-0.30299999999988358</v>
      </c>
    </row>
    <row r="16" spans="1:44" ht="15.75" x14ac:dyDescent="0.25">
      <c r="A16" t="str">
        <f t="shared" si="13"/>
        <v>46210M</v>
      </c>
      <c r="B16" s="51">
        <f t="shared" si="17"/>
        <v>46210</v>
      </c>
      <c r="C16" s="99" t="s">
        <v>87</v>
      </c>
      <c r="D16" s="91">
        <v>2269</v>
      </c>
      <c r="E16" s="62">
        <v>4.42</v>
      </c>
      <c r="F16" s="62">
        <v>8.14</v>
      </c>
      <c r="G16" s="62">
        <f t="shared" si="0"/>
        <v>100.28979999999999</v>
      </c>
      <c r="H16" s="72">
        <f t="shared" si="1"/>
        <v>184.69659999999999</v>
      </c>
      <c r="I16" s="120">
        <v>1828.8000000000002</v>
      </c>
      <c r="J16" s="120">
        <v>1883.6640000000002</v>
      </c>
      <c r="K16" s="120">
        <v>5.1849245406824149</v>
      </c>
      <c r="L16" s="120">
        <v>8.4946850393700792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1883.6640000000002</v>
      </c>
      <c r="S16" s="62">
        <f t="shared" si="3"/>
        <v>97.666557000000012</v>
      </c>
      <c r="T16" s="63">
        <f t="shared" si="4"/>
        <v>160.01132400000003</v>
      </c>
      <c r="U16" s="64" t="s">
        <v>167</v>
      </c>
      <c r="V16" s="65" t="s">
        <v>167</v>
      </c>
      <c r="W16" s="138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41">
        <v>4153</v>
      </c>
      <c r="AI16" s="138">
        <v>4.7699999999999996</v>
      </c>
      <c r="AJ16" s="138">
        <v>8.3000000000000007</v>
      </c>
      <c r="AK16" s="62">
        <f t="shared" si="9"/>
        <v>198.09809999999996</v>
      </c>
      <c r="AL16" s="72">
        <f t="shared" si="10"/>
        <v>344.69900000000001</v>
      </c>
      <c r="AM16" s="81">
        <f t="shared" si="14"/>
        <v>-0.33599999999933061</v>
      </c>
      <c r="AN16" s="80">
        <f t="shared" si="11"/>
        <v>-0.14174299999996265</v>
      </c>
      <c r="AO16" s="80">
        <f t="shared" si="11"/>
        <v>8.9240000000359032E-3</v>
      </c>
      <c r="AP16" s="114">
        <f t="shared" si="15"/>
        <v>-5.1544587173909086E-4</v>
      </c>
      <c r="AQ16" s="115">
        <f t="shared" si="12"/>
        <v>-65.439466173990084</v>
      </c>
      <c r="AR16" s="90">
        <f t="shared" si="16"/>
        <v>-0.33599999999933061</v>
      </c>
    </row>
    <row r="17" spans="1:49" ht="15.75" x14ac:dyDescent="0.25">
      <c r="A17" t="str">
        <f t="shared" si="13"/>
        <v>46210E</v>
      </c>
      <c r="B17" s="51">
        <f t="shared" si="17"/>
        <v>46210</v>
      </c>
      <c r="C17" s="99" t="s">
        <v>88</v>
      </c>
      <c r="D17" s="91">
        <v>4153</v>
      </c>
      <c r="E17" s="62">
        <v>4.7699999999999996</v>
      </c>
      <c r="F17" s="62">
        <v>8.3000000000000007</v>
      </c>
      <c r="G17" s="62">
        <f t="shared" si="0"/>
        <v>198.09809999999996</v>
      </c>
      <c r="H17" s="72">
        <f t="shared" si="1"/>
        <v>344.69900000000001</v>
      </c>
      <c r="I17" s="120">
        <v>1759.2</v>
      </c>
      <c r="J17" s="120">
        <v>1811.9760000000001</v>
      </c>
      <c r="K17" s="120">
        <v>4.4318667576170983</v>
      </c>
      <c r="L17" s="120">
        <v>8.2488346975898139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1811.9760000000001</v>
      </c>
      <c r="S17" s="62">
        <f t="shared" si="3"/>
        <v>80.304361999999998</v>
      </c>
      <c r="T17" s="63">
        <f t="shared" si="4"/>
        <v>149.46690500000003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141">
        <v>5965</v>
      </c>
      <c r="AI17" s="138">
        <v>4.66</v>
      </c>
      <c r="AJ17" s="138">
        <v>8.3000000000000007</v>
      </c>
      <c r="AK17" s="62">
        <f t="shared" si="9"/>
        <v>277.96899999999999</v>
      </c>
      <c r="AL17" s="72">
        <f t="shared" si="10"/>
        <v>495.09500000000003</v>
      </c>
      <c r="AM17" s="81">
        <f t="shared" si="14"/>
        <v>-2.3999999999432475E-2</v>
      </c>
      <c r="AN17" s="80">
        <f t="shared" si="11"/>
        <v>0.43346199999996315</v>
      </c>
      <c r="AO17" s="80">
        <f t="shared" si="11"/>
        <v>-0.92909499999996115</v>
      </c>
      <c r="AP17" s="114">
        <f t="shared" si="15"/>
        <v>-2.1570712755829384E-3</v>
      </c>
      <c r="AQ17" s="115">
        <f t="shared" si="12"/>
        <v>-69.963082582756243</v>
      </c>
      <c r="AR17" s="90">
        <f t="shared" si="16"/>
        <v>-2.3999999999432475E-2</v>
      </c>
    </row>
    <row r="18" spans="1:49" ht="15.75" x14ac:dyDescent="0.25">
      <c r="A18" t="str">
        <f t="shared" si="13"/>
        <v>46211M</v>
      </c>
      <c r="B18" s="51">
        <f t="shared" si="17"/>
        <v>46211</v>
      </c>
      <c r="C18" s="99" t="s">
        <v>87</v>
      </c>
      <c r="D18" s="91">
        <v>5965</v>
      </c>
      <c r="E18" s="62">
        <v>4.66</v>
      </c>
      <c r="F18" s="62">
        <v>8.3000000000000007</v>
      </c>
      <c r="G18" s="62">
        <f t="shared" si="0"/>
        <v>277.96899999999999</v>
      </c>
      <c r="H18" s="72">
        <f t="shared" si="1"/>
        <v>495.09500000000003</v>
      </c>
      <c r="I18" s="120">
        <v>2191.8999999999996</v>
      </c>
      <c r="J18" s="120">
        <v>2257.6569999999997</v>
      </c>
      <c r="K18" s="120">
        <v>5.1618367626260317</v>
      </c>
      <c r="L18" s="120">
        <v>8.499110360874127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2257.6569999999997</v>
      </c>
      <c r="S18" s="62">
        <f t="shared" si="3"/>
        <v>116.53656899999999</v>
      </c>
      <c r="T18" s="63">
        <f t="shared" si="4"/>
        <v>191.88075999999995</v>
      </c>
      <c r="U18" s="64" t="s">
        <v>167</v>
      </c>
      <c r="V18" s="65" t="s">
        <v>167</v>
      </c>
      <c r="W18" s="138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141">
        <v>8223</v>
      </c>
      <c r="AI18" s="138">
        <v>4.8</v>
      </c>
      <c r="AJ18" s="138">
        <v>8.35</v>
      </c>
      <c r="AK18" s="62">
        <f t="shared" si="9"/>
        <v>394.70400000000001</v>
      </c>
      <c r="AL18" s="72">
        <f t="shared" si="10"/>
        <v>686.62049999999988</v>
      </c>
      <c r="AM18" s="81">
        <f t="shared" si="14"/>
        <v>-0.3430000000007567</v>
      </c>
      <c r="AN18" s="80">
        <f t="shared" si="11"/>
        <v>-0.19843100000002778</v>
      </c>
      <c r="AO18" s="80">
        <f t="shared" si="11"/>
        <v>0.35526000000015756</v>
      </c>
      <c r="AP18" s="114">
        <f t="shared" si="15"/>
        <v>5.0849607091996379E-4</v>
      </c>
      <c r="AQ18" s="115">
        <f t="shared" si="12"/>
        <v>11.044653574173765</v>
      </c>
      <c r="AR18" s="90">
        <f t="shared" si="16"/>
        <v>-0.3430000000007567</v>
      </c>
    </row>
    <row r="19" spans="1:49" ht="15.75" x14ac:dyDescent="0.25">
      <c r="A19" t="str">
        <f t="shared" si="13"/>
        <v>46211E</v>
      </c>
      <c r="B19" s="51">
        <f t="shared" si="17"/>
        <v>46211</v>
      </c>
      <c r="C19" s="99" t="s">
        <v>88</v>
      </c>
      <c r="D19" s="91">
        <v>8223</v>
      </c>
      <c r="E19" s="62">
        <v>4.8</v>
      </c>
      <c r="F19" s="62">
        <v>8.35</v>
      </c>
      <c r="G19" s="62">
        <f t="shared" si="0"/>
        <v>394.70400000000001</v>
      </c>
      <c r="H19" s="72">
        <f t="shared" si="1"/>
        <v>686.62049999999988</v>
      </c>
      <c r="I19" s="120">
        <v>5416.2</v>
      </c>
      <c r="J19" s="120">
        <v>5578.6859999999997</v>
      </c>
      <c r="K19" s="120">
        <v>3.8853679701635842</v>
      </c>
      <c r="L19" s="120">
        <v>7.8383202245116506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5578.6859999999997</v>
      </c>
      <c r="S19" s="62">
        <f t="shared" si="3"/>
        <v>216.75247900000002</v>
      </c>
      <c r="T19" s="63">
        <f t="shared" si="4"/>
        <v>437.27527300000003</v>
      </c>
      <c r="U19" s="64" t="s">
        <v>412</v>
      </c>
      <c r="V19" s="65" t="s">
        <v>413</v>
      </c>
      <c r="W19" s="66" t="s">
        <v>243</v>
      </c>
      <c r="X19" s="67">
        <v>10000</v>
      </c>
      <c r="Y19" s="68">
        <v>4.3</v>
      </c>
      <c r="Z19" s="68">
        <v>8.14</v>
      </c>
      <c r="AA19" s="62">
        <f t="shared" si="5"/>
        <v>429.99999999999994</v>
      </c>
      <c r="AB19" s="63">
        <f t="shared" si="6"/>
        <v>814</v>
      </c>
      <c r="AC19" s="69">
        <v>9950</v>
      </c>
      <c r="AD19" s="70">
        <v>4.2500502512562814</v>
      </c>
      <c r="AE19" s="70">
        <v>7.9450753768844216</v>
      </c>
      <c r="AF19" s="62">
        <f t="shared" si="7"/>
        <v>422.88</v>
      </c>
      <c r="AG19" s="63">
        <f t="shared" si="8"/>
        <v>790.53499999999985</v>
      </c>
      <c r="AH19" s="141">
        <v>3802</v>
      </c>
      <c r="AI19" s="138">
        <v>4.4400000000000004</v>
      </c>
      <c r="AJ19" s="138">
        <v>8.1300000000000008</v>
      </c>
      <c r="AK19" s="62">
        <f t="shared" si="9"/>
        <v>168.80880000000002</v>
      </c>
      <c r="AL19" s="72">
        <f t="shared" si="10"/>
        <v>309.10260000000005</v>
      </c>
      <c r="AM19" s="81">
        <f t="shared" si="14"/>
        <v>49.685999999999694</v>
      </c>
      <c r="AN19" s="80">
        <f t="shared" si="11"/>
        <v>19.767679000000044</v>
      </c>
      <c r="AO19" s="80">
        <f t="shared" si="11"/>
        <v>24.258173000000056</v>
      </c>
      <c r="AP19" s="114">
        <f t="shared" si="15"/>
        <v>6.7314960053866488E-2</v>
      </c>
      <c r="AQ19" s="115">
        <f t="shared" si="12"/>
        <v>16764.119981641794</v>
      </c>
      <c r="AR19" s="90">
        <f t="shared" si="16"/>
        <v>-0.31400000000030559</v>
      </c>
    </row>
    <row r="20" spans="1:49" ht="15.75" x14ac:dyDescent="0.25">
      <c r="A20" t="str">
        <f t="shared" si="13"/>
        <v>46212M</v>
      </c>
      <c r="B20" s="51">
        <f t="shared" si="17"/>
        <v>46212</v>
      </c>
      <c r="C20" s="99" t="s">
        <v>87</v>
      </c>
      <c r="D20" s="91">
        <v>3802</v>
      </c>
      <c r="E20" s="62">
        <v>4.4400000000000004</v>
      </c>
      <c r="F20" s="62">
        <v>8.1300000000000008</v>
      </c>
      <c r="G20" s="62">
        <f t="shared" si="0"/>
        <v>168.80880000000002</v>
      </c>
      <c r="H20" s="72">
        <f t="shared" si="1"/>
        <v>309.10260000000005</v>
      </c>
      <c r="I20" s="120">
        <v>2288.8999999999996</v>
      </c>
      <c r="J20" s="120">
        <v>2357.5669999999996</v>
      </c>
      <c r="K20" s="120">
        <v>4.9229324129494518</v>
      </c>
      <c r="L20" s="120">
        <v>8.4985975796233983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2357.5669999999996</v>
      </c>
      <c r="S20" s="62">
        <f t="shared" si="3"/>
        <v>116.06142999999997</v>
      </c>
      <c r="T20" s="63">
        <f t="shared" si="4"/>
        <v>200.36013199999994</v>
      </c>
      <c r="U20" s="64" t="s">
        <v>167</v>
      </c>
      <c r="V20" s="65" t="s">
        <v>167</v>
      </c>
      <c r="W20" s="138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141">
        <v>6159</v>
      </c>
      <c r="AI20" s="138">
        <v>4.59</v>
      </c>
      <c r="AJ20" s="138">
        <v>8.27</v>
      </c>
      <c r="AK20" s="62">
        <f t="shared" si="9"/>
        <v>282.69809999999995</v>
      </c>
      <c r="AL20" s="72">
        <f t="shared" si="10"/>
        <v>509.34929999999997</v>
      </c>
      <c r="AM20" s="81">
        <f t="shared" si="14"/>
        <v>0.56699999999909778</v>
      </c>
      <c r="AN20" s="80">
        <f t="shared" ref="AN20:AO65" si="18">+G20+S20-AF20-AK20</f>
        <v>2.1721300000000383</v>
      </c>
      <c r="AO20" s="80">
        <f t="shared" si="18"/>
        <v>0.11343199999998888</v>
      </c>
      <c r="AP20" s="114">
        <f t="shared" si="15"/>
        <v>7.2231550389730646E-3</v>
      </c>
      <c r="AQ20" s="115">
        <f t="shared" si="12"/>
        <v>1077.7510342379194</v>
      </c>
      <c r="AR20" s="90">
        <f>(D20+J20+O20)-(X20+AH20)</f>
        <v>0.56699999999909778</v>
      </c>
    </row>
    <row r="21" spans="1:49" ht="15.75" x14ac:dyDescent="0.25">
      <c r="A21" t="str">
        <f t="shared" si="13"/>
        <v>46212E</v>
      </c>
      <c r="B21" s="51">
        <f t="shared" si="17"/>
        <v>46212</v>
      </c>
      <c r="C21" s="99" t="s">
        <v>88</v>
      </c>
      <c r="D21" s="91">
        <v>6159</v>
      </c>
      <c r="E21" s="62">
        <v>4.59</v>
      </c>
      <c r="F21" s="62">
        <v>8.27</v>
      </c>
      <c r="G21" s="62">
        <f t="shared" si="0"/>
        <v>282.69809999999995</v>
      </c>
      <c r="H21" s="72">
        <f t="shared" si="1"/>
        <v>509.34929999999997</v>
      </c>
      <c r="I21" s="120">
        <v>1986.8000000000002</v>
      </c>
      <c r="J21" s="120">
        <v>2046.4040000000002</v>
      </c>
      <c r="K21" s="120">
        <v>4.3183158848399428</v>
      </c>
      <c r="L21" s="120">
        <v>8.2650694584256073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2046.4040000000002</v>
      </c>
      <c r="S21" s="62">
        <f t="shared" si="3"/>
        <v>88.370188999999996</v>
      </c>
      <c r="T21" s="63">
        <f t="shared" si="4"/>
        <v>169.13671199999999</v>
      </c>
      <c r="U21" s="64" t="s">
        <v>167</v>
      </c>
      <c r="V21" s="65" t="s">
        <v>167</v>
      </c>
      <c r="W21" s="104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3">
        <f t="shared" si="8"/>
        <v>0</v>
      </c>
      <c r="AH21" s="141">
        <v>8540</v>
      </c>
      <c r="AI21" s="138">
        <v>4.5199999999999996</v>
      </c>
      <c r="AJ21" s="138">
        <v>8.2799999999999994</v>
      </c>
      <c r="AK21" s="62">
        <f t="shared" si="9"/>
        <v>386.00799999999998</v>
      </c>
      <c r="AL21" s="72">
        <f t="shared" si="10"/>
        <v>707.11199999999997</v>
      </c>
      <c r="AM21" s="81">
        <f t="shared" si="14"/>
        <v>-334.59599999999955</v>
      </c>
      <c r="AN21" s="80">
        <f t="shared" si="18"/>
        <v>-14.939711000000045</v>
      </c>
      <c r="AO21" s="80">
        <f t="shared" si="18"/>
        <v>-28.625988000000007</v>
      </c>
      <c r="AP21" s="114">
        <f t="shared" si="15"/>
        <v>-0.16918264648759862</v>
      </c>
      <c r="AQ21" s="115">
        <f t="shared" si="12"/>
        <v>-15752.245932518983</v>
      </c>
      <c r="AR21" s="90">
        <f>(D21+J21+O21)-(X21+AH21)</f>
        <v>-334.59599999999955</v>
      </c>
      <c r="AS21" s="90">
        <f>SUM(J8:J21)</f>
        <v>41415.270000000004</v>
      </c>
      <c r="AT21" s="83">
        <f>SUM(AM8:AM21)</f>
        <v>-314.73000000000047</v>
      </c>
      <c r="AU21" s="83">
        <f>SUM(AN8:AN21)</f>
        <v>13.3166530000004</v>
      </c>
      <c r="AV21" s="83">
        <f>SUM(AO8:AO21)</f>
        <v>-15.490831999999585</v>
      </c>
      <c r="AW21" s="83">
        <f>-SUM(AQ8:AQ21)</f>
        <v>-1759.7188992599567</v>
      </c>
    </row>
    <row r="22" spans="1:49" ht="15.75" x14ac:dyDescent="0.25">
      <c r="A22" t="str">
        <f t="shared" si="13"/>
        <v>46213M</v>
      </c>
      <c r="B22" s="51">
        <f t="shared" si="17"/>
        <v>46213</v>
      </c>
      <c r="C22" s="99" t="s">
        <v>87</v>
      </c>
      <c r="D22" s="91"/>
      <c r="E22" s="62"/>
      <c r="F22" s="62"/>
      <c r="G22" s="62">
        <f t="shared" si="0"/>
        <v>0</v>
      </c>
      <c r="H22" s="72">
        <f t="shared" si="1"/>
        <v>0</v>
      </c>
      <c r="I22" s="120"/>
      <c r="J22" s="120"/>
      <c r="K22" s="120"/>
      <c r="L22" s="120"/>
      <c r="M22" s="58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138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141"/>
      <c r="AI22" s="138"/>
      <c r="AJ22" s="138"/>
      <c r="AK22" s="62">
        <f t="shared" si="9"/>
        <v>0</v>
      </c>
      <c r="AL22" s="72">
        <f t="shared" si="10"/>
        <v>0</v>
      </c>
      <c r="AM22" s="81">
        <f t="shared" si="14"/>
        <v>0</v>
      </c>
      <c r="AN22" s="80">
        <f t="shared" si="18"/>
        <v>0</v>
      </c>
      <c r="AO22" s="80">
        <f t="shared" si="18"/>
        <v>0</v>
      </c>
      <c r="AP22" s="114" t="e">
        <f t="shared" si="15"/>
        <v>#DIV/0!</v>
      </c>
      <c r="AQ22" s="115">
        <f t="shared" si="12"/>
        <v>0</v>
      </c>
      <c r="AR22" s="90">
        <f t="shared" ref="AR22:AR63" si="19">(D22+J22+O22)-(X22+AH22)</f>
        <v>0</v>
      </c>
    </row>
    <row r="23" spans="1:49" ht="15.75" x14ac:dyDescent="0.25">
      <c r="A23" t="str">
        <f t="shared" si="13"/>
        <v>46213E</v>
      </c>
      <c r="B23" s="51">
        <f t="shared" si="17"/>
        <v>46213</v>
      </c>
      <c r="C23" s="99" t="s">
        <v>88</v>
      </c>
      <c r="D23" s="91"/>
      <c r="E23" s="62"/>
      <c r="F23" s="62"/>
      <c r="G23" s="62">
        <f t="shared" si="0"/>
        <v>0</v>
      </c>
      <c r="H23" s="72">
        <f t="shared" si="1"/>
        <v>0</v>
      </c>
      <c r="I23" s="120"/>
      <c r="J23" s="120"/>
      <c r="K23" s="120"/>
      <c r="L23" s="120"/>
      <c r="M23" s="58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104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141"/>
      <c r="AI23" s="138"/>
      <c r="AJ23" s="138"/>
      <c r="AK23" s="62">
        <f t="shared" si="9"/>
        <v>0</v>
      </c>
      <c r="AL23" s="72">
        <f t="shared" si="10"/>
        <v>0</v>
      </c>
      <c r="AM23" s="81">
        <f t="shared" si="14"/>
        <v>0</v>
      </c>
      <c r="AN23" s="80">
        <f t="shared" si="18"/>
        <v>0</v>
      </c>
      <c r="AO23" s="80">
        <f t="shared" si="18"/>
        <v>0</v>
      </c>
      <c r="AP23" s="114" t="e">
        <f t="shared" si="15"/>
        <v>#DIV/0!</v>
      </c>
      <c r="AQ23" s="115">
        <f t="shared" si="12"/>
        <v>0</v>
      </c>
      <c r="AR23" s="90">
        <f t="shared" si="19"/>
        <v>0</v>
      </c>
    </row>
    <row r="24" spans="1:49" ht="15.75" x14ac:dyDescent="0.25">
      <c r="A24" t="str">
        <f t="shared" si="13"/>
        <v>46214M</v>
      </c>
      <c r="B24" s="51">
        <f t="shared" si="17"/>
        <v>46214</v>
      </c>
      <c r="C24" s="99" t="s">
        <v>87</v>
      </c>
      <c r="D24" s="91"/>
      <c r="E24" s="62"/>
      <c r="F24" s="62"/>
      <c r="G24" s="62">
        <f t="shared" si="0"/>
        <v>0</v>
      </c>
      <c r="H24" s="72">
        <f t="shared" si="1"/>
        <v>0</v>
      </c>
      <c r="I24" s="120"/>
      <c r="J24" s="120"/>
      <c r="K24" s="120"/>
      <c r="L24" s="120"/>
      <c r="M24" s="58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104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141"/>
      <c r="AI24" s="138"/>
      <c r="AJ24" s="138"/>
      <c r="AK24" s="62">
        <f t="shared" si="9"/>
        <v>0</v>
      </c>
      <c r="AL24" s="72">
        <f t="shared" si="10"/>
        <v>0</v>
      </c>
      <c r="AM24" s="81">
        <f t="shared" si="14"/>
        <v>0</v>
      </c>
      <c r="AN24" s="80">
        <f t="shared" si="18"/>
        <v>0</v>
      </c>
      <c r="AO24" s="80">
        <f t="shared" si="18"/>
        <v>0</v>
      </c>
      <c r="AP24" s="114" t="e">
        <f t="shared" si="15"/>
        <v>#DIV/0!</v>
      </c>
      <c r="AQ24" s="115">
        <f t="shared" si="12"/>
        <v>0</v>
      </c>
      <c r="AR24" s="90">
        <f t="shared" si="19"/>
        <v>0</v>
      </c>
    </row>
    <row r="25" spans="1:49" ht="15.75" x14ac:dyDescent="0.25">
      <c r="A25" t="str">
        <f t="shared" si="13"/>
        <v>46214E</v>
      </c>
      <c r="B25" s="51">
        <f t="shared" si="17"/>
        <v>46214</v>
      </c>
      <c r="C25" s="99" t="s">
        <v>88</v>
      </c>
      <c r="D25" s="91"/>
      <c r="E25" s="62"/>
      <c r="F25" s="62"/>
      <c r="G25" s="62">
        <f t="shared" si="0"/>
        <v>0</v>
      </c>
      <c r="H25" s="72">
        <f t="shared" si="1"/>
        <v>0</v>
      </c>
      <c r="I25" s="120"/>
      <c r="J25" s="120"/>
      <c r="K25" s="120"/>
      <c r="L25" s="120"/>
      <c r="M25" s="58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141"/>
      <c r="AI25" s="138"/>
      <c r="AJ25" s="138"/>
      <c r="AK25" s="62">
        <f t="shared" si="9"/>
        <v>0</v>
      </c>
      <c r="AL25" s="72">
        <f t="shared" si="10"/>
        <v>0</v>
      </c>
      <c r="AM25" s="81">
        <f t="shared" si="14"/>
        <v>0</v>
      </c>
      <c r="AN25" s="80">
        <f t="shared" si="18"/>
        <v>0</v>
      </c>
      <c r="AO25" s="80">
        <f t="shared" si="18"/>
        <v>0</v>
      </c>
      <c r="AP25" s="114" t="e">
        <f t="shared" si="15"/>
        <v>#DIV/0!</v>
      </c>
      <c r="AQ25" s="115">
        <f t="shared" si="12"/>
        <v>0</v>
      </c>
      <c r="AR25" s="90">
        <f t="shared" si="19"/>
        <v>0</v>
      </c>
    </row>
    <row r="26" spans="1:49" ht="15.75" x14ac:dyDescent="0.25">
      <c r="A26" t="str">
        <f t="shared" si="13"/>
        <v>46215M</v>
      </c>
      <c r="B26" s="51">
        <f t="shared" si="17"/>
        <v>46215</v>
      </c>
      <c r="C26" s="99" t="s">
        <v>87</v>
      </c>
      <c r="D26" s="91"/>
      <c r="E26" s="62"/>
      <c r="F26" s="62"/>
      <c r="G26" s="62">
        <f t="shared" si="0"/>
        <v>0</v>
      </c>
      <c r="H26" s="72">
        <f t="shared" si="1"/>
        <v>0</v>
      </c>
      <c r="I26" s="120"/>
      <c r="J26" s="120"/>
      <c r="K26" s="120"/>
      <c r="L26" s="120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138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141"/>
      <c r="AI26" s="138"/>
      <c r="AJ26" s="138"/>
      <c r="AK26" s="62">
        <f t="shared" si="9"/>
        <v>0</v>
      </c>
      <c r="AL26" s="72">
        <f t="shared" si="10"/>
        <v>0</v>
      </c>
      <c r="AM26" s="81">
        <f t="shared" si="14"/>
        <v>0</v>
      </c>
      <c r="AN26" s="80">
        <f t="shared" si="18"/>
        <v>0</v>
      </c>
      <c r="AO26" s="80">
        <f t="shared" si="18"/>
        <v>0</v>
      </c>
      <c r="AP26" s="114" t="e">
        <f t="shared" si="15"/>
        <v>#DIV/0!</v>
      </c>
      <c r="AQ26" s="115">
        <f t="shared" si="12"/>
        <v>0</v>
      </c>
      <c r="AR26" s="90">
        <f t="shared" si="19"/>
        <v>0</v>
      </c>
    </row>
    <row r="27" spans="1:49" ht="15.75" x14ac:dyDescent="0.25">
      <c r="A27" t="str">
        <f t="shared" si="13"/>
        <v>46215E</v>
      </c>
      <c r="B27" s="51">
        <f t="shared" si="17"/>
        <v>46215</v>
      </c>
      <c r="C27" s="99" t="s">
        <v>88</v>
      </c>
      <c r="D27" s="91"/>
      <c r="E27" s="62"/>
      <c r="F27" s="62"/>
      <c r="G27" s="62">
        <f t="shared" si="0"/>
        <v>0</v>
      </c>
      <c r="H27" s="72">
        <f t="shared" si="1"/>
        <v>0</v>
      </c>
      <c r="I27" s="120"/>
      <c r="J27" s="120"/>
      <c r="K27" s="120"/>
      <c r="L27" s="120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104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141"/>
      <c r="AI27" s="138"/>
      <c r="AJ27" s="138"/>
      <c r="AK27" s="62">
        <f t="shared" si="9"/>
        <v>0</v>
      </c>
      <c r="AL27" s="72">
        <f t="shared" si="10"/>
        <v>0</v>
      </c>
      <c r="AM27" s="81">
        <f t="shared" si="14"/>
        <v>0</v>
      </c>
      <c r="AN27" s="80">
        <f t="shared" si="18"/>
        <v>0</v>
      </c>
      <c r="AO27" s="80">
        <f t="shared" si="18"/>
        <v>0</v>
      </c>
      <c r="AP27" s="114" t="e">
        <f t="shared" si="15"/>
        <v>#DIV/0!</v>
      </c>
      <c r="AQ27" s="115">
        <f t="shared" si="12"/>
        <v>0</v>
      </c>
      <c r="AR27" s="90">
        <f>(D27+J27+O27)-(X27+AH27)</f>
        <v>0</v>
      </c>
    </row>
    <row r="28" spans="1:49" ht="15.75" x14ac:dyDescent="0.25">
      <c r="A28" t="str">
        <f t="shared" si="13"/>
        <v>46216M</v>
      </c>
      <c r="B28" s="51">
        <f t="shared" si="17"/>
        <v>46216</v>
      </c>
      <c r="C28" s="99" t="s">
        <v>87</v>
      </c>
      <c r="D28" s="91"/>
      <c r="E28" s="62"/>
      <c r="F28" s="62"/>
      <c r="G28" s="62">
        <f t="shared" si="0"/>
        <v>0</v>
      </c>
      <c r="H28" s="72">
        <f t="shared" si="1"/>
        <v>0</v>
      </c>
      <c r="I28" s="120"/>
      <c r="J28" s="120"/>
      <c r="K28" s="120"/>
      <c r="L28" s="120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138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141"/>
      <c r="AI28" s="138"/>
      <c r="AJ28" s="138"/>
      <c r="AK28" s="62">
        <f t="shared" si="9"/>
        <v>0</v>
      </c>
      <c r="AL28" s="72">
        <f t="shared" si="10"/>
        <v>0</v>
      </c>
      <c r="AM28" s="81">
        <f t="shared" si="14"/>
        <v>0</v>
      </c>
      <c r="AN28" s="80">
        <f t="shared" si="18"/>
        <v>0</v>
      </c>
      <c r="AO28" s="80">
        <f t="shared" si="18"/>
        <v>0</v>
      </c>
      <c r="AP28" s="114" t="e">
        <f t="shared" si="15"/>
        <v>#DIV/0!</v>
      </c>
      <c r="AQ28" s="115">
        <f t="shared" si="12"/>
        <v>0</v>
      </c>
      <c r="AR28" s="90">
        <f>(D28+J28+O28)-(X28+AH28)</f>
        <v>0</v>
      </c>
    </row>
    <row r="29" spans="1:49" ht="15.75" x14ac:dyDescent="0.25">
      <c r="A29" t="str">
        <f t="shared" si="13"/>
        <v>46216E</v>
      </c>
      <c r="B29" s="51">
        <f t="shared" si="17"/>
        <v>46216</v>
      </c>
      <c r="C29" s="99" t="s">
        <v>88</v>
      </c>
      <c r="D29" s="91"/>
      <c r="E29" s="62"/>
      <c r="F29" s="62"/>
      <c r="G29" s="62">
        <f t="shared" si="0"/>
        <v>0</v>
      </c>
      <c r="H29" s="72">
        <f t="shared" si="1"/>
        <v>0</v>
      </c>
      <c r="I29" s="120"/>
      <c r="J29" s="120"/>
      <c r="K29" s="120"/>
      <c r="L29" s="120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141"/>
      <c r="AI29" s="138"/>
      <c r="AJ29" s="138"/>
      <c r="AK29" s="62">
        <f t="shared" si="9"/>
        <v>0</v>
      </c>
      <c r="AL29" s="72">
        <f t="shared" si="10"/>
        <v>0</v>
      </c>
      <c r="AM29" s="81">
        <f t="shared" si="14"/>
        <v>0</v>
      </c>
      <c r="AN29" s="80">
        <f t="shared" si="18"/>
        <v>0</v>
      </c>
      <c r="AO29" s="80">
        <f t="shared" si="18"/>
        <v>0</v>
      </c>
      <c r="AP29" s="114" t="e">
        <f t="shared" si="15"/>
        <v>#DIV/0!</v>
      </c>
      <c r="AQ29" s="115">
        <f t="shared" si="12"/>
        <v>0</v>
      </c>
      <c r="AR29" s="90">
        <f t="shared" si="19"/>
        <v>0</v>
      </c>
    </row>
    <row r="30" spans="1:49" ht="15.75" x14ac:dyDescent="0.25">
      <c r="A30" t="str">
        <f t="shared" si="13"/>
        <v>46217M</v>
      </c>
      <c r="B30" s="51">
        <f t="shared" si="17"/>
        <v>46217</v>
      </c>
      <c r="C30" s="99" t="s">
        <v>87</v>
      </c>
      <c r="D30" s="91"/>
      <c r="E30" s="62"/>
      <c r="F30" s="62"/>
      <c r="G30" s="62">
        <f t="shared" si="0"/>
        <v>0</v>
      </c>
      <c r="H30" s="72">
        <f t="shared" si="1"/>
        <v>0</v>
      </c>
      <c r="I30" s="120"/>
      <c r="J30" s="120"/>
      <c r="K30" s="120"/>
      <c r="L30" s="120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138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141"/>
      <c r="AI30" s="138"/>
      <c r="AJ30" s="138"/>
      <c r="AK30" s="62">
        <f t="shared" si="9"/>
        <v>0</v>
      </c>
      <c r="AL30" s="72">
        <f t="shared" si="10"/>
        <v>0</v>
      </c>
      <c r="AM30" s="81">
        <f t="shared" si="14"/>
        <v>0</v>
      </c>
      <c r="AN30" s="80">
        <f t="shared" si="18"/>
        <v>0</v>
      </c>
      <c r="AO30" s="80">
        <f t="shared" si="18"/>
        <v>0</v>
      </c>
      <c r="AP30" s="114" t="e">
        <f t="shared" si="15"/>
        <v>#DIV/0!</v>
      </c>
      <c r="AQ30" s="115">
        <f t="shared" si="12"/>
        <v>0</v>
      </c>
      <c r="AR30" s="90">
        <f t="shared" si="19"/>
        <v>0</v>
      </c>
    </row>
    <row r="31" spans="1:49" ht="15.75" x14ac:dyDescent="0.25">
      <c r="A31" t="str">
        <f t="shared" si="13"/>
        <v>46217E</v>
      </c>
      <c r="B31" s="51">
        <f t="shared" si="17"/>
        <v>46217</v>
      </c>
      <c r="C31" s="99" t="s">
        <v>88</v>
      </c>
      <c r="D31" s="91"/>
      <c r="E31" s="62"/>
      <c r="F31" s="62"/>
      <c r="G31" s="62">
        <f t="shared" si="0"/>
        <v>0</v>
      </c>
      <c r="H31" s="72">
        <f t="shared" si="1"/>
        <v>0</v>
      </c>
      <c r="I31" s="120"/>
      <c r="J31" s="120"/>
      <c r="K31" s="120"/>
      <c r="L31" s="120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141"/>
      <c r="AI31" s="138"/>
      <c r="AJ31" s="138"/>
      <c r="AK31" s="62">
        <f t="shared" si="9"/>
        <v>0</v>
      </c>
      <c r="AL31" s="72">
        <f t="shared" si="10"/>
        <v>0</v>
      </c>
      <c r="AM31" s="81">
        <f t="shared" si="14"/>
        <v>0</v>
      </c>
      <c r="AN31" s="80">
        <f t="shared" si="18"/>
        <v>0</v>
      </c>
      <c r="AO31" s="80">
        <f t="shared" si="18"/>
        <v>0</v>
      </c>
      <c r="AP31" s="114" t="e">
        <f t="shared" si="15"/>
        <v>#DIV/0!</v>
      </c>
      <c r="AQ31" s="115">
        <f t="shared" si="12"/>
        <v>0</v>
      </c>
      <c r="AR31" s="90">
        <f t="shared" si="19"/>
        <v>0</v>
      </c>
    </row>
    <row r="32" spans="1:49" ht="15.75" x14ac:dyDescent="0.25">
      <c r="A32" t="str">
        <f t="shared" si="13"/>
        <v>46218M</v>
      </c>
      <c r="B32" s="51">
        <f t="shared" si="17"/>
        <v>46218</v>
      </c>
      <c r="C32" s="99" t="s">
        <v>87</v>
      </c>
      <c r="D32" s="91"/>
      <c r="E32" s="62"/>
      <c r="F32" s="62"/>
      <c r="G32" s="62">
        <f t="shared" si="0"/>
        <v>0</v>
      </c>
      <c r="H32" s="72">
        <f t="shared" si="1"/>
        <v>0</v>
      </c>
      <c r="I32" s="120"/>
      <c r="J32" s="120"/>
      <c r="K32" s="120"/>
      <c r="L32" s="120"/>
      <c r="M32" s="58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104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141"/>
      <c r="AI32" s="138"/>
      <c r="AJ32" s="138"/>
      <c r="AK32" s="62">
        <f t="shared" si="9"/>
        <v>0</v>
      </c>
      <c r="AL32" s="72">
        <f t="shared" si="10"/>
        <v>0</v>
      </c>
      <c r="AM32" s="81">
        <f t="shared" si="14"/>
        <v>0</v>
      </c>
      <c r="AN32" s="80">
        <f t="shared" si="18"/>
        <v>0</v>
      </c>
      <c r="AO32" s="80">
        <f t="shared" si="18"/>
        <v>0</v>
      </c>
      <c r="AP32" s="114" t="e">
        <f t="shared" si="15"/>
        <v>#DIV/0!</v>
      </c>
      <c r="AQ32" s="115">
        <f t="shared" si="12"/>
        <v>0</v>
      </c>
      <c r="AR32" s="90">
        <f t="shared" si="19"/>
        <v>0</v>
      </c>
    </row>
    <row r="33" spans="1:49" ht="15.75" x14ac:dyDescent="0.25">
      <c r="A33" t="str">
        <f t="shared" si="13"/>
        <v>46218E</v>
      </c>
      <c r="B33" s="51">
        <f t="shared" si="17"/>
        <v>46218</v>
      </c>
      <c r="C33" s="99" t="s">
        <v>88</v>
      </c>
      <c r="D33" s="91"/>
      <c r="E33" s="62"/>
      <c r="F33" s="62"/>
      <c r="G33" s="62">
        <f t="shared" si="0"/>
        <v>0</v>
      </c>
      <c r="H33" s="72">
        <f t="shared" si="1"/>
        <v>0</v>
      </c>
      <c r="I33" s="120"/>
      <c r="J33" s="120"/>
      <c r="K33" s="120"/>
      <c r="L33" s="120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138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141"/>
      <c r="AI33" s="138"/>
      <c r="AJ33" s="138"/>
      <c r="AK33" s="62">
        <f t="shared" si="9"/>
        <v>0</v>
      </c>
      <c r="AL33" s="72">
        <f t="shared" si="10"/>
        <v>0</v>
      </c>
      <c r="AM33" s="81">
        <f t="shared" si="14"/>
        <v>0</v>
      </c>
      <c r="AN33" s="80">
        <f t="shared" si="18"/>
        <v>0</v>
      </c>
      <c r="AO33" s="80">
        <f t="shared" si="18"/>
        <v>0</v>
      </c>
      <c r="AP33" s="114" t="e">
        <f t="shared" si="15"/>
        <v>#DIV/0!</v>
      </c>
      <c r="AQ33" s="115">
        <f t="shared" si="12"/>
        <v>0</v>
      </c>
      <c r="AR33" s="90">
        <f t="shared" si="19"/>
        <v>0</v>
      </c>
    </row>
    <row r="34" spans="1:49" ht="15.75" x14ac:dyDescent="0.25">
      <c r="A34" t="str">
        <f t="shared" si="13"/>
        <v>46219M</v>
      </c>
      <c r="B34" s="51">
        <f t="shared" si="17"/>
        <v>46219</v>
      </c>
      <c r="C34" s="99" t="s">
        <v>87</v>
      </c>
      <c r="D34" s="91"/>
      <c r="E34" s="62"/>
      <c r="F34" s="62"/>
      <c r="G34" s="62">
        <f t="shared" si="0"/>
        <v>0</v>
      </c>
      <c r="H34" s="72">
        <f t="shared" si="1"/>
        <v>0</v>
      </c>
      <c r="I34" s="120"/>
      <c r="J34" s="120"/>
      <c r="K34" s="120"/>
      <c r="L34" s="120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104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141"/>
      <c r="AI34" s="138"/>
      <c r="AJ34" s="138"/>
      <c r="AK34" s="62">
        <f t="shared" si="9"/>
        <v>0</v>
      </c>
      <c r="AL34" s="72">
        <f t="shared" si="10"/>
        <v>0</v>
      </c>
      <c r="AM34" s="81">
        <f t="shared" si="14"/>
        <v>0</v>
      </c>
      <c r="AN34" s="80">
        <f t="shared" si="18"/>
        <v>0</v>
      </c>
      <c r="AO34" s="80">
        <f t="shared" si="18"/>
        <v>0</v>
      </c>
      <c r="AP34" s="114" t="e">
        <f t="shared" si="15"/>
        <v>#DIV/0!</v>
      </c>
      <c r="AQ34" s="115">
        <f t="shared" si="12"/>
        <v>0</v>
      </c>
      <c r="AR34" s="90">
        <f t="shared" si="19"/>
        <v>0</v>
      </c>
    </row>
    <row r="35" spans="1:49" ht="15.75" x14ac:dyDescent="0.25">
      <c r="A35" t="str">
        <f t="shared" si="13"/>
        <v>46219E</v>
      </c>
      <c r="B35" s="51">
        <f t="shared" si="17"/>
        <v>46219</v>
      </c>
      <c r="C35" s="99" t="s">
        <v>88</v>
      </c>
      <c r="D35" s="91"/>
      <c r="E35" s="62"/>
      <c r="F35" s="62"/>
      <c r="G35" s="62">
        <f t="shared" si="0"/>
        <v>0</v>
      </c>
      <c r="H35" s="72">
        <f t="shared" si="1"/>
        <v>0</v>
      </c>
      <c r="I35" s="120"/>
      <c r="J35" s="120"/>
      <c r="K35" s="120"/>
      <c r="L35" s="120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104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141"/>
      <c r="AI35" s="138"/>
      <c r="AJ35" s="138"/>
      <c r="AK35" s="62">
        <f t="shared" si="9"/>
        <v>0</v>
      </c>
      <c r="AL35" s="72">
        <f t="shared" si="10"/>
        <v>0</v>
      </c>
      <c r="AM35" s="81">
        <f t="shared" si="14"/>
        <v>0</v>
      </c>
      <c r="AN35" s="80">
        <f t="shared" si="18"/>
        <v>0</v>
      </c>
      <c r="AO35" s="80">
        <f t="shared" si="18"/>
        <v>0</v>
      </c>
      <c r="AP35" s="114" t="e">
        <f t="shared" si="15"/>
        <v>#DIV/0!</v>
      </c>
      <c r="AQ35" s="115">
        <f t="shared" si="12"/>
        <v>0</v>
      </c>
      <c r="AR35" s="90">
        <f t="shared" si="19"/>
        <v>0</v>
      </c>
      <c r="AS35" s="90">
        <f>SUM(J22:J35)</f>
        <v>0</v>
      </c>
      <c r="AT35" s="83">
        <f>SUM(AM22:AM35)</f>
        <v>0</v>
      </c>
      <c r="AU35" s="83">
        <f>SUM(AN22:AN35)</f>
        <v>0</v>
      </c>
      <c r="AV35" s="83">
        <f>SUM(AO22:AO35)</f>
        <v>0</v>
      </c>
      <c r="AW35" s="83">
        <f>-SUM(AQ22:AQ35)</f>
        <v>0</v>
      </c>
    </row>
    <row r="36" spans="1:49" ht="15.75" x14ac:dyDescent="0.25">
      <c r="A36" t="str">
        <f t="shared" si="13"/>
        <v>46220M</v>
      </c>
      <c r="B36" s="51">
        <f t="shared" si="17"/>
        <v>46220</v>
      </c>
      <c r="C36" s="99" t="s">
        <v>87</v>
      </c>
      <c r="D36" s="91"/>
      <c r="E36" s="62"/>
      <c r="F36" s="62"/>
      <c r="G36" s="62">
        <f t="shared" si="0"/>
        <v>0</v>
      </c>
      <c r="H36" s="72">
        <f t="shared" si="1"/>
        <v>0</v>
      </c>
      <c r="I36" s="120"/>
      <c r="J36" s="120"/>
      <c r="K36" s="120"/>
      <c r="L36" s="120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104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141"/>
      <c r="AI36" s="138"/>
      <c r="AJ36" s="138"/>
      <c r="AK36" s="62">
        <f t="shared" si="9"/>
        <v>0</v>
      </c>
      <c r="AL36" s="72">
        <f t="shared" si="10"/>
        <v>0</v>
      </c>
      <c r="AM36" s="81">
        <f t="shared" si="14"/>
        <v>0</v>
      </c>
      <c r="AN36" s="80">
        <f t="shared" si="18"/>
        <v>0</v>
      </c>
      <c r="AO36" s="80">
        <f t="shared" si="18"/>
        <v>0</v>
      </c>
      <c r="AP36" s="114" t="e">
        <f t="shared" si="15"/>
        <v>#DIV/0!</v>
      </c>
      <c r="AQ36" s="115">
        <f t="shared" si="12"/>
        <v>0</v>
      </c>
      <c r="AR36" s="90">
        <f t="shared" si="19"/>
        <v>0</v>
      </c>
    </row>
    <row r="37" spans="1:49" ht="15.75" x14ac:dyDescent="0.25">
      <c r="A37" t="str">
        <f t="shared" si="13"/>
        <v>46220E</v>
      </c>
      <c r="B37" s="51">
        <f t="shared" si="17"/>
        <v>46220</v>
      </c>
      <c r="C37" s="99" t="s">
        <v>88</v>
      </c>
      <c r="D37" s="91"/>
      <c r="E37" s="62"/>
      <c r="F37" s="62"/>
      <c r="G37" s="62">
        <f t="shared" si="0"/>
        <v>0</v>
      </c>
      <c r="H37" s="72">
        <f t="shared" si="1"/>
        <v>0</v>
      </c>
      <c r="I37" s="120"/>
      <c r="J37" s="120"/>
      <c r="K37" s="120"/>
      <c r="L37" s="120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141"/>
      <c r="AI37" s="138"/>
      <c r="AJ37" s="138"/>
      <c r="AK37" s="62">
        <f t="shared" si="9"/>
        <v>0</v>
      </c>
      <c r="AL37" s="72">
        <f t="shared" si="10"/>
        <v>0</v>
      </c>
      <c r="AM37" s="81">
        <f t="shared" si="14"/>
        <v>0</v>
      </c>
      <c r="AN37" s="80">
        <f t="shared" si="18"/>
        <v>0</v>
      </c>
      <c r="AO37" s="80">
        <f t="shared" si="18"/>
        <v>0</v>
      </c>
      <c r="AP37" s="114" t="e">
        <f t="shared" si="15"/>
        <v>#DIV/0!</v>
      </c>
      <c r="AQ37" s="115">
        <f t="shared" si="12"/>
        <v>0</v>
      </c>
      <c r="AR37" s="90">
        <f t="shared" si="19"/>
        <v>0</v>
      </c>
    </row>
    <row r="38" spans="1:49" ht="15.75" x14ac:dyDescent="0.25">
      <c r="A38" t="str">
        <f t="shared" si="13"/>
        <v>46221M</v>
      </c>
      <c r="B38" s="51">
        <f t="shared" si="17"/>
        <v>46221</v>
      </c>
      <c r="C38" s="99" t="s">
        <v>87</v>
      </c>
      <c r="D38" s="91"/>
      <c r="E38" s="62"/>
      <c r="F38" s="62"/>
      <c r="G38" s="62">
        <f t="shared" si="0"/>
        <v>0</v>
      </c>
      <c r="H38" s="72">
        <f t="shared" si="1"/>
        <v>0</v>
      </c>
      <c r="I38" s="120"/>
      <c r="J38" s="120"/>
      <c r="K38" s="120"/>
      <c r="L38" s="120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138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141"/>
      <c r="AI38" s="138"/>
      <c r="AJ38" s="138"/>
      <c r="AK38" s="62">
        <f t="shared" si="9"/>
        <v>0</v>
      </c>
      <c r="AL38" s="72">
        <f t="shared" si="10"/>
        <v>0</v>
      </c>
      <c r="AM38" s="81">
        <f t="shared" si="14"/>
        <v>0</v>
      </c>
      <c r="AN38" s="80">
        <f t="shared" si="18"/>
        <v>0</v>
      </c>
      <c r="AO38" s="80">
        <f t="shared" si="18"/>
        <v>0</v>
      </c>
      <c r="AP38" s="114" t="e">
        <f t="shared" si="15"/>
        <v>#DIV/0!</v>
      </c>
      <c r="AQ38" s="115">
        <f t="shared" si="12"/>
        <v>0</v>
      </c>
      <c r="AR38" s="90">
        <f t="shared" si="19"/>
        <v>0</v>
      </c>
    </row>
    <row r="39" spans="1:49" ht="15.75" x14ac:dyDescent="0.25">
      <c r="A39" t="str">
        <f t="shared" si="13"/>
        <v>46221E</v>
      </c>
      <c r="B39" s="51">
        <f t="shared" si="17"/>
        <v>46221</v>
      </c>
      <c r="C39" s="99" t="s">
        <v>88</v>
      </c>
      <c r="D39" s="91"/>
      <c r="E39" s="62"/>
      <c r="F39" s="62"/>
      <c r="G39" s="62">
        <f t="shared" si="0"/>
        <v>0</v>
      </c>
      <c r="H39" s="72">
        <f t="shared" si="1"/>
        <v>0</v>
      </c>
      <c r="I39" s="120"/>
      <c r="J39" s="120"/>
      <c r="K39" s="120"/>
      <c r="L39" s="120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138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141"/>
      <c r="AI39" s="138"/>
      <c r="AJ39" s="138"/>
      <c r="AK39" s="62">
        <f t="shared" si="9"/>
        <v>0</v>
      </c>
      <c r="AL39" s="72">
        <f t="shared" si="10"/>
        <v>0</v>
      </c>
      <c r="AM39" s="81">
        <f t="shared" si="14"/>
        <v>0</v>
      </c>
      <c r="AN39" s="80">
        <f t="shared" si="18"/>
        <v>0</v>
      </c>
      <c r="AO39" s="80">
        <f t="shared" si="18"/>
        <v>0</v>
      </c>
      <c r="AP39" s="114" t="e">
        <f t="shared" si="15"/>
        <v>#DIV/0!</v>
      </c>
      <c r="AQ39" s="115">
        <f t="shared" si="12"/>
        <v>0</v>
      </c>
      <c r="AR39" s="90">
        <f t="shared" si="19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ht="15.75" x14ac:dyDescent="0.25">
      <c r="A40" t="str">
        <f t="shared" si="13"/>
        <v>46222M</v>
      </c>
      <c r="B40" s="51">
        <f t="shared" si="17"/>
        <v>46222</v>
      </c>
      <c r="C40" s="99" t="s">
        <v>87</v>
      </c>
      <c r="D40" s="91"/>
      <c r="E40" s="62"/>
      <c r="F40" s="62"/>
      <c r="G40" s="62">
        <f t="shared" si="0"/>
        <v>0</v>
      </c>
      <c r="H40" s="72">
        <f t="shared" si="1"/>
        <v>0</v>
      </c>
      <c r="I40" s="120"/>
      <c r="J40" s="120"/>
      <c r="K40" s="120"/>
      <c r="L40" s="120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104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141"/>
      <c r="AI40" s="138"/>
      <c r="AJ40" s="138"/>
      <c r="AK40" s="62">
        <f t="shared" si="9"/>
        <v>0</v>
      </c>
      <c r="AL40" s="72">
        <f t="shared" si="10"/>
        <v>0</v>
      </c>
      <c r="AM40" s="81">
        <f t="shared" si="14"/>
        <v>0</v>
      </c>
      <c r="AN40" s="80">
        <f t="shared" si="18"/>
        <v>0</v>
      </c>
      <c r="AO40" s="80">
        <f t="shared" si="18"/>
        <v>0</v>
      </c>
      <c r="AP40" s="114" t="e">
        <f t="shared" si="15"/>
        <v>#DIV/0!</v>
      </c>
      <c r="AQ40" s="115">
        <f t="shared" si="12"/>
        <v>0</v>
      </c>
      <c r="AR40" s="90">
        <f t="shared" si="19"/>
        <v>0</v>
      </c>
    </row>
    <row r="41" spans="1:49" ht="15.75" x14ac:dyDescent="0.25">
      <c r="A41" t="str">
        <f t="shared" si="13"/>
        <v>46222E</v>
      </c>
      <c r="B41" s="51">
        <f t="shared" si="17"/>
        <v>46222</v>
      </c>
      <c r="C41" s="99" t="s">
        <v>88</v>
      </c>
      <c r="D41" s="91"/>
      <c r="E41" s="62"/>
      <c r="F41" s="62"/>
      <c r="G41" s="62">
        <f t="shared" si="0"/>
        <v>0</v>
      </c>
      <c r="H41" s="72">
        <f t="shared" si="1"/>
        <v>0</v>
      </c>
      <c r="I41" s="120"/>
      <c r="J41" s="120"/>
      <c r="K41" s="120"/>
      <c r="L41" s="120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138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141"/>
      <c r="AI41" s="138"/>
      <c r="AJ41" s="138"/>
      <c r="AK41" s="62">
        <f t="shared" si="9"/>
        <v>0</v>
      </c>
      <c r="AL41" s="72">
        <f t="shared" si="10"/>
        <v>0</v>
      </c>
      <c r="AM41" s="81">
        <f t="shared" si="14"/>
        <v>0</v>
      </c>
      <c r="AN41" s="80">
        <f t="shared" si="18"/>
        <v>0</v>
      </c>
      <c r="AO41" s="80">
        <f t="shared" si="18"/>
        <v>0</v>
      </c>
      <c r="AP41" s="114" t="e">
        <f t="shared" si="15"/>
        <v>#DIV/0!</v>
      </c>
      <c r="AQ41" s="115">
        <f t="shared" si="12"/>
        <v>0</v>
      </c>
      <c r="AR41" s="90">
        <f t="shared" si="19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ht="15.75" x14ac:dyDescent="0.25">
      <c r="A42" t="str">
        <f t="shared" si="13"/>
        <v>46223M</v>
      </c>
      <c r="B42" s="51">
        <f t="shared" si="17"/>
        <v>46223</v>
      </c>
      <c r="C42" s="99" t="s">
        <v>87</v>
      </c>
      <c r="D42" s="91"/>
      <c r="E42" s="62"/>
      <c r="F42" s="62"/>
      <c r="G42" s="62">
        <f t="shared" si="0"/>
        <v>0</v>
      </c>
      <c r="H42" s="72">
        <f t="shared" si="1"/>
        <v>0</v>
      </c>
      <c r="I42" s="120"/>
      <c r="J42" s="120"/>
      <c r="K42" s="120"/>
      <c r="L42" s="120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141"/>
      <c r="AI42" s="138"/>
      <c r="AJ42" s="138"/>
      <c r="AK42" s="62">
        <f t="shared" si="9"/>
        <v>0</v>
      </c>
      <c r="AL42" s="72">
        <f t="shared" si="10"/>
        <v>0</v>
      </c>
      <c r="AM42" s="81">
        <f t="shared" si="14"/>
        <v>0</v>
      </c>
      <c r="AN42" s="80">
        <f t="shared" si="18"/>
        <v>0</v>
      </c>
      <c r="AO42" s="80">
        <f t="shared" si="18"/>
        <v>0</v>
      </c>
      <c r="AP42" s="114" t="e">
        <f t="shared" si="15"/>
        <v>#DIV/0!</v>
      </c>
      <c r="AQ42" s="115">
        <f t="shared" si="12"/>
        <v>0</v>
      </c>
      <c r="AR42" s="90">
        <f t="shared" si="19"/>
        <v>0</v>
      </c>
    </row>
    <row r="43" spans="1:49" ht="15.75" x14ac:dyDescent="0.25">
      <c r="A43" t="str">
        <f t="shared" si="13"/>
        <v>46223E</v>
      </c>
      <c r="B43" s="51">
        <f t="shared" si="17"/>
        <v>46223</v>
      </c>
      <c r="C43" s="99" t="s">
        <v>88</v>
      </c>
      <c r="D43" s="91"/>
      <c r="E43" s="62"/>
      <c r="F43" s="62"/>
      <c r="G43" s="62">
        <f t="shared" si="0"/>
        <v>0</v>
      </c>
      <c r="H43" s="72">
        <f t="shared" si="1"/>
        <v>0</v>
      </c>
      <c r="I43" s="120"/>
      <c r="J43" s="120"/>
      <c r="K43" s="120"/>
      <c r="L43" s="120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138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141"/>
      <c r="AI43" s="138"/>
      <c r="AJ43" s="138"/>
      <c r="AK43" s="62">
        <f t="shared" si="9"/>
        <v>0</v>
      </c>
      <c r="AL43" s="72">
        <f t="shared" si="10"/>
        <v>0</v>
      </c>
      <c r="AM43" s="81">
        <f t="shared" si="14"/>
        <v>0</v>
      </c>
      <c r="AN43" s="80">
        <f t="shared" si="18"/>
        <v>0</v>
      </c>
      <c r="AO43" s="80">
        <f t="shared" si="18"/>
        <v>0</v>
      </c>
      <c r="AP43" s="114" t="e">
        <f t="shared" si="15"/>
        <v>#DIV/0!</v>
      </c>
      <c r="AQ43" s="115">
        <f t="shared" si="12"/>
        <v>0</v>
      </c>
      <c r="AR43" s="90">
        <f t="shared" si="19"/>
        <v>0</v>
      </c>
    </row>
    <row r="44" spans="1:49" ht="15.75" x14ac:dyDescent="0.25">
      <c r="A44" t="str">
        <f t="shared" si="13"/>
        <v>46224M</v>
      </c>
      <c r="B44" s="51">
        <f t="shared" si="17"/>
        <v>46224</v>
      </c>
      <c r="C44" s="99" t="s">
        <v>87</v>
      </c>
      <c r="D44" s="91"/>
      <c r="E44" s="62"/>
      <c r="F44" s="62"/>
      <c r="G44" s="62">
        <f t="shared" si="0"/>
        <v>0</v>
      </c>
      <c r="H44" s="72">
        <f t="shared" si="1"/>
        <v>0</v>
      </c>
      <c r="I44" s="120"/>
      <c r="J44" s="120"/>
      <c r="K44" s="120"/>
      <c r="L44" s="120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138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141"/>
      <c r="AI44" s="138"/>
      <c r="AJ44" s="138"/>
      <c r="AK44" s="62">
        <f t="shared" si="9"/>
        <v>0</v>
      </c>
      <c r="AL44" s="72">
        <f t="shared" si="10"/>
        <v>0</v>
      </c>
      <c r="AM44" s="81">
        <f t="shared" si="14"/>
        <v>0</v>
      </c>
      <c r="AN44" s="80">
        <f t="shared" si="18"/>
        <v>0</v>
      </c>
      <c r="AO44" s="80">
        <f t="shared" si="18"/>
        <v>0</v>
      </c>
      <c r="AP44" s="114" t="e">
        <f t="shared" si="15"/>
        <v>#DIV/0!</v>
      </c>
      <c r="AQ44" s="115">
        <f t="shared" si="12"/>
        <v>0</v>
      </c>
      <c r="AR44" s="90">
        <f t="shared" si="19"/>
        <v>0</v>
      </c>
    </row>
    <row r="45" spans="1:49" ht="15.75" x14ac:dyDescent="0.25">
      <c r="A45" t="str">
        <f t="shared" si="13"/>
        <v>46224E</v>
      </c>
      <c r="B45" s="51">
        <f t="shared" si="17"/>
        <v>46224</v>
      </c>
      <c r="C45" s="99" t="s">
        <v>88</v>
      </c>
      <c r="D45" s="91"/>
      <c r="E45" s="62"/>
      <c r="F45" s="62"/>
      <c r="G45" s="62">
        <f t="shared" si="0"/>
        <v>0</v>
      </c>
      <c r="H45" s="72">
        <f t="shared" si="1"/>
        <v>0</v>
      </c>
      <c r="I45" s="120"/>
      <c r="J45" s="120"/>
      <c r="K45" s="120"/>
      <c r="L45" s="120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138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141"/>
      <c r="AI45" s="138"/>
      <c r="AJ45" s="138"/>
      <c r="AK45" s="62">
        <f t="shared" si="9"/>
        <v>0</v>
      </c>
      <c r="AL45" s="72">
        <f t="shared" si="10"/>
        <v>0</v>
      </c>
      <c r="AM45" s="81">
        <f t="shared" si="14"/>
        <v>0</v>
      </c>
      <c r="AN45" s="80">
        <f t="shared" si="18"/>
        <v>0</v>
      </c>
      <c r="AO45" s="80">
        <f t="shared" si="18"/>
        <v>0</v>
      </c>
      <c r="AP45" s="114" t="e">
        <f t="shared" si="15"/>
        <v>#DIV/0!</v>
      </c>
      <c r="AQ45" s="115">
        <f t="shared" si="12"/>
        <v>0</v>
      </c>
      <c r="AR45" s="90">
        <f t="shared" si="19"/>
        <v>0</v>
      </c>
    </row>
    <row r="46" spans="1:49" ht="15.75" x14ac:dyDescent="0.25">
      <c r="A46" t="str">
        <f t="shared" si="13"/>
        <v>46225M</v>
      </c>
      <c r="B46" s="51">
        <f t="shared" si="17"/>
        <v>46225</v>
      </c>
      <c r="C46" s="99" t="s">
        <v>87</v>
      </c>
      <c r="D46" s="91"/>
      <c r="E46" s="62"/>
      <c r="F46" s="62"/>
      <c r="G46" s="62">
        <f t="shared" si="0"/>
        <v>0</v>
      </c>
      <c r="H46" s="72">
        <f t="shared" si="1"/>
        <v>0</v>
      </c>
      <c r="I46" s="120"/>
      <c r="J46" s="120"/>
      <c r="K46" s="120"/>
      <c r="L46" s="120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138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141"/>
      <c r="AI46" s="138"/>
      <c r="AJ46" s="138"/>
      <c r="AK46" s="62">
        <f t="shared" si="9"/>
        <v>0</v>
      </c>
      <c r="AL46" s="72">
        <f t="shared" si="10"/>
        <v>0</v>
      </c>
      <c r="AM46" s="81">
        <f t="shared" si="14"/>
        <v>0</v>
      </c>
      <c r="AN46" s="80">
        <f t="shared" si="18"/>
        <v>0</v>
      </c>
      <c r="AO46" s="80">
        <f t="shared" si="18"/>
        <v>0</v>
      </c>
      <c r="AP46" s="114" t="e">
        <f t="shared" si="15"/>
        <v>#DIV/0!</v>
      </c>
      <c r="AQ46" s="115">
        <f t="shared" si="12"/>
        <v>0</v>
      </c>
      <c r="AR46" s="90">
        <f t="shared" si="19"/>
        <v>0</v>
      </c>
    </row>
    <row r="47" spans="1:49" ht="15.75" x14ac:dyDescent="0.25">
      <c r="A47" t="str">
        <f t="shared" si="13"/>
        <v>46225E</v>
      </c>
      <c r="B47" s="51">
        <f t="shared" si="17"/>
        <v>46225</v>
      </c>
      <c r="C47" s="99" t="s">
        <v>88</v>
      </c>
      <c r="D47" s="91"/>
      <c r="E47" s="62"/>
      <c r="F47" s="62"/>
      <c r="G47" s="62">
        <f t="shared" si="0"/>
        <v>0</v>
      </c>
      <c r="H47" s="72">
        <f t="shared" si="1"/>
        <v>0</v>
      </c>
      <c r="I47" s="120"/>
      <c r="J47" s="120"/>
      <c r="K47" s="120"/>
      <c r="L47" s="120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141"/>
      <c r="AI47" s="138"/>
      <c r="AJ47" s="138"/>
      <c r="AK47" s="62">
        <f t="shared" si="9"/>
        <v>0</v>
      </c>
      <c r="AL47" s="72">
        <f t="shared" si="10"/>
        <v>0</v>
      </c>
      <c r="AM47" s="81">
        <f t="shared" si="14"/>
        <v>0</v>
      </c>
      <c r="AN47" s="80">
        <f t="shared" si="18"/>
        <v>0</v>
      </c>
      <c r="AO47" s="80">
        <f t="shared" si="18"/>
        <v>0</v>
      </c>
      <c r="AP47" s="114" t="e">
        <f t="shared" si="15"/>
        <v>#DIV/0!</v>
      </c>
      <c r="AQ47" s="115">
        <f t="shared" si="12"/>
        <v>0</v>
      </c>
      <c r="AR47" s="90">
        <f t="shared" si="19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46226M</v>
      </c>
      <c r="B48" s="51">
        <f t="shared" si="17"/>
        <v>46226</v>
      </c>
      <c r="C48" s="99" t="s">
        <v>87</v>
      </c>
      <c r="D48" s="105"/>
      <c r="E48" s="106"/>
      <c r="F48" s="106"/>
      <c r="G48" s="62">
        <f t="shared" si="0"/>
        <v>0</v>
      </c>
      <c r="H48" s="72">
        <f t="shared" si="1"/>
        <v>0</v>
      </c>
      <c r="I48" s="120"/>
      <c r="J48" s="120"/>
      <c r="K48" s="120"/>
      <c r="L48" s="120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102"/>
      <c r="V48" s="85"/>
      <c r="W48" s="104"/>
      <c r="X48" s="112"/>
      <c r="Y48" s="113"/>
      <c r="Z48" s="113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141"/>
      <c r="AI48" s="138"/>
      <c r="AJ48" s="138"/>
      <c r="AK48" s="62">
        <f t="shared" si="9"/>
        <v>0</v>
      </c>
      <c r="AL48" s="72">
        <f t="shared" si="10"/>
        <v>0</v>
      </c>
      <c r="AM48" s="81">
        <f t="shared" si="14"/>
        <v>0</v>
      </c>
      <c r="AN48" s="80">
        <f t="shared" si="18"/>
        <v>0</v>
      </c>
      <c r="AO48" s="80">
        <f t="shared" si="18"/>
        <v>0</v>
      </c>
      <c r="AP48" s="114" t="e">
        <f t="shared" si="15"/>
        <v>#DIV/0!</v>
      </c>
      <c r="AQ48" s="115">
        <f t="shared" si="12"/>
        <v>0</v>
      </c>
      <c r="AR48" s="90">
        <f t="shared" si="19"/>
        <v>0</v>
      </c>
    </row>
    <row r="49" spans="1:49" ht="15.75" x14ac:dyDescent="0.25">
      <c r="A49" t="str">
        <f t="shared" si="13"/>
        <v>46226E</v>
      </c>
      <c r="B49" s="51">
        <f t="shared" si="17"/>
        <v>46226</v>
      </c>
      <c r="C49" s="99" t="s">
        <v>88</v>
      </c>
      <c r="D49" s="105"/>
      <c r="E49" s="106"/>
      <c r="F49" s="106"/>
      <c r="G49" s="62">
        <f t="shared" si="0"/>
        <v>0</v>
      </c>
      <c r="H49" s="72">
        <f t="shared" si="1"/>
        <v>0</v>
      </c>
      <c r="I49" s="120"/>
      <c r="J49" s="120"/>
      <c r="K49" s="120"/>
      <c r="L49" s="120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102"/>
      <c r="V49" s="103"/>
      <c r="W49" s="104"/>
      <c r="X49" s="112"/>
      <c r="Y49" s="113"/>
      <c r="Z49" s="113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141"/>
      <c r="AI49" s="138"/>
      <c r="AJ49" s="138"/>
      <c r="AK49" s="62">
        <f t="shared" si="9"/>
        <v>0</v>
      </c>
      <c r="AL49" s="72">
        <f t="shared" si="10"/>
        <v>0</v>
      </c>
      <c r="AM49" s="81">
        <f t="shared" si="14"/>
        <v>0</v>
      </c>
      <c r="AN49" s="80">
        <f t="shared" si="18"/>
        <v>0</v>
      </c>
      <c r="AO49" s="80">
        <f t="shared" si="18"/>
        <v>0</v>
      </c>
      <c r="AP49" s="114" t="e">
        <f t="shared" si="15"/>
        <v>#DIV/0!</v>
      </c>
      <c r="AQ49" s="115">
        <f t="shared" si="12"/>
        <v>0</v>
      </c>
      <c r="AR49" s="90">
        <f t="shared" si="19"/>
        <v>0</v>
      </c>
    </row>
    <row r="50" spans="1:49" ht="15.75" x14ac:dyDescent="0.25">
      <c r="A50" t="str">
        <f t="shared" si="13"/>
        <v>46227M</v>
      </c>
      <c r="B50" s="51">
        <f t="shared" si="17"/>
        <v>46227</v>
      </c>
      <c r="C50" s="99" t="s">
        <v>87</v>
      </c>
      <c r="D50" s="91"/>
      <c r="E50" s="62"/>
      <c r="F50" s="62"/>
      <c r="G50" s="62">
        <f t="shared" si="0"/>
        <v>0</v>
      </c>
      <c r="H50" s="72">
        <f t="shared" si="1"/>
        <v>0</v>
      </c>
      <c r="I50" s="120"/>
      <c r="J50" s="120"/>
      <c r="K50" s="120"/>
      <c r="L50" s="120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141"/>
      <c r="AI50" s="138"/>
      <c r="AJ50" s="138"/>
      <c r="AK50" s="62">
        <f t="shared" si="9"/>
        <v>0</v>
      </c>
      <c r="AL50" s="72">
        <f t="shared" si="10"/>
        <v>0</v>
      </c>
      <c r="AM50" s="81">
        <f t="shared" si="14"/>
        <v>0</v>
      </c>
      <c r="AN50" s="80">
        <f t="shared" si="18"/>
        <v>0</v>
      </c>
      <c r="AO50" s="80">
        <f t="shared" si="18"/>
        <v>0</v>
      </c>
      <c r="AP50" s="114" t="e">
        <f t="shared" si="15"/>
        <v>#DIV/0!</v>
      </c>
      <c r="AQ50" s="115">
        <f t="shared" si="12"/>
        <v>0</v>
      </c>
      <c r="AR50" s="90">
        <f t="shared" si="19"/>
        <v>0</v>
      </c>
    </row>
    <row r="51" spans="1:49" ht="15.75" x14ac:dyDescent="0.25">
      <c r="A51" t="str">
        <f t="shared" si="13"/>
        <v>46227E</v>
      </c>
      <c r="B51" s="51">
        <f t="shared" si="17"/>
        <v>46227</v>
      </c>
      <c r="C51" s="99" t="s">
        <v>88</v>
      </c>
      <c r="D51" s="91"/>
      <c r="E51" s="62"/>
      <c r="F51" s="62"/>
      <c r="G51" s="62">
        <f t="shared" si="0"/>
        <v>0</v>
      </c>
      <c r="H51" s="72">
        <f t="shared" si="1"/>
        <v>0</v>
      </c>
      <c r="I51" s="120"/>
      <c r="J51" s="120"/>
      <c r="K51" s="120"/>
      <c r="L51" s="120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141"/>
      <c r="AI51" s="138"/>
      <c r="AJ51" s="138"/>
      <c r="AK51" s="62">
        <f t="shared" si="9"/>
        <v>0</v>
      </c>
      <c r="AL51" s="72">
        <f t="shared" si="10"/>
        <v>0</v>
      </c>
      <c r="AM51" s="81">
        <f t="shared" si="14"/>
        <v>0</v>
      </c>
      <c r="AN51" s="80">
        <f t="shared" si="18"/>
        <v>0</v>
      </c>
      <c r="AO51" s="80">
        <f t="shared" si="18"/>
        <v>0</v>
      </c>
      <c r="AP51" s="114" t="e">
        <f t="shared" si="15"/>
        <v>#DIV/0!</v>
      </c>
      <c r="AQ51" s="115">
        <f t="shared" si="12"/>
        <v>0</v>
      </c>
      <c r="AR51" s="90">
        <f t="shared" si="19"/>
        <v>0</v>
      </c>
    </row>
    <row r="52" spans="1:49" ht="15.75" x14ac:dyDescent="0.25">
      <c r="A52" t="str">
        <f t="shared" si="13"/>
        <v>46228M</v>
      </c>
      <c r="B52" s="51">
        <f t="shared" si="17"/>
        <v>46228</v>
      </c>
      <c r="C52" s="99" t="s">
        <v>87</v>
      </c>
      <c r="D52" s="91"/>
      <c r="E52" s="62"/>
      <c r="F52" s="62"/>
      <c r="G52" s="62">
        <f t="shared" si="0"/>
        <v>0</v>
      </c>
      <c r="H52" s="72">
        <f t="shared" si="1"/>
        <v>0</v>
      </c>
      <c r="I52" s="120"/>
      <c r="J52" s="120"/>
      <c r="K52" s="120"/>
      <c r="L52" s="120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141"/>
      <c r="AI52" s="138"/>
      <c r="AJ52" s="138"/>
      <c r="AK52" s="62">
        <f t="shared" si="9"/>
        <v>0</v>
      </c>
      <c r="AL52" s="72">
        <f t="shared" si="10"/>
        <v>0</v>
      </c>
      <c r="AM52" s="81">
        <f t="shared" si="14"/>
        <v>0</v>
      </c>
      <c r="AN52" s="80">
        <f t="shared" si="18"/>
        <v>0</v>
      </c>
      <c r="AO52" s="80">
        <f t="shared" si="18"/>
        <v>0</v>
      </c>
      <c r="AP52" s="114" t="e">
        <f t="shared" si="15"/>
        <v>#DIV/0!</v>
      </c>
      <c r="AQ52" s="115">
        <f t="shared" si="12"/>
        <v>0</v>
      </c>
      <c r="AR52" s="90">
        <f t="shared" si="19"/>
        <v>0</v>
      </c>
    </row>
    <row r="53" spans="1:49" ht="15.75" x14ac:dyDescent="0.25">
      <c r="A53" t="str">
        <f t="shared" si="13"/>
        <v>46228E</v>
      </c>
      <c r="B53" s="51">
        <f t="shared" si="17"/>
        <v>46228</v>
      </c>
      <c r="C53" s="99" t="s">
        <v>88</v>
      </c>
      <c r="D53" s="91"/>
      <c r="E53" s="62"/>
      <c r="F53" s="62"/>
      <c r="G53" s="62">
        <f t="shared" si="0"/>
        <v>0</v>
      </c>
      <c r="H53" s="72">
        <f t="shared" si="1"/>
        <v>0</v>
      </c>
      <c r="I53" s="120"/>
      <c r="J53" s="120"/>
      <c r="K53" s="120"/>
      <c r="L53" s="120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141"/>
      <c r="AI53" s="138"/>
      <c r="AJ53" s="138"/>
      <c r="AK53" s="62">
        <f t="shared" si="9"/>
        <v>0</v>
      </c>
      <c r="AL53" s="72">
        <f t="shared" si="10"/>
        <v>0</v>
      </c>
      <c r="AM53" s="81">
        <f t="shared" si="14"/>
        <v>0</v>
      </c>
      <c r="AN53" s="80">
        <f t="shared" si="18"/>
        <v>0</v>
      </c>
      <c r="AO53" s="80">
        <f t="shared" si="18"/>
        <v>0</v>
      </c>
      <c r="AP53" s="114" t="e">
        <f t="shared" si="15"/>
        <v>#DIV/0!</v>
      </c>
      <c r="AQ53" s="115">
        <f t="shared" si="12"/>
        <v>0</v>
      </c>
      <c r="AR53" s="90">
        <f t="shared" si="1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ht="15.75" x14ac:dyDescent="0.25">
      <c r="A54" t="str">
        <f t="shared" si="13"/>
        <v>46229M</v>
      </c>
      <c r="B54" s="51">
        <f t="shared" si="17"/>
        <v>46229</v>
      </c>
      <c r="C54" s="99" t="s">
        <v>87</v>
      </c>
      <c r="D54" s="91"/>
      <c r="E54" s="62"/>
      <c r="F54" s="62"/>
      <c r="G54" s="62">
        <f t="shared" si="0"/>
        <v>0</v>
      </c>
      <c r="H54" s="72">
        <f t="shared" si="1"/>
        <v>0</v>
      </c>
      <c r="I54" s="120"/>
      <c r="J54" s="120"/>
      <c r="K54" s="120"/>
      <c r="L54" s="120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104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141"/>
      <c r="AI54" s="138"/>
      <c r="AJ54" s="138"/>
      <c r="AK54" s="62">
        <f t="shared" si="9"/>
        <v>0</v>
      </c>
      <c r="AL54" s="72">
        <f t="shared" si="10"/>
        <v>0</v>
      </c>
      <c r="AM54" s="81">
        <f t="shared" si="14"/>
        <v>0</v>
      </c>
      <c r="AN54" s="80">
        <f t="shared" si="18"/>
        <v>0</v>
      </c>
      <c r="AO54" s="80">
        <f t="shared" si="18"/>
        <v>0</v>
      </c>
      <c r="AP54" s="114" t="e">
        <f t="shared" si="15"/>
        <v>#DIV/0!</v>
      </c>
      <c r="AQ54" s="115">
        <f t="shared" si="12"/>
        <v>0</v>
      </c>
      <c r="AR54" s="90">
        <f t="shared" si="19"/>
        <v>0</v>
      </c>
    </row>
    <row r="55" spans="1:49" ht="15.75" x14ac:dyDescent="0.25">
      <c r="A55" t="str">
        <f t="shared" si="13"/>
        <v>46229E</v>
      </c>
      <c r="B55" s="51">
        <f t="shared" si="17"/>
        <v>46229</v>
      </c>
      <c r="C55" s="99" t="s">
        <v>88</v>
      </c>
      <c r="D55" s="91"/>
      <c r="E55" s="62"/>
      <c r="F55" s="62"/>
      <c r="G55" s="62">
        <f t="shared" si="0"/>
        <v>0</v>
      </c>
      <c r="H55" s="72">
        <f t="shared" si="1"/>
        <v>0</v>
      </c>
      <c r="I55" s="120"/>
      <c r="J55" s="120"/>
      <c r="K55" s="120"/>
      <c r="L55" s="120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104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141"/>
      <c r="AI55" s="138"/>
      <c r="AJ55" s="138"/>
      <c r="AK55" s="62">
        <f t="shared" si="9"/>
        <v>0</v>
      </c>
      <c r="AL55" s="72">
        <f t="shared" si="10"/>
        <v>0</v>
      </c>
      <c r="AM55" s="81">
        <f t="shared" si="14"/>
        <v>0</v>
      </c>
      <c r="AN55" s="80">
        <f t="shared" si="18"/>
        <v>0</v>
      </c>
      <c r="AO55" s="80">
        <f t="shared" si="18"/>
        <v>0</v>
      </c>
      <c r="AP55" s="114" t="e">
        <f t="shared" si="15"/>
        <v>#DIV/0!</v>
      </c>
      <c r="AQ55" s="115">
        <f t="shared" si="12"/>
        <v>0</v>
      </c>
      <c r="AR55" s="90">
        <f t="shared" si="19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46230M</v>
      </c>
      <c r="B56" s="51">
        <f t="shared" si="17"/>
        <v>46230</v>
      </c>
      <c r="C56" s="99" t="s">
        <v>87</v>
      </c>
      <c r="D56" s="91"/>
      <c r="E56" s="62"/>
      <c r="F56" s="62"/>
      <c r="G56" s="62">
        <f t="shared" si="0"/>
        <v>0</v>
      </c>
      <c r="H56" s="72">
        <f t="shared" si="1"/>
        <v>0</v>
      </c>
      <c r="I56" s="120"/>
      <c r="J56" s="120"/>
      <c r="K56" s="120"/>
      <c r="L56" s="120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141"/>
      <c r="AI56" s="138"/>
      <c r="AJ56" s="138"/>
      <c r="AK56" s="62">
        <f t="shared" si="9"/>
        <v>0</v>
      </c>
      <c r="AL56" s="72">
        <f t="shared" si="10"/>
        <v>0</v>
      </c>
      <c r="AM56" s="81">
        <f t="shared" si="14"/>
        <v>0</v>
      </c>
      <c r="AN56" s="80">
        <f t="shared" si="18"/>
        <v>0</v>
      </c>
      <c r="AO56" s="80">
        <f t="shared" si="18"/>
        <v>0</v>
      </c>
      <c r="AP56" s="114" t="e">
        <f t="shared" si="15"/>
        <v>#DIV/0!</v>
      </c>
      <c r="AQ56" s="115">
        <f t="shared" si="12"/>
        <v>0</v>
      </c>
      <c r="AR56" s="90">
        <f t="shared" si="19"/>
        <v>0</v>
      </c>
    </row>
    <row r="57" spans="1:49" ht="15.75" x14ac:dyDescent="0.25">
      <c r="A57" t="str">
        <f t="shared" si="13"/>
        <v>46230E</v>
      </c>
      <c r="B57" s="51">
        <f t="shared" si="17"/>
        <v>46230</v>
      </c>
      <c r="C57" s="99" t="s">
        <v>88</v>
      </c>
      <c r="D57" s="91"/>
      <c r="E57" s="62"/>
      <c r="F57" s="62"/>
      <c r="G57" s="62">
        <f t="shared" si="0"/>
        <v>0</v>
      </c>
      <c r="H57" s="72">
        <f t="shared" si="1"/>
        <v>0</v>
      </c>
      <c r="I57" s="120"/>
      <c r="J57" s="120"/>
      <c r="K57" s="120"/>
      <c r="L57" s="120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104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141"/>
      <c r="AI57" s="138"/>
      <c r="AJ57" s="138"/>
      <c r="AK57" s="62">
        <f t="shared" si="9"/>
        <v>0</v>
      </c>
      <c r="AL57" s="72">
        <f t="shared" si="10"/>
        <v>0</v>
      </c>
      <c r="AM57" s="81">
        <f t="shared" si="14"/>
        <v>0</v>
      </c>
      <c r="AN57" s="80">
        <f t="shared" si="18"/>
        <v>0</v>
      </c>
      <c r="AO57" s="80">
        <f t="shared" si="18"/>
        <v>0</v>
      </c>
      <c r="AP57" s="114" t="e">
        <f t="shared" si="15"/>
        <v>#DIV/0!</v>
      </c>
      <c r="AQ57" s="115">
        <f t="shared" si="12"/>
        <v>0</v>
      </c>
      <c r="AR57" s="90">
        <f t="shared" si="19"/>
        <v>0</v>
      </c>
    </row>
    <row r="58" spans="1:49" ht="15.75" x14ac:dyDescent="0.25">
      <c r="A58" t="str">
        <f t="shared" si="13"/>
        <v>46231M</v>
      </c>
      <c r="B58" s="51">
        <f t="shared" si="17"/>
        <v>46231</v>
      </c>
      <c r="C58" s="99" t="s">
        <v>87</v>
      </c>
      <c r="D58" s="91"/>
      <c r="E58" s="62"/>
      <c r="F58" s="62"/>
      <c r="G58" s="62">
        <f t="shared" si="0"/>
        <v>0</v>
      </c>
      <c r="H58" s="72">
        <f t="shared" si="1"/>
        <v>0</v>
      </c>
      <c r="I58" s="120"/>
      <c r="J58" s="120"/>
      <c r="K58" s="120"/>
      <c r="L58" s="120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141"/>
      <c r="AI58" s="138"/>
      <c r="AJ58" s="138"/>
      <c r="AK58" s="62">
        <f t="shared" si="9"/>
        <v>0</v>
      </c>
      <c r="AL58" s="72">
        <f t="shared" si="10"/>
        <v>0</v>
      </c>
      <c r="AM58" s="81">
        <f t="shared" si="14"/>
        <v>0</v>
      </c>
      <c r="AN58" s="80">
        <f t="shared" si="18"/>
        <v>0</v>
      </c>
      <c r="AO58" s="80">
        <f t="shared" si="18"/>
        <v>0</v>
      </c>
      <c r="AP58" s="114" t="e">
        <f t="shared" si="15"/>
        <v>#DIV/0!</v>
      </c>
      <c r="AQ58" s="115">
        <f t="shared" si="12"/>
        <v>0</v>
      </c>
      <c r="AR58" s="90">
        <f t="shared" si="19"/>
        <v>0</v>
      </c>
    </row>
    <row r="59" spans="1:49" ht="15.75" x14ac:dyDescent="0.25">
      <c r="A59" t="str">
        <f t="shared" si="13"/>
        <v>46231E</v>
      </c>
      <c r="B59" s="51">
        <f t="shared" si="17"/>
        <v>46231</v>
      </c>
      <c r="C59" s="99" t="s">
        <v>88</v>
      </c>
      <c r="D59" s="91"/>
      <c r="E59" s="62"/>
      <c r="F59" s="62"/>
      <c r="G59" s="62">
        <f t="shared" si="0"/>
        <v>0</v>
      </c>
      <c r="H59" s="72">
        <f t="shared" si="1"/>
        <v>0</v>
      </c>
      <c r="I59" s="120"/>
      <c r="J59" s="120"/>
      <c r="K59" s="120"/>
      <c r="L59" s="120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141"/>
      <c r="AI59" s="138"/>
      <c r="AJ59" s="138"/>
      <c r="AK59" s="62">
        <f t="shared" si="9"/>
        <v>0</v>
      </c>
      <c r="AL59" s="72">
        <f t="shared" si="10"/>
        <v>0</v>
      </c>
      <c r="AM59" s="81">
        <f t="shared" si="14"/>
        <v>0</v>
      </c>
      <c r="AN59" s="80">
        <f t="shared" si="18"/>
        <v>0</v>
      </c>
      <c r="AO59" s="80">
        <f t="shared" si="18"/>
        <v>0</v>
      </c>
      <c r="AP59" s="114" t="e">
        <f t="shared" si="15"/>
        <v>#DIV/0!</v>
      </c>
      <c r="AQ59" s="115">
        <f t="shared" si="12"/>
        <v>0</v>
      </c>
      <c r="AR59" s="90">
        <f t="shared" si="19"/>
        <v>0</v>
      </c>
    </row>
    <row r="60" spans="1:49" ht="15.75" x14ac:dyDescent="0.25">
      <c r="A60" t="str">
        <f t="shared" si="13"/>
        <v>46232M</v>
      </c>
      <c r="B60" s="51">
        <f t="shared" si="17"/>
        <v>46232</v>
      </c>
      <c r="C60" s="99" t="s">
        <v>87</v>
      </c>
      <c r="D60" s="91"/>
      <c r="E60" s="62"/>
      <c r="F60" s="62"/>
      <c r="G60" s="62">
        <f t="shared" si="0"/>
        <v>0</v>
      </c>
      <c r="H60" s="72">
        <f t="shared" si="1"/>
        <v>0</v>
      </c>
      <c r="I60" s="120"/>
      <c r="J60" s="120"/>
      <c r="K60" s="120"/>
      <c r="L60" s="120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141"/>
      <c r="AI60" s="138"/>
      <c r="AJ60" s="138"/>
      <c r="AK60" s="62">
        <f t="shared" si="9"/>
        <v>0</v>
      </c>
      <c r="AL60" s="72">
        <f t="shared" si="10"/>
        <v>0</v>
      </c>
      <c r="AM60" s="81">
        <f t="shared" si="14"/>
        <v>0</v>
      </c>
      <c r="AN60" s="80">
        <f t="shared" si="18"/>
        <v>0</v>
      </c>
      <c r="AO60" s="80">
        <f t="shared" si="18"/>
        <v>0</v>
      </c>
      <c r="AP60" s="114" t="e">
        <f t="shared" si="15"/>
        <v>#DIV/0!</v>
      </c>
      <c r="AQ60" s="115">
        <f t="shared" si="12"/>
        <v>0</v>
      </c>
      <c r="AR60" s="90">
        <f t="shared" si="19"/>
        <v>0</v>
      </c>
    </row>
    <row r="61" spans="1:49" ht="15.75" x14ac:dyDescent="0.25">
      <c r="A61" t="str">
        <f t="shared" si="13"/>
        <v>46232E</v>
      </c>
      <c r="B61" s="51">
        <f t="shared" si="17"/>
        <v>46232</v>
      </c>
      <c r="C61" s="99" t="s">
        <v>88</v>
      </c>
      <c r="D61" s="91"/>
      <c r="E61" s="62"/>
      <c r="F61" s="62"/>
      <c r="G61" s="62">
        <f t="shared" si="0"/>
        <v>0</v>
      </c>
      <c r="H61" s="72">
        <f t="shared" si="1"/>
        <v>0</v>
      </c>
      <c r="I61" s="120"/>
      <c r="J61" s="120"/>
      <c r="K61" s="120"/>
      <c r="L61" s="120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104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141"/>
      <c r="AI61" s="138"/>
      <c r="AJ61" s="138"/>
      <c r="AK61" s="62">
        <f t="shared" si="9"/>
        <v>0</v>
      </c>
      <c r="AL61" s="72">
        <f t="shared" si="10"/>
        <v>0</v>
      </c>
      <c r="AM61" s="81">
        <f t="shared" si="14"/>
        <v>0</v>
      </c>
      <c r="AN61" s="80">
        <f t="shared" si="18"/>
        <v>0</v>
      </c>
      <c r="AO61" s="80">
        <f t="shared" si="18"/>
        <v>0</v>
      </c>
      <c r="AP61" s="114" t="e">
        <f t="shared" si="15"/>
        <v>#DIV/0!</v>
      </c>
      <c r="AQ61" s="115">
        <f t="shared" si="12"/>
        <v>0</v>
      </c>
      <c r="AR61" s="90">
        <f t="shared" si="1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46233M</v>
      </c>
      <c r="B62" s="51">
        <f t="shared" si="17"/>
        <v>46233</v>
      </c>
      <c r="C62" s="99" t="s">
        <v>87</v>
      </c>
      <c r="D62" s="91"/>
      <c r="E62" s="62"/>
      <c r="F62" s="62"/>
      <c r="G62" s="62">
        <f t="shared" si="0"/>
        <v>0</v>
      </c>
      <c r="H62" s="72">
        <f t="shared" si="1"/>
        <v>0</v>
      </c>
      <c r="I62" s="120"/>
      <c r="J62" s="120"/>
      <c r="K62" s="120"/>
      <c r="L62" s="120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104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141"/>
      <c r="AI62" s="138"/>
      <c r="AJ62" s="138"/>
      <c r="AK62" s="62">
        <f t="shared" si="9"/>
        <v>0</v>
      </c>
      <c r="AL62" s="72">
        <f t="shared" si="10"/>
        <v>0</v>
      </c>
      <c r="AM62" s="81">
        <f t="shared" si="14"/>
        <v>0</v>
      </c>
      <c r="AN62" s="80">
        <f t="shared" si="18"/>
        <v>0</v>
      </c>
      <c r="AO62" s="80">
        <f t="shared" si="18"/>
        <v>0</v>
      </c>
      <c r="AP62" s="114" t="e">
        <f t="shared" si="15"/>
        <v>#DIV/0!</v>
      </c>
      <c r="AQ62" s="115">
        <f t="shared" si="12"/>
        <v>0</v>
      </c>
      <c r="AR62" s="90">
        <f t="shared" si="19"/>
        <v>0</v>
      </c>
    </row>
    <row r="63" spans="1:49" ht="15.75" x14ac:dyDescent="0.25">
      <c r="A63" t="str">
        <f t="shared" si="13"/>
        <v>46233E</v>
      </c>
      <c r="B63" s="51">
        <f t="shared" si="17"/>
        <v>46233</v>
      </c>
      <c r="C63" s="99" t="s">
        <v>88</v>
      </c>
      <c r="D63" s="91"/>
      <c r="E63" s="62"/>
      <c r="F63" s="62"/>
      <c r="G63" s="62">
        <f t="shared" si="0"/>
        <v>0</v>
      </c>
      <c r="H63" s="72">
        <f t="shared" si="1"/>
        <v>0</v>
      </c>
      <c r="I63" s="120"/>
      <c r="J63" s="120"/>
      <c r="K63" s="120"/>
      <c r="L63" s="120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104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141"/>
      <c r="AI63" s="138"/>
      <c r="AJ63" s="138"/>
      <c r="AK63" s="62">
        <f t="shared" si="9"/>
        <v>0</v>
      </c>
      <c r="AL63" s="72">
        <f t="shared" si="10"/>
        <v>0</v>
      </c>
      <c r="AM63" s="81">
        <f t="shared" si="14"/>
        <v>0</v>
      </c>
      <c r="AN63" s="80">
        <f t="shared" si="18"/>
        <v>0</v>
      </c>
      <c r="AO63" s="80">
        <f t="shared" si="18"/>
        <v>0</v>
      </c>
      <c r="AP63" s="114" t="e">
        <f t="shared" si="15"/>
        <v>#DIV/0!</v>
      </c>
      <c r="AQ63" s="115">
        <f t="shared" si="12"/>
        <v>0</v>
      </c>
      <c r="AR63" s="90">
        <f t="shared" si="19"/>
        <v>0</v>
      </c>
    </row>
    <row r="64" spans="1:49" ht="15.75" x14ac:dyDescent="0.25">
      <c r="A64" t="str">
        <f t="shared" si="13"/>
        <v>46234M</v>
      </c>
      <c r="B64" s="51">
        <f t="shared" si="17"/>
        <v>46234</v>
      </c>
      <c r="C64" s="99" t="s">
        <v>87</v>
      </c>
      <c r="D64" s="105"/>
      <c r="E64" s="106"/>
      <c r="F64" s="106"/>
      <c r="G64" s="62">
        <f t="shared" si="0"/>
        <v>0</v>
      </c>
      <c r="H64" s="72">
        <f t="shared" si="1"/>
        <v>0</v>
      </c>
      <c r="I64" s="120"/>
      <c r="J64" s="120"/>
      <c r="K64" s="120"/>
      <c r="L64" s="120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102"/>
      <c r="V64" s="65"/>
      <c r="W64" s="104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141"/>
      <c r="AI64" s="138"/>
      <c r="AJ64" s="138"/>
      <c r="AK64" s="62">
        <f t="shared" si="9"/>
        <v>0</v>
      </c>
      <c r="AL64" s="72">
        <f t="shared" si="10"/>
        <v>0</v>
      </c>
      <c r="AM64" s="81">
        <f t="shared" si="14"/>
        <v>0</v>
      </c>
      <c r="AN64" s="80">
        <f t="shared" si="18"/>
        <v>0</v>
      </c>
      <c r="AO64" s="80">
        <f t="shared" si="18"/>
        <v>0</v>
      </c>
      <c r="AP64" s="114" t="e">
        <f t="shared" si="15"/>
        <v>#DIV/0!</v>
      </c>
      <c r="AQ64" s="115">
        <f t="shared" si="12"/>
        <v>0</v>
      </c>
    </row>
    <row r="65" spans="1:43" ht="15.75" x14ac:dyDescent="0.25">
      <c r="A65" t="str">
        <f t="shared" si="13"/>
        <v>46234E</v>
      </c>
      <c r="B65" s="51">
        <f t="shared" si="17"/>
        <v>46234</v>
      </c>
      <c r="C65" s="99" t="s">
        <v>88</v>
      </c>
      <c r="D65" s="105"/>
      <c r="E65" s="106"/>
      <c r="F65" s="106"/>
      <c r="G65" s="62">
        <f t="shared" si="0"/>
        <v>0</v>
      </c>
      <c r="H65" s="72">
        <f t="shared" si="1"/>
        <v>0</v>
      </c>
      <c r="I65" s="120"/>
      <c r="J65" s="120"/>
      <c r="K65" s="120"/>
      <c r="L65" s="120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102"/>
      <c r="V65" s="103"/>
      <c r="W65" s="104"/>
      <c r="X65" s="112"/>
      <c r="Y65" s="113"/>
      <c r="Z65" s="113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141"/>
      <c r="AI65" s="138"/>
      <c r="AJ65" s="138"/>
      <c r="AK65" s="62">
        <f t="shared" si="9"/>
        <v>0</v>
      </c>
      <c r="AL65" s="72">
        <f t="shared" si="10"/>
        <v>0</v>
      </c>
      <c r="AM65" s="81">
        <f t="shared" si="14"/>
        <v>0</v>
      </c>
      <c r="AN65" s="80">
        <f t="shared" si="18"/>
        <v>0</v>
      </c>
      <c r="AO65" s="80">
        <f t="shared" si="18"/>
        <v>0</v>
      </c>
      <c r="AP65" s="114" t="e">
        <f t="shared" si="15"/>
        <v>#DIV/0!</v>
      </c>
      <c r="AQ65" s="115">
        <f t="shared" si="12"/>
        <v>0</v>
      </c>
    </row>
    <row r="66" spans="1:43" x14ac:dyDescent="0.25">
      <c r="J66" s="83">
        <f>SUM(J4:J65)</f>
        <v>54711.025000000016</v>
      </c>
      <c r="AM66" s="97">
        <f t="shared" ref="AM66:AO66" si="20">-SUM(AM4:AM65)</f>
        <v>423.97500000000127</v>
      </c>
      <c r="AN66" s="97">
        <f>-SUM(AN4:AN65)</f>
        <v>-19.207066000000466</v>
      </c>
      <c r="AO66" s="97">
        <f t="shared" si="20"/>
        <v>22.597648999999592</v>
      </c>
      <c r="AP66" s="97"/>
      <c r="AQ66" s="97">
        <f>-SUM(AQ4:AQ65)</f>
        <v>-2461.8256346655307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9" priority="2" operator="lessThan">
      <formula>0.1</formula>
    </cfRule>
    <cfRule type="cellIs" dxfId="38" priority="3" operator="greaterThan">
      <formula>0.1</formula>
    </cfRule>
  </conditionalFormatting>
  <conditionalFormatting sqref="AP1:AQ1">
    <cfRule type="cellIs" dxfId="37" priority="1" operator="lessThan">
      <formula>1</formula>
    </cfRule>
  </conditionalFormatting>
  <conditionalFormatting sqref="AQ4:AQ65">
    <cfRule type="cellIs" dxfId="36" priority="4" operator="lessThan">
      <formula>0</formula>
    </cfRule>
    <cfRule type="cellIs" dxfId="35" priority="5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6" sqref="AC16:AE16"/>
    </sheetView>
  </sheetViews>
  <sheetFormatPr defaultRowHeight="15" x14ac:dyDescent="0.25"/>
  <cols>
    <col min="1" max="1" width="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140625" customWidth="1"/>
    <col min="23" max="23" width="9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5.5703125" bestFit="1" customWidth="1"/>
    <col min="45" max="45" width="6.5703125" bestFit="1" customWidth="1"/>
    <col min="46" max="46" width="8.140625" bestFit="1" customWidth="1"/>
    <col min="47" max="47" width="6" bestFit="1" customWidth="1"/>
    <col min="48" max="48" width="7.140625" bestFit="1" customWidth="1"/>
    <col min="49" max="49" width="10" bestFit="1" customWidth="1"/>
  </cols>
  <sheetData>
    <row r="1" spans="1:44" ht="15.75" thickBot="1" x14ac:dyDescent="0.3">
      <c r="B1" s="43" t="s">
        <v>156</v>
      </c>
      <c r="C1" s="44"/>
      <c r="L1">
        <v>2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6042</v>
      </c>
      <c r="E4" s="108">
        <v>5.3</v>
      </c>
      <c r="F4" s="108">
        <v>8.6</v>
      </c>
      <c r="G4" s="55">
        <f t="shared" ref="G4:G65" si="0">+D4*E4%</f>
        <v>320.226</v>
      </c>
      <c r="H4" s="142">
        <f>D4*F4%</f>
        <v>519.61199999999997</v>
      </c>
      <c r="I4" s="143">
        <v>1117</v>
      </c>
      <c r="J4" s="144">
        <v>1150.51</v>
      </c>
      <c r="K4" s="145">
        <v>5.8491674127126227</v>
      </c>
      <c r="L4" s="146">
        <v>8.5935183527305288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1150.51</v>
      </c>
      <c r="S4" s="62">
        <f>+J4*K4%+O4*P4%</f>
        <v>67.295255999999995</v>
      </c>
      <c r="T4" s="63">
        <f>+J4*L4%+O4*Q4%</f>
        <v>98.869287999999997</v>
      </c>
      <c r="U4" s="64" t="s">
        <v>202</v>
      </c>
      <c r="V4" s="65" t="s">
        <v>244</v>
      </c>
      <c r="W4" s="66" t="s">
        <v>203</v>
      </c>
      <c r="X4" s="67">
        <v>3412</v>
      </c>
      <c r="Y4" s="68">
        <v>5.3</v>
      </c>
      <c r="Z4" s="68">
        <v>8.6</v>
      </c>
      <c r="AA4" s="62">
        <f>X4*Y4%</f>
        <v>180.83599999999998</v>
      </c>
      <c r="AB4" s="63">
        <f t="shared" ref="AB4" si="1">X4*Z4%</f>
        <v>293.43199999999996</v>
      </c>
      <c r="AC4" s="69">
        <v>3410</v>
      </c>
      <c r="AD4" s="70">
        <v>5.3</v>
      </c>
      <c r="AE4" s="70">
        <v>8.6</v>
      </c>
      <c r="AF4" s="62">
        <f t="shared" ref="AF4" si="2">AC4*AD4%</f>
        <v>180.73</v>
      </c>
      <c r="AG4" s="63">
        <f t="shared" ref="AG4" si="3">AC4*AE4%</f>
        <v>293.26</v>
      </c>
      <c r="AH4" s="89">
        <v>3800</v>
      </c>
      <c r="AI4" s="66">
        <v>5.4</v>
      </c>
      <c r="AJ4" s="66">
        <v>8.6</v>
      </c>
      <c r="AK4" s="62">
        <f t="shared" ref="AK4:AK65" si="4">AH4*AI4%</f>
        <v>205.20000000000002</v>
      </c>
      <c r="AL4" s="72">
        <f t="shared" ref="AL4:AL65" si="5">AH4*AJ4%</f>
        <v>326.79999999999995</v>
      </c>
      <c r="AM4" s="73">
        <f t="shared" ref="AM4:AM65" si="6">+D4+R4-AC4-AH4</f>
        <v>-17.489999999999782</v>
      </c>
      <c r="AN4" s="74">
        <f t="shared" ref="AN4:AO19" si="7">+G4+S4-AF4-AK4</f>
        <v>1.5912559999999871</v>
      </c>
      <c r="AO4" s="74">
        <f t="shared" si="7"/>
        <v>-1.5787119999999959</v>
      </c>
      <c r="AP4" s="75">
        <f>(AN4+AO4)/(S4+T4)</f>
        <v>7.5491435766171817E-5</v>
      </c>
      <c r="AQ4" s="76">
        <f t="shared" ref="AQ4:AQ65" si="8">($AP$1*AN4+$AQ$1*AO4)</f>
        <v>291.84010819609415</v>
      </c>
      <c r="AR4" s="90">
        <f t="shared" ref="AR4:AR65" si="9">(D4+J4+O4)-(X4+AH4)</f>
        <v>-19.489999999999782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3800</v>
      </c>
      <c r="E5" s="62">
        <v>5.4</v>
      </c>
      <c r="F5" s="62">
        <v>8.6</v>
      </c>
      <c r="G5" s="62">
        <f t="shared" si="0"/>
        <v>205.20000000000002</v>
      </c>
      <c r="H5" s="72">
        <f t="shared" ref="H5:H65" si="11">+D5*F5%</f>
        <v>326.79999999999995</v>
      </c>
      <c r="I5" s="143">
        <v>1075.4000000000001</v>
      </c>
      <c r="J5" s="144">
        <v>1107.662</v>
      </c>
      <c r="K5" s="145">
        <v>5.1794867026222784</v>
      </c>
      <c r="L5" s="146">
        <v>8.5242235447275405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1107.662</v>
      </c>
      <c r="S5" s="62">
        <f t="shared" ref="S5:S65" si="13">+J5*K5%+O5*P5%</f>
        <v>57.371205999999979</v>
      </c>
      <c r="T5" s="63">
        <f t="shared" ref="T5:T65" si="14">+J5*L5%+O5*Q5%</f>
        <v>94.419584999999984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5">X5*Y5%</f>
        <v>0</v>
      </c>
      <c r="AB5" s="63">
        <f t="shared" ref="AB5:AB65" si="16">X5*Z5%</f>
        <v>0</v>
      </c>
      <c r="AC5" s="69"/>
      <c r="AD5" s="70"/>
      <c r="AE5" s="70"/>
      <c r="AF5" s="62">
        <f t="shared" ref="AF5:AF65" si="17">AC5*AD5%</f>
        <v>0</v>
      </c>
      <c r="AG5" s="63">
        <f t="shared" ref="AG5:AG65" si="18">AC5*AE5%</f>
        <v>0</v>
      </c>
      <c r="AH5" s="89">
        <v>4925</v>
      </c>
      <c r="AI5" s="66">
        <v>5.3</v>
      </c>
      <c r="AJ5" s="66">
        <v>8.6</v>
      </c>
      <c r="AK5" s="62">
        <f t="shared" si="4"/>
        <v>261.02499999999998</v>
      </c>
      <c r="AL5" s="72">
        <f t="shared" si="5"/>
        <v>423.54999999999995</v>
      </c>
      <c r="AM5" s="73">
        <f t="shared" si="6"/>
        <v>-17.337999999999738</v>
      </c>
      <c r="AN5" s="74">
        <f t="shared" si="7"/>
        <v>1.5462060000000406</v>
      </c>
      <c r="AO5" s="74">
        <f t="shared" si="7"/>
        <v>-2.3304150000000163</v>
      </c>
      <c r="AP5" s="75">
        <f t="shared" ref="AP5:AP65" si="19">(AN5+AO5)/(S5+T5)</f>
        <v>-5.1663806139594856E-3</v>
      </c>
      <c r="AQ5" s="76">
        <f t="shared" si="8"/>
        <v>45.063760523896462</v>
      </c>
      <c r="AR5" s="90">
        <f t="shared" si="9"/>
        <v>-17.337999999999738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4925</v>
      </c>
      <c r="E6" s="62">
        <v>5.3</v>
      </c>
      <c r="F6" s="62">
        <v>8.6</v>
      </c>
      <c r="G6" s="62">
        <f t="shared" si="0"/>
        <v>261.02499999999998</v>
      </c>
      <c r="H6" s="72">
        <f t="shared" si="11"/>
        <v>423.54999999999995</v>
      </c>
      <c r="I6" s="143">
        <v>1191.7</v>
      </c>
      <c r="J6" s="144">
        <v>1227.451</v>
      </c>
      <c r="K6" s="145">
        <v>5.9250566417722563</v>
      </c>
      <c r="L6" s="146">
        <v>8.6309641688344367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1227.451</v>
      </c>
      <c r="S6" s="62">
        <f t="shared" si="13"/>
        <v>72.72716699999998</v>
      </c>
      <c r="T6" s="63">
        <f t="shared" si="14"/>
        <v>105.940856</v>
      </c>
      <c r="U6" s="64" t="s">
        <v>205</v>
      </c>
      <c r="V6" s="65" t="s">
        <v>245</v>
      </c>
      <c r="W6" s="66" t="s">
        <v>203</v>
      </c>
      <c r="X6" s="67">
        <v>3728</v>
      </c>
      <c r="Y6" s="68">
        <v>5.3</v>
      </c>
      <c r="Z6" s="68">
        <v>8.5</v>
      </c>
      <c r="AA6" s="62">
        <f t="shared" si="15"/>
        <v>197.584</v>
      </c>
      <c r="AB6" s="63">
        <f t="shared" si="16"/>
        <v>316.88</v>
      </c>
      <c r="AC6" s="69">
        <v>3730</v>
      </c>
      <c r="AD6" s="70">
        <v>5.3</v>
      </c>
      <c r="AE6" s="70">
        <v>8.5</v>
      </c>
      <c r="AF6" s="62">
        <f t="shared" si="17"/>
        <v>197.69</v>
      </c>
      <c r="AG6" s="63">
        <f t="shared" si="18"/>
        <v>317.05</v>
      </c>
      <c r="AH6" s="89">
        <v>2438</v>
      </c>
      <c r="AI6" s="66">
        <v>5.6</v>
      </c>
      <c r="AJ6" s="66">
        <v>8.6999999999999993</v>
      </c>
      <c r="AK6" s="62">
        <f t="shared" si="4"/>
        <v>136.52799999999999</v>
      </c>
      <c r="AL6" s="72">
        <f t="shared" si="5"/>
        <v>212.10599999999999</v>
      </c>
      <c r="AM6" s="73">
        <f t="shared" si="6"/>
        <v>-15.548999999999978</v>
      </c>
      <c r="AN6" s="74">
        <f t="shared" si="7"/>
        <v>-0.46583300000000349</v>
      </c>
      <c r="AO6" s="74">
        <f t="shared" si="7"/>
        <v>0.33485599999988835</v>
      </c>
      <c r="AP6" s="75">
        <f t="shared" si="19"/>
        <v>-7.3307465880514705E-4</v>
      </c>
      <c r="AQ6" s="76">
        <f t="shared" si="8"/>
        <v>-123.56152675837029</v>
      </c>
      <c r="AR6" s="90">
        <f t="shared" si="9"/>
        <v>-13.548999999999978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2438</v>
      </c>
      <c r="E7" s="62">
        <v>5.6</v>
      </c>
      <c r="F7" s="62">
        <v>8.6999999999999993</v>
      </c>
      <c r="G7" s="62">
        <f t="shared" si="0"/>
        <v>136.52799999999999</v>
      </c>
      <c r="H7" s="72">
        <f t="shared" si="11"/>
        <v>212.10599999999999</v>
      </c>
      <c r="I7" s="143">
        <v>1128.7</v>
      </c>
      <c r="J7" s="144">
        <v>1162.5610000000001</v>
      </c>
      <c r="K7" s="145">
        <v>5.238557632674758</v>
      </c>
      <c r="L7" s="146">
        <v>8.4748737485602916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1162.5610000000001</v>
      </c>
      <c r="S7" s="62">
        <f t="shared" si="13"/>
        <v>60.901428000000003</v>
      </c>
      <c r="T7" s="63">
        <f t="shared" si="14"/>
        <v>98.525577000000013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3600</v>
      </c>
      <c r="AI7" s="66">
        <v>5.5</v>
      </c>
      <c r="AJ7" s="66">
        <v>8.6</v>
      </c>
      <c r="AK7" s="62">
        <f t="shared" si="4"/>
        <v>198</v>
      </c>
      <c r="AL7" s="72">
        <f t="shared" si="5"/>
        <v>309.59999999999997</v>
      </c>
      <c r="AM7" s="73">
        <f t="shared" si="6"/>
        <v>0.56100000000014916</v>
      </c>
      <c r="AN7" s="74">
        <f t="shared" si="7"/>
        <v>-0.57057199999999852</v>
      </c>
      <c r="AO7" s="74">
        <f t="shared" si="7"/>
        <v>1.0315770000000271</v>
      </c>
      <c r="AP7" s="75">
        <f t="shared" si="19"/>
        <v>2.8916368340484631E-3</v>
      </c>
      <c r="AQ7" s="76">
        <f t="shared" si="8"/>
        <v>34.76971179520217</v>
      </c>
      <c r="AR7" s="90">
        <f t="shared" si="9"/>
        <v>0.56100000000014916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3600</v>
      </c>
      <c r="E8" s="62">
        <v>5.5</v>
      </c>
      <c r="F8" s="62">
        <v>8.6</v>
      </c>
      <c r="G8" s="62">
        <f t="shared" si="0"/>
        <v>198</v>
      </c>
      <c r="H8" s="72">
        <f t="shared" si="11"/>
        <v>309.59999999999997</v>
      </c>
      <c r="I8" s="143">
        <v>1299.0999999999999</v>
      </c>
      <c r="J8" s="144">
        <v>1338.0729999999999</v>
      </c>
      <c r="K8" s="145">
        <v>5.7176583788776849</v>
      </c>
      <c r="L8" s="146">
        <v>8.5554229851435633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1338.0729999999999</v>
      </c>
      <c r="S8" s="62">
        <f t="shared" si="13"/>
        <v>76.506443000000004</v>
      </c>
      <c r="T8" s="63">
        <f t="shared" si="14"/>
        <v>114.47780500000002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89">
        <v>4960</v>
      </c>
      <c r="AI8" s="66">
        <v>5.5</v>
      </c>
      <c r="AJ8" s="66">
        <v>8.6</v>
      </c>
      <c r="AK8" s="62">
        <f t="shared" si="4"/>
        <v>272.8</v>
      </c>
      <c r="AL8" s="72">
        <f t="shared" si="5"/>
        <v>426.55999999999995</v>
      </c>
      <c r="AM8" s="73">
        <f t="shared" si="6"/>
        <v>-21.92699999999968</v>
      </c>
      <c r="AN8" s="74">
        <f t="shared" si="7"/>
        <v>1.7064429999999788</v>
      </c>
      <c r="AO8" s="74">
        <f t="shared" si="7"/>
        <v>-2.4821949999999333</v>
      </c>
      <c r="AP8" s="75">
        <f t="shared" si="19"/>
        <v>-4.0618637826086807E-3</v>
      </c>
      <c r="AQ8" s="76">
        <f t="shared" si="8"/>
        <v>76.606095388623771</v>
      </c>
      <c r="AR8" s="90">
        <f t="shared" si="9"/>
        <v>-21.92699999999968</v>
      </c>
    </row>
    <row r="9" spans="1:44" x14ac:dyDescent="0.25">
      <c r="A9" t="str">
        <f t="shared" si="10"/>
        <v>46206E</v>
      </c>
      <c r="B9" s="51">
        <f t="shared" ref="B9:B65" si="20">+B7+1</f>
        <v>46206</v>
      </c>
      <c r="C9" s="52" t="s">
        <v>88</v>
      </c>
      <c r="D9" s="91">
        <v>4960</v>
      </c>
      <c r="E9" s="62">
        <v>5.5</v>
      </c>
      <c r="F9" s="62">
        <v>8.6</v>
      </c>
      <c r="G9" s="62">
        <f t="shared" si="0"/>
        <v>272.8</v>
      </c>
      <c r="H9" s="72">
        <f t="shared" si="11"/>
        <v>426.55999999999995</v>
      </c>
      <c r="I9" s="143">
        <v>1185.5999999999999</v>
      </c>
      <c r="J9" s="144">
        <v>1221.1679999999999</v>
      </c>
      <c r="K9" s="145">
        <v>5.1400556680161946</v>
      </c>
      <c r="L9" s="146">
        <v>8.5003626855600523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1221.1679999999999</v>
      </c>
      <c r="S9" s="62">
        <f t="shared" si="13"/>
        <v>62.768715</v>
      </c>
      <c r="T9" s="63">
        <f t="shared" si="14"/>
        <v>103.80370899999997</v>
      </c>
      <c r="U9" s="64" t="s">
        <v>206</v>
      </c>
      <c r="V9" s="65" t="s">
        <v>283</v>
      </c>
      <c r="W9" s="66" t="s">
        <v>203</v>
      </c>
      <c r="X9" s="67">
        <v>3783</v>
      </c>
      <c r="Y9" s="68">
        <v>5.7</v>
      </c>
      <c r="Z9" s="68">
        <v>9</v>
      </c>
      <c r="AA9" s="62">
        <f t="shared" si="15"/>
        <v>215.631</v>
      </c>
      <c r="AB9" s="63">
        <f t="shared" si="16"/>
        <v>340.46999999999997</v>
      </c>
      <c r="AC9" s="69">
        <v>3780</v>
      </c>
      <c r="AD9" s="70">
        <v>5.7</v>
      </c>
      <c r="AE9" s="70">
        <v>8.8000000000000007</v>
      </c>
      <c r="AF9" s="62">
        <f t="shared" si="17"/>
        <v>215.46</v>
      </c>
      <c r="AG9" s="63">
        <f t="shared" si="18"/>
        <v>332.64000000000004</v>
      </c>
      <c r="AH9" s="89">
        <v>2390</v>
      </c>
      <c r="AI9" s="66">
        <v>4.9000000000000004</v>
      </c>
      <c r="AJ9" s="66">
        <v>8.5</v>
      </c>
      <c r="AK9" s="62">
        <f t="shared" si="4"/>
        <v>117.11</v>
      </c>
      <c r="AL9" s="72">
        <f t="shared" si="5"/>
        <v>203.15</v>
      </c>
      <c r="AM9" s="73">
        <f t="shared" si="6"/>
        <v>11.167999999999665</v>
      </c>
      <c r="AN9" s="74">
        <f t="shared" si="7"/>
        <v>2.99871499999999</v>
      </c>
      <c r="AO9" s="74">
        <f t="shared" si="7"/>
        <v>-5.4262910000000772</v>
      </c>
      <c r="AP9" s="75">
        <f t="shared" si="19"/>
        <v>-1.4573696784289384E-2</v>
      </c>
      <c r="AQ9" s="76">
        <f t="shared" si="8"/>
        <v>-184.14569192970316</v>
      </c>
      <c r="AR9" s="90">
        <f t="shared" si="9"/>
        <v>8.1679999999996653</v>
      </c>
    </row>
    <row r="10" spans="1:44" x14ac:dyDescent="0.25">
      <c r="A10" t="str">
        <f t="shared" si="10"/>
        <v>46207M</v>
      </c>
      <c r="B10" s="51">
        <f t="shared" si="20"/>
        <v>46207</v>
      </c>
      <c r="C10" s="52" t="s">
        <v>87</v>
      </c>
      <c r="D10" s="91">
        <v>2390</v>
      </c>
      <c r="E10" s="62">
        <v>4.9000000000000004</v>
      </c>
      <c r="F10" s="62">
        <v>8.5</v>
      </c>
      <c r="G10" s="62">
        <f t="shared" si="0"/>
        <v>117.11</v>
      </c>
      <c r="H10" s="72">
        <f t="shared" si="11"/>
        <v>203.15</v>
      </c>
      <c r="I10" s="143">
        <v>1196.5000000000002</v>
      </c>
      <c r="J10" s="144">
        <v>1232.3950000000002</v>
      </c>
      <c r="K10" s="145">
        <v>5.7900292519849561</v>
      </c>
      <c r="L10" s="146">
        <v>8.5724529878813183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1232.3950000000002</v>
      </c>
      <c r="S10" s="62">
        <f t="shared" si="13"/>
        <v>71.356031000000002</v>
      </c>
      <c r="T10" s="63">
        <f t="shared" si="14"/>
        <v>105.64648199999999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5"/>
        <v>0</v>
      </c>
      <c r="AB10" s="63">
        <f t="shared" si="16"/>
        <v>0</v>
      </c>
      <c r="AC10" s="69"/>
      <c r="AD10" s="70"/>
      <c r="AE10" s="70"/>
      <c r="AF10" s="62">
        <f t="shared" si="17"/>
        <v>0</v>
      </c>
      <c r="AG10" s="63">
        <f t="shared" si="18"/>
        <v>0</v>
      </c>
      <c r="AH10" s="89">
        <v>3630</v>
      </c>
      <c r="AI10" s="66">
        <v>5.2</v>
      </c>
      <c r="AJ10" s="66">
        <v>8.5</v>
      </c>
      <c r="AK10" s="62">
        <f t="shared" si="4"/>
        <v>188.76000000000002</v>
      </c>
      <c r="AL10" s="72">
        <f t="shared" si="5"/>
        <v>308.55</v>
      </c>
      <c r="AM10" s="73">
        <f t="shared" si="6"/>
        <v>-7.6049999999995634</v>
      </c>
      <c r="AN10" s="74">
        <f t="shared" si="7"/>
        <v>-0.29396900000003257</v>
      </c>
      <c r="AO10" s="74">
        <f t="shared" si="7"/>
        <v>0.24648199999995768</v>
      </c>
      <c r="AP10" s="75">
        <f t="shared" si="19"/>
        <v>-2.6828432656249849E-4</v>
      </c>
      <c r="AQ10" s="76">
        <f t="shared" si="8"/>
        <v>-67.442507448955553</v>
      </c>
      <c r="AR10" s="90">
        <f t="shared" si="9"/>
        <v>-7.6049999999995634</v>
      </c>
    </row>
    <row r="11" spans="1:44" x14ac:dyDescent="0.25">
      <c r="A11" t="str">
        <f t="shared" si="10"/>
        <v>46207E</v>
      </c>
      <c r="B11" s="51">
        <f t="shared" si="20"/>
        <v>46207</v>
      </c>
      <c r="C11" s="52" t="s">
        <v>88</v>
      </c>
      <c r="D11" s="91">
        <v>3630</v>
      </c>
      <c r="E11" s="62">
        <v>5.2</v>
      </c>
      <c r="F11" s="62">
        <v>8.5</v>
      </c>
      <c r="G11" s="62">
        <f t="shared" si="0"/>
        <v>188.76000000000002</v>
      </c>
      <c r="H11" s="72">
        <f t="shared" si="11"/>
        <v>308.55</v>
      </c>
      <c r="I11" s="143">
        <v>1290.6000000000001</v>
      </c>
      <c r="J11" s="144">
        <v>1329.3180000000002</v>
      </c>
      <c r="K11" s="145">
        <v>5.0381450488145054</v>
      </c>
      <c r="L11" s="146">
        <v>8.4677126917712702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1329.3180000000002</v>
      </c>
      <c r="S11" s="62">
        <f t="shared" si="13"/>
        <v>66.97296900000002</v>
      </c>
      <c r="T11" s="63">
        <f t="shared" si="14"/>
        <v>112.56282900000004</v>
      </c>
      <c r="U11" s="64" t="s">
        <v>202</v>
      </c>
      <c r="V11" s="65" t="s">
        <v>284</v>
      </c>
      <c r="W11" s="66" t="s">
        <v>203</v>
      </c>
      <c r="X11" s="67">
        <v>3855</v>
      </c>
      <c r="Y11" s="68">
        <v>5.5</v>
      </c>
      <c r="Z11" s="68">
        <v>9</v>
      </c>
      <c r="AA11" s="62">
        <f t="shared" si="15"/>
        <v>212.02500000000001</v>
      </c>
      <c r="AB11" s="63">
        <f t="shared" si="16"/>
        <v>346.95</v>
      </c>
      <c r="AC11" s="69">
        <v>3855</v>
      </c>
      <c r="AD11" s="70">
        <v>5.5</v>
      </c>
      <c r="AE11" s="70">
        <v>8.5</v>
      </c>
      <c r="AF11" s="62">
        <f t="shared" si="17"/>
        <v>212.02500000000001</v>
      </c>
      <c r="AG11" s="63">
        <f t="shared" si="18"/>
        <v>327.67500000000001</v>
      </c>
      <c r="AH11" s="89">
        <v>1115</v>
      </c>
      <c r="AI11" s="66">
        <v>4.2</v>
      </c>
      <c r="AJ11" s="66">
        <v>8.5</v>
      </c>
      <c r="AK11" s="62">
        <f t="shared" si="4"/>
        <v>46.830000000000005</v>
      </c>
      <c r="AL11" s="72">
        <f t="shared" si="5"/>
        <v>94.775000000000006</v>
      </c>
      <c r="AM11" s="73">
        <f t="shared" si="6"/>
        <v>-10.681999999999789</v>
      </c>
      <c r="AN11" s="74">
        <f t="shared" si="7"/>
        <v>-3.1220309999999856</v>
      </c>
      <c r="AO11" s="74">
        <f t="shared" si="7"/>
        <v>-1.3371709999999837</v>
      </c>
      <c r="AP11" s="75">
        <f t="shared" si="19"/>
        <v>-2.4837397609138473E-2</v>
      </c>
      <c r="AQ11" s="76">
        <f t="shared" si="8"/>
        <v>-1900.7083167701992</v>
      </c>
      <c r="AR11" s="90">
        <f t="shared" si="9"/>
        <v>-10.681999999999789</v>
      </c>
    </row>
    <row r="12" spans="1:44" x14ac:dyDescent="0.25">
      <c r="A12" t="str">
        <f t="shared" si="10"/>
        <v>46208M</v>
      </c>
      <c r="B12" s="51">
        <f t="shared" si="20"/>
        <v>46208</v>
      </c>
      <c r="C12" s="52" t="s">
        <v>87</v>
      </c>
      <c r="D12" s="91">
        <v>1115</v>
      </c>
      <c r="E12" s="62">
        <v>4.2</v>
      </c>
      <c r="F12" s="62">
        <v>8.5</v>
      </c>
      <c r="G12" s="62">
        <f t="shared" si="0"/>
        <v>46.830000000000005</v>
      </c>
      <c r="H12" s="72">
        <f t="shared" si="11"/>
        <v>94.775000000000006</v>
      </c>
      <c r="I12" s="143">
        <v>1179.1999999999998</v>
      </c>
      <c r="J12" s="144">
        <v>1214.5759999999998</v>
      </c>
      <c r="K12" s="145">
        <v>5.734294436906378</v>
      </c>
      <c r="L12" s="146">
        <v>8.5147557666214375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1214.5759999999998</v>
      </c>
      <c r="S12" s="62">
        <f t="shared" si="13"/>
        <v>69.647363999999996</v>
      </c>
      <c r="T12" s="63">
        <f t="shared" si="14"/>
        <v>103.41817999999998</v>
      </c>
      <c r="U12" s="64" t="s">
        <v>180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2330</v>
      </c>
      <c r="AI12" s="66">
        <v>5</v>
      </c>
      <c r="AJ12" s="66">
        <v>8.5</v>
      </c>
      <c r="AK12" s="62">
        <f t="shared" si="4"/>
        <v>116.5</v>
      </c>
      <c r="AL12" s="72">
        <f t="shared" si="5"/>
        <v>198.05</v>
      </c>
      <c r="AM12" s="73">
        <f t="shared" si="6"/>
        <v>-0.42399999999997817</v>
      </c>
      <c r="AN12" s="74">
        <f t="shared" si="7"/>
        <v>-2.2636000000005652E-2</v>
      </c>
      <c r="AO12" s="74">
        <f t="shared" si="7"/>
        <v>0.14317999999997255</v>
      </c>
      <c r="AP12" s="75">
        <f t="shared" si="19"/>
        <v>6.9652223784051961E-4</v>
      </c>
      <c r="AQ12" s="76">
        <f t="shared" si="8"/>
        <v>32.003800617567137</v>
      </c>
      <c r="AR12" s="90">
        <f t="shared" si="9"/>
        <v>-0.42399999999997817</v>
      </c>
    </row>
    <row r="13" spans="1:44" x14ac:dyDescent="0.25">
      <c r="A13" t="str">
        <f t="shared" si="10"/>
        <v>46208E</v>
      </c>
      <c r="B13" s="51">
        <f t="shared" si="20"/>
        <v>46208</v>
      </c>
      <c r="C13" s="52" t="s">
        <v>88</v>
      </c>
      <c r="D13" s="91">
        <v>2330</v>
      </c>
      <c r="E13" s="62">
        <v>5</v>
      </c>
      <c r="F13" s="62">
        <v>8.5</v>
      </c>
      <c r="G13" s="62">
        <f t="shared" si="0"/>
        <v>116.5</v>
      </c>
      <c r="H13" s="72">
        <f t="shared" si="11"/>
        <v>198.05</v>
      </c>
      <c r="I13" s="143">
        <v>1266.7</v>
      </c>
      <c r="J13" s="144">
        <v>1304.701</v>
      </c>
      <c r="K13" s="145">
        <v>5.0134285939843704</v>
      </c>
      <c r="L13" s="146">
        <v>8.4416594300150027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1304.701</v>
      </c>
      <c r="S13" s="62">
        <f t="shared" si="13"/>
        <v>65.410253000000026</v>
      </c>
      <c r="T13" s="63">
        <f t="shared" si="14"/>
        <v>110.13841500000004</v>
      </c>
      <c r="U13" s="64" t="s">
        <v>202</v>
      </c>
      <c r="V13" s="65" t="s">
        <v>285</v>
      </c>
      <c r="W13" s="66" t="s">
        <v>203</v>
      </c>
      <c r="X13" s="67">
        <v>2550</v>
      </c>
      <c r="Y13" s="68">
        <v>5.3</v>
      </c>
      <c r="Z13" s="68">
        <v>8.5</v>
      </c>
      <c r="AA13" s="62">
        <f t="shared" si="15"/>
        <v>135.15</v>
      </c>
      <c r="AB13" s="63">
        <f t="shared" si="16"/>
        <v>216.75000000000003</v>
      </c>
      <c r="AC13" s="69">
        <v>2550</v>
      </c>
      <c r="AD13" s="70">
        <v>5.3</v>
      </c>
      <c r="AE13" s="70">
        <v>8.5</v>
      </c>
      <c r="AF13" s="62">
        <f t="shared" si="17"/>
        <v>135.15</v>
      </c>
      <c r="AG13" s="63">
        <f t="shared" si="18"/>
        <v>216.75000000000003</v>
      </c>
      <c r="AH13" s="89">
        <v>1090</v>
      </c>
      <c r="AI13" s="66">
        <v>4.3</v>
      </c>
      <c r="AJ13" s="66">
        <v>8.4</v>
      </c>
      <c r="AK13" s="62">
        <f t="shared" si="4"/>
        <v>46.87</v>
      </c>
      <c r="AL13" s="72">
        <f t="shared" si="5"/>
        <v>91.56</v>
      </c>
      <c r="AM13" s="73">
        <f t="shared" si="6"/>
        <v>-5.2989999999999782</v>
      </c>
      <c r="AN13" s="74">
        <f t="shared" si="7"/>
        <v>-0.1097469999999916</v>
      </c>
      <c r="AO13" s="74">
        <f t="shared" si="7"/>
        <v>-0.12158499999995342</v>
      </c>
      <c r="AP13" s="75">
        <f t="shared" si="19"/>
        <v>-1.3177656238322749E-3</v>
      </c>
      <c r="AQ13" s="76">
        <f t="shared" si="8"/>
        <v>-89.15063046075224</v>
      </c>
      <c r="AR13" s="90">
        <f t="shared" si="9"/>
        <v>-5.2989999999999782</v>
      </c>
    </row>
    <row r="14" spans="1:44" x14ac:dyDescent="0.25">
      <c r="A14" t="str">
        <f t="shared" si="10"/>
        <v>46209M</v>
      </c>
      <c r="B14" s="51">
        <f t="shared" si="20"/>
        <v>46209</v>
      </c>
      <c r="C14" s="52" t="s">
        <v>87</v>
      </c>
      <c r="D14" s="91">
        <v>1090</v>
      </c>
      <c r="E14" s="62">
        <v>4.3</v>
      </c>
      <c r="F14" s="62">
        <v>8.4</v>
      </c>
      <c r="G14" s="62">
        <f t="shared" si="0"/>
        <v>46.87</v>
      </c>
      <c r="H14" s="72">
        <f t="shared" si="11"/>
        <v>91.56</v>
      </c>
      <c r="I14" s="143">
        <v>1297.0100000000002</v>
      </c>
      <c r="J14" s="144">
        <v>1335.9203000000002</v>
      </c>
      <c r="K14" s="145">
        <v>5.8519109336088411</v>
      </c>
      <c r="L14" s="146">
        <v>8.6661305618306752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1335.9203000000002</v>
      </c>
      <c r="S14" s="62">
        <f t="shared" si="13"/>
        <v>78.176866100000041</v>
      </c>
      <c r="T14" s="63">
        <f t="shared" si="14"/>
        <v>115.77259740000005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2415</v>
      </c>
      <c r="AI14" s="66">
        <v>5.2</v>
      </c>
      <c r="AJ14" s="66">
        <v>8.5</v>
      </c>
      <c r="AK14" s="62">
        <f t="shared" si="4"/>
        <v>125.58000000000001</v>
      </c>
      <c r="AL14" s="72">
        <f t="shared" si="5"/>
        <v>205.27500000000001</v>
      </c>
      <c r="AM14" s="73">
        <f t="shared" si="6"/>
        <v>10.920300000000225</v>
      </c>
      <c r="AN14" s="74">
        <f t="shared" si="7"/>
        <v>-0.5331338999999673</v>
      </c>
      <c r="AO14" s="74">
        <f t="shared" si="7"/>
        <v>2.0575974000000485</v>
      </c>
      <c r="AP14" s="75">
        <f t="shared" si="19"/>
        <v>7.8601068159184703E-3</v>
      </c>
      <c r="AQ14" s="76">
        <f t="shared" si="8"/>
        <v>360.04391296362098</v>
      </c>
      <c r="AR14" s="90">
        <f t="shared" si="9"/>
        <v>10.920300000000225</v>
      </c>
    </row>
    <row r="15" spans="1:44" x14ac:dyDescent="0.25">
      <c r="A15" t="str">
        <f t="shared" si="10"/>
        <v>46209E</v>
      </c>
      <c r="B15" s="51">
        <f t="shared" si="20"/>
        <v>46209</v>
      </c>
      <c r="C15" s="52" t="s">
        <v>88</v>
      </c>
      <c r="D15" s="91">
        <v>2415</v>
      </c>
      <c r="E15" s="62">
        <v>5.2</v>
      </c>
      <c r="F15" s="62">
        <v>8.5</v>
      </c>
      <c r="G15" s="62">
        <f t="shared" si="0"/>
        <v>125.58000000000001</v>
      </c>
      <c r="H15" s="72">
        <f t="shared" si="11"/>
        <v>205.27500000000001</v>
      </c>
      <c r="I15" s="143">
        <v>1182.3999999999996</v>
      </c>
      <c r="J15" s="144">
        <v>1217.8719999999996</v>
      </c>
      <c r="K15" s="145">
        <v>5.3509556833558856</v>
      </c>
      <c r="L15" s="146">
        <v>8.6236129905277412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1217.8719999999996</v>
      </c>
      <c r="S15" s="62">
        <f t="shared" si="13"/>
        <v>65.167790999999966</v>
      </c>
      <c r="T15" s="63">
        <f t="shared" si="14"/>
        <v>105.02456799999999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3640</v>
      </c>
      <c r="AI15" s="66">
        <v>5.2</v>
      </c>
      <c r="AJ15" s="66">
        <v>8.6</v>
      </c>
      <c r="AK15" s="62">
        <f t="shared" si="4"/>
        <v>189.28000000000003</v>
      </c>
      <c r="AL15" s="72">
        <f t="shared" si="5"/>
        <v>313.03999999999996</v>
      </c>
      <c r="AM15" s="73">
        <f t="shared" si="6"/>
        <v>-7.1280000000006112</v>
      </c>
      <c r="AN15" s="74">
        <f t="shared" si="7"/>
        <v>1.4677909999999486</v>
      </c>
      <c r="AO15" s="74">
        <f t="shared" si="7"/>
        <v>-2.7404319999999416</v>
      </c>
      <c r="AP15" s="75">
        <f t="shared" si="19"/>
        <v>-7.4776623784854725E-3</v>
      </c>
      <c r="AQ15" s="76">
        <f t="shared" si="8"/>
        <v>-115.41364042322243</v>
      </c>
      <c r="AR15" s="90">
        <f t="shared" si="9"/>
        <v>-7.1280000000006112</v>
      </c>
    </row>
    <row r="16" spans="1:44" x14ac:dyDescent="0.25">
      <c r="A16" t="str">
        <f t="shared" si="10"/>
        <v>46210M</v>
      </c>
      <c r="B16" s="51">
        <f t="shared" si="20"/>
        <v>46210</v>
      </c>
      <c r="C16" s="52" t="s">
        <v>87</v>
      </c>
      <c r="D16" s="91">
        <v>3640</v>
      </c>
      <c r="E16" s="62">
        <v>5.2</v>
      </c>
      <c r="F16" s="62">
        <v>8.6</v>
      </c>
      <c r="G16" s="62">
        <f t="shared" si="0"/>
        <v>189.28000000000003</v>
      </c>
      <c r="H16" s="72">
        <f t="shared" si="11"/>
        <v>313.03999999999996</v>
      </c>
      <c r="I16" s="143">
        <v>1327.3000000000002</v>
      </c>
      <c r="J16" s="144">
        <v>1367.1190000000001</v>
      </c>
      <c r="K16" s="145">
        <v>5.7280042190913871</v>
      </c>
      <c r="L16" s="146">
        <v>8.6767422587207097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1367.1190000000001</v>
      </c>
      <c r="S16" s="62">
        <f t="shared" si="13"/>
        <v>78.308633999999984</v>
      </c>
      <c r="T16" s="63">
        <f t="shared" si="14"/>
        <v>118.621392</v>
      </c>
      <c r="U16" s="64" t="s">
        <v>202</v>
      </c>
      <c r="V16" s="65" t="s">
        <v>346</v>
      </c>
      <c r="W16" s="66" t="s">
        <v>203</v>
      </c>
      <c r="X16" s="67">
        <v>2584</v>
      </c>
      <c r="Y16" s="68">
        <v>5.5</v>
      </c>
      <c r="Z16" s="68">
        <v>8.8800000000000008</v>
      </c>
      <c r="AA16" s="62">
        <f t="shared" si="15"/>
        <v>142.12</v>
      </c>
      <c r="AB16" s="63">
        <f t="shared" si="16"/>
        <v>229.45920000000001</v>
      </c>
      <c r="AC16" s="69">
        <v>2585</v>
      </c>
      <c r="AD16" s="70">
        <v>5.5</v>
      </c>
      <c r="AE16" s="70">
        <v>8.8000000000000007</v>
      </c>
      <c r="AF16" s="62">
        <f t="shared" si="17"/>
        <v>142.17500000000001</v>
      </c>
      <c r="AG16" s="63">
        <f t="shared" si="18"/>
        <v>227.48000000000002</v>
      </c>
      <c r="AH16" s="89">
        <v>2430</v>
      </c>
      <c r="AI16" s="66">
        <v>5.0999999999999996</v>
      </c>
      <c r="AJ16" s="66">
        <v>8.5</v>
      </c>
      <c r="AK16" s="62">
        <f t="shared" si="4"/>
        <v>123.92999999999999</v>
      </c>
      <c r="AL16" s="72">
        <f t="shared" si="5"/>
        <v>206.55</v>
      </c>
      <c r="AM16" s="73">
        <f t="shared" si="6"/>
        <v>-7.8809999999994034</v>
      </c>
      <c r="AN16" s="74">
        <f t="shared" si="7"/>
        <v>1.4836340000000092</v>
      </c>
      <c r="AO16" s="74">
        <f t="shared" si="7"/>
        <v>-2.3686080000000516</v>
      </c>
      <c r="AP16" s="75">
        <f t="shared" si="19"/>
        <v>-4.4938500135070433E-3</v>
      </c>
      <c r="AQ16" s="76">
        <f t="shared" si="8"/>
        <v>3.5574145425295001</v>
      </c>
      <c r="AR16" s="90">
        <f t="shared" si="9"/>
        <v>-6.8809999999994034</v>
      </c>
    </row>
    <row r="17" spans="1:49" x14ac:dyDescent="0.25">
      <c r="A17" t="str">
        <f t="shared" si="10"/>
        <v>46210E</v>
      </c>
      <c r="B17" s="51">
        <f t="shared" si="20"/>
        <v>46210</v>
      </c>
      <c r="C17" s="52" t="s">
        <v>88</v>
      </c>
      <c r="D17" s="91">
        <v>2430</v>
      </c>
      <c r="E17" s="62">
        <v>5.0999999999999996</v>
      </c>
      <c r="F17" s="62">
        <v>8.5</v>
      </c>
      <c r="G17" s="62">
        <f t="shared" si="0"/>
        <v>123.92999999999999</v>
      </c>
      <c r="H17" s="72">
        <f t="shared" si="11"/>
        <v>206.55</v>
      </c>
      <c r="I17" s="143">
        <v>1192.7</v>
      </c>
      <c r="J17" s="144">
        <v>1228.481</v>
      </c>
      <c r="K17" s="145">
        <v>5.2591934266789657</v>
      </c>
      <c r="L17" s="146">
        <v>8.6447975182359329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1228.481</v>
      </c>
      <c r="S17" s="62">
        <f t="shared" si="13"/>
        <v>64.608192000000031</v>
      </c>
      <c r="T17" s="63">
        <f t="shared" si="14"/>
        <v>106.19969499999998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5"/>
        <v>0</v>
      </c>
      <c r="AB17" s="63">
        <f t="shared" si="1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89">
        <v>3660</v>
      </c>
      <c r="AI17" s="66">
        <v>5.0999999999999996</v>
      </c>
      <c r="AJ17" s="66">
        <v>8.6</v>
      </c>
      <c r="AK17" s="62">
        <f t="shared" si="4"/>
        <v>186.66</v>
      </c>
      <c r="AL17" s="72">
        <f t="shared" si="5"/>
        <v>314.76</v>
      </c>
      <c r="AM17" s="73">
        <f t="shared" si="6"/>
        <v>-1.5190000000002328</v>
      </c>
      <c r="AN17" s="74">
        <f t="shared" si="7"/>
        <v>1.8781920000000412</v>
      </c>
      <c r="AO17" s="74">
        <f t="shared" si="7"/>
        <v>-2.0103050000000167</v>
      </c>
      <c r="AP17" s="75">
        <f t="shared" si="19"/>
        <v>-7.7345960025824512E-4</v>
      </c>
      <c r="AQ17" s="76">
        <f t="shared" si="8"/>
        <v>300.46393369875113</v>
      </c>
      <c r="AR17" s="90">
        <f t="shared" si="9"/>
        <v>-1.5190000000002328</v>
      </c>
    </row>
    <row r="18" spans="1:49" x14ac:dyDescent="0.25">
      <c r="A18" t="str">
        <f t="shared" si="10"/>
        <v>46211M</v>
      </c>
      <c r="B18" s="51">
        <f t="shared" si="20"/>
        <v>46211</v>
      </c>
      <c r="C18" s="98" t="s">
        <v>87</v>
      </c>
      <c r="D18" s="91">
        <v>3660</v>
      </c>
      <c r="E18" s="62">
        <v>5.0999999999999996</v>
      </c>
      <c r="F18" s="62">
        <v>8.6</v>
      </c>
      <c r="G18" s="62">
        <f t="shared" si="0"/>
        <v>186.66</v>
      </c>
      <c r="H18" s="72">
        <f t="shared" si="11"/>
        <v>314.76</v>
      </c>
      <c r="I18" s="143">
        <v>1237.1000000000001</v>
      </c>
      <c r="J18" s="144">
        <v>1274.2130000000002</v>
      </c>
      <c r="K18" s="145">
        <v>6.0508689677471503</v>
      </c>
      <c r="L18" s="146">
        <v>8.6845202489693651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1274.2130000000002</v>
      </c>
      <c r="S18" s="62">
        <f t="shared" si="13"/>
        <v>77.100959000000003</v>
      </c>
      <c r="T18" s="63">
        <f t="shared" si="14"/>
        <v>110.65928600000004</v>
      </c>
      <c r="U18" s="64" t="s">
        <v>202</v>
      </c>
      <c r="V18" s="65" t="s">
        <v>414</v>
      </c>
      <c r="W18" s="66" t="s">
        <v>203</v>
      </c>
      <c r="X18" s="67">
        <v>2502</v>
      </c>
      <c r="Y18" s="68">
        <v>5.6</v>
      </c>
      <c r="Z18" s="68">
        <v>8.6999999999999993</v>
      </c>
      <c r="AA18" s="62">
        <f t="shared" si="15"/>
        <v>140.11199999999999</v>
      </c>
      <c r="AB18" s="63">
        <f t="shared" si="16"/>
        <v>217.67399999999998</v>
      </c>
      <c r="AC18" s="69">
        <v>2500</v>
      </c>
      <c r="AD18" s="70">
        <v>5.6</v>
      </c>
      <c r="AE18" s="70">
        <v>8.6</v>
      </c>
      <c r="AF18" s="62">
        <f t="shared" si="17"/>
        <v>139.99999999999997</v>
      </c>
      <c r="AG18" s="63">
        <f t="shared" si="18"/>
        <v>214.99999999999997</v>
      </c>
      <c r="AH18" s="89">
        <v>2440</v>
      </c>
      <c r="AI18" s="66">
        <v>5.0999999999999996</v>
      </c>
      <c r="AJ18" s="66">
        <v>8.6</v>
      </c>
      <c r="AK18" s="62">
        <f t="shared" si="4"/>
        <v>124.44</v>
      </c>
      <c r="AL18" s="72">
        <f t="shared" si="5"/>
        <v>209.83999999999997</v>
      </c>
      <c r="AM18" s="73">
        <f t="shared" si="6"/>
        <v>-5.7870000000002619</v>
      </c>
      <c r="AN18" s="74">
        <f t="shared" si="7"/>
        <v>-0.67904099999995537</v>
      </c>
      <c r="AO18" s="74">
        <f t="shared" si="7"/>
        <v>0.57928600000010988</v>
      </c>
      <c r="AP18" s="75">
        <f t="shared" si="19"/>
        <v>-5.3128925135267836E-4</v>
      </c>
      <c r="AQ18" s="76">
        <f t="shared" si="8"/>
        <v>-152.81030095737387</v>
      </c>
      <c r="AR18" s="90">
        <f t="shared" si="9"/>
        <v>-7.7870000000002619</v>
      </c>
    </row>
    <row r="19" spans="1:49" x14ac:dyDescent="0.25">
      <c r="A19" t="str">
        <f t="shared" si="10"/>
        <v>46211E</v>
      </c>
      <c r="B19" s="51">
        <f t="shared" si="20"/>
        <v>46211</v>
      </c>
      <c r="C19" s="52" t="s">
        <v>88</v>
      </c>
      <c r="D19" s="91">
        <v>2440</v>
      </c>
      <c r="E19" s="62">
        <v>5.0999999999999996</v>
      </c>
      <c r="F19" s="62">
        <v>8.6</v>
      </c>
      <c r="G19" s="62">
        <f t="shared" si="0"/>
        <v>124.44</v>
      </c>
      <c r="H19" s="72">
        <f t="shared" si="11"/>
        <v>209.83999999999997</v>
      </c>
      <c r="I19" s="143">
        <v>1185.6000000000001</v>
      </c>
      <c r="J19" s="144">
        <v>1221.1680000000001</v>
      </c>
      <c r="K19" s="145">
        <v>5.5239372469635608</v>
      </c>
      <c r="L19" s="146">
        <v>8.6197199730094454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1221.1680000000001</v>
      </c>
      <c r="S19" s="62">
        <f t="shared" si="13"/>
        <v>67.456553999999983</v>
      </c>
      <c r="T19" s="63">
        <f t="shared" si="14"/>
        <v>105.261262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89">
        <v>3677</v>
      </c>
      <c r="AI19" s="66">
        <v>5.2</v>
      </c>
      <c r="AJ19" s="66">
        <v>8.6</v>
      </c>
      <c r="AK19" s="62">
        <f t="shared" si="4"/>
        <v>191.20400000000001</v>
      </c>
      <c r="AL19" s="72">
        <f t="shared" si="5"/>
        <v>316.22199999999998</v>
      </c>
      <c r="AM19" s="73">
        <f t="shared" si="6"/>
        <v>-15.83199999999988</v>
      </c>
      <c r="AN19" s="74">
        <f t="shared" si="7"/>
        <v>0.6925539999999728</v>
      </c>
      <c r="AO19" s="74">
        <f t="shared" si="7"/>
        <v>-1.1207380000000171</v>
      </c>
      <c r="AP19" s="75">
        <f t="shared" si="19"/>
        <v>-2.4790957291866427E-3</v>
      </c>
      <c r="AQ19" s="76">
        <f t="shared" si="8"/>
        <v>-2.8563164603314135</v>
      </c>
      <c r="AR19" s="90">
        <f t="shared" si="9"/>
        <v>-15.83199999999988</v>
      </c>
      <c r="AS19" s="90">
        <f>SUM(J6:J19)</f>
        <v>17675.016299999999</v>
      </c>
      <c r="AT19" s="83">
        <f>SUM(AM6:AM19)</f>
        <v>-76.983699999999317</v>
      </c>
      <c r="AU19" s="83">
        <f>SUM(AN6:AN19)</f>
        <v>4.4303661000000005</v>
      </c>
      <c r="AV19" s="83">
        <f>SUM(AO6:AO19)</f>
        <v>-13.214346599999971</v>
      </c>
      <c r="AW19" s="83">
        <f>-SUM(AQ6:AQ19)</f>
        <v>1828.6440622026134</v>
      </c>
    </row>
    <row r="20" spans="1:49" x14ac:dyDescent="0.25">
      <c r="A20" t="str">
        <f t="shared" si="10"/>
        <v>46212M</v>
      </c>
      <c r="B20" s="51">
        <f t="shared" si="20"/>
        <v>46212</v>
      </c>
      <c r="C20" s="52" t="s">
        <v>87</v>
      </c>
      <c r="D20" s="91">
        <v>3677</v>
      </c>
      <c r="E20" s="62">
        <v>5.2</v>
      </c>
      <c r="F20" s="62">
        <v>8.6</v>
      </c>
      <c r="G20" s="62">
        <f t="shared" si="0"/>
        <v>191.20400000000001</v>
      </c>
      <c r="H20" s="72">
        <f t="shared" si="11"/>
        <v>316.22199999999998</v>
      </c>
      <c r="I20" s="143">
        <v>1221.3</v>
      </c>
      <c r="J20" s="144">
        <v>1257.9390000000001</v>
      </c>
      <c r="K20" s="145">
        <v>5.7819700319331879</v>
      </c>
      <c r="L20" s="146">
        <v>8.6574715467125216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1257.9390000000001</v>
      </c>
      <c r="S20" s="62">
        <f t="shared" si="13"/>
        <v>72.733656000000039</v>
      </c>
      <c r="T20" s="63">
        <f t="shared" si="14"/>
        <v>108.90571100000003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17"/>
        <v>0</v>
      </c>
      <c r="AG20" s="63">
        <f t="shared" si="18"/>
        <v>0</v>
      </c>
      <c r="AH20" s="89">
        <v>4920</v>
      </c>
      <c r="AI20" s="66">
        <v>5.4</v>
      </c>
      <c r="AJ20" s="66">
        <v>8.6</v>
      </c>
      <c r="AK20" s="62">
        <f t="shared" si="4"/>
        <v>265.68</v>
      </c>
      <c r="AL20" s="72">
        <f t="shared" si="5"/>
        <v>423.11999999999995</v>
      </c>
      <c r="AM20" s="73">
        <f t="shared" si="6"/>
        <v>14.939000000000306</v>
      </c>
      <c r="AN20" s="74">
        <f t="shared" ref="AN20:AO35" si="21">+G20+S20-AF20-AK20</f>
        <v>-1.7423439999999459</v>
      </c>
      <c r="AO20" s="74">
        <f t="shared" si="21"/>
        <v>2.0077110000000289</v>
      </c>
      <c r="AP20" s="75">
        <f t="shared" si="19"/>
        <v>1.460955322532493E-3</v>
      </c>
      <c r="AQ20" s="76">
        <f t="shared" si="8"/>
        <v>-235.96142823875698</v>
      </c>
      <c r="AR20" s="90">
        <f t="shared" si="9"/>
        <v>14.939000000000306</v>
      </c>
    </row>
    <row r="21" spans="1:49" x14ac:dyDescent="0.25">
      <c r="A21" t="str">
        <f t="shared" si="10"/>
        <v>46212E</v>
      </c>
      <c r="B21" s="51">
        <f t="shared" si="20"/>
        <v>46212</v>
      </c>
      <c r="C21" s="52" t="s">
        <v>88</v>
      </c>
      <c r="D21" s="91">
        <v>4920</v>
      </c>
      <c r="E21" s="62">
        <v>5.4</v>
      </c>
      <c r="F21" s="62">
        <v>8.6</v>
      </c>
      <c r="G21" s="62">
        <f t="shared" si="0"/>
        <v>265.68</v>
      </c>
      <c r="H21" s="72">
        <f t="shared" si="11"/>
        <v>423.11999999999995</v>
      </c>
      <c r="I21" s="143">
        <v>1222.9999999999998</v>
      </c>
      <c r="J21" s="144">
        <v>1259.6899999999998</v>
      </c>
      <c r="K21" s="145">
        <v>5.1316925592804585</v>
      </c>
      <c r="L21" s="146">
        <v>8.5655600981193807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1259.6899999999998</v>
      </c>
      <c r="S21" s="62">
        <f t="shared" si="13"/>
        <v>64.643417999999997</v>
      </c>
      <c r="T21" s="63">
        <f t="shared" si="14"/>
        <v>107.89950400000001</v>
      </c>
      <c r="U21" s="64" t="s">
        <v>202</v>
      </c>
      <c r="V21" s="65" t="s">
        <v>415</v>
      </c>
      <c r="W21" s="66" t="s">
        <v>203</v>
      </c>
      <c r="X21" s="67">
        <v>3738</v>
      </c>
      <c r="Y21" s="68">
        <v>5.2</v>
      </c>
      <c r="Z21" s="68">
        <v>8.5</v>
      </c>
      <c r="AA21" s="62">
        <f t="shared" si="15"/>
        <v>194.376</v>
      </c>
      <c r="AB21" s="63">
        <f t="shared" si="16"/>
        <v>317.73</v>
      </c>
      <c r="AC21" s="215">
        <v>3738</v>
      </c>
      <c r="AD21" s="216">
        <v>5.2</v>
      </c>
      <c r="AE21" s="216">
        <v>8.5</v>
      </c>
      <c r="AF21" s="62">
        <f t="shared" si="17"/>
        <v>194.376</v>
      </c>
      <c r="AG21" s="63">
        <f t="shared" si="18"/>
        <v>317.73</v>
      </c>
      <c r="AH21" s="89">
        <v>2456</v>
      </c>
      <c r="AI21" s="66">
        <v>5.5</v>
      </c>
      <c r="AJ21" s="66">
        <v>8.6999999999999993</v>
      </c>
      <c r="AK21" s="62">
        <f t="shared" si="4"/>
        <v>135.08000000000001</v>
      </c>
      <c r="AL21" s="72">
        <f t="shared" si="5"/>
        <v>213.672</v>
      </c>
      <c r="AM21" s="73">
        <f t="shared" si="6"/>
        <v>-14.3100000000004</v>
      </c>
      <c r="AN21" s="74">
        <f t="shared" si="21"/>
        <v>0.86741799999998648</v>
      </c>
      <c r="AO21" s="74">
        <f t="shared" si="21"/>
        <v>-0.3824960000000317</v>
      </c>
      <c r="AP21" s="75">
        <f t="shared" si="19"/>
        <v>2.810442725665413E-3</v>
      </c>
      <c r="AQ21" s="76">
        <f t="shared" si="8"/>
        <v>302.26843353028801</v>
      </c>
      <c r="AR21" s="90">
        <f t="shared" si="9"/>
        <v>-14.3100000000004</v>
      </c>
    </row>
    <row r="22" spans="1:49" x14ac:dyDescent="0.25">
      <c r="A22" t="str">
        <f t="shared" si="10"/>
        <v>46213M</v>
      </c>
      <c r="B22" s="51">
        <f t="shared" si="20"/>
        <v>46213</v>
      </c>
      <c r="C22" s="52" t="s">
        <v>87</v>
      </c>
      <c r="D22" s="91"/>
      <c r="E22" s="62"/>
      <c r="F22" s="62"/>
      <c r="G22" s="62">
        <f t="shared" si="0"/>
        <v>0</v>
      </c>
      <c r="H22" s="72">
        <f t="shared" si="11"/>
        <v>0</v>
      </c>
      <c r="I22" s="143"/>
      <c r="J22" s="144"/>
      <c r="K22" s="145"/>
      <c r="L22" s="146"/>
      <c r="M22" s="58"/>
      <c r="N22" s="58"/>
      <c r="O22" s="59"/>
      <c r="P22" s="56"/>
      <c r="Q22" s="60"/>
      <c r="R22" s="61">
        <f t="shared" si="12"/>
        <v>0</v>
      </c>
      <c r="S22" s="62">
        <f t="shared" si="13"/>
        <v>0</v>
      </c>
      <c r="T22" s="63">
        <f t="shared" si="14"/>
        <v>0</v>
      </c>
      <c r="U22" s="64"/>
      <c r="V22" s="65"/>
      <c r="W22" s="66"/>
      <c r="X22" s="67"/>
      <c r="Y22" s="68"/>
      <c r="Z22" s="68"/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89"/>
      <c r="AI22" s="66"/>
      <c r="AJ22" s="66"/>
      <c r="AK22" s="62">
        <f t="shared" si="4"/>
        <v>0</v>
      </c>
      <c r="AL22" s="72">
        <f t="shared" si="5"/>
        <v>0</v>
      </c>
      <c r="AM22" s="73">
        <f t="shared" si="6"/>
        <v>0</v>
      </c>
      <c r="AN22" s="80">
        <f t="shared" si="21"/>
        <v>0</v>
      </c>
      <c r="AO22" s="80">
        <f t="shared" si="21"/>
        <v>0</v>
      </c>
      <c r="AP22" s="75" t="e">
        <f t="shared" si="19"/>
        <v>#DIV/0!</v>
      </c>
      <c r="AQ22" s="76">
        <f t="shared" si="8"/>
        <v>0</v>
      </c>
      <c r="AR22" s="90">
        <f t="shared" si="9"/>
        <v>0</v>
      </c>
    </row>
    <row r="23" spans="1:49" x14ac:dyDescent="0.25">
      <c r="A23" t="str">
        <f t="shared" si="10"/>
        <v>46213E</v>
      </c>
      <c r="B23" s="51">
        <f t="shared" si="20"/>
        <v>46213</v>
      </c>
      <c r="C23" s="52" t="s">
        <v>88</v>
      </c>
      <c r="D23" s="91"/>
      <c r="E23" s="62"/>
      <c r="F23" s="62"/>
      <c r="G23" s="62">
        <f t="shared" si="0"/>
        <v>0</v>
      </c>
      <c r="H23" s="72">
        <f t="shared" si="11"/>
        <v>0</v>
      </c>
      <c r="I23" s="143"/>
      <c r="J23" s="144"/>
      <c r="K23" s="145"/>
      <c r="L23" s="146"/>
      <c r="M23" s="58"/>
      <c r="N23" s="58"/>
      <c r="O23" s="59"/>
      <c r="P23" s="56"/>
      <c r="Q23" s="60"/>
      <c r="R23" s="61">
        <f t="shared" si="12"/>
        <v>0</v>
      </c>
      <c r="S23" s="62">
        <f t="shared" si="13"/>
        <v>0</v>
      </c>
      <c r="T23" s="63">
        <f t="shared" si="14"/>
        <v>0</v>
      </c>
      <c r="U23" s="64"/>
      <c r="V23" s="65"/>
      <c r="W23" s="66"/>
      <c r="X23" s="67"/>
      <c r="Y23" s="68"/>
      <c r="Z23" s="68"/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89"/>
      <c r="AI23" s="66"/>
      <c r="AJ23" s="66"/>
      <c r="AK23" s="62">
        <f t="shared" si="4"/>
        <v>0</v>
      </c>
      <c r="AL23" s="72">
        <f t="shared" si="5"/>
        <v>0</v>
      </c>
      <c r="AM23" s="73">
        <f t="shared" si="6"/>
        <v>0</v>
      </c>
      <c r="AN23" s="80">
        <f t="shared" si="21"/>
        <v>0</v>
      </c>
      <c r="AO23" s="80">
        <f t="shared" si="21"/>
        <v>0</v>
      </c>
      <c r="AP23" s="75" t="e">
        <f t="shared" si="19"/>
        <v>#DIV/0!</v>
      </c>
      <c r="AQ23" s="76">
        <f t="shared" si="8"/>
        <v>0</v>
      </c>
      <c r="AR23" s="90">
        <f t="shared" si="9"/>
        <v>0</v>
      </c>
    </row>
    <row r="24" spans="1:49" x14ac:dyDescent="0.25">
      <c r="A24" t="str">
        <f t="shared" si="10"/>
        <v>46214M</v>
      </c>
      <c r="B24" s="51">
        <f t="shared" si="20"/>
        <v>46214</v>
      </c>
      <c r="C24" s="98" t="s">
        <v>87</v>
      </c>
      <c r="D24" s="91"/>
      <c r="E24" s="62"/>
      <c r="F24" s="62"/>
      <c r="G24" s="62">
        <f t="shared" si="0"/>
        <v>0</v>
      </c>
      <c r="H24" s="72">
        <f t="shared" si="11"/>
        <v>0</v>
      </c>
      <c r="I24" s="143"/>
      <c r="J24" s="144"/>
      <c r="K24" s="145"/>
      <c r="L24" s="146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89"/>
      <c r="AI24" s="66"/>
      <c r="AJ24" s="66"/>
      <c r="AK24" s="62">
        <f t="shared" si="4"/>
        <v>0</v>
      </c>
      <c r="AL24" s="72">
        <f t="shared" si="5"/>
        <v>0</v>
      </c>
      <c r="AM24" s="73">
        <f t="shared" si="6"/>
        <v>0</v>
      </c>
      <c r="AN24" s="80">
        <f t="shared" si="21"/>
        <v>0</v>
      </c>
      <c r="AO24" s="80">
        <f t="shared" si="21"/>
        <v>0</v>
      </c>
      <c r="AP24" s="75" t="e">
        <f t="shared" si="19"/>
        <v>#DIV/0!</v>
      </c>
      <c r="AQ24" s="76">
        <f t="shared" si="8"/>
        <v>0</v>
      </c>
      <c r="AR24" s="90">
        <f t="shared" si="9"/>
        <v>0</v>
      </c>
    </row>
    <row r="25" spans="1:49" x14ac:dyDescent="0.25">
      <c r="A25" t="str">
        <f t="shared" si="10"/>
        <v>46214E</v>
      </c>
      <c r="B25" s="51">
        <f t="shared" si="20"/>
        <v>46214</v>
      </c>
      <c r="C25" s="52" t="s">
        <v>88</v>
      </c>
      <c r="D25" s="91"/>
      <c r="E25" s="62"/>
      <c r="F25" s="62"/>
      <c r="G25" s="62">
        <f t="shared" si="0"/>
        <v>0</v>
      </c>
      <c r="H25" s="72">
        <f t="shared" si="11"/>
        <v>0</v>
      </c>
      <c r="I25" s="143"/>
      <c r="J25" s="144"/>
      <c r="K25" s="145"/>
      <c r="L25" s="146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89"/>
      <c r="AI25" s="66"/>
      <c r="AJ25" s="66"/>
      <c r="AK25" s="62">
        <f t="shared" si="4"/>
        <v>0</v>
      </c>
      <c r="AL25" s="72">
        <f t="shared" si="5"/>
        <v>0</v>
      </c>
      <c r="AM25" s="73">
        <f t="shared" si="6"/>
        <v>0</v>
      </c>
      <c r="AN25" s="80">
        <f t="shared" si="21"/>
        <v>0</v>
      </c>
      <c r="AO25" s="80">
        <f t="shared" si="21"/>
        <v>0</v>
      </c>
      <c r="AP25" s="75" t="e">
        <f t="shared" si="19"/>
        <v>#DIV/0!</v>
      </c>
      <c r="AQ25" s="76">
        <f t="shared" si="8"/>
        <v>0</v>
      </c>
      <c r="AR25" s="90">
        <f t="shared" si="9"/>
        <v>0</v>
      </c>
    </row>
    <row r="26" spans="1:49" x14ac:dyDescent="0.25">
      <c r="A26" t="str">
        <f t="shared" si="10"/>
        <v>46215M</v>
      </c>
      <c r="B26" s="51">
        <f t="shared" si="20"/>
        <v>46215</v>
      </c>
      <c r="C26" s="52" t="s">
        <v>87</v>
      </c>
      <c r="D26" s="91"/>
      <c r="E26" s="62"/>
      <c r="F26" s="62"/>
      <c r="G26" s="62">
        <f t="shared" si="0"/>
        <v>0</v>
      </c>
      <c r="H26" s="72">
        <f t="shared" si="11"/>
        <v>0</v>
      </c>
      <c r="I26" s="143"/>
      <c r="J26" s="144"/>
      <c r="K26" s="145"/>
      <c r="L26" s="146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89"/>
      <c r="AI26" s="66"/>
      <c r="AJ26" s="66"/>
      <c r="AK26" s="62">
        <f t="shared" si="4"/>
        <v>0</v>
      </c>
      <c r="AL26" s="72">
        <f t="shared" si="5"/>
        <v>0</v>
      </c>
      <c r="AM26" s="73">
        <f t="shared" si="6"/>
        <v>0</v>
      </c>
      <c r="AN26" s="80">
        <f t="shared" si="21"/>
        <v>0</v>
      </c>
      <c r="AO26" s="80">
        <f t="shared" si="21"/>
        <v>0</v>
      </c>
      <c r="AP26" s="75" t="e">
        <f t="shared" si="19"/>
        <v>#DIV/0!</v>
      </c>
      <c r="AQ26" s="76">
        <f t="shared" si="8"/>
        <v>0</v>
      </c>
      <c r="AR26" s="90">
        <f t="shared" si="9"/>
        <v>0</v>
      </c>
    </row>
    <row r="27" spans="1:49" x14ac:dyDescent="0.25">
      <c r="A27" t="str">
        <f t="shared" si="10"/>
        <v>46215E</v>
      </c>
      <c r="B27" s="51">
        <f t="shared" si="20"/>
        <v>46215</v>
      </c>
      <c r="C27" s="52" t="s">
        <v>88</v>
      </c>
      <c r="D27" s="91"/>
      <c r="E27" s="62"/>
      <c r="F27" s="62"/>
      <c r="G27" s="62">
        <f t="shared" si="0"/>
        <v>0</v>
      </c>
      <c r="H27" s="72">
        <f t="shared" si="11"/>
        <v>0</v>
      </c>
      <c r="I27" s="143"/>
      <c r="J27" s="144"/>
      <c r="K27" s="145"/>
      <c r="L27" s="146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89"/>
      <c r="AI27" s="66"/>
      <c r="AJ27" s="66"/>
      <c r="AK27" s="62">
        <f t="shared" si="4"/>
        <v>0</v>
      </c>
      <c r="AL27" s="72">
        <f t="shared" si="5"/>
        <v>0</v>
      </c>
      <c r="AM27" s="73">
        <f t="shared" si="6"/>
        <v>0</v>
      </c>
      <c r="AN27" s="80">
        <f t="shared" si="21"/>
        <v>0</v>
      </c>
      <c r="AO27" s="80">
        <f t="shared" si="21"/>
        <v>0</v>
      </c>
      <c r="AP27" s="75" t="e">
        <f t="shared" si="19"/>
        <v>#DIV/0!</v>
      </c>
      <c r="AQ27" s="76">
        <f t="shared" si="8"/>
        <v>0</v>
      </c>
      <c r="AR27" s="90">
        <f t="shared" si="9"/>
        <v>0</v>
      </c>
    </row>
    <row r="28" spans="1:49" x14ac:dyDescent="0.25">
      <c r="A28" t="str">
        <f t="shared" si="10"/>
        <v>46216M</v>
      </c>
      <c r="B28" s="51">
        <f t="shared" si="20"/>
        <v>46216</v>
      </c>
      <c r="C28" s="52" t="s">
        <v>87</v>
      </c>
      <c r="D28" s="91"/>
      <c r="E28" s="62"/>
      <c r="F28" s="62"/>
      <c r="G28" s="62">
        <f t="shared" si="0"/>
        <v>0</v>
      </c>
      <c r="H28" s="72">
        <f t="shared" si="11"/>
        <v>0</v>
      </c>
      <c r="I28" s="143"/>
      <c r="J28" s="144"/>
      <c r="K28" s="145"/>
      <c r="L28" s="146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89"/>
      <c r="AI28" s="66"/>
      <c r="AJ28" s="66"/>
      <c r="AK28" s="62">
        <f t="shared" si="4"/>
        <v>0</v>
      </c>
      <c r="AL28" s="72">
        <f t="shared" si="5"/>
        <v>0</v>
      </c>
      <c r="AM28" s="73">
        <f t="shared" si="6"/>
        <v>0</v>
      </c>
      <c r="AN28" s="80">
        <f t="shared" si="21"/>
        <v>0</v>
      </c>
      <c r="AO28" s="80">
        <f t="shared" si="21"/>
        <v>0</v>
      </c>
      <c r="AP28" s="75" t="e">
        <f t="shared" si="19"/>
        <v>#DIV/0!</v>
      </c>
      <c r="AQ28" s="76">
        <f t="shared" si="8"/>
        <v>0</v>
      </c>
      <c r="AR28" s="90">
        <f t="shared" si="9"/>
        <v>0</v>
      </c>
    </row>
    <row r="29" spans="1:49" x14ac:dyDescent="0.25">
      <c r="A29" t="str">
        <f t="shared" si="10"/>
        <v>46216E</v>
      </c>
      <c r="B29" s="51">
        <f t="shared" si="20"/>
        <v>46216</v>
      </c>
      <c r="C29" s="52" t="s">
        <v>88</v>
      </c>
      <c r="D29" s="91"/>
      <c r="E29" s="62"/>
      <c r="F29" s="62"/>
      <c r="G29" s="62">
        <f t="shared" si="0"/>
        <v>0</v>
      </c>
      <c r="H29" s="72">
        <f t="shared" si="11"/>
        <v>0</v>
      </c>
      <c r="I29" s="143"/>
      <c r="J29" s="144"/>
      <c r="K29" s="145"/>
      <c r="L29" s="146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89"/>
      <c r="AI29" s="66"/>
      <c r="AJ29" s="66"/>
      <c r="AK29" s="62">
        <f t="shared" si="4"/>
        <v>0</v>
      </c>
      <c r="AL29" s="72">
        <f t="shared" si="5"/>
        <v>0</v>
      </c>
      <c r="AM29" s="73">
        <f t="shared" si="6"/>
        <v>0</v>
      </c>
      <c r="AN29" s="80">
        <f t="shared" si="21"/>
        <v>0</v>
      </c>
      <c r="AO29" s="80">
        <f t="shared" si="21"/>
        <v>0</v>
      </c>
      <c r="AP29" s="75" t="e">
        <f t="shared" si="19"/>
        <v>#DIV/0!</v>
      </c>
      <c r="AQ29" s="76">
        <f t="shared" si="8"/>
        <v>0</v>
      </c>
      <c r="AR29" s="90">
        <f t="shared" si="9"/>
        <v>0</v>
      </c>
    </row>
    <row r="30" spans="1:49" x14ac:dyDescent="0.25">
      <c r="A30" t="str">
        <f t="shared" si="10"/>
        <v>46217M</v>
      </c>
      <c r="B30" s="51">
        <f t="shared" si="20"/>
        <v>46217</v>
      </c>
      <c r="C30" s="52" t="s">
        <v>87</v>
      </c>
      <c r="D30" s="91"/>
      <c r="E30" s="62"/>
      <c r="F30" s="62"/>
      <c r="G30" s="62">
        <f t="shared" si="0"/>
        <v>0</v>
      </c>
      <c r="H30" s="72">
        <f t="shared" si="11"/>
        <v>0</v>
      </c>
      <c r="I30" s="143"/>
      <c r="J30" s="144"/>
      <c r="K30" s="145"/>
      <c r="L30" s="146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89"/>
      <c r="AI30" s="66"/>
      <c r="AJ30" s="66"/>
      <c r="AK30" s="62">
        <f t="shared" si="4"/>
        <v>0</v>
      </c>
      <c r="AL30" s="72">
        <f t="shared" si="5"/>
        <v>0</v>
      </c>
      <c r="AM30" s="73">
        <f t="shared" si="6"/>
        <v>0</v>
      </c>
      <c r="AN30" s="80">
        <f t="shared" si="21"/>
        <v>0</v>
      </c>
      <c r="AO30" s="80">
        <f t="shared" si="21"/>
        <v>0</v>
      </c>
      <c r="AP30" s="75" t="e">
        <f t="shared" si="19"/>
        <v>#DIV/0!</v>
      </c>
      <c r="AQ30" s="76">
        <f t="shared" si="8"/>
        <v>0</v>
      </c>
      <c r="AR30" s="90">
        <f t="shared" si="9"/>
        <v>0</v>
      </c>
    </row>
    <row r="31" spans="1:49" x14ac:dyDescent="0.25">
      <c r="A31" t="str">
        <f t="shared" si="10"/>
        <v>46217E</v>
      </c>
      <c r="B31" s="51">
        <f t="shared" si="20"/>
        <v>46217</v>
      </c>
      <c r="C31" s="52" t="s">
        <v>88</v>
      </c>
      <c r="D31" s="91"/>
      <c r="E31" s="62"/>
      <c r="F31" s="62"/>
      <c r="G31" s="62">
        <f t="shared" si="0"/>
        <v>0</v>
      </c>
      <c r="H31" s="72">
        <f t="shared" si="11"/>
        <v>0</v>
      </c>
      <c r="I31" s="143"/>
      <c r="J31" s="144"/>
      <c r="K31" s="145"/>
      <c r="L31" s="146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89"/>
      <c r="AI31" s="66"/>
      <c r="AJ31" s="66"/>
      <c r="AK31" s="62">
        <f t="shared" si="4"/>
        <v>0</v>
      </c>
      <c r="AL31" s="72">
        <f t="shared" si="5"/>
        <v>0</v>
      </c>
      <c r="AM31" s="73">
        <f t="shared" si="6"/>
        <v>0</v>
      </c>
      <c r="AN31" s="80">
        <f t="shared" si="21"/>
        <v>0</v>
      </c>
      <c r="AO31" s="80">
        <f t="shared" si="21"/>
        <v>0</v>
      </c>
      <c r="AP31" s="75" t="e">
        <f t="shared" si="19"/>
        <v>#DIV/0!</v>
      </c>
      <c r="AQ31" s="76">
        <f t="shared" si="8"/>
        <v>0</v>
      </c>
      <c r="AR31" s="90">
        <f t="shared" si="9"/>
        <v>0</v>
      </c>
    </row>
    <row r="32" spans="1:49" x14ac:dyDescent="0.25">
      <c r="A32" t="str">
        <f t="shared" si="10"/>
        <v>46218M</v>
      </c>
      <c r="B32" s="51">
        <f t="shared" si="20"/>
        <v>46218</v>
      </c>
      <c r="C32" s="52" t="s">
        <v>87</v>
      </c>
      <c r="D32" s="91"/>
      <c r="E32" s="62"/>
      <c r="F32" s="62"/>
      <c r="G32" s="62">
        <f t="shared" si="0"/>
        <v>0</v>
      </c>
      <c r="H32" s="72">
        <f t="shared" si="11"/>
        <v>0</v>
      </c>
      <c r="I32" s="143"/>
      <c r="J32" s="144"/>
      <c r="K32" s="145"/>
      <c r="L32" s="146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89"/>
      <c r="AI32" s="66"/>
      <c r="AJ32" s="66"/>
      <c r="AK32" s="62">
        <f t="shared" si="4"/>
        <v>0</v>
      </c>
      <c r="AL32" s="72">
        <f t="shared" si="5"/>
        <v>0</v>
      </c>
      <c r="AM32" s="73">
        <f t="shared" si="6"/>
        <v>0</v>
      </c>
      <c r="AN32" s="80">
        <f t="shared" si="21"/>
        <v>0</v>
      </c>
      <c r="AO32" s="80">
        <f t="shared" si="21"/>
        <v>0</v>
      </c>
      <c r="AP32" s="75" t="e">
        <f t="shared" si="19"/>
        <v>#DIV/0!</v>
      </c>
      <c r="AQ32" s="76">
        <f t="shared" si="8"/>
        <v>0</v>
      </c>
      <c r="AR32" s="90">
        <f t="shared" si="9"/>
        <v>0</v>
      </c>
    </row>
    <row r="33" spans="1:49" x14ac:dyDescent="0.25">
      <c r="A33" t="str">
        <f t="shared" si="10"/>
        <v>46218E</v>
      </c>
      <c r="B33" s="51">
        <f t="shared" si="20"/>
        <v>46218</v>
      </c>
      <c r="C33" s="52" t="s">
        <v>88</v>
      </c>
      <c r="D33" s="91"/>
      <c r="E33" s="62"/>
      <c r="F33" s="62"/>
      <c r="G33" s="62">
        <f t="shared" si="0"/>
        <v>0</v>
      </c>
      <c r="H33" s="72">
        <f t="shared" si="11"/>
        <v>0</v>
      </c>
      <c r="I33" s="143"/>
      <c r="J33" s="144"/>
      <c r="K33" s="145"/>
      <c r="L33" s="146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89"/>
      <c r="AI33" s="66"/>
      <c r="AJ33" s="66"/>
      <c r="AK33" s="62">
        <f t="shared" si="4"/>
        <v>0</v>
      </c>
      <c r="AL33" s="72">
        <f t="shared" si="5"/>
        <v>0</v>
      </c>
      <c r="AM33" s="73">
        <f t="shared" si="6"/>
        <v>0</v>
      </c>
      <c r="AN33" s="80">
        <f t="shared" si="21"/>
        <v>0</v>
      </c>
      <c r="AO33" s="80">
        <f t="shared" si="21"/>
        <v>0</v>
      </c>
      <c r="AP33" s="75" t="e">
        <f t="shared" si="19"/>
        <v>#DIV/0!</v>
      </c>
      <c r="AQ33" s="76">
        <f t="shared" si="8"/>
        <v>0</v>
      </c>
      <c r="AR33" s="90">
        <f t="shared" si="9"/>
        <v>0</v>
      </c>
      <c r="AS33" s="90">
        <f>SUM(J20:J33)</f>
        <v>2517.6289999999999</v>
      </c>
      <c r="AT33" s="83">
        <f t="shared" ref="AT33:AV33" si="22">SUM(AM20:AM33)</f>
        <v>0.62899999999990541</v>
      </c>
      <c r="AU33" s="83">
        <f t="shared" si="22"/>
        <v>-0.87492599999995946</v>
      </c>
      <c r="AV33" s="83">
        <f t="shared" si="22"/>
        <v>1.6252149999999972</v>
      </c>
      <c r="AW33" s="83">
        <f>-SUM(AQ20:AQ33)</f>
        <v>-66.307005291531027</v>
      </c>
    </row>
    <row r="34" spans="1:49" x14ac:dyDescent="0.25">
      <c r="A34" t="str">
        <f t="shared" si="10"/>
        <v>46219M</v>
      </c>
      <c r="B34" s="51">
        <f t="shared" si="20"/>
        <v>46219</v>
      </c>
      <c r="C34" s="52" t="s">
        <v>87</v>
      </c>
      <c r="D34" s="91"/>
      <c r="E34" s="62"/>
      <c r="F34" s="62"/>
      <c r="G34" s="62">
        <f t="shared" si="0"/>
        <v>0</v>
      </c>
      <c r="H34" s="72">
        <f t="shared" si="11"/>
        <v>0</v>
      </c>
      <c r="I34" s="143"/>
      <c r="J34" s="144"/>
      <c r="K34" s="145"/>
      <c r="L34" s="146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89"/>
      <c r="AI34" s="66"/>
      <c r="AJ34" s="66"/>
      <c r="AK34" s="62">
        <f t="shared" si="4"/>
        <v>0</v>
      </c>
      <c r="AL34" s="72">
        <f t="shared" si="5"/>
        <v>0</v>
      </c>
      <c r="AM34" s="73">
        <f t="shared" si="6"/>
        <v>0</v>
      </c>
      <c r="AN34" s="80">
        <f t="shared" si="21"/>
        <v>0</v>
      </c>
      <c r="AO34" s="80">
        <f t="shared" si="21"/>
        <v>0</v>
      </c>
      <c r="AP34" s="75" t="e">
        <f t="shared" si="19"/>
        <v>#DIV/0!</v>
      </c>
      <c r="AQ34" s="76">
        <f t="shared" si="8"/>
        <v>0</v>
      </c>
      <c r="AR34" s="90">
        <f t="shared" si="9"/>
        <v>0</v>
      </c>
    </row>
    <row r="35" spans="1:49" x14ac:dyDescent="0.25">
      <c r="A35" t="str">
        <f t="shared" si="10"/>
        <v>46219E</v>
      </c>
      <c r="B35" s="51">
        <f t="shared" si="20"/>
        <v>46219</v>
      </c>
      <c r="C35" s="52" t="s">
        <v>88</v>
      </c>
      <c r="D35" s="91"/>
      <c r="E35" s="62"/>
      <c r="F35" s="62"/>
      <c r="G35" s="62">
        <f t="shared" si="0"/>
        <v>0</v>
      </c>
      <c r="H35" s="72">
        <f t="shared" si="11"/>
        <v>0</v>
      </c>
      <c r="I35" s="143"/>
      <c r="J35" s="144"/>
      <c r="K35" s="145"/>
      <c r="L35" s="146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89"/>
      <c r="AI35" s="66"/>
      <c r="AJ35" s="66"/>
      <c r="AK35" s="62">
        <f t="shared" si="4"/>
        <v>0</v>
      </c>
      <c r="AL35" s="72">
        <f t="shared" si="5"/>
        <v>0</v>
      </c>
      <c r="AM35" s="73">
        <f t="shared" si="6"/>
        <v>0</v>
      </c>
      <c r="AN35" s="80">
        <f t="shared" si="21"/>
        <v>0</v>
      </c>
      <c r="AO35" s="80">
        <f t="shared" si="21"/>
        <v>0</v>
      </c>
      <c r="AP35" s="75" t="e">
        <f t="shared" si="19"/>
        <v>#DIV/0!</v>
      </c>
      <c r="AQ35" s="76">
        <f t="shared" si="8"/>
        <v>0</v>
      </c>
      <c r="AR35" s="90">
        <f t="shared" si="9"/>
        <v>0</v>
      </c>
    </row>
    <row r="36" spans="1:49" x14ac:dyDescent="0.25">
      <c r="A36" t="str">
        <f t="shared" si="10"/>
        <v>46220M</v>
      </c>
      <c r="B36" s="51">
        <f t="shared" si="20"/>
        <v>46220</v>
      </c>
      <c r="C36" s="98" t="s">
        <v>87</v>
      </c>
      <c r="D36" s="91"/>
      <c r="E36" s="62"/>
      <c r="F36" s="62"/>
      <c r="G36" s="62">
        <f t="shared" si="0"/>
        <v>0</v>
      </c>
      <c r="H36" s="72">
        <f t="shared" si="11"/>
        <v>0</v>
      </c>
      <c r="I36" s="143"/>
      <c r="J36" s="144"/>
      <c r="K36" s="145"/>
      <c r="L36" s="146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6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89"/>
      <c r="AI36" s="66"/>
      <c r="AJ36" s="66"/>
      <c r="AK36" s="62">
        <f t="shared" si="4"/>
        <v>0</v>
      </c>
      <c r="AL36" s="72">
        <f t="shared" si="5"/>
        <v>0</v>
      </c>
      <c r="AM36" s="73">
        <f t="shared" si="6"/>
        <v>0</v>
      </c>
      <c r="AN36" s="80">
        <f t="shared" ref="AN36:AO51" si="23">+G36+S36-AF36-AK36</f>
        <v>0</v>
      </c>
      <c r="AO36" s="80">
        <f t="shared" si="23"/>
        <v>0</v>
      </c>
      <c r="AP36" s="75" t="e">
        <f t="shared" si="19"/>
        <v>#DIV/0!</v>
      </c>
      <c r="AQ36" s="76">
        <f t="shared" si="8"/>
        <v>0</v>
      </c>
      <c r="AR36" s="90">
        <f t="shared" si="9"/>
        <v>0</v>
      </c>
    </row>
    <row r="37" spans="1:49" x14ac:dyDescent="0.25">
      <c r="A37" t="str">
        <f t="shared" si="10"/>
        <v>46220E</v>
      </c>
      <c r="B37" s="51">
        <f t="shared" si="20"/>
        <v>46220</v>
      </c>
      <c r="C37" s="52" t="s">
        <v>88</v>
      </c>
      <c r="D37" s="91"/>
      <c r="E37" s="62"/>
      <c r="F37" s="62"/>
      <c r="G37" s="62">
        <f t="shared" si="0"/>
        <v>0</v>
      </c>
      <c r="H37" s="72">
        <f t="shared" si="11"/>
        <v>0</v>
      </c>
      <c r="I37" s="143"/>
      <c r="J37" s="144"/>
      <c r="K37" s="145"/>
      <c r="L37" s="146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89"/>
      <c r="AI37" s="66"/>
      <c r="AJ37" s="66"/>
      <c r="AK37" s="62">
        <f t="shared" si="4"/>
        <v>0</v>
      </c>
      <c r="AL37" s="72">
        <f t="shared" si="5"/>
        <v>0</v>
      </c>
      <c r="AM37" s="73">
        <f t="shared" si="6"/>
        <v>0</v>
      </c>
      <c r="AN37" s="80">
        <f t="shared" si="23"/>
        <v>0</v>
      </c>
      <c r="AO37" s="80">
        <f t="shared" si="23"/>
        <v>0</v>
      </c>
      <c r="AP37" s="75" t="e">
        <f t="shared" si="19"/>
        <v>#DIV/0!</v>
      </c>
      <c r="AQ37" s="76">
        <f t="shared" si="8"/>
        <v>0</v>
      </c>
      <c r="AR37" s="90">
        <f t="shared" si="9"/>
        <v>0</v>
      </c>
    </row>
    <row r="38" spans="1:49" x14ac:dyDescent="0.25">
      <c r="A38" t="str">
        <f t="shared" si="10"/>
        <v>46221M</v>
      </c>
      <c r="B38" s="51">
        <f t="shared" si="20"/>
        <v>46221</v>
      </c>
      <c r="C38" s="52" t="s">
        <v>87</v>
      </c>
      <c r="D38" s="91"/>
      <c r="E38" s="62"/>
      <c r="F38" s="62"/>
      <c r="G38" s="62">
        <f t="shared" si="0"/>
        <v>0</v>
      </c>
      <c r="H38" s="72">
        <f t="shared" si="11"/>
        <v>0</v>
      </c>
      <c r="I38" s="143"/>
      <c r="J38" s="144"/>
      <c r="K38" s="145"/>
      <c r="L38" s="146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89"/>
      <c r="AI38" s="66"/>
      <c r="AJ38" s="66"/>
      <c r="AK38" s="62">
        <f t="shared" si="4"/>
        <v>0</v>
      </c>
      <c r="AL38" s="72">
        <f t="shared" si="5"/>
        <v>0</v>
      </c>
      <c r="AM38" s="73">
        <f t="shared" si="6"/>
        <v>0</v>
      </c>
      <c r="AN38" s="80">
        <f t="shared" si="23"/>
        <v>0</v>
      </c>
      <c r="AO38" s="80">
        <f t="shared" si="23"/>
        <v>0</v>
      </c>
      <c r="AP38" s="75" t="e">
        <f t="shared" si="19"/>
        <v>#DIV/0!</v>
      </c>
      <c r="AQ38" s="76">
        <f t="shared" si="8"/>
        <v>0</v>
      </c>
      <c r="AR38" s="90">
        <f t="shared" si="9"/>
        <v>0</v>
      </c>
    </row>
    <row r="39" spans="1:49" x14ac:dyDescent="0.25">
      <c r="A39" t="str">
        <f t="shared" si="10"/>
        <v>46221E</v>
      </c>
      <c r="B39" s="51">
        <f t="shared" si="20"/>
        <v>46221</v>
      </c>
      <c r="C39" s="52" t="s">
        <v>88</v>
      </c>
      <c r="D39" s="91"/>
      <c r="E39" s="62"/>
      <c r="F39" s="62"/>
      <c r="G39" s="62">
        <f t="shared" si="0"/>
        <v>0</v>
      </c>
      <c r="H39" s="72">
        <f t="shared" si="11"/>
        <v>0</v>
      </c>
      <c r="I39" s="143"/>
      <c r="J39" s="144"/>
      <c r="K39" s="145"/>
      <c r="L39" s="146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89"/>
      <c r="AI39" s="66"/>
      <c r="AJ39" s="66"/>
      <c r="AK39" s="62">
        <f t="shared" si="4"/>
        <v>0</v>
      </c>
      <c r="AL39" s="72">
        <f t="shared" si="5"/>
        <v>0</v>
      </c>
      <c r="AM39" s="73">
        <f t="shared" si="6"/>
        <v>0</v>
      </c>
      <c r="AN39" s="80">
        <f t="shared" si="23"/>
        <v>0</v>
      </c>
      <c r="AO39" s="80">
        <f t="shared" si="23"/>
        <v>0</v>
      </c>
      <c r="AP39" s="75" t="e">
        <f t="shared" si="19"/>
        <v>#DIV/0!</v>
      </c>
      <c r="AQ39" s="76">
        <f t="shared" si="8"/>
        <v>0</v>
      </c>
      <c r="AR39" s="90">
        <f t="shared" si="9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x14ac:dyDescent="0.25">
      <c r="A40" t="str">
        <f t="shared" si="10"/>
        <v>46222M</v>
      </c>
      <c r="B40" s="51">
        <f t="shared" si="20"/>
        <v>46222</v>
      </c>
      <c r="C40" s="52" t="s">
        <v>87</v>
      </c>
      <c r="D40" s="91"/>
      <c r="E40" s="62"/>
      <c r="F40" s="62"/>
      <c r="G40" s="62">
        <f t="shared" si="0"/>
        <v>0</v>
      </c>
      <c r="H40" s="72">
        <f t="shared" si="11"/>
        <v>0</v>
      </c>
      <c r="I40" s="143"/>
      <c r="J40" s="144"/>
      <c r="K40" s="145"/>
      <c r="L40" s="146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89"/>
      <c r="AI40" s="66"/>
      <c r="AJ40" s="66"/>
      <c r="AK40" s="62">
        <f t="shared" si="4"/>
        <v>0</v>
      </c>
      <c r="AL40" s="72">
        <f t="shared" si="5"/>
        <v>0</v>
      </c>
      <c r="AM40" s="73">
        <f t="shared" si="6"/>
        <v>0</v>
      </c>
      <c r="AN40" s="80">
        <f t="shared" si="23"/>
        <v>0</v>
      </c>
      <c r="AO40" s="80">
        <f t="shared" si="23"/>
        <v>0</v>
      </c>
      <c r="AP40" s="75" t="e">
        <f t="shared" si="19"/>
        <v>#DIV/0!</v>
      </c>
      <c r="AQ40" s="76">
        <f t="shared" si="8"/>
        <v>0</v>
      </c>
      <c r="AR40" s="90">
        <f t="shared" si="9"/>
        <v>0</v>
      </c>
    </row>
    <row r="41" spans="1:49" x14ac:dyDescent="0.25">
      <c r="A41" t="str">
        <f t="shared" si="10"/>
        <v>46222E</v>
      </c>
      <c r="B41" s="51">
        <f t="shared" si="20"/>
        <v>46222</v>
      </c>
      <c r="C41" s="52" t="s">
        <v>88</v>
      </c>
      <c r="D41" s="91"/>
      <c r="E41" s="62"/>
      <c r="F41" s="62"/>
      <c r="G41" s="62">
        <f t="shared" si="0"/>
        <v>0</v>
      </c>
      <c r="H41" s="72">
        <f t="shared" si="11"/>
        <v>0</v>
      </c>
      <c r="I41" s="143"/>
      <c r="J41" s="144"/>
      <c r="K41" s="145"/>
      <c r="L41" s="146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89"/>
      <c r="AI41" s="66"/>
      <c r="AJ41" s="66"/>
      <c r="AK41" s="62">
        <f t="shared" si="4"/>
        <v>0</v>
      </c>
      <c r="AL41" s="72">
        <f t="shared" si="5"/>
        <v>0</v>
      </c>
      <c r="AM41" s="73">
        <f t="shared" si="6"/>
        <v>0</v>
      </c>
      <c r="AN41" s="80">
        <f t="shared" si="23"/>
        <v>0</v>
      </c>
      <c r="AO41" s="80">
        <f t="shared" si="23"/>
        <v>0</v>
      </c>
      <c r="AP41" s="75" t="e">
        <f t="shared" si="19"/>
        <v>#DIV/0!</v>
      </c>
      <c r="AQ41" s="76">
        <f t="shared" si="8"/>
        <v>0</v>
      </c>
      <c r="AR41" s="90">
        <f t="shared" si="9"/>
        <v>0</v>
      </c>
    </row>
    <row r="42" spans="1:49" x14ac:dyDescent="0.25">
      <c r="A42" t="str">
        <f t="shared" si="10"/>
        <v>46223M</v>
      </c>
      <c r="B42" s="51">
        <f t="shared" si="20"/>
        <v>46223</v>
      </c>
      <c r="C42" s="52" t="s">
        <v>87</v>
      </c>
      <c r="D42" s="91"/>
      <c r="E42" s="62"/>
      <c r="F42" s="62"/>
      <c r="G42" s="62">
        <f t="shared" si="0"/>
        <v>0</v>
      </c>
      <c r="H42" s="72">
        <f t="shared" si="11"/>
        <v>0</v>
      </c>
      <c r="I42" s="143"/>
      <c r="J42" s="144"/>
      <c r="K42" s="145"/>
      <c r="L42" s="146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89"/>
      <c r="AI42" s="66"/>
      <c r="AJ42" s="66"/>
      <c r="AK42" s="62">
        <f t="shared" si="4"/>
        <v>0</v>
      </c>
      <c r="AL42" s="72">
        <f t="shared" si="5"/>
        <v>0</v>
      </c>
      <c r="AM42" s="73">
        <f t="shared" si="6"/>
        <v>0</v>
      </c>
      <c r="AN42" s="80">
        <f t="shared" si="23"/>
        <v>0</v>
      </c>
      <c r="AO42" s="80">
        <f t="shared" si="23"/>
        <v>0</v>
      </c>
      <c r="AP42" s="75" t="e">
        <f t="shared" si="19"/>
        <v>#DIV/0!</v>
      </c>
      <c r="AQ42" s="76">
        <f t="shared" si="8"/>
        <v>0</v>
      </c>
      <c r="AR42" s="90">
        <f t="shared" si="9"/>
        <v>0</v>
      </c>
    </row>
    <row r="43" spans="1:49" x14ac:dyDescent="0.25">
      <c r="A43" t="str">
        <f t="shared" si="10"/>
        <v>46223E</v>
      </c>
      <c r="B43" s="51">
        <f t="shared" si="20"/>
        <v>46223</v>
      </c>
      <c r="C43" s="52" t="s">
        <v>88</v>
      </c>
      <c r="D43" s="91"/>
      <c r="E43" s="62"/>
      <c r="F43" s="62"/>
      <c r="G43" s="62">
        <f t="shared" si="0"/>
        <v>0</v>
      </c>
      <c r="H43" s="72">
        <f t="shared" si="11"/>
        <v>0</v>
      </c>
      <c r="I43" s="143"/>
      <c r="J43" s="144"/>
      <c r="K43" s="145"/>
      <c r="L43" s="146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89"/>
      <c r="AI43" s="66"/>
      <c r="AJ43" s="66"/>
      <c r="AK43" s="62">
        <f t="shared" si="4"/>
        <v>0</v>
      </c>
      <c r="AL43" s="72">
        <f t="shared" si="5"/>
        <v>0</v>
      </c>
      <c r="AM43" s="73">
        <f t="shared" si="6"/>
        <v>0</v>
      </c>
      <c r="AN43" s="80">
        <f t="shared" si="23"/>
        <v>0</v>
      </c>
      <c r="AO43" s="80">
        <f t="shared" si="23"/>
        <v>0</v>
      </c>
      <c r="AP43" s="75" t="e">
        <f t="shared" si="19"/>
        <v>#DIV/0!</v>
      </c>
      <c r="AQ43" s="76">
        <f t="shared" si="8"/>
        <v>0</v>
      </c>
      <c r="AR43" s="90">
        <f t="shared" si="9"/>
        <v>0</v>
      </c>
    </row>
    <row r="44" spans="1:49" x14ac:dyDescent="0.25">
      <c r="A44" t="str">
        <f t="shared" si="10"/>
        <v>46224M</v>
      </c>
      <c r="B44" s="51">
        <f t="shared" si="20"/>
        <v>46224</v>
      </c>
      <c r="C44" s="52" t="s">
        <v>87</v>
      </c>
      <c r="D44" s="91"/>
      <c r="E44" s="62"/>
      <c r="F44" s="62"/>
      <c r="G44" s="62">
        <f t="shared" si="0"/>
        <v>0</v>
      </c>
      <c r="H44" s="72">
        <f t="shared" si="11"/>
        <v>0</v>
      </c>
      <c r="I44" s="143"/>
      <c r="J44" s="144"/>
      <c r="K44" s="145"/>
      <c r="L44" s="146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89"/>
      <c r="AI44" s="66"/>
      <c r="AJ44" s="66"/>
      <c r="AK44" s="62">
        <f t="shared" si="4"/>
        <v>0</v>
      </c>
      <c r="AL44" s="72">
        <f t="shared" si="5"/>
        <v>0</v>
      </c>
      <c r="AM44" s="73">
        <f t="shared" si="6"/>
        <v>0</v>
      </c>
      <c r="AN44" s="80">
        <f t="shared" si="23"/>
        <v>0</v>
      </c>
      <c r="AO44" s="80">
        <f t="shared" si="23"/>
        <v>0</v>
      </c>
      <c r="AP44" s="75" t="e">
        <f t="shared" si="19"/>
        <v>#DIV/0!</v>
      </c>
      <c r="AQ44" s="76">
        <f t="shared" si="8"/>
        <v>0</v>
      </c>
      <c r="AR44" s="90">
        <f t="shared" si="9"/>
        <v>0</v>
      </c>
    </row>
    <row r="45" spans="1:49" x14ac:dyDescent="0.25">
      <c r="A45" t="str">
        <f t="shared" si="10"/>
        <v>46224E</v>
      </c>
      <c r="B45" s="51">
        <f t="shared" si="20"/>
        <v>46224</v>
      </c>
      <c r="C45" s="52" t="s">
        <v>88</v>
      </c>
      <c r="D45" s="91"/>
      <c r="E45" s="62"/>
      <c r="F45" s="62"/>
      <c r="G45" s="62">
        <f t="shared" si="0"/>
        <v>0</v>
      </c>
      <c r="H45" s="72">
        <f t="shared" si="11"/>
        <v>0</v>
      </c>
      <c r="I45" s="143"/>
      <c r="J45" s="144"/>
      <c r="K45" s="145"/>
      <c r="L45" s="146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89"/>
      <c r="AI45" s="66"/>
      <c r="AJ45" s="66"/>
      <c r="AK45" s="62">
        <f t="shared" si="4"/>
        <v>0</v>
      </c>
      <c r="AL45" s="72">
        <f t="shared" si="5"/>
        <v>0</v>
      </c>
      <c r="AM45" s="73">
        <f t="shared" si="6"/>
        <v>0</v>
      </c>
      <c r="AN45" s="80">
        <f t="shared" si="23"/>
        <v>0</v>
      </c>
      <c r="AO45" s="80">
        <f t="shared" si="23"/>
        <v>0</v>
      </c>
      <c r="AP45" s="75" t="e">
        <f t="shared" si="19"/>
        <v>#DIV/0!</v>
      </c>
      <c r="AQ45" s="76">
        <f t="shared" si="8"/>
        <v>0</v>
      </c>
      <c r="AR45" s="90">
        <f t="shared" si="9"/>
        <v>0</v>
      </c>
    </row>
    <row r="46" spans="1:49" x14ac:dyDescent="0.25">
      <c r="A46" t="str">
        <f t="shared" si="10"/>
        <v>46225M</v>
      </c>
      <c r="B46" s="51">
        <f t="shared" si="20"/>
        <v>46225</v>
      </c>
      <c r="C46" s="52" t="s">
        <v>87</v>
      </c>
      <c r="D46" s="91"/>
      <c r="E46" s="62"/>
      <c r="F46" s="62"/>
      <c r="G46" s="62">
        <f t="shared" si="0"/>
        <v>0</v>
      </c>
      <c r="H46" s="72">
        <f t="shared" si="11"/>
        <v>0</v>
      </c>
      <c r="I46" s="143"/>
      <c r="J46" s="144"/>
      <c r="K46" s="145"/>
      <c r="L46" s="146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89"/>
      <c r="AI46" s="66"/>
      <c r="AJ46" s="66"/>
      <c r="AK46" s="62">
        <f t="shared" si="4"/>
        <v>0</v>
      </c>
      <c r="AL46" s="72">
        <f t="shared" si="5"/>
        <v>0</v>
      </c>
      <c r="AM46" s="73">
        <f t="shared" si="6"/>
        <v>0</v>
      </c>
      <c r="AN46" s="80">
        <f t="shared" si="23"/>
        <v>0</v>
      </c>
      <c r="AO46" s="80">
        <f t="shared" si="23"/>
        <v>0</v>
      </c>
      <c r="AP46" s="75" t="e">
        <f t="shared" si="19"/>
        <v>#DIV/0!</v>
      </c>
      <c r="AQ46" s="76">
        <f t="shared" si="8"/>
        <v>0</v>
      </c>
      <c r="AR46" s="90">
        <f t="shared" si="9"/>
        <v>0</v>
      </c>
    </row>
    <row r="47" spans="1:49" x14ac:dyDescent="0.25">
      <c r="A47" t="str">
        <f t="shared" si="10"/>
        <v>46225E</v>
      </c>
      <c r="B47" s="51">
        <f t="shared" si="20"/>
        <v>46225</v>
      </c>
      <c r="C47" s="52" t="s">
        <v>88</v>
      </c>
      <c r="D47" s="91"/>
      <c r="E47" s="62"/>
      <c r="F47" s="62"/>
      <c r="G47" s="62">
        <f t="shared" si="0"/>
        <v>0</v>
      </c>
      <c r="H47" s="72">
        <f t="shared" si="11"/>
        <v>0</v>
      </c>
      <c r="I47" s="143"/>
      <c r="J47" s="144"/>
      <c r="K47" s="145"/>
      <c r="L47" s="146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89"/>
      <c r="AI47" s="66"/>
      <c r="AJ47" s="66"/>
      <c r="AK47" s="62">
        <f t="shared" si="4"/>
        <v>0</v>
      </c>
      <c r="AL47" s="72">
        <f t="shared" si="5"/>
        <v>0</v>
      </c>
      <c r="AM47" s="73">
        <f t="shared" si="6"/>
        <v>0</v>
      </c>
      <c r="AN47" s="80">
        <f t="shared" si="23"/>
        <v>0</v>
      </c>
      <c r="AO47" s="80">
        <f t="shared" si="23"/>
        <v>0</v>
      </c>
      <c r="AP47" s="75" t="e">
        <f t="shared" si="19"/>
        <v>#DIV/0!</v>
      </c>
      <c r="AQ47" s="76">
        <f t="shared" si="8"/>
        <v>0</v>
      </c>
      <c r="AR47" s="90">
        <f t="shared" si="9"/>
        <v>0</v>
      </c>
      <c r="AS47" s="90">
        <f>SUM(J34:J47)</f>
        <v>0</v>
      </c>
      <c r="AT47" s="83">
        <f>SUM(AM34:AM47)</f>
        <v>0</v>
      </c>
      <c r="AU47" s="83">
        <f>SUM(AN34:AN47)</f>
        <v>0</v>
      </c>
      <c r="AV47" s="83">
        <f>SUM(AO34:AO47)</f>
        <v>0</v>
      </c>
      <c r="AW47" s="83">
        <f>-SUM(AQ34:AQ47)</f>
        <v>0</v>
      </c>
    </row>
    <row r="48" spans="1:49" x14ac:dyDescent="0.25">
      <c r="A48" t="str">
        <f t="shared" si="10"/>
        <v>46226M</v>
      </c>
      <c r="B48" s="51">
        <f t="shared" si="20"/>
        <v>46226</v>
      </c>
      <c r="C48" s="98" t="s">
        <v>87</v>
      </c>
      <c r="D48" s="91"/>
      <c r="E48" s="62"/>
      <c r="F48" s="62"/>
      <c r="G48" s="62">
        <f t="shared" si="0"/>
        <v>0</v>
      </c>
      <c r="H48" s="72">
        <f t="shared" si="11"/>
        <v>0</v>
      </c>
      <c r="I48" s="143"/>
      <c r="J48" s="144"/>
      <c r="K48" s="145"/>
      <c r="L48" s="146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89"/>
      <c r="AI48" s="66"/>
      <c r="AJ48" s="66"/>
      <c r="AK48" s="62">
        <f t="shared" si="4"/>
        <v>0</v>
      </c>
      <c r="AL48" s="72">
        <f t="shared" si="5"/>
        <v>0</v>
      </c>
      <c r="AM48" s="73">
        <f t="shared" si="6"/>
        <v>0</v>
      </c>
      <c r="AN48" s="80">
        <f t="shared" si="23"/>
        <v>0</v>
      </c>
      <c r="AO48" s="80">
        <f t="shared" si="23"/>
        <v>0</v>
      </c>
      <c r="AP48" s="75" t="e">
        <f t="shared" si="19"/>
        <v>#DIV/0!</v>
      </c>
      <c r="AQ48" s="76">
        <f t="shared" si="8"/>
        <v>0</v>
      </c>
      <c r="AR48" s="90">
        <f t="shared" si="9"/>
        <v>0</v>
      </c>
    </row>
    <row r="49" spans="1:49" x14ac:dyDescent="0.25">
      <c r="A49" t="str">
        <f t="shared" si="10"/>
        <v>46226E</v>
      </c>
      <c r="B49" s="51">
        <f t="shared" si="20"/>
        <v>46226</v>
      </c>
      <c r="C49" s="52" t="s">
        <v>88</v>
      </c>
      <c r="D49" s="91"/>
      <c r="E49" s="62"/>
      <c r="F49" s="62"/>
      <c r="G49" s="62">
        <f t="shared" si="0"/>
        <v>0</v>
      </c>
      <c r="H49" s="72">
        <f t="shared" si="11"/>
        <v>0</v>
      </c>
      <c r="I49" s="143"/>
      <c r="J49" s="144"/>
      <c r="K49" s="145"/>
      <c r="L49" s="146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89"/>
      <c r="AI49" s="66"/>
      <c r="AJ49" s="66"/>
      <c r="AK49" s="62">
        <f t="shared" si="4"/>
        <v>0</v>
      </c>
      <c r="AL49" s="72">
        <f t="shared" si="5"/>
        <v>0</v>
      </c>
      <c r="AM49" s="73">
        <f t="shared" si="6"/>
        <v>0</v>
      </c>
      <c r="AN49" s="80">
        <f t="shared" si="23"/>
        <v>0</v>
      </c>
      <c r="AO49" s="80">
        <f t="shared" si="23"/>
        <v>0</v>
      </c>
      <c r="AP49" s="75" t="e">
        <f t="shared" si="19"/>
        <v>#DIV/0!</v>
      </c>
      <c r="AQ49" s="76">
        <f t="shared" si="8"/>
        <v>0</v>
      </c>
      <c r="AR49" s="90">
        <f t="shared" si="9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0"/>
        <v>46227M</v>
      </c>
      <c r="B50" s="51">
        <f t="shared" si="20"/>
        <v>46227</v>
      </c>
      <c r="C50" s="52" t="s">
        <v>87</v>
      </c>
      <c r="D50" s="91"/>
      <c r="E50" s="62"/>
      <c r="F50" s="62"/>
      <c r="G50" s="62">
        <f t="shared" si="0"/>
        <v>0</v>
      </c>
      <c r="H50" s="72">
        <f t="shared" si="11"/>
        <v>0</v>
      </c>
      <c r="I50" s="143"/>
      <c r="J50" s="144"/>
      <c r="K50" s="145"/>
      <c r="L50" s="146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89"/>
      <c r="AI50" s="66"/>
      <c r="AJ50" s="66"/>
      <c r="AK50" s="62">
        <f t="shared" si="4"/>
        <v>0</v>
      </c>
      <c r="AL50" s="72">
        <f t="shared" si="5"/>
        <v>0</v>
      </c>
      <c r="AM50" s="73">
        <f t="shared" si="6"/>
        <v>0</v>
      </c>
      <c r="AN50" s="80">
        <f t="shared" si="23"/>
        <v>0</v>
      </c>
      <c r="AO50" s="80">
        <f t="shared" si="23"/>
        <v>0</v>
      </c>
      <c r="AP50" s="75" t="e">
        <f t="shared" si="19"/>
        <v>#DIV/0!</v>
      </c>
      <c r="AQ50" s="76">
        <f t="shared" si="8"/>
        <v>0</v>
      </c>
      <c r="AR50" s="90">
        <f t="shared" si="9"/>
        <v>0</v>
      </c>
    </row>
    <row r="51" spans="1:49" x14ac:dyDescent="0.25">
      <c r="A51" t="str">
        <f t="shared" si="10"/>
        <v>46227E</v>
      </c>
      <c r="B51" s="51">
        <f t="shared" si="20"/>
        <v>46227</v>
      </c>
      <c r="C51" s="52" t="s">
        <v>88</v>
      </c>
      <c r="D51" s="91"/>
      <c r="E51" s="62"/>
      <c r="F51" s="62"/>
      <c r="G51" s="62">
        <f t="shared" si="0"/>
        <v>0</v>
      </c>
      <c r="H51" s="72">
        <f t="shared" si="11"/>
        <v>0</v>
      </c>
      <c r="I51" s="143"/>
      <c r="J51" s="144"/>
      <c r="K51" s="145"/>
      <c r="L51" s="146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89"/>
      <c r="AI51" s="66"/>
      <c r="AJ51" s="66"/>
      <c r="AK51" s="62">
        <f t="shared" si="4"/>
        <v>0</v>
      </c>
      <c r="AL51" s="72">
        <f t="shared" si="5"/>
        <v>0</v>
      </c>
      <c r="AM51" s="73">
        <f t="shared" si="6"/>
        <v>0</v>
      </c>
      <c r="AN51" s="80">
        <f t="shared" si="23"/>
        <v>0</v>
      </c>
      <c r="AO51" s="80">
        <f t="shared" si="23"/>
        <v>0</v>
      </c>
      <c r="AP51" s="75" t="e">
        <f t="shared" si="19"/>
        <v>#DIV/0!</v>
      </c>
      <c r="AQ51" s="76">
        <f t="shared" si="8"/>
        <v>0</v>
      </c>
      <c r="AR51" s="90">
        <f t="shared" si="9"/>
        <v>0</v>
      </c>
    </row>
    <row r="52" spans="1:49" x14ac:dyDescent="0.25">
      <c r="A52" t="str">
        <f t="shared" si="10"/>
        <v>46228M</v>
      </c>
      <c r="B52" s="51">
        <f t="shared" si="20"/>
        <v>46228</v>
      </c>
      <c r="C52" s="52" t="s">
        <v>87</v>
      </c>
      <c r="D52" s="91"/>
      <c r="E52" s="62"/>
      <c r="F52" s="62"/>
      <c r="G52" s="62">
        <f t="shared" si="0"/>
        <v>0</v>
      </c>
      <c r="H52" s="72">
        <f t="shared" si="11"/>
        <v>0</v>
      </c>
      <c r="I52" s="143"/>
      <c r="J52" s="144"/>
      <c r="K52" s="145"/>
      <c r="L52" s="146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89"/>
      <c r="AI52" s="66"/>
      <c r="AJ52" s="66"/>
      <c r="AK52" s="62">
        <f t="shared" si="4"/>
        <v>0</v>
      </c>
      <c r="AL52" s="72">
        <f t="shared" si="5"/>
        <v>0</v>
      </c>
      <c r="AM52" s="73">
        <f t="shared" si="6"/>
        <v>0</v>
      </c>
      <c r="AN52" s="80">
        <f t="shared" ref="AN52:AO65" si="24">+G52+S52-AF52-AK52</f>
        <v>0</v>
      </c>
      <c r="AO52" s="80">
        <f t="shared" si="24"/>
        <v>0</v>
      </c>
      <c r="AP52" s="75" t="e">
        <f t="shared" si="19"/>
        <v>#DIV/0!</v>
      </c>
      <c r="AQ52" s="76">
        <f t="shared" si="8"/>
        <v>0</v>
      </c>
      <c r="AR52" s="90">
        <f t="shared" si="9"/>
        <v>0</v>
      </c>
    </row>
    <row r="53" spans="1:49" x14ac:dyDescent="0.25">
      <c r="A53" t="str">
        <f t="shared" si="10"/>
        <v>46228E</v>
      </c>
      <c r="B53" s="51">
        <f t="shared" si="20"/>
        <v>46228</v>
      </c>
      <c r="C53" s="52" t="s">
        <v>88</v>
      </c>
      <c r="D53" s="91"/>
      <c r="E53" s="62"/>
      <c r="F53" s="62"/>
      <c r="G53" s="62">
        <f t="shared" si="0"/>
        <v>0</v>
      </c>
      <c r="H53" s="72">
        <f t="shared" si="11"/>
        <v>0</v>
      </c>
      <c r="I53" s="143"/>
      <c r="J53" s="144"/>
      <c r="K53" s="145"/>
      <c r="L53" s="146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89"/>
      <c r="AI53" s="66"/>
      <c r="AJ53" s="66"/>
      <c r="AK53" s="62">
        <f t="shared" si="4"/>
        <v>0</v>
      </c>
      <c r="AL53" s="72">
        <f t="shared" si="5"/>
        <v>0</v>
      </c>
      <c r="AM53" s="73">
        <f t="shared" si="6"/>
        <v>0</v>
      </c>
      <c r="AN53" s="80">
        <f t="shared" si="24"/>
        <v>0</v>
      </c>
      <c r="AO53" s="80">
        <f t="shared" si="24"/>
        <v>0</v>
      </c>
      <c r="AP53" s="75" t="e">
        <f t="shared" si="19"/>
        <v>#DIV/0!</v>
      </c>
      <c r="AQ53" s="76">
        <f t="shared" si="8"/>
        <v>0</v>
      </c>
      <c r="AR53" s="90">
        <f t="shared" si="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0"/>
        <v>46229M</v>
      </c>
      <c r="B54" s="51">
        <f t="shared" si="20"/>
        <v>46229</v>
      </c>
      <c r="C54" s="52" t="s">
        <v>87</v>
      </c>
      <c r="D54" s="91"/>
      <c r="E54" s="62"/>
      <c r="F54" s="62"/>
      <c r="G54" s="62">
        <f t="shared" si="0"/>
        <v>0</v>
      </c>
      <c r="H54" s="72">
        <f t="shared" si="11"/>
        <v>0</v>
      </c>
      <c r="I54" s="143"/>
      <c r="J54" s="144"/>
      <c r="K54" s="145"/>
      <c r="L54" s="146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89"/>
      <c r="AI54" s="66"/>
      <c r="AJ54" s="66"/>
      <c r="AK54" s="62">
        <f t="shared" si="4"/>
        <v>0</v>
      </c>
      <c r="AL54" s="72">
        <f t="shared" si="5"/>
        <v>0</v>
      </c>
      <c r="AM54" s="73">
        <f t="shared" si="6"/>
        <v>0</v>
      </c>
      <c r="AN54" s="80">
        <f t="shared" si="24"/>
        <v>0</v>
      </c>
      <c r="AO54" s="80">
        <f t="shared" si="24"/>
        <v>0</v>
      </c>
      <c r="AP54" s="75" t="e">
        <f t="shared" si="19"/>
        <v>#DIV/0!</v>
      </c>
      <c r="AQ54" s="76">
        <f t="shared" si="8"/>
        <v>0</v>
      </c>
      <c r="AR54" s="90">
        <f t="shared" si="9"/>
        <v>0</v>
      </c>
    </row>
    <row r="55" spans="1:49" x14ac:dyDescent="0.25">
      <c r="A55" t="str">
        <f t="shared" si="10"/>
        <v>46229E</v>
      </c>
      <c r="B55" s="51">
        <f t="shared" si="20"/>
        <v>46229</v>
      </c>
      <c r="C55" s="52" t="s">
        <v>88</v>
      </c>
      <c r="D55" s="91"/>
      <c r="E55" s="62"/>
      <c r="F55" s="62"/>
      <c r="G55" s="62">
        <f t="shared" si="0"/>
        <v>0</v>
      </c>
      <c r="H55" s="72">
        <f t="shared" si="11"/>
        <v>0</v>
      </c>
      <c r="I55" s="143"/>
      <c r="J55" s="144"/>
      <c r="K55" s="145"/>
      <c r="L55" s="146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89"/>
      <c r="AI55" s="66"/>
      <c r="AJ55" s="66"/>
      <c r="AK55" s="62">
        <f t="shared" si="4"/>
        <v>0</v>
      </c>
      <c r="AL55" s="72">
        <f t="shared" si="5"/>
        <v>0</v>
      </c>
      <c r="AM55" s="73">
        <f t="shared" si="6"/>
        <v>0</v>
      </c>
      <c r="AN55" s="80">
        <f t="shared" si="24"/>
        <v>0</v>
      </c>
      <c r="AO55" s="80">
        <f t="shared" si="24"/>
        <v>0</v>
      </c>
      <c r="AP55" s="75" t="e">
        <f t="shared" si="19"/>
        <v>#DIV/0!</v>
      </c>
      <c r="AQ55" s="76">
        <f t="shared" si="8"/>
        <v>0</v>
      </c>
      <c r="AR55" s="90">
        <f t="shared" si="9"/>
        <v>0</v>
      </c>
    </row>
    <row r="56" spans="1:49" x14ac:dyDescent="0.25">
      <c r="A56" t="str">
        <f t="shared" si="10"/>
        <v>46230M</v>
      </c>
      <c r="B56" s="51">
        <f t="shared" si="20"/>
        <v>46230</v>
      </c>
      <c r="C56" s="52" t="s">
        <v>87</v>
      </c>
      <c r="D56" s="91"/>
      <c r="E56" s="62"/>
      <c r="F56" s="62"/>
      <c r="G56" s="62">
        <f t="shared" si="0"/>
        <v>0</v>
      </c>
      <c r="H56" s="72">
        <f t="shared" si="11"/>
        <v>0</v>
      </c>
      <c r="I56" s="143"/>
      <c r="J56" s="144"/>
      <c r="K56" s="145"/>
      <c r="L56" s="146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89"/>
      <c r="AI56" s="66"/>
      <c r="AJ56" s="66"/>
      <c r="AK56" s="62">
        <f t="shared" si="4"/>
        <v>0</v>
      </c>
      <c r="AL56" s="72">
        <f t="shared" si="5"/>
        <v>0</v>
      </c>
      <c r="AM56" s="73">
        <f t="shared" si="6"/>
        <v>0</v>
      </c>
      <c r="AN56" s="80">
        <f t="shared" si="24"/>
        <v>0</v>
      </c>
      <c r="AO56" s="80">
        <f t="shared" si="24"/>
        <v>0</v>
      </c>
      <c r="AP56" s="75" t="e">
        <f t="shared" si="19"/>
        <v>#DIV/0!</v>
      </c>
      <c r="AQ56" s="76">
        <f t="shared" si="8"/>
        <v>0</v>
      </c>
      <c r="AR56" s="90">
        <f t="shared" si="9"/>
        <v>0</v>
      </c>
    </row>
    <row r="57" spans="1:49" x14ac:dyDescent="0.25">
      <c r="A57" t="str">
        <f t="shared" si="10"/>
        <v>46230E</v>
      </c>
      <c r="B57" s="51">
        <f t="shared" si="20"/>
        <v>46230</v>
      </c>
      <c r="C57" s="52" t="s">
        <v>88</v>
      </c>
      <c r="D57" s="91"/>
      <c r="E57" s="62"/>
      <c r="F57" s="62"/>
      <c r="G57" s="62">
        <f t="shared" si="0"/>
        <v>0</v>
      </c>
      <c r="H57" s="72">
        <f t="shared" si="11"/>
        <v>0</v>
      </c>
      <c r="I57" s="143"/>
      <c r="J57" s="144"/>
      <c r="K57" s="145"/>
      <c r="L57" s="146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89"/>
      <c r="AI57" s="66"/>
      <c r="AJ57" s="66"/>
      <c r="AK57" s="62">
        <f t="shared" si="4"/>
        <v>0</v>
      </c>
      <c r="AL57" s="72">
        <f t="shared" si="5"/>
        <v>0</v>
      </c>
      <c r="AM57" s="73">
        <f t="shared" si="6"/>
        <v>0</v>
      </c>
      <c r="AN57" s="80">
        <f t="shared" si="24"/>
        <v>0</v>
      </c>
      <c r="AO57" s="80">
        <f t="shared" si="24"/>
        <v>0</v>
      </c>
      <c r="AP57" s="75" t="e">
        <f t="shared" si="19"/>
        <v>#DIV/0!</v>
      </c>
      <c r="AQ57" s="76">
        <f t="shared" si="8"/>
        <v>0</v>
      </c>
      <c r="AR57" s="90">
        <f t="shared" si="9"/>
        <v>0</v>
      </c>
    </row>
    <row r="58" spans="1:49" x14ac:dyDescent="0.25">
      <c r="A58" t="str">
        <f t="shared" si="10"/>
        <v>46231M</v>
      </c>
      <c r="B58" s="51">
        <f t="shared" si="20"/>
        <v>46231</v>
      </c>
      <c r="C58" s="52" t="s">
        <v>87</v>
      </c>
      <c r="D58" s="91"/>
      <c r="E58" s="62"/>
      <c r="F58" s="62"/>
      <c r="G58" s="62">
        <f t="shared" si="0"/>
        <v>0</v>
      </c>
      <c r="H58" s="72">
        <f t="shared" si="11"/>
        <v>0</v>
      </c>
      <c r="I58" s="143"/>
      <c r="J58" s="144"/>
      <c r="K58" s="145"/>
      <c r="L58" s="146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89"/>
      <c r="AI58" s="66"/>
      <c r="AJ58" s="66"/>
      <c r="AK58" s="62">
        <f t="shared" si="4"/>
        <v>0</v>
      </c>
      <c r="AL58" s="72">
        <f t="shared" si="5"/>
        <v>0</v>
      </c>
      <c r="AM58" s="73">
        <f t="shared" si="6"/>
        <v>0</v>
      </c>
      <c r="AN58" s="80">
        <f t="shared" si="24"/>
        <v>0</v>
      </c>
      <c r="AO58" s="80">
        <f t="shared" si="24"/>
        <v>0</v>
      </c>
      <c r="AP58" s="75" t="e">
        <f t="shared" si="19"/>
        <v>#DIV/0!</v>
      </c>
      <c r="AQ58" s="76">
        <f t="shared" si="8"/>
        <v>0</v>
      </c>
      <c r="AR58" s="90">
        <f t="shared" si="9"/>
        <v>0</v>
      </c>
    </row>
    <row r="59" spans="1:49" x14ac:dyDescent="0.25">
      <c r="A59" t="str">
        <f t="shared" si="10"/>
        <v>46231E</v>
      </c>
      <c r="B59" s="51">
        <f t="shared" si="20"/>
        <v>46231</v>
      </c>
      <c r="C59" s="52" t="s">
        <v>88</v>
      </c>
      <c r="D59" s="91"/>
      <c r="E59" s="62"/>
      <c r="F59" s="62"/>
      <c r="G59" s="62">
        <f t="shared" si="0"/>
        <v>0</v>
      </c>
      <c r="H59" s="72">
        <f t="shared" si="11"/>
        <v>0</v>
      </c>
      <c r="I59" s="143"/>
      <c r="J59" s="144"/>
      <c r="K59" s="145"/>
      <c r="L59" s="146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89"/>
      <c r="AI59" s="66"/>
      <c r="AJ59" s="66"/>
      <c r="AK59" s="62">
        <f t="shared" si="4"/>
        <v>0</v>
      </c>
      <c r="AL59" s="72">
        <f t="shared" si="5"/>
        <v>0</v>
      </c>
      <c r="AM59" s="73">
        <f t="shared" si="6"/>
        <v>0</v>
      </c>
      <c r="AN59" s="80">
        <f t="shared" si="24"/>
        <v>0</v>
      </c>
      <c r="AO59" s="80">
        <f t="shared" si="24"/>
        <v>0</v>
      </c>
      <c r="AP59" s="75" t="e">
        <f t="shared" si="19"/>
        <v>#DIV/0!</v>
      </c>
      <c r="AQ59" s="76">
        <f t="shared" si="8"/>
        <v>0</v>
      </c>
      <c r="AR59" s="90">
        <f t="shared" si="9"/>
        <v>0</v>
      </c>
    </row>
    <row r="60" spans="1:49" x14ac:dyDescent="0.25">
      <c r="A60" t="str">
        <f t="shared" si="10"/>
        <v>46232M</v>
      </c>
      <c r="B60" s="51">
        <f t="shared" si="20"/>
        <v>46232</v>
      </c>
      <c r="C60" s="52" t="s">
        <v>87</v>
      </c>
      <c r="D60" s="91"/>
      <c r="E60" s="62"/>
      <c r="F60" s="62"/>
      <c r="G60" s="62">
        <f t="shared" si="0"/>
        <v>0</v>
      </c>
      <c r="H60" s="72">
        <f t="shared" si="11"/>
        <v>0</v>
      </c>
      <c r="I60" s="143"/>
      <c r="J60" s="144"/>
      <c r="K60" s="145"/>
      <c r="L60" s="146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89"/>
      <c r="AI60" s="66"/>
      <c r="AJ60" s="66"/>
      <c r="AK60" s="62">
        <f t="shared" si="4"/>
        <v>0</v>
      </c>
      <c r="AL60" s="72">
        <f t="shared" si="5"/>
        <v>0</v>
      </c>
      <c r="AM60" s="73">
        <f t="shared" si="6"/>
        <v>0</v>
      </c>
      <c r="AN60" s="80">
        <f t="shared" si="24"/>
        <v>0</v>
      </c>
      <c r="AO60" s="80">
        <f t="shared" si="24"/>
        <v>0</v>
      </c>
      <c r="AP60" s="75" t="e">
        <f t="shared" si="19"/>
        <v>#DIV/0!</v>
      </c>
      <c r="AQ60" s="76">
        <f t="shared" si="8"/>
        <v>0</v>
      </c>
      <c r="AR60" s="90">
        <f t="shared" si="9"/>
        <v>0</v>
      </c>
    </row>
    <row r="61" spans="1:49" x14ac:dyDescent="0.25">
      <c r="A61" t="str">
        <f t="shared" si="10"/>
        <v>46232E</v>
      </c>
      <c r="B61" s="51">
        <f t="shared" si="20"/>
        <v>46232</v>
      </c>
      <c r="C61" s="52" t="s">
        <v>88</v>
      </c>
      <c r="D61" s="91"/>
      <c r="E61" s="62"/>
      <c r="F61" s="62"/>
      <c r="G61" s="62">
        <f t="shared" si="0"/>
        <v>0</v>
      </c>
      <c r="H61" s="72">
        <f t="shared" si="11"/>
        <v>0</v>
      </c>
      <c r="I61" s="143"/>
      <c r="J61" s="144"/>
      <c r="K61" s="145"/>
      <c r="L61" s="146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89"/>
      <c r="AI61" s="66"/>
      <c r="AJ61" s="66"/>
      <c r="AK61" s="62">
        <f t="shared" si="4"/>
        <v>0</v>
      </c>
      <c r="AL61" s="72">
        <f t="shared" si="5"/>
        <v>0</v>
      </c>
      <c r="AM61" s="73">
        <f t="shared" si="6"/>
        <v>0</v>
      </c>
      <c r="AN61" s="80">
        <f t="shared" si="24"/>
        <v>0</v>
      </c>
      <c r="AO61" s="80">
        <f t="shared" si="24"/>
        <v>0</v>
      </c>
      <c r="AP61" s="75" t="e">
        <f t="shared" si="19"/>
        <v>#DIV/0!</v>
      </c>
      <c r="AQ61" s="76">
        <f t="shared" si="8"/>
        <v>0</v>
      </c>
      <c r="AR61" s="90">
        <f t="shared" si="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46233M</v>
      </c>
      <c r="B62" s="51">
        <f t="shared" si="20"/>
        <v>46233</v>
      </c>
      <c r="C62" s="52" t="s">
        <v>87</v>
      </c>
      <c r="D62" s="91"/>
      <c r="E62" s="62"/>
      <c r="F62" s="62"/>
      <c r="G62" s="62">
        <f t="shared" si="0"/>
        <v>0</v>
      </c>
      <c r="H62" s="72">
        <f t="shared" si="11"/>
        <v>0</v>
      </c>
      <c r="I62" s="143"/>
      <c r="J62" s="144"/>
      <c r="K62" s="145"/>
      <c r="L62" s="146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89"/>
      <c r="AI62" s="66"/>
      <c r="AJ62" s="66"/>
      <c r="AK62" s="62">
        <f t="shared" si="4"/>
        <v>0</v>
      </c>
      <c r="AL62" s="72">
        <f t="shared" si="5"/>
        <v>0</v>
      </c>
      <c r="AM62" s="73">
        <f t="shared" si="6"/>
        <v>0</v>
      </c>
      <c r="AN62" s="80">
        <f t="shared" si="24"/>
        <v>0</v>
      </c>
      <c r="AO62" s="80">
        <f t="shared" si="24"/>
        <v>0</v>
      </c>
      <c r="AP62" s="75" t="e">
        <f t="shared" si="19"/>
        <v>#DIV/0!</v>
      </c>
      <c r="AQ62" s="76">
        <f t="shared" si="8"/>
        <v>0</v>
      </c>
      <c r="AR62" s="90">
        <f t="shared" si="9"/>
        <v>0</v>
      </c>
    </row>
    <row r="63" spans="1:49" x14ac:dyDescent="0.25">
      <c r="A63" t="str">
        <f t="shared" si="10"/>
        <v>46233E</v>
      </c>
      <c r="B63" s="51">
        <f t="shared" si="20"/>
        <v>46233</v>
      </c>
      <c r="C63" s="52" t="s">
        <v>88</v>
      </c>
      <c r="D63" s="91"/>
      <c r="E63" s="62"/>
      <c r="F63" s="62"/>
      <c r="G63" s="62">
        <f t="shared" si="0"/>
        <v>0</v>
      </c>
      <c r="H63" s="72">
        <f t="shared" si="11"/>
        <v>0</v>
      </c>
      <c r="I63" s="143"/>
      <c r="J63" s="144"/>
      <c r="K63" s="145"/>
      <c r="L63" s="146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89"/>
      <c r="AI63" s="66"/>
      <c r="AJ63" s="66"/>
      <c r="AK63" s="62">
        <f t="shared" si="4"/>
        <v>0</v>
      </c>
      <c r="AL63" s="72">
        <f t="shared" si="5"/>
        <v>0</v>
      </c>
      <c r="AM63" s="73">
        <f t="shared" si="6"/>
        <v>0</v>
      </c>
      <c r="AN63" s="80">
        <f t="shared" si="24"/>
        <v>0</v>
      </c>
      <c r="AO63" s="80">
        <f t="shared" si="24"/>
        <v>0</v>
      </c>
      <c r="AP63" s="75" t="e">
        <f t="shared" si="19"/>
        <v>#DIV/0!</v>
      </c>
      <c r="AQ63" s="76">
        <f t="shared" si="8"/>
        <v>0</v>
      </c>
      <c r="AR63" s="90">
        <f t="shared" si="9"/>
        <v>0</v>
      </c>
    </row>
    <row r="64" spans="1:49" x14ac:dyDescent="0.25">
      <c r="A64" t="str">
        <f t="shared" si="10"/>
        <v>46234M</v>
      </c>
      <c r="B64" s="51">
        <f t="shared" si="20"/>
        <v>46234</v>
      </c>
      <c r="C64" s="52" t="s">
        <v>87</v>
      </c>
      <c r="D64" s="91"/>
      <c r="E64" s="62"/>
      <c r="F64" s="62"/>
      <c r="G64" s="62">
        <f t="shared" si="0"/>
        <v>0</v>
      </c>
      <c r="H64" s="72">
        <f t="shared" si="11"/>
        <v>0</v>
      </c>
      <c r="I64" s="143"/>
      <c r="J64" s="144"/>
      <c r="K64" s="145"/>
      <c r="L64" s="146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89"/>
      <c r="AI64" s="66"/>
      <c r="AJ64" s="66"/>
      <c r="AK64" s="62">
        <f t="shared" si="4"/>
        <v>0</v>
      </c>
      <c r="AL64" s="72">
        <f t="shared" si="5"/>
        <v>0</v>
      </c>
      <c r="AM64" s="73">
        <f t="shared" si="6"/>
        <v>0</v>
      </c>
      <c r="AN64" s="80">
        <f t="shared" si="24"/>
        <v>0</v>
      </c>
      <c r="AO64" s="80">
        <f t="shared" si="24"/>
        <v>0</v>
      </c>
      <c r="AP64" s="75" t="e">
        <f t="shared" si="19"/>
        <v>#DIV/0!</v>
      </c>
      <c r="AQ64" s="76">
        <f t="shared" si="8"/>
        <v>0</v>
      </c>
      <c r="AR64" s="90">
        <f t="shared" si="9"/>
        <v>0</v>
      </c>
      <c r="AT64">
        <v>745</v>
      </c>
    </row>
    <row r="65" spans="1:49" x14ac:dyDescent="0.25">
      <c r="A65" t="str">
        <f t="shared" si="10"/>
        <v>46234E</v>
      </c>
      <c r="B65" s="51">
        <f t="shared" si="20"/>
        <v>46234</v>
      </c>
      <c r="C65" s="52" t="s">
        <v>88</v>
      </c>
      <c r="D65" s="91"/>
      <c r="E65" s="62"/>
      <c r="F65" s="62"/>
      <c r="G65" s="62">
        <f t="shared" si="0"/>
        <v>0</v>
      </c>
      <c r="H65" s="72">
        <f t="shared" si="11"/>
        <v>0</v>
      </c>
      <c r="I65" s="143"/>
      <c r="J65" s="144"/>
      <c r="K65" s="145"/>
      <c r="L65" s="146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89"/>
      <c r="AI65" s="66"/>
      <c r="AJ65" s="66"/>
      <c r="AK65" s="62">
        <f t="shared" si="4"/>
        <v>0</v>
      </c>
      <c r="AL65" s="72">
        <f t="shared" si="5"/>
        <v>0</v>
      </c>
      <c r="AM65" s="73">
        <f t="shared" si="6"/>
        <v>0</v>
      </c>
      <c r="AN65" s="80">
        <f t="shared" si="24"/>
        <v>0</v>
      </c>
      <c r="AO65" s="80">
        <f t="shared" si="24"/>
        <v>0</v>
      </c>
      <c r="AP65" s="75" t="e">
        <f t="shared" si="19"/>
        <v>#DIV/0!</v>
      </c>
      <c r="AQ65" s="76">
        <f t="shared" si="8"/>
        <v>0</v>
      </c>
      <c r="AR65" s="90">
        <f t="shared" si="9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22450.817299999995</v>
      </c>
      <c r="AM66" s="93">
        <f>-SUM(AM4:AM65)</f>
        <v>111.18269999999893</v>
      </c>
      <c r="AN66" s="93">
        <f>-SUM(AN4:AN65)</f>
        <v>-6.6929021000000688</v>
      </c>
      <c r="AO66" s="93">
        <f>-SUM(AO4:AO65)</f>
        <v>15.498258599999986</v>
      </c>
      <c r="AP66" s="94"/>
      <c r="AQ66" s="93">
        <f>-SUM(AQ4:AQ65)</f>
        <v>1425.4331881910916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4" priority="2" operator="lessThan">
      <formula>0.1</formula>
    </cfRule>
    <cfRule type="cellIs" dxfId="33" priority="3" operator="greaterThan">
      <formula>0.1</formula>
    </cfRule>
  </conditionalFormatting>
  <conditionalFormatting sqref="AP1:AQ1">
    <cfRule type="cellIs" dxfId="32" priority="1" operator="lessThan">
      <formula>1</formula>
    </cfRule>
  </conditionalFormatting>
  <conditionalFormatting sqref="AQ4:AQ65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7" sqref="O17:Q17"/>
    </sheetView>
  </sheetViews>
  <sheetFormatPr defaultRowHeight="15" x14ac:dyDescent="0.25"/>
  <cols>
    <col min="1" max="1" width="3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9.28515625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2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5.1406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" bestFit="1" customWidth="1"/>
    <col min="49" max="49" width="7.85546875" bestFit="1" customWidth="1"/>
  </cols>
  <sheetData>
    <row r="1" spans="1:44" ht="15.75" thickBot="1" x14ac:dyDescent="0.3">
      <c r="B1" s="43" t="s">
        <v>99</v>
      </c>
      <c r="C1" s="44"/>
      <c r="L1">
        <v>2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11468</v>
      </c>
      <c r="E4" s="108">
        <v>5.2</v>
      </c>
      <c r="F4" s="108">
        <v>8.6</v>
      </c>
      <c r="G4" s="55">
        <f t="shared" ref="G4:G35" si="0">+D4*E4%</f>
        <v>596.33600000000001</v>
      </c>
      <c r="H4" s="142">
        <f>D4*F4%</f>
        <v>986.24799999999993</v>
      </c>
      <c r="I4" s="143">
        <v>2178.2000000000003</v>
      </c>
      <c r="J4" s="144">
        <v>2243.5460000000003</v>
      </c>
      <c r="K4" s="145">
        <v>4.5805297952437787</v>
      </c>
      <c r="L4" s="146">
        <v>8.2324579928381212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2243.5460000000003</v>
      </c>
      <c r="S4" s="62">
        <f>+J4*K4%+O4*P4%</f>
        <v>102.766293</v>
      </c>
      <c r="T4" s="63">
        <f>+J4*L4%+O4*Q4%</f>
        <v>184.69898199999997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X4*Y4%</f>
        <v>0</v>
      </c>
      <c r="AB4" s="63">
        <f t="shared" ref="AB4" si="1">X4*Z4%</f>
        <v>0</v>
      </c>
      <c r="AC4" s="69"/>
      <c r="AD4" s="70"/>
      <c r="AE4" s="70"/>
      <c r="AF4" s="62">
        <f t="shared" ref="AF4" si="2">AC4*AD4%</f>
        <v>0</v>
      </c>
      <c r="AG4" s="63">
        <f t="shared" ref="AG4" si="3">AC4*AE4%</f>
        <v>0</v>
      </c>
      <c r="AH4" s="89">
        <v>13735</v>
      </c>
      <c r="AI4" s="66">
        <v>5.0999999999999996</v>
      </c>
      <c r="AJ4" s="66">
        <v>8.5</v>
      </c>
      <c r="AK4" s="62">
        <f t="shared" ref="AK4" si="4">AH4*AI4%</f>
        <v>700.4849999999999</v>
      </c>
      <c r="AL4" s="72">
        <f t="shared" ref="AL4" si="5">AH4*AJ4%</f>
        <v>1167.4750000000001</v>
      </c>
      <c r="AM4" s="73">
        <f t="shared" ref="AM4:AM35" si="6">+D4+R4-AC4-AH4</f>
        <v>-23.453999999999724</v>
      </c>
      <c r="AN4" s="74">
        <f t="shared" ref="AN4:AO4" si="7">+G4+S4-AF4-AK4</f>
        <v>-1.3827069999998685</v>
      </c>
      <c r="AO4" s="74">
        <f t="shared" si="7"/>
        <v>3.4719819999997981</v>
      </c>
      <c r="AP4" s="75">
        <f>(AN4+AO4)/(S4+T4)</f>
        <v>7.2679213167570582E-3</v>
      </c>
      <c r="AQ4" s="76">
        <f t="shared" ref="AQ4:AQ65" si="8">($AP$1*AN4+$AQ$1*AO4)</f>
        <v>375.39198397134476</v>
      </c>
      <c r="AR4" s="90">
        <f t="shared" ref="AR4:AR35" si="9">(D4+J4+O4)-(X4+AH4)</f>
        <v>-23.453999999999724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13735</v>
      </c>
      <c r="E5" s="62">
        <v>5.0999999999999996</v>
      </c>
      <c r="F5" s="62">
        <v>8.5</v>
      </c>
      <c r="G5" s="62">
        <f t="shared" si="0"/>
        <v>700.4849999999999</v>
      </c>
      <c r="H5" s="72">
        <f t="shared" ref="H5:H36" si="11">+D5*F5%</f>
        <v>1167.4750000000001</v>
      </c>
      <c r="I5" s="118">
        <v>3183.0999999999995</v>
      </c>
      <c r="J5" s="119">
        <v>3278.5929999999994</v>
      </c>
      <c r="K5" s="120">
        <v>4.2050988030536276</v>
      </c>
      <c r="L5" s="121">
        <v>8.2958342496308646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3278.5929999999994</v>
      </c>
      <c r="S5" s="62">
        <f t="shared" ref="S5:S65" si="13">+J5*K5%+O5*P5%</f>
        <v>137.868075</v>
      </c>
      <c r="T5" s="63">
        <f t="shared" ref="T5:T65" si="14">+J5*L5%+O5*Q5%</f>
        <v>271.98664100000002</v>
      </c>
      <c r="U5" s="64" t="s">
        <v>206</v>
      </c>
      <c r="V5" s="65" t="s">
        <v>246</v>
      </c>
      <c r="W5" s="66" t="s">
        <v>184</v>
      </c>
      <c r="X5" s="67">
        <v>8220</v>
      </c>
      <c r="Y5" s="68">
        <v>4.45</v>
      </c>
      <c r="Z5" s="68">
        <v>8.49</v>
      </c>
      <c r="AA5" s="62">
        <f t="shared" ref="AA5:AA11" si="15">X5*Y5%</f>
        <v>365.79</v>
      </c>
      <c r="AB5" s="63">
        <f t="shared" ref="AB5:AB11" si="16">X5*Z5%</f>
        <v>697.87800000000004</v>
      </c>
      <c r="AC5" s="69">
        <v>8160</v>
      </c>
      <c r="AD5" s="70">
        <v>4.4000000000000004</v>
      </c>
      <c r="AE5" s="70">
        <v>8.4749999999999996</v>
      </c>
      <c r="AF5" s="62">
        <f t="shared" ref="AF5:AF18" si="17">AC5*AD5%</f>
        <v>359.04</v>
      </c>
      <c r="AG5" s="63">
        <f t="shared" ref="AG5:AG18" si="18">AC5*AE5%</f>
        <v>691.56</v>
      </c>
      <c r="AH5" s="89">
        <v>8840</v>
      </c>
      <c r="AI5" s="66">
        <v>5.4</v>
      </c>
      <c r="AJ5" s="66">
        <v>8.5</v>
      </c>
      <c r="AK5" s="62">
        <f t="shared" ref="AK5:AK19" si="19">AH5*AI5%</f>
        <v>477.36000000000007</v>
      </c>
      <c r="AL5" s="72">
        <f t="shared" ref="AL5:AL19" si="20">AH5*AJ5%</f>
        <v>751.40000000000009</v>
      </c>
      <c r="AM5" s="73">
        <f t="shared" si="6"/>
        <v>13.593000000000757</v>
      </c>
      <c r="AN5" s="74">
        <f t="shared" ref="AN5:AN19" si="21">+G5+S5-AF5-AK5</f>
        <v>1.9530749999997852</v>
      </c>
      <c r="AO5" s="74">
        <f t="shared" ref="AO5:AO19" si="22">+H5+T5-AG5-AL5</f>
        <v>-3.4983589999999367</v>
      </c>
      <c r="AP5" s="75">
        <f t="shared" ref="AP5:AP19" si="23">(AN5+AO5)/(S5+T5)</f>
        <v>-3.7703213838343424E-3</v>
      </c>
      <c r="AQ5" s="76">
        <f t="shared" ref="AQ5:AQ19" si="24">($AP$1*AN5+$AQ$1*AO5)</f>
        <v>-109.21127321018992</v>
      </c>
      <c r="AR5" s="90">
        <f t="shared" si="9"/>
        <v>-46.406999999999243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8840</v>
      </c>
      <c r="E6" s="62">
        <v>5.4</v>
      </c>
      <c r="F6" s="62">
        <v>8.5</v>
      </c>
      <c r="G6" s="62">
        <f t="shared" si="0"/>
        <v>477.36000000000007</v>
      </c>
      <c r="H6" s="72">
        <f t="shared" si="11"/>
        <v>751.40000000000009</v>
      </c>
      <c r="I6" s="118">
        <v>2841.9</v>
      </c>
      <c r="J6" s="119">
        <v>2927.1570000000002</v>
      </c>
      <c r="K6" s="120">
        <v>4.5595024455469924</v>
      </c>
      <c r="L6" s="121">
        <v>8.336760617896477</v>
      </c>
      <c r="M6" s="58" t="s">
        <v>204</v>
      </c>
      <c r="N6" s="58">
        <v>36539</v>
      </c>
      <c r="O6" s="59">
        <v>3410</v>
      </c>
      <c r="P6" s="56">
        <v>5.3</v>
      </c>
      <c r="Q6" s="60">
        <v>8.6</v>
      </c>
      <c r="R6" s="61">
        <f t="shared" si="12"/>
        <v>6337.1570000000002</v>
      </c>
      <c r="S6" s="62">
        <f t="shared" si="13"/>
        <v>314.19379499999997</v>
      </c>
      <c r="T6" s="63">
        <f t="shared" si="14"/>
        <v>537.29007200000001</v>
      </c>
      <c r="U6" s="64" t="s">
        <v>202</v>
      </c>
      <c r="V6" s="65" t="s">
        <v>247</v>
      </c>
      <c r="W6" s="66" t="s">
        <v>184</v>
      </c>
      <c r="X6" s="67">
        <v>6000</v>
      </c>
      <c r="Y6" s="68">
        <v>5.08</v>
      </c>
      <c r="Z6" s="68">
        <v>8.76</v>
      </c>
      <c r="AA6" s="62">
        <f t="shared" si="15"/>
        <v>304.8</v>
      </c>
      <c r="AB6" s="63">
        <f t="shared" si="16"/>
        <v>525.6</v>
      </c>
      <c r="AC6" s="69">
        <v>5880</v>
      </c>
      <c r="AD6" s="70">
        <v>4.9647959183673471</v>
      </c>
      <c r="AE6" s="70">
        <v>8.5229591836734677</v>
      </c>
      <c r="AF6" s="62">
        <f t="shared" si="17"/>
        <v>291.93</v>
      </c>
      <c r="AG6" s="63">
        <f t="shared" si="18"/>
        <v>501.14999999999986</v>
      </c>
      <c r="AH6" s="89">
        <v>9313</v>
      </c>
      <c r="AI6" s="66">
        <v>5.4</v>
      </c>
      <c r="AJ6" s="66">
        <v>8.4</v>
      </c>
      <c r="AK6" s="62">
        <f t="shared" si="19"/>
        <v>502.90200000000004</v>
      </c>
      <c r="AL6" s="72">
        <f t="shared" si="20"/>
        <v>782.29200000000003</v>
      </c>
      <c r="AM6" s="73">
        <f t="shared" si="6"/>
        <v>-15.843000000000757</v>
      </c>
      <c r="AN6" s="74">
        <f t="shared" si="21"/>
        <v>-3.278205000000014</v>
      </c>
      <c r="AO6" s="74">
        <f t="shared" si="22"/>
        <v>5.2480720000002066</v>
      </c>
      <c r="AP6" s="75">
        <f t="shared" si="23"/>
        <v>2.3134519353144628E-3</v>
      </c>
      <c r="AQ6" s="76">
        <f t="shared" si="24"/>
        <v>-3.5333533741577412</v>
      </c>
      <c r="AR6" s="90">
        <f t="shared" si="9"/>
        <v>-135.84300000000076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9313</v>
      </c>
      <c r="E7" s="62">
        <v>5.4</v>
      </c>
      <c r="F7" s="62">
        <v>8.4</v>
      </c>
      <c r="G7" s="62">
        <f t="shared" si="0"/>
        <v>502.90200000000004</v>
      </c>
      <c r="H7" s="72">
        <f t="shared" si="11"/>
        <v>782.29200000000003</v>
      </c>
      <c r="I7" s="118">
        <v>7108.2999999999993</v>
      </c>
      <c r="J7" s="119">
        <v>7321.5489999999991</v>
      </c>
      <c r="K7" s="120">
        <v>3.8404006583852679</v>
      </c>
      <c r="L7" s="121">
        <v>8.2222176891802512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7321.5489999999991</v>
      </c>
      <c r="S7" s="62">
        <f t="shared" si="13"/>
        <v>281.17681599999997</v>
      </c>
      <c r="T7" s="63">
        <f t="shared" si="14"/>
        <v>601.99369699999977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16520</v>
      </c>
      <c r="AI7" s="66">
        <v>4.5999999999999996</v>
      </c>
      <c r="AJ7" s="66">
        <v>8.5</v>
      </c>
      <c r="AK7" s="62">
        <f t="shared" si="19"/>
        <v>759.92</v>
      </c>
      <c r="AL7" s="72">
        <f t="shared" si="20"/>
        <v>1404.2</v>
      </c>
      <c r="AM7" s="73">
        <f t="shared" si="6"/>
        <v>114.54899999999907</v>
      </c>
      <c r="AN7" s="74">
        <f t="shared" si="21"/>
        <v>24.158816000000002</v>
      </c>
      <c r="AO7" s="74">
        <f t="shared" si="22"/>
        <v>-19.914303000000245</v>
      </c>
      <c r="AP7" s="75">
        <f t="shared" si="23"/>
        <v>4.8059949211639464E-3</v>
      </c>
      <c r="AQ7" s="76">
        <f t="shared" si="24"/>
        <v>5644.9409099109043</v>
      </c>
      <c r="AR7" s="90">
        <f t="shared" si="9"/>
        <v>114.54899999999907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16520</v>
      </c>
      <c r="E8" s="62">
        <v>4.5999999999999996</v>
      </c>
      <c r="F8" s="62">
        <v>8.5</v>
      </c>
      <c r="G8" s="62">
        <f t="shared" si="0"/>
        <v>759.92</v>
      </c>
      <c r="H8" s="72">
        <f t="shared" si="11"/>
        <v>1404.2</v>
      </c>
      <c r="I8" s="118">
        <v>2352.6</v>
      </c>
      <c r="J8" s="119">
        <v>2423.1779999999999</v>
      </c>
      <c r="K8" s="120">
        <v>4.7110686049477186</v>
      </c>
      <c r="L8" s="121">
        <v>8.4012921873671687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2423.1779999999999</v>
      </c>
      <c r="S8" s="62">
        <f t="shared" si="13"/>
        <v>114.15757800000002</v>
      </c>
      <c r="T8" s="63">
        <f t="shared" si="14"/>
        <v>203.57826399999999</v>
      </c>
      <c r="U8" s="64" t="s">
        <v>205</v>
      </c>
      <c r="V8" s="65" t="s">
        <v>286</v>
      </c>
      <c r="W8" s="66" t="s">
        <v>184</v>
      </c>
      <c r="X8" s="67">
        <v>9530</v>
      </c>
      <c r="Y8" s="68">
        <v>4.7254459601259171</v>
      </c>
      <c r="Z8" s="68">
        <v>8.5389821615949622</v>
      </c>
      <c r="AA8" s="62">
        <f t="shared" si="15"/>
        <v>450.33499999999992</v>
      </c>
      <c r="AB8" s="63">
        <f t="shared" si="16"/>
        <v>813.76499999999987</v>
      </c>
      <c r="AC8" s="69">
        <v>9430</v>
      </c>
      <c r="AD8" s="70">
        <v>4.6209968186638388</v>
      </c>
      <c r="AE8" s="70">
        <v>8.4460763520678679</v>
      </c>
      <c r="AF8" s="62">
        <f t="shared" si="17"/>
        <v>435.76</v>
      </c>
      <c r="AG8" s="63">
        <f t="shared" si="18"/>
        <v>796.46499999999992</v>
      </c>
      <c r="AH8" s="89">
        <v>9530</v>
      </c>
      <c r="AI8" s="66">
        <v>4.5999999999999996</v>
      </c>
      <c r="AJ8" s="66">
        <v>8.5</v>
      </c>
      <c r="AK8" s="62">
        <f t="shared" si="19"/>
        <v>438.38</v>
      </c>
      <c r="AL8" s="72">
        <f t="shared" si="20"/>
        <v>810.05000000000007</v>
      </c>
      <c r="AM8" s="73">
        <f t="shared" si="6"/>
        <v>-16.822000000000116</v>
      </c>
      <c r="AN8" s="74">
        <f t="shared" si="21"/>
        <v>-6.2421999999969557E-2</v>
      </c>
      <c r="AO8" s="74">
        <f t="shared" si="22"/>
        <v>1.2632640000000492</v>
      </c>
      <c r="AP8" s="75">
        <f t="shared" si="23"/>
        <v>3.7793721741977088E-3</v>
      </c>
      <c r="AQ8" s="76">
        <f t="shared" si="24"/>
        <v>348.34051916533855</v>
      </c>
      <c r="AR8" s="90">
        <f t="shared" si="9"/>
        <v>-116.82200000000012</v>
      </c>
    </row>
    <row r="9" spans="1:44" x14ac:dyDescent="0.25">
      <c r="A9" t="str">
        <f t="shared" si="10"/>
        <v>46206E</v>
      </c>
      <c r="B9" s="51">
        <f t="shared" ref="B9:B65" si="25">+B7+1</f>
        <v>46206</v>
      </c>
      <c r="C9" s="52" t="s">
        <v>88</v>
      </c>
      <c r="D9" s="91">
        <v>9530</v>
      </c>
      <c r="E9" s="62">
        <v>4.5999999999999996</v>
      </c>
      <c r="F9" s="62">
        <v>8.5</v>
      </c>
      <c r="G9" s="62">
        <f t="shared" si="0"/>
        <v>438.38</v>
      </c>
      <c r="H9" s="72">
        <f t="shared" si="11"/>
        <v>810.05000000000007</v>
      </c>
      <c r="I9" s="118">
        <v>3736.2</v>
      </c>
      <c r="J9" s="119">
        <v>3848.2860000000001</v>
      </c>
      <c r="K9" s="120">
        <v>4.04644558642471</v>
      </c>
      <c r="L9" s="121">
        <v>8.3194636261442128</v>
      </c>
      <c r="M9" s="58" t="s">
        <v>204</v>
      </c>
      <c r="N9" s="58">
        <v>36540</v>
      </c>
      <c r="O9" s="59">
        <v>3730</v>
      </c>
      <c r="P9" s="56">
        <v>5.3</v>
      </c>
      <c r="Q9" s="60">
        <v>8.5</v>
      </c>
      <c r="R9" s="61">
        <f t="shared" si="12"/>
        <v>7578.2860000000001</v>
      </c>
      <c r="S9" s="62">
        <f t="shared" si="13"/>
        <v>353.40879900000004</v>
      </c>
      <c r="T9" s="63">
        <f t="shared" si="14"/>
        <v>637.20675400000005</v>
      </c>
      <c r="U9" s="64" t="s">
        <v>202</v>
      </c>
      <c r="V9" s="65" t="s">
        <v>287</v>
      </c>
      <c r="W9" s="66" t="s">
        <v>184</v>
      </c>
      <c r="X9" s="67">
        <v>6100</v>
      </c>
      <c r="Y9" s="68">
        <v>4.38</v>
      </c>
      <c r="Z9" s="68">
        <v>8.58</v>
      </c>
      <c r="AA9" s="62">
        <f t="shared" si="15"/>
        <v>267.18</v>
      </c>
      <c r="AB9" s="63">
        <f t="shared" si="16"/>
        <v>523.38</v>
      </c>
      <c r="AC9" s="69">
        <v>5920</v>
      </c>
      <c r="AD9" s="70">
        <v>4.2117398648648647</v>
      </c>
      <c r="AE9" s="70">
        <v>8.3723479729729728</v>
      </c>
      <c r="AF9" s="62">
        <f t="shared" si="17"/>
        <v>249.33500000000001</v>
      </c>
      <c r="AG9" s="63">
        <f t="shared" si="18"/>
        <v>495.64299999999997</v>
      </c>
      <c r="AH9" s="89">
        <v>11170</v>
      </c>
      <c r="AI9" s="66">
        <v>4.8</v>
      </c>
      <c r="AJ9" s="66">
        <v>8.6</v>
      </c>
      <c r="AK9" s="62">
        <f t="shared" si="19"/>
        <v>536.16</v>
      </c>
      <c r="AL9" s="72">
        <f t="shared" si="20"/>
        <v>960.61999999999989</v>
      </c>
      <c r="AM9" s="73">
        <f t="shared" si="6"/>
        <v>18.286000000000058</v>
      </c>
      <c r="AN9" s="74">
        <f t="shared" si="21"/>
        <v>6.2937990000000354</v>
      </c>
      <c r="AO9" s="74">
        <f t="shared" si="22"/>
        <v>-9.0062459999999191</v>
      </c>
      <c r="AP9" s="75">
        <f t="shared" si="23"/>
        <v>-2.7381429574626147E-3</v>
      </c>
      <c r="AQ9" s="76">
        <f t="shared" si="24"/>
        <v>327.0847613656847</v>
      </c>
      <c r="AR9" s="90">
        <f t="shared" si="9"/>
        <v>-161.71399999999994</v>
      </c>
    </row>
    <row r="10" spans="1:44" x14ac:dyDescent="0.25">
      <c r="A10" t="str">
        <f t="shared" si="10"/>
        <v>46207M</v>
      </c>
      <c r="B10" s="51">
        <f t="shared" si="25"/>
        <v>46207</v>
      </c>
      <c r="C10" s="52" t="s">
        <v>87</v>
      </c>
      <c r="D10" s="91">
        <v>11170</v>
      </c>
      <c r="E10" s="62">
        <v>4.8</v>
      </c>
      <c r="F10" s="62">
        <v>8.6</v>
      </c>
      <c r="G10" s="62">
        <f t="shared" si="0"/>
        <v>536.16</v>
      </c>
      <c r="H10" s="72">
        <f t="shared" si="11"/>
        <v>960.61999999999989</v>
      </c>
      <c r="I10" s="118">
        <v>2792.6000000000004</v>
      </c>
      <c r="J10" s="119">
        <v>2876.3780000000006</v>
      </c>
      <c r="K10" s="120">
        <v>4.7201747475470883</v>
      </c>
      <c r="L10" s="121">
        <v>8.3215677146744973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2876.3780000000006</v>
      </c>
      <c r="S10" s="62">
        <f t="shared" si="13"/>
        <v>135.77006800000001</v>
      </c>
      <c r="T10" s="63">
        <f t="shared" si="14"/>
        <v>239.35974300000009</v>
      </c>
      <c r="U10" s="64" t="s">
        <v>205</v>
      </c>
      <c r="V10" s="65" t="s">
        <v>288</v>
      </c>
      <c r="W10" s="66" t="s">
        <v>184</v>
      </c>
      <c r="X10" s="67">
        <v>8680</v>
      </c>
      <c r="Y10" s="68">
        <v>4.5999999999999996</v>
      </c>
      <c r="Z10" s="68">
        <v>8.64</v>
      </c>
      <c r="AA10" s="62">
        <f t="shared" si="15"/>
        <v>399.28</v>
      </c>
      <c r="AB10" s="63">
        <f t="shared" si="16"/>
        <v>749.952</v>
      </c>
      <c r="AC10" s="69">
        <v>9060</v>
      </c>
      <c r="AD10" s="70">
        <v>4.4530905077262704</v>
      </c>
      <c r="AE10" s="70">
        <v>8.550618101545254</v>
      </c>
      <c r="AF10" s="62">
        <f t="shared" si="17"/>
        <v>403.4500000000001</v>
      </c>
      <c r="AG10" s="63">
        <f t="shared" si="18"/>
        <v>774.68600000000004</v>
      </c>
      <c r="AH10" s="89">
        <v>4990</v>
      </c>
      <c r="AI10" s="66">
        <v>5.4</v>
      </c>
      <c r="AJ10" s="66">
        <v>8.5</v>
      </c>
      <c r="AK10" s="62">
        <f t="shared" si="19"/>
        <v>269.46000000000004</v>
      </c>
      <c r="AL10" s="72">
        <f t="shared" si="20"/>
        <v>424.15000000000003</v>
      </c>
      <c r="AM10" s="73">
        <f t="shared" si="6"/>
        <v>-3.6219999999993888</v>
      </c>
      <c r="AN10" s="74">
        <f t="shared" si="21"/>
        <v>-0.97993200000013303</v>
      </c>
      <c r="AO10" s="74">
        <f t="shared" si="22"/>
        <v>1.1437429999998017</v>
      </c>
      <c r="AP10" s="75">
        <f t="shared" si="23"/>
        <v>4.3667817165207533E-4</v>
      </c>
      <c r="AQ10" s="76">
        <f t="shared" si="24"/>
        <v>-128.34837296878572</v>
      </c>
      <c r="AR10" s="90">
        <f t="shared" si="9"/>
        <v>376.37800000000061</v>
      </c>
    </row>
    <row r="11" spans="1:44" x14ac:dyDescent="0.25">
      <c r="A11" t="str">
        <f t="shared" si="10"/>
        <v>46207E</v>
      </c>
      <c r="B11" s="51">
        <f t="shared" si="25"/>
        <v>46207</v>
      </c>
      <c r="C11" s="52" t="s">
        <v>88</v>
      </c>
      <c r="D11" s="91">
        <v>4990</v>
      </c>
      <c r="E11" s="62">
        <v>5.4</v>
      </c>
      <c r="F11" s="62">
        <v>8.5</v>
      </c>
      <c r="G11" s="62">
        <f t="shared" si="0"/>
        <v>269.46000000000004</v>
      </c>
      <c r="H11" s="72">
        <f t="shared" si="11"/>
        <v>424.15000000000003</v>
      </c>
      <c r="I11" s="118">
        <v>5156.0999999999985</v>
      </c>
      <c r="J11" s="119">
        <v>5310.7829999999985</v>
      </c>
      <c r="K11" s="120">
        <v>4.5403269913306552</v>
      </c>
      <c r="L11" s="121">
        <v>8.4793758848742282</v>
      </c>
      <c r="M11" s="58" t="s">
        <v>204</v>
      </c>
      <c r="N11" s="58">
        <v>36541</v>
      </c>
      <c r="O11" s="59">
        <v>3780</v>
      </c>
      <c r="P11" s="56">
        <v>5.7</v>
      </c>
      <c r="Q11" s="60">
        <v>8.8000000000000007</v>
      </c>
      <c r="R11" s="61">
        <f t="shared" si="12"/>
        <v>9090.7829999999994</v>
      </c>
      <c r="S11" s="62">
        <f t="shared" si="13"/>
        <v>456.58691399999987</v>
      </c>
      <c r="T11" s="63">
        <f t="shared" si="14"/>
        <v>782.96125299999994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89">
        <v>14075</v>
      </c>
      <c r="AI11" s="66">
        <v>5.2</v>
      </c>
      <c r="AJ11" s="66">
        <v>8.5</v>
      </c>
      <c r="AK11" s="62">
        <f t="shared" si="19"/>
        <v>731.90000000000009</v>
      </c>
      <c r="AL11" s="72">
        <f t="shared" si="20"/>
        <v>1196.375</v>
      </c>
      <c r="AM11" s="73">
        <f t="shared" si="6"/>
        <v>5.782999999999447</v>
      </c>
      <c r="AN11" s="74">
        <f t="shared" si="21"/>
        <v>-5.8530860000001894</v>
      </c>
      <c r="AO11" s="74">
        <f t="shared" si="22"/>
        <v>10.736253000000033</v>
      </c>
      <c r="AP11" s="75">
        <f t="shared" si="23"/>
        <v>3.9394733742523814E-3</v>
      </c>
      <c r="AQ11" s="76">
        <f t="shared" si="24"/>
        <v>402.81387386073993</v>
      </c>
      <c r="AR11" s="90">
        <f t="shared" si="9"/>
        <v>5.782999999999447</v>
      </c>
    </row>
    <row r="12" spans="1:44" x14ac:dyDescent="0.25">
      <c r="A12" t="str">
        <f t="shared" si="10"/>
        <v>46208M</v>
      </c>
      <c r="B12" s="51">
        <f t="shared" si="25"/>
        <v>46208</v>
      </c>
      <c r="C12" s="52" t="s">
        <v>87</v>
      </c>
      <c r="D12" s="91">
        <v>14075</v>
      </c>
      <c r="E12" s="62">
        <v>5.2</v>
      </c>
      <c r="F12" s="62">
        <v>8.5</v>
      </c>
      <c r="G12" s="62">
        <f t="shared" si="0"/>
        <v>731.90000000000009</v>
      </c>
      <c r="H12" s="72">
        <f t="shared" si="11"/>
        <v>1196.375</v>
      </c>
      <c r="I12" s="118">
        <v>2701.0000000000005</v>
      </c>
      <c r="J12" s="119">
        <v>2782.0300000000007</v>
      </c>
      <c r="K12" s="120">
        <v>4.5526323583857842</v>
      </c>
      <c r="L12" s="121">
        <v>8.2499925953350619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2782.0300000000007</v>
      </c>
      <c r="S12" s="62">
        <f t="shared" si="13"/>
        <v>126.65559800000007</v>
      </c>
      <c r="T12" s="63">
        <f t="shared" si="14"/>
        <v>229.51726900000008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26">X12*Y12%</f>
        <v>0</v>
      </c>
      <c r="AB12" s="63">
        <f t="shared" ref="AB12:AB65" si="27">X12*Z12%</f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16850</v>
      </c>
      <c r="AI12" s="66">
        <v>5.0999999999999996</v>
      </c>
      <c r="AJ12" s="66">
        <v>8.4499999999999993</v>
      </c>
      <c r="AK12" s="62">
        <f t="shared" si="19"/>
        <v>859.34999999999991</v>
      </c>
      <c r="AL12" s="72">
        <f t="shared" si="20"/>
        <v>1423.8249999999998</v>
      </c>
      <c r="AM12" s="73">
        <f t="shared" si="6"/>
        <v>7.0299999999988358</v>
      </c>
      <c r="AN12" s="74">
        <f t="shared" si="21"/>
        <v>-0.79440199999976358</v>
      </c>
      <c r="AO12" s="74">
        <f t="shared" si="22"/>
        <v>2.0672690000003513</v>
      </c>
      <c r="AP12" s="75">
        <f t="shared" si="23"/>
        <v>3.5737337622649035E-3</v>
      </c>
      <c r="AQ12" s="76">
        <f t="shared" si="24"/>
        <v>237.39264566949362</v>
      </c>
      <c r="AR12" s="90">
        <f t="shared" si="9"/>
        <v>7.0299999999988358</v>
      </c>
    </row>
    <row r="13" spans="1:44" x14ac:dyDescent="0.25">
      <c r="A13" t="str">
        <f t="shared" si="10"/>
        <v>46208E</v>
      </c>
      <c r="B13" s="51">
        <f t="shared" si="25"/>
        <v>46208</v>
      </c>
      <c r="C13" s="52" t="s">
        <v>88</v>
      </c>
      <c r="D13" s="91">
        <v>16850</v>
      </c>
      <c r="E13" s="62">
        <v>5.0999999999999996</v>
      </c>
      <c r="F13" s="62">
        <v>8.4499999999999993</v>
      </c>
      <c r="G13" s="62">
        <f t="shared" si="0"/>
        <v>859.34999999999991</v>
      </c>
      <c r="H13" s="72">
        <f t="shared" si="11"/>
        <v>1423.8249999999998</v>
      </c>
      <c r="I13" s="118">
        <v>3062.7999999999993</v>
      </c>
      <c r="J13" s="119">
        <v>3154.6839999999993</v>
      </c>
      <c r="K13" s="120">
        <v>4.066272691654695</v>
      </c>
      <c r="L13" s="121">
        <v>8.2871000391798333</v>
      </c>
      <c r="M13" s="58" t="s">
        <v>204</v>
      </c>
      <c r="N13" s="58">
        <v>36542</v>
      </c>
      <c r="O13" s="59">
        <v>3855</v>
      </c>
      <c r="P13" s="56">
        <v>5.5</v>
      </c>
      <c r="Q13" s="60">
        <v>8.5</v>
      </c>
      <c r="R13" s="61">
        <f t="shared" si="12"/>
        <v>7009.6839999999993</v>
      </c>
      <c r="S13" s="62">
        <f t="shared" si="13"/>
        <v>340.30305399999997</v>
      </c>
      <c r="T13" s="63">
        <f t="shared" si="14"/>
        <v>589.10681899999986</v>
      </c>
      <c r="U13" s="64" t="s">
        <v>206</v>
      </c>
      <c r="V13" s="65" t="s">
        <v>347</v>
      </c>
      <c r="W13" s="66" t="s">
        <v>184</v>
      </c>
      <c r="X13" s="67">
        <v>8220</v>
      </c>
      <c r="Y13" s="68">
        <v>4.8500000000000005</v>
      </c>
      <c r="Z13" s="68">
        <v>8.48</v>
      </c>
      <c r="AA13" s="62">
        <f t="shared" si="26"/>
        <v>398.67000000000007</v>
      </c>
      <c r="AB13" s="63">
        <f t="shared" si="27"/>
        <v>697.05600000000004</v>
      </c>
      <c r="AC13" s="69">
        <v>8160</v>
      </c>
      <c r="AD13" s="70">
        <v>4.799019607843138</v>
      </c>
      <c r="AE13" s="70">
        <v>8.3651102941176489</v>
      </c>
      <c r="AF13" s="62">
        <f t="shared" si="17"/>
        <v>391.6</v>
      </c>
      <c r="AG13" s="63">
        <f t="shared" si="18"/>
        <v>682.59300000000019</v>
      </c>
      <c r="AH13" s="89">
        <v>15705</v>
      </c>
      <c r="AI13" s="66">
        <v>5.0999999999999996</v>
      </c>
      <c r="AJ13" s="66">
        <v>8.5</v>
      </c>
      <c r="AK13" s="62">
        <f t="shared" si="19"/>
        <v>800.95499999999993</v>
      </c>
      <c r="AL13" s="72">
        <f t="shared" si="20"/>
        <v>1334.9250000000002</v>
      </c>
      <c r="AM13" s="73">
        <f t="shared" si="6"/>
        <v>-5.3159999999988941</v>
      </c>
      <c r="AN13" s="74">
        <f t="shared" si="21"/>
        <v>7.0980539999999337</v>
      </c>
      <c r="AO13" s="74">
        <f t="shared" si="22"/>
        <v>-4.5861810000005789</v>
      </c>
      <c r="AP13" s="75">
        <f t="shared" si="23"/>
        <v>2.7026536654828019E-3</v>
      </c>
      <c r="AQ13" s="76">
        <f t="shared" si="24"/>
        <v>2037.3255823135264</v>
      </c>
      <c r="AR13" s="90">
        <f t="shared" si="9"/>
        <v>-65.315999999998894</v>
      </c>
    </row>
    <row r="14" spans="1:44" x14ac:dyDescent="0.25">
      <c r="A14" t="str">
        <f t="shared" si="10"/>
        <v>46209M</v>
      </c>
      <c r="B14" s="51">
        <f t="shared" si="25"/>
        <v>46209</v>
      </c>
      <c r="C14" s="52" t="s">
        <v>87</v>
      </c>
      <c r="D14" s="91">
        <v>15705</v>
      </c>
      <c r="E14" s="62">
        <v>5.0999999999999996</v>
      </c>
      <c r="F14" s="62">
        <v>8.5</v>
      </c>
      <c r="G14" s="62">
        <f t="shared" si="0"/>
        <v>800.95499999999993</v>
      </c>
      <c r="H14" s="72">
        <f t="shared" si="11"/>
        <v>1334.9250000000002</v>
      </c>
      <c r="I14" s="118">
        <v>2889.2000000000003</v>
      </c>
      <c r="J14" s="119">
        <v>2975.8760000000002</v>
      </c>
      <c r="K14" s="120">
        <v>4.5310258895195901</v>
      </c>
      <c r="L14" s="121">
        <v>8.2667035857676865</v>
      </c>
      <c r="M14" s="58" t="s">
        <v>204</v>
      </c>
      <c r="N14" s="58">
        <v>36543</v>
      </c>
      <c r="O14" s="59">
        <v>2550</v>
      </c>
      <c r="P14" s="56">
        <v>5.3</v>
      </c>
      <c r="Q14" s="60">
        <v>8.5</v>
      </c>
      <c r="R14" s="61">
        <f t="shared" si="12"/>
        <v>5525.8760000000002</v>
      </c>
      <c r="S14" s="62">
        <f t="shared" si="13"/>
        <v>269.98771199999999</v>
      </c>
      <c r="T14" s="63">
        <f t="shared" si="14"/>
        <v>462.75684799999999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26"/>
        <v>0</v>
      </c>
      <c r="AB14" s="63">
        <f t="shared" si="27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21247</v>
      </c>
      <c r="AI14" s="66">
        <v>5</v>
      </c>
      <c r="AJ14" s="66">
        <v>8.5</v>
      </c>
      <c r="AK14" s="62">
        <f t="shared" si="19"/>
        <v>1062.3500000000001</v>
      </c>
      <c r="AL14" s="72">
        <f t="shared" si="20"/>
        <v>1805.9950000000001</v>
      </c>
      <c r="AM14" s="73">
        <f t="shared" si="6"/>
        <v>-16.123999999999796</v>
      </c>
      <c r="AN14" s="74">
        <f t="shared" si="21"/>
        <v>8.5927119999998922</v>
      </c>
      <c r="AO14" s="74">
        <f t="shared" si="22"/>
        <v>-8.3131519999999455</v>
      </c>
      <c r="AP14" s="75">
        <f t="shared" si="23"/>
        <v>3.8152449743188372E-4</v>
      </c>
      <c r="AQ14" s="76">
        <f t="shared" si="24"/>
        <v>1639.3627619896392</v>
      </c>
      <c r="AR14" s="90">
        <f t="shared" si="9"/>
        <v>-16.123999999999796</v>
      </c>
    </row>
    <row r="15" spans="1:44" x14ac:dyDescent="0.25">
      <c r="A15" t="str">
        <f t="shared" si="10"/>
        <v>46209E</v>
      </c>
      <c r="B15" s="51">
        <f t="shared" si="25"/>
        <v>46209</v>
      </c>
      <c r="C15" s="52" t="s">
        <v>88</v>
      </c>
      <c r="D15" s="91">
        <v>21247</v>
      </c>
      <c r="E15" s="62">
        <v>5</v>
      </c>
      <c r="F15" s="62">
        <v>8.5</v>
      </c>
      <c r="G15" s="62">
        <f t="shared" si="0"/>
        <v>1062.3500000000001</v>
      </c>
      <c r="H15" s="72">
        <f t="shared" si="11"/>
        <v>1805.9950000000001</v>
      </c>
      <c r="I15" s="118">
        <v>3304.8999999999996</v>
      </c>
      <c r="J15" s="119">
        <v>3404.0469999999996</v>
      </c>
      <c r="K15" s="120">
        <v>4.19295893975612</v>
      </c>
      <c r="L15" s="121">
        <v>8.2141396108808156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3404.0469999999996</v>
      </c>
      <c r="S15" s="62">
        <f t="shared" si="13"/>
        <v>142.73029299999999</v>
      </c>
      <c r="T15" s="63">
        <f t="shared" si="14"/>
        <v>279.61317300000007</v>
      </c>
      <c r="U15" s="64" t="s">
        <v>206</v>
      </c>
      <c r="V15" s="65" t="s">
        <v>348</v>
      </c>
      <c r="W15" s="66" t="s">
        <v>184</v>
      </c>
      <c r="X15" s="67">
        <v>8220</v>
      </c>
      <c r="Y15" s="68">
        <v>4.75</v>
      </c>
      <c r="Z15" s="68">
        <v>8.5500000000000007</v>
      </c>
      <c r="AA15" s="62">
        <f t="shared" si="26"/>
        <v>390.45</v>
      </c>
      <c r="AB15" s="63">
        <f t="shared" si="27"/>
        <v>702.81000000000006</v>
      </c>
      <c r="AC15" s="69">
        <v>8120</v>
      </c>
      <c r="AD15" s="70">
        <v>4.6009852216748772</v>
      </c>
      <c r="AE15" s="70">
        <v>8.455812807881772</v>
      </c>
      <c r="AF15" s="62">
        <f t="shared" si="17"/>
        <v>373.60000000000008</v>
      </c>
      <c r="AG15" s="63">
        <f t="shared" si="18"/>
        <v>686.61199999999997</v>
      </c>
      <c r="AH15" s="89">
        <v>16540</v>
      </c>
      <c r="AI15" s="66">
        <v>5</v>
      </c>
      <c r="AJ15" s="66">
        <v>8.5</v>
      </c>
      <c r="AK15" s="62">
        <f t="shared" si="19"/>
        <v>827</v>
      </c>
      <c r="AL15" s="72">
        <f t="shared" si="20"/>
        <v>1405.9</v>
      </c>
      <c r="AM15" s="73">
        <f t="shared" si="6"/>
        <v>-8.9530000000013388</v>
      </c>
      <c r="AN15" s="74">
        <f t="shared" si="21"/>
        <v>4.4802930000000742</v>
      </c>
      <c r="AO15" s="74">
        <f t="shared" si="22"/>
        <v>-6.9038270000000921</v>
      </c>
      <c r="AP15" s="75">
        <f t="shared" si="23"/>
        <v>-5.7383011579490561E-3</v>
      </c>
      <c r="AQ15" s="76">
        <f t="shared" si="24"/>
        <v>85.291878919103056</v>
      </c>
      <c r="AR15" s="90">
        <f t="shared" si="9"/>
        <v>-108.95300000000134</v>
      </c>
    </row>
    <row r="16" spans="1:44" x14ac:dyDescent="0.25">
      <c r="A16" t="str">
        <f t="shared" si="10"/>
        <v>46210M</v>
      </c>
      <c r="B16" s="51">
        <f t="shared" si="25"/>
        <v>46210</v>
      </c>
      <c r="C16" s="52" t="s">
        <v>87</v>
      </c>
      <c r="D16" s="91">
        <v>16540</v>
      </c>
      <c r="E16" s="62">
        <v>5</v>
      </c>
      <c r="F16" s="62">
        <v>8.5</v>
      </c>
      <c r="G16" s="62">
        <f t="shared" si="0"/>
        <v>827</v>
      </c>
      <c r="H16" s="72">
        <f t="shared" si="11"/>
        <v>1405.9</v>
      </c>
      <c r="I16" s="118">
        <v>2812.7</v>
      </c>
      <c r="J16" s="119">
        <v>2897.0809999999997</v>
      </c>
      <c r="K16" s="120">
        <v>4.6493938208838497</v>
      </c>
      <c r="L16" s="121">
        <v>8.3848899633803811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2897.0809999999997</v>
      </c>
      <c r="S16" s="62">
        <f t="shared" si="13"/>
        <v>134.69670500000001</v>
      </c>
      <c r="T16" s="63">
        <f t="shared" si="14"/>
        <v>242.91705399999992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6"/>
        <v>0</v>
      </c>
      <c r="AB16" s="63">
        <f t="shared" si="27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89">
        <v>19450</v>
      </c>
      <c r="AI16" s="66">
        <v>4.9000000000000004</v>
      </c>
      <c r="AJ16" s="66">
        <v>8.5500000000000007</v>
      </c>
      <c r="AK16" s="62">
        <f t="shared" si="19"/>
        <v>953.05000000000007</v>
      </c>
      <c r="AL16" s="72">
        <f t="shared" si="20"/>
        <v>1662.9750000000001</v>
      </c>
      <c r="AM16" s="73">
        <f t="shared" si="6"/>
        <v>-12.919000000001688</v>
      </c>
      <c r="AN16" s="74">
        <f t="shared" si="21"/>
        <v>8.6467049999999972</v>
      </c>
      <c r="AO16" s="74">
        <f t="shared" si="22"/>
        <v>-14.157946000000038</v>
      </c>
      <c r="AP16" s="75">
        <f t="shared" si="23"/>
        <v>-1.4594915753586303E-2</v>
      </c>
      <c r="AQ16" s="76">
        <f t="shared" si="24"/>
        <v>-85.155613888053267</v>
      </c>
      <c r="AR16" s="90">
        <f t="shared" si="9"/>
        <v>-12.919000000001688</v>
      </c>
    </row>
    <row r="17" spans="1:49" x14ac:dyDescent="0.25">
      <c r="A17" t="str">
        <f t="shared" si="10"/>
        <v>46210E</v>
      </c>
      <c r="B17" s="51">
        <f t="shared" si="25"/>
        <v>46210</v>
      </c>
      <c r="C17" s="52" t="s">
        <v>88</v>
      </c>
      <c r="D17" s="91">
        <v>19450</v>
      </c>
      <c r="E17" s="62">
        <v>4.9000000000000004</v>
      </c>
      <c r="F17" s="62">
        <v>8.5500000000000007</v>
      </c>
      <c r="G17" s="62">
        <f t="shared" si="0"/>
        <v>953.05000000000007</v>
      </c>
      <c r="H17" s="72">
        <f t="shared" si="11"/>
        <v>1662.9750000000001</v>
      </c>
      <c r="I17" s="118">
        <v>3549.3000000000011</v>
      </c>
      <c r="J17" s="119">
        <v>3655.7790000000014</v>
      </c>
      <c r="K17" s="120">
        <v>4.1725297946073905</v>
      </c>
      <c r="L17" s="121">
        <v>8.3147324824613325</v>
      </c>
      <c r="M17" s="58" t="s">
        <v>204</v>
      </c>
      <c r="N17" s="58">
        <v>36544</v>
      </c>
      <c r="O17" s="59">
        <v>2585</v>
      </c>
      <c r="P17" s="56">
        <v>5.5</v>
      </c>
      <c r="Q17" s="60">
        <v>8.8000000000000007</v>
      </c>
      <c r="R17" s="61">
        <f t="shared" si="12"/>
        <v>6240.7790000000014</v>
      </c>
      <c r="S17" s="62">
        <f t="shared" si="13"/>
        <v>294.7134680000002</v>
      </c>
      <c r="T17" s="63">
        <f t="shared" si="14"/>
        <v>531.44824400000016</v>
      </c>
      <c r="U17" s="64" t="s">
        <v>205</v>
      </c>
      <c r="V17" s="65" t="s">
        <v>416</v>
      </c>
      <c r="W17" s="66" t="s">
        <v>184</v>
      </c>
      <c r="X17" s="67">
        <v>9530</v>
      </c>
      <c r="Y17" s="68">
        <v>4.79</v>
      </c>
      <c r="Z17" s="68">
        <v>8.64</v>
      </c>
      <c r="AA17" s="62">
        <f t="shared" si="26"/>
        <v>456.48699999999997</v>
      </c>
      <c r="AB17" s="63">
        <f t="shared" si="27"/>
        <v>823.39200000000005</v>
      </c>
      <c r="AC17" s="215">
        <v>9530</v>
      </c>
      <c r="AD17" s="216">
        <v>4.79</v>
      </c>
      <c r="AE17" s="216">
        <v>8.64</v>
      </c>
      <c r="AF17" s="62">
        <f t="shared" si="17"/>
        <v>456.48699999999997</v>
      </c>
      <c r="AG17" s="63">
        <f t="shared" si="18"/>
        <v>823.39200000000005</v>
      </c>
      <c r="AH17" s="89">
        <v>16135</v>
      </c>
      <c r="AI17" s="66">
        <v>4.9000000000000004</v>
      </c>
      <c r="AJ17" s="66">
        <v>8.5</v>
      </c>
      <c r="AK17" s="62">
        <f t="shared" si="19"/>
        <v>790.61500000000001</v>
      </c>
      <c r="AL17" s="72">
        <f t="shared" si="20"/>
        <v>1371.4750000000001</v>
      </c>
      <c r="AM17" s="73">
        <f t="shared" si="6"/>
        <v>25.77900000000227</v>
      </c>
      <c r="AN17" s="74">
        <f t="shared" si="21"/>
        <v>0.66146800000035455</v>
      </c>
      <c r="AO17" s="74">
        <f t="shared" si="22"/>
        <v>-0.44375599999966653</v>
      </c>
      <c r="AP17" s="75">
        <f t="shared" si="23"/>
        <v>2.6352225821945128E-4</v>
      </c>
      <c r="AQ17" s="76">
        <f t="shared" si="24"/>
        <v>184.95593096203905</v>
      </c>
      <c r="AR17" s="90">
        <f t="shared" si="9"/>
        <v>25.77900000000227</v>
      </c>
    </row>
    <row r="18" spans="1:49" x14ac:dyDescent="0.25">
      <c r="A18" t="str">
        <f t="shared" si="10"/>
        <v>46211M</v>
      </c>
      <c r="B18" s="51">
        <f t="shared" si="25"/>
        <v>46211</v>
      </c>
      <c r="C18" s="98" t="s">
        <v>87</v>
      </c>
      <c r="D18" s="91">
        <v>16135</v>
      </c>
      <c r="E18" s="62">
        <v>4.9000000000000004</v>
      </c>
      <c r="F18" s="62">
        <v>8.5</v>
      </c>
      <c r="G18" s="62">
        <f t="shared" si="0"/>
        <v>790.61500000000001</v>
      </c>
      <c r="H18" s="72">
        <f t="shared" si="11"/>
        <v>1371.4750000000001</v>
      </c>
      <c r="I18" s="118">
        <v>3161.0000000000005</v>
      </c>
      <c r="J18" s="119">
        <v>3255.8300000000004</v>
      </c>
      <c r="K18" s="120">
        <v>4.5881809553938631</v>
      </c>
      <c r="L18" s="121">
        <v>8.3618696614995258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3255.8300000000004</v>
      </c>
      <c r="S18" s="62">
        <f t="shared" si="13"/>
        <v>149.38337200000004</v>
      </c>
      <c r="T18" s="63">
        <f t="shared" si="14"/>
        <v>272.24826100000001</v>
      </c>
      <c r="U18" s="64" t="s">
        <v>206</v>
      </c>
      <c r="V18" s="65" t="s">
        <v>417</v>
      </c>
      <c r="W18" s="66" t="s">
        <v>184</v>
      </c>
      <c r="X18" s="67">
        <v>8220</v>
      </c>
      <c r="Y18" s="68">
        <v>4.8</v>
      </c>
      <c r="Z18" s="68">
        <v>8.56</v>
      </c>
      <c r="AA18" s="62">
        <f t="shared" si="26"/>
        <v>394.56</v>
      </c>
      <c r="AB18" s="63">
        <f t="shared" si="27"/>
        <v>703.63200000000006</v>
      </c>
      <c r="AC18" s="215">
        <v>8220</v>
      </c>
      <c r="AD18" s="216">
        <v>4.8</v>
      </c>
      <c r="AE18" s="216">
        <v>8.56</v>
      </c>
      <c r="AF18" s="62">
        <f t="shared" si="17"/>
        <v>394.56</v>
      </c>
      <c r="AG18" s="63">
        <f t="shared" si="18"/>
        <v>703.63200000000006</v>
      </c>
      <c r="AH18" s="89">
        <v>11160</v>
      </c>
      <c r="AI18" s="66">
        <v>4.9000000000000004</v>
      </c>
      <c r="AJ18" s="66">
        <v>8.4</v>
      </c>
      <c r="AK18" s="62">
        <f t="shared" si="19"/>
        <v>546.84</v>
      </c>
      <c r="AL18" s="72">
        <f t="shared" si="20"/>
        <v>937.44</v>
      </c>
      <c r="AM18" s="73">
        <f t="shared" si="6"/>
        <v>10.830000000001746</v>
      </c>
      <c r="AN18" s="74">
        <f t="shared" si="21"/>
        <v>-1.4016279999999597</v>
      </c>
      <c r="AO18" s="74">
        <f t="shared" si="22"/>
        <v>2.6512609999999768</v>
      </c>
      <c r="AP18" s="75">
        <f t="shared" si="23"/>
        <v>2.9638027657189962E-3</v>
      </c>
      <c r="AQ18" s="76">
        <f t="shared" si="24"/>
        <v>120.50119463819976</v>
      </c>
      <c r="AR18" s="90">
        <f t="shared" si="9"/>
        <v>10.830000000001746</v>
      </c>
    </row>
    <row r="19" spans="1:49" x14ac:dyDescent="0.25">
      <c r="A19" t="str">
        <f t="shared" si="10"/>
        <v>46211E</v>
      </c>
      <c r="B19" s="51">
        <f t="shared" si="25"/>
        <v>46211</v>
      </c>
      <c r="C19" s="52" t="s">
        <v>88</v>
      </c>
      <c r="D19" s="91">
        <v>11160</v>
      </c>
      <c r="E19" s="62">
        <v>4.9000000000000004</v>
      </c>
      <c r="F19" s="62">
        <v>8.4</v>
      </c>
      <c r="G19" s="62">
        <f t="shared" si="0"/>
        <v>546.84</v>
      </c>
      <c r="H19" s="72">
        <f t="shared" si="11"/>
        <v>937.44</v>
      </c>
      <c r="I19" s="118">
        <v>4635.3999999999996</v>
      </c>
      <c r="J19" s="119">
        <v>4774.4619999999995</v>
      </c>
      <c r="K19" s="120">
        <v>4.6754713724813373</v>
      </c>
      <c r="L19" s="121">
        <v>8.5777840100099265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4774.4619999999995</v>
      </c>
      <c r="S19" s="62">
        <f t="shared" si="13"/>
        <v>223.22860399999988</v>
      </c>
      <c r="T19" s="63">
        <f t="shared" si="14"/>
        <v>409.54303800000014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6"/>
        <v>0</v>
      </c>
      <c r="AB19" s="63">
        <f t="shared" si="27"/>
        <v>0</v>
      </c>
      <c r="AC19" s="69"/>
      <c r="AD19" s="70"/>
      <c r="AE19" s="70"/>
      <c r="AF19" s="62">
        <f t="shared" ref="AF19:AF31" si="28">AC19*AD19%</f>
        <v>0</v>
      </c>
      <c r="AG19" s="63">
        <f t="shared" ref="AG19:AG31" si="29">AC19*AE19%</f>
        <v>0</v>
      </c>
      <c r="AH19" s="89">
        <v>15910</v>
      </c>
      <c r="AI19" s="66">
        <v>4.8</v>
      </c>
      <c r="AJ19" s="66">
        <v>8.5</v>
      </c>
      <c r="AK19" s="62">
        <f t="shared" si="19"/>
        <v>763.68000000000006</v>
      </c>
      <c r="AL19" s="72">
        <f t="shared" si="20"/>
        <v>1352.3500000000001</v>
      </c>
      <c r="AM19" s="73">
        <f t="shared" si="6"/>
        <v>24.461999999999534</v>
      </c>
      <c r="AN19" s="74">
        <f t="shared" si="21"/>
        <v>6.3886039999998729</v>
      </c>
      <c r="AO19" s="74">
        <f t="shared" si="22"/>
        <v>-5.3669619999998304</v>
      </c>
      <c r="AP19" s="75">
        <f t="shared" si="23"/>
        <v>1.6145508619364495E-3</v>
      </c>
      <c r="AQ19" s="76">
        <f t="shared" si="24"/>
        <v>1462.574808663521</v>
      </c>
      <c r="AR19" s="90">
        <f t="shared" si="9"/>
        <v>24.461999999999534</v>
      </c>
      <c r="AS19" s="90">
        <f>SUM(J6:J19)</f>
        <v>51607.12</v>
      </c>
      <c r="AT19" s="83">
        <f>SUM(AM6:AM19)</f>
        <v>127.11999999999898</v>
      </c>
      <c r="AU19" s="83">
        <f>SUM(AN6:AN19)</f>
        <v>53.950776000000133</v>
      </c>
      <c r="AV19" s="83">
        <f>SUM(AO6:AO19)</f>
        <v>-45.582510999999897</v>
      </c>
      <c r="AW19" s="83">
        <f>-SUM(AQ6:AQ19)</f>
        <v>-12273.547527227194</v>
      </c>
    </row>
    <row r="20" spans="1:49" x14ac:dyDescent="0.25">
      <c r="A20" t="str">
        <f t="shared" si="10"/>
        <v>46212M</v>
      </c>
      <c r="B20" s="51">
        <f t="shared" si="25"/>
        <v>46212</v>
      </c>
      <c r="C20" s="52" t="s">
        <v>87</v>
      </c>
      <c r="D20" s="91">
        <v>15910</v>
      </c>
      <c r="E20" s="62">
        <v>4.8</v>
      </c>
      <c r="F20" s="62">
        <v>8.5</v>
      </c>
      <c r="G20" s="62">
        <f t="shared" si="0"/>
        <v>763.68000000000006</v>
      </c>
      <c r="H20" s="72">
        <f t="shared" si="11"/>
        <v>1352.3500000000001</v>
      </c>
      <c r="I20" s="118">
        <v>4732.6000000000013</v>
      </c>
      <c r="J20" s="119">
        <v>4874.5780000000013</v>
      </c>
      <c r="K20" s="120">
        <v>4.5558213244305437</v>
      </c>
      <c r="L20" s="121">
        <v>8.1220238346786093</v>
      </c>
      <c r="M20" s="58" t="s">
        <v>204</v>
      </c>
      <c r="N20" s="58">
        <v>36545</v>
      </c>
      <c r="O20" s="59">
        <v>2500</v>
      </c>
      <c r="P20" s="56">
        <v>5.6</v>
      </c>
      <c r="Q20" s="60">
        <v>8.6</v>
      </c>
      <c r="R20" s="61">
        <f t="shared" si="12"/>
        <v>7374.5780000000013</v>
      </c>
      <c r="S20" s="62">
        <f t="shared" si="13"/>
        <v>362.07706399999995</v>
      </c>
      <c r="T20" s="63">
        <f t="shared" si="14"/>
        <v>610.91438699999992</v>
      </c>
      <c r="U20" s="64" t="s">
        <v>418</v>
      </c>
      <c r="V20" s="65" t="s">
        <v>419</v>
      </c>
      <c r="W20" s="66" t="s">
        <v>184</v>
      </c>
      <c r="X20" s="67">
        <v>15630</v>
      </c>
      <c r="Y20" s="68">
        <v>4.6399999999999997</v>
      </c>
      <c r="Z20" s="68">
        <v>8.76</v>
      </c>
      <c r="AA20" s="62">
        <f t="shared" si="26"/>
        <v>725.23199999999997</v>
      </c>
      <c r="AB20" s="63">
        <f t="shared" si="27"/>
        <v>1369.1879999999999</v>
      </c>
      <c r="AC20" s="215">
        <v>15630</v>
      </c>
      <c r="AD20" s="216">
        <v>4.6399999999999997</v>
      </c>
      <c r="AE20" s="216">
        <v>8.76</v>
      </c>
      <c r="AF20" s="62">
        <f t="shared" si="28"/>
        <v>725.23199999999997</v>
      </c>
      <c r="AG20" s="63">
        <f t="shared" si="29"/>
        <v>1369.1879999999999</v>
      </c>
      <c r="AH20" s="89">
        <v>7691</v>
      </c>
      <c r="AI20" s="66">
        <v>5.2</v>
      </c>
      <c r="AJ20" s="66">
        <v>8.5</v>
      </c>
      <c r="AK20" s="62">
        <f t="shared" ref="AK20:AK22" si="30">AH20*AI20%</f>
        <v>399.93200000000002</v>
      </c>
      <c r="AL20" s="72">
        <f t="shared" ref="AL20:AL22" si="31">AH20*AJ20%</f>
        <v>653.73500000000001</v>
      </c>
      <c r="AM20" s="73">
        <f t="shared" si="6"/>
        <v>-36.421999999998661</v>
      </c>
      <c r="AN20" s="74">
        <f t="shared" ref="AN20:AN21" si="32">+G20+S20-AF20-AK20</f>
        <v>0.59306399999991299</v>
      </c>
      <c r="AO20" s="74">
        <f t="shared" ref="AO20:AO21" si="33">+H20+T20-AG20-AL20</f>
        <v>-59.658612999999718</v>
      </c>
      <c r="AP20" s="75">
        <f t="shared" ref="AP20:AP65" si="34">(AN20+AO20)/(S20+T20)</f>
        <v>-6.070510582523074E-2</v>
      </c>
      <c r="AQ20" s="76">
        <f t="shared" si="8"/>
        <v>-17582.236927925584</v>
      </c>
      <c r="AR20" s="90">
        <f t="shared" si="9"/>
        <v>-36.421999999998661</v>
      </c>
    </row>
    <row r="21" spans="1:49" x14ac:dyDescent="0.25">
      <c r="A21" t="str">
        <f t="shared" si="10"/>
        <v>46212E</v>
      </c>
      <c r="B21" s="51">
        <f t="shared" si="25"/>
        <v>46212</v>
      </c>
      <c r="C21" s="52" t="s">
        <v>88</v>
      </c>
      <c r="D21" s="91">
        <v>7691</v>
      </c>
      <c r="E21" s="62">
        <v>5.2</v>
      </c>
      <c r="F21" s="62">
        <v>8.5</v>
      </c>
      <c r="G21" s="62">
        <f t="shared" si="0"/>
        <v>399.93200000000002</v>
      </c>
      <c r="H21" s="72">
        <f t="shared" si="11"/>
        <v>653.73500000000001</v>
      </c>
      <c r="I21" s="118">
        <v>3731.5</v>
      </c>
      <c r="J21" s="119">
        <v>3843.4450000000002</v>
      </c>
      <c r="K21" s="120">
        <v>4.135082406538924</v>
      </c>
      <c r="L21" s="121">
        <v>8.2675626423690165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2"/>
        <v>3843.4450000000002</v>
      </c>
      <c r="S21" s="62">
        <f t="shared" si="13"/>
        <v>158.92961799999995</v>
      </c>
      <c r="T21" s="63">
        <f t="shared" si="14"/>
        <v>317.75922299999985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6"/>
        <v>0</v>
      </c>
      <c r="AB21" s="63">
        <f t="shared" si="27"/>
        <v>0</v>
      </c>
      <c r="AC21" s="69"/>
      <c r="AD21" s="70"/>
      <c r="AE21" s="70"/>
      <c r="AF21" s="62">
        <f t="shared" si="28"/>
        <v>0</v>
      </c>
      <c r="AG21" s="63">
        <f t="shared" si="29"/>
        <v>0</v>
      </c>
      <c r="AH21" s="89">
        <v>11530</v>
      </c>
      <c r="AI21" s="66">
        <v>4.8</v>
      </c>
      <c r="AJ21" s="66">
        <v>8.5</v>
      </c>
      <c r="AK21" s="62">
        <f t="shared" si="30"/>
        <v>553.44000000000005</v>
      </c>
      <c r="AL21" s="72">
        <f t="shared" si="31"/>
        <v>980.05000000000007</v>
      </c>
      <c r="AM21" s="73">
        <f t="shared" si="6"/>
        <v>4.444999999999709</v>
      </c>
      <c r="AN21" s="74">
        <f t="shared" si="32"/>
        <v>5.4216179999998531</v>
      </c>
      <c r="AO21" s="74">
        <f t="shared" si="33"/>
        <v>-8.5557770000001483</v>
      </c>
      <c r="AP21" s="75">
        <f t="shared" si="34"/>
        <v>-6.5748528818619784E-3</v>
      </c>
      <c r="AQ21" s="76">
        <f t="shared" si="8"/>
        <v>42.884859686216714</v>
      </c>
      <c r="AR21" s="90">
        <f t="shared" si="9"/>
        <v>4.444999999999709</v>
      </c>
    </row>
    <row r="22" spans="1:49" x14ac:dyDescent="0.25">
      <c r="A22" t="str">
        <f t="shared" si="10"/>
        <v>46213M</v>
      </c>
      <c r="B22" s="51">
        <f t="shared" si="25"/>
        <v>46213</v>
      </c>
      <c r="C22" s="52" t="s">
        <v>87</v>
      </c>
      <c r="D22" s="91"/>
      <c r="E22" s="62"/>
      <c r="F22" s="62"/>
      <c r="G22" s="62">
        <f t="shared" si="0"/>
        <v>0</v>
      </c>
      <c r="H22" s="72">
        <f t="shared" si="11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2"/>
        <v>0</v>
      </c>
      <c r="S22" s="62">
        <f t="shared" si="13"/>
        <v>0</v>
      </c>
      <c r="T22" s="63">
        <f t="shared" si="14"/>
        <v>0</v>
      </c>
      <c r="U22" s="64"/>
      <c r="V22" s="65"/>
      <c r="W22" s="66"/>
      <c r="X22" s="67"/>
      <c r="Y22" s="68"/>
      <c r="Z22" s="68"/>
      <c r="AA22" s="62">
        <f t="shared" si="26"/>
        <v>0</v>
      </c>
      <c r="AB22" s="63">
        <f t="shared" si="27"/>
        <v>0</v>
      </c>
      <c r="AC22" s="69"/>
      <c r="AD22" s="70"/>
      <c r="AE22" s="70"/>
      <c r="AF22" s="62">
        <f t="shared" si="28"/>
        <v>0</v>
      </c>
      <c r="AG22" s="63">
        <f t="shared" si="29"/>
        <v>0</v>
      </c>
      <c r="AH22" s="89"/>
      <c r="AI22" s="66"/>
      <c r="AJ22" s="66"/>
      <c r="AK22" s="62">
        <f t="shared" si="30"/>
        <v>0</v>
      </c>
      <c r="AL22" s="72">
        <f t="shared" si="31"/>
        <v>0</v>
      </c>
      <c r="AM22" s="73">
        <f t="shared" si="6"/>
        <v>0</v>
      </c>
      <c r="AN22" s="80">
        <f t="shared" ref="AN22" si="35">+G22+S22-AF22-AK22</f>
        <v>0</v>
      </c>
      <c r="AO22" s="80">
        <f t="shared" ref="AO22" si="36">+H22+T22-AG22-AL22</f>
        <v>0</v>
      </c>
      <c r="AP22" s="75" t="e">
        <f t="shared" si="34"/>
        <v>#DIV/0!</v>
      </c>
      <c r="AQ22" s="76">
        <f t="shared" si="8"/>
        <v>0</v>
      </c>
      <c r="AR22" s="90">
        <f t="shared" si="9"/>
        <v>0</v>
      </c>
    </row>
    <row r="23" spans="1:49" x14ac:dyDescent="0.25">
      <c r="A23" t="str">
        <f t="shared" si="10"/>
        <v>46213E</v>
      </c>
      <c r="B23" s="51">
        <f t="shared" si="25"/>
        <v>46213</v>
      </c>
      <c r="C23" s="52" t="s">
        <v>88</v>
      </c>
      <c r="D23" s="91"/>
      <c r="E23" s="62"/>
      <c r="F23" s="62"/>
      <c r="G23" s="62">
        <f t="shared" si="0"/>
        <v>0</v>
      </c>
      <c r="H23" s="72">
        <f t="shared" si="11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2"/>
        <v>0</v>
      </c>
      <c r="S23" s="62">
        <f t="shared" si="13"/>
        <v>0</v>
      </c>
      <c r="T23" s="63">
        <f t="shared" si="14"/>
        <v>0</v>
      </c>
      <c r="U23" s="64"/>
      <c r="V23" s="65"/>
      <c r="W23" s="66"/>
      <c r="X23" s="67"/>
      <c r="Y23" s="68"/>
      <c r="Z23" s="68"/>
      <c r="AA23" s="62">
        <f t="shared" si="26"/>
        <v>0</v>
      </c>
      <c r="AB23" s="63">
        <f t="shared" si="27"/>
        <v>0</v>
      </c>
      <c r="AC23" s="69"/>
      <c r="AD23" s="70"/>
      <c r="AE23" s="70"/>
      <c r="AF23" s="62">
        <f t="shared" si="28"/>
        <v>0</v>
      </c>
      <c r="AG23" s="63">
        <f t="shared" si="29"/>
        <v>0</v>
      </c>
      <c r="AH23" s="89"/>
      <c r="AI23" s="66"/>
      <c r="AJ23" s="66"/>
      <c r="AK23" s="62">
        <f t="shared" ref="AK23:AK36" si="37">AH23*AI23%</f>
        <v>0</v>
      </c>
      <c r="AL23" s="72">
        <f t="shared" ref="AL23:AL36" si="38">AH23*AJ23%</f>
        <v>0</v>
      </c>
      <c r="AM23" s="73">
        <f t="shared" si="6"/>
        <v>0</v>
      </c>
      <c r="AN23" s="80">
        <f t="shared" ref="AN23:AN35" si="39">+G23+S23-AF23-AK23</f>
        <v>0</v>
      </c>
      <c r="AO23" s="80">
        <f t="shared" ref="AO23:AO35" si="40">+H23+T23-AG23-AL23</f>
        <v>0</v>
      </c>
      <c r="AP23" s="75" t="e">
        <f t="shared" si="34"/>
        <v>#DIV/0!</v>
      </c>
      <c r="AQ23" s="76">
        <f t="shared" si="8"/>
        <v>0</v>
      </c>
      <c r="AR23" s="90">
        <f t="shared" si="9"/>
        <v>0</v>
      </c>
    </row>
    <row r="24" spans="1:49" x14ac:dyDescent="0.25">
      <c r="A24" t="str">
        <f t="shared" si="10"/>
        <v>46214M</v>
      </c>
      <c r="B24" s="51">
        <f t="shared" si="25"/>
        <v>46214</v>
      </c>
      <c r="C24" s="98" t="s">
        <v>87</v>
      </c>
      <c r="D24" s="91"/>
      <c r="E24" s="62"/>
      <c r="F24" s="62"/>
      <c r="G24" s="62">
        <f t="shared" si="0"/>
        <v>0</v>
      </c>
      <c r="H24" s="72">
        <f t="shared" si="11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26"/>
        <v>0</v>
      </c>
      <c r="AB24" s="63">
        <f t="shared" si="27"/>
        <v>0</v>
      </c>
      <c r="AC24" s="69"/>
      <c r="AD24" s="70"/>
      <c r="AE24" s="70"/>
      <c r="AF24" s="62">
        <f t="shared" si="28"/>
        <v>0</v>
      </c>
      <c r="AG24" s="63">
        <f t="shared" si="29"/>
        <v>0</v>
      </c>
      <c r="AH24" s="89"/>
      <c r="AI24" s="66"/>
      <c r="AJ24" s="66"/>
      <c r="AK24" s="62">
        <f t="shared" si="37"/>
        <v>0</v>
      </c>
      <c r="AL24" s="72">
        <f t="shared" si="38"/>
        <v>0</v>
      </c>
      <c r="AM24" s="73">
        <f t="shared" si="6"/>
        <v>0</v>
      </c>
      <c r="AN24" s="80">
        <f t="shared" si="39"/>
        <v>0</v>
      </c>
      <c r="AO24" s="80">
        <f t="shared" si="40"/>
        <v>0</v>
      </c>
      <c r="AP24" s="75" t="e">
        <f t="shared" si="34"/>
        <v>#DIV/0!</v>
      </c>
      <c r="AQ24" s="76">
        <f t="shared" si="8"/>
        <v>0</v>
      </c>
      <c r="AR24" s="90">
        <f t="shared" si="9"/>
        <v>0</v>
      </c>
    </row>
    <row r="25" spans="1:49" x14ac:dyDescent="0.25">
      <c r="A25" t="str">
        <f t="shared" si="10"/>
        <v>46214E</v>
      </c>
      <c r="B25" s="51">
        <f t="shared" si="25"/>
        <v>46214</v>
      </c>
      <c r="C25" s="52" t="s">
        <v>88</v>
      </c>
      <c r="D25" s="91"/>
      <c r="E25" s="62"/>
      <c r="F25" s="62"/>
      <c r="G25" s="62">
        <f t="shared" si="0"/>
        <v>0</v>
      </c>
      <c r="H25" s="72">
        <f t="shared" si="11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26"/>
        <v>0</v>
      </c>
      <c r="AB25" s="63">
        <f t="shared" si="27"/>
        <v>0</v>
      </c>
      <c r="AC25" s="69"/>
      <c r="AD25" s="70"/>
      <c r="AE25" s="70"/>
      <c r="AF25" s="62">
        <f t="shared" si="28"/>
        <v>0</v>
      </c>
      <c r="AG25" s="63">
        <f t="shared" si="29"/>
        <v>0</v>
      </c>
      <c r="AH25" s="89"/>
      <c r="AI25" s="66"/>
      <c r="AJ25" s="66"/>
      <c r="AK25" s="62">
        <f t="shared" si="37"/>
        <v>0</v>
      </c>
      <c r="AL25" s="72">
        <f t="shared" si="38"/>
        <v>0</v>
      </c>
      <c r="AM25" s="73">
        <f t="shared" si="6"/>
        <v>0</v>
      </c>
      <c r="AN25" s="80">
        <f t="shared" si="39"/>
        <v>0</v>
      </c>
      <c r="AO25" s="80">
        <f t="shared" si="40"/>
        <v>0</v>
      </c>
      <c r="AP25" s="75" t="e">
        <f t="shared" si="34"/>
        <v>#DIV/0!</v>
      </c>
      <c r="AQ25" s="76">
        <f t="shared" si="8"/>
        <v>0</v>
      </c>
      <c r="AR25" s="90">
        <f t="shared" si="9"/>
        <v>0</v>
      </c>
    </row>
    <row r="26" spans="1:49" x14ac:dyDescent="0.25">
      <c r="A26" t="str">
        <f t="shared" si="10"/>
        <v>46215M</v>
      </c>
      <c r="B26" s="51">
        <f t="shared" si="25"/>
        <v>46215</v>
      </c>
      <c r="C26" s="52" t="s">
        <v>87</v>
      </c>
      <c r="D26" s="91"/>
      <c r="E26" s="62"/>
      <c r="F26" s="62"/>
      <c r="G26" s="62">
        <f t="shared" si="0"/>
        <v>0</v>
      </c>
      <c r="H26" s="72">
        <f t="shared" si="11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26"/>
        <v>0</v>
      </c>
      <c r="AB26" s="63">
        <f t="shared" si="27"/>
        <v>0</v>
      </c>
      <c r="AC26" s="69"/>
      <c r="AD26" s="70"/>
      <c r="AE26" s="70"/>
      <c r="AF26" s="62">
        <f t="shared" si="28"/>
        <v>0</v>
      </c>
      <c r="AG26" s="63">
        <f t="shared" si="29"/>
        <v>0</v>
      </c>
      <c r="AH26" s="89"/>
      <c r="AI26" s="66"/>
      <c r="AJ26" s="66"/>
      <c r="AK26" s="62">
        <f t="shared" si="37"/>
        <v>0</v>
      </c>
      <c r="AL26" s="72">
        <f t="shared" si="38"/>
        <v>0</v>
      </c>
      <c r="AM26" s="73">
        <f t="shared" si="6"/>
        <v>0</v>
      </c>
      <c r="AN26" s="80">
        <f t="shared" si="39"/>
        <v>0</v>
      </c>
      <c r="AO26" s="80">
        <f t="shared" si="40"/>
        <v>0</v>
      </c>
      <c r="AP26" s="75" t="e">
        <f t="shared" si="34"/>
        <v>#DIV/0!</v>
      </c>
      <c r="AQ26" s="76">
        <f t="shared" si="8"/>
        <v>0</v>
      </c>
      <c r="AR26" s="90">
        <f t="shared" si="9"/>
        <v>0</v>
      </c>
    </row>
    <row r="27" spans="1:49" x14ac:dyDescent="0.25">
      <c r="A27" t="str">
        <f t="shared" si="10"/>
        <v>46215E</v>
      </c>
      <c r="B27" s="51">
        <f t="shared" si="25"/>
        <v>46215</v>
      </c>
      <c r="C27" s="52" t="s">
        <v>88</v>
      </c>
      <c r="D27" s="91"/>
      <c r="E27" s="62"/>
      <c r="F27" s="62"/>
      <c r="G27" s="62">
        <f t="shared" si="0"/>
        <v>0</v>
      </c>
      <c r="H27" s="72">
        <f t="shared" si="11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26"/>
        <v>0</v>
      </c>
      <c r="AB27" s="63">
        <f t="shared" si="27"/>
        <v>0</v>
      </c>
      <c r="AC27" s="69"/>
      <c r="AD27" s="70"/>
      <c r="AE27" s="70"/>
      <c r="AF27" s="62">
        <f t="shared" si="28"/>
        <v>0</v>
      </c>
      <c r="AG27" s="63">
        <f t="shared" si="29"/>
        <v>0</v>
      </c>
      <c r="AH27" s="89"/>
      <c r="AI27" s="66"/>
      <c r="AJ27" s="66"/>
      <c r="AK27" s="62">
        <f t="shared" si="37"/>
        <v>0</v>
      </c>
      <c r="AL27" s="72">
        <f t="shared" si="38"/>
        <v>0</v>
      </c>
      <c r="AM27" s="73">
        <f t="shared" si="6"/>
        <v>0</v>
      </c>
      <c r="AN27" s="80">
        <f t="shared" si="39"/>
        <v>0</v>
      </c>
      <c r="AO27" s="80">
        <f t="shared" si="40"/>
        <v>0</v>
      </c>
      <c r="AP27" s="75" t="e">
        <f t="shared" si="34"/>
        <v>#DIV/0!</v>
      </c>
      <c r="AQ27" s="76">
        <f t="shared" si="8"/>
        <v>0</v>
      </c>
      <c r="AR27" s="90">
        <f t="shared" si="9"/>
        <v>0</v>
      </c>
      <c r="AS27" s="90">
        <f>SUM(J14:J27)</f>
        <v>29681.097999999998</v>
      </c>
      <c r="AT27" s="83">
        <f>SUM(AM14:AM27)</f>
        <v>-8.9019999999982247</v>
      </c>
      <c r="AU27" s="83">
        <f>SUM(AN14:AN27)</f>
        <v>33.382835999999998</v>
      </c>
      <c r="AV27" s="83">
        <f>SUM(AO14:AO27)</f>
        <v>-100.74877199999946</v>
      </c>
      <c r="AW27" s="83">
        <f>-SUM(AQ14:AQ27)</f>
        <v>14131.821106954918</v>
      </c>
    </row>
    <row r="28" spans="1:49" x14ac:dyDescent="0.25">
      <c r="A28" t="str">
        <f t="shared" si="10"/>
        <v>46216M</v>
      </c>
      <c r="B28" s="51">
        <f t="shared" si="25"/>
        <v>46216</v>
      </c>
      <c r="C28" s="52" t="s">
        <v>87</v>
      </c>
      <c r="D28" s="91"/>
      <c r="E28" s="62"/>
      <c r="F28" s="62"/>
      <c r="G28" s="62">
        <f t="shared" si="0"/>
        <v>0</v>
      </c>
      <c r="H28" s="72">
        <f t="shared" si="11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26"/>
        <v>0</v>
      </c>
      <c r="AB28" s="63">
        <f t="shared" si="27"/>
        <v>0</v>
      </c>
      <c r="AC28" s="69"/>
      <c r="AD28" s="70"/>
      <c r="AE28" s="70"/>
      <c r="AF28" s="62">
        <f t="shared" si="28"/>
        <v>0</v>
      </c>
      <c r="AG28" s="63">
        <f t="shared" si="29"/>
        <v>0</v>
      </c>
      <c r="AH28" s="89"/>
      <c r="AI28" s="66"/>
      <c r="AJ28" s="66"/>
      <c r="AK28" s="62">
        <f t="shared" si="37"/>
        <v>0</v>
      </c>
      <c r="AL28" s="72">
        <f t="shared" si="38"/>
        <v>0</v>
      </c>
      <c r="AM28" s="73">
        <f t="shared" si="6"/>
        <v>0</v>
      </c>
      <c r="AN28" s="80">
        <f t="shared" si="39"/>
        <v>0</v>
      </c>
      <c r="AO28" s="80">
        <f t="shared" si="40"/>
        <v>0</v>
      </c>
      <c r="AP28" s="75" t="e">
        <f t="shared" si="34"/>
        <v>#DIV/0!</v>
      </c>
      <c r="AQ28" s="76">
        <f t="shared" si="8"/>
        <v>0</v>
      </c>
      <c r="AR28" s="90">
        <f t="shared" si="9"/>
        <v>0</v>
      </c>
    </row>
    <row r="29" spans="1:49" x14ac:dyDescent="0.25">
      <c r="A29" t="str">
        <f t="shared" si="10"/>
        <v>46216E</v>
      </c>
      <c r="B29" s="51">
        <f t="shared" si="25"/>
        <v>46216</v>
      </c>
      <c r="C29" s="52" t="s">
        <v>88</v>
      </c>
      <c r="D29" s="91"/>
      <c r="E29" s="62"/>
      <c r="F29" s="62"/>
      <c r="G29" s="62">
        <f t="shared" si="0"/>
        <v>0</v>
      </c>
      <c r="H29" s="72">
        <f t="shared" si="11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26"/>
        <v>0</v>
      </c>
      <c r="AB29" s="63">
        <f t="shared" si="27"/>
        <v>0</v>
      </c>
      <c r="AC29" s="69"/>
      <c r="AD29" s="70"/>
      <c r="AE29" s="70"/>
      <c r="AF29" s="62">
        <f t="shared" si="28"/>
        <v>0</v>
      </c>
      <c r="AG29" s="63">
        <f t="shared" si="29"/>
        <v>0</v>
      </c>
      <c r="AH29" s="89"/>
      <c r="AI29" s="66"/>
      <c r="AJ29" s="66"/>
      <c r="AK29" s="62">
        <f t="shared" si="37"/>
        <v>0</v>
      </c>
      <c r="AL29" s="72">
        <f t="shared" si="38"/>
        <v>0</v>
      </c>
      <c r="AM29" s="73">
        <f t="shared" si="6"/>
        <v>0</v>
      </c>
      <c r="AN29" s="80">
        <f t="shared" si="39"/>
        <v>0</v>
      </c>
      <c r="AO29" s="80">
        <f t="shared" si="40"/>
        <v>0</v>
      </c>
      <c r="AP29" s="75" t="e">
        <f t="shared" si="34"/>
        <v>#DIV/0!</v>
      </c>
      <c r="AQ29" s="76">
        <f t="shared" si="8"/>
        <v>0</v>
      </c>
      <c r="AR29" s="90">
        <f t="shared" si="9"/>
        <v>0</v>
      </c>
    </row>
    <row r="30" spans="1:49" x14ac:dyDescent="0.25">
      <c r="A30" t="str">
        <f t="shared" si="10"/>
        <v>46217M</v>
      </c>
      <c r="B30" s="51">
        <f t="shared" si="25"/>
        <v>46217</v>
      </c>
      <c r="C30" s="52" t="s">
        <v>87</v>
      </c>
      <c r="D30" s="91"/>
      <c r="E30" s="62"/>
      <c r="F30" s="62"/>
      <c r="G30" s="62">
        <f t="shared" si="0"/>
        <v>0</v>
      </c>
      <c r="H30" s="72">
        <f t="shared" si="11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26"/>
        <v>0</v>
      </c>
      <c r="AB30" s="63">
        <f t="shared" si="27"/>
        <v>0</v>
      </c>
      <c r="AC30" s="69"/>
      <c r="AD30" s="70"/>
      <c r="AE30" s="70"/>
      <c r="AF30" s="62">
        <f t="shared" si="28"/>
        <v>0</v>
      </c>
      <c r="AG30" s="63">
        <f t="shared" si="29"/>
        <v>0</v>
      </c>
      <c r="AH30" s="89"/>
      <c r="AI30" s="66"/>
      <c r="AJ30" s="66"/>
      <c r="AK30" s="62">
        <f t="shared" si="37"/>
        <v>0</v>
      </c>
      <c r="AL30" s="72">
        <f t="shared" si="38"/>
        <v>0</v>
      </c>
      <c r="AM30" s="73">
        <f t="shared" si="6"/>
        <v>0</v>
      </c>
      <c r="AN30" s="80">
        <f t="shared" si="39"/>
        <v>0</v>
      </c>
      <c r="AO30" s="80">
        <f t="shared" si="40"/>
        <v>0</v>
      </c>
      <c r="AP30" s="75" t="e">
        <f t="shared" si="34"/>
        <v>#DIV/0!</v>
      </c>
      <c r="AQ30" s="76">
        <f t="shared" si="8"/>
        <v>0</v>
      </c>
      <c r="AR30" s="90">
        <f t="shared" si="9"/>
        <v>0</v>
      </c>
    </row>
    <row r="31" spans="1:49" x14ac:dyDescent="0.25">
      <c r="A31" t="str">
        <f t="shared" si="10"/>
        <v>46217E</v>
      </c>
      <c r="B31" s="51">
        <f t="shared" si="25"/>
        <v>46217</v>
      </c>
      <c r="C31" s="52" t="s">
        <v>88</v>
      </c>
      <c r="D31" s="91"/>
      <c r="E31" s="62"/>
      <c r="F31" s="62"/>
      <c r="G31" s="62">
        <f t="shared" si="0"/>
        <v>0</v>
      </c>
      <c r="H31" s="72">
        <f t="shared" si="11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26"/>
        <v>0</v>
      </c>
      <c r="AB31" s="63">
        <f t="shared" si="27"/>
        <v>0</v>
      </c>
      <c r="AC31" s="69"/>
      <c r="AD31" s="70"/>
      <c r="AE31" s="70"/>
      <c r="AF31" s="62">
        <f t="shared" si="28"/>
        <v>0</v>
      </c>
      <c r="AG31" s="63">
        <f t="shared" si="29"/>
        <v>0</v>
      </c>
      <c r="AH31" s="89"/>
      <c r="AI31" s="66"/>
      <c r="AJ31" s="66"/>
      <c r="AK31" s="62">
        <f t="shared" si="37"/>
        <v>0</v>
      </c>
      <c r="AL31" s="72">
        <f t="shared" si="38"/>
        <v>0</v>
      </c>
      <c r="AM31" s="73">
        <f t="shared" si="6"/>
        <v>0</v>
      </c>
      <c r="AN31" s="80">
        <f t="shared" si="39"/>
        <v>0</v>
      </c>
      <c r="AO31" s="80">
        <f t="shared" si="40"/>
        <v>0</v>
      </c>
      <c r="AP31" s="75" t="e">
        <f t="shared" si="34"/>
        <v>#DIV/0!</v>
      </c>
      <c r="AQ31" s="76">
        <f t="shared" si="8"/>
        <v>0</v>
      </c>
      <c r="AR31" s="90">
        <f t="shared" si="9"/>
        <v>0</v>
      </c>
    </row>
    <row r="32" spans="1:49" x14ac:dyDescent="0.25">
      <c r="A32" t="str">
        <f t="shared" si="10"/>
        <v>46218M</v>
      </c>
      <c r="B32" s="51">
        <f t="shared" si="25"/>
        <v>46218</v>
      </c>
      <c r="C32" s="52" t="s">
        <v>87</v>
      </c>
      <c r="D32" s="91"/>
      <c r="E32" s="62"/>
      <c r="F32" s="62"/>
      <c r="G32" s="62">
        <f t="shared" si="0"/>
        <v>0</v>
      </c>
      <c r="H32" s="72">
        <f t="shared" si="11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26"/>
        <v>0</v>
      </c>
      <c r="AB32" s="63">
        <f t="shared" si="27"/>
        <v>0</v>
      </c>
      <c r="AC32" s="69"/>
      <c r="AD32" s="70"/>
      <c r="AE32" s="70"/>
      <c r="AF32" s="62">
        <f t="shared" ref="AF32:AF36" si="41">AC32*AD32%</f>
        <v>0</v>
      </c>
      <c r="AG32" s="63">
        <f t="shared" ref="AG32:AG36" si="42">AC32*AE32%</f>
        <v>0</v>
      </c>
      <c r="AH32" s="89"/>
      <c r="AI32" s="66"/>
      <c r="AJ32" s="66"/>
      <c r="AK32" s="62">
        <f t="shared" si="37"/>
        <v>0</v>
      </c>
      <c r="AL32" s="72">
        <f t="shared" si="38"/>
        <v>0</v>
      </c>
      <c r="AM32" s="73">
        <f t="shared" si="6"/>
        <v>0</v>
      </c>
      <c r="AN32" s="80">
        <f t="shared" si="39"/>
        <v>0</v>
      </c>
      <c r="AO32" s="80">
        <f t="shared" si="40"/>
        <v>0</v>
      </c>
      <c r="AP32" s="75" t="e">
        <f t="shared" si="34"/>
        <v>#DIV/0!</v>
      </c>
      <c r="AQ32" s="76">
        <f t="shared" si="8"/>
        <v>0</v>
      </c>
      <c r="AR32" s="90">
        <f t="shared" si="9"/>
        <v>0</v>
      </c>
    </row>
    <row r="33" spans="1:49" x14ac:dyDescent="0.25">
      <c r="A33" t="str">
        <f t="shared" si="10"/>
        <v>46218E</v>
      </c>
      <c r="B33" s="51">
        <f t="shared" si="25"/>
        <v>46218</v>
      </c>
      <c r="C33" s="52" t="s">
        <v>88</v>
      </c>
      <c r="D33" s="91"/>
      <c r="E33" s="62"/>
      <c r="F33" s="62"/>
      <c r="G33" s="62">
        <f t="shared" si="0"/>
        <v>0</v>
      </c>
      <c r="H33" s="72">
        <f t="shared" si="11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26"/>
        <v>0</v>
      </c>
      <c r="AB33" s="63">
        <f t="shared" si="27"/>
        <v>0</v>
      </c>
      <c r="AC33" s="69"/>
      <c r="AD33" s="70"/>
      <c r="AE33" s="70"/>
      <c r="AF33" s="62">
        <f t="shared" si="41"/>
        <v>0</v>
      </c>
      <c r="AG33" s="63">
        <f t="shared" si="42"/>
        <v>0</v>
      </c>
      <c r="AH33" s="89"/>
      <c r="AI33" s="66"/>
      <c r="AJ33" s="66"/>
      <c r="AK33" s="62">
        <f t="shared" si="37"/>
        <v>0</v>
      </c>
      <c r="AL33" s="72">
        <f t="shared" si="38"/>
        <v>0</v>
      </c>
      <c r="AM33" s="73">
        <f t="shared" si="6"/>
        <v>0</v>
      </c>
      <c r="AN33" s="80">
        <f t="shared" si="39"/>
        <v>0</v>
      </c>
      <c r="AO33" s="80">
        <f t="shared" si="40"/>
        <v>0</v>
      </c>
      <c r="AP33" s="75" t="e">
        <f t="shared" si="34"/>
        <v>#DIV/0!</v>
      </c>
      <c r="AQ33" s="76">
        <f t="shared" si="8"/>
        <v>0</v>
      </c>
      <c r="AR33" s="90">
        <f t="shared" si="9"/>
        <v>0</v>
      </c>
    </row>
    <row r="34" spans="1:49" x14ac:dyDescent="0.25">
      <c r="A34" t="str">
        <f t="shared" si="10"/>
        <v>46219M</v>
      </c>
      <c r="B34" s="51">
        <f t="shared" si="25"/>
        <v>46219</v>
      </c>
      <c r="C34" s="52" t="s">
        <v>87</v>
      </c>
      <c r="D34" s="91"/>
      <c r="E34" s="62"/>
      <c r="F34" s="62"/>
      <c r="G34" s="62">
        <f t="shared" si="0"/>
        <v>0</v>
      </c>
      <c r="H34" s="72">
        <f t="shared" si="11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26"/>
        <v>0</v>
      </c>
      <c r="AB34" s="63">
        <f t="shared" si="27"/>
        <v>0</v>
      </c>
      <c r="AC34" s="69"/>
      <c r="AD34" s="70"/>
      <c r="AE34" s="70"/>
      <c r="AF34" s="62">
        <f t="shared" si="41"/>
        <v>0</v>
      </c>
      <c r="AG34" s="63">
        <f t="shared" si="42"/>
        <v>0</v>
      </c>
      <c r="AH34" s="89"/>
      <c r="AI34" s="66"/>
      <c r="AJ34" s="66"/>
      <c r="AK34" s="62">
        <f t="shared" si="37"/>
        <v>0</v>
      </c>
      <c r="AL34" s="72">
        <f t="shared" si="38"/>
        <v>0</v>
      </c>
      <c r="AM34" s="73">
        <f t="shared" si="6"/>
        <v>0</v>
      </c>
      <c r="AN34" s="80">
        <f t="shared" si="39"/>
        <v>0</v>
      </c>
      <c r="AO34" s="80">
        <f t="shared" si="40"/>
        <v>0</v>
      </c>
      <c r="AP34" s="75" t="e">
        <f t="shared" si="34"/>
        <v>#DIV/0!</v>
      </c>
      <c r="AQ34" s="76">
        <f t="shared" si="8"/>
        <v>0</v>
      </c>
      <c r="AR34" s="90">
        <f t="shared" si="9"/>
        <v>0</v>
      </c>
    </row>
    <row r="35" spans="1:49" x14ac:dyDescent="0.25">
      <c r="A35" t="str">
        <f t="shared" si="10"/>
        <v>46219E</v>
      </c>
      <c r="B35" s="51">
        <f t="shared" si="25"/>
        <v>46219</v>
      </c>
      <c r="C35" s="52" t="s">
        <v>88</v>
      </c>
      <c r="D35" s="91"/>
      <c r="E35" s="62"/>
      <c r="F35" s="62"/>
      <c r="G35" s="62">
        <f t="shared" si="0"/>
        <v>0</v>
      </c>
      <c r="H35" s="72">
        <f t="shared" si="11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26"/>
        <v>0</v>
      </c>
      <c r="AB35" s="63">
        <f t="shared" si="27"/>
        <v>0</v>
      </c>
      <c r="AC35" s="69"/>
      <c r="AD35" s="70"/>
      <c r="AE35" s="70"/>
      <c r="AF35" s="62">
        <f t="shared" si="41"/>
        <v>0</v>
      </c>
      <c r="AG35" s="63">
        <f t="shared" si="42"/>
        <v>0</v>
      </c>
      <c r="AH35" s="89"/>
      <c r="AI35" s="66"/>
      <c r="AJ35" s="66"/>
      <c r="AK35" s="62">
        <f t="shared" si="37"/>
        <v>0</v>
      </c>
      <c r="AL35" s="72">
        <f t="shared" si="38"/>
        <v>0</v>
      </c>
      <c r="AM35" s="73">
        <f t="shared" si="6"/>
        <v>0</v>
      </c>
      <c r="AN35" s="80">
        <f t="shared" si="39"/>
        <v>0</v>
      </c>
      <c r="AO35" s="80">
        <f t="shared" si="40"/>
        <v>0</v>
      </c>
      <c r="AP35" s="75" t="e">
        <f t="shared" si="34"/>
        <v>#DIV/0!</v>
      </c>
      <c r="AQ35" s="76">
        <f t="shared" si="8"/>
        <v>0</v>
      </c>
      <c r="AR35" s="90">
        <f t="shared" si="9"/>
        <v>0</v>
      </c>
    </row>
    <row r="36" spans="1:49" x14ac:dyDescent="0.25">
      <c r="A36" t="str">
        <f t="shared" si="10"/>
        <v>46220M</v>
      </c>
      <c r="B36" s="51">
        <f t="shared" si="25"/>
        <v>46220</v>
      </c>
      <c r="C36" s="98" t="s">
        <v>87</v>
      </c>
      <c r="D36" s="91"/>
      <c r="E36" s="62"/>
      <c r="F36" s="62"/>
      <c r="G36" s="62">
        <f t="shared" ref="G36:G65" si="43">+D36*E36%</f>
        <v>0</v>
      </c>
      <c r="H36" s="72">
        <f t="shared" si="11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85"/>
      <c r="W36" s="66"/>
      <c r="X36" s="67"/>
      <c r="Y36" s="68"/>
      <c r="Z36" s="68"/>
      <c r="AA36" s="62">
        <f t="shared" si="26"/>
        <v>0</v>
      </c>
      <c r="AB36" s="63">
        <f t="shared" si="27"/>
        <v>0</v>
      </c>
      <c r="AC36" s="69"/>
      <c r="AD36" s="70"/>
      <c r="AE36" s="70"/>
      <c r="AF36" s="62">
        <f t="shared" si="41"/>
        <v>0</v>
      </c>
      <c r="AG36" s="63">
        <f t="shared" si="42"/>
        <v>0</v>
      </c>
      <c r="AH36" s="89"/>
      <c r="AI36" s="66"/>
      <c r="AJ36" s="66"/>
      <c r="AK36" s="62">
        <f t="shared" si="37"/>
        <v>0</v>
      </c>
      <c r="AL36" s="72">
        <f t="shared" si="38"/>
        <v>0</v>
      </c>
      <c r="AM36" s="73">
        <f t="shared" ref="AM36:AM65" si="44">+D36+R36-AC36-AH36</f>
        <v>0</v>
      </c>
      <c r="AN36" s="80">
        <f t="shared" ref="AN36:AO36" si="45">+G36+S36-AF36-AK36</f>
        <v>0</v>
      </c>
      <c r="AO36" s="80">
        <f t="shared" si="45"/>
        <v>0</v>
      </c>
      <c r="AP36" s="75" t="e">
        <f t="shared" si="34"/>
        <v>#DIV/0!</v>
      </c>
      <c r="AQ36" s="76">
        <f t="shared" si="8"/>
        <v>0</v>
      </c>
      <c r="AR36" s="90">
        <f t="shared" ref="AR36:AR65" si="46">(D36+J36+O36)-(X36+AH36)</f>
        <v>0</v>
      </c>
    </row>
    <row r="37" spans="1:49" x14ac:dyDescent="0.25">
      <c r="A37" t="str">
        <f t="shared" si="10"/>
        <v>46220E</v>
      </c>
      <c r="B37" s="51">
        <f t="shared" si="25"/>
        <v>46220</v>
      </c>
      <c r="C37" s="52" t="s">
        <v>88</v>
      </c>
      <c r="D37" s="91"/>
      <c r="E37" s="62"/>
      <c r="F37" s="62"/>
      <c r="G37" s="62">
        <f t="shared" si="43"/>
        <v>0</v>
      </c>
      <c r="H37" s="72">
        <f t="shared" ref="H37:H65" si="47">+D37*F37%</f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26"/>
        <v>0</v>
      </c>
      <c r="AB37" s="63">
        <f t="shared" si="27"/>
        <v>0</v>
      </c>
      <c r="AC37" s="69"/>
      <c r="AD37" s="70"/>
      <c r="AE37" s="70"/>
      <c r="AF37" s="62">
        <f t="shared" ref="AF37:AF55" si="48">AC37*AD37%</f>
        <v>0</v>
      </c>
      <c r="AG37" s="63">
        <f t="shared" ref="AG37:AG55" si="49">AC37*AE37%</f>
        <v>0</v>
      </c>
      <c r="AH37" s="89"/>
      <c r="AI37" s="66"/>
      <c r="AJ37" s="66"/>
      <c r="AK37" s="62">
        <f t="shared" ref="AK37:AK49" si="50">AH37*AI37%</f>
        <v>0</v>
      </c>
      <c r="AL37" s="72">
        <f t="shared" ref="AL37:AL49" si="51">AH37*AJ37%</f>
        <v>0</v>
      </c>
      <c r="AM37" s="73">
        <f t="shared" si="44"/>
        <v>0</v>
      </c>
      <c r="AN37" s="80">
        <f t="shared" ref="AN37:AN49" si="52">+G37+S37-AF37-AK37</f>
        <v>0</v>
      </c>
      <c r="AO37" s="80">
        <f t="shared" ref="AO37:AO49" si="53">+H37+T37-AG37-AL37</f>
        <v>0</v>
      </c>
      <c r="AP37" s="75" t="e">
        <f t="shared" si="34"/>
        <v>#DIV/0!</v>
      </c>
      <c r="AQ37" s="76">
        <f t="shared" si="8"/>
        <v>0</v>
      </c>
      <c r="AR37" s="90">
        <f t="shared" si="46"/>
        <v>0</v>
      </c>
    </row>
    <row r="38" spans="1:49" x14ac:dyDescent="0.25">
      <c r="A38" t="str">
        <f t="shared" si="10"/>
        <v>46221M</v>
      </c>
      <c r="B38" s="51">
        <f t="shared" si="25"/>
        <v>46221</v>
      </c>
      <c r="C38" s="52" t="s">
        <v>87</v>
      </c>
      <c r="D38" s="91"/>
      <c r="E38" s="62"/>
      <c r="F38" s="62"/>
      <c r="G38" s="62">
        <f t="shared" si="43"/>
        <v>0</v>
      </c>
      <c r="H38" s="72">
        <f t="shared" si="47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26"/>
        <v>0</v>
      </c>
      <c r="AB38" s="63">
        <f t="shared" si="27"/>
        <v>0</v>
      </c>
      <c r="AC38" s="69"/>
      <c r="AD38" s="70"/>
      <c r="AE38" s="70"/>
      <c r="AF38" s="62">
        <f t="shared" si="48"/>
        <v>0</v>
      </c>
      <c r="AG38" s="63">
        <f t="shared" si="49"/>
        <v>0</v>
      </c>
      <c r="AH38" s="89"/>
      <c r="AI38" s="66"/>
      <c r="AJ38" s="66"/>
      <c r="AK38" s="62">
        <f t="shared" si="50"/>
        <v>0</v>
      </c>
      <c r="AL38" s="72">
        <f t="shared" si="51"/>
        <v>0</v>
      </c>
      <c r="AM38" s="73">
        <f t="shared" si="44"/>
        <v>0</v>
      </c>
      <c r="AN38" s="80">
        <f t="shared" si="52"/>
        <v>0</v>
      </c>
      <c r="AO38" s="80">
        <f t="shared" si="53"/>
        <v>0</v>
      </c>
      <c r="AP38" s="75" t="e">
        <f t="shared" si="34"/>
        <v>#DIV/0!</v>
      </c>
      <c r="AQ38" s="76">
        <f t="shared" si="8"/>
        <v>0</v>
      </c>
      <c r="AR38" s="90">
        <f t="shared" si="46"/>
        <v>0</v>
      </c>
    </row>
    <row r="39" spans="1:49" x14ac:dyDescent="0.25">
      <c r="A39" t="str">
        <f t="shared" si="10"/>
        <v>46221E</v>
      </c>
      <c r="B39" s="51">
        <f t="shared" si="25"/>
        <v>46221</v>
      </c>
      <c r="C39" s="52" t="s">
        <v>88</v>
      </c>
      <c r="D39" s="91"/>
      <c r="E39" s="62"/>
      <c r="F39" s="62"/>
      <c r="G39" s="62">
        <f t="shared" si="43"/>
        <v>0</v>
      </c>
      <c r="H39" s="72">
        <f t="shared" si="47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26"/>
        <v>0</v>
      </c>
      <c r="AB39" s="63">
        <f t="shared" si="27"/>
        <v>0</v>
      </c>
      <c r="AC39" s="69"/>
      <c r="AD39" s="70"/>
      <c r="AE39" s="70"/>
      <c r="AF39" s="62">
        <f t="shared" si="48"/>
        <v>0</v>
      </c>
      <c r="AG39" s="63">
        <f t="shared" si="49"/>
        <v>0</v>
      </c>
      <c r="AH39" s="89"/>
      <c r="AI39" s="66"/>
      <c r="AJ39" s="66"/>
      <c r="AK39" s="62">
        <f t="shared" si="50"/>
        <v>0</v>
      </c>
      <c r="AL39" s="72">
        <f t="shared" si="51"/>
        <v>0</v>
      </c>
      <c r="AM39" s="73">
        <f t="shared" si="44"/>
        <v>0</v>
      </c>
      <c r="AN39" s="80">
        <f t="shared" si="52"/>
        <v>0</v>
      </c>
      <c r="AO39" s="80">
        <f t="shared" si="53"/>
        <v>0</v>
      </c>
      <c r="AP39" s="75" t="e">
        <f t="shared" si="34"/>
        <v>#DIV/0!</v>
      </c>
      <c r="AQ39" s="76">
        <f t="shared" si="8"/>
        <v>0</v>
      </c>
      <c r="AR39" s="90">
        <f t="shared" si="46"/>
        <v>0</v>
      </c>
    </row>
    <row r="40" spans="1:49" x14ac:dyDescent="0.25">
      <c r="A40" t="str">
        <f t="shared" si="10"/>
        <v>46222M</v>
      </c>
      <c r="B40" s="51">
        <f t="shared" si="25"/>
        <v>46222</v>
      </c>
      <c r="C40" s="52" t="s">
        <v>87</v>
      </c>
      <c r="D40" s="91"/>
      <c r="E40" s="62"/>
      <c r="F40" s="62"/>
      <c r="G40" s="62">
        <f t="shared" si="43"/>
        <v>0</v>
      </c>
      <c r="H40" s="72">
        <f t="shared" si="47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26"/>
        <v>0</v>
      </c>
      <c r="AB40" s="63">
        <f t="shared" si="27"/>
        <v>0</v>
      </c>
      <c r="AC40" s="69"/>
      <c r="AD40" s="70"/>
      <c r="AE40" s="70"/>
      <c r="AF40" s="62">
        <f t="shared" si="48"/>
        <v>0</v>
      </c>
      <c r="AG40" s="63">
        <f t="shared" si="49"/>
        <v>0</v>
      </c>
      <c r="AH40" s="89"/>
      <c r="AI40" s="66"/>
      <c r="AJ40" s="66"/>
      <c r="AK40" s="62">
        <f t="shared" si="50"/>
        <v>0</v>
      </c>
      <c r="AL40" s="72">
        <f t="shared" si="51"/>
        <v>0</v>
      </c>
      <c r="AM40" s="73">
        <f t="shared" si="44"/>
        <v>0</v>
      </c>
      <c r="AN40" s="80">
        <f t="shared" si="52"/>
        <v>0</v>
      </c>
      <c r="AO40" s="80">
        <f t="shared" si="53"/>
        <v>0</v>
      </c>
      <c r="AP40" s="75" t="e">
        <f t="shared" si="34"/>
        <v>#DIV/0!</v>
      </c>
      <c r="AQ40" s="76">
        <f t="shared" si="8"/>
        <v>0</v>
      </c>
      <c r="AR40" s="90">
        <f t="shared" si="46"/>
        <v>0</v>
      </c>
    </row>
    <row r="41" spans="1:49" x14ac:dyDescent="0.25">
      <c r="A41" t="str">
        <f t="shared" si="10"/>
        <v>46222E</v>
      </c>
      <c r="B41" s="51">
        <f t="shared" si="25"/>
        <v>46222</v>
      </c>
      <c r="C41" s="52" t="s">
        <v>88</v>
      </c>
      <c r="D41" s="91"/>
      <c r="E41" s="62"/>
      <c r="F41" s="62"/>
      <c r="G41" s="62">
        <f t="shared" si="43"/>
        <v>0</v>
      </c>
      <c r="H41" s="72">
        <f t="shared" si="47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26"/>
        <v>0</v>
      </c>
      <c r="AB41" s="63">
        <f t="shared" si="27"/>
        <v>0</v>
      </c>
      <c r="AC41" s="69"/>
      <c r="AD41" s="70"/>
      <c r="AE41" s="70"/>
      <c r="AF41" s="62">
        <f t="shared" si="48"/>
        <v>0</v>
      </c>
      <c r="AG41" s="63">
        <f t="shared" si="49"/>
        <v>0</v>
      </c>
      <c r="AH41" s="89"/>
      <c r="AI41" s="66"/>
      <c r="AJ41" s="66"/>
      <c r="AK41" s="62">
        <f t="shared" si="50"/>
        <v>0</v>
      </c>
      <c r="AL41" s="72">
        <f t="shared" si="51"/>
        <v>0</v>
      </c>
      <c r="AM41" s="73">
        <f t="shared" si="44"/>
        <v>0</v>
      </c>
      <c r="AN41" s="80">
        <f t="shared" si="52"/>
        <v>0</v>
      </c>
      <c r="AO41" s="80">
        <f t="shared" si="53"/>
        <v>0</v>
      </c>
      <c r="AP41" s="75" t="e">
        <f t="shared" si="34"/>
        <v>#DIV/0!</v>
      </c>
      <c r="AQ41" s="76">
        <f t="shared" si="8"/>
        <v>0</v>
      </c>
      <c r="AR41" s="90">
        <f t="shared" si="46"/>
        <v>0</v>
      </c>
      <c r="AS41" s="90">
        <f>SUM(J28:J41)</f>
        <v>0</v>
      </c>
      <c r="AT41" s="83">
        <f t="shared" ref="AT41" si="54">SUM(AM28:AM41)</f>
        <v>0</v>
      </c>
      <c r="AU41" s="83">
        <f t="shared" ref="AU41" si="55">SUM(AN28:AN41)</f>
        <v>0</v>
      </c>
      <c r="AV41" s="83">
        <f t="shared" ref="AV41" si="56">SUM(AO28:AO41)</f>
        <v>0</v>
      </c>
      <c r="AW41" s="83">
        <f>-SUM(AQ28:AQ41)</f>
        <v>0</v>
      </c>
    </row>
    <row r="42" spans="1:49" x14ac:dyDescent="0.25">
      <c r="A42" t="str">
        <f t="shared" si="10"/>
        <v>46223M</v>
      </c>
      <c r="B42" s="51">
        <f t="shared" si="25"/>
        <v>46223</v>
      </c>
      <c r="C42" s="52" t="s">
        <v>87</v>
      </c>
      <c r="D42" s="91"/>
      <c r="E42" s="62"/>
      <c r="F42" s="62"/>
      <c r="G42" s="62">
        <f t="shared" si="43"/>
        <v>0</v>
      </c>
      <c r="H42" s="72">
        <f t="shared" si="47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26"/>
        <v>0</v>
      </c>
      <c r="AB42" s="63">
        <f t="shared" si="27"/>
        <v>0</v>
      </c>
      <c r="AC42" s="69"/>
      <c r="AD42" s="70"/>
      <c r="AE42" s="70"/>
      <c r="AF42" s="62">
        <f t="shared" si="48"/>
        <v>0</v>
      </c>
      <c r="AG42" s="63">
        <f t="shared" si="49"/>
        <v>0</v>
      </c>
      <c r="AH42" s="89"/>
      <c r="AI42" s="66"/>
      <c r="AJ42" s="66"/>
      <c r="AK42" s="62">
        <f t="shared" si="50"/>
        <v>0</v>
      </c>
      <c r="AL42" s="72">
        <f t="shared" si="51"/>
        <v>0</v>
      </c>
      <c r="AM42" s="73">
        <f t="shared" si="44"/>
        <v>0</v>
      </c>
      <c r="AN42" s="80">
        <f t="shared" si="52"/>
        <v>0</v>
      </c>
      <c r="AO42" s="80">
        <f t="shared" si="53"/>
        <v>0</v>
      </c>
      <c r="AP42" s="75" t="e">
        <f t="shared" si="34"/>
        <v>#DIV/0!</v>
      </c>
      <c r="AQ42" s="76">
        <f t="shared" si="8"/>
        <v>0</v>
      </c>
      <c r="AR42" s="90">
        <f t="shared" si="46"/>
        <v>0</v>
      </c>
    </row>
    <row r="43" spans="1:49" x14ac:dyDescent="0.25">
      <c r="A43" t="str">
        <f t="shared" si="10"/>
        <v>46223E</v>
      </c>
      <c r="B43" s="51">
        <f t="shared" si="25"/>
        <v>46223</v>
      </c>
      <c r="C43" s="52" t="s">
        <v>88</v>
      </c>
      <c r="D43" s="91"/>
      <c r="E43" s="62"/>
      <c r="F43" s="62"/>
      <c r="G43" s="62">
        <f t="shared" si="43"/>
        <v>0</v>
      </c>
      <c r="H43" s="72">
        <f t="shared" si="47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26"/>
        <v>0</v>
      </c>
      <c r="AB43" s="63">
        <f t="shared" si="27"/>
        <v>0</v>
      </c>
      <c r="AC43" s="69"/>
      <c r="AD43" s="70"/>
      <c r="AE43" s="70"/>
      <c r="AF43" s="62">
        <f t="shared" si="48"/>
        <v>0</v>
      </c>
      <c r="AG43" s="63">
        <f t="shared" si="49"/>
        <v>0</v>
      </c>
      <c r="AH43" s="89"/>
      <c r="AI43" s="66"/>
      <c r="AJ43" s="66"/>
      <c r="AK43" s="62">
        <f t="shared" si="50"/>
        <v>0</v>
      </c>
      <c r="AL43" s="72">
        <f t="shared" si="51"/>
        <v>0</v>
      </c>
      <c r="AM43" s="73">
        <f t="shared" si="44"/>
        <v>0</v>
      </c>
      <c r="AN43" s="80">
        <f t="shared" si="52"/>
        <v>0</v>
      </c>
      <c r="AO43" s="80">
        <f t="shared" si="53"/>
        <v>0</v>
      </c>
      <c r="AP43" s="75" t="e">
        <f t="shared" si="34"/>
        <v>#DIV/0!</v>
      </c>
      <c r="AQ43" s="76">
        <f t="shared" si="8"/>
        <v>0</v>
      </c>
      <c r="AR43" s="90">
        <f t="shared" si="46"/>
        <v>0</v>
      </c>
    </row>
    <row r="44" spans="1:49" x14ac:dyDescent="0.25">
      <c r="A44" t="str">
        <f t="shared" si="10"/>
        <v>46224M</v>
      </c>
      <c r="B44" s="51">
        <f t="shared" si="25"/>
        <v>46224</v>
      </c>
      <c r="C44" s="52" t="s">
        <v>87</v>
      </c>
      <c r="D44" s="91"/>
      <c r="E44" s="62"/>
      <c r="F44" s="62"/>
      <c r="G44" s="62">
        <f t="shared" si="43"/>
        <v>0</v>
      </c>
      <c r="H44" s="72">
        <f t="shared" si="47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26"/>
        <v>0</v>
      </c>
      <c r="AB44" s="63">
        <f t="shared" si="27"/>
        <v>0</v>
      </c>
      <c r="AC44" s="69"/>
      <c r="AD44" s="70"/>
      <c r="AE44" s="70"/>
      <c r="AF44" s="62">
        <f t="shared" si="48"/>
        <v>0</v>
      </c>
      <c r="AG44" s="63">
        <f t="shared" si="49"/>
        <v>0</v>
      </c>
      <c r="AH44" s="89"/>
      <c r="AI44" s="66"/>
      <c r="AJ44" s="66"/>
      <c r="AK44" s="62">
        <f t="shared" si="50"/>
        <v>0</v>
      </c>
      <c r="AL44" s="72">
        <f t="shared" si="51"/>
        <v>0</v>
      </c>
      <c r="AM44" s="73">
        <f t="shared" si="44"/>
        <v>0</v>
      </c>
      <c r="AN44" s="80">
        <f t="shared" si="52"/>
        <v>0</v>
      </c>
      <c r="AO44" s="80">
        <f t="shared" si="53"/>
        <v>0</v>
      </c>
      <c r="AP44" s="75" t="e">
        <f t="shared" si="34"/>
        <v>#DIV/0!</v>
      </c>
      <c r="AQ44" s="76">
        <f t="shared" si="8"/>
        <v>0</v>
      </c>
      <c r="AR44" s="90">
        <f t="shared" si="46"/>
        <v>0</v>
      </c>
    </row>
    <row r="45" spans="1:49" x14ac:dyDescent="0.25">
      <c r="A45" t="str">
        <f t="shared" si="10"/>
        <v>46224E</v>
      </c>
      <c r="B45" s="51">
        <f t="shared" si="25"/>
        <v>46224</v>
      </c>
      <c r="C45" s="52" t="s">
        <v>88</v>
      </c>
      <c r="D45" s="91"/>
      <c r="E45" s="62"/>
      <c r="F45" s="62"/>
      <c r="G45" s="62">
        <f t="shared" si="43"/>
        <v>0</v>
      </c>
      <c r="H45" s="72">
        <f t="shared" si="47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26"/>
        <v>0</v>
      </c>
      <c r="AB45" s="63">
        <f t="shared" si="27"/>
        <v>0</v>
      </c>
      <c r="AC45" s="69"/>
      <c r="AD45" s="70"/>
      <c r="AE45" s="70"/>
      <c r="AF45" s="62">
        <f t="shared" si="48"/>
        <v>0</v>
      </c>
      <c r="AG45" s="63">
        <f t="shared" si="49"/>
        <v>0</v>
      </c>
      <c r="AH45" s="89"/>
      <c r="AI45" s="66"/>
      <c r="AJ45" s="66"/>
      <c r="AK45" s="62">
        <f t="shared" si="50"/>
        <v>0</v>
      </c>
      <c r="AL45" s="72">
        <f t="shared" si="51"/>
        <v>0</v>
      </c>
      <c r="AM45" s="73">
        <f t="shared" si="44"/>
        <v>0</v>
      </c>
      <c r="AN45" s="80">
        <f t="shared" si="52"/>
        <v>0</v>
      </c>
      <c r="AO45" s="80">
        <f t="shared" si="53"/>
        <v>0</v>
      </c>
      <c r="AP45" s="75" t="e">
        <f t="shared" si="34"/>
        <v>#DIV/0!</v>
      </c>
      <c r="AQ45" s="76">
        <f t="shared" si="8"/>
        <v>0</v>
      </c>
      <c r="AR45" s="90">
        <f t="shared" si="46"/>
        <v>0</v>
      </c>
    </row>
    <row r="46" spans="1:49" x14ac:dyDescent="0.25">
      <c r="A46" t="str">
        <f t="shared" si="10"/>
        <v>46225M</v>
      </c>
      <c r="B46" s="51">
        <f t="shared" si="25"/>
        <v>46225</v>
      </c>
      <c r="C46" s="52" t="s">
        <v>87</v>
      </c>
      <c r="D46" s="91"/>
      <c r="E46" s="62"/>
      <c r="F46" s="62"/>
      <c r="G46" s="62">
        <f t="shared" si="43"/>
        <v>0</v>
      </c>
      <c r="H46" s="72">
        <f t="shared" si="47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26"/>
        <v>0</v>
      </c>
      <c r="AB46" s="63">
        <f t="shared" si="27"/>
        <v>0</v>
      </c>
      <c r="AC46" s="69"/>
      <c r="AD46" s="70"/>
      <c r="AE46" s="70"/>
      <c r="AF46" s="62">
        <f t="shared" si="48"/>
        <v>0</v>
      </c>
      <c r="AG46" s="63">
        <f t="shared" si="49"/>
        <v>0</v>
      </c>
      <c r="AH46" s="89"/>
      <c r="AI46" s="66"/>
      <c r="AJ46" s="66"/>
      <c r="AK46" s="62">
        <f t="shared" si="50"/>
        <v>0</v>
      </c>
      <c r="AL46" s="72">
        <f t="shared" si="51"/>
        <v>0</v>
      </c>
      <c r="AM46" s="73">
        <f t="shared" si="44"/>
        <v>0</v>
      </c>
      <c r="AN46" s="80">
        <f t="shared" si="52"/>
        <v>0</v>
      </c>
      <c r="AO46" s="80">
        <f t="shared" si="53"/>
        <v>0</v>
      </c>
      <c r="AP46" s="75" t="e">
        <f t="shared" si="34"/>
        <v>#DIV/0!</v>
      </c>
      <c r="AQ46" s="76">
        <f t="shared" si="8"/>
        <v>0</v>
      </c>
      <c r="AR46" s="90">
        <f t="shared" si="46"/>
        <v>0</v>
      </c>
    </row>
    <row r="47" spans="1:49" x14ac:dyDescent="0.25">
      <c r="A47" t="str">
        <f t="shared" si="10"/>
        <v>46225E</v>
      </c>
      <c r="B47" s="51">
        <f t="shared" si="25"/>
        <v>46225</v>
      </c>
      <c r="C47" s="52" t="s">
        <v>88</v>
      </c>
      <c r="D47" s="91"/>
      <c r="E47" s="62"/>
      <c r="F47" s="62"/>
      <c r="G47" s="62">
        <f t="shared" si="43"/>
        <v>0</v>
      </c>
      <c r="H47" s="72">
        <f t="shared" si="47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26"/>
        <v>0</v>
      </c>
      <c r="AB47" s="63">
        <f t="shared" si="27"/>
        <v>0</v>
      </c>
      <c r="AC47" s="69"/>
      <c r="AD47" s="70"/>
      <c r="AE47" s="70"/>
      <c r="AF47" s="62">
        <f t="shared" si="48"/>
        <v>0</v>
      </c>
      <c r="AG47" s="63">
        <f t="shared" si="49"/>
        <v>0</v>
      </c>
      <c r="AH47" s="89"/>
      <c r="AI47" s="66"/>
      <c r="AJ47" s="66"/>
      <c r="AK47" s="62">
        <f t="shared" si="50"/>
        <v>0</v>
      </c>
      <c r="AL47" s="72">
        <f t="shared" si="51"/>
        <v>0</v>
      </c>
      <c r="AM47" s="73">
        <f t="shared" si="44"/>
        <v>0</v>
      </c>
      <c r="AN47" s="80">
        <f t="shared" si="52"/>
        <v>0</v>
      </c>
      <c r="AO47" s="80">
        <f t="shared" si="53"/>
        <v>0</v>
      </c>
      <c r="AP47" s="75" t="e">
        <f t="shared" si="34"/>
        <v>#DIV/0!</v>
      </c>
      <c r="AQ47" s="76">
        <f t="shared" si="8"/>
        <v>0</v>
      </c>
      <c r="AR47" s="90">
        <f t="shared" si="46"/>
        <v>0</v>
      </c>
    </row>
    <row r="48" spans="1:49" x14ac:dyDescent="0.25">
      <c r="A48" t="str">
        <f t="shared" si="10"/>
        <v>46226M</v>
      </c>
      <c r="B48" s="51">
        <f t="shared" si="25"/>
        <v>46226</v>
      </c>
      <c r="C48" s="98" t="s">
        <v>87</v>
      </c>
      <c r="D48" s="91"/>
      <c r="E48" s="62"/>
      <c r="F48" s="62"/>
      <c r="G48" s="62">
        <f t="shared" si="43"/>
        <v>0</v>
      </c>
      <c r="H48" s="72">
        <f t="shared" si="47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26"/>
        <v>0</v>
      </c>
      <c r="AB48" s="63">
        <f t="shared" si="27"/>
        <v>0</v>
      </c>
      <c r="AC48" s="69"/>
      <c r="AD48" s="70"/>
      <c r="AE48" s="70"/>
      <c r="AF48" s="62">
        <f t="shared" si="48"/>
        <v>0</v>
      </c>
      <c r="AG48" s="63">
        <f t="shared" si="49"/>
        <v>0</v>
      </c>
      <c r="AH48" s="89"/>
      <c r="AI48" s="66"/>
      <c r="AJ48" s="66"/>
      <c r="AK48" s="62">
        <f t="shared" si="50"/>
        <v>0</v>
      </c>
      <c r="AL48" s="72">
        <f t="shared" si="51"/>
        <v>0</v>
      </c>
      <c r="AM48" s="73">
        <f t="shared" si="44"/>
        <v>0</v>
      </c>
      <c r="AN48" s="80">
        <f t="shared" si="52"/>
        <v>0</v>
      </c>
      <c r="AO48" s="80">
        <f t="shared" si="53"/>
        <v>0</v>
      </c>
      <c r="AP48" s="75" t="e">
        <f t="shared" si="34"/>
        <v>#DIV/0!</v>
      </c>
      <c r="AQ48" s="76">
        <f t="shared" si="8"/>
        <v>0</v>
      </c>
      <c r="AR48" s="90">
        <f t="shared" si="46"/>
        <v>0</v>
      </c>
    </row>
    <row r="49" spans="1:49" x14ac:dyDescent="0.25">
      <c r="A49" t="str">
        <f t="shared" si="10"/>
        <v>46226E</v>
      </c>
      <c r="B49" s="51">
        <f t="shared" si="25"/>
        <v>46226</v>
      </c>
      <c r="C49" s="52" t="s">
        <v>88</v>
      </c>
      <c r="D49" s="91"/>
      <c r="E49" s="62"/>
      <c r="F49" s="62"/>
      <c r="G49" s="62">
        <f t="shared" si="43"/>
        <v>0</v>
      </c>
      <c r="H49" s="72">
        <f t="shared" si="47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26"/>
        <v>0</v>
      </c>
      <c r="AB49" s="63">
        <f t="shared" si="27"/>
        <v>0</v>
      </c>
      <c r="AC49" s="69"/>
      <c r="AD49" s="70"/>
      <c r="AE49" s="70"/>
      <c r="AF49" s="62">
        <f t="shared" si="48"/>
        <v>0</v>
      </c>
      <c r="AG49" s="63">
        <f t="shared" si="49"/>
        <v>0</v>
      </c>
      <c r="AH49" s="89"/>
      <c r="AI49" s="66"/>
      <c r="AJ49" s="66"/>
      <c r="AK49" s="62">
        <f t="shared" si="50"/>
        <v>0</v>
      </c>
      <c r="AL49" s="72">
        <f t="shared" si="51"/>
        <v>0</v>
      </c>
      <c r="AM49" s="73">
        <f t="shared" si="44"/>
        <v>0</v>
      </c>
      <c r="AN49" s="80">
        <f t="shared" si="52"/>
        <v>0</v>
      </c>
      <c r="AO49" s="80">
        <f t="shared" si="53"/>
        <v>0</v>
      </c>
      <c r="AP49" s="75" t="e">
        <f t="shared" si="34"/>
        <v>#DIV/0!</v>
      </c>
      <c r="AQ49" s="76">
        <f t="shared" si="8"/>
        <v>0</v>
      </c>
      <c r="AR49" s="90">
        <f t="shared" si="46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0"/>
        <v>46227M</v>
      </c>
      <c r="B50" s="51">
        <f t="shared" si="25"/>
        <v>46227</v>
      </c>
      <c r="C50" s="52" t="s">
        <v>87</v>
      </c>
      <c r="D50" s="91"/>
      <c r="E50" s="62"/>
      <c r="F50" s="62"/>
      <c r="G50" s="62">
        <f t="shared" si="43"/>
        <v>0</v>
      </c>
      <c r="H50" s="72">
        <f t="shared" si="47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26"/>
        <v>0</v>
      </c>
      <c r="AB50" s="63">
        <f t="shared" si="27"/>
        <v>0</v>
      </c>
      <c r="AC50" s="69"/>
      <c r="AD50" s="70"/>
      <c r="AE50" s="70"/>
      <c r="AF50" s="62">
        <f t="shared" si="48"/>
        <v>0</v>
      </c>
      <c r="AG50" s="63">
        <f t="shared" si="49"/>
        <v>0</v>
      </c>
      <c r="AH50" s="89"/>
      <c r="AI50" s="66"/>
      <c r="AJ50" s="66"/>
      <c r="AK50" s="62">
        <f t="shared" ref="AK50" si="57">AH50*AI50%</f>
        <v>0</v>
      </c>
      <c r="AL50" s="72">
        <f t="shared" ref="AL50" si="58">AH50*AJ50%</f>
        <v>0</v>
      </c>
      <c r="AM50" s="73">
        <f t="shared" si="44"/>
        <v>0</v>
      </c>
      <c r="AN50" s="80">
        <f t="shared" ref="AN50" si="59">+G50+S50-AF50-AK50</f>
        <v>0</v>
      </c>
      <c r="AO50" s="80">
        <f t="shared" ref="AO50" si="60">+H50+T50-AG50-AL50</f>
        <v>0</v>
      </c>
      <c r="AP50" s="75" t="e">
        <f t="shared" si="34"/>
        <v>#DIV/0!</v>
      </c>
      <c r="AQ50" s="76">
        <f t="shared" si="8"/>
        <v>0</v>
      </c>
      <c r="AR50" s="90">
        <f t="shared" si="46"/>
        <v>0</v>
      </c>
    </row>
    <row r="51" spans="1:49" x14ac:dyDescent="0.25">
      <c r="A51" t="str">
        <f t="shared" si="10"/>
        <v>46227E</v>
      </c>
      <c r="B51" s="51">
        <f t="shared" si="25"/>
        <v>46227</v>
      </c>
      <c r="C51" s="52" t="s">
        <v>88</v>
      </c>
      <c r="D51" s="91"/>
      <c r="E51" s="62"/>
      <c r="F51" s="62"/>
      <c r="G51" s="62">
        <f t="shared" si="43"/>
        <v>0</v>
      </c>
      <c r="H51" s="72">
        <f t="shared" si="47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85"/>
      <c r="W51" s="66"/>
      <c r="X51" s="67"/>
      <c r="Y51" s="68"/>
      <c r="Z51" s="68"/>
      <c r="AA51" s="62">
        <f t="shared" si="26"/>
        <v>0</v>
      </c>
      <c r="AB51" s="63">
        <f t="shared" si="27"/>
        <v>0</v>
      </c>
      <c r="AC51" s="69"/>
      <c r="AD51" s="70"/>
      <c r="AE51" s="70"/>
      <c r="AF51" s="62">
        <f t="shared" si="48"/>
        <v>0</v>
      </c>
      <c r="AG51" s="63">
        <f t="shared" si="49"/>
        <v>0</v>
      </c>
      <c r="AH51" s="89"/>
      <c r="AI51" s="66"/>
      <c r="AJ51" s="66"/>
      <c r="AK51" s="62">
        <f t="shared" ref="AK51:AK63" si="61">AH51*AI51%</f>
        <v>0</v>
      </c>
      <c r="AL51" s="72">
        <f t="shared" ref="AL51:AL63" si="62">AH51*AJ51%</f>
        <v>0</v>
      </c>
      <c r="AM51" s="73">
        <f t="shared" si="44"/>
        <v>0</v>
      </c>
      <c r="AN51" s="80">
        <f t="shared" ref="AN51:AN63" si="63">+G51+S51-AF51-AK51</f>
        <v>0</v>
      </c>
      <c r="AO51" s="80">
        <f t="shared" ref="AO51:AO63" si="64">+H51+T51-AG51-AL51</f>
        <v>0</v>
      </c>
      <c r="AP51" s="75" t="e">
        <f t="shared" si="34"/>
        <v>#DIV/0!</v>
      </c>
      <c r="AQ51" s="76">
        <f t="shared" si="8"/>
        <v>0</v>
      </c>
      <c r="AR51" s="90">
        <f t="shared" si="46"/>
        <v>0</v>
      </c>
    </row>
    <row r="52" spans="1:49" x14ac:dyDescent="0.25">
      <c r="A52" t="str">
        <f t="shared" si="10"/>
        <v>46228M</v>
      </c>
      <c r="B52" s="51">
        <f t="shared" si="25"/>
        <v>46228</v>
      </c>
      <c r="C52" s="52" t="s">
        <v>87</v>
      </c>
      <c r="D52" s="91"/>
      <c r="E52" s="62"/>
      <c r="F52" s="62"/>
      <c r="G52" s="62">
        <f t="shared" si="43"/>
        <v>0</v>
      </c>
      <c r="H52" s="72">
        <f t="shared" si="47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26"/>
        <v>0</v>
      </c>
      <c r="AB52" s="63">
        <f t="shared" si="27"/>
        <v>0</v>
      </c>
      <c r="AC52" s="69"/>
      <c r="AD52" s="70"/>
      <c r="AE52" s="70"/>
      <c r="AF52" s="62">
        <f t="shared" si="48"/>
        <v>0</v>
      </c>
      <c r="AG52" s="63">
        <f t="shared" si="49"/>
        <v>0</v>
      </c>
      <c r="AH52" s="89"/>
      <c r="AI52" s="66"/>
      <c r="AJ52" s="66"/>
      <c r="AK52" s="62">
        <f t="shared" si="61"/>
        <v>0</v>
      </c>
      <c r="AL52" s="72">
        <f t="shared" si="62"/>
        <v>0</v>
      </c>
      <c r="AM52" s="73">
        <f t="shared" si="44"/>
        <v>0</v>
      </c>
      <c r="AN52" s="80">
        <f t="shared" si="63"/>
        <v>0</v>
      </c>
      <c r="AO52" s="80">
        <f t="shared" si="64"/>
        <v>0</v>
      </c>
      <c r="AP52" s="75" t="e">
        <f t="shared" si="34"/>
        <v>#DIV/0!</v>
      </c>
      <c r="AQ52" s="76">
        <f t="shared" si="8"/>
        <v>0</v>
      </c>
      <c r="AR52" s="90">
        <f t="shared" si="46"/>
        <v>0</v>
      </c>
    </row>
    <row r="53" spans="1:49" x14ac:dyDescent="0.25">
      <c r="A53" t="str">
        <f t="shared" si="10"/>
        <v>46228E</v>
      </c>
      <c r="B53" s="51">
        <f t="shared" si="25"/>
        <v>46228</v>
      </c>
      <c r="C53" s="52" t="s">
        <v>88</v>
      </c>
      <c r="D53" s="91"/>
      <c r="E53" s="62"/>
      <c r="F53" s="62"/>
      <c r="G53" s="62">
        <f t="shared" si="43"/>
        <v>0</v>
      </c>
      <c r="H53" s="72">
        <f t="shared" si="47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26"/>
        <v>0</v>
      </c>
      <c r="AB53" s="63">
        <f t="shared" si="27"/>
        <v>0</v>
      </c>
      <c r="AC53" s="69"/>
      <c r="AD53" s="70"/>
      <c r="AE53" s="70"/>
      <c r="AF53" s="62">
        <f t="shared" si="48"/>
        <v>0</v>
      </c>
      <c r="AG53" s="63">
        <f t="shared" si="49"/>
        <v>0</v>
      </c>
      <c r="AH53" s="89"/>
      <c r="AI53" s="66"/>
      <c r="AJ53" s="66"/>
      <c r="AK53" s="62">
        <f t="shared" si="61"/>
        <v>0</v>
      </c>
      <c r="AL53" s="72">
        <f t="shared" si="62"/>
        <v>0</v>
      </c>
      <c r="AM53" s="73">
        <f t="shared" si="44"/>
        <v>0</v>
      </c>
      <c r="AN53" s="80">
        <f t="shared" si="63"/>
        <v>0</v>
      </c>
      <c r="AO53" s="80">
        <f t="shared" si="64"/>
        <v>0</v>
      </c>
      <c r="AP53" s="75" t="e">
        <f t="shared" si="34"/>
        <v>#DIV/0!</v>
      </c>
      <c r="AQ53" s="76">
        <f t="shared" si="8"/>
        <v>0</v>
      </c>
      <c r="AR53" s="90">
        <f t="shared" si="46"/>
        <v>0</v>
      </c>
    </row>
    <row r="54" spans="1:49" x14ac:dyDescent="0.25">
      <c r="A54" t="str">
        <f t="shared" si="10"/>
        <v>46229M</v>
      </c>
      <c r="B54" s="51">
        <f t="shared" si="25"/>
        <v>46229</v>
      </c>
      <c r="C54" s="52" t="s">
        <v>87</v>
      </c>
      <c r="D54" s="91"/>
      <c r="E54" s="62"/>
      <c r="F54" s="62"/>
      <c r="G54" s="62">
        <f t="shared" si="43"/>
        <v>0</v>
      </c>
      <c r="H54" s="72">
        <f t="shared" si="47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26"/>
        <v>0</v>
      </c>
      <c r="AB54" s="63">
        <f t="shared" si="27"/>
        <v>0</v>
      </c>
      <c r="AC54" s="69"/>
      <c r="AD54" s="70"/>
      <c r="AE54" s="70"/>
      <c r="AF54" s="62">
        <f t="shared" si="48"/>
        <v>0</v>
      </c>
      <c r="AG54" s="63">
        <f>AC54*AE54%</f>
        <v>0</v>
      </c>
      <c r="AH54" s="89"/>
      <c r="AI54" s="66"/>
      <c r="AJ54" s="66"/>
      <c r="AK54" s="62">
        <f t="shared" si="61"/>
        <v>0</v>
      </c>
      <c r="AL54" s="72">
        <f t="shared" si="62"/>
        <v>0</v>
      </c>
      <c r="AM54" s="73">
        <f t="shared" si="44"/>
        <v>0</v>
      </c>
      <c r="AN54" s="80">
        <f t="shared" si="63"/>
        <v>0</v>
      </c>
      <c r="AO54" s="80">
        <f t="shared" si="64"/>
        <v>0</v>
      </c>
      <c r="AP54" s="75" t="e">
        <f t="shared" si="34"/>
        <v>#DIV/0!</v>
      </c>
      <c r="AQ54" s="76">
        <f t="shared" si="8"/>
        <v>0</v>
      </c>
      <c r="AR54" s="90">
        <f t="shared" si="46"/>
        <v>0</v>
      </c>
    </row>
    <row r="55" spans="1:49" x14ac:dyDescent="0.25">
      <c r="A55" t="str">
        <f t="shared" si="10"/>
        <v>46229E</v>
      </c>
      <c r="B55" s="51">
        <f t="shared" si="25"/>
        <v>46229</v>
      </c>
      <c r="C55" s="52" t="s">
        <v>88</v>
      </c>
      <c r="D55" s="91"/>
      <c r="E55" s="62"/>
      <c r="F55" s="62"/>
      <c r="G55" s="62">
        <f t="shared" si="43"/>
        <v>0</v>
      </c>
      <c r="H55" s="72">
        <f t="shared" si="47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26"/>
        <v>0</v>
      </c>
      <c r="AB55" s="63">
        <f t="shared" si="2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89"/>
      <c r="AI55" s="66"/>
      <c r="AJ55" s="66"/>
      <c r="AK55" s="62">
        <f t="shared" si="61"/>
        <v>0</v>
      </c>
      <c r="AL55" s="72">
        <f t="shared" si="62"/>
        <v>0</v>
      </c>
      <c r="AM55" s="73">
        <f t="shared" si="44"/>
        <v>0</v>
      </c>
      <c r="AN55" s="80">
        <f t="shared" si="63"/>
        <v>0</v>
      </c>
      <c r="AO55" s="80">
        <f t="shared" si="64"/>
        <v>0</v>
      </c>
      <c r="AP55" s="75" t="e">
        <f t="shared" si="34"/>
        <v>#DIV/0!</v>
      </c>
      <c r="AQ55" s="76">
        <f t="shared" si="8"/>
        <v>0</v>
      </c>
      <c r="AR55" s="90">
        <f t="shared" si="46"/>
        <v>0</v>
      </c>
    </row>
    <row r="56" spans="1:49" x14ac:dyDescent="0.25">
      <c r="A56" t="str">
        <f t="shared" si="10"/>
        <v>46230M</v>
      </c>
      <c r="B56" s="51">
        <f t="shared" si="25"/>
        <v>46230</v>
      </c>
      <c r="C56" s="52" t="s">
        <v>87</v>
      </c>
      <c r="D56" s="91"/>
      <c r="E56" s="62"/>
      <c r="F56" s="62"/>
      <c r="G56" s="62">
        <f t="shared" si="43"/>
        <v>0</v>
      </c>
      <c r="H56" s="72">
        <f t="shared" si="47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26"/>
        <v>0</v>
      </c>
      <c r="AB56" s="63">
        <f t="shared" si="27"/>
        <v>0</v>
      </c>
      <c r="AC56" s="69"/>
      <c r="AD56" s="70"/>
      <c r="AE56" s="70"/>
      <c r="AF56" s="62">
        <f t="shared" ref="AF56:AF63" si="65">AC56*AD56%</f>
        <v>0</v>
      </c>
      <c r="AG56" s="63">
        <f t="shared" ref="AG56:AG63" si="66">AC56*AE56%</f>
        <v>0</v>
      </c>
      <c r="AH56" s="89"/>
      <c r="AI56" s="66"/>
      <c r="AJ56" s="66"/>
      <c r="AK56" s="62">
        <f t="shared" si="61"/>
        <v>0</v>
      </c>
      <c r="AL56" s="72">
        <f t="shared" si="62"/>
        <v>0</v>
      </c>
      <c r="AM56" s="73">
        <f t="shared" si="44"/>
        <v>0</v>
      </c>
      <c r="AN56" s="80">
        <f t="shared" si="63"/>
        <v>0</v>
      </c>
      <c r="AO56" s="80">
        <f t="shared" si="64"/>
        <v>0</v>
      </c>
      <c r="AP56" s="75" t="e">
        <f t="shared" si="34"/>
        <v>#DIV/0!</v>
      </c>
      <c r="AQ56" s="76">
        <f t="shared" si="8"/>
        <v>0</v>
      </c>
      <c r="AR56" s="90">
        <f t="shared" si="46"/>
        <v>0</v>
      </c>
    </row>
    <row r="57" spans="1:49" x14ac:dyDescent="0.25">
      <c r="A57" t="str">
        <f t="shared" si="10"/>
        <v>46230E</v>
      </c>
      <c r="B57" s="51">
        <f t="shared" si="25"/>
        <v>46230</v>
      </c>
      <c r="C57" s="52" t="s">
        <v>88</v>
      </c>
      <c r="D57" s="91"/>
      <c r="E57" s="62"/>
      <c r="F57" s="62"/>
      <c r="G57" s="62">
        <f t="shared" si="43"/>
        <v>0</v>
      </c>
      <c r="H57" s="72">
        <f t="shared" si="47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26"/>
        <v>0</v>
      </c>
      <c r="AB57" s="63">
        <f t="shared" si="27"/>
        <v>0</v>
      </c>
      <c r="AC57" s="69"/>
      <c r="AD57" s="70"/>
      <c r="AE57" s="70"/>
      <c r="AF57" s="62">
        <f t="shared" si="65"/>
        <v>0</v>
      </c>
      <c r="AG57" s="63">
        <f t="shared" si="66"/>
        <v>0</v>
      </c>
      <c r="AH57" s="89"/>
      <c r="AI57" s="66"/>
      <c r="AJ57" s="66"/>
      <c r="AK57" s="62">
        <f t="shared" si="61"/>
        <v>0</v>
      </c>
      <c r="AL57" s="72">
        <f t="shared" si="62"/>
        <v>0</v>
      </c>
      <c r="AM57" s="73">
        <f t="shared" si="44"/>
        <v>0</v>
      </c>
      <c r="AN57" s="80">
        <f t="shared" si="63"/>
        <v>0</v>
      </c>
      <c r="AO57" s="80">
        <f t="shared" si="64"/>
        <v>0</v>
      </c>
      <c r="AP57" s="75" t="e">
        <f t="shared" si="34"/>
        <v>#DIV/0!</v>
      </c>
      <c r="AQ57" s="76">
        <f t="shared" si="8"/>
        <v>0</v>
      </c>
      <c r="AR57" s="90">
        <f t="shared" si="46"/>
        <v>0</v>
      </c>
    </row>
    <row r="58" spans="1:49" x14ac:dyDescent="0.25">
      <c r="A58" t="str">
        <f t="shared" si="10"/>
        <v>46231M</v>
      </c>
      <c r="B58" s="51">
        <f t="shared" si="25"/>
        <v>46231</v>
      </c>
      <c r="C58" s="52" t="s">
        <v>87</v>
      </c>
      <c r="D58" s="91"/>
      <c r="E58" s="62"/>
      <c r="F58" s="62"/>
      <c r="G58" s="62">
        <f t="shared" si="43"/>
        <v>0</v>
      </c>
      <c r="H58" s="72">
        <f t="shared" si="47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26"/>
        <v>0</v>
      </c>
      <c r="AB58" s="63">
        <f t="shared" si="27"/>
        <v>0</v>
      </c>
      <c r="AC58" s="69"/>
      <c r="AD58" s="70"/>
      <c r="AE58" s="70"/>
      <c r="AF58" s="62">
        <f t="shared" si="65"/>
        <v>0</v>
      </c>
      <c r="AG58" s="63">
        <f t="shared" si="66"/>
        <v>0</v>
      </c>
      <c r="AH58" s="89"/>
      <c r="AI58" s="66"/>
      <c r="AJ58" s="66"/>
      <c r="AK58" s="62">
        <f t="shared" si="61"/>
        <v>0</v>
      </c>
      <c r="AL58" s="72">
        <f t="shared" si="62"/>
        <v>0</v>
      </c>
      <c r="AM58" s="73">
        <f t="shared" si="44"/>
        <v>0</v>
      </c>
      <c r="AN58" s="80">
        <f t="shared" si="63"/>
        <v>0</v>
      </c>
      <c r="AO58" s="80">
        <f t="shared" si="64"/>
        <v>0</v>
      </c>
      <c r="AP58" s="75" t="e">
        <f t="shared" si="34"/>
        <v>#DIV/0!</v>
      </c>
      <c r="AQ58" s="76">
        <f t="shared" si="8"/>
        <v>0</v>
      </c>
      <c r="AR58" s="90">
        <f t="shared" si="46"/>
        <v>0</v>
      </c>
    </row>
    <row r="59" spans="1:49" x14ac:dyDescent="0.25">
      <c r="A59" t="str">
        <f t="shared" si="10"/>
        <v>46231E</v>
      </c>
      <c r="B59" s="51">
        <f t="shared" si="25"/>
        <v>46231</v>
      </c>
      <c r="C59" s="52" t="s">
        <v>88</v>
      </c>
      <c r="D59" s="91"/>
      <c r="E59" s="62"/>
      <c r="F59" s="62"/>
      <c r="G59" s="62">
        <f t="shared" si="43"/>
        <v>0</v>
      </c>
      <c r="H59" s="72">
        <f t="shared" si="47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26"/>
        <v>0</v>
      </c>
      <c r="AB59" s="63">
        <f t="shared" si="27"/>
        <v>0</v>
      </c>
      <c r="AC59" s="69"/>
      <c r="AD59" s="70"/>
      <c r="AE59" s="70"/>
      <c r="AF59" s="62">
        <f t="shared" si="65"/>
        <v>0</v>
      </c>
      <c r="AG59" s="63">
        <f t="shared" si="66"/>
        <v>0</v>
      </c>
      <c r="AH59" s="89"/>
      <c r="AI59" s="66"/>
      <c r="AJ59" s="66"/>
      <c r="AK59" s="62">
        <f t="shared" si="61"/>
        <v>0</v>
      </c>
      <c r="AL59" s="72">
        <f t="shared" si="62"/>
        <v>0</v>
      </c>
      <c r="AM59" s="73">
        <f t="shared" si="44"/>
        <v>0</v>
      </c>
      <c r="AN59" s="80">
        <f t="shared" si="63"/>
        <v>0</v>
      </c>
      <c r="AO59" s="80">
        <f t="shared" si="64"/>
        <v>0</v>
      </c>
      <c r="AP59" s="75" t="e">
        <f t="shared" si="34"/>
        <v>#DIV/0!</v>
      </c>
      <c r="AQ59" s="76">
        <f t="shared" si="8"/>
        <v>0</v>
      </c>
      <c r="AR59" s="90">
        <f t="shared" si="46"/>
        <v>0</v>
      </c>
    </row>
    <row r="60" spans="1:49" x14ac:dyDescent="0.25">
      <c r="A60" t="str">
        <f t="shared" si="10"/>
        <v>46232M</v>
      </c>
      <c r="B60" s="51">
        <f t="shared" si="25"/>
        <v>46232</v>
      </c>
      <c r="C60" s="52" t="s">
        <v>87</v>
      </c>
      <c r="D60" s="91"/>
      <c r="E60" s="62"/>
      <c r="F60" s="62"/>
      <c r="G60" s="62">
        <f t="shared" si="43"/>
        <v>0</v>
      </c>
      <c r="H60" s="72">
        <f t="shared" si="47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26"/>
        <v>0</v>
      </c>
      <c r="AB60" s="63">
        <f t="shared" si="27"/>
        <v>0</v>
      </c>
      <c r="AC60" s="69"/>
      <c r="AD60" s="70"/>
      <c r="AE60" s="70"/>
      <c r="AF60" s="62">
        <f t="shared" si="65"/>
        <v>0</v>
      </c>
      <c r="AG60" s="63">
        <f t="shared" si="66"/>
        <v>0</v>
      </c>
      <c r="AH60" s="89"/>
      <c r="AI60" s="66"/>
      <c r="AJ60" s="66"/>
      <c r="AK60" s="62">
        <f t="shared" si="61"/>
        <v>0</v>
      </c>
      <c r="AL60" s="72">
        <f t="shared" si="62"/>
        <v>0</v>
      </c>
      <c r="AM60" s="73">
        <f t="shared" si="44"/>
        <v>0</v>
      </c>
      <c r="AN60" s="80">
        <f t="shared" si="63"/>
        <v>0</v>
      </c>
      <c r="AO60" s="80">
        <f t="shared" si="64"/>
        <v>0</v>
      </c>
      <c r="AP60" s="75" t="e">
        <f t="shared" si="34"/>
        <v>#DIV/0!</v>
      </c>
      <c r="AQ60" s="76">
        <f t="shared" si="8"/>
        <v>0</v>
      </c>
      <c r="AR60" s="90">
        <f t="shared" si="46"/>
        <v>0</v>
      </c>
    </row>
    <row r="61" spans="1:49" x14ac:dyDescent="0.25">
      <c r="A61" t="str">
        <f t="shared" si="10"/>
        <v>46232E</v>
      </c>
      <c r="B61" s="51">
        <f t="shared" si="25"/>
        <v>46232</v>
      </c>
      <c r="C61" s="52" t="s">
        <v>88</v>
      </c>
      <c r="D61" s="91"/>
      <c r="E61" s="62"/>
      <c r="F61" s="62"/>
      <c r="G61" s="62">
        <f t="shared" si="43"/>
        <v>0</v>
      </c>
      <c r="H61" s="72">
        <f t="shared" si="47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26"/>
        <v>0</v>
      </c>
      <c r="AB61" s="63">
        <f t="shared" si="27"/>
        <v>0</v>
      </c>
      <c r="AC61" s="69"/>
      <c r="AD61" s="70"/>
      <c r="AE61" s="70"/>
      <c r="AF61" s="62">
        <f t="shared" si="65"/>
        <v>0</v>
      </c>
      <c r="AG61" s="63">
        <f t="shared" si="66"/>
        <v>0</v>
      </c>
      <c r="AH61" s="89"/>
      <c r="AI61" s="66"/>
      <c r="AJ61" s="66"/>
      <c r="AK61" s="62">
        <f t="shared" si="61"/>
        <v>0</v>
      </c>
      <c r="AL61" s="72">
        <f t="shared" si="62"/>
        <v>0</v>
      </c>
      <c r="AM61" s="73">
        <f t="shared" si="44"/>
        <v>0</v>
      </c>
      <c r="AN61" s="80">
        <f t="shared" si="63"/>
        <v>0</v>
      </c>
      <c r="AO61" s="80">
        <f t="shared" si="64"/>
        <v>0</v>
      </c>
      <c r="AP61" s="75" t="e">
        <f t="shared" si="34"/>
        <v>#DIV/0!</v>
      </c>
      <c r="AQ61" s="76">
        <f t="shared" si="8"/>
        <v>0</v>
      </c>
      <c r="AR61" s="90">
        <f t="shared" si="46"/>
        <v>0</v>
      </c>
    </row>
    <row r="62" spans="1:49" x14ac:dyDescent="0.25">
      <c r="A62" t="str">
        <f t="shared" si="10"/>
        <v>46233M</v>
      </c>
      <c r="B62" s="51">
        <f t="shared" si="25"/>
        <v>46233</v>
      </c>
      <c r="C62" s="52" t="s">
        <v>87</v>
      </c>
      <c r="D62" s="91"/>
      <c r="E62" s="62"/>
      <c r="F62" s="62"/>
      <c r="G62" s="62">
        <f t="shared" si="43"/>
        <v>0</v>
      </c>
      <c r="H62" s="72">
        <f t="shared" si="47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26"/>
        <v>0</v>
      </c>
      <c r="AB62" s="63">
        <f t="shared" si="27"/>
        <v>0</v>
      </c>
      <c r="AC62" s="69"/>
      <c r="AD62" s="70"/>
      <c r="AE62" s="70"/>
      <c r="AF62" s="62">
        <f t="shared" si="65"/>
        <v>0</v>
      </c>
      <c r="AG62" s="63">
        <f t="shared" si="66"/>
        <v>0</v>
      </c>
      <c r="AH62" s="89"/>
      <c r="AI62" s="66"/>
      <c r="AJ62" s="66"/>
      <c r="AK62" s="62">
        <f t="shared" si="61"/>
        <v>0</v>
      </c>
      <c r="AL62" s="72">
        <f t="shared" si="62"/>
        <v>0</v>
      </c>
      <c r="AM62" s="73">
        <f t="shared" si="44"/>
        <v>0</v>
      </c>
      <c r="AN62" s="80">
        <f t="shared" si="63"/>
        <v>0</v>
      </c>
      <c r="AO62" s="80">
        <f t="shared" si="64"/>
        <v>0</v>
      </c>
      <c r="AP62" s="75" t="e">
        <f t="shared" si="34"/>
        <v>#DIV/0!</v>
      </c>
      <c r="AQ62" s="76">
        <f t="shared" si="8"/>
        <v>0</v>
      </c>
      <c r="AR62" s="90">
        <f t="shared" si="46"/>
        <v>0</v>
      </c>
    </row>
    <row r="63" spans="1:49" x14ac:dyDescent="0.25">
      <c r="A63" t="str">
        <f t="shared" si="10"/>
        <v>46233E</v>
      </c>
      <c r="B63" s="51">
        <f t="shared" si="25"/>
        <v>46233</v>
      </c>
      <c r="C63" s="52" t="s">
        <v>88</v>
      </c>
      <c r="D63" s="91"/>
      <c r="E63" s="62"/>
      <c r="F63" s="62"/>
      <c r="G63" s="62">
        <f t="shared" si="43"/>
        <v>0</v>
      </c>
      <c r="H63" s="72">
        <f t="shared" si="47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26"/>
        <v>0</v>
      </c>
      <c r="AB63" s="63">
        <f t="shared" si="27"/>
        <v>0</v>
      </c>
      <c r="AC63" s="69"/>
      <c r="AD63" s="70"/>
      <c r="AE63" s="70"/>
      <c r="AF63" s="62">
        <f t="shared" si="65"/>
        <v>0</v>
      </c>
      <c r="AG63" s="63">
        <f t="shared" si="66"/>
        <v>0</v>
      </c>
      <c r="AH63" s="89"/>
      <c r="AI63" s="66"/>
      <c r="AJ63" s="66"/>
      <c r="AK63" s="62">
        <f t="shared" si="61"/>
        <v>0</v>
      </c>
      <c r="AL63" s="72">
        <f t="shared" si="62"/>
        <v>0</v>
      </c>
      <c r="AM63" s="73">
        <f t="shared" si="44"/>
        <v>0</v>
      </c>
      <c r="AN63" s="80">
        <f t="shared" si="63"/>
        <v>0</v>
      </c>
      <c r="AO63" s="80">
        <f t="shared" si="64"/>
        <v>0</v>
      </c>
      <c r="AP63" s="75" t="e">
        <f t="shared" si="34"/>
        <v>#DIV/0!</v>
      </c>
      <c r="AQ63" s="76">
        <f t="shared" si="8"/>
        <v>0</v>
      </c>
      <c r="AR63" s="90">
        <f t="shared" si="46"/>
        <v>0</v>
      </c>
      <c r="AS63" s="90">
        <f>SUM(J50:J63)</f>
        <v>0</v>
      </c>
      <c r="AT63" s="83">
        <f>SUM(AM50:AM63)</f>
        <v>0</v>
      </c>
      <c r="AU63" s="83">
        <f>SUM(AN50:AN63)</f>
        <v>0</v>
      </c>
      <c r="AV63" s="83">
        <f>SUM(AO50:AO63)</f>
        <v>0</v>
      </c>
      <c r="AW63" s="83">
        <f>-SUM(AQ50:AQ63)</f>
        <v>0</v>
      </c>
    </row>
    <row r="64" spans="1:49" x14ac:dyDescent="0.25">
      <c r="A64" t="str">
        <f t="shared" si="10"/>
        <v>46234M</v>
      </c>
      <c r="B64" s="51">
        <f t="shared" si="25"/>
        <v>46234</v>
      </c>
      <c r="C64" s="52" t="s">
        <v>87</v>
      </c>
      <c r="D64" s="91"/>
      <c r="E64" s="62"/>
      <c r="F64" s="62"/>
      <c r="G64" s="62">
        <f t="shared" si="43"/>
        <v>0</v>
      </c>
      <c r="H64" s="72">
        <f t="shared" si="47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26"/>
        <v>0</v>
      </c>
      <c r="AB64" s="63">
        <f t="shared" si="27"/>
        <v>0</v>
      </c>
      <c r="AC64" s="69"/>
      <c r="AD64" s="70"/>
      <c r="AE64" s="70"/>
      <c r="AF64" s="62">
        <f t="shared" ref="AF64:AF65" si="67">AC64*AD64%</f>
        <v>0</v>
      </c>
      <c r="AG64" s="63">
        <f t="shared" ref="AG64:AG65" si="68">AC64*AE64%</f>
        <v>0</v>
      </c>
      <c r="AH64" s="89"/>
      <c r="AI64" s="66"/>
      <c r="AJ64" s="66"/>
      <c r="AK64" s="62">
        <f t="shared" ref="AK64:AK65" si="69">AH64*AI64%</f>
        <v>0</v>
      </c>
      <c r="AL64" s="72">
        <f t="shared" ref="AL64:AL65" si="70">AH64*AJ64%</f>
        <v>0</v>
      </c>
      <c r="AM64" s="73">
        <f t="shared" si="44"/>
        <v>0</v>
      </c>
      <c r="AN64" s="80">
        <f t="shared" ref="AN64:AN65" si="71">+G64+S64-AF64-AK64</f>
        <v>0</v>
      </c>
      <c r="AO64" s="80">
        <f t="shared" ref="AO64:AO65" si="72">+H64+T64-AG64-AL64</f>
        <v>0</v>
      </c>
      <c r="AP64" s="75" t="e">
        <f t="shared" si="34"/>
        <v>#DIV/0!</v>
      </c>
      <c r="AQ64" s="76">
        <f t="shared" si="8"/>
        <v>0</v>
      </c>
      <c r="AR64" s="90">
        <f t="shared" si="46"/>
        <v>0</v>
      </c>
      <c r="AT64">
        <v>745</v>
      </c>
    </row>
    <row r="65" spans="1:49" x14ac:dyDescent="0.25">
      <c r="A65" t="str">
        <f t="shared" si="10"/>
        <v>46234E</v>
      </c>
      <c r="B65" s="51">
        <f t="shared" si="25"/>
        <v>46234</v>
      </c>
      <c r="C65" s="52" t="s">
        <v>88</v>
      </c>
      <c r="D65" s="91"/>
      <c r="E65" s="62"/>
      <c r="F65" s="62"/>
      <c r="G65" s="62">
        <f t="shared" si="43"/>
        <v>0</v>
      </c>
      <c r="H65" s="72">
        <f t="shared" si="47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26"/>
        <v>0</v>
      </c>
      <c r="AB65" s="63">
        <f t="shared" si="27"/>
        <v>0</v>
      </c>
      <c r="AC65" s="69"/>
      <c r="AD65" s="70"/>
      <c r="AE65" s="70"/>
      <c r="AF65" s="62">
        <f t="shared" si="67"/>
        <v>0</v>
      </c>
      <c r="AG65" s="63">
        <f t="shared" si="68"/>
        <v>0</v>
      </c>
      <c r="AH65" s="89"/>
      <c r="AI65" s="66"/>
      <c r="AJ65" s="66"/>
      <c r="AK65" s="62">
        <f t="shared" si="69"/>
        <v>0</v>
      </c>
      <c r="AL65" s="72">
        <f t="shared" si="70"/>
        <v>0</v>
      </c>
      <c r="AM65" s="73">
        <f t="shared" si="44"/>
        <v>0</v>
      </c>
      <c r="AN65" s="80">
        <f t="shared" si="71"/>
        <v>0</v>
      </c>
      <c r="AO65" s="80">
        <f t="shared" si="72"/>
        <v>0</v>
      </c>
      <c r="AP65" s="75" t="e">
        <f t="shared" si="34"/>
        <v>#DIV/0!</v>
      </c>
      <c r="AQ65" s="76">
        <f t="shared" si="8"/>
        <v>0</v>
      </c>
      <c r="AR65" s="90">
        <f t="shared" si="46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65847.282000000007</v>
      </c>
      <c r="AM66" s="93">
        <f>-SUM(AM4:AM65)</f>
        <v>-85.282000000001062</v>
      </c>
      <c r="AN66" s="93">
        <f>-SUM(AN4:AN65)</f>
        <v>-60.535825999999815</v>
      </c>
      <c r="AO66" s="93">
        <f>-SUM(AO4:AO65)</f>
        <v>113.8232779999999</v>
      </c>
      <c r="AP66" s="94"/>
      <c r="AQ66" s="93">
        <f>-SUM(AQ4:AQ65)</f>
        <v>4999.6238302510174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9" priority="2" operator="lessThan">
      <formula>0.1</formula>
    </cfRule>
    <cfRule type="cellIs" dxfId="28" priority="3" operator="greaterThan">
      <formula>0.1</formula>
    </cfRule>
  </conditionalFormatting>
  <conditionalFormatting sqref="AP1:AQ1">
    <cfRule type="cellIs" dxfId="27" priority="1" operator="lessThan">
      <formula>1</formula>
    </cfRule>
  </conditionalFormatting>
  <conditionalFormatting sqref="AQ4:AQ65">
    <cfRule type="cellIs" dxfId="26" priority="8" operator="lessThan">
      <formula>0</formula>
    </cfRule>
    <cfRule type="cellIs" dxfId="25" priority="9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9" sqref="AC19:AE19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7109375" customWidth="1"/>
    <col min="23" max="23" width="8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3.42578125" bestFit="1" customWidth="1"/>
    <col min="45" max="45" width="5.5703125" bestFit="1" customWidth="1"/>
    <col min="46" max="48" width="3.85546875" bestFit="1" customWidth="1"/>
    <col min="49" max="49" width="7.85546875" bestFit="1" customWidth="1"/>
  </cols>
  <sheetData>
    <row r="1" spans="1:44" ht="15.75" thickBot="1" x14ac:dyDescent="0.3">
      <c r="B1" s="43" t="s">
        <v>98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2253</v>
      </c>
      <c r="E4" s="88">
        <v>4.1100000000000003</v>
      </c>
      <c r="F4" s="88">
        <v>7.92</v>
      </c>
      <c r="G4" s="62">
        <f t="shared" ref="G4" si="0">+D4*E4%</f>
        <v>92.598300000000009</v>
      </c>
      <c r="H4" s="63">
        <f t="shared" ref="H4" si="1">+D4*F4%</f>
        <v>178.43759999999997</v>
      </c>
      <c r="I4" s="143">
        <v>331.7</v>
      </c>
      <c r="J4" s="144">
        <v>341.65100000000001</v>
      </c>
      <c r="K4" s="145">
        <v>4.073319264395538</v>
      </c>
      <c r="L4" s="146">
        <v>8.0857702743442879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341.65100000000001</v>
      </c>
      <c r="S4" s="62">
        <f>+J4*K4%+O4*P4%</f>
        <v>13.916536000000001</v>
      </c>
      <c r="T4" s="63">
        <f>+J4*L4%+O4*Q4%</f>
        <v>27.625115000000005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2">X4*Y4%</f>
        <v>0</v>
      </c>
      <c r="AB4" s="63">
        <f t="shared" ref="AB4" si="3">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66">
        <v>2594</v>
      </c>
      <c r="AI4" s="66">
        <v>4.0999999999999996</v>
      </c>
      <c r="AJ4" s="66">
        <v>7.94</v>
      </c>
      <c r="AK4" s="62">
        <f t="shared" ref="AK4" si="6">AH4*AI4%</f>
        <v>106.35399999999998</v>
      </c>
      <c r="AL4" s="72">
        <f t="shared" ref="AL4" si="7">AH4*AJ4%</f>
        <v>205.96359999999999</v>
      </c>
      <c r="AM4" s="73">
        <f>+D4+R4-AC4-AH4</f>
        <v>0.65099999999983993</v>
      </c>
      <c r="AN4" s="74">
        <f t="shared" ref="AN4:AO4" si="8">+G4+S4-AF4-AK4</f>
        <v>0.16083600000001752</v>
      </c>
      <c r="AO4" s="74">
        <f t="shared" si="8"/>
        <v>9.9114999999983411E-2</v>
      </c>
      <c r="AP4" s="75">
        <f>(AN4+AO4)/(S4+T4)</f>
        <v>6.2575991503082276E-3</v>
      </c>
      <c r="AQ4" s="76">
        <f t="shared" ref="AQ4:AQ65" si="9">($AP$1*AN4+$AQ$1*AO4)</f>
        <v>106.97099276453659</v>
      </c>
      <c r="AR4" s="90">
        <f>(D4+J4+O4)-(X4+AH4)</f>
        <v>0.65099999999983993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2594</v>
      </c>
      <c r="E5" s="62">
        <v>4.0999999999999996</v>
      </c>
      <c r="F5" s="62">
        <v>7.94</v>
      </c>
      <c r="G5" s="62">
        <f t="shared" ref="G5:G65" si="11">+D5*E5%</f>
        <v>106.35399999999998</v>
      </c>
      <c r="H5" s="63">
        <f t="shared" ref="H5:H65" si="12">+D5*F5%</f>
        <v>205.96359999999999</v>
      </c>
      <c r="I5" s="143">
        <v>480.1</v>
      </c>
      <c r="J5" s="144">
        <v>494.50300000000004</v>
      </c>
      <c r="K5" s="145">
        <v>3.9941470526973548</v>
      </c>
      <c r="L5" s="146">
        <v>8.0237658821078952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494.50300000000004</v>
      </c>
      <c r="S5" s="62">
        <f t="shared" ref="S5:S65" si="14">+J5*K5%+O5*P5%</f>
        <v>19.751177000000002</v>
      </c>
      <c r="T5" s="63">
        <f t="shared" ref="T5:T65" si="15">+J5*L5%+O5*Q5%</f>
        <v>39.677763000000013</v>
      </c>
      <c r="U5" s="64" t="s">
        <v>207</v>
      </c>
      <c r="V5" s="65" t="s">
        <v>248</v>
      </c>
      <c r="W5" s="66" t="s">
        <v>178</v>
      </c>
      <c r="X5" s="67">
        <v>2487</v>
      </c>
      <c r="Y5" s="68">
        <v>4</v>
      </c>
      <c r="Z5" s="68">
        <v>7.96</v>
      </c>
      <c r="AA5" s="62">
        <f t="shared" ref="AA5:AA65" si="16">X5*Y5%</f>
        <v>99.48</v>
      </c>
      <c r="AB5" s="63">
        <f t="shared" ref="AB5:AB65" si="17">X5*Z5%</f>
        <v>197.96520000000001</v>
      </c>
      <c r="AC5" s="69">
        <v>2484</v>
      </c>
      <c r="AD5" s="70">
        <v>3.95</v>
      </c>
      <c r="AE5" s="70">
        <v>7.94</v>
      </c>
      <c r="AF5" s="62">
        <f t="shared" ref="AF5:AF65" si="18">AC5*AD5%</f>
        <v>98.117999999999995</v>
      </c>
      <c r="AG5" s="63">
        <f t="shared" ref="AG5:AG65" si="19">AC5*AE5%</f>
        <v>197.2296</v>
      </c>
      <c r="AH5" s="66">
        <v>601</v>
      </c>
      <c r="AI5" s="66">
        <v>4.08</v>
      </c>
      <c r="AJ5" s="66">
        <v>7.95</v>
      </c>
      <c r="AK5" s="62">
        <f t="shared" ref="AK5:AK65" si="20">AH5*AI5%</f>
        <v>24.520800000000001</v>
      </c>
      <c r="AL5" s="72">
        <f t="shared" ref="AL5:AL65" si="21">AH5*AJ5%</f>
        <v>47.779499999999999</v>
      </c>
      <c r="AM5" s="73">
        <f t="shared" ref="AM5:AM65" si="22">+D5+R5-AC5-AH5</f>
        <v>3.5030000000001564</v>
      </c>
      <c r="AN5" s="74">
        <f t="shared" ref="AN5:AN65" si="23">+G5+S5-AF5-AK5</f>
        <v>3.4663769999999872</v>
      </c>
      <c r="AO5" s="74">
        <f t="shared" ref="AO5:AO65" si="24">+H5+T5-AG5-AL5</f>
        <v>0.6322630000000089</v>
      </c>
      <c r="AP5" s="75">
        <f t="shared" ref="AP5:AP65" si="25">(AN5+AO5)/(S5+T5)</f>
        <v>6.896707227152285E-2</v>
      </c>
      <c r="AQ5" s="76">
        <f t="shared" si="9"/>
        <v>1855.0641064529464</v>
      </c>
      <c r="AR5" s="90">
        <f t="shared" ref="AR5:AR65" si="26">(D5+J5+O5)-(X5+AH5)</f>
        <v>0.50300000000015643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601</v>
      </c>
      <c r="E6" s="62">
        <v>4.08</v>
      </c>
      <c r="F6" s="62">
        <v>7.95</v>
      </c>
      <c r="G6" s="62">
        <f t="shared" si="11"/>
        <v>24.520800000000001</v>
      </c>
      <c r="H6" s="63">
        <f t="shared" si="12"/>
        <v>47.779499999999999</v>
      </c>
      <c r="I6" s="143">
        <v>334.8</v>
      </c>
      <c r="J6" s="144">
        <v>344.84399999999999</v>
      </c>
      <c r="K6" s="145">
        <v>4.1380525686977307</v>
      </c>
      <c r="L6" s="146">
        <v>8.0719534050179238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344.84399999999999</v>
      </c>
      <c r="S6" s="62">
        <f t="shared" si="14"/>
        <v>14.269826000000004</v>
      </c>
      <c r="T6" s="63">
        <f t="shared" si="15"/>
        <v>27.835647000000005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946</v>
      </c>
      <c r="AI6" s="66">
        <v>4.09</v>
      </c>
      <c r="AJ6" s="66">
        <v>7.99</v>
      </c>
      <c r="AK6" s="62">
        <f t="shared" si="20"/>
        <v>38.691400000000002</v>
      </c>
      <c r="AL6" s="72">
        <f t="shared" si="21"/>
        <v>75.585399999999993</v>
      </c>
      <c r="AM6" s="73">
        <f t="shared" si="22"/>
        <v>-0.15599999999994907</v>
      </c>
      <c r="AN6" s="74">
        <f t="shared" si="23"/>
        <v>9.9226000000001591E-2</v>
      </c>
      <c r="AO6" s="74">
        <f t="shared" si="24"/>
        <v>2.9747000000014623E-2</v>
      </c>
      <c r="AP6" s="75">
        <f t="shared" si="25"/>
        <v>3.0630934843082318E-3</v>
      </c>
      <c r="AQ6" s="76">
        <f t="shared" si="9"/>
        <v>56.590284128640249</v>
      </c>
      <c r="AR6" s="90">
        <f t="shared" si="26"/>
        <v>-0.15599999999994907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946</v>
      </c>
      <c r="E7" s="62">
        <v>4.09</v>
      </c>
      <c r="F7" s="62">
        <v>7.99</v>
      </c>
      <c r="G7" s="62">
        <f t="shared" si="11"/>
        <v>38.691400000000002</v>
      </c>
      <c r="H7" s="63">
        <f t="shared" si="12"/>
        <v>75.585399999999993</v>
      </c>
      <c r="I7" s="143">
        <v>518.30000000000007</v>
      </c>
      <c r="J7" s="144">
        <v>533.84900000000005</v>
      </c>
      <c r="K7" s="145">
        <v>3.971541578236542</v>
      </c>
      <c r="L7" s="146">
        <v>8.0424657534246577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533.84900000000005</v>
      </c>
      <c r="S7" s="62">
        <f t="shared" si="14"/>
        <v>21.202034999999999</v>
      </c>
      <c r="T7" s="63">
        <f t="shared" si="15"/>
        <v>42.934623000000002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1479</v>
      </c>
      <c r="AI7" s="66">
        <v>4.03</v>
      </c>
      <c r="AJ7" s="66">
        <v>8.01</v>
      </c>
      <c r="AK7" s="62">
        <f t="shared" si="20"/>
        <v>59.603700000000003</v>
      </c>
      <c r="AL7" s="72">
        <f t="shared" si="21"/>
        <v>118.4679</v>
      </c>
      <c r="AM7" s="73">
        <f t="shared" si="22"/>
        <v>0.84900000000016007</v>
      </c>
      <c r="AN7" s="74">
        <f t="shared" si="23"/>
        <v>0.28973499999999319</v>
      </c>
      <c r="AO7" s="74">
        <f t="shared" si="24"/>
        <v>5.212299999999459E-2</v>
      </c>
      <c r="AP7" s="75">
        <f t="shared" si="25"/>
        <v>5.3301498808994352E-3</v>
      </c>
      <c r="AQ7" s="76">
        <f t="shared" si="9"/>
        <v>154.83747181304639</v>
      </c>
      <c r="AR7" s="90">
        <f t="shared" si="26"/>
        <v>0.84900000000016007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1479</v>
      </c>
      <c r="E8" s="62">
        <v>4.03</v>
      </c>
      <c r="F8" s="62">
        <v>8.01</v>
      </c>
      <c r="G8" s="62">
        <f t="shared" si="11"/>
        <v>59.603700000000003</v>
      </c>
      <c r="H8" s="63">
        <f t="shared" si="12"/>
        <v>118.4679</v>
      </c>
      <c r="I8" s="143">
        <v>280.59999999999997</v>
      </c>
      <c r="J8" s="144">
        <v>289.01799999999997</v>
      </c>
      <c r="K8" s="145">
        <v>4.2951176051318596</v>
      </c>
      <c r="L8" s="146">
        <v>7.9671062009978613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289.01799999999997</v>
      </c>
      <c r="S8" s="62">
        <f t="shared" si="14"/>
        <v>12.413662999999996</v>
      </c>
      <c r="T8" s="63">
        <f t="shared" si="15"/>
        <v>23.026370999999997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6"/>
        <v>0</v>
      </c>
      <c r="AB8" s="63">
        <f t="shared" si="17"/>
        <v>0</v>
      </c>
      <c r="AC8" s="69"/>
      <c r="AD8" s="70"/>
      <c r="AE8" s="70"/>
      <c r="AF8" s="62">
        <f t="shared" si="18"/>
        <v>0</v>
      </c>
      <c r="AG8" s="63">
        <f t="shared" si="19"/>
        <v>0</v>
      </c>
      <c r="AH8" s="66">
        <v>1768</v>
      </c>
      <c r="AI8" s="66">
        <v>4.07</v>
      </c>
      <c r="AJ8" s="66">
        <v>8</v>
      </c>
      <c r="AK8" s="62">
        <f t="shared" si="20"/>
        <v>71.957599999999999</v>
      </c>
      <c r="AL8" s="72">
        <f t="shared" si="21"/>
        <v>141.44</v>
      </c>
      <c r="AM8" s="73">
        <f t="shared" si="22"/>
        <v>1.8000000000029104E-2</v>
      </c>
      <c r="AN8" s="74">
        <f t="shared" si="23"/>
        <v>5.9763000000003785E-2</v>
      </c>
      <c r="AO8" s="74">
        <f t="shared" si="24"/>
        <v>5.4270999999999958E-2</v>
      </c>
      <c r="AP8" s="75">
        <f t="shared" si="25"/>
        <v>3.2176605699645706E-3</v>
      </c>
      <c r="AQ8" s="76">
        <f t="shared" si="9"/>
        <v>44.971747923860875</v>
      </c>
      <c r="AR8" s="90">
        <f t="shared" si="26"/>
        <v>1.8000000000029104E-2</v>
      </c>
    </row>
    <row r="9" spans="1:44" x14ac:dyDescent="0.25">
      <c r="A9" t="str">
        <f t="shared" si="10"/>
        <v>46206E</v>
      </c>
      <c r="B9" s="51">
        <f t="shared" ref="B9:B65" si="27">+B7+1</f>
        <v>46206</v>
      </c>
      <c r="C9" s="52" t="s">
        <v>88</v>
      </c>
      <c r="D9" s="91">
        <v>1768</v>
      </c>
      <c r="E9" s="62">
        <v>4.07</v>
      </c>
      <c r="F9" s="62">
        <v>8</v>
      </c>
      <c r="G9" s="62">
        <f t="shared" si="11"/>
        <v>71.957599999999999</v>
      </c>
      <c r="H9" s="63">
        <f t="shared" si="12"/>
        <v>141.44</v>
      </c>
      <c r="I9" s="143">
        <v>486.40000000000003</v>
      </c>
      <c r="J9" s="144">
        <v>500.99200000000008</v>
      </c>
      <c r="K9" s="145">
        <v>4.2484580592105265</v>
      </c>
      <c r="L9" s="146">
        <v>7.9801192434210524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500.99200000000008</v>
      </c>
      <c r="S9" s="62">
        <f t="shared" si="14"/>
        <v>21.284435000000006</v>
      </c>
      <c r="T9" s="63">
        <f t="shared" si="15"/>
        <v>39.979759000000001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2269</v>
      </c>
      <c r="AI9" s="66">
        <v>4.0999999999999996</v>
      </c>
      <c r="AJ9" s="66">
        <v>7.99</v>
      </c>
      <c r="AK9" s="62">
        <f t="shared" si="20"/>
        <v>93.028999999999982</v>
      </c>
      <c r="AL9" s="72">
        <f t="shared" si="21"/>
        <v>181.29310000000001</v>
      </c>
      <c r="AM9" s="73">
        <f t="shared" si="22"/>
        <v>-7.9999999998108251E-3</v>
      </c>
      <c r="AN9" s="74">
        <f t="shared" si="23"/>
        <v>0.21303500000001918</v>
      </c>
      <c r="AO9" s="74">
        <f t="shared" si="24"/>
        <v>0.12665899999998942</v>
      </c>
      <c r="AP9" s="75">
        <f t="shared" si="25"/>
        <v>5.5447395586402165E-3</v>
      </c>
      <c r="AQ9" s="76">
        <f t="shared" si="9"/>
        <v>140.3034939446473</v>
      </c>
      <c r="AR9" s="90">
        <f t="shared" si="26"/>
        <v>-7.9999999998108251E-3</v>
      </c>
    </row>
    <row r="10" spans="1:44" x14ac:dyDescent="0.25">
      <c r="A10" t="str">
        <f t="shared" si="10"/>
        <v>46207M</v>
      </c>
      <c r="B10" s="51">
        <f t="shared" si="27"/>
        <v>46207</v>
      </c>
      <c r="C10" s="52" t="s">
        <v>87</v>
      </c>
      <c r="D10" s="91">
        <v>2269</v>
      </c>
      <c r="E10" s="62">
        <v>4.0999999999999996</v>
      </c>
      <c r="F10" s="62">
        <v>7.99</v>
      </c>
      <c r="G10" s="62">
        <f t="shared" si="11"/>
        <v>93.028999999999982</v>
      </c>
      <c r="H10" s="63">
        <f t="shared" si="12"/>
        <v>181.29310000000001</v>
      </c>
      <c r="I10" s="143">
        <v>309</v>
      </c>
      <c r="J10" s="144">
        <v>318.27</v>
      </c>
      <c r="K10" s="145">
        <v>4.3012944983818766</v>
      </c>
      <c r="L10" s="146">
        <v>8.0760194174757274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318.27</v>
      </c>
      <c r="S10" s="62">
        <f t="shared" si="14"/>
        <v>13.689729999999997</v>
      </c>
      <c r="T10" s="63">
        <f t="shared" si="15"/>
        <v>25.703546999999997</v>
      </c>
      <c r="U10" s="64" t="s">
        <v>207</v>
      </c>
      <c r="V10" s="65" t="s">
        <v>289</v>
      </c>
      <c r="W10" s="66" t="s">
        <v>178</v>
      </c>
      <c r="X10" s="67">
        <v>2068</v>
      </c>
      <c r="Y10" s="68">
        <v>4</v>
      </c>
      <c r="Z10" s="68">
        <v>7.94</v>
      </c>
      <c r="AA10" s="62">
        <f t="shared" si="16"/>
        <v>82.72</v>
      </c>
      <c r="AB10" s="63">
        <f t="shared" si="17"/>
        <v>164.19919999999999</v>
      </c>
      <c r="AC10" s="69">
        <v>2066</v>
      </c>
      <c r="AD10" s="70">
        <v>3.95</v>
      </c>
      <c r="AE10" s="70">
        <v>7.94</v>
      </c>
      <c r="AF10" s="62">
        <f t="shared" si="18"/>
        <v>81.606999999999999</v>
      </c>
      <c r="AG10" s="63">
        <f t="shared" si="19"/>
        <v>164.04040000000001</v>
      </c>
      <c r="AH10" s="66">
        <v>519</v>
      </c>
      <c r="AI10" s="66">
        <v>4.12</v>
      </c>
      <c r="AJ10" s="66">
        <v>8</v>
      </c>
      <c r="AK10" s="62">
        <f t="shared" si="20"/>
        <v>21.3828</v>
      </c>
      <c r="AL10" s="72">
        <f t="shared" si="21"/>
        <v>41.52</v>
      </c>
      <c r="AM10" s="73">
        <f t="shared" si="22"/>
        <v>2.2699999999999818</v>
      </c>
      <c r="AN10" s="74">
        <f t="shared" si="23"/>
        <v>3.7289299999999805</v>
      </c>
      <c r="AO10" s="74">
        <f t="shared" si="24"/>
        <v>1.4362469999999874</v>
      </c>
      <c r="AP10" s="75">
        <f t="shared" si="25"/>
        <v>0.13111823624117303</v>
      </c>
      <c r="AQ10" s="76">
        <f t="shared" si="9"/>
        <v>2222.0154186381915</v>
      </c>
      <c r="AR10" s="90">
        <f t="shared" si="26"/>
        <v>0.26999999999998181</v>
      </c>
    </row>
    <row r="11" spans="1:44" x14ac:dyDescent="0.25">
      <c r="A11" t="str">
        <f t="shared" si="10"/>
        <v>46207E</v>
      </c>
      <c r="B11" s="51">
        <f t="shared" si="27"/>
        <v>46207</v>
      </c>
      <c r="C11" s="52" t="s">
        <v>88</v>
      </c>
      <c r="D11" s="91">
        <v>519</v>
      </c>
      <c r="E11" s="62">
        <v>4.12</v>
      </c>
      <c r="F11" s="62">
        <v>8</v>
      </c>
      <c r="G11" s="62">
        <f t="shared" si="11"/>
        <v>21.3828</v>
      </c>
      <c r="H11" s="63">
        <f t="shared" si="12"/>
        <v>41.52</v>
      </c>
      <c r="I11" s="143">
        <v>499</v>
      </c>
      <c r="J11" s="144">
        <v>513.97</v>
      </c>
      <c r="K11" s="145">
        <v>4.0546092184368732</v>
      </c>
      <c r="L11" s="146">
        <v>8.0751903807615228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513.97</v>
      </c>
      <c r="S11" s="62">
        <f t="shared" si="14"/>
        <v>20.839475</v>
      </c>
      <c r="T11" s="63">
        <f t="shared" si="15"/>
        <v>41.504055999999999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1032</v>
      </c>
      <c r="AI11" s="66">
        <v>4.08</v>
      </c>
      <c r="AJ11" s="66">
        <v>8.0399999999999991</v>
      </c>
      <c r="AK11" s="62">
        <f t="shared" si="20"/>
        <v>42.105600000000003</v>
      </c>
      <c r="AL11" s="72">
        <f t="shared" si="21"/>
        <v>82.972799999999978</v>
      </c>
      <c r="AM11" s="73">
        <f t="shared" si="22"/>
        <v>0.97000000000002728</v>
      </c>
      <c r="AN11" s="74">
        <f t="shared" si="23"/>
        <v>0.11667499999999364</v>
      </c>
      <c r="AO11" s="74">
        <f t="shared" si="24"/>
        <v>5.1256000000023505E-2</v>
      </c>
      <c r="AP11" s="75">
        <f t="shared" si="25"/>
        <v>2.6936395373566048E-3</v>
      </c>
      <c r="AQ11" s="76">
        <f t="shared" si="9"/>
        <v>71.416850547110172</v>
      </c>
      <c r="AR11" s="90">
        <f t="shared" si="26"/>
        <v>0.97000000000002728</v>
      </c>
    </row>
    <row r="12" spans="1:44" x14ac:dyDescent="0.25">
      <c r="A12" t="str">
        <f t="shared" si="10"/>
        <v>46208M</v>
      </c>
      <c r="B12" s="51">
        <f t="shared" si="27"/>
        <v>46208</v>
      </c>
      <c r="C12" s="52" t="s">
        <v>87</v>
      </c>
      <c r="D12" s="91">
        <v>1032</v>
      </c>
      <c r="E12" s="62">
        <v>4.08</v>
      </c>
      <c r="F12" s="62">
        <v>8.0399999999999991</v>
      </c>
      <c r="G12" s="62">
        <f t="shared" si="11"/>
        <v>42.105600000000003</v>
      </c>
      <c r="H12" s="63">
        <f t="shared" si="12"/>
        <v>82.972799999999978</v>
      </c>
      <c r="I12" s="143">
        <v>317.89999999999998</v>
      </c>
      <c r="J12" s="144">
        <v>327.43700000000001</v>
      </c>
      <c r="K12" s="145">
        <v>4.389430638565587</v>
      </c>
      <c r="L12" s="146">
        <v>8.0862849952815345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327.43700000000001</v>
      </c>
      <c r="S12" s="62">
        <f t="shared" si="14"/>
        <v>14.372620000000001</v>
      </c>
      <c r="T12" s="63">
        <f t="shared" si="15"/>
        <v>26.477488999999998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1359</v>
      </c>
      <c r="AI12" s="66">
        <v>4.1500000000000004</v>
      </c>
      <c r="AJ12" s="66">
        <v>8.0399999999999991</v>
      </c>
      <c r="AK12" s="62">
        <f t="shared" si="20"/>
        <v>56.398500000000006</v>
      </c>
      <c r="AL12" s="72">
        <f t="shared" si="21"/>
        <v>109.26359999999998</v>
      </c>
      <c r="AM12" s="73">
        <f t="shared" si="22"/>
        <v>0.43699999999989814</v>
      </c>
      <c r="AN12" s="74">
        <f t="shared" si="23"/>
        <v>7.9720000000001789E-2</v>
      </c>
      <c r="AO12" s="74">
        <f t="shared" si="24"/>
        <v>0.186688999999987</v>
      </c>
      <c r="AP12" s="75">
        <f t="shared" si="25"/>
        <v>6.5216227452413594E-3</v>
      </c>
      <c r="AQ12" s="76">
        <f t="shared" si="9"/>
        <v>94.219748100165447</v>
      </c>
      <c r="AR12" s="90">
        <f t="shared" si="26"/>
        <v>0.43699999999989814</v>
      </c>
    </row>
    <row r="13" spans="1:44" x14ac:dyDescent="0.25">
      <c r="A13" t="str">
        <f t="shared" si="10"/>
        <v>46208E</v>
      </c>
      <c r="B13" s="51">
        <f t="shared" si="27"/>
        <v>46208</v>
      </c>
      <c r="C13" s="52" t="s">
        <v>88</v>
      </c>
      <c r="D13" s="91">
        <v>1359</v>
      </c>
      <c r="E13" s="62">
        <v>4.1500000000000004</v>
      </c>
      <c r="F13" s="62">
        <v>8.0399999999999991</v>
      </c>
      <c r="G13" s="62">
        <f t="shared" si="11"/>
        <v>56.398500000000006</v>
      </c>
      <c r="H13" s="63">
        <f t="shared" si="12"/>
        <v>109.26359999999998</v>
      </c>
      <c r="I13" s="143">
        <v>525.00000000000011</v>
      </c>
      <c r="J13" s="144">
        <v>540.75000000000011</v>
      </c>
      <c r="K13" s="145">
        <v>4.4862857142857147</v>
      </c>
      <c r="L13" s="146">
        <v>8.1143428571428569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540.75000000000011</v>
      </c>
      <c r="S13" s="62">
        <f t="shared" si="14"/>
        <v>24.25959000000001</v>
      </c>
      <c r="T13" s="63">
        <f t="shared" si="15"/>
        <v>43.878309000000009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1899</v>
      </c>
      <c r="AI13" s="66">
        <v>4.24</v>
      </c>
      <c r="AJ13" s="66">
        <v>8.0500000000000007</v>
      </c>
      <c r="AK13" s="62">
        <f t="shared" si="20"/>
        <v>80.517600000000002</v>
      </c>
      <c r="AL13" s="72">
        <f t="shared" si="21"/>
        <v>152.86950000000002</v>
      </c>
      <c r="AM13" s="73">
        <f t="shared" si="22"/>
        <v>0.75</v>
      </c>
      <c r="AN13" s="74">
        <f t="shared" si="23"/>
        <v>0.14049000000001399</v>
      </c>
      <c r="AO13" s="74">
        <f t="shared" si="24"/>
        <v>0.27240899999998192</v>
      </c>
      <c r="AP13" s="75">
        <f t="shared" si="25"/>
        <v>6.0597553793080086E-3</v>
      </c>
      <c r="AQ13" s="76">
        <f t="shared" si="9"/>
        <v>149.09408782320972</v>
      </c>
      <c r="AR13" s="90">
        <f t="shared" si="26"/>
        <v>0.75</v>
      </c>
    </row>
    <row r="14" spans="1:44" x14ac:dyDescent="0.25">
      <c r="A14" t="str">
        <f t="shared" si="10"/>
        <v>46209M</v>
      </c>
      <c r="B14" s="51">
        <f t="shared" si="27"/>
        <v>46209</v>
      </c>
      <c r="C14" s="52" t="s">
        <v>87</v>
      </c>
      <c r="D14" s="91">
        <v>1899</v>
      </c>
      <c r="E14" s="62">
        <v>4.24</v>
      </c>
      <c r="F14" s="62">
        <v>8.0500000000000007</v>
      </c>
      <c r="G14" s="62">
        <f t="shared" si="11"/>
        <v>80.517600000000002</v>
      </c>
      <c r="H14" s="63">
        <f t="shared" si="12"/>
        <v>152.86950000000002</v>
      </c>
      <c r="I14" s="143">
        <v>355.99999999999994</v>
      </c>
      <c r="J14" s="144">
        <v>366.67999999999995</v>
      </c>
      <c r="K14" s="145">
        <v>4.3015449438202253</v>
      </c>
      <c r="L14" s="146">
        <v>8.1549157303370805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366.67999999999995</v>
      </c>
      <c r="S14" s="62">
        <f t="shared" si="14"/>
        <v>15.772905000000002</v>
      </c>
      <c r="T14" s="63">
        <f t="shared" si="15"/>
        <v>29.902445000000004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66">
        <v>2265</v>
      </c>
      <c r="AI14" s="66">
        <v>4.25</v>
      </c>
      <c r="AJ14" s="66">
        <v>8.06</v>
      </c>
      <c r="AK14" s="62">
        <f t="shared" si="20"/>
        <v>96.262500000000003</v>
      </c>
      <c r="AL14" s="72">
        <f t="shared" si="21"/>
        <v>182.559</v>
      </c>
      <c r="AM14" s="73">
        <f t="shared" si="22"/>
        <v>0.67999999999983629</v>
      </c>
      <c r="AN14" s="74">
        <f t="shared" si="23"/>
        <v>2.8004999999993174E-2</v>
      </c>
      <c r="AO14" s="74">
        <f t="shared" si="24"/>
        <v>0.21294500000001904</v>
      </c>
      <c r="AP14" s="75">
        <f t="shared" si="25"/>
        <v>5.2752743000329975E-3</v>
      </c>
      <c r="AQ14" s="76">
        <f t="shared" si="9"/>
        <v>77.232445717438736</v>
      </c>
      <c r="AR14" s="90">
        <f t="shared" si="26"/>
        <v>0.67999999999983629</v>
      </c>
    </row>
    <row r="15" spans="1:44" x14ac:dyDescent="0.25">
      <c r="A15" t="str">
        <f t="shared" si="10"/>
        <v>46209E</v>
      </c>
      <c r="B15" s="51">
        <f t="shared" si="27"/>
        <v>46209</v>
      </c>
      <c r="C15" s="52" t="s">
        <v>88</v>
      </c>
      <c r="D15" s="91">
        <v>2265</v>
      </c>
      <c r="E15" s="62">
        <v>4.25</v>
      </c>
      <c r="F15" s="62">
        <v>8.06</v>
      </c>
      <c r="G15" s="62">
        <f t="shared" si="11"/>
        <v>96.262500000000003</v>
      </c>
      <c r="H15" s="63">
        <f t="shared" si="12"/>
        <v>182.559</v>
      </c>
      <c r="I15" s="143">
        <v>448.30000000000007</v>
      </c>
      <c r="J15" s="144">
        <v>461.74900000000008</v>
      </c>
      <c r="K15" s="145">
        <v>4.107606513495428</v>
      </c>
      <c r="L15" s="146">
        <v>8.0207004238233299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461.74900000000008</v>
      </c>
      <c r="S15" s="62">
        <f t="shared" si="14"/>
        <v>18.966832000000007</v>
      </c>
      <c r="T15" s="63">
        <f t="shared" si="15"/>
        <v>37.035503999999989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2726</v>
      </c>
      <c r="AI15" s="66">
        <v>4.22</v>
      </c>
      <c r="AJ15" s="66">
        <v>8.0500000000000007</v>
      </c>
      <c r="AK15" s="62">
        <f t="shared" si="20"/>
        <v>115.03719999999998</v>
      </c>
      <c r="AL15" s="72">
        <f t="shared" si="21"/>
        <v>219.44300000000001</v>
      </c>
      <c r="AM15" s="73">
        <f t="shared" si="22"/>
        <v>0.74900000000025102</v>
      </c>
      <c r="AN15" s="74">
        <f t="shared" si="23"/>
        <v>0.19213200000002928</v>
      </c>
      <c r="AO15" s="74">
        <f t="shared" si="24"/>
        <v>0.15150399999996012</v>
      </c>
      <c r="AP15" s="75">
        <f t="shared" si="25"/>
        <v>6.1361011797791687E-3</v>
      </c>
      <c r="AQ15" s="76">
        <f t="shared" si="9"/>
        <v>137.69977844382126</v>
      </c>
      <c r="AR15" s="90">
        <f t="shared" si="26"/>
        <v>0.74900000000025102</v>
      </c>
    </row>
    <row r="16" spans="1:44" x14ac:dyDescent="0.25">
      <c r="A16" t="str">
        <f t="shared" si="10"/>
        <v>46210M</v>
      </c>
      <c r="B16" s="51">
        <f t="shared" si="27"/>
        <v>46210</v>
      </c>
      <c r="C16" s="52" t="s">
        <v>87</v>
      </c>
      <c r="D16" s="91">
        <v>2726</v>
      </c>
      <c r="E16" s="62">
        <v>4.22</v>
      </c>
      <c r="F16" s="62">
        <v>8.0500000000000007</v>
      </c>
      <c r="G16" s="62">
        <f t="shared" si="11"/>
        <v>115.03719999999998</v>
      </c>
      <c r="H16" s="63">
        <f t="shared" si="12"/>
        <v>219.44300000000001</v>
      </c>
      <c r="I16" s="143">
        <v>366.80000000000007</v>
      </c>
      <c r="J16" s="144">
        <v>377.80400000000009</v>
      </c>
      <c r="K16" s="145">
        <v>4.4805070883315166</v>
      </c>
      <c r="L16" s="146">
        <v>8.3244547437295537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377.80400000000009</v>
      </c>
      <c r="S16" s="62">
        <f t="shared" si="14"/>
        <v>16.927535000000006</v>
      </c>
      <c r="T16" s="63">
        <f t="shared" si="15"/>
        <v>31.450123000000008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66">
        <v>3103</v>
      </c>
      <c r="AI16" s="66">
        <v>4.25</v>
      </c>
      <c r="AJ16" s="66">
        <v>8.08</v>
      </c>
      <c r="AK16" s="62">
        <f t="shared" si="20"/>
        <v>131.8775</v>
      </c>
      <c r="AL16" s="72">
        <f t="shared" si="21"/>
        <v>250.72239999999999</v>
      </c>
      <c r="AM16" s="73">
        <f t="shared" si="22"/>
        <v>0.80400000000008731</v>
      </c>
      <c r="AN16" s="74">
        <f t="shared" si="23"/>
        <v>8.7234999999992624E-2</v>
      </c>
      <c r="AO16" s="74">
        <f t="shared" si="24"/>
        <v>0.17072300000003793</v>
      </c>
      <c r="AP16" s="75">
        <f t="shared" si="25"/>
        <v>5.3321721361548856E-3</v>
      </c>
      <c r="AQ16" s="76">
        <f t="shared" si="9"/>
        <v>93.049275324056325</v>
      </c>
      <c r="AR16" s="90">
        <f t="shared" si="26"/>
        <v>0.80400000000008731</v>
      </c>
    </row>
    <row r="17" spans="1:49" x14ac:dyDescent="0.25">
      <c r="A17" t="str">
        <f t="shared" si="10"/>
        <v>46210E</v>
      </c>
      <c r="B17" s="51">
        <f t="shared" si="27"/>
        <v>46210</v>
      </c>
      <c r="C17" s="52" t="s">
        <v>88</v>
      </c>
      <c r="D17" s="91">
        <v>3103</v>
      </c>
      <c r="E17" s="62">
        <v>4.25</v>
      </c>
      <c r="F17" s="62">
        <v>8.08</v>
      </c>
      <c r="G17" s="62">
        <f t="shared" si="11"/>
        <v>131.8775</v>
      </c>
      <c r="H17" s="63">
        <f t="shared" si="12"/>
        <v>250.72239999999999</v>
      </c>
      <c r="I17" s="143">
        <v>683.59999999999991</v>
      </c>
      <c r="J17" s="144">
        <v>704.10799999999995</v>
      </c>
      <c r="K17" s="145">
        <v>3.9785254534815691</v>
      </c>
      <c r="L17" s="146">
        <v>7.987170860152137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704.10799999999995</v>
      </c>
      <c r="S17" s="62">
        <f t="shared" si="14"/>
        <v>28.013116000000004</v>
      </c>
      <c r="T17" s="63">
        <f t="shared" si="15"/>
        <v>56.238309000000008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3807</v>
      </c>
      <c r="AI17" s="66">
        <v>4.2</v>
      </c>
      <c r="AJ17" s="66">
        <v>8.06</v>
      </c>
      <c r="AK17" s="62">
        <f t="shared" si="20"/>
        <v>159.89400000000001</v>
      </c>
      <c r="AL17" s="72">
        <f t="shared" si="21"/>
        <v>306.8442</v>
      </c>
      <c r="AM17" s="73">
        <f t="shared" si="22"/>
        <v>0.10800000000017462</v>
      </c>
      <c r="AN17" s="74">
        <f t="shared" si="23"/>
        <v>-3.3840000000111559E-3</v>
      </c>
      <c r="AO17" s="74">
        <f t="shared" si="24"/>
        <v>0.11650900000000775</v>
      </c>
      <c r="AP17" s="75">
        <f t="shared" si="25"/>
        <v>1.342707259847493E-3</v>
      </c>
      <c r="AQ17" s="76">
        <f t="shared" si="9"/>
        <v>33.267286140233558</v>
      </c>
      <c r="AR17" s="90">
        <f t="shared" si="26"/>
        <v>0.10800000000017462</v>
      </c>
    </row>
    <row r="18" spans="1:49" x14ac:dyDescent="0.25">
      <c r="A18" t="str">
        <f t="shared" si="10"/>
        <v>46211M</v>
      </c>
      <c r="B18" s="51">
        <f t="shared" si="27"/>
        <v>46211</v>
      </c>
      <c r="C18" s="52" t="s">
        <v>87</v>
      </c>
      <c r="D18" s="91">
        <v>3807</v>
      </c>
      <c r="E18" s="62">
        <v>4.2</v>
      </c>
      <c r="F18" s="62">
        <v>8.06</v>
      </c>
      <c r="G18" s="62">
        <f t="shared" si="11"/>
        <v>159.89400000000001</v>
      </c>
      <c r="H18" s="63">
        <f t="shared" si="12"/>
        <v>306.8442</v>
      </c>
      <c r="I18" s="143">
        <v>414.09999999999991</v>
      </c>
      <c r="J18" s="144">
        <v>426.52299999999991</v>
      </c>
      <c r="K18" s="145">
        <v>4.0799323834822525</v>
      </c>
      <c r="L18" s="146">
        <v>8.1300652016421182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426.52299999999991</v>
      </c>
      <c r="S18" s="62">
        <f t="shared" si="14"/>
        <v>17.401850000000003</v>
      </c>
      <c r="T18" s="63">
        <f t="shared" si="15"/>
        <v>34.676598000000006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4233</v>
      </c>
      <c r="AI18" s="66">
        <v>4.18</v>
      </c>
      <c r="AJ18" s="66">
        <v>8.06</v>
      </c>
      <c r="AK18" s="62">
        <f t="shared" si="20"/>
        <v>176.93939999999998</v>
      </c>
      <c r="AL18" s="72">
        <f t="shared" si="21"/>
        <v>341.1798</v>
      </c>
      <c r="AM18" s="73">
        <f t="shared" si="22"/>
        <v>0.52300000000013824</v>
      </c>
      <c r="AN18" s="74">
        <f t="shared" si="23"/>
        <v>0.35645000000002369</v>
      </c>
      <c r="AO18" s="74">
        <f t="shared" si="24"/>
        <v>0.34099800000001323</v>
      </c>
      <c r="AP18" s="75">
        <f t="shared" si="25"/>
        <v>1.3392257772352142E-2</v>
      </c>
      <c r="AQ18" s="76">
        <f t="shared" si="9"/>
        <v>273.41169143497626</v>
      </c>
      <c r="AR18" s="90">
        <f t="shared" si="26"/>
        <v>0.52300000000013824</v>
      </c>
    </row>
    <row r="19" spans="1:49" x14ac:dyDescent="0.25">
      <c r="A19" t="str">
        <f t="shared" si="10"/>
        <v>46211E</v>
      </c>
      <c r="B19" s="51">
        <f t="shared" si="27"/>
        <v>46211</v>
      </c>
      <c r="C19" s="52" t="s">
        <v>88</v>
      </c>
      <c r="D19" s="91">
        <v>4233</v>
      </c>
      <c r="E19" s="62">
        <v>4.18</v>
      </c>
      <c r="F19" s="62">
        <v>8.06</v>
      </c>
      <c r="G19" s="62">
        <f t="shared" si="11"/>
        <v>176.93939999999998</v>
      </c>
      <c r="H19" s="63">
        <f t="shared" si="12"/>
        <v>341.1798</v>
      </c>
      <c r="I19" s="143">
        <v>786.90000000000009</v>
      </c>
      <c r="J19" s="144">
        <v>810.50700000000006</v>
      </c>
      <c r="K19" s="145">
        <v>4.0060871775320885</v>
      </c>
      <c r="L19" s="146">
        <v>7.9844325835557246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810.50700000000006</v>
      </c>
      <c r="S19" s="62">
        <f t="shared" si="14"/>
        <v>32.469617000000007</v>
      </c>
      <c r="T19" s="63">
        <f t="shared" si="15"/>
        <v>64.714384999999993</v>
      </c>
      <c r="U19" s="64" t="s">
        <v>207</v>
      </c>
      <c r="V19" s="65" t="s">
        <v>420</v>
      </c>
      <c r="W19" s="66" t="s">
        <v>178</v>
      </c>
      <c r="X19" s="67">
        <v>3188</v>
      </c>
      <c r="Y19" s="68">
        <v>4</v>
      </c>
      <c r="Z19" s="68">
        <v>8</v>
      </c>
      <c r="AA19" s="62">
        <f t="shared" si="16"/>
        <v>127.52</v>
      </c>
      <c r="AB19" s="63">
        <f t="shared" si="17"/>
        <v>255.04</v>
      </c>
      <c r="AC19" s="69">
        <v>3178</v>
      </c>
      <c r="AD19" s="70">
        <v>3.95</v>
      </c>
      <c r="AE19" s="70">
        <v>8</v>
      </c>
      <c r="AF19" s="62">
        <f t="shared" si="18"/>
        <v>125.53100000000001</v>
      </c>
      <c r="AG19" s="63">
        <f t="shared" si="19"/>
        <v>254.24</v>
      </c>
      <c r="AH19" s="66">
        <v>1855</v>
      </c>
      <c r="AI19" s="66">
        <v>4.1500000000000004</v>
      </c>
      <c r="AJ19" s="66">
        <v>8.0399999999999991</v>
      </c>
      <c r="AK19" s="62">
        <f t="shared" si="20"/>
        <v>76.982500000000002</v>
      </c>
      <c r="AL19" s="72">
        <f t="shared" si="21"/>
        <v>149.14199999999997</v>
      </c>
      <c r="AM19" s="73">
        <f t="shared" si="22"/>
        <v>10.506999999999607</v>
      </c>
      <c r="AN19" s="74">
        <f t="shared" si="23"/>
        <v>6.8955169999999697</v>
      </c>
      <c r="AO19" s="74">
        <f t="shared" si="24"/>
        <v>2.5121850000000165</v>
      </c>
      <c r="AP19" s="75">
        <f t="shared" si="25"/>
        <v>9.6802990269941616E-2</v>
      </c>
      <c r="AQ19" s="76">
        <f t="shared" si="9"/>
        <v>4065.8973856766142</v>
      </c>
      <c r="AR19" s="90">
        <f t="shared" si="26"/>
        <v>0.5069999999996071</v>
      </c>
    </row>
    <row r="20" spans="1:49" x14ac:dyDescent="0.25">
      <c r="A20" t="str">
        <f t="shared" si="10"/>
        <v>46212M</v>
      </c>
      <c r="B20" s="51">
        <f t="shared" si="27"/>
        <v>46212</v>
      </c>
      <c r="C20" s="52" t="s">
        <v>87</v>
      </c>
      <c r="D20" s="91">
        <v>1855</v>
      </c>
      <c r="E20" s="62">
        <v>4.1500000000000004</v>
      </c>
      <c r="F20" s="62">
        <v>8.0399999999999991</v>
      </c>
      <c r="G20" s="62">
        <f t="shared" si="11"/>
        <v>76.982500000000002</v>
      </c>
      <c r="H20" s="63">
        <f t="shared" si="12"/>
        <v>149.14199999999997</v>
      </c>
      <c r="I20" s="143">
        <v>439.40000000000003</v>
      </c>
      <c r="J20" s="144">
        <v>452.58200000000005</v>
      </c>
      <c r="K20" s="145">
        <v>4.0785844333181611</v>
      </c>
      <c r="L20" s="146">
        <v>8.1679107874374139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452.58200000000005</v>
      </c>
      <c r="S20" s="62">
        <f t="shared" si="14"/>
        <v>18.458939000000001</v>
      </c>
      <c r="T20" s="63">
        <f t="shared" si="15"/>
        <v>36.966494000000004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66">
        <v>2307</v>
      </c>
      <c r="AI20" s="66">
        <v>4.13</v>
      </c>
      <c r="AJ20" s="66">
        <v>8.06</v>
      </c>
      <c r="AK20" s="62">
        <f t="shared" si="20"/>
        <v>95.279099999999985</v>
      </c>
      <c r="AL20" s="72">
        <f t="shared" si="21"/>
        <v>185.94420000000002</v>
      </c>
      <c r="AM20" s="73">
        <f t="shared" si="22"/>
        <v>0.58199999999987995</v>
      </c>
      <c r="AN20" s="74">
        <f t="shared" si="23"/>
        <v>0.16233900000001711</v>
      </c>
      <c r="AO20" s="74">
        <f t="shared" si="24"/>
        <v>0.16429399999995553</v>
      </c>
      <c r="AP20" s="75">
        <f t="shared" si="25"/>
        <v>5.8931970815631262E-3</v>
      </c>
      <c r="AQ20" s="76">
        <f t="shared" si="9"/>
        <v>127.21376342503856</v>
      </c>
      <c r="AR20" s="90">
        <f t="shared" si="26"/>
        <v>0.58199999999987995</v>
      </c>
    </row>
    <row r="21" spans="1:49" x14ac:dyDescent="0.25">
      <c r="A21" t="str">
        <f t="shared" si="10"/>
        <v>46212E</v>
      </c>
      <c r="B21" s="51">
        <f t="shared" si="27"/>
        <v>46212</v>
      </c>
      <c r="C21" s="52" t="s">
        <v>88</v>
      </c>
      <c r="D21" s="91">
        <v>2307</v>
      </c>
      <c r="E21" s="62">
        <v>4.13</v>
      </c>
      <c r="F21" s="62">
        <v>8.06</v>
      </c>
      <c r="G21" s="62">
        <f t="shared" si="11"/>
        <v>95.279099999999985</v>
      </c>
      <c r="H21" s="63">
        <f t="shared" si="12"/>
        <v>185.94420000000002</v>
      </c>
      <c r="I21" s="143">
        <v>684.89999999999986</v>
      </c>
      <c r="J21" s="144">
        <v>705.44699999999989</v>
      </c>
      <c r="K21" s="145">
        <v>3.9424587531026423</v>
      </c>
      <c r="L21" s="146">
        <v>8.0902321506789292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705.44699999999989</v>
      </c>
      <c r="S21" s="62">
        <f t="shared" si="14"/>
        <v>27.811956999999992</v>
      </c>
      <c r="T21" s="63">
        <f t="shared" si="15"/>
        <v>57.072299999999977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3012</v>
      </c>
      <c r="AI21" s="66">
        <v>4.08</v>
      </c>
      <c r="AJ21" s="66">
        <v>8.06</v>
      </c>
      <c r="AK21" s="62">
        <f t="shared" si="20"/>
        <v>122.88960000000002</v>
      </c>
      <c r="AL21" s="72">
        <f t="shared" si="21"/>
        <v>242.7672</v>
      </c>
      <c r="AM21" s="73">
        <f t="shared" si="22"/>
        <v>0.44700000000011642</v>
      </c>
      <c r="AN21" s="74">
        <f t="shared" si="23"/>
        <v>0.20145699999996225</v>
      </c>
      <c r="AO21" s="74">
        <f t="shared" si="24"/>
        <v>0.24930000000000518</v>
      </c>
      <c r="AP21" s="75">
        <f t="shared" si="25"/>
        <v>5.3102544091299239E-3</v>
      </c>
      <c r="AQ21" s="76">
        <f t="shared" si="9"/>
        <v>171.46977580925181</v>
      </c>
      <c r="AR21" s="90">
        <f t="shared" si="26"/>
        <v>0.44700000000011642</v>
      </c>
    </row>
    <row r="22" spans="1:49" x14ac:dyDescent="0.25">
      <c r="A22" t="str">
        <f t="shared" si="10"/>
        <v>46213M</v>
      </c>
      <c r="B22" s="51">
        <f t="shared" si="27"/>
        <v>46213</v>
      </c>
      <c r="C22" s="52" t="s">
        <v>87</v>
      </c>
      <c r="D22" s="91"/>
      <c r="E22" s="62"/>
      <c r="F22" s="62"/>
      <c r="G22" s="62">
        <f t="shared" si="11"/>
        <v>0</v>
      </c>
      <c r="H22" s="63">
        <f t="shared" si="12"/>
        <v>0</v>
      </c>
      <c r="I22" s="143"/>
      <c r="J22" s="144"/>
      <c r="K22" s="145"/>
      <c r="L22" s="146"/>
      <c r="M22" s="58"/>
      <c r="N22" s="58"/>
      <c r="O22" s="59"/>
      <c r="P22" s="56"/>
      <c r="Q22" s="60"/>
      <c r="R22" s="61">
        <f t="shared" si="13"/>
        <v>0</v>
      </c>
      <c r="S22" s="62">
        <f t="shared" si="14"/>
        <v>0</v>
      </c>
      <c r="T22" s="63">
        <f t="shared" si="15"/>
        <v>0</v>
      </c>
      <c r="U22" s="64"/>
      <c r="V22" s="65"/>
      <c r="W22" s="66"/>
      <c r="X22" s="67"/>
      <c r="Y22" s="68"/>
      <c r="Z22" s="68"/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/>
      <c r="AI22" s="66"/>
      <c r="AJ22" s="66"/>
      <c r="AK22" s="62">
        <f t="shared" si="20"/>
        <v>0</v>
      </c>
      <c r="AL22" s="72">
        <f t="shared" si="21"/>
        <v>0</v>
      </c>
      <c r="AM22" s="73">
        <f t="shared" si="22"/>
        <v>0</v>
      </c>
      <c r="AN22" s="74">
        <f t="shared" si="23"/>
        <v>0</v>
      </c>
      <c r="AO22" s="74">
        <f t="shared" si="24"/>
        <v>0</v>
      </c>
      <c r="AP22" s="75" t="e">
        <f t="shared" si="25"/>
        <v>#DIV/0!</v>
      </c>
      <c r="AQ22" s="76">
        <f t="shared" si="9"/>
        <v>0</v>
      </c>
      <c r="AR22" s="90">
        <f t="shared" si="26"/>
        <v>0</v>
      </c>
    </row>
    <row r="23" spans="1:49" x14ac:dyDescent="0.25">
      <c r="A23" t="str">
        <f t="shared" si="10"/>
        <v>46213E</v>
      </c>
      <c r="B23" s="51">
        <f t="shared" si="27"/>
        <v>46213</v>
      </c>
      <c r="C23" s="52" t="s">
        <v>88</v>
      </c>
      <c r="D23" s="91"/>
      <c r="E23" s="62"/>
      <c r="F23" s="62"/>
      <c r="G23" s="62">
        <f t="shared" si="11"/>
        <v>0</v>
      </c>
      <c r="H23" s="63">
        <f t="shared" si="12"/>
        <v>0</v>
      </c>
      <c r="I23" s="143"/>
      <c r="J23" s="144"/>
      <c r="K23" s="145"/>
      <c r="L23" s="146"/>
      <c r="M23" s="58"/>
      <c r="N23" s="58"/>
      <c r="O23" s="59"/>
      <c r="P23" s="56"/>
      <c r="Q23" s="60"/>
      <c r="R23" s="61">
        <f t="shared" si="13"/>
        <v>0</v>
      </c>
      <c r="S23" s="62">
        <f t="shared" si="14"/>
        <v>0</v>
      </c>
      <c r="T23" s="63">
        <f t="shared" si="15"/>
        <v>0</v>
      </c>
      <c r="U23" s="64"/>
      <c r="V23" s="65"/>
      <c r="W23" s="66"/>
      <c r="X23" s="67"/>
      <c r="Y23" s="68"/>
      <c r="Z23" s="68"/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/>
      <c r="AI23" s="66"/>
      <c r="AJ23" s="66"/>
      <c r="AK23" s="62">
        <f t="shared" si="20"/>
        <v>0</v>
      </c>
      <c r="AL23" s="72">
        <f t="shared" si="21"/>
        <v>0</v>
      </c>
      <c r="AM23" s="73">
        <f t="shared" si="22"/>
        <v>0</v>
      </c>
      <c r="AN23" s="74">
        <f t="shared" si="23"/>
        <v>0</v>
      </c>
      <c r="AO23" s="74">
        <f t="shared" si="24"/>
        <v>0</v>
      </c>
      <c r="AP23" s="75" t="e">
        <f t="shared" si="25"/>
        <v>#DIV/0!</v>
      </c>
      <c r="AQ23" s="76">
        <f t="shared" si="9"/>
        <v>0</v>
      </c>
      <c r="AR23" s="90">
        <f t="shared" si="26"/>
        <v>0</v>
      </c>
    </row>
    <row r="24" spans="1:49" x14ac:dyDescent="0.25">
      <c r="A24" t="str">
        <f t="shared" si="10"/>
        <v>46214M</v>
      </c>
      <c r="B24" s="51">
        <f t="shared" si="27"/>
        <v>46214</v>
      </c>
      <c r="C24" s="52" t="s">
        <v>87</v>
      </c>
      <c r="D24" s="91"/>
      <c r="E24" s="62"/>
      <c r="F24" s="62"/>
      <c r="G24" s="62">
        <f t="shared" si="11"/>
        <v>0</v>
      </c>
      <c r="H24" s="63">
        <f t="shared" si="12"/>
        <v>0</v>
      </c>
      <c r="I24" s="143"/>
      <c r="J24" s="144"/>
      <c r="K24" s="145"/>
      <c r="L24" s="146"/>
      <c r="M24" s="58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3"/>
        <v>0</v>
      </c>
      <c r="AO24" s="74">
        <f t="shared" si="24"/>
        <v>0</v>
      </c>
      <c r="AP24" s="75" t="e">
        <f t="shared" si="25"/>
        <v>#DIV/0!</v>
      </c>
      <c r="AQ24" s="76">
        <f t="shared" si="9"/>
        <v>0</v>
      </c>
      <c r="AR24" s="90">
        <f t="shared" si="26"/>
        <v>0</v>
      </c>
    </row>
    <row r="25" spans="1:49" x14ac:dyDescent="0.25">
      <c r="A25" t="str">
        <f t="shared" si="10"/>
        <v>46214E</v>
      </c>
      <c r="B25" s="51">
        <f t="shared" si="27"/>
        <v>46214</v>
      </c>
      <c r="C25" s="52" t="s">
        <v>88</v>
      </c>
      <c r="D25" s="91"/>
      <c r="E25" s="62"/>
      <c r="F25" s="62"/>
      <c r="G25" s="62">
        <f t="shared" si="11"/>
        <v>0</v>
      </c>
      <c r="H25" s="63">
        <f t="shared" si="12"/>
        <v>0</v>
      </c>
      <c r="I25" s="143"/>
      <c r="J25" s="144"/>
      <c r="K25" s="145"/>
      <c r="L25" s="146"/>
      <c r="M25" s="58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3"/>
        <v>0</v>
      </c>
      <c r="AO25" s="74">
        <f t="shared" si="24"/>
        <v>0</v>
      </c>
      <c r="AP25" s="75" t="e">
        <f t="shared" si="25"/>
        <v>#DIV/0!</v>
      </c>
      <c r="AQ25" s="76">
        <f t="shared" si="9"/>
        <v>0</v>
      </c>
      <c r="AR25" s="90">
        <f t="shared" si="26"/>
        <v>0</v>
      </c>
    </row>
    <row r="26" spans="1:49" x14ac:dyDescent="0.25">
      <c r="A26" t="str">
        <f t="shared" si="10"/>
        <v>46215M</v>
      </c>
      <c r="B26" s="51">
        <f t="shared" si="27"/>
        <v>46215</v>
      </c>
      <c r="C26" s="52" t="s">
        <v>87</v>
      </c>
      <c r="D26" s="91"/>
      <c r="E26" s="62"/>
      <c r="F26" s="62"/>
      <c r="G26" s="62">
        <f t="shared" si="11"/>
        <v>0</v>
      </c>
      <c r="H26" s="63">
        <f t="shared" si="12"/>
        <v>0</v>
      </c>
      <c r="I26" s="143"/>
      <c r="J26" s="144"/>
      <c r="K26" s="145"/>
      <c r="L26" s="146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9"/>
        <v>0</v>
      </c>
      <c r="AR26" s="90">
        <f t="shared" si="26"/>
        <v>0</v>
      </c>
    </row>
    <row r="27" spans="1:49" x14ac:dyDescent="0.25">
      <c r="A27" t="str">
        <f t="shared" si="10"/>
        <v>46215E</v>
      </c>
      <c r="B27" s="51">
        <f t="shared" si="27"/>
        <v>46215</v>
      </c>
      <c r="C27" s="52" t="s">
        <v>88</v>
      </c>
      <c r="D27" s="91"/>
      <c r="E27" s="62"/>
      <c r="F27" s="62"/>
      <c r="G27" s="62">
        <f t="shared" si="11"/>
        <v>0</v>
      </c>
      <c r="H27" s="63">
        <f t="shared" si="12"/>
        <v>0</v>
      </c>
      <c r="I27" s="143"/>
      <c r="J27" s="144"/>
      <c r="K27" s="145"/>
      <c r="L27" s="146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9"/>
        <v>0</v>
      </c>
      <c r="AR27" s="90">
        <f t="shared" si="26"/>
        <v>0</v>
      </c>
    </row>
    <row r="28" spans="1:49" x14ac:dyDescent="0.25">
      <c r="A28" t="str">
        <f t="shared" si="10"/>
        <v>46216M</v>
      </c>
      <c r="B28" s="51">
        <f t="shared" si="27"/>
        <v>46216</v>
      </c>
      <c r="C28" s="52" t="s">
        <v>87</v>
      </c>
      <c r="D28" s="91"/>
      <c r="E28" s="62"/>
      <c r="F28" s="62"/>
      <c r="G28" s="62">
        <f t="shared" si="11"/>
        <v>0</v>
      </c>
      <c r="H28" s="63">
        <f t="shared" si="12"/>
        <v>0</v>
      </c>
      <c r="I28" s="143"/>
      <c r="J28" s="144"/>
      <c r="K28" s="145"/>
      <c r="L28" s="146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9"/>
        <v>0</v>
      </c>
      <c r="AR28" s="90">
        <f t="shared" si="26"/>
        <v>0</v>
      </c>
    </row>
    <row r="29" spans="1:49" x14ac:dyDescent="0.25">
      <c r="A29" t="str">
        <f t="shared" si="10"/>
        <v>46216E</v>
      </c>
      <c r="B29" s="51">
        <f t="shared" si="27"/>
        <v>46216</v>
      </c>
      <c r="C29" s="52" t="s">
        <v>88</v>
      </c>
      <c r="D29" s="91"/>
      <c r="E29" s="62"/>
      <c r="F29" s="62"/>
      <c r="G29" s="62">
        <f t="shared" si="11"/>
        <v>0</v>
      </c>
      <c r="H29" s="63">
        <f t="shared" si="12"/>
        <v>0</v>
      </c>
      <c r="I29" s="143"/>
      <c r="J29" s="144"/>
      <c r="K29" s="145"/>
      <c r="L29" s="146"/>
      <c r="M29" s="58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9"/>
        <v>0</v>
      </c>
      <c r="AR29" s="90">
        <f t="shared" si="26"/>
        <v>0</v>
      </c>
      <c r="AS29" s="90">
        <f>SUM(J16:J29)</f>
        <v>3476.9709999999995</v>
      </c>
      <c r="AT29" s="83">
        <f>SUM(AM16:AM29)</f>
        <v>12.971000000000004</v>
      </c>
      <c r="AU29" s="83">
        <f>SUM(AN16:AN29)</f>
        <v>7.6996139999999542</v>
      </c>
      <c r="AV29" s="83">
        <f>SUM(AO16:AO29)</f>
        <v>3.5540090000000362</v>
      </c>
      <c r="AW29" s="83">
        <f>-SUM(AQ16:AQ29)</f>
        <v>-4764.3091778101707</v>
      </c>
    </row>
    <row r="30" spans="1:49" x14ac:dyDescent="0.25">
      <c r="A30" t="str">
        <f t="shared" si="10"/>
        <v>46217M</v>
      </c>
      <c r="B30" s="51">
        <f t="shared" si="27"/>
        <v>46217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143"/>
      <c r="J30" s="144"/>
      <c r="K30" s="145"/>
      <c r="L30" s="146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9"/>
        <v>0</v>
      </c>
      <c r="AR30" s="90">
        <f t="shared" si="26"/>
        <v>0</v>
      </c>
    </row>
    <row r="31" spans="1:49" x14ac:dyDescent="0.25">
      <c r="A31" t="str">
        <f t="shared" si="10"/>
        <v>46217E</v>
      </c>
      <c r="B31" s="51">
        <f t="shared" si="27"/>
        <v>46217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143"/>
      <c r="J31" s="144"/>
      <c r="K31" s="145"/>
      <c r="L31" s="146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6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9"/>
        <v>0</v>
      </c>
      <c r="AR31" s="90">
        <f t="shared" si="26"/>
        <v>0</v>
      </c>
    </row>
    <row r="32" spans="1:49" x14ac:dyDescent="0.25">
      <c r="A32" t="str">
        <f t="shared" si="10"/>
        <v>46218M</v>
      </c>
      <c r="B32" s="51">
        <f t="shared" si="27"/>
        <v>46218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143"/>
      <c r="J32" s="144"/>
      <c r="K32" s="145"/>
      <c r="L32" s="146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9"/>
        <v>0</v>
      </c>
      <c r="AR32" s="90">
        <f t="shared" si="26"/>
        <v>0</v>
      </c>
    </row>
    <row r="33" spans="1:44" x14ac:dyDescent="0.25">
      <c r="A33" t="str">
        <f t="shared" si="10"/>
        <v>46218E</v>
      </c>
      <c r="B33" s="51">
        <f t="shared" si="27"/>
        <v>46218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143"/>
      <c r="J33" s="144"/>
      <c r="K33" s="145"/>
      <c r="L33" s="146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9"/>
        <v>0</v>
      </c>
      <c r="AR33" s="90">
        <f t="shared" si="26"/>
        <v>0</v>
      </c>
    </row>
    <row r="34" spans="1:44" x14ac:dyDescent="0.25">
      <c r="A34" t="str">
        <f t="shared" si="10"/>
        <v>46219M</v>
      </c>
      <c r="B34" s="51">
        <f t="shared" si="27"/>
        <v>46219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143"/>
      <c r="J34" s="144"/>
      <c r="K34" s="145"/>
      <c r="L34" s="146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9"/>
        <v>0</v>
      </c>
      <c r="AR34" s="90">
        <f t="shared" si="26"/>
        <v>0</v>
      </c>
    </row>
    <row r="35" spans="1:44" x14ac:dyDescent="0.25">
      <c r="A35" t="str">
        <f t="shared" si="10"/>
        <v>46219E</v>
      </c>
      <c r="B35" s="51">
        <f t="shared" si="27"/>
        <v>46219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143"/>
      <c r="J35" s="144"/>
      <c r="K35" s="145"/>
      <c r="L35" s="146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9"/>
        <v>0</v>
      </c>
      <c r="AR35" s="90">
        <f t="shared" si="26"/>
        <v>0</v>
      </c>
    </row>
    <row r="36" spans="1:44" x14ac:dyDescent="0.25">
      <c r="A36" t="str">
        <f t="shared" si="10"/>
        <v>46220M</v>
      </c>
      <c r="B36" s="51">
        <f t="shared" si="27"/>
        <v>46220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143"/>
      <c r="J36" s="144"/>
      <c r="K36" s="145"/>
      <c r="L36" s="146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6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9"/>
        <v>0</v>
      </c>
      <c r="AR36" s="90">
        <f t="shared" si="26"/>
        <v>0</v>
      </c>
    </row>
    <row r="37" spans="1:44" x14ac:dyDescent="0.25">
      <c r="A37" t="str">
        <f t="shared" si="10"/>
        <v>46220E</v>
      </c>
      <c r="B37" s="51">
        <f t="shared" si="27"/>
        <v>46220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143"/>
      <c r="J37" s="144"/>
      <c r="K37" s="145"/>
      <c r="L37" s="146"/>
      <c r="M37" s="58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9"/>
        <v>0</v>
      </c>
      <c r="AR37" s="90">
        <f t="shared" si="26"/>
        <v>0</v>
      </c>
    </row>
    <row r="38" spans="1:44" x14ac:dyDescent="0.25">
      <c r="A38" t="str">
        <f t="shared" si="10"/>
        <v>46221M</v>
      </c>
      <c r="B38" s="51">
        <f t="shared" si="27"/>
        <v>46221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143"/>
      <c r="J38" s="144"/>
      <c r="K38" s="145"/>
      <c r="L38" s="146"/>
      <c r="M38" s="58"/>
      <c r="N38" s="58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9"/>
        <v>0</v>
      </c>
      <c r="AR38" s="90">
        <f t="shared" si="26"/>
        <v>0</v>
      </c>
    </row>
    <row r="39" spans="1:44" x14ac:dyDescent="0.25">
      <c r="A39" t="str">
        <f t="shared" si="10"/>
        <v>46221E</v>
      </c>
      <c r="B39" s="51">
        <f t="shared" si="27"/>
        <v>46221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143"/>
      <c r="J39" s="144"/>
      <c r="K39" s="145"/>
      <c r="L39" s="146"/>
      <c r="M39" s="58"/>
      <c r="N39" s="58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9"/>
        <v>0</v>
      </c>
      <c r="AR39" s="90">
        <f t="shared" si="26"/>
        <v>0</v>
      </c>
    </row>
    <row r="40" spans="1:44" x14ac:dyDescent="0.25">
      <c r="A40" t="str">
        <f t="shared" si="10"/>
        <v>46222M</v>
      </c>
      <c r="B40" s="51">
        <f t="shared" si="27"/>
        <v>46222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43"/>
      <c r="J40" s="144"/>
      <c r="K40" s="145"/>
      <c r="L40" s="146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9"/>
        <v>0</v>
      </c>
      <c r="AR40" s="90">
        <f t="shared" si="26"/>
        <v>0</v>
      </c>
    </row>
    <row r="41" spans="1:44" x14ac:dyDescent="0.25">
      <c r="A41" t="str">
        <f t="shared" si="10"/>
        <v>46222E</v>
      </c>
      <c r="B41" s="51">
        <f t="shared" si="27"/>
        <v>46222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43"/>
      <c r="J41" s="144"/>
      <c r="K41" s="145"/>
      <c r="L41" s="146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9"/>
        <v>0</v>
      </c>
      <c r="AR41" s="90">
        <f t="shared" si="26"/>
        <v>0</v>
      </c>
    </row>
    <row r="42" spans="1:44" x14ac:dyDescent="0.25">
      <c r="A42" t="str">
        <f t="shared" si="10"/>
        <v>46223M</v>
      </c>
      <c r="B42" s="51">
        <f t="shared" si="27"/>
        <v>46223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43"/>
      <c r="J42" s="144"/>
      <c r="K42" s="145"/>
      <c r="L42" s="146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9"/>
        <v>0</v>
      </c>
      <c r="AR42" s="90">
        <f t="shared" si="26"/>
        <v>0</v>
      </c>
    </row>
    <row r="43" spans="1:44" x14ac:dyDescent="0.25">
      <c r="A43" t="str">
        <f t="shared" si="10"/>
        <v>46223E</v>
      </c>
      <c r="B43" s="51">
        <f t="shared" si="27"/>
        <v>46223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43"/>
      <c r="J43" s="144"/>
      <c r="K43" s="145"/>
      <c r="L43" s="146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9"/>
        <v>0</v>
      </c>
      <c r="AR43" s="90">
        <f t="shared" si="26"/>
        <v>0</v>
      </c>
    </row>
    <row r="44" spans="1:44" x14ac:dyDescent="0.25">
      <c r="A44" t="str">
        <f t="shared" si="10"/>
        <v>46224M</v>
      </c>
      <c r="B44" s="51">
        <f t="shared" si="27"/>
        <v>46224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43"/>
      <c r="J44" s="144"/>
      <c r="K44" s="145"/>
      <c r="L44" s="146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9"/>
        <v>0</v>
      </c>
      <c r="AR44" s="90">
        <f t="shared" si="26"/>
        <v>0</v>
      </c>
    </row>
    <row r="45" spans="1:44" x14ac:dyDescent="0.25">
      <c r="A45" t="str">
        <f t="shared" si="10"/>
        <v>46224E</v>
      </c>
      <c r="B45" s="51">
        <f t="shared" si="27"/>
        <v>46224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43"/>
      <c r="J45" s="144"/>
      <c r="K45" s="145"/>
      <c r="L45" s="146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9"/>
        <v>0</v>
      </c>
      <c r="AR45" s="90">
        <f t="shared" si="26"/>
        <v>0</v>
      </c>
    </row>
    <row r="46" spans="1:44" x14ac:dyDescent="0.25">
      <c r="A46" t="str">
        <f t="shared" si="10"/>
        <v>46225M</v>
      </c>
      <c r="B46" s="51">
        <f t="shared" si="27"/>
        <v>46225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143"/>
      <c r="J46" s="144"/>
      <c r="K46" s="145"/>
      <c r="L46" s="146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9"/>
        <v>0</v>
      </c>
      <c r="AR46" s="90">
        <f>(D46+J46+O46)-(X46+AH46)</f>
        <v>0</v>
      </c>
    </row>
    <row r="47" spans="1:44" x14ac:dyDescent="0.25">
      <c r="A47" t="str">
        <f t="shared" si="10"/>
        <v>46225E</v>
      </c>
      <c r="B47" s="51">
        <f t="shared" si="27"/>
        <v>46225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143"/>
      <c r="J47" s="144"/>
      <c r="K47" s="145"/>
      <c r="L47" s="146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9"/>
        <v>0</v>
      </c>
      <c r="AR47" s="90">
        <f t="shared" si="26"/>
        <v>0</v>
      </c>
    </row>
    <row r="48" spans="1:44" x14ac:dyDescent="0.25">
      <c r="A48" t="str">
        <f t="shared" si="10"/>
        <v>46226M</v>
      </c>
      <c r="B48" s="51">
        <f t="shared" si="27"/>
        <v>46226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143"/>
      <c r="J48" s="144"/>
      <c r="K48" s="145"/>
      <c r="L48" s="146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9"/>
        <v>0</v>
      </c>
      <c r="AR48" s="90">
        <f t="shared" si="26"/>
        <v>0</v>
      </c>
    </row>
    <row r="49" spans="1:49" x14ac:dyDescent="0.25">
      <c r="A49" t="str">
        <f t="shared" si="10"/>
        <v>46226E</v>
      </c>
      <c r="B49" s="51">
        <f t="shared" si="27"/>
        <v>46226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143"/>
      <c r="J49" s="144"/>
      <c r="K49" s="145"/>
      <c r="L49" s="146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9"/>
        <v>0</v>
      </c>
      <c r="AR49" s="90">
        <f t="shared" si="26"/>
        <v>0</v>
      </c>
    </row>
    <row r="50" spans="1:49" x14ac:dyDescent="0.25">
      <c r="A50" t="str">
        <f t="shared" si="10"/>
        <v>46227M</v>
      </c>
      <c r="B50" s="51">
        <f t="shared" si="27"/>
        <v>46227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143"/>
      <c r="J50" s="144"/>
      <c r="K50" s="145"/>
      <c r="L50" s="146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9"/>
        <v>0</v>
      </c>
      <c r="AR50" s="90">
        <f t="shared" ref="AR50:AR59" si="28">(D50+J50+O50)-(X50+AH50)</f>
        <v>0</v>
      </c>
    </row>
    <row r="51" spans="1:49" x14ac:dyDescent="0.25">
      <c r="A51" t="str">
        <f t="shared" si="10"/>
        <v>46227E</v>
      </c>
      <c r="B51" s="51">
        <f t="shared" si="27"/>
        <v>46227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143"/>
      <c r="J51" s="144"/>
      <c r="K51" s="145"/>
      <c r="L51" s="146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9"/>
        <v>0</v>
      </c>
      <c r="AR51" s="90">
        <f t="shared" si="28"/>
        <v>0</v>
      </c>
      <c r="AS51" s="90">
        <f>SUM(J38:J51)</f>
        <v>0</v>
      </c>
      <c r="AT51" s="83">
        <f>SUM(AM38:AM51)</f>
        <v>0</v>
      </c>
      <c r="AU51" s="83">
        <f>SUM(AN38:AN51)</f>
        <v>0</v>
      </c>
      <c r="AV51" s="83">
        <f>SUM(AO38:AO51)</f>
        <v>0</v>
      </c>
      <c r="AW51" s="83">
        <f>-SUM(AQ38:AQ51)</f>
        <v>0</v>
      </c>
    </row>
    <row r="52" spans="1:49" x14ac:dyDescent="0.25">
      <c r="A52" t="str">
        <f t="shared" si="10"/>
        <v>46228M</v>
      </c>
      <c r="B52" s="51">
        <f t="shared" si="27"/>
        <v>46228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143"/>
      <c r="J52" s="144"/>
      <c r="K52" s="145"/>
      <c r="L52" s="146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9"/>
        <v>0</v>
      </c>
      <c r="AR52" s="90">
        <f t="shared" si="28"/>
        <v>0</v>
      </c>
    </row>
    <row r="53" spans="1:49" x14ac:dyDescent="0.25">
      <c r="A53" t="str">
        <f t="shared" si="10"/>
        <v>46228E</v>
      </c>
      <c r="B53" s="51">
        <f t="shared" si="27"/>
        <v>46228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143"/>
      <c r="J53" s="144"/>
      <c r="K53" s="145"/>
      <c r="L53" s="146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9"/>
        <v>0</v>
      </c>
      <c r="AR53" s="90">
        <f t="shared" si="28"/>
        <v>0</v>
      </c>
    </row>
    <row r="54" spans="1:49" x14ac:dyDescent="0.25">
      <c r="A54" t="str">
        <f t="shared" si="10"/>
        <v>46229M</v>
      </c>
      <c r="B54" s="51">
        <f t="shared" si="27"/>
        <v>46229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143"/>
      <c r="J54" s="144"/>
      <c r="K54" s="145"/>
      <c r="L54" s="146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9"/>
        <v>0</v>
      </c>
      <c r="AR54" s="90">
        <f t="shared" si="28"/>
        <v>0</v>
      </c>
    </row>
    <row r="55" spans="1:49" x14ac:dyDescent="0.25">
      <c r="A55" t="str">
        <f t="shared" si="10"/>
        <v>46229E</v>
      </c>
      <c r="B55" s="51">
        <f t="shared" si="27"/>
        <v>46229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143"/>
      <c r="J55" s="144"/>
      <c r="K55" s="145"/>
      <c r="L55" s="146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9"/>
        <v>0</v>
      </c>
      <c r="AR55" s="90">
        <f t="shared" si="28"/>
        <v>0</v>
      </c>
    </row>
    <row r="56" spans="1:49" x14ac:dyDescent="0.25">
      <c r="A56" t="str">
        <f t="shared" si="10"/>
        <v>46230M</v>
      </c>
      <c r="B56" s="51">
        <f t="shared" si="27"/>
        <v>46230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143"/>
      <c r="J56" s="144"/>
      <c r="K56" s="145"/>
      <c r="L56" s="146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9"/>
        <v>0</v>
      </c>
      <c r="AR56" s="90">
        <f t="shared" si="28"/>
        <v>0</v>
      </c>
    </row>
    <row r="57" spans="1:49" x14ac:dyDescent="0.25">
      <c r="A57" t="str">
        <f t="shared" si="10"/>
        <v>46230E</v>
      </c>
      <c r="B57" s="51">
        <f t="shared" si="27"/>
        <v>46230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143"/>
      <c r="J57" s="144"/>
      <c r="K57" s="145"/>
      <c r="L57" s="146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9"/>
        <v>0</v>
      </c>
      <c r="AR57" s="90">
        <f t="shared" si="28"/>
        <v>0</v>
      </c>
    </row>
    <row r="58" spans="1:49" x14ac:dyDescent="0.25">
      <c r="A58" t="str">
        <f t="shared" si="10"/>
        <v>46231M</v>
      </c>
      <c r="B58" s="51">
        <f t="shared" si="27"/>
        <v>46231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143"/>
      <c r="J58" s="144"/>
      <c r="K58" s="145"/>
      <c r="L58" s="146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9"/>
        <v>0</v>
      </c>
      <c r="AR58" s="90">
        <f t="shared" si="28"/>
        <v>0</v>
      </c>
    </row>
    <row r="59" spans="1:49" x14ac:dyDescent="0.25">
      <c r="A59" t="str">
        <f t="shared" si="10"/>
        <v>46231E</v>
      </c>
      <c r="B59" s="51">
        <f t="shared" si="27"/>
        <v>46231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143"/>
      <c r="J59" s="144"/>
      <c r="K59" s="145"/>
      <c r="L59" s="146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9"/>
        <v>0</v>
      </c>
      <c r="AR59" s="90">
        <f t="shared" si="28"/>
        <v>0</v>
      </c>
    </row>
    <row r="60" spans="1:49" x14ac:dyDescent="0.25">
      <c r="A60" t="str">
        <f t="shared" si="10"/>
        <v>46232M</v>
      </c>
      <c r="B60" s="51">
        <f t="shared" si="27"/>
        <v>46232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143"/>
      <c r="J60" s="144"/>
      <c r="K60" s="145"/>
      <c r="L60" s="146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46232E</v>
      </c>
      <c r="B61" s="51">
        <f t="shared" si="27"/>
        <v>46232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143"/>
      <c r="J61" s="144"/>
      <c r="K61" s="145"/>
      <c r="L61" s="146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46233M</v>
      </c>
      <c r="B62" s="51">
        <f t="shared" si="27"/>
        <v>46233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143"/>
      <c r="J62" s="144"/>
      <c r="K62" s="145"/>
      <c r="L62" s="146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46233E</v>
      </c>
      <c r="B63" s="51">
        <f t="shared" si="27"/>
        <v>46233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143"/>
      <c r="J63" s="144"/>
      <c r="K63" s="145"/>
      <c r="L63" s="146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43"/>
      <c r="J64" s="144"/>
      <c r="K64" s="145"/>
      <c r="L64" s="146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9"/>
        <v>0</v>
      </c>
      <c r="AR64" s="90">
        <f t="shared" si="26"/>
        <v>0</v>
      </c>
    </row>
    <row r="65" spans="1:44" x14ac:dyDescent="0.25">
      <c r="A65" t="str">
        <f t="shared" si="10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43"/>
      <c r="J65" s="144"/>
      <c r="K65" s="145"/>
      <c r="L65" s="146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9"/>
        <v>0</v>
      </c>
      <c r="AR65" s="90">
        <f t="shared" si="26"/>
        <v>0</v>
      </c>
    </row>
    <row r="66" spans="1:44" x14ac:dyDescent="0.25">
      <c r="J66" s="83">
        <f>SUM(J4:J65)</f>
        <v>8510.6840000000011</v>
      </c>
      <c r="AM66" s="126">
        <f>-SUM(AM4:AM65)</f>
        <v>-23.684000000000424</v>
      </c>
      <c r="AN66" s="126">
        <f>-SUM(AN4:AN65)</f>
        <v>-16.274537999999989</v>
      </c>
      <c r="AO66" s="126">
        <f>-SUM(AO4:AO65)</f>
        <v>-6.859236999999986</v>
      </c>
      <c r="AP66" s="126"/>
      <c r="AQ66" s="126">
        <f>-SUM(AQ4:AQ65)</f>
        <v>-9874.7256041077853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2" operator="lessThan">
      <formula>0.1</formula>
    </cfRule>
    <cfRule type="cellIs" dxfId="23" priority="3" operator="greaterThan">
      <formula>0.1</formula>
    </cfRule>
  </conditionalFormatting>
  <conditionalFormatting sqref="AP1:AQ1">
    <cfRule type="cellIs" dxfId="22" priority="1" operator="lessThan">
      <formula>1</formula>
    </cfRule>
  </conditionalFormatting>
  <conditionalFormatting sqref="AQ4:AQ65">
    <cfRule type="cellIs" dxfId="21" priority="12" operator="lessThan">
      <formula>0</formula>
    </cfRule>
    <cfRule type="cellIs" dxfId="20" priority="13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AW6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20" sqref="O20:Q20"/>
    </sheetView>
  </sheetViews>
  <sheetFormatPr defaultRowHeight="15" x14ac:dyDescent="0.25"/>
  <cols>
    <col min="1" max="1" width="3.42578125" customWidth="1"/>
    <col min="2" max="2" width="10.140625" bestFit="1" customWidth="1"/>
    <col min="3" max="3" width="5.7109375" bestFit="1" customWidth="1"/>
    <col min="4" max="4" width="8.14062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140625" bestFit="1" customWidth="1"/>
    <col min="10" max="10" width="9.28515625" bestFit="1" customWidth="1"/>
    <col min="11" max="12" width="5.85546875" bestFit="1" customWidth="1"/>
    <col min="13" max="13" width="8.7109375" customWidth="1"/>
    <col min="14" max="14" width="7.57031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9.140625" customWidth="1"/>
    <col min="22" max="22" width="7.85546875" customWidth="1"/>
    <col min="23" max="23" width="10.855468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.28515625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9.28515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13" bestFit="1" customWidth="1"/>
    <col min="44" max="44" width="5.57031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.5703125" bestFit="1" customWidth="1"/>
    <col min="49" max="49" width="8.85546875" bestFit="1" customWidth="1"/>
  </cols>
  <sheetData>
    <row r="1" spans="1:44" ht="15.75" thickBot="1" x14ac:dyDescent="0.3">
      <c r="B1" s="43" t="s">
        <v>100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5">
        <v>5940</v>
      </c>
      <c r="E4" s="54">
        <v>4</v>
      </c>
      <c r="F4" s="55">
        <v>8.35</v>
      </c>
      <c r="G4" s="62">
        <f t="shared" ref="G4" si="0">+D4*E4%</f>
        <v>237.6</v>
      </c>
      <c r="H4" s="63">
        <f t="shared" ref="H4" si="1">+D4*F4%</f>
        <v>495.98999999999995</v>
      </c>
      <c r="I4" s="118">
        <v>3272.6999999999994</v>
      </c>
      <c r="J4" s="119">
        <v>3370.8809999999994</v>
      </c>
      <c r="K4" s="120">
        <v>4.0186757111864821</v>
      </c>
      <c r="L4" s="121">
        <v>8.0795245515934848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3370.8809999999994</v>
      </c>
      <c r="S4" s="62">
        <f>+J4*K4%+O4*P4%</f>
        <v>135.46477599999997</v>
      </c>
      <c r="T4" s="63">
        <f>+J4*L4%+O4*Q4%</f>
        <v>272.35115799999994</v>
      </c>
      <c r="U4" s="64" t="s">
        <v>179</v>
      </c>
      <c r="V4" s="65" t="s">
        <v>250</v>
      </c>
      <c r="W4" s="66" t="s">
        <v>251</v>
      </c>
      <c r="X4" s="67">
        <v>5130</v>
      </c>
      <c r="Y4" s="68">
        <v>3.9</v>
      </c>
      <c r="Z4" s="68">
        <v>8</v>
      </c>
      <c r="AA4" s="62">
        <f t="shared" ref="AA4" si="2">X4*Y4%</f>
        <v>200.07</v>
      </c>
      <c r="AB4" s="63">
        <f t="shared" ref="AB4" si="3">X4*Z4%</f>
        <v>410.40000000000003</v>
      </c>
      <c r="AC4" s="69">
        <v>5140</v>
      </c>
      <c r="AD4" s="70">
        <v>3.85</v>
      </c>
      <c r="AE4" s="70">
        <v>7.93</v>
      </c>
      <c r="AF4" s="62">
        <f t="shared" ref="AF4" si="4">AC4*AD4%</f>
        <v>197.89</v>
      </c>
      <c r="AG4" s="63">
        <f t="shared" ref="AG4" si="5">AC4*AE4%</f>
        <v>407.60199999999998</v>
      </c>
      <c r="AH4" s="66">
        <v>4180.8</v>
      </c>
      <c r="AI4" s="66">
        <v>4</v>
      </c>
      <c r="AJ4" s="66">
        <v>8.25</v>
      </c>
      <c r="AK4" s="62">
        <f t="shared" ref="AK4" si="6">AH4*AI4%</f>
        <v>167.232</v>
      </c>
      <c r="AL4" s="72">
        <f t="shared" ref="AL4" si="7">AH4*AJ4%</f>
        <v>344.91600000000005</v>
      </c>
      <c r="AM4" s="73">
        <f>+D4+R4-AC4-AH4</f>
        <v>-9.9190000000007785</v>
      </c>
      <c r="AN4" s="74">
        <f t="shared" ref="AN4:AO4" si="8">+G4+S4-AF4-AK4</f>
        <v>7.9427759999999523</v>
      </c>
      <c r="AO4" s="74">
        <f t="shared" si="8"/>
        <v>15.823157999999921</v>
      </c>
      <c r="AP4" s="75">
        <f>(AN4+AO4)/(S4+T4)</f>
        <v>5.8276129053848783E-2</v>
      </c>
      <c r="AQ4" s="76">
        <f t="shared" ref="AQ4" si="9">($AP$1*AN4+$AQ$1*AO4)</f>
        <v>8555.6573321296364</v>
      </c>
      <c r="AR4" s="90">
        <f>(D4+J4+O4)-(X4+AH4)</f>
        <v>8.1000000000130967E-2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79">
        <v>4180.8</v>
      </c>
      <c r="E5" s="62">
        <v>4</v>
      </c>
      <c r="F5" s="62">
        <v>8.25</v>
      </c>
      <c r="G5" s="62">
        <f t="shared" ref="G5:G45" si="11">+D5*E5%</f>
        <v>167.232</v>
      </c>
      <c r="H5" s="63">
        <f t="shared" ref="H5:H45" si="12">+D5*F5%</f>
        <v>344.91600000000005</v>
      </c>
      <c r="I5" s="118">
        <v>6610.3</v>
      </c>
      <c r="J5" s="119">
        <v>6808.6090000000004</v>
      </c>
      <c r="K5" s="120">
        <v>4.0141415669485498</v>
      </c>
      <c r="L5" s="121">
        <v>8.0348456197146874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6" si="13">+J5+O5</f>
        <v>6808.6090000000004</v>
      </c>
      <c r="S5" s="62">
        <f t="shared" ref="S5:S36" si="14">+J5*K5%+O5*P5%</f>
        <v>273.30720400000001</v>
      </c>
      <c r="T5" s="63">
        <f t="shared" ref="T5:T36" si="15">+J5*L5%+O5*Q5%</f>
        <v>547.06122199999993</v>
      </c>
      <c r="U5" s="64" t="s">
        <v>176</v>
      </c>
      <c r="V5" s="65" t="s">
        <v>252</v>
      </c>
      <c r="W5" s="66" t="s">
        <v>184</v>
      </c>
      <c r="X5" s="67">
        <v>9250</v>
      </c>
      <c r="Y5" s="68">
        <v>3.99</v>
      </c>
      <c r="Z5" s="68">
        <v>8.02</v>
      </c>
      <c r="AA5" s="62">
        <f t="shared" ref="AA5:AA13" si="16">X5*Y5%</f>
        <v>369.07500000000005</v>
      </c>
      <c r="AB5" s="63">
        <f t="shared" ref="AB5:AB13" si="17">X5*Z5%</f>
        <v>741.84999999999991</v>
      </c>
      <c r="AC5" s="69">
        <v>9260</v>
      </c>
      <c r="AD5" s="70">
        <v>3.935205183585313</v>
      </c>
      <c r="AE5" s="70">
        <v>7.9470410367170627</v>
      </c>
      <c r="AF5" s="62">
        <f t="shared" ref="AF5:AF65" si="18">AC5*AD5%</f>
        <v>364.4</v>
      </c>
      <c r="AG5" s="63">
        <f t="shared" ref="AG5:AG65" si="19">AC5*AE5%</f>
        <v>735.89600000000007</v>
      </c>
      <c r="AH5" s="66">
        <v>1739.4</v>
      </c>
      <c r="AI5" s="66">
        <v>4</v>
      </c>
      <c r="AJ5" s="66">
        <v>8.11</v>
      </c>
      <c r="AK5" s="62">
        <f t="shared" ref="AK5:AK65" si="20">AH5*AI5%</f>
        <v>69.576000000000008</v>
      </c>
      <c r="AL5" s="72">
        <f t="shared" ref="AL5:AL65" si="21">AH5*AJ5%</f>
        <v>141.06533999999999</v>
      </c>
      <c r="AM5" s="73">
        <f t="shared" ref="AM5:AM65" si="22">+D5+R5-AC5-AH5</f>
        <v>-9.9910000000004402</v>
      </c>
      <c r="AN5" s="74">
        <f t="shared" ref="AN5:AN65" si="23">+G5+S5-AF5-AK5</f>
        <v>6.5632040000000558</v>
      </c>
      <c r="AO5" s="74">
        <f t="shared" ref="AO5:AO65" si="24">+H5+T5-AG5-AL5</f>
        <v>15.01588199999992</v>
      </c>
      <c r="AP5" s="75">
        <f t="shared" ref="AP5:AP65" si="25">(AN5+AO5)/(S5+T5)</f>
        <v>2.6304140086444498E-2</v>
      </c>
      <c r="AQ5" s="76">
        <f t="shared" ref="AQ5:AQ65" si="26">($AP$1*AN5+$AQ$1*AO5)</f>
        <v>7650.9561107756708</v>
      </c>
      <c r="AR5" s="90">
        <f t="shared" ref="AR5:AR35" si="27">(D5+J5+O5)-(X5+AH5)</f>
        <v>9.0000000000145519E-3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79">
        <v>1739.4</v>
      </c>
      <c r="E6" s="62">
        <v>4</v>
      </c>
      <c r="F6" s="62">
        <v>8.11</v>
      </c>
      <c r="G6" s="62">
        <f t="shared" si="11"/>
        <v>69.576000000000008</v>
      </c>
      <c r="H6" s="63">
        <f t="shared" si="12"/>
        <v>141.06533999999999</v>
      </c>
      <c r="I6" s="118">
        <v>3022.2</v>
      </c>
      <c r="J6" s="119">
        <v>3112.866</v>
      </c>
      <c r="K6" s="120">
        <v>3.9234828932565669</v>
      </c>
      <c r="L6" s="121">
        <v>8.0483918999404409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3"/>
        <v>3112.866</v>
      </c>
      <c r="S6" s="62">
        <f t="shared" si="14"/>
        <v>122.13276499999996</v>
      </c>
      <c r="T6" s="63">
        <f t="shared" si="15"/>
        <v>250.53565499999999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4852.2</v>
      </c>
      <c r="AI6" s="66">
        <v>3.94</v>
      </c>
      <c r="AJ6" s="66">
        <v>8.0399999999999991</v>
      </c>
      <c r="AK6" s="62">
        <f t="shared" si="20"/>
        <v>191.17667999999998</v>
      </c>
      <c r="AL6" s="72">
        <f t="shared" si="21"/>
        <v>390.11687999999992</v>
      </c>
      <c r="AM6" s="73">
        <f t="shared" si="22"/>
        <v>6.5999999999803549E-2</v>
      </c>
      <c r="AN6" s="74">
        <f t="shared" si="23"/>
        <v>0.53208499999999503</v>
      </c>
      <c r="AO6" s="74">
        <f t="shared" si="24"/>
        <v>1.484115000000088</v>
      </c>
      <c r="AP6" s="75">
        <f t="shared" si="25"/>
        <v>5.4101713260277951E-3</v>
      </c>
      <c r="AQ6" s="76">
        <f t="shared" si="26"/>
        <v>700.16339011473804</v>
      </c>
      <c r="AR6" s="90">
        <f t="shared" si="27"/>
        <v>6.5999999999803549E-2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79">
        <v>4852.2</v>
      </c>
      <c r="E7" s="62">
        <v>3.94</v>
      </c>
      <c r="F7" s="62">
        <v>8.0399999999999991</v>
      </c>
      <c r="G7" s="62">
        <f t="shared" si="11"/>
        <v>191.17667999999998</v>
      </c>
      <c r="H7" s="63">
        <f t="shared" si="12"/>
        <v>390.11687999999992</v>
      </c>
      <c r="I7" s="118">
        <v>8355.7999999999993</v>
      </c>
      <c r="J7" s="119">
        <v>8606.4740000000002</v>
      </c>
      <c r="K7" s="120">
        <v>3.6465030278369532</v>
      </c>
      <c r="L7" s="121">
        <v>7.9933698748174935</v>
      </c>
      <c r="M7" s="58" t="s">
        <v>183</v>
      </c>
      <c r="N7" s="58" t="s">
        <v>249</v>
      </c>
      <c r="O7" s="59">
        <v>2484</v>
      </c>
      <c r="P7" s="56">
        <v>3.95</v>
      </c>
      <c r="Q7" s="60">
        <v>7.94</v>
      </c>
      <c r="R7" s="61">
        <f t="shared" si="13"/>
        <v>11090.474</v>
      </c>
      <c r="S7" s="62">
        <f t="shared" si="14"/>
        <v>411.95333500000015</v>
      </c>
      <c r="T7" s="63">
        <f t="shared" si="15"/>
        <v>885.17690000000016</v>
      </c>
      <c r="U7" s="64" t="s">
        <v>253</v>
      </c>
      <c r="V7" s="65" t="s">
        <v>254</v>
      </c>
      <c r="W7" s="66" t="s">
        <v>255</v>
      </c>
      <c r="X7" s="67">
        <v>11410</v>
      </c>
      <c r="Y7" s="68">
        <v>3.9</v>
      </c>
      <c r="Z7" s="68">
        <v>8.0299999999999994</v>
      </c>
      <c r="AA7" s="62">
        <f t="shared" si="16"/>
        <v>444.99</v>
      </c>
      <c r="AB7" s="63">
        <f t="shared" si="17"/>
        <v>916.22299999999996</v>
      </c>
      <c r="AC7" s="69">
        <v>11460</v>
      </c>
      <c r="AD7" s="70">
        <v>3.8264397905759169</v>
      </c>
      <c r="AE7" s="70">
        <v>8.001204188481676</v>
      </c>
      <c r="AF7" s="62">
        <f t="shared" si="18"/>
        <v>438.51000000000005</v>
      </c>
      <c r="AG7" s="63">
        <f t="shared" si="19"/>
        <v>916.93799999999999</v>
      </c>
      <c r="AH7" s="66">
        <v>4750</v>
      </c>
      <c r="AI7" s="66">
        <v>3.78</v>
      </c>
      <c r="AJ7" s="66">
        <v>8.1199999999999992</v>
      </c>
      <c r="AK7" s="62">
        <f t="shared" si="20"/>
        <v>179.55</v>
      </c>
      <c r="AL7" s="72">
        <f t="shared" si="21"/>
        <v>385.7</v>
      </c>
      <c r="AM7" s="73">
        <f t="shared" si="22"/>
        <v>-267.32600000000093</v>
      </c>
      <c r="AN7" s="74">
        <f t="shared" si="23"/>
        <v>-14.929984999999874</v>
      </c>
      <c r="AO7" s="74">
        <f t="shared" si="24"/>
        <v>-27.344220000000007</v>
      </c>
      <c r="AP7" s="75">
        <f t="shared" si="25"/>
        <v>-3.2590563275244191E-2</v>
      </c>
      <c r="AQ7" s="76">
        <f t="shared" si="26"/>
        <v>-15363.69416792614</v>
      </c>
      <c r="AR7" s="90">
        <f>(D7+J7+O7)-(X7+AH7)</f>
        <v>-217.32600000000093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79">
        <v>4750</v>
      </c>
      <c r="E8" s="62">
        <v>3.78</v>
      </c>
      <c r="F8" s="62">
        <v>8.1199999999999992</v>
      </c>
      <c r="G8" s="62">
        <f t="shared" si="11"/>
        <v>179.55</v>
      </c>
      <c r="H8" s="63">
        <f t="shared" si="12"/>
        <v>385.7</v>
      </c>
      <c r="I8" s="118">
        <v>4362.2</v>
      </c>
      <c r="J8" s="119">
        <v>4493.0659999999998</v>
      </c>
      <c r="K8" s="120">
        <v>3.916111136582459</v>
      </c>
      <c r="L8" s="121">
        <v>8.0865755811287894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3"/>
        <v>4493.0659999999998</v>
      </c>
      <c r="S8" s="62">
        <f t="shared" si="14"/>
        <v>175.95345800000001</v>
      </c>
      <c r="T8" s="63">
        <f t="shared" si="15"/>
        <v>363.33517800000004</v>
      </c>
      <c r="U8" s="64" t="s">
        <v>176</v>
      </c>
      <c r="V8" s="65" t="s">
        <v>350</v>
      </c>
      <c r="W8" s="66" t="s">
        <v>184</v>
      </c>
      <c r="X8" s="67">
        <v>9250</v>
      </c>
      <c r="Y8" s="68">
        <v>4</v>
      </c>
      <c r="Z8" s="68">
        <v>8.08</v>
      </c>
      <c r="AA8" s="62">
        <f t="shared" si="16"/>
        <v>370</v>
      </c>
      <c r="AB8" s="63">
        <f t="shared" si="17"/>
        <v>747.4</v>
      </c>
      <c r="AC8" s="69">
        <v>9250</v>
      </c>
      <c r="AD8" s="70">
        <v>3.95</v>
      </c>
      <c r="AE8" s="70">
        <v>8.07</v>
      </c>
      <c r="AF8" s="62">
        <f t="shared" si="18"/>
        <v>365.375</v>
      </c>
      <c r="AG8" s="63">
        <f t="shared" si="19"/>
        <v>746.47500000000002</v>
      </c>
      <c r="AH8" s="66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-6.9340000000011059</v>
      </c>
      <c r="AN8" s="74">
        <f t="shared" si="23"/>
        <v>-9.8715419999999767</v>
      </c>
      <c r="AO8" s="74">
        <f t="shared" si="24"/>
        <v>2.5601780000000645</v>
      </c>
      <c r="AP8" s="75">
        <f t="shared" si="25"/>
        <v>-1.3557422708235803E-2</v>
      </c>
      <c r="AQ8" s="76">
        <f t="shared" si="26"/>
        <v>-3976.8466954205915</v>
      </c>
      <c r="AR8" s="90">
        <f t="shared" si="27"/>
        <v>-6.9340000000011059</v>
      </c>
    </row>
    <row r="9" spans="1:44" x14ac:dyDescent="0.25">
      <c r="A9" t="str">
        <f t="shared" si="10"/>
        <v>46206E</v>
      </c>
      <c r="B9" s="51">
        <f t="shared" ref="B9:B65" si="28">+B7+1</f>
        <v>46206</v>
      </c>
      <c r="C9" s="52" t="s">
        <v>88</v>
      </c>
      <c r="D9" s="79">
        <v>0</v>
      </c>
      <c r="E9" s="62">
        <v>0</v>
      </c>
      <c r="F9" s="62">
        <v>0</v>
      </c>
      <c r="G9" s="62">
        <f t="shared" si="11"/>
        <v>0</v>
      </c>
      <c r="H9" s="63">
        <f t="shared" si="12"/>
        <v>0</v>
      </c>
      <c r="I9" s="118">
        <v>5164.8</v>
      </c>
      <c r="J9" s="119">
        <v>5319.7440000000006</v>
      </c>
      <c r="K9" s="120">
        <v>3.8933492100371754</v>
      </c>
      <c r="L9" s="121">
        <v>8.054429987608426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3"/>
        <v>5319.7440000000006</v>
      </c>
      <c r="S9" s="62">
        <f t="shared" si="14"/>
        <v>207.11621100000005</v>
      </c>
      <c r="T9" s="63">
        <f t="shared" si="15"/>
        <v>428.47505600000005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5319.7</v>
      </c>
      <c r="AI9" s="66">
        <v>3.89</v>
      </c>
      <c r="AJ9" s="66">
        <v>8.0500000000000007</v>
      </c>
      <c r="AK9" s="62">
        <f t="shared" si="20"/>
        <v>206.93633000000003</v>
      </c>
      <c r="AL9" s="72">
        <f t="shared" si="21"/>
        <v>428.23584999999997</v>
      </c>
      <c r="AM9" s="73">
        <f t="shared" si="22"/>
        <v>4.4000000000778527E-2</v>
      </c>
      <c r="AN9" s="74">
        <f t="shared" si="23"/>
        <v>0.17988100000002305</v>
      </c>
      <c r="AO9" s="74">
        <f t="shared" si="24"/>
        <v>0.23920600000008108</v>
      </c>
      <c r="AP9" s="75">
        <f t="shared" si="25"/>
        <v>6.5936557306427569E-4</v>
      </c>
      <c r="AQ9" s="76">
        <f t="shared" si="26"/>
        <v>158.07874244957048</v>
      </c>
      <c r="AR9" s="90">
        <f t="shared" si="27"/>
        <v>4.4000000000778527E-2</v>
      </c>
    </row>
    <row r="10" spans="1:44" x14ac:dyDescent="0.25">
      <c r="A10" t="str">
        <f t="shared" si="10"/>
        <v>46207M</v>
      </c>
      <c r="B10" s="51">
        <f t="shared" si="28"/>
        <v>46207</v>
      </c>
      <c r="C10" s="52" t="s">
        <v>87</v>
      </c>
      <c r="D10" s="79">
        <v>5319.7</v>
      </c>
      <c r="E10" s="62">
        <v>3.89</v>
      </c>
      <c r="F10" s="62">
        <v>8.0500000000000007</v>
      </c>
      <c r="G10" s="62">
        <f t="shared" si="11"/>
        <v>206.93633000000003</v>
      </c>
      <c r="H10" s="63">
        <f t="shared" si="12"/>
        <v>428.23584999999997</v>
      </c>
      <c r="I10" s="118">
        <v>3044.1</v>
      </c>
      <c r="J10" s="119">
        <v>3135.4229999999998</v>
      </c>
      <c r="K10" s="120">
        <v>4.0450905029401145</v>
      </c>
      <c r="L10" s="121">
        <v>8.0635425905850653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3135.4229999999998</v>
      </c>
      <c r="S10" s="62">
        <f t="shared" si="14"/>
        <v>126.83069800000001</v>
      </c>
      <c r="T10" s="63">
        <f t="shared" si="15"/>
        <v>252.82616899999996</v>
      </c>
      <c r="U10" s="64" t="s">
        <v>179</v>
      </c>
      <c r="V10" s="65" t="s">
        <v>351</v>
      </c>
      <c r="W10" s="66" t="s">
        <v>184</v>
      </c>
      <c r="X10" s="67">
        <v>3830</v>
      </c>
      <c r="Y10" s="68">
        <v>4.0999999999999996</v>
      </c>
      <c r="Z10" s="68">
        <v>8.23</v>
      </c>
      <c r="AA10" s="62">
        <f t="shared" si="16"/>
        <v>157.02999999999997</v>
      </c>
      <c r="AB10" s="63">
        <f t="shared" si="17"/>
        <v>315.209</v>
      </c>
      <c r="AC10" s="69">
        <v>3850</v>
      </c>
      <c r="AD10" s="70">
        <v>4</v>
      </c>
      <c r="AE10" s="70">
        <v>8.2100000000000009</v>
      </c>
      <c r="AF10" s="62">
        <f t="shared" si="18"/>
        <v>154</v>
      </c>
      <c r="AG10" s="63">
        <f t="shared" si="19"/>
        <v>316.08500000000004</v>
      </c>
      <c r="AH10" s="66">
        <v>4625.1000000000004</v>
      </c>
      <c r="AI10" s="66">
        <v>3.94</v>
      </c>
      <c r="AJ10" s="66">
        <v>8.0500000000000007</v>
      </c>
      <c r="AK10" s="62">
        <f t="shared" si="20"/>
        <v>182.22893999999999</v>
      </c>
      <c r="AL10" s="72">
        <f t="shared" si="21"/>
        <v>372.32055000000003</v>
      </c>
      <c r="AM10" s="73">
        <f t="shared" si="22"/>
        <v>-19.977000000000771</v>
      </c>
      <c r="AN10" s="74">
        <f t="shared" si="23"/>
        <v>-2.4619119999999555</v>
      </c>
      <c r="AO10" s="74">
        <f t="shared" si="24"/>
        <v>-7.3435310000000982</v>
      </c>
      <c r="AP10" s="75">
        <f t="shared" si="25"/>
        <v>-2.582711878091765E-2</v>
      </c>
      <c r="AQ10" s="76">
        <f t="shared" si="26"/>
        <v>-3382.3510010700447</v>
      </c>
      <c r="AR10" s="90">
        <f t="shared" si="27"/>
        <v>2.2999999999228748E-2</v>
      </c>
    </row>
    <row r="11" spans="1:44" x14ac:dyDescent="0.25">
      <c r="A11" t="str">
        <f t="shared" si="10"/>
        <v>46207E</v>
      </c>
      <c r="B11" s="51">
        <f t="shared" si="28"/>
        <v>46207</v>
      </c>
      <c r="C11" s="52" t="s">
        <v>88</v>
      </c>
      <c r="D11" s="79">
        <v>4625.1000000000004</v>
      </c>
      <c r="E11" s="62">
        <v>3.94</v>
      </c>
      <c r="F11" s="62">
        <v>8.0500000000000007</v>
      </c>
      <c r="G11" s="62">
        <f t="shared" si="11"/>
        <v>182.22893999999999</v>
      </c>
      <c r="H11" s="63">
        <f t="shared" si="12"/>
        <v>372.32055000000003</v>
      </c>
      <c r="I11" s="118">
        <v>9154.9</v>
      </c>
      <c r="J11" s="119">
        <v>9429.5470000000005</v>
      </c>
      <c r="K11" s="120">
        <v>3.5514445815901867</v>
      </c>
      <c r="L11" s="121">
        <v>8.0128412107177578</v>
      </c>
      <c r="M11" s="58" t="s">
        <v>183</v>
      </c>
      <c r="N11" s="58" t="s">
        <v>349</v>
      </c>
      <c r="O11" s="59">
        <v>2066</v>
      </c>
      <c r="P11" s="56">
        <v>3.95</v>
      </c>
      <c r="Q11" s="60">
        <v>7.94</v>
      </c>
      <c r="R11" s="61">
        <f t="shared" si="13"/>
        <v>11495.547</v>
      </c>
      <c r="S11" s="62">
        <f t="shared" si="14"/>
        <v>416.49213599999996</v>
      </c>
      <c r="T11" s="63">
        <f t="shared" si="15"/>
        <v>919.61502800000005</v>
      </c>
      <c r="U11" s="64" t="s">
        <v>207</v>
      </c>
      <c r="V11" s="65" t="s">
        <v>352</v>
      </c>
      <c r="W11" s="66" t="s">
        <v>184</v>
      </c>
      <c r="X11" s="67">
        <v>6280</v>
      </c>
      <c r="Y11" s="68">
        <v>3.93</v>
      </c>
      <c r="Z11" s="68">
        <v>8.07</v>
      </c>
      <c r="AA11" s="62">
        <f t="shared" si="16"/>
        <v>246.804</v>
      </c>
      <c r="AB11" s="63">
        <f t="shared" si="17"/>
        <v>506.79600000000005</v>
      </c>
      <c r="AC11" s="69">
        <v>6290</v>
      </c>
      <c r="AD11" s="70">
        <v>3.8662957074721782</v>
      </c>
      <c r="AE11" s="70">
        <v>7.9731319554848969</v>
      </c>
      <c r="AF11" s="62">
        <f t="shared" si="18"/>
        <v>243.19</v>
      </c>
      <c r="AG11" s="63">
        <f t="shared" si="19"/>
        <v>501.51</v>
      </c>
      <c r="AH11" s="66">
        <v>9840.6</v>
      </c>
      <c r="AI11" s="66">
        <v>3.71</v>
      </c>
      <c r="AJ11" s="66">
        <v>8.01</v>
      </c>
      <c r="AK11" s="62">
        <f t="shared" si="20"/>
        <v>365.08626000000004</v>
      </c>
      <c r="AL11" s="72">
        <f t="shared" si="21"/>
        <v>788.23206000000005</v>
      </c>
      <c r="AM11" s="73">
        <f t="shared" si="22"/>
        <v>-9.9529999999995198</v>
      </c>
      <c r="AN11" s="74">
        <f t="shared" si="23"/>
        <v>-9.5551840000001107</v>
      </c>
      <c r="AO11" s="74">
        <f t="shared" si="24"/>
        <v>2.19351800000004</v>
      </c>
      <c r="AP11" s="75">
        <f t="shared" si="25"/>
        <v>-5.5097870877070382E-3</v>
      </c>
      <c r="AQ11" s="76">
        <f t="shared" si="26"/>
        <v>-3934.6377859038412</v>
      </c>
      <c r="AR11" s="90">
        <f t="shared" si="27"/>
        <v>4.7000000000480213E-2</v>
      </c>
    </row>
    <row r="12" spans="1:44" x14ac:dyDescent="0.25">
      <c r="A12" t="str">
        <f t="shared" si="10"/>
        <v>46208M</v>
      </c>
      <c r="B12" s="51">
        <f t="shared" si="28"/>
        <v>46208</v>
      </c>
      <c r="C12" s="52" t="s">
        <v>87</v>
      </c>
      <c r="D12" s="79">
        <v>9840.6</v>
      </c>
      <c r="E12" s="62">
        <v>3.71</v>
      </c>
      <c r="F12" s="62">
        <v>8.01</v>
      </c>
      <c r="G12" s="62">
        <f t="shared" si="11"/>
        <v>365.08626000000004</v>
      </c>
      <c r="H12" s="63">
        <f t="shared" si="12"/>
        <v>788.23206000000005</v>
      </c>
      <c r="I12" s="118">
        <v>2713.9</v>
      </c>
      <c r="J12" s="119">
        <v>2795.317</v>
      </c>
      <c r="K12" s="120">
        <v>4.1236744168908217</v>
      </c>
      <c r="L12" s="121">
        <v>8.0879803972143414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3"/>
        <v>2795.317</v>
      </c>
      <c r="S12" s="62">
        <f t="shared" si="14"/>
        <v>115.26977200000002</v>
      </c>
      <c r="T12" s="63">
        <f t="shared" si="15"/>
        <v>226.08469099999999</v>
      </c>
      <c r="U12" s="64" t="s">
        <v>176</v>
      </c>
      <c r="V12" s="65" t="s">
        <v>353</v>
      </c>
      <c r="W12" s="66" t="s">
        <v>184</v>
      </c>
      <c r="X12" s="67">
        <v>9250</v>
      </c>
      <c r="Y12" s="68">
        <v>3.92</v>
      </c>
      <c r="Z12" s="68">
        <v>8.06</v>
      </c>
      <c r="AA12" s="62">
        <f t="shared" si="16"/>
        <v>362.59999999999997</v>
      </c>
      <c r="AB12" s="63">
        <f t="shared" si="17"/>
        <v>745.55000000000007</v>
      </c>
      <c r="AC12" s="69">
        <v>9270</v>
      </c>
      <c r="AD12" s="70">
        <v>3.8162891046386189</v>
      </c>
      <c r="AE12" s="70">
        <v>8.0432578209277228</v>
      </c>
      <c r="AF12" s="62">
        <f t="shared" si="18"/>
        <v>353.77</v>
      </c>
      <c r="AG12" s="63">
        <f t="shared" si="19"/>
        <v>745.6099999999999</v>
      </c>
      <c r="AH12" s="66">
        <v>3385.9</v>
      </c>
      <c r="AI12" s="66">
        <v>3.8</v>
      </c>
      <c r="AJ12" s="66">
        <v>8.02</v>
      </c>
      <c r="AK12" s="62">
        <f t="shared" si="20"/>
        <v>128.66419999999999</v>
      </c>
      <c r="AL12" s="72">
        <f t="shared" si="21"/>
        <v>271.54917999999998</v>
      </c>
      <c r="AM12" s="73">
        <f t="shared" si="22"/>
        <v>-19.98299999999881</v>
      </c>
      <c r="AN12" s="74">
        <f t="shared" si="23"/>
        <v>-2.0781679999999483</v>
      </c>
      <c r="AO12" s="74">
        <f t="shared" si="24"/>
        <v>-2.8424289999998109</v>
      </c>
      <c r="AP12" s="75">
        <f t="shared" si="25"/>
        <v>-1.4414919192076768E-2</v>
      </c>
      <c r="AQ12" s="76">
        <f t="shared" si="26"/>
        <v>-1849.9095416846499</v>
      </c>
      <c r="AR12" s="90">
        <f t="shared" si="27"/>
        <v>1.7000000001644366E-2</v>
      </c>
    </row>
    <row r="13" spans="1:44" x14ac:dyDescent="0.25">
      <c r="A13" t="str">
        <f t="shared" si="10"/>
        <v>46208E</v>
      </c>
      <c r="B13" s="51">
        <f t="shared" si="28"/>
        <v>46208</v>
      </c>
      <c r="C13" s="52" t="s">
        <v>88</v>
      </c>
      <c r="D13" s="79">
        <v>3385.9</v>
      </c>
      <c r="E13" s="62">
        <v>3.8</v>
      </c>
      <c r="F13" s="62">
        <v>8.02</v>
      </c>
      <c r="G13" s="62">
        <f t="shared" si="11"/>
        <v>128.66419999999999</v>
      </c>
      <c r="H13" s="63">
        <f t="shared" si="12"/>
        <v>271.54917999999998</v>
      </c>
      <c r="I13" s="118">
        <v>5225.8999999999996</v>
      </c>
      <c r="J13" s="119">
        <v>5382.6769999999997</v>
      </c>
      <c r="K13" s="120">
        <v>3.9906944258405241</v>
      </c>
      <c r="L13" s="121">
        <v>8.0660881379283946</v>
      </c>
      <c r="M13" s="58">
        <v>0</v>
      </c>
      <c r="N13" s="58" t="s">
        <v>167</v>
      </c>
      <c r="O13" s="59">
        <v>0</v>
      </c>
      <c r="P13" s="56">
        <v>0</v>
      </c>
      <c r="Q13" s="60">
        <v>0</v>
      </c>
      <c r="R13" s="61">
        <f t="shared" si="13"/>
        <v>5382.6769999999997</v>
      </c>
      <c r="S13" s="62">
        <f t="shared" si="14"/>
        <v>214.80619099999993</v>
      </c>
      <c r="T13" s="63">
        <f t="shared" si="15"/>
        <v>434.17147099999994</v>
      </c>
      <c r="U13" s="64" t="s">
        <v>179</v>
      </c>
      <c r="V13" s="65" t="s">
        <v>354</v>
      </c>
      <c r="W13" s="66" t="s">
        <v>184</v>
      </c>
      <c r="X13" s="67">
        <v>3830</v>
      </c>
      <c r="Y13" s="68">
        <v>4</v>
      </c>
      <c r="Z13" s="68">
        <v>8.02</v>
      </c>
      <c r="AA13" s="62">
        <f t="shared" si="16"/>
        <v>153.20000000000002</v>
      </c>
      <c r="AB13" s="63">
        <f t="shared" si="17"/>
        <v>307.166</v>
      </c>
      <c r="AC13" s="69">
        <v>3830</v>
      </c>
      <c r="AD13" s="70">
        <v>3.9</v>
      </c>
      <c r="AE13" s="70">
        <v>7.94</v>
      </c>
      <c r="AF13" s="62">
        <f t="shared" si="18"/>
        <v>149.37</v>
      </c>
      <c r="AG13" s="63">
        <f t="shared" si="19"/>
        <v>304.10199999999998</v>
      </c>
      <c r="AH13" s="66">
        <v>4938.5</v>
      </c>
      <c r="AI13" s="66">
        <v>3.91</v>
      </c>
      <c r="AJ13" s="66">
        <v>8.0500000000000007</v>
      </c>
      <c r="AK13" s="62">
        <f t="shared" si="20"/>
        <v>193.09535000000002</v>
      </c>
      <c r="AL13" s="72">
        <f t="shared" si="21"/>
        <v>397.54925000000003</v>
      </c>
      <c r="AM13" s="73">
        <f t="shared" si="22"/>
        <v>7.699999999931606E-2</v>
      </c>
      <c r="AN13" s="74">
        <f t="shared" si="23"/>
        <v>1.0050409999999204</v>
      </c>
      <c r="AO13" s="74">
        <f t="shared" si="24"/>
        <v>4.069400999999857</v>
      </c>
      <c r="AP13" s="75">
        <f t="shared" si="25"/>
        <v>7.8191319934826642E-3</v>
      </c>
      <c r="AQ13" s="76">
        <f t="shared" si="26"/>
        <v>1701.7042826047582</v>
      </c>
      <c r="AR13" s="90">
        <f t="shared" si="27"/>
        <v>7.699999999931606E-2</v>
      </c>
    </row>
    <row r="14" spans="1:44" x14ac:dyDescent="0.25">
      <c r="A14" t="str">
        <f t="shared" si="10"/>
        <v>46209M</v>
      </c>
      <c r="B14" s="51">
        <f t="shared" si="28"/>
        <v>46209</v>
      </c>
      <c r="C14" s="52" t="s">
        <v>87</v>
      </c>
      <c r="D14" s="79">
        <v>4938.5</v>
      </c>
      <c r="E14" s="62">
        <v>3.91</v>
      </c>
      <c r="F14" s="62">
        <v>8.0500000000000007</v>
      </c>
      <c r="G14" s="62">
        <f t="shared" si="11"/>
        <v>193.09535000000002</v>
      </c>
      <c r="H14" s="63">
        <f t="shared" si="12"/>
        <v>397.54925000000003</v>
      </c>
      <c r="I14" s="118">
        <v>2955.1</v>
      </c>
      <c r="J14" s="119">
        <v>3043.7530000000002</v>
      </c>
      <c r="K14" s="120">
        <v>4.2436262732225654</v>
      </c>
      <c r="L14" s="121">
        <v>8.110273764001219</v>
      </c>
      <c r="M14" s="58">
        <v>0</v>
      </c>
      <c r="N14" s="58" t="s">
        <v>167</v>
      </c>
      <c r="O14" s="59">
        <v>0</v>
      </c>
      <c r="P14" s="56">
        <v>0</v>
      </c>
      <c r="Q14" s="60">
        <v>0</v>
      </c>
      <c r="R14" s="61">
        <f t="shared" si="13"/>
        <v>3043.7530000000002</v>
      </c>
      <c r="S14" s="62">
        <f t="shared" si="14"/>
        <v>129.16550200000003</v>
      </c>
      <c r="T14" s="63">
        <f t="shared" si="15"/>
        <v>246.85670100000004</v>
      </c>
      <c r="U14" s="64" t="s">
        <v>176</v>
      </c>
      <c r="V14" s="65" t="s">
        <v>355</v>
      </c>
      <c r="W14" s="66" t="s">
        <v>184</v>
      </c>
      <c r="X14" s="67">
        <v>7850</v>
      </c>
      <c r="Y14" s="68">
        <v>4</v>
      </c>
      <c r="Z14" s="68">
        <v>7.96</v>
      </c>
      <c r="AA14" s="62">
        <f t="shared" ref="AA14:AA21" si="29">X14*Y14%</f>
        <v>314</v>
      </c>
      <c r="AB14" s="63">
        <f t="shared" ref="AB14:AB21" si="30">X14*Z14%</f>
        <v>624.86</v>
      </c>
      <c r="AC14" s="69">
        <v>7860</v>
      </c>
      <c r="AD14" s="70">
        <v>3.9000000000000004</v>
      </c>
      <c r="AE14" s="70">
        <v>7.9057379134860071</v>
      </c>
      <c r="AF14" s="62">
        <f t="shared" si="18"/>
        <v>306.54000000000008</v>
      </c>
      <c r="AG14" s="63">
        <f t="shared" si="19"/>
        <v>621.39100000000008</v>
      </c>
      <c r="AH14" s="66">
        <v>132.19999999999999</v>
      </c>
      <c r="AI14" s="66">
        <v>4.03</v>
      </c>
      <c r="AJ14" s="66">
        <v>8.07</v>
      </c>
      <c r="AK14" s="62">
        <f t="shared" si="20"/>
        <v>5.3276599999999998</v>
      </c>
      <c r="AL14" s="72">
        <f t="shared" si="21"/>
        <v>10.66854</v>
      </c>
      <c r="AM14" s="73">
        <f t="shared" si="22"/>
        <v>-9.9469999999993775</v>
      </c>
      <c r="AN14" s="74">
        <f t="shared" si="23"/>
        <v>10.39319199999998</v>
      </c>
      <c r="AO14" s="74">
        <f t="shared" si="24"/>
        <v>12.346410999999996</v>
      </c>
      <c r="AP14" s="75">
        <f t="shared" si="25"/>
        <v>6.0474096525624493E-2</v>
      </c>
      <c r="AQ14" s="76">
        <f t="shared" si="26"/>
        <v>8691.9071976903761</v>
      </c>
      <c r="AR14" s="90">
        <f t="shared" si="27"/>
        <v>5.3000000000793079E-2</v>
      </c>
    </row>
    <row r="15" spans="1:44" x14ac:dyDescent="0.25">
      <c r="A15" t="str">
        <f t="shared" si="10"/>
        <v>46209E</v>
      </c>
      <c r="B15" s="51">
        <f t="shared" si="28"/>
        <v>46209</v>
      </c>
      <c r="C15" s="52" t="s">
        <v>88</v>
      </c>
      <c r="D15" s="79">
        <v>132.19999999999999</v>
      </c>
      <c r="E15" s="62">
        <v>4.03</v>
      </c>
      <c r="F15" s="62">
        <v>8.07</v>
      </c>
      <c r="G15" s="62">
        <f t="shared" si="11"/>
        <v>5.3276599999999998</v>
      </c>
      <c r="H15" s="63">
        <f t="shared" si="12"/>
        <v>10.66854</v>
      </c>
      <c r="I15" s="118">
        <v>5233.7000000000007</v>
      </c>
      <c r="J15" s="119">
        <v>5390.7110000000011</v>
      </c>
      <c r="K15" s="120">
        <v>4.0401054703173669</v>
      </c>
      <c r="L15" s="121">
        <v>8.117234461279784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3"/>
        <v>5390.7110000000011</v>
      </c>
      <c r="S15" s="62">
        <f t="shared" si="14"/>
        <v>217.79041000000009</v>
      </c>
      <c r="T15" s="63">
        <f t="shared" si="15"/>
        <v>437.57665100000014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9"/>
        <v>0</v>
      </c>
      <c r="AB15" s="63">
        <f t="shared" si="30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5522.9</v>
      </c>
      <c r="AI15" s="66">
        <v>4.03</v>
      </c>
      <c r="AJ15" s="66">
        <v>8.11</v>
      </c>
      <c r="AK15" s="62">
        <f t="shared" si="20"/>
        <v>222.57286999999999</v>
      </c>
      <c r="AL15" s="72">
        <f t="shared" si="21"/>
        <v>447.9071899999999</v>
      </c>
      <c r="AM15" s="73">
        <f t="shared" si="22"/>
        <v>1.10000000013315E-2</v>
      </c>
      <c r="AN15" s="74">
        <f t="shared" si="23"/>
        <v>0.54520000000010782</v>
      </c>
      <c r="AO15" s="74">
        <f t="shared" si="24"/>
        <v>0.33800100000024713</v>
      </c>
      <c r="AP15" s="75">
        <f t="shared" si="25"/>
        <v>1.3476432560597588E-3</v>
      </c>
      <c r="AQ15" s="76">
        <f t="shared" si="26"/>
        <v>363.21463475375288</v>
      </c>
      <c r="AR15" s="90">
        <f t="shared" si="27"/>
        <v>1.10000000013315E-2</v>
      </c>
    </row>
    <row r="16" spans="1:44" x14ac:dyDescent="0.25">
      <c r="A16" t="str">
        <f t="shared" si="10"/>
        <v>46210M</v>
      </c>
      <c r="B16" s="51">
        <f t="shared" si="28"/>
        <v>46210</v>
      </c>
      <c r="C16" s="52" t="s">
        <v>87</v>
      </c>
      <c r="D16" s="79">
        <v>5522.9</v>
      </c>
      <c r="E16" s="62">
        <v>4.03</v>
      </c>
      <c r="F16" s="62">
        <v>8.11</v>
      </c>
      <c r="G16" s="62">
        <f t="shared" si="11"/>
        <v>222.57286999999999</v>
      </c>
      <c r="H16" s="63">
        <f t="shared" si="12"/>
        <v>447.9071899999999</v>
      </c>
      <c r="I16" s="118">
        <v>2949.2999999999997</v>
      </c>
      <c r="J16" s="119">
        <v>3037.779</v>
      </c>
      <c r="K16" s="120">
        <v>3.9919336791781097</v>
      </c>
      <c r="L16" s="121">
        <v>8.1184687892042184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3"/>
        <v>3037.779</v>
      </c>
      <c r="S16" s="62">
        <f t="shared" si="14"/>
        <v>121.26612299999999</v>
      </c>
      <c r="T16" s="63">
        <f t="shared" si="15"/>
        <v>246.62114</v>
      </c>
      <c r="U16" s="64" t="s">
        <v>179</v>
      </c>
      <c r="V16" s="65" t="s">
        <v>378</v>
      </c>
      <c r="W16" s="66" t="s">
        <v>184</v>
      </c>
      <c r="X16" s="67">
        <v>3830</v>
      </c>
      <c r="Y16" s="68">
        <v>4.0999999999999996</v>
      </c>
      <c r="Z16" s="68">
        <v>8.1</v>
      </c>
      <c r="AA16" s="62">
        <f t="shared" si="29"/>
        <v>157.02999999999997</v>
      </c>
      <c r="AB16" s="63">
        <f t="shared" si="30"/>
        <v>310.23</v>
      </c>
      <c r="AC16" s="69">
        <v>3870</v>
      </c>
      <c r="AD16" s="70">
        <v>4.05</v>
      </c>
      <c r="AE16" s="70">
        <v>8.09</v>
      </c>
      <c r="AF16" s="62">
        <f t="shared" si="18"/>
        <v>156.73500000000001</v>
      </c>
      <c r="AG16" s="63">
        <f t="shared" si="19"/>
        <v>313.08300000000003</v>
      </c>
      <c r="AH16" s="66">
        <v>4729.8999999999996</v>
      </c>
      <c r="AI16" s="66">
        <v>4.01</v>
      </c>
      <c r="AJ16" s="66">
        <v>8.11</v>
      </c>
      <c r="AK16" s="62">
        <f t="shared" si="20"/>
        <v>189.66898999999998</v>
      </c>
      <c r="AL16" s="72">
        <f t="shared" si="21"/>
        <v>383.59488999999991</v>
      </c>
      <c r="AM16" s="73">
        <f t="shared" si="22"/>
        <v>-39.220999999999549</v>
      </c>
      <c r="AN16" s="74">
        <f t="shared" si="23"/>
        <v>-2.5649970000000337</v>
      </c>
      <c r="AO16" s="74">
        <f t="shared" si="24"/>
        <v>-2.149560000000065</v>
      </c>
      <c r="AP16" s="75">
        <f t="shared" si="25"/>
        <v>-1.281522214592164E-2</v>
      </c>
      <c r="AQ16" s="76">
        <f t="shared" si="26"/>
        <v>-1876.3386235025407</v>
      </c>
      <c r="AR16" s="90">
        <f t="shared" si="27"/>
        <v>0.77900000000045111</v>
      </c>
    </row>
    <row r="17" spans="1:49" x14ac:dyDescent="0.25">
      <c r="A17" t="str">
        <f t="shared" si="10"/>
        <v>46210E</v>
      </c>
      <c r="B17" s="51">
        <f t="shared" si="28"/>
        <v>46210</v>
      </c>
      <c r="C17" s="52" t="s">
        <v>88</v>
      </c>
      <c r="D17" s="79">
        <v>4729.8999999999996</v>
      </c>
      <c r="E17" s="62">
        <v>4.01</v>
      </c>
      <c r="F17" s="62">
        <v>8.11</v>
      </c>
      <c r="G17" s="62">
        <f t="shared" si="11"/>
        <v>189.66898999999998</v>
      </c>
      <c r="H17" s="63">
        <f t="shared" si="12"/>
        <v>383.59488999999991</v>
      </c>
      <c r="I17" s="118">
        <v>5364.7</v>
      </c>
      <c r="J17" s="119">
        <v>5525.6409999999996</v>
      </c>
      <c r="K17" s="120">
        <v>3.9527280183421256</v>
      </c>
      <c r="L17" s="121">
        <v>8.0994855257516729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3"/>
        <v>5525.6409999999996</v>
      </c>
      <c r="S17" s="62">
        <f t="shared" si="14"/>
        <v>218.41355999999999</v>
      </c>
      <c r="T17" s="63">
        <f t="shared" si="15"/>
        <v>447.54849300000001</v>
      </c>
      <c r="U17" s="64" t="s">
        <v>176</v>
      </c>
      <c r="V17" s="65" t="s">
        <v>379</v>
      </c>
      <c r="W17" s="66" t="s">
        <v>184</v>
      </c>
      <c r="X17" s="67">
        <v>9250</v>
      </c>
      <c r="Y17" s="68">
        <v>3.98</v>
      </c>
      <c r="Z17" s="68">
        <v>8.06</v>
      </c>
      <c r="AA17" s="62">
        <f t="shared" si="29"/>
        <v>368.15000000000003</v>
      </c>
      <c r="AB17" s="63">
        <f t="shared" si="30"/>
        <v>745.55000000000007</v>
      </c>
      <c r="AC17" s="69">
        <v>9260</v>
      </c>
      <c r="AD17" s="70">
        <v>3.9674946004319653</v>
      </c>
      <c r="AE17" s="70">
        <v>7.9534989200863935</v>
      </c>
      <c r="AF17" s="62">
        <f t="shared" si="18"/>
        <v>367.39</v>
      </c>
      <c r="AG17" s="63">
        <f t="shared" si="19"/>
        <v>736.49400000000003</v>
      </c>
      <c r="AH17" s="66">
        <v>1005.5</v>
      </c>
      <c r="AI17" s="66">
        <v>3.97</v>
      </c>
      <c r="AJ17" s="66">
        <v>8.1</v>
      </c>
      <c r="AK17" s="62">
        <f t="shared" si="20"/>
        <v>39.918349999999997</v>
      </c>
      <c r="AL17" s="72">
        <f t="shared" si="21"/>
        <v>81.445499999999996</v>
      </c>
      <c r="AM17" s="73">
        <f t="shared" si="22"/>
        <v>-9.9590000000007421</v>
      </c>
      <c r="AN17" s="74">
        <f t="shared" si="23"/>
        <v>0.77419999999998623</v>
      </c>
      <c r="AO17" s="74">
        <f t="shared" si="24"/>
        <v>13.203882999999834</v>
      </c>
      <c r="AP17" s="75">
        <f t="shared" si="25"/>
        <v>2.0989308530466405E-2</v>
      </c>
      <c r="AQ17" s="76">
        <f t="shared" si="26"/>
        <v>4326.473708228471</v>
      </c>
      <c r="AR17" s="90">
        <f t="shared" si="27"/>
        <v>4.0999999999257852E-2</v>
      </c>
    </row>
    <row r="18" spans="1:49" x14ac:dyDescent="0.25">
      <c r="A18" t="str">
        <f t="shared" si="10"/>
        <v>46211M</v>
      </c>
      <c r="B18" s="51">
        <f t="shared" si="28"/>
        <v>46211</v>
      </c>
      <c r="C18" s="52" t="s">
        <v>87</v>
      </c>
      <c r="D18" s="79">
        <v>1005.5</v>
      </c>
      <c r="E18" s="62">
        <v>3.97</v>
      </c>
      <c r="F18" s="62">
        <v>8.1</v>
      </c>
      <c r="G18" s="62">
        <f t="shared" si="11"/>
        <v>39.918349999999997</v>
      </c>
      <c r="H18" s="63">
        <f t="shared" si="12"/>
        <v>81.445499999999996</v>
      </c>
      <c r="I18" s="118">
        <v>3449.5</v>
      </c>
      <c r="J18" s="119">
        <v>3552.9850000000001</v>
      </c>
      <c r="K18" s="120">
        <v>4.0380460936367593</v>
      </c>
      <c r="L18" s="121">
        <v>8.1316451659660842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3"/>
        <v>3552.9850000000001</v>
      </c>
      <c r="S18" s="62">
        <f t="shared" si="14"/>
        <v>143.47117200000002</v>
      </c>
      <c r="T18" s="63">
        <f t="shared" si="15"/>
        <v>288.91613300000006</v>
      </c>
      <c r="U18" s="64" t="s">
        <v>179</v>
      </c>
      <c r="V18" s="65" t="s">
        <v>380</v>
      </c>
      <c r="W18" s="66" t="s">
        <v>251</v>
      </c>
      <c r="X18" s="67">
        <v>3830</v>
      </c>
      <c r="Y18" s="68">
        <v>4</v>
      </c>
      <c r="Z18" s="68">
        <v>8.08</v>
      </c>
      <c r="AA18" s="62">
        <f t="shared" si="29"/>
        <v>153.20000000000002</v>
      </c>
      <c r="AB18" s="63">
        <f t="shared" si="30"/>
        <v>309.464</v>
      </c>
      <c r="AC18" s="69">
        <v>3850</v>
      </c>
      <c r="AD18" s="70">
        <v>3.9</v>
      </c>
      <c r="AE18" s="70">
        <v>8.06</v>
      </c>
      <c r="AF18" s="62">
        <f t="shared" si="18"/>
        <v>150.15</v>
      </c>
      <c r="AG18" s="63">
        <f t="shared" si="19"/>
        <v>310.31</v>
      </c>
      <c r="AH18" s="206">
        <v>728</v>
      </c>
      <c r="AI18" s="66">
        <v>4.0199999999999996</v>
      </c>
      <c r="AJ18" s="66">
        <v>8.1199999999999992</v>
      </c>
      <c r="AK18" s="62">
        <f t="shared" si="20"/>
        <v>29.265599999999996</v>
      </c>
      <c r="AL18" s="72">
        <f t="shared" si="21"/>
        <v>59.113599999999998</v>
      </c>
      <c r="AM18" s="73">
        <f t="shared" si="22"/>
        <v>-19.514999999999418</v>
      </c>
      <c r="AN18" s="74">
        <f t="shared" si="23"/>
        <v>3.9739220000000266</v>
      </c>
      <c r="AO18" s="74">
        <f t="shared" si="24"/>
        <v>0.93803300000003986</v>
      </c>
      <c r="AP18" s="75">
        <f t="shared" si="25"/>
        <v>1.1360081443649382E-2</v>
      </c>
      <c r="AQ18" s="76">
        <f t="shared" si="26"/>
        <v>2190.5313906077772</v>
      </c>
      <c r="AR18" s="90">
        <f t="shared" si="27"/>
        <v>0.48500000000058208</v>
      </c>
    </row>
    <row r="19" spans="1:49" x14ac:dyDescent="0.25">
      <c r="A19" t="str">
        <f t="shared" si="10"/>
        <v>46211E</v>
      </c>
      <c r="B19" s="51">
        <f t="shared" si="28"/>
        <v>46211</v>
      </c>
      <c r="C19" s="52" t="s">
        <v>88</v>
      </c>
      <c r="D19" s="79">
        <v>728</v>
      </c>
      <c r="E19" s="62">
        <v>4.0199999999999996</v>
      </c>
      <c r="F19" s="62">
        <v>8.1199999999999992</v>
      </c>
      <c r="G19" s="62">
        <f t="shared" si="11"/>
        <v>29.265599999999996</v>
      </c>
      <c r="H19" s="63">
        <f t="shared" si="12"/>
        <v>59.113599999999998</v>
      </c>
      <c r="I19" s="118">
        <v>4724.4999999999991</v>
      </c>
      <c r="J19" s="119">
        <v>4866.2349999999988</v>
      </c>
      <c r="K19" s="120">
        <v>3.9174536988041062</v>
      </c>
      <c r="L19" s="121">
        <v>8.0805439729071864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3"/>
        <v>4866.2349999999988</v>
      </c>
      <c r="S19" s="62">
        <f t="shared" si="14"/>
        <v>190.63250299999996</v>
      </c>
      <c r="T19" s="63">
        <f t="shared" si="15"/>
        <v>393.21825899999993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9"/>
        <v>0</v>
      </c>
      <c r="AB19" s="63">
        <f t="shared" si="30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206">
        <v>5594.2</v>
      </c>
      <c r="AI19" s="66">
        <v>3.93</v>
      </c>
      <c r="AJ19" s="66">
        <v>8.08</v>
      </c>
      <c r="AK19" s="62">
        <f t="shared" si="20"/>
        <v>219.85205999999999</v>
      </c>
      <c r="AL19" s="72">
        <f t="shared" si="21"/>
        <v>452.01135999999997</v>
      </c>
      <c r="AM19" s="73">
        <f t="shared" si="22"/>
        <v>3.4999999998944986E-2</v>
      </c>
      <c r="AN19" s="74">
        <f t="shared" si="23"/>
        <v>4.604299999996897E-2</v>
      </c>
      <c r="AO19" s="74">
        <f t="shared" si="24"/>
        <v>0.32049899999998388</v>
      </c>
      <c r="AP19" s="75">
        <f t="shared" si="25"/>
        <v>6.2780084202399813E-4</v>
      </c>
      <c r="AQ19" s="76">
        <f t="shared" si="26"/>
        <v>118.11175728916973</v>
      </c>
      <c r="AR19" s="90">
        <f t="shared" si="27"/>
        <v>3.4999999998944986E-2</v>
      </c>
      <c r="AS19" s="90">
        <f>SUM(J6:J19)</f>
        <v>67692.218000000008</v>
      </c>
      <c r="AT19" s="83">
        <f>SUM(AM6:AM19)</f>
        <v>-402.58200000000005</v>
      </c>
      <c r="AU19" s="83">
        <f>SUM(AN6:AN19)</f>
        <v>-24.012223999999893</v>
      </c>
      <c r="AV19" s="83">
        <f>SUM(AO6:AO19)</f>
        <v>-1.9864949999997492</v>
      </c>
      <c r="AW19" s="83">
        <f>-SUM(AQ6:AQ19)</f>
        <v>12133.592711769194</v>
      </c>
    </row>
    <row r="20" spans="1:49" x14ac:dyDescent="0.25">
      <c r="A20" t="str">
        <f t="shared" si="10"/>
        <v>46212M</v>
      </c>
      <c r="B20" s="51">
        <f t="shared" si="28"/>
        <v>46212</v>
      </c>
      <c r="C20" s="52" t="s">
        <v>87</v>
      </c>
      <c r="D20" s="79">
        <v>5594.2</v>
      </c>
      <c r="E20" s="62">
        <v>3.93</v>
      </c>
      <c r="F20" s="62">
        <v>8.08</v>
      </c>
      <c r="G20" s="62">
        <f t="shared" si="11"/>
        <v>219.85205999999999</v>
      </c>
      <c r="H20" s="63">
        <f t="shared" si="12"/>
        <v>452.01135999999997</v>
      </c>
      <c r="I20" s="118">
        <v>7817.4999999999991</v>
      </c>
      <c r="J20" s="119">
        <v>8052.0249999999996</v>
      </c>
      <c r="K20" s="120">
        <v>3.5879155740326194</v>
      </c>
      <c r="L20" s="121">
        <v>8.0920076750879453</v>
      </c>
      <c r="M20" s="58" t="s">
        <v>183</v>
      </c>
      <c r="N20" s="58" t="s">
        <v>377</v>
      </c>
      <c r="O20" s="59">
        <v>3178</v>
      </c>
      <c r="P20" s="56">
        <v>3.95</v>
      </c>
      <c r="Q20" s="60">
        <v>8</v>
      </c>
      <c r="R20" s="61">
        <f t="shared" si="13"/>
        <v>11230.025</v>
      </c>
      <c r="S20" s="62">
        <f t="shared" si="14"/>
        <v>414.430859</v>
      </c>
      <c r="T20" s="63">
        <f t="shared" si="15"/>
        <v>905.8104810000001</v>
      </c>
      <c r="U20" s="64" t="s">
        <v>207</v>
      </c>
      <c r="V20" s="65" t="s">
        <v>381</v>
      </c>
      <c r="W20" s="66" t="s">
        <v>184</v>
      </c>
      <c r="X20" s="67">
        <v>6280</v>
      </c>
      <c r="Y20" s="68">
        <v>3.77</v>
      </c>
      <c r="Z20" s="68">
        <v>7.91</v>
      </c>
      <c r="AA20" s="62">
        <f t="shared" si="29"/>
        <v>236.75599999999997</v>
      </c>
      <c r="AB20" s="63">
        <f t="shared" si="30"/>
        <v>496.74800000000005</v>
      </c>
      <c r="AC20" s="69">
        <v>6280</v>
      </c>
      <c r="AD20" s="70">
        <v>3.7000000000000006</v>
      </c>
      <c r="AE20" s="70">
        <v>7.9</v>
      </c>
      <c r="AF20" s="62">
        <f t="shared" si="18"/>
        <v>232.36000000000004</v>
      </c>
      <c r="AG20" s="63">
        <f t="shared" si="19"/>
        <v>496.12</v>
      </c>
      <c r="AH20" s="206">
        <v>10544.2</v>
      </c>
      <c r="AI20" s="66">
        <v>3.77</v>
      </c>
      <c r="AJ20" s="66">
        <v>8.06</v>
      </c>
      <c r="AK20" s="62">
        <f t="shared" si="20"/>
        <v>397.51634000000001</v>
      </c>
      <c r="AL20" s="72">
        <f t="shared" si="21"/>
        <v>849.86252000000013</v>
      </c>
      <c r="AM20" s="73">
        <f t="shared" si="22"/>
        <v>2.4999999997817213E-2</v>
      </c>
      <c r="AN20" s="74">
        <f t="shared" si="23"/>
        <v>4.4065789999999652</v>
      </c>
      <c r="AO20" s="74">
        <f t="shared" si="24"/>
        <v>11.839320999999813</v>
      </c>
      <c r="AP20" s="75">
        <f t="shared" si="25"/>
        <v>1.2305250190090078E-2</v>
      </c>
      <c r="AQ20" s="76">
        <f t="shared" si="26"/>
        <v>5663.2758677097663</v>
      </c>
      <c r="AR20" s="90">
        <f t="shared" si="27"/>
        <v>2.4999999997817213E-2</v>
      </c>
    </row>
    <row r="21" spans="1:49" x14ac:dyDescent="0.25">
      <c r="A21" t="str">
        <f t="shared" si="10"/>
        <v>46212E</v>
      </c>
      <c r="B21" s="51">
        <f t="shared" si="28"/>
        <v>46212</v>
      </c>
      <c r="C21" s="52" t="s">
        <v>88</v>
      </c>
      <c r="D21" s="79">
        <v>10544.2</v>
      </c>
      <c r="E21" s="62">
        <v>3.77</v>
      </c>
      <c r="F21" s="62">
        <v>8.06</v>
      </c>
      <c r="G21" s="62">
        <f t="shared" si="11"/>
        <v>397.51634000000001</v>
      </c>
      <c r="H21" s="63">
        <f t="shared" si="12"/>
        <v>849.86252000000013</v>
      </c>
      <c r="I21" s="118">
        <v>5624.4000000000024</v>
      </c>
      <c r="J21" s="119">
        <v>5793.1320000000023</v>
      </c>
      <c r="K21" s="120">
        <v>3.9731366901358358</v>
      </c>
      <c r="L21" s="121">
        <v>8.0994897233482668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3"/>
        <v>5793.1320000000023</v>
      </c>
      <c r="S21" s="62">
        <f t="shared" si="14"/>
        <v>230.16905300000005</v>
      </c>
      <c r="T21" s="63">
        <f t="shared" si="15"/>
        <v>469.21413100000012</v>
      </c>
      <c r="U21" s="64" t="s">
        <v>382</v>
      </c>
      <c r="V21" s="65" t="s">
        <v>383</v>
      </c>
      <c r="W21" s="66" t="s">
        <v>184</v>
      </c>
      <c r="X21" s="67">
        <v>13080</v>
      </c>
      <c r="Y21" s="68">
        <v>4.03</v>
      </c>
      <c r="Z21" s="68">
        <v>8.15</v>
      </c>
      <c r="AA21" s="62">
        <f t="shared" si="29"/>
        <v>527.12400000000002</v>
      </c>
      <c r="AB21" s="63">
        <f t="shared" si="30"/>
        <v>1066.02</v>
      </c>
      <c r="AC21" s="215">
        <v>13080</v>
      </c>
      <c r="AD21" s="216">
        <v>4.03</v>
      </c>
      <c r="AE21" s="216">
        <v>8.15</v>
      </c>
      <c r="AF21" s="62">
        <f t="shared" si="18"/>
        <v>527.12400000000002</v>
      </c>
      <c r="AG21" s="63">
        <f t="shared" si="19"/>
        <v>1066.02</v>
      </c>
      <c r="AH21" s="206">
        <v>3257.3</v>
      </c>
      <c r="AI21" s="66">
        <v>3.84</v>
      </c>
      <c r="AJ21" s="66">
        <v>8.07</v>
      </c>
      <c r="AK21" s="62">
        <f t="shared" si="20"/>
        <v>125.08032</v>
      </c>
      <c r="AL21" s="72">
        <f t="shared" si="21"/>
        <v>262.86411000000004</v>
      </c>
      <c r="AM21" s="73">
        <f t="shared" si="22"/>
        <v>3.2000000001971785E-2</v>
      </c>
      <c r="AN21" s="74">
        <f t="shared" si="23"/>
        <v>-24.518926999999934</v>
      </c>
      <c r="AO21" s="74">
        <f t="shared" si="24"/>
        <v>-9.8074589999997102</v>
      </c>
      <c r="AP21" s="75">
        <f t="shared" si="25"/>
        <v>-4.9080942729671978E-2</v>
      </c>
      <c r="AQ21" s="76">
        <f t="shared" si="26"/>
        <v>-14719.389086422347</v>
      </c>
      <c r="AR21" s="90">
        <f t="shared" si="27"/>
        <v>3.2000000002881279E-2</v>
      </c>
    </row>
    <row r="22" spans="1:49" x14ac:dyDescent="0.25">
      <c r="A22" t="str">
        <f t="shared" si="10"/>
        <v>46213M</v>
      </c>
      <c r="B22" s="51">
        <f t="shared" si="28"/>
        <v>46213</v>
      </c>
      <c r="C22" s="52" t="s">
        <v>87</v>
      </c>
      <c r="D22" s="79"/>
      <c r="E22" s="62"/>
      <c r="F22" s="62"/>
      <c r="G22" s="62">
        <f t="shared" si="11"/>
        <v>0</v>
      </c>
      <c r="H22" s="63">
        <f t="shared" si="12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3"/>
        <v>0</v>
      </c>
      <c r="S22" s="62">
        <f t="shared" si="14"/>
        <v>0</v>
      </c>
      <c r="T22" s="63">
        <f t="shared" si="15"/>
        <v>0</v>
      </c>
      <c r="U22" s="64"/>
      <c r="V22" s="65"/>
      <c r="W22" s="66"/>
      <c r="X22" s="67"/>
      <c r="Y22" s="68"/>
      <c r="Z22" s="68"/>
      <c r="AA22" s="62">
        <f t="shared" ref="AA22:AA35" si="31">X22*Y22%</f>
        <v>0</v>
      </c>
      <c r="AB22" s="63">
        <f t="shared" ref="AB22:AB35" si="32">X22*Z22%</f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206"/>
      <c r="AI22" s="66"/>
      <c r="AJ22" s="66"/>
      <c r="AK22" s="62">
        <f t="shared" si="20"/>
        <v>0</v>
      </c>
      <c r="AL22" s="72">
        <f t="shared" si="21"/>
        <v>0</v>
      </c>
      <c r="AM22" s="73">
        <f t="shared" si="22"/>
        <v>0</v>
      </c>
      <c r="AN22" s="74">
        <f t="shared" si="23"/>
        <v>0</v>
      </c>
      <c r="AO22" s="74">
        <f t="shared" si="24"/>
        <v>0</v>
      </c>
      <c r="AP22" s="75" t="e">
        <f t="shared" si="25"/>
        <v>#DIV/0!</v>
      </c>
      <c r="AQ22" s="76">
        <f t="shared" si="26"/>
        <v>0</v>
      </c>
      <c r="AR22" s="90">
        <f t="shared" si="27"/>
        <v>0</v>
      </c>
    </row>
    <row r="23" spans="1:49" x14ac:dyDescent="0.25">
      <c r="A23" t="str">
        <f t="shared" si="10"/>
        <v>46213E</v>
      </c>
      <c r="B23" s="51">
        <f t="shared" si="28"/>
        <v>46213</v>
      </c>
      <c r="C23" s="52" t="s">
        <v>88</v>
      </c>
      <c r="D23" s="79"/>
      <c r="E23" s="62"/>
      <c r="F23" s="62"/>
      <c r="G23" s="62">
        <f t="shared" si="11"/>
        <v>0</v>
      </c>
      <c r="H23" s="63">
        <f t="shared" si="12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3"/>
        <v>0</v>
      </c>
      <c r="S23" s="62">
        <f t="shared" si="14"/>
        <v>0</v>
      </c>
      <c r="T23" s="63">
        <f t="shared" si="15"/>
        <v>0</v>
      </c>
      <c r="U23" s="64"/>
      <c r="V23" s="65"/>
      <c r="W23" s="66"/>
      <c r="X23" s="67"/>
      <c r="Y23" s="68"/>
      <c r="Z23" s="68"/>
      <c r="AA23" s="62">
        <f t="shared" si="31"/>
        <v>0</v>
      </c>
      <c r="AB23" s="63">
        <f t="shared" si="32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206"/>
      <c r="AI23" s="66"/>
      <c r="AJ23" s="66"/>
      <c r="AK23" s="62">
        <f t="shared" si="20"/>
        <v>0</v>
      </c>
      <c r="AL23" s="72">
        <f t="shared" si="21"/>
        <v>0</v>
      </c>
      <c r="AM23" s="73">
        <f t="shared" si="22"/>
        <v>0</v>
      </c>
      <c r="AN23" s="74">
        <f t="shared" si="23"/>
        <v>0</v>
      </c>
      <c r="AO23" s="74">
        <f t="shared" si="24"/>
        <v>0</v>
      </c>
      <c r="AP23" s="75" t="e">
        <f t="shared" si="25"/>
        <v>#DIV/0!</v>
      </c>
      <c r="AQ23" s="76">
        <f t="shared" si="26"/>
        <v>0</v>
      </c>
      <c r="AR23" s="90">
        <f t="shared" si="27"/>
        <v>0</v>
      </c>
    </row>
    <row r="24" spans="1:49" x14ac:dyDescent="0.25">
      <c r="A24" t="str">
        <f t="shared" si="10"/>
        <v>46214M</v>
      </c>
      <c r="B24" s="51">
        <f t="shared" si="28"/>
        <v>46214</v>
      </c>
      <c r="C24" s="52" t="s">
        <v>87</v>
      </c>
      <c r="D24" s="79"/>
      <c r="E24" s="62"/>
      <c r="F24" s="62"/>
      <c r="G24" s="62">
        <f t="shared" si="11"/>
        <v>0</v>
      </c>
      <c r="H24" s="63">
        <f t="shared" si="12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31"/>
        <v>0</v>
      </c>
      <c r="AB24" s="63">
        <f t="shared" si="32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206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3"/>
        <v>0</v>
      </c>
      <c r="AO24" s="74">
        <f t="shared" si="24"/>
        <v>0</v>
      </c>
      <c r="AP24" s="75" t="e">
        <f t="shared" si="25"/>
        <v>#DIV/0!</v>
      </c>
      <c r="AQ24" s="76">
        <f t="shared" si="26"/>
        <v>0</v>
      </c>
      <c r="AR24" s="90">
        <f t="shared" si="27"/>
        <v>0</v>
      </c>
    </row>
    <row r="25" spans="1:49" x14ac:dyDescent="0.25">
      <c r="A25" t="str">
        <f t="shared" si="10"/>
        <v>46214E</v>
      </c>
      <c r="B25" s="51">
        <f t="shared" si="28"/>
        <v>46214</v>
      </c>
      <c r="C25" s="52" t="s">
        <v>88</v>
      </c>
      <c r="D25" s="79"/>
      <c r="E25" s="62"/>
      <c r="F25" s="62"/>
      <c r="G25" s="62">
        <f t="shared" si="11"/>
        <v>0</v>
      </c>
      <c r="H25" s="63">
        <f t="shared" si="12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31"/>
        <v>0</v>
      </c>
      <c r="AB25" s="63">
        <f t="shared" si="32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206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3"/>
        <v>0</v>
      </c>
      <c r="AO25" s="74">
        <f t="shared" si="24"/>
        <v>0</v>
      </c>
      <c r="AP25" s="75" t="e">
        <f t="shared" si="25"/>
        <v>#DIV/0!</v>
      </c>
      <c r="AQ25" s="76">
        <f t="shared" si="26"/>
        <v>0</v>
      </c>
      <c r="AR25" s="90">
        <f t="shared" si="27"/>
        <v>0</v>
      </c>
    </row>
    <row r="26" spans="1:49" x14ac:dyDescent="0.25">
      <c r="A26" t="str">
        <f t="shared" si="10"/>
        <v>46215M</v>
      </c>
      <c r="B26" s="51">
        <f t="shared" si="28"/>
        <v>46215</v>
      </c>
      <c r="C26" s="52" t="s">
        <v>87</v>
      </c>
      <c r="D26" s="79"/>
      <c r="E26" s="62"/>
      <c r="F26" s="62"/>
      <c r="G26" s="62">
        <f t="shared" si="11"/>
        <v>0</v>
      </c>
      <c r="H26" s="63">
        <f t="shared" si="12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31"/>
        <v>0</v>
      </c>
      <c r="AB26" s="63">
        <f t="shared" si="32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206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26"/>
        <v>0</v>
      </c>
      <c r="AR26" s="90">
        <f t="shared" si="27"/>
        <v>0</v>
      </c>
    </row>
    <row r="27" spans="1:49" x14ac:dyDescent="0.25">
      <c r="A27" t="str">
        <f t="shared" si="10"/>
        <v>46215E</v>
      </c>
      <c r="B27" s="51">
        <f t="shared" si="28"/>
        <v>46215</v>
      </c>
      <c r="C27" s="52" t="s">
        <v>88</v>
      </c>
      <c r="D27" s="79"/>
      <c r="E27" s="62"/>
      <c r="F27" s="62"/>
      <c r="G27" s="62">
        <f t="shared" si="11"/>
        <v>0</v>
      </c>
      <c r="H27" s="63">
        <f t="shared" si="12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31"/>
        <v>0</v>
      </c>
      <c r="AB27" s="63">
        <f t="shared" si="32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206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26"/>
        <v>0</v>
      </c>
      <c r="AR27" s="90">
        <f t="shared" si="27"/>
        <v>0</v>
      </c>
    </row>
    <row r="28" spans="1:49" x14ac:dyDescent="0.25">
      <c r="A28" t="str">
        <f t="shared" si="10"/>
        <v>46216M</v>
      </c>
      <c r="B28" s="51">
        <f t="shared" si="28"/>
        <v>46216</v>
      </c>
      <c r="C28" s="52" t="s">
        <v>87</v>
      </c>
      <c r="D28" s="79"/>
      <c r="E28" s="62"/>
      <c r="F28" s="62"/>
      <c r="G28" s="62">
        <f t="shared" si="11"/>
        <v>0</v>
      </c>
      <c r="H28" s="63">
        <f t="shared" si="12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31"/>
        <v>0</v>
      </c>
      <c r="AB28" s="63">
        <f t="shared" si="32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206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26"/>
        <v>0</v>
      </c>
      <c r="AR28" s="90">
        <f t="shared" si="27"/>
        <v>0</v>
      </c>
    </row>
    <row r="29" spans="1:49" x14ac:dyDescent="0.25">
      <c r="A29" t="str">
        <f t="shared" si="10"/>
        <v>46216E</v>
      </c>
      <c r="B29" s="51">
        <f t="shared" si="28"/>
        <v>46216</v>
      </c>
      <c r="C29" s="52" t="s">
        <v>88</v>
      </c>
      <c r="D29" s="79"/>
      <c r="E29" s="62"/>
      <c r="F29" s="62"/>
      <c r="G29" s="62">
        <f t="shared" si="11"/>
        <v>0</v>
      </c>
      <c r="H29" s="63">
        <f t="shared" si="12"/>
        <v>0</v>
      </c>
      <c r="I29" s="118"/>
      <c r="J29" s="119"/>
      <c r="K29" s="120"/>
      <c r="L29" s="121"/>
      <c r="M29" s="58"/>
      <c r="N29" s="58"/>
      <c r="O29" s="59"/>
      <c r="P29" s="56"/>
      <c r="Q29" s="60"/>
      <c r="R29" s="61">
        <f>+J29+O29</f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31"/>
        <v>0</v>
      </c>
      <c r="AB29" s="63">
        <f t="shared" si="32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206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26"/>
        <v>0</v>
      </c>
      <c r="AR29" s="90">
        <f t="shared" si="27"/>
        <v>0</v>
      </c>
    </row>
    <row r="30" spans="1:49" x14ac:dyDescent="0.25">
      <c r="A30" t="str">
        <f t="shared" si="10"/>
        <v>46217M</v>
      </c>
      <c r="B30" s="51">
        <f t="shared" si="28"/>
        <v>46217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31"/>
        <v>0</v>
      </c>
      <c r="AB30" s="63">
        <f t="shared" si="32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206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26"/>
        <v>0</v>
      </c>
      <c r="AR30" s="90">
        <f t="shared" si="27"/>
        <v>0</v>
      </c>
    </row>
    <row r="31" spans="1:49" x14ac:dyDescent="0.25">
      <c r="A31" t="str">
        <f t="shared" si="10"/>
        <v>46217E</v>
      </c>
      <c r="B31" s="51">
        <f t="shared" si="28"/>
        <v>46217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85"/>
      <c r="W31" s="66"/>
      <c r="X31" s="67"/>
      <c r="Y31" s="68"/>
      <c r="Z31" s="68"/>
      <c r="AA31" s="62">
        <f t="shared" si="31"/>
        <v>0</v>
      </c>
      <c r="AB31" s="63">
        <f t="shared" si="32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206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26"/>
        <v>0</v>
      </c>
      <c r="AR31" s="90">
        <f t="shared" si="27"/>
        <v>0</v>
      </c>
      <c r="AS31" s="90">
        <f>SUM(J18:J31)</f>
        <v>22264.377</v>
      </c>
      <c r="AT31" s="83">
        <f>SUM(AM18:AM31)</f>
        <v>-19.423000000000684</v>
      </c>
      <c r="AU31" s="83">
        <f>SUM(AN18:AN31)</f>
        <v>-16.092382999999973</v>
      </c>
      <c r="AV31" s="83">
        <f>SUM(AO18:AO31)</f>
        <v>3.2903940000001271</v>
      </c>
      <c r="AW31" s="83">
        <f>-SUM(AQ18:AQ31)</f>
        <v>6747.4700708156333</v>
      </c>
    </row>
    <row r="32" spans="1:49" x14ac:dyDescent="0.25">
      <c r="A32" t="str">
        <f t="shared" si="10"/>
        <v>46218M</v>
      </c>
      <c r="B32" s="51">
        <f t="shared" si="28"/>
        <v>46218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118"/>
      <c r="J32" s="119"/>
      <c r="K32" s="120"/>
      <c r="L32" s="121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31"/>
        <v>0</v>
      </c>
      <c r="AB32" s="63">
        <f t="shared" si="32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26"/>
        <v>0</v>
      </c>
      <c r="AR32" s="90">
        <f t="shared" si="27"/>
        <v>0</v>
      </c>
    </row>
    <row r="33" spans="1:49" x14ac:dyDescent="0.25">
      <c r="A33" t="str">
        <f t="shared" si="10"/>
        <v>46218E</v>
      </c>
      <c r="B33" s="51">
        <f t="shared" si="28"/>
        <v>46218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31"/>
        <v>0</v>
      </c>
      <c r="AB33" s="63">
        <f t="shared" si="32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26"/>
        <v>0</v>
      </c>
      <c r="AR33" s="90">
        <f t="shared" si="27"/>
        <v>0</v>
      </c>
    </row>
    <row r="34" spans="1:49" x14ac:dyDescent="0.25">
      <c r="A34" t="str">
        <f t="shared" si="10"/>
        <v>46219M</v>
      </c>
      <c r="B34" s="51">
        <f t="shared" si="28"/>
        <v>46219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31"/>
        <v>0</v>
      </c>
      <c r="AB34" s="63">
        <f t="shared" si="32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26"/>
        <v>0</v>
      </c>
      <c r="AR34" s="90">
        <f t="shared" si="27"/>
        <v>0</v>
      </c>
    </row>
    <row r="35" spans="1:49" x14ac:dyDescent="0.25">
      <c r="A35" t="str">
        <f t="shared" si="10"/>
        <v>46219E</v>
      </c>
      <c r="B35" s="51">
        <f t="shared" si="28"/>
        <v>46219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31"/>
        <v>0</v>
      </c>
      <c r="AB35" s="63">
        <f t="shared" si="32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26"/>
        <v>0</v>
      </c>
      <c r="AR35" s="90">
        <f t="shared" si="27"/>
        <v>0</v>
      </c>
    </row>
    <row r="36" spans="1:49" x14ac:dyDescent="0.25">
      <c r="A36" t="str">
        <f t="shared" si="10"/>
        <v>46220M</v>
      </c>
      <c r="B36" s="51">
        <f t="shared" si="28"/>
        <v>46220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85"/>
      <c r="W36" s="66"/>
      <c r="X36" s="67"/>
      <c r="Y36" s="68"/>
      <c r="Z36" s="68"/>
      <c r="AA36" s="62">
        <f t="shared" ref="AA36" si="33">X36*Y36%</f>
        <v>0</v>
      </c>
      <c r="AB36" s="63">
        <f t="shared" ref="AB36" si="34">X36*Z36%</f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26"/>
        <v>0</v>
      </c>
      <c r="AR36" s="90">
        <f>(D36+J36+O36)-(X36+AH36)</f>
        <v>0</v>
      </c>
    </row>
    <row r="37" spans="1:49" x14ac:dyDescent="0.25">
      <c r="A37" t="str">
        <f t="shared" si="10"/>
        <v>46220E</v>
      </c>
      <c r="B37" s="51">
        <f t="shared" si="28"/>
        <v>46220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ref="R37:R49" si="35">+J37+O37</f>
        <v>0</v>
      </c>
      <c r="S37" s="62">
        <f t="shared" ref="S37:S49" si="36">+J37*K37%+O37*P37%</f>
        <v>0</v>
      </c>
      <c r="T37" s="63">
        <f t="shared" ref="T37:T49" si="37">+J37*L37%+O37*Q37%</f>
        <v>0</v>
      </c>
      <c r="U37" s="64"/>
      <c r="V37" s="65"/>
      <c r="W37" s="66"/>
      <c r="X37" s="67"/>
      <c r="Y37" s="68"/>
      <c r="Z37" s="68"/>
      <c r="AA37" s="62">
        <f t="shared" ref="AA37:AA50" si="38">X37*Y37%</f>
        <v>0</v>
      </c>
      <c r="AB37" s="63">
        <f t="shared" ref="AB37:AB50" si="39">X37*Z37%</f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26"/>
        <v>0</v>
      </c>
      <c r="AR37" s="90">
        <f>(D37+J37+O37)-(X37+AH37)</f>
        <v>0</v>
      </c>
    </row>
    <row r="38" spans="1:49" x14ac:dyDescent="0.25">
      <c r="A38" t="str">
        <f t="shared" si="10"/>
        <v>46221M</v>
      </c>
      <c r="B38" s="51">
        <f t="shared" si="28"/>
        <v>46221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35"/>
        <v>0</v>
      </c>
      <c r="S38" s="62">
        <f t="shared" si="36"/>
        <v>0</v>
      </c>
      <c r="T38" s="63">
        <f t="shared" si="37"/>
        <v>0</v>
      </c>
      <c r="U38" s="64"/>
      <c r="V38" s="65"/>
      <c r="W38" s="66"/>
      <c r="X38" s="67"/>
      <c r="Y38" s="68"/>
      <c r="Z38" s="68"/>
      <c r="AA38" s="62">
        <f t="shared" si="38"/>
        <v>0</v>
      </c>
      <c r="AB38" s="63">
        <f t="shared" si="39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26"/>
        <v>0</v>
      </c>
      <c r="AR38" s="90">
        <f>(D38+J38+O38)-(X38+AH38)</f>
        <v>0</v>
      </c>
    </row>
    <row r="39" spans="1:49" x14ac:dyDescent="0.25">
      <c r="A39" t="str">
        <f t="shared" si="10"/>
        <v>46221E</v>
      </c>
      <c r="B39" s="51">
        <f t="shared" si="28"/>
        <v>46221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35"/>
        <v>0</v>
      </c>
      <c r="S39" s="62">
        <f t="shared" si="36"/>
        <v>0</v>
      </c>
      <c r="T39" s="63">
        <f t="shared" si="37"/>
        <v>0</v>
      </c>
      <c r="U39" s="64"/>
      <c r="V39" s="65"/>
      <c r="W39" s="66"/>
      <c r="X39" s="67"/>
      <c r="Y39" s="68"/>
      <c r="Z39" s="68"/>
      <c r="AA39" s="62">
        <f t="shared" si="38"/>
        <v>0</v>
      </c>
      <c r="AB39" s="63">
        <f t="shared" si="39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26"/>
        <v>0</v>
      </c>
      <c r="AR39" s="90">
        <f>(D39+J39+O39)-(X39+AH39)</f>
        <v>0</v>
      </c>
    </row>
    <row r="40" spans="1:49" x14ac:dyDescent="0.25">
      <c r="A40" t="str">
        <f t="shared" si="10"/>
        <v>46222M</v>
      </c>
      <c r="B40" s="51">
        <f t="shared" si="28"/>
        <v>46222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35"/>
        <v>0</v>
      </c>
      <c r="S40" s="62">
        <f t="shared" si="36"/>
        <v>0</v>
      </c>
      <c r="T40" s="63">
        <f t="shared" si="37"/>
        <v>0</v>
      </c>
      <c r="U40" s="64"/>
      <c r="V40" s="65"/>
      <c r="W40" s="66"/>
      <c r="X40" s="67"/>
      <c r="Y40" s="68"/>
      <c r="Z40" s="68"/>
      <c r="AA40" s="62">
        <f t="shared" si="38"/>
        <v>0</v>
      </c>
      <c r="AB40" s="63">
        <f t="shared" si="39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90">
        <f t="shared" ref="AR40:AR51" si="40">(D40+J40+O40)-(X40+AH40)</f>
        <v>0</v>
      </c>
    </row>
    <row r="41" spans="1:49" x14ac:dyDescent="0.25">
      <c r="A41" t="str">
        <f t="shared" si="10"/>
        <v>46222E</v>
      </c>
      <c r="B41" s="51">
        <f t="shared" si="28"/>
        <v>46222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35"/>
        <v>0</v>
      </c>
      <c r="S41" s="62">
        <f t="shared" si="36"/>
        <v>0</v>
      </c>
      <c r="T41" s="63">
        <f t="shared" si="37"/>
        <v>0</v>
      </c>
      <c r="U41" s="64"/>
      <c r="V41" s="65"/>
      <c r="W41" s="66"/>
      <c r="X41" s="67"/>
      <c r="Y41" s="68"/>
      <c r="Z41" s="68"/>
      <c r="AA41" s="62">
        <f t="shared" si="38"/>
        <v>0</v>
      </c>
      <c r="AB41" s="63">
        <f t="shared" si="39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90">
        <f t="shared" si="40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x14ac:dyDescent="0.25">
      <c r="A42" t="str">
        <f t="shared" si="10"/>
        <v>46223M</v>
      </c>
      <c r="B42" s="51">
        <f t="shared" si="28"/>
        <v>46223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35"/>
        <v>0</v>
      </c>
      <c r="S42" s="62">
        <f t="shared" si="36"/>
        <v>0</v>
      </c>
      <c r="T42" s="63">
        <f t="shared" si="37"/>
        <v>0</v>
      </c>
      <c r="U42" s="64"/>
      <c r="V42" s="65"/>
      <c r="W42" s="66"/>
      <c r="X42" s="67"/>
      <c r="Y42" s="68"/>
      <c r="Z42" s="68"/>
      <c r="AA42" s="62">
        <f t="shared" si="38"/>
        <v>0</v>
      </c>
      <c r="AB42" s="63">
        <f t="shared" si="39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90">
        <f t="shared" si="40"/>
        <v>0</v>
      </c>
    </row>
    <row r="43" spans="1:49" x14ac:dyDescent="0.25">
      <c r="A43" t="str">
        <f t="shared" si="10"/>
        <v>46223E</v>
      </c>
      <c r="B43" s="51">
        <f t="shared" si="28"/>
        <v>46223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35"/>
        <v>0</v>
      </c>
      <c r="S43" s="62">
        <f t="shared" si="36"/>
        <v>0</v>
      </c>
      <c r="T43" s="63">
        <f t="shared" si="37"/>
        <v>0</v>
      </c>
      <c r="U43" s="64"/>
      <c r="V43" s="65"/>
      <c r="W43" s="66"/>
      <c r="X43" s="67"/>
      <c r="Y43" s="68"/>
      <c r="Z43" s="68"/>
      <c r="AA43" s="62">
        <f t="shared" si="38"/>
        <v>0</v>
      </c>
      <c r="AB43" s="63">
        <f t="shared" si="39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90">
        <f t="shared" si="40"/>
        <v>0</v>
      </c>
    </row>
    <row r="44" spans="1:49" x14ac:dyDescent="0.25">
      <c r="A44" t="str">
        <f t="shared" si="10"/>
        <v>46224M</v>
      </c>
      <c r="B44" s="51">
        <f t="shared" si="28"/>
        <v>46224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35"/>
        <v>0</v>
      </c>
      <c r="S44" s="62">
        <f t="shared" si="36"/>
        <v>0</v>
      </c>
      <c r="T44" s="63">
        <f t="shared" si="37"/>
        <v>0</v>
      </c>
      <c r="U44" s="64"/>
      <c r="V44" s="65"/>
      <c r="W44" s="66"/>
      <c r="X44" s="67"/>
      <c r="Y44" s="68"/>
      <c r="Z44" s="68"/>
      <c r="AA44" s="62">
        <f t="shared" si="38"/>
        <v>0</v>
      </c>
      <c r="AB44" s="63">
        <f t="shared" si="39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90">
        <f t="shared" si="40"/>
        <v>0</v>
      </c>
    </row>
    <row r="45" spans="1:49" x14ac:dyDescent="0.25">
      <c r="A45" t="str">
        <f t="shared" si="10"/>
        <v>46224E</v>
      </c>
      <c r="B45" s="51">
        <f t="shared" si="28"/>
        <v>46224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35"/>
        <v>0</v>
      </c>
      <c r="S45" s="62">
        <f t="shared" si="36"/>
        <v>0</v>
      </c>
      <c r="T45" s="63">
        <f t="shared" si="37"/>
        <v>0</v>
      </c>
      <c r="U45" s="64"/>
      <c r="V45" s="65"/>
      <c r="W45" s="66"/>
      <c r="X45" s="67"/>
      <c r="Y45" s="68"/>
      <c r="Z45" s="68"/>
      <c r="AA45" s="62">
        <f t="shared" si="38"/>
        <v>0</v>
      </c>
      <c r="AB45" s="63">
        <f t="shared" si="39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90">
        <f t="shared" si="40"/>
        <v>0</v>
      </c>
    </row>
    <row r="46" spans="1:49" x14ac:dyDescent="0.25">
      <c r="A46" t="str">
        <f t="shared" si="10"/>
        <v>46225M</v>
      </c>
      <c r="B46" s="51">
        <f t="shared" si="28"/>
        <v>46225</v>
      </c>
      <c r="C46" s="52" t="s">
        <v>87</v>
      </c>
      <c r="D46" s="79"/>
      <c r="E46" s="62"/>
      <c r="F46" s="62"/>
      <c r="G46" s="62">
        <f t="shared" ref="G46:G49" si="41">+D46*E46%</f>
        <v>0</v>
      </c>
      <c r="H46" s="63">
        <f t="shared" ref="H46:H49" si="42">+D46*F46%</f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35"/>
        <v>0</v>
      </c>
      <c r="S46" s="62">
        <f t="shared" si="36"/>
        <v>0</v>
      </c>
      <c r="T46" s="63">
        <f t="shared" si="37"/>
        <v>0</v>
      </c>
      <c r="U46" s="64"/>
      <c r="V46" s="65"/>
      <c r="W46" s="66"/>
      <c r="X46" s="67"/>
      <c r="Y46" s="68"/>
      <c r="Z46" s="68"/>
      <c r="AA46" s="62">
        <f t="shared" si="38"/>
        <v>0</v>
      </c>
      <c r="AB46" s="63">
        <f t="shared" si="39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90">
        <f t="shared" si="40"/>
        <v>0</v>
      </c>
    </row>
    <row r="47" spans="1:49" x14ac:dyDescent="0.25">
      <c r="A47" t="str">
        <f t="shared" si="10"/>
        <v>46225E</v>
      </c>
      <c r="B47" s="51">
        <f t="shared" si="28"/>
        <v>46225</v>
      </c>
      <c r="C47" s="52" t="s">
        <v>88</v>
      </c>
      <c r="D47" s="79"/>
      <c r="E47" s="62"/>
      <c r="F47" s="62"/>
      <c r="G47" s="62">
        <f t="shared" si="41"/>
        <v>0</v>
      </c>
      <c r="H47" s="63">
        <f t="shared" si="42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35"/>
        <v>0</v>
      </c>
      <c r="S47" s="62">
        <f t="shared" si="36"/>
        <v>0</v>
      </c>
      <c r="T47" s="63">
        <f t="shared" si="37"/>
        <v>0</v>
      </c>
      <c r="U47" s="64"/>
      <c r="V47" s="65"/>
      <c r="W47" s="66"/>
      <c r="X47" s="67"/>
      <c r="Y47" s="68"/>
      <c r="Z47" s="68"/>
      <c r="AA47" s="62">
        <f t="shared" si="38"/>
        <v>0</v>
      </c>
      <c r="AB47" s="63">
        <f t="shared" si="39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90">
        <f t="shared" si="40"/>
        <v>0</v>
      </c>
    </row>
    <row r="48" spans="1:49" x14ac:dyDescent="0.25">
      <c r="A48" t="str">
        <f t="shared" si="10"/>
        <v>46226M</v>
      </c>
      <c r="B48" s="51">
        <f t="shared" si="28"/>
        <v>46226</v>
      </c>
      <c r="C48" s="52" t="s">
        <v>87</v>
      </c>
      <c r="D48" s="79"/>
      <c r="E48" s="62"/>
      <c r="F48" s="62"/>
      <c r="G48" s="62">
        <f t="shared" si="41"/>
        <v>0</v>
      </c>
      <c r="H48" s="63">
        <f t="shared" si="42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35"/>
        <v>0</v>
      </c>
      <c r="S48" s="62">
        <f t="shared" si="36"/>
        <v>0</v>
      </c>
      <c r="T48" s="63">
        <f>+J48*L48%+O48*Q48%</f>
        <v>0</v>
      </c>
      <c r="U48" s="64"/>
      <c r="V48" s="65"/>
      <c r="W48" s="66"/>
      <c r="X48" s="67"/>
      <c r="Y48" s="68"/>
      <c r="Z48" s="68"/>
      <c r="AA48" s="62">
        <f t="shared" si="38"/>
        <v>0</v>
      </c>
      <c r="AB48" s="63">
        <f t="shared" si="39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90">
        <f t="shared" si="40"/>
        <v>0</v>
      </c>
    </row>
    <row r="49" spans="1:49" x14ac:dyDescent="0.25">
      <c r="A49" t="str">
        <f t="shared" si="10"/>
        <v>46226E</v>
      </c>
      <c r="B49" s="51">
        <f t="shared" si="28"/>
        <v>46226</v>
      </c>
      <c r="C49" s="52" t="s">
        <v>88</v>
      </c>
      <c r="D49" s="79"/>
      <c r="E49" s="62"/>
      <c r="F49" s="62"/>
      <c r="G49" s="62">
        <f t="shared" si="41"/>
        <v>0</v>
      </c>
      <c r="H49" s="63">
        <f t="shared" si="42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si="35"/>
        <v>0</v>
      </c>
      <c r="S49" s="62">
        <f t="shared" si="36"/>
        <v>0</v>
      </c>
      <c r="T49" s="63">
        <f t="shared" si="37"/>
        <v>0</v>
      </c>
      <c r="U49" s="64"/>
      <c r="V49" s="65"/>
      <c r="W49" s="66"/>
      <c r="X49" s="67"/>
      <c r="Y49" s="68"/>
      <c r="Z49" s="68"/>
      <c r="AA49" s="62">
        <f t="shared" si="38"/>
        <v>0</v>
      </c>
      <c r="AB49" s="63">
        <f t="shared" si="39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90">
        <f>(D49+J49+O49)-(X49+AH49)</f>
        <v>0</v>
      </c>
    </row>
    <row r="50" spans="1:49" x14ac:dyDescent="0.25">
      <c r="A50" t="str">
        <f t="shared" si="10"/>
        <v>46227M</v>
      </c>
      <c r="B50" s="51">
        <f t="shared" si="28"/>
        <v>46227</v>
      </c>
      <c r="C50" s="52" t="s">
        <v>87</v>
      </c>
      <c r="D50" s="79"/>
      <c r="E50" s="62"/>
      <c r="F50" s="62"/>
      <c r="G50" s="62">
        <f t="shared" ref="G50:G57" si="43">+D50*E50%</f>
        <v>0</v>
      </c>
      <c r="H50" s="63">
        <f t="shared" ref="H50:H57" si="44">+D50*F50%</f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ref="R50" si="45">+J50+O50</f>
        <v>0</v>
      </c>
      <c r="S50" s="62">
        <f t="shared" ref="S50" si="46">+J50*K50%+O50*P50%</f>
        <v>0</v>
      </c>
      <c r="T50" s="63">
        <f t="shared" ref="T50" si="47">+J50*L50%+O50*Q50%</f>
        <v>0</v>
      </c>
      <c r="U50" s="64"/>
      <c r="V50" s="65"/>
      <c r="W50" s="66"/>
      <c r="X50" s="67"/>
      <c r="Y50" s="68"/>
      <c r="Z50" s="68"/>
      <c r="AA50" s="62">
        <f t="shared" si="38"/>
        <v>0</v>
      </c>
      <c r="AB50" s="63">
        <f t="shared" si="39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90">
        <f t="shared" si="40"/>
        <v>0</v>
      </c>
    </row>
    <row r="51" spans="1:49" x14ac:dyDescent="0.25">
      <c r="A51" t="str">
        <f t="shared" si="10"/>
        <v>46227E</v>
      </c>
      <c r="B51" s="51">
        <f t="shared" si="28"/>
        <v>46227</v>
      </c>
      <c r="C51" s="52" t="s">
        <v>88</v>
      </c>
      <c r="D51" s="79"/>
      <c r="E51" s="62"/>
      <c r="F51" s="62"/>
      <c r="G51" s="62">
        <f t="shared" si="43"/>
        <v>0</v>
      </c>
      <c r="H51" s="63">
        <f t="shared" si="44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ref="R51:R59" si="48">+J51+O51</f>
        <v>0</v>
      </c>
      <c r="S51" s="62">
        <f t="shared" ref="S51:S59" si="49">+J51*K51%+O51*P51%</f>
        <v>0</v>
      </c>
      <c r="T51" s="63">
        <f t="shared" ref="T51:T59" si="50">+J51*L51%+O51*Q51%</f>
        <v>0</v>
      </c>
      <c r="U51" s="64"/>
      <c r="V51" s="85"/>
      <c r="W51" s="66"/>
      <c r="X51" s="67"/>
      <c r="Y51" s="68"/>
      <c r="Z51" s="68"/>
      <c r="AA51" s="62">
        <f t="shared" ref="AA51:AA59" si="51">X51*Y51%</f>
        <v>0</v>
      </c>
      <c r="AB51" s="63">
        <f t="shared" ref="AB51:AB59" si="52">X51*Z51%</f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90">
        <f t="shared" si="40"/>
        <v>0</v>
      </c>
    </row>
    <row r="52" spans="1:49" x14ac:dyDescent="0.25">
      <c r="A52" t="str">
        <f t="shared" si="10"/>
        <v>46228M</v>
      </c>
      <c r="B52" s="51">
        <f t="shared" si="28"/>
        <v>46228</v>
      </c>
      <c r="C52" s="52" t="s">
        <v>87</v>
      </c>
      <c r="D52" s="79"/>
      <c r="E52" s="62"/>
      <c r="F52" s="62"/>
      <c r="G52" s="62">
        <f t="shared" si="43"/>
        <v>0</v>
      </c>
      <c r="H52" s="63">
        <f t="shared" si="44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48"/>
        <v>0</v>
      </c>
      <c r="S52" s="62">
        <f t="shared" si="49"/>
        <v>0</v>
      </c>
      <c r="T52" s="63">
        <f t="shared" si="50"/>
        <v>0</v>
      </c>
      <c r="U52" s="64"/>
      <c r="V52" s="65"/>
      <c r="W52" s="66"/>
      <c r="X52" s="67"/>
      <c r="Y52" s="68"/>
      <c r="Z52" s="68"/>
      <c r="AA52" s="62">
        <f t="shared" si="51"/>
        <v>0</v>
      </c>
      <c r="AB52" s="63">
        <f t="shared" si="52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83">
        <f t="shared" ref="AR52:AR65" si="53">(D52+J52+O52)-(X52+AH52)</f>
        <v>0</v>
      </c>
    </row>
    <row r="53" spans="1:49" x14ac:dyDescent="0.25">
      <c r="A53" t="str">
        <f t="shared" si="10"/>
        <v>46228E</v>
      </c>
      <c r="B53" s="51">
        <f t="shared" si="28"/>
        <v>46228</v>
      </c>
      <c r="C53" s="52" t="s">
        <v>88</v>
      </c>
      <c r="D53" s="79"/>
      <c r="E53" s="62"/>
      <c r="F53" s="62"/>
      <c r="G53" s="62">
        <f t="shared" si="43"/>
        <v>0</v>
      </c>
      <c r="H53" s="63">
        <f t="shared" si="44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48"/>
        <v>0</v>
      </c>
      <c r="S53" s="62">
        <f t="shared" si="49"/>
        <v>0</v>
      </c>
      <c r="T53" s="63">
        <f t="shared" si="50"/>
        <v>0</v>
      </c>
      <c r="U53" s="64"/>
      <c r="V53" s="65"/>
      <c r="W53" s="66"/>
      <c r="X53" s="67"/>
      <c r="Y53" s="68"/>
      <c r="Z53" s="68"/>
      <c r="AA53" s="62">
        <f t="shared" si="51"/>
        <v>0</v>
      </c>
      <c r="AB53" s="63">
        <f t="shared" si="52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83">
        <f t="shared" si="53"/>
        <v>0</v>
      </c>
    </row>
    <row r="54" spans="1:49" x14ac:dyDescent="0.25">
      <c r="A54" t="str">
        <f t="shared" si="10"/>
        <v>46229M</v>
      </c>
      <c r="B54" s="51">
        <f t="shared" si="28"/>
        <v>46229</v>
      </c>
      <c r="C54" s="52" t="s">
        <v>87</v>
      </c>
      <c r="D54" s="79"/>
      <c r="E54" s="62"/>
      <c r="F54" s="62"/>
      <c r="G54" s="62">
        <f t="shared" si="43"/>
        <v>0</v>
      </c>
      <c r="H54" s="63">
        <f t="shared" si="44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48"/>
        <v>0</v>
      </c>
      <c r="S54" s="62">
        <f t="shared" si="49"/>
        <v>0</v>
      </c>
      <c r="T54" s="63">
        <f t="shared" si="50"/>
        <v>0</v>
      </c>
      <c r="U54" s="64"/>
      <c r="V54" s="65"/>
      <c r="W54" s="66"/>
      <c r="X54" s="67"/>
      <c r="Y54" s="68"/>
      <c r="Z54" s="68"/>
      <c r="AA54" s="62">
        <f t="shared" si="51"/>
        <v>0</v>
      </c>
      <c r="AB54" s="63">
        <f t="shared" si="52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83">
        <f t="shared" si="53"/>
        <v>0</v>
      </c>
    </row>
    <row r="55" spans="1:49" x14ac:dyDescent="0.25">
      <c r="A55" t="str">
        <f t="shared" si="10"/>
        <v>46229E</v>
      </c>
      <c r="B55" s="51">
        <f t="shared" si="28"/>
        <v>46229</v>
      </c>
      <c r="C55" s="52" t="s">
        <v>88</v>
      </c>
      <c r="D55" s="79"/>
      <c r="E55" s="62"/>
      <c r="F55" s="62"/>
      <c r="G55" s="62">
        <f t="shared" si="43"/>
        <v>0</v>
      </c>
      <c r="H55" s="63">
        <f t="shared" si="44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48"/>
        <v>0</v>
      </c>
      <c r="S55" s="62">
        <f t="shared" si="49"/>
        <v>0</v>
      </c>
      <c r="T55" s="63">
        <f t="shared" si="50"/>
        <v>0</v>
      </c>
      <c r="U55" s="64"/>
      <c r="V55" s="65"/>
      <c r="W55" s="66"/>
      <c r="X55" s="67"/>
      <c r="Y55" s="68"/>
      <c r="Z55" s="68"/>
      <c r="AA55" s="62">
        <f t="shared" si="51"/>
        <v>0</v>
      </c>
      <c r="AB55" s="63">
        <f t="shared" si="52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83">
        <f t="shared" si="53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0"/>
        <v>46230M</v>
      </c>
      <c r="B56" s="51">
        <f t="shared" si="28"/>
        <v>46230</v>
      </c>
      <c r="C56" s="52" t="s">
        <v>87</v>
      </c>
      <c r="D56" s="79"/>
      <c r="E56" s="62"/>
      <c r="F56" s="62"/>
      <c r="G56" s="62">
        <f t="shared" si="43"/>
        <v>0</v>
      </c>
      <c r="H56" s="63">
        <f t="shared" si="44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48"/>
        <v>0</v>
      </c>
      <c r="S56" s="62">
        <f t="shared" si="49"/>
        <v>0</v>
      </c>
      <c r="T56" s="63">
        <f t="shared" si="50"/>
        <v>0</v>
      </c>
      <c r="U56" s="64"/>
      <c r="V56" s="65"/>
      <c r="W56" s="66"/>
      <c r="X56" s="67"/>
      <c r="Y56" s="68"/>
      <c r="Z56" s="68"/>
      <c r="AA56" s="62">
        <f t="shared" si="51"/>
        <v>0</v>
      </c>
      <c r="AB56" s="63">
        <f t="shared" si="52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83">
        <f t="shared" si="53"/>
        <v>0</v>
      </c>
    </row>
    <row r="57" spans="1:49" x14ac:dyDescent="0.25">
      <c r="A57" t="str">
        <f t="shared" si="10"/>
        <v>46230E</v>
      </c>
      <c r="B57" s="51">
        <f t="shared" si="28"/>
        <v>46230</v>
      </c>
      <c r="C57" s="52" t="s">
        <v>88</v>
      </c>
      <c r="D57" s="79"/>
      <c r="E57" s="62"/>
      <c r="F57" s="62"/>
      <c r="G57" s="62">
        <f t="shared" si="43"/>
        <v>0</v>
      </c>
      <c r="H57" s="63">
        <f t="shared" si="44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48"/>
        <v>0</v>
      </c>
      <c r="S57" s="62">
        <f t="shared" si="49"/>
        <v>0</v>
      </c>
      <c r="T57" s="63">
        <f t="shared" si="50"/>
        <v>0</v>
      </c>
      <c r="U57" s="64"/>
      <c r="V57" s="65"/>
      <c r="W57" s="66"/>
      <c r="X57" s="67"/>
      <c r="Y57" s="68"/>
      <c r="Z57" s="68"/>
      <c r="AA57" s="62">
        <f t="shared" si="51"/>
        <v>0</v>
      </c>
      <c r="AB57" s="63">
        <f t="shared" si="52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83">
        <f t="shared" si="53"/>
        <v>0</v>
      </c>
    </row>
    <row r="58" spans="1:49" x14ac:dyDescent="0.25">
      <c r="A58" t="str">
        <f t="shared" si="10"/>
        <v>46231M</v>
      </c>
      <c r="B58" s="51">
        <f t="shared" si="28"/>
        <v>46231</v>
      </c>
      <c r="C58" s="52" t="s">
        <v>87</v>
      </c>
      <c r="D58" s="79"/>
      <c r="E58" s="62"/>
      <c r="F58" s="62"/>
      <c r="G58" s="62">
        <f t="shared" ref="G58:G63" si="54">+D58*E58%</f>
        <v>0</v>
      </c>
      <c r="H58" s="63">
        <f t="shared" ref="H58:H63" si="55">+D58*F58%</f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48"/>
        <v>0</v>
      </c>
      <c r="S58" s="62">
        <f t="shared" si="49"/>
        <v>0</v>
      </c>
      <c r="T58" s="63">
        <f t="shared" si="50"/>
        <v>0</v>
      </c>
      <c r="U58" s="64"/>
      <c r="V58" s="65"/>
      <c r="W58" s="66"/>
      <c r="X58" s="67"/>
      <c r="Y58" s="68"/>
      <c r="Z58" s="68"/>
      <c r="AA58" s="62">
        <f t="shared" si="51"/>
        <v>0</v>
      </c>
      <c r="AB58" s="63">
        <f t="shared" si="52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90">
        <f t="shared" si="53"/>
        <v>0</v>
      </c>
    </row>
    <row r="59" spans="1:49" x14ac:dyDescent="0.25">
      <c r="A59" t="str">
        <f t="shared" si="10"/>
        <v>46231E</v>
      </c>
      <c r="B59" s="51">
        <f t="shared" si="28"/>
        <v>46231</v>
      </c>
      <c r="C59" s="52" t="s">
        <v>88</v>
      </c>
      <c r="D59" s="79"/>
      <c r="E59" s="62"/>
      <c r="F59" s="62"/>
      <c r="G59" s="62">
        <f t="shared" si="54"/>
        <v>0</v>
      </c>
      <c r="H59" s="63">
        <f t="shared" si="55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48"/>
        <v>0</v>
      </c>
      <c r="S59" s="62">
        <f t="shared" si="49"/>
        <v>0</v>
      </c>
      <c r="T59" s="63">
        <f t="shared" si="50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90">
        <f t="shared" si="53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0"/>
        <v>46232M</v>
      </c>
      <c r="B60" s="51">
        <f t="shared" si="28"/>
        <v>46232</v>
      </c>
      <c r="C60" s="52" t="s">
        <v>87</v>
      </c>
      <c r="D60" s="79"/>
      <c r="E60" s="62"/>
      <c r="F60" s="62"/>
      <c r="G60" s="62">
        <f t="shared" si="54"/>
        <v>0</v>
      </c>
      <c r="H60" s="63">
        <f t="shared" si="55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ref="R60:R65" si="56">+J60+O60</f>
        <v>0</v>
      </c>
      <c r="S60" s="62">
        <f t="shared" ref="S60:S65" si="57">+J60*K60%+O60*P60%</f>
        <v>0</v>
      </c>
      <c r="T60" s="63">
        <f t="shared" ref="T60:T65" si="58">+J60*L60%+O60*Q60%</f>
        <v>0</v>
      </c>
      <c r="U60" s="64"/>
      <c r="V60" s="65"/>
      <c r="W60" s="66"/>
      <c r="X60" s="67"/>
      <c r="Y60" s="68"/>
      <c r="Z60" s="68"/>
      <c r="AA60" s="62">
        <f t="shared" ref="AA60:AA65" si="59">X60*Y60%</f>
        <v>0</v>
      </c>
      <c r="AB60" s="63">
        <f t="shared" ref="AB60:AB65" si="60">X60*Z60%</f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90">
        <f t="shared" si="53"/>
        <v>0</v>
      </c>
    </row>
    <row r="61" spans="1:49" x14ac:dyDescent="0.25">
      <c r="A61" t="str">
        <f t="shared" si="10"/>
        <v>46232E</v>
      </c>
      <c r="B61" s="51">
        <f t="shared" si="28"/>
        <v>46232</v>
      </c>
      <c r="C61" s="52" t="s">
        <v>88</v>
      </c>
      <c r="D61" s="79"/>
      <c r="E61" s="62"/>
      <c r="F61" s="62"/>
      <c r="G61" s="62">
        <f t="shared" si="54"/>
        <v>0</v>
      </c>
      <c r="H61" s="63">
        <f t="shared" si="55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56"/>
        <v>0</v>
      </c>
      <c r="S61" s="62">
        <f t="shared" si="57"/>
        <v>0</v>
      </c>
      <c r="T61" s="63">
        <f t="shared" si="58"/>
        <v>0</v>
      </c>
      <c r="U61" s="64"/>
      <c r="V61" s="65"/>
      <c r="W61" s="66"/>
      <c r="X61" s="67"/>
      <c r="Y61" s="68"/>
      <c r="Z61" s="68"/>
      <c r="AA61" s="62">
        <f t="shared" si="59"/>
        <v>0</v>
      </c>
      <c r="AB61" s="63">
        <f t="shared" si="60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90">
        <f t="shared" si="53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46233M</v>
      </c>
      <c r="B62" s="51">
        <f t="shared" si="28"/>
        <v>46233</v>
      </c>
      <c r="C62" s="52" t="s">
        <v>87</v>
      </c>
      <c r="D62" s="79"/>
      <c r="E62" s="62"/>
      <c r="F62" s="62"/>
      <c r="G62" s="62">
        <f t="shared" si="54"/>
        <v>0</v>
      </c>
      <c r="H62" s="63">
        <f t="shared" si="55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56"/>
        <v>0</v>
      </c>
      <c r="S62" s="62">
        <f t="shared" si="57"/>
        <v>0</v>
      </c>
      <c r="T62" s="63">
        <f t="shared" si="58"/>
        <v>0</v>
      </c>
      <c r="U62" s="64"/>
      <c r="V62" s="65"/>
      <c r="W62" s="66"/>
      <c r="X62" s="67"/>
      <c r="Y62" s="68"/>
      <c r="Z62" s="68"/>
      <c r="AA62" s="62">
        <f t="shared" si="59"/>
        <v>0</v>
      </c>
      <c r="AB62" s="63">
        <f t="shared" si="60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90">
        <f t="shared" si="53"/>
        <v>0</v>
      </c>
    </row>
    <row r="63" spans="1:49" x14ac:dyDescent="0.25">
      <c r="A63" t="str">
        <f t="shared" si="10"/>
        <v>46233E</v>
      </c>
      <c r="B63" s="51">
        <f t="shared" si="28"/>
        <v>46233</v>
      </c>
      <c r="C63" s="52" t="s">
        <v>88</v>
      </c>
      <c r="D63" s="79"/>
      <c r="E63" s="62"/>
      <c r="F63" s="62"/>
      <c r="G63" s="62">
        <f t="shared" si="54"/>
        <v>0</v>
      </c>
      <c r="H63" s="63">
        <f t="shared" si="55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56"/>
        <v>0</v>
      </c>
      <c r="S63" s="62">
        <f t="shared" si="57"/>
        <v>0</v>
      </c>
      <c r="T63" s="63">
        <f t="shared" si="58"/>
        <v>0</v>
      </c>
      <c r="U63" s="64"/>
      <c r="V63" s="65"/>
      <c r="W63" s="66"/>
      <c r="X63" s="67"/>
      <c r="Y63" s="68"/>
      <c r="Z63" s="68"/>
      <c r="AA63" s="62">
        <f t="shared" si="59"/>
        <v>0</v>
      </c>
      <c r="AB63" s="63">
        <f t="shared" si="60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90">
        <f t="shared" si="53"/>
        <v>0</v>
      </c>
    </row>
    <row r="64" spans="1:49" x14ac:dyDescent="0.25">
      <c r="A64" t="str">
        <f t="shared" si="10"/>
        <v>46234M</v>
      </c>
      <c r="B64" s="51">
        <f t="shared" si="28"/>
        <v>46234</v>
      </c>
      <c r="C64" s="52" t="s">
        <v>87</v>
      </c>
      <c r="D64" s="79"/>
      <c r="E64" s="62"/>
      <c r="F64" s="62"/>
      <c r="G64" s="62">
        <f t="shared" ref="G64:G65" si="61">+D64*E64%</f>
        <v>0</v>
      </c>
      <c r="H64" s="63">
        <f t="shared" ref="H64:H65" si="62">+D64*F64%</f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56"/>
        <v>0</v>
      </c>
      <c r="S64" s="62">
        <f t="shared" si="57"/>
        <v>0</v>
      </c>
      <c r="T64" s="63">
        <f t="shared" si="58"/>
        <v>0</v>
      </c>
      <c r="U64" s="64"/>
      <c r="V64" s="65"/>
      <c r="W64" s="66"/>
      <c r="X64" s="67"/>
      <c r="Y64" s="68"/>
      <c r="Z64" s="68"/>
      <c r="AA64" s="62">
        <f t="shared" si="59"/>
        <v>0</v>
      </c>
      <c r="AB64" s="63">
        <f t="shared" si="60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90">
        <f t="shared" si="53"/>
        <v>0</v>
      </c>
    </row>
    <row r="65" spans="1:49" x14ac:dyDescent="0.25">
      <c r="A65" t="str">
        <f t="shared" si="10"/>
        <v>46234E</v>
      </c>
      <c r="B65" s="51">
        <f t="shared" si="28"/>
        <v>46234</v>
      </c>
      <c r="C65" s="52" t="s">
        <v>88</v>
      </c>
      <c r="D65" s="79"/>
      <c r="E65" s="62"/>
      <c r="F65" s="62"/>
      <c r="G65" s="62">
        <f t="shared" si="61"/>
        <v>0</v>
      </c>
      <c r="H65" s="63">
        <f t="shared" si="62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56"/>
        <v>0</v>
      </c>
      <c r="S65" s="62">
        <f t="shared" si="57"/>
        <v>0</v>
      </c>
      <c r="T65" s="63">
        <f t="shared" si="58"/>
        <v>0</v>
      </c>
      <c r="U65" s="64"/>
      <c r="V65" s="65"/>
      <c r="W65" s="66"/>
      <c r="X65" s="67"/>
      <c r="Y65" s="68"/>
      <c r="Z65" s="68"/>
      <c r="AA65" s="62">
        <f t="shared" si="59"/>
        <v>0</v>
      </c>
      <c r="AB65" s="63">
        <f t="shared" si="60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90">
        <f t="shared" si="53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91716.865000000005</v>
      </c>
      <c r="AM66" s="97">
        <f>-SUM(AM4:AM65)</f>
        <v>422.43500000000148</v>
      </c>
      <c r="AN66" s="97">
        <f>-SUM(AN4:AN65)</f>
        <v>29.61859199999985</v>
      </c>
      <c r="AO66" s="97">
        <f>-SUM(AO4:AO65)</f>
        <v>-30.884407000000195</v>
      </c>
      <c r="AQ66" s="97">
        <f>-SUM(AQ4:AQ65)</f>
        <v>4983.0924875764686</v>
      </c>
    </row>
    <row r="68" spans="1:49" x14ac:dyDescent="0.25">
      <c r="AQ68">
        <v>17745.614131332622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2" operator="lessThan">
      <formula>0.1</formula>
    </cfRule>
    <cfRule type="cellIs" dxfId="18" priority="3" operator="greaterThan">
      <formula>0.1</formula>
    </cfRule>
  </conditionalFormatting>
  <conditionalFormatting sqref="AP1:AQ1">
    <cfRule type="cellIs" dxfId="17" priority="1" operator="lessThan">
      <formula>1</formula>
    </cfRule>
  </conditionalFormatting>
  <conditionalFormatting sqref="AQ4:AQ65">
    <cfRule type="cellIs" dxfId="16" priority="18" operator="lessThan">
      <formula>0</formula>
    </cfRule>
    <cfRule type="cellIs" dxfId="15" priority="1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H8" sqref="AH8:AJ21"/>
    </sheetView>
  </sheetViews>
  <sheetFormatPr defaultRowHeight="15" x14ac:dyDescent="0.25"/>
  <cols>
    <col min="1" max="1" width="3.42578125" customWidth="1"/>
    <col min="2" max="2" width="14" customWidth="1"/>
    <col min="3" max="3" width="5.7109375" bestFit="1" customWidth="1"/>
    <col min="4" max="4" width="7.85546875" bestFit="1" customWidth="1"/>
    <col min="5" max="5" width="5.85546875" bestFit="1" customWidth="1"/>
    <col min="6" max="6" width="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10.7109375" bestFit="1" customWidth="1"/>
    <col min="22" max="22" width="9" customWidth="1"/>
    <col min="23" max="23" width="10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4.42578125" bestFit="1" customWidth="1"/>
    <col min="45" max="45" width="6.5703125" bestFit="1" customWidth="1"/>
    <col min="46" max="46" width="7.5703125" bestFit="1" customWidth="1"/>
    <col min="47" max="47" width="5.7109375" bestFit="1" customWidth="1"/>
    <col min="48" max="48" width="6.5703125" bestFit="1" customWidth="1"/>
    <col min="49" max="49" width="9.28515625" bestFit="1" customWidth="1"/>
  </cols>
  <sheetData>
    <row r="1" spans="1:44" ht="15.75" thickBot="1" x14ac:dyDescent="0.3">
      <c r="B1" s="43" t="s">
        <v>135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/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5243</v>
      </c>
      <c r="E4" s="88">
        <v>4.04</v>
      </c>
      <c r="F4" s="88">
        <v>8.1300000000000008</v>
      </c>
      <c r="G4" s="62">
        <f t="shared" ref="G4" si="0">+D4*E4%</f>
        <v>211.81719999999999</v>
      </c>
      <c r="H4" s="63">
        <f t="shared" ref="H4" si="1">+D4*F4%</f>
        <v>426.25590000000005</v>
      </c>
      <c r="I4" s="202">
        <v>1481.2</v>
      </c>
      <c r="J4" s="202">
        <v>1525.6360000000002</v>
      </c>
      <c r="K4" s="202">
        <v>4.2333175803402634</v>
      </c>
      <c r="L4" s="202">
        <v>8.2070010802052362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1525.6360000000002</v>
      </c>
      <c r="S4" s="62">
        <f>+J4*K4%+O4*P4%</f>
        <v>64.585016999999993</v>
      </c>
      <c r="T4" s="63">
        <f>+J4*L4%+O4*Q4%</f>
        <v>125.20896299999998</v>
      </c>
      <c r="U4" s="64" t="s">
        <v>179</v>
      </c>
      <c r="V4" s="65" t="s">
        <v>216</v>
      </c>
      <c r="W4" s="66" t="s">
        <v>184</v>
      </c>
      <c r="X4" s="67">
        <v>3830</v>
      </c>
      <c r="Y4" s="68">
        <v>4.3499999999999996</v>
      </c>
      <c r="Z4" s="68">
        <v>8.2799999999999994</v>
      </c>
      <c r="AA4" s="62">
        <f t="shared" ref="AA4" si="2">X4*Y4%</f>
        <v>166.60499999999999</v>
      </c>
      <c r="AB4" s="63">
        <f t="shared" ref="AB4" si="3">X4*Z4%</f>
        <v>317.12399999999997</v>
      </c>
      <c r="AC4" s="69">
        <v>3850</v>
      </c>
      <c r="AD4" s="70">
        <v>4.3499999999999996</v>
      </c>
      <c r="AE4" s="70">
        <v>8.2799999999999994</v>
      </c>
      <c r="AF4" s="62">
        <f t="shared" ref="AF4" si="4">AC4*AD4%</f>
        <v>167.47499999999999</v>
      </c>
      <c r="AG4" s="63">
        <f t="shared" ref="AG4" si="5">AC4*AE4%</f>
        <v>318.77999999999997</v>
      </c>
      <c r="AH4" s="66">
        <v>2938</v>
      </c>
      <c r="AI4" s="66">
        <v>4.08</v>
      </c>
      <c r="AJ4" s="66">
        <v>8.14</v>
      </c>
      <c r="AK4" s="62">
        <f t="shared" ref="AK4" si="6">AH4*AI4%</f>
        <v>119.8704</v>
      </c>
      <c r="AL4" s="72">
        <f t="shared" ref="AL4" si="7">AH4*AJ4%</f>
        <v>239.1532</v>
      </c>
      <c r="AM4" s="73">
        <f>+D4+R4-AC4-AH4</f>
        <v>-19.363999999999578</v>
      </c>
      <c r="AN4" s="74">
        <f t="shared" ref="AN4:AO19" si="8">+G4+S4-AF4-AK4</f>
        <v>-10.943183000000047</v>
      </c>
      <c r="AO4" s="74">
        <f t="shared" si="8"/>
        <v>-6.4683369999999343</v>
      </c>
      <c r="AP4" s="75">
        <f>(AN4+AO4)/(S4+T4)</f>
        <v>-9.1739053051103012E-2</v>
      </c>
      <c r="AQ4" s="76">
        <f t="shared" ref="AQ4:AQ65" si="9">($AP$1*AN4+$AQ$1*AO4)</f>
        <v>-7195.7649400502687</v>
      </c>
      <c r="AR4" s="90">
        <f>(D4+J4+O4)-(X4+AH4)</f>
        <v>0.63600000000042201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2938</v>
      </c>
      <c r="E5" s="62">
        <v>4.08</v>
      </c>
      <c r="F5" s="62">
        <v>8.14</v>
      </c>
      <c r="G5" s="62">
        <f t="shared" ref="G5:G65" si="11">+D5*E5%</f>
        <v>119.8704</v>
      </c>
      <c r="H5" s="63">
        <f t="shared" ref="H5:H65" si="12">+D5*F5%</f>
        <v>239.1532</v>
      </c>
      <c r="I5" s="202">
        <v>2153.1999999999998</v>
      </c>
      <c r="J5" s="202">
        <v>2217.7959999999998</v>
      </c>
      <c r="K5" s="202">
        <v>4.0051411852127066</v>
      </c>
      <c r="L5" s="202">
        <v>8.0886680289801234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2217.7959999999998</v>
      </c>
      <c r="S5" s="62">
        <f t="shared" ref="S5:S65" si="14">+J5*K5%+O5*P5%</f>
        <v>88.825860999999989</v>
      </c>
      <c r="T5" s="63">
        <f t="shared" ref="T5:T65" si="15">+J5*L5%+O5*Q5%</f>
        <v>179.39015599999999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66">
        <v>5155</v>
      </c>
      <c r="AI5" s="66">
        <v>4.04</v>
      </c>
      <c r="AJ5" s="66">
        <v>8.11</v>
      </c>
      <c r="AK5" s="62">
        <f t="shared" ref="AK5:AK65" si="20">AH5*AI5%</f>
        <v>208.262</v>
      </c>
      <c r="AL5" s="72">
        <f t="shared" ref="AL5:AL65" si="21">AH5*AJ5%</f>
        <v>418.07049999999998</v>
      </c>
      <c r="AM5" s="73">
        <f t="shared" ref="AM5:AM65" si="22">+D5+R5-AC5-AH5</f>
        <v>0.79600000000027649</v>
      </c>
      <c r="AN5" s="74">
        <f t="shared" si="8"/>
        <v>0.43426099999999224</v>
      </c>
      <c r="AO5" s="74">
        <f t="shared" si="8"/>
        <v>0.47285600000003569</v>
      </c>
      <c r="AP5" s="75">
        <f t="shared" ref="AP5:AP65" si="23">(AN5+AO5)/(S5+T5)</f>
        <v>3.3820388884532129E-3</v>
      </c>
      <c r="AQ5" s="76">
        <f t="shared" si="9"/>
        <v>350.29270653759272</v>
      </c>
      <c r="AR5" s="90">
        <f t="shared" ref="AR5:AR65" si="24">(D5+J5+O5)-(X5+AH5)</f>
        <v>0.79600000000027649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5155</v>
      </c>
      <c r="E6" s="62">
        <v>4.04</v>
      </c>
      <c r="F6" s="62">
        <v>8.11</v>
      </c>
      <c r="G6" s="62">
        <f t="shared" si="11"/>
        <v>208.262</v>
      </c>
      <c r="H6" s="63">
        <f t="shared" si="12"/>
        <v>418.07049999999998</v>
      </c>
      <c r="I6" s="202">
        <v>1406.8000000000004</v>
      </c>
      <c r="J6" s="202">
        <v>1449.0040000000004</v>
      </c>
      <c r="K6" s="202">
        <v>4.3141669036110306</v>
      </c>
      <c r="L6" s="202">
        <v>8.1631930622689772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1449.0040000000004</v>
      </c>
      <c r="S6" s="62">
        <f t="shared" si="14"/>
        <v>62.512450999999992</v>
      </c>
      <c r="T6" s="63">
        <f t="shared" si="15"/>
        <v>118.284994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6604</v>
      </c>
      <c r="AI6" s="66">
        <v>4.09</v>
      </c>
      <c r="AJ6" s="66">
        <v>8.1199999999999992</v>
      </c>
      <c r="AK6" s="62">
        <f t="shared" si="20"/>
        <v>270.10359999999997</v>
      </c>
      <c r="AL6" s="72">
        <f t="shared" si="21"/>
        <v>536.24479999999994</v>
      </c>
      <c r="AM6" s="73">
        <f t="shared" si="22"/>
        <v>4.0000000008149073E-3</v>
      </c>
      <c r="AN6" s="74">
        <f t="shared" si="8"/>
        <v>0.6708510000000274</v>
      </c>
      <c r="AO6" s="74">
        <f t="shared" si="8"/>
        <v>0.11069400000008045</v>
      </c>
      <c r="AP6" s="75">
        <f t="shared" si="23"/>
        <v>4.3227657337752082E-3</v>
      </c>
      <c r="AQ6" s="76">
        <f t="shared" si="9"/>
        <v>355.51760684767055</v>
      </c>
      <c r="AR6" s="90">
        <f t="shared" si="24"/>
        <v>4.0000000008149073E-3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6604</v>
      </c>
      <c r="E7" s="62">
        <v>4.09</v>
      </c>
      <c r="F7" s="62">
        <v>8.1199999999999992</v>
      </c>
      <c r="G7" s="62">
        <f t="shared" si="11"/>
        <v>270.10359999999997</v>
      </c>
      <c r="H7" s="63">
        <f t="shared" si="12"/>
        <v>536.24479999999994</v>
      </c>
      <c r="I7" s="202">
        <v>2196.5</v>
      </c>
      <c r="J7" s="202">
        <v>2262.395</v>
      </c>
      <c r="K7" s="202">
        <v>3.9252356020942409</v>
      </c>
      <c r="L7" s="202">
        <v>8.0570635101297494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2262.395</v>
      </c>
      <c r="S7" s="62">
        <f t="shared" si="14"/>
        <v>88.804333999999997</v>
      </c>
      <c r="T7" s="63">
        <f t="shared" si="15"/>
        <v>182.28260199999997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8740</v>
      </c>
      <c r="AI7" s="66">
        <v>4.04</v>
      </c>
      <c r="AJ7" s="66">
        <v>8.09</v>
      </c>
      <c r="AK7" s="62">
        <f t="shared" si="20"/>
        <v>353.096</v>
      </c>
      <c r="AL7" s="72">
        <f t="shared" si="21"/>
        <v>707.06600000000003</v>
      </c>
      <c r="AM7" s="73">
        <f t="shared" si="22"/>
        <v>126.39500000000044</v>
      </c>
      <c r="AN7" s="74">
        <f t="shared" si="8"/>
        <v>5.8119339999999511</v>
      </c>
      <c r="AO7" s="74">
        <f t="shared" si="8"/>
        <v>11.461401999999907</v>
      </c>
      <c r="AP7" s="75">
        <f t="shared" si="23"/>
        <v>6.3718806427469674E-2</v>
      </c>
      <c r="AQ7" s="76">
        <f t="shared" si="9"/>
        <v>6225.4113084198707</v>
      </c>
      <c r="AR7" s="90">
        <f t="shared" si="24"/>
        <v>126.39500000000044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8740</v>
      </c>
      <c r="E8" s="62">
        <v>4.04</v>
      </c>
      <c r="F8" s="62">
        <v>8.09</v>
      </c>
      <c r="G8" s="62">
        <f t="shared" si="11"/>
        <v>353.096</v>
      </c>
      <c r="H8" s="63">
        <f t="shared" si="12"/>
        <v>707.06600000000003</v>
      </c>
      <c r="I8" s="202">
        <v>1250.6000000000001</v>
      </c>
      <c r="J8" s="202">
        <v>1288.1180000000002</v>
      </c>
      <c r="K8" s="202">
        <v>4.3277946585638896</v>
      </c>
      <c r="L8" s="202">
        <v>8.1850071965456586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1288.1180000000002</v>
      </c>
      <c r="S8" s="62">
        <f t="shared" si="14"/>
        <v>55.747102000000012</v>
      </c>
      <c r="T8" s="63">
        <f t="shared" si="15"/>
        <v>105.43255100000002</v>
      </c>
      <c r="U8" s="64" t="s">
        <v>179</v>
      </c>
      <c r="V8" s="65" t="s">
        <v>290</v>
      </c>
      <c r="W8" s="66" t="s">
        <v>184</v>
      </c>
      <c r="X8" s="67">
        <v>3830</v>
      </c>
      <c r="Y8" s="68">
        <v>4.2</v>
      </c>
      <c r="Z8" s="68">
        <v>8.3699999999999992</v>
      </c>
      <c r="AA8" s="62">
        <f t="shared" si="16"/>
        <v>160.86000000000001</v>
      </c>
      <c r="AB8" s="63">
        <f t="shared" si="17"/>
        <v>320.57099999999997</v>
      </c>
      <c r="AC8" s="69">
        <v>3840</v>
      </c>
      <c r="AD8" s="70">
        <v>4.0999999999999996</v>
      </c>
      <c r="AE8" s="70">
        <v>8.35</v>
      </c>
      <c r="AF8" s="62">
        <f t="shared" si="18"/>
        <v>157.43999999999997</v>
      </c>
      <c r="AG8" s="63">
        <f t="shared" si="19"/>
        <v>320.64</v>
      </c>
      <c r="AH8" s="66">
        <v>6198</v>
      </c>
      <c r="AI8" s="66">
        <v>4.07</v>
      </c>
      <c r="AJ8" s="66">
        <v>8.1</v>
      </c>
      <c r="AK8" s="62">
        <f t="shared" si="20"/>
        <v>252.2586</v>
      </c>
      <c r="AL8" s="72">
        <f t="shared" si="21"/>
        <v>502.03800000000001</v>
      </c>
      <c r="AM8" s="73">
        <f t="shared" si="22"/>
        <v>-9.8819999999996071</v>
      </c>
      <c r="AN8" s="74">
        <f t="shared" si="8"/>
        <v>-0.85549799999992615</v>
      </c>
      <c r="AO8" s="74">
        <f t="shared" si="8"/>
        <v>-10.179448999999977</v>
      </c>
      <c r="AP8" s="75">
        <f t="shared" si="23"/>
        <v>-6.8463647827805535E-2</v>
      </c>
      <c r="AQ8" s="76">
        <f t="shared" si="9"/>
        <v>-3459.748985244878</v>
      </c>
      <c r="AR8" s="90">
        <f t="shared" si="24"/>
        <v>0.1180000000003929</v>
      </c>
    </row>
    <row r="9" spans="1:44" x14ac:dyDescent="0.25">
      <c r="A9" t="str">
        <f t="shared" si="10"/>
        <v>46206E</v>
      </c>
      <c r="B9" s="51">
        <f t="shared" ref="B9:B65" si="25">+B7+1</f>
        <v>46206</v>
      </c>
      <c r="C9" s="52" t="s">
        <v>88</v>
      </c>
      <c r="D9" s="91">
        <v>6198</v>
      </c>
      <c r="E9" s="62">
        <v>4.07</v>
      </c>
      <c r="F9" s="62">
        <v>8.1</v>
      </c>
      <c r="G9" s="62">
        <f t="shared" si="11"/>
        <v>252.2586</v>
      </c>
      <c r="H9" s="63">
        <f t="shared" si="12"/>
        <v>502.03800000000001</v>
      </c>
      <c r="I9" s="202">
        <v>2051.4</v>
      </c>
      <c r="J9" s="202">
        <v>2112.942</v>
      </c>
      <c r="K9" s="202">
        <v>3.9168470312956991</v>
      </c>
      <c r="L9" s="202">
        <v>8.0442234571512099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2112.942</v>
      </c>
      <c r="S9" s="62">
        <f t="shared" si="14"/>
        <v>82.760705999999971</v>
      </c>
      <c r="T9" s="63">
        <f t="shared" si="15"/>
        <v>169.96977599999994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8311</v>
      </c>
      <c r="AI9" s="66">
        <v>4.03</v>
      </c>
      <c r="AJ9" s="66">
        <v>8.08</v>
      </c>
      <c r="AK9" s="62">
        <f t="shared" si="20"/>
        <v>334.93330000000003</v>
      </c>
      <c r="AL9" s="72">
        <f t="shared" si="21"/>
        <v>671.52879999999993</v>
      </c>
      <c r="AM9" s="73">
        <f t="shared" si="22"/>
        <v>-5.8000000000902219E-2</v>
      </c>
      <c r="AN9" s="74">
        <f t="shared" si="8"/>
        <v>8.6005999999940741E-2</v>
      </c>
      <c r="AO9" s="74">
        <f t="shared" si="8"/>
        <v>0.47897599999998874</v>
      </c>
      <c r="AP9" s="75">
        <f t="shared" si="23"/>
        <v>2.2355118999849402E-3</v>
      </c>
      <c r="AQ9" s="76">
        <f t="shared" si="9"/>
        <v>184.77773009872325</v>
      </c>
      <c r="AR9" s="90">
        <f t="shared" si="24"/>
        <v>-5.8000000000902219E-2</v>
      </c>
    </row>
    <row r="10" spans="1:44" x14ac:dyDescent="0.25">
      <c r="A10" t="str">
        <f t="shared" si="10"/>
        <v>46207M</v>
      </c>
      <c r="B10" s="51">
        <f t="shared" si="25"/>
        <v>46207</v>
      </c>
      <c r="C10" s="52" t="s">
        <v>87</v>
      </c>
      <c r="D10" s="91">
        <v>8311</v>
      </c>
      <c r="E10" s="62">
        <v>4.03</v>
      </c>
      <c r="F10" s="62">
        <v>8.08</v>
      </c>
      <c r="G10" s="62">
        <f t="shared" si="11"/>
        <v>334.93330000000003</v>
      </c>
      <c r="H10" s="63">
        <f t="shared" si="12"/>
        <v>671.52879999999993</v>
      </c>
      <c r="I10" s="202">
        <v>1420.1</v>
      </c>
      <c r="J10" s="202">
        <v>1462.703</v>
      </c>
      <c r="K10" s="202">
        <v>4.3372368143088513</v>
      </c>
      <c r="L10" s="202">
        <v>8.1066685444687003</v>
      </c>
      <c r="M10" s="57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1462.703</v>
      </c>
      <c r="S10" s="62">
        <f t="shared" si="14"/>
        <v>63.440892999999996</v>
      </c>
      <c r="T10" s="63">
        <f t="shared" si="15"/>
        <v>118.57648400000002</v>
      </c>
      <c r="U10" s="64" t="s">
        <v>179</v>
      </c>
      <c r="V10" s="65" t="s">
        <v>356</v>
      </c>
      <c r="W10" s="66" t="s">
        <v>178</v>
      </c>
      <c r="X10" s="67">
        <v>5130</v>
      </c>
      <c r="Y10" s="68">
        <v>4.5</v>
      </c>
      <c r="Z10" s="68">
        <v>8.56</v>
      </c>
      <c r="AA10" s="62">
        <f t="shared" si="16"/>
        <v>230.85</v>
      </c>
      <c r="AB10" s="63">
        <f t="shared" si="17"/>
        <v>439.12800000000004</v>
      </c>
      <c r="AC10" s="69">
        <v>5140</v>
      </c>
      <c r="AD10" s="70">
        <v>4.4000000000000004</v>
      </c>
      <c r="AE10" s="70">
        <v>8.41</v>
      </c>
      <c r="AF10" s="62">
        <f t="shared" si="18"/>
        <v>226.16000000000003</v>
      </c>
      <c r="AG10" s="63">
        <f t="shared" si="19"/>
        <v>432.27400000000006</v>
      </c>
      <c r="AH10" s="66">
        <v>4643</v>
      </c>
      <c r="AI10" s="66">
        <v>4.07</v>
      </c>
      <c r="AJ10" s="66">
        <v>8.08</v>
      </c>
      <c r="AK10" s="62">
        <f t="shared" si="20"/>
        <v>188.9701</v>
      </c>
      <c r="AL10" s="72">
        <f t="shared" si="21"/>
        <v>375.15440000000001</v>
      </c>
      <c r="AM10" s="73">
        <f t="shared" si="22"/>
        <v>-9.2970000000004802</v>
      </c>
      <c r="AN10" s="74">
        <f t="shared" si="8"/>
        <v>-16.755906999999979</v>
      </c>
      <c r="AO10" s="74">
        <f t="shared" si="8"/>
        <v>-17.323116000000084</v>
      </c>
      <c r="AP10" s="75">
        <f t="shared" si="23"/>
        <v>-0.18722950281829445</v>
      </c>
      <c r="AQ10" s="76">
        <f t="shared" si="9"/>
        <v>-13239.877681149836</v>
      </c>
      <c r="AR10" s="90">
        <f t="shared" si="24"/>
        <v>0.70299999999951979</v>
      </c>
    </row>
    <row r="11" spans="1:44" x14ac:dyDescent="0.25">
      <c r="A11" t="str">
        <f t="shared" si="10"/>
        <v>46207E</v>
      </c>
      <c r="B11" s="51">
        <f t="shared" si="25"/>
        <v>46207</v>
      </c>
      <c r="C11" s="52" t="s">
        <v>88</v>
      </c>
      <c r="D11" s="91">
        <v>4643</v>
      </c>
      <c r="E11" s="62">
        <v>4.07</v>
      </c>
      <c r="F11" s="62">
        <v>8.08</v>
      </c>
      <c r="G11" s="62">
        <f t="shared" si="11"/>
        <v>188.9701</v>
      </c>
      <c r="H11" s="63">
        <f t="shared" si="12"/>
        <v>375.15440000000001</v>
      </c>
      <c r="I11" s="202">
        <v>1750.6999999999998</v>
      </c>
      <c r="J11" s="202">
        <v>1803.2209999999998</v>
      </c>
      <c r="K11" s="202">
        <v>3.8705260752841717</v>
      </c>
      <c r="L11" s="202">
        <v>8.0501513680242187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1803.2209999999998</v>
      </c>
      <c r="S11" s="62">
        <f t="shared" si="14"/>
        <v>69.794138999999987</v>
      </c>
      <c r="T11" s="63">
        <f t="shared" si="15"/>
        <v>145.16201999999998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6446</v>
      </c>
      <c r="AI11" s="66">
        <v>4.01</v>
      </c>
      <c r="AJ11" s="66">
        <v>8.07</v>
      </c>
      <c r="AK11" s="62">
        <f t="shared" si="20"/>
        <v>258.4846</v>
      </c>
      <c r="AL11" s="72">
        <f t="shared" si="21"/>
        <v>520.19220000000007</v>
      </c>
      <c r="AM11" s="73">
        <f t="shared" si="22"/>
        <v>0.22099999999954889</v>
      </c>
      <c r="AN11" s="74">
        <f t="shared" si="8"/>
        <v>0.27963899999997466</v>
      </c>
      <c r="AO11" s="74">
        <f t="shared" si="8"/>
        <v>0.12421999999992295</v>
      </c>
      <c r="AP11" s="75">
        <f t="shared" si="23"/>
        <v>1.8787970620553268E-3</v>
      </c>
      <c r="AQ11" s="76">
        <f t="shared" si="9"/>
        <v>171.57842487996413</v>
      </c>
      <c r="AR11" s="90">
        <f t="shared" si="24"/>
        <v>0.22099999999954889</v>
      </c>
    </row>
    <row r="12" spans="1:44" x14ac:dyDescent="0.25">
      <c r="A12" t="str">
        <f t="shared" si="10"/>
        <v>46208M</v>
      </c>
      <c r="B12" s="51">
        <f t="shared" si="25"/>
        <v>46208</v>
      </c>
      <c r="C12" s="52" t="s">
        <v>87</v>
      </c>
      <c r="D12" s="91">
        <v>6446</v>
      </c>
      <c r="E12" s="62">
        <v>4.01</v>
      </c>
      <c r="F12" s="62">
        <v>8.07</v>
      </c>
      <c r="G12" s="62">
        <f t="shared" si="11"/>
        <v>258.4846</v>
      </c>
      <c r="H12" s="63">
        <f t="shared" si="12"/>
        <v>520.19220000000007</v>
      </c>
      <c r="I12" s="202">
        <v>1462.1</v>
      </c>
      <c r="J12" s="202">
        <v>1505.963</v>
      </c>
      <c r="K12" s="202">
        <v>4.3711579235346418</v>
      </c>
      <c r="L12" s="202">
        <v>8.1276862047739549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1505.963</v>
      </c>
      <c r="S12" s="62">
        <f t="shared" si="14"/>
        <v>65.828020999999993</v>
      </c>
      <c r="T12" s="63">
        <f t="shared" si="15"/>
        <v>122.399947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7951</v>
      </c>
      <c r="AI12" s="66">
        <v>4.07</v>
      </c>
      <c r="AJ12" s="66">
        <v>8.08</v>
      </c>
      <c r="AK12" s="62">
        <f t="shared" si="20"/>
        <v>323.60570000000001</v>
      </c>
      <c r="AL12" s="72">
        <f t="shared" si="21"/>
        <v>642.44079999999997</v>
      </c>
      <c r="AM12" s="73">
        <f t="shared" si="22"/>
        <v>0.96299999999973807</v>
      </c>
      <c r="AN12" s="74">
        <f t="shared" si="8"/>
        <v>0.70692099999996572</v>
      </c>
      <c r="AO12" s="74">
        <f t="shared" si="8"/>
        <v>0.15134700000010071</v>
      </c>
      <c r="AP12" s="75">
        <f t="shared" si="23"/>
        <v>4.5597262145446234E-3</v>
      </c>
      <c r="AQ12" s="76">
        <f t="shared" si="9"/>
        <v>385.02562738343858</v>
      </c>
      <c r="AR12" s="90">
        <f t="shared" si="24"/>
        <v>0.96299999999973807</v>
      </c>
    </row>
    <row r="13" spans="1:44" x14ac:dyDescent="0.25">
      <c r="A13" t="str">
        <f t="shared" si="10"/>
        <v>46208E</v>
      </c>
      <c r="B13" s="51">
        <f t="shared" si="25"/>
        <v>46208</v>
      </c>
      <c r="C13" s="52" t="s">
        <v>88</v>
      </c>
      <c r="D13" s="91">
        <v>7951</v>
      </c>
      <c r="E13" s="62">
        <v>4.07</v>
      </c>
      <c r="F13" s="62">
        <v>8.08</v>
      </c>
      <c r="G13" s="62">
        <f t="shared" si="11"/>
        <v>323.60570000000001</v>
      </c>
      <c r="H13" s="63">
        <f t="shared" si="12"/>
        <v>642.44079999999997</v>
      </c>
      <c r="I13" s="202">
        <v>1707.5000000000002</v>
      </c>
      <c r="J13" s="202">
        <v>1758.7250000000004</v>
      </c>
      <c r="K13" s="202">
        <v>3.8919590043923868</v>
      </c>
      <c r="L13" s="202">
        <v>7.9963982430453884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1758.7250000000004</v>
      </c>
      <c r="S13" s="62">
        <f t="shared" si="14"/>
        <v>68.448856000000021</v>
      </c>
      <c r="T13" s="63">
        <f t="shared" si="15"/>
        <v>140.63465500000004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9709</v>
      </c>
      <c r="AI13" s="66">
        <v>4.03</v>
      </c>
      <c r="AJ13" s="66">
        <v>8.06</v>
      </c>
      <c r="AK13" s="62">
        <f t="shared" si="20"/>
        <v>391.27270000000004</v>
      </c>
      <c r="AL13" s="72">
        <f t="shared" si="21"/>
        <v>782.54540000000009</v>
      </c>
      <c r="AM13" s="73">
        <f t="shared" si="22"/>
        <v>0.7250000000003638</v>
      </c>
      <c r="AN13" s="74">
        <f t="shared" si="8"/>
        <v>0.78185600000000477</v>
      </c>
      <c r="AO13" s="74">
        <f t="shared" si="8"/>
        <v>0.53005499999994754</v>
      </c>
      <c r="AP13" s="75">
        <f t="shared" si="23"/>
        <v>6.2745789647656721E-3</v>
      </c>
      <c r="AQ13" s="76">
        <f t="shared" si="9"/>
        <v>534.4540082976655</v>
      </c>
      <c r="AR13" s="90">
        <f t="shared" si="24"/>
        <v>0.7250000000003638</v>
      </c>
    </row>
    <row r="14" spans="1:44" x14ac:dyDescent="0.25">
      <c r="A14" t="str">
        <f t="shared" si="10"/>
        <v>46209M</v>
      </c>
      <c r="B14" s="51">
        <f t="shared" si="25"/>
        <v>46209</v>
      </c>
      <c r="C14" s="52" t="s">
        <v>87</v>
      </c>
      <c r="D14" s="91">
        <v>9709</v>
      </c>
      <c r="E14" s="62">
        <v>4.03</v>
      </c>
      <c r="F14" s="62">
        <v>8.06</v>
      </c>
      <c r="G14" s="62">
        <f t="shared" si="11"/>
        <v>391.27270000000004</v>
      </c>
      <c r="H14" s="63">
        <f t="shared" si="12"/>
        <v>782.54540000000009</v>
      </c>
      <c r="I14" s="202">
        <v>1218.6200000000001</v>
      </c>
      <c r="J14" s="202">
        <v>1255.1786000000002</v>
      </c>
      <c r="K14" s="202">
        <v>4.4357847401158699</v>
      </c>
      <c r="L14" s="202">
        <v>8.1623524970868679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1255.1786000000002</v>
      </c>
      <c r="S14" s="62">
        <f t="shared" si="14"/>
        <v>55.677020800000015</v>
      </c>
      <c r="T14" s="63">
        <f t="shared" si="15"/>
        <v>102.45210180000001</v>
      </c>
      <c r="U14" s="64" t="s">
        <v>179</v>
      </c>
      <c r="V14" s="65" t="s">
        <v>357</v>
      </c>
      <c r="W14" s="66" t="s">
        <v>178</v>
      </c>
      <c r="X14" s="67">
        <v>5130</v>
      </c>
      <c r="Y14" s="68">
        <v>4.3</v>
      </c>
      <c r="Z14" s="68">
        <v>8.27</v>
      </c>
      <c r="AA14" s="62">
        <f t="shared" si="16"/>
        <v>220.58999999999997</v>
      </c>
      <c r="AB14" s="63">
        <f t="shared" si="17"/>
        <v>424.25099999999998</v>
      </c>
      <c r="AC14" s="69">
        <v>5120</v>
      </c>
      <c r="AD14" s="70">
        <v>4.3</v>
      </c>
      <c r="AE14" s="70">
        <v>8.14</v>
      </c>
      <c r="AF14" s="62">
        <f t="shared" si="18"/>
        <v>220.15999999999997</v>
      </c>
      <c r="AG14" s="63">
        <f t="shared" si="19"/>
        <v>416.76800000000003</v>
      </c>
      <c r="AH14" s="66">
        <v>5834</v>
      </c>
      <c r="AI14" s="66">
        <v>4</v>
      </c>
      <c r="AJ14" s="66">
        <v>8.07</v>
      </c>
      <c r="AK14" s="62">
        <f t="shared" si="20"/>
        <v>233.36</v>
      </c>
      <c r="AL14" s="72">
        <f t="shared" si="21"/>
        <v>470.80380000000002</v>
      </c>
      <c r="AM14" s="73">
        <f t="shared" si="22"/>
        <v>10.178599999999278</v>
      </c>
      <c r="AN14" s="74">
        <f t="shared" si="8"/>
        <v>-6.5702791999999022</v>
      </c>
      <c r="AO14" s="74">
        <f t="shared" si="8"/>
        <v>-2.5742981999999301</v>
      </c>
      <c r="AP14" s="75">
        <f t="shared" si="23"/>
        <v>-5.782981179963767E-2</v>
      </c>
      <c r="AQ14" s="76">
        <f t="shared" si="9"/>
        <v>-3928.2123878852321</v>
      </c>
      <c r="AR14" s="90">
        <f t="shared" si="24"/>
        <v>0.17859999999927823</v>
      </c>
    </row>
    <row r="15" spans="1:44" x14ac:dyDescent="0.25">
      <c r="A15" t="str">
        <f t="shared" si="10"/>
        <v>46209E</v>
      </c>
      <c r="B15" s="51">
        <f t="shared" si="25"/>
        <v>46209</v>
      </c>
      <c r="C15" s="52" t="s">
        <v>88</v>
      </c>
      <c r="D15" s="91">
        <v>5834</v>
      </c>
      <c r="E15" s="62">
        <v>4</v>
      </c>
      <c r="F15" s="62">
        <v>8.07</v>
      </c>
      <c r="G15" s="62">
        <f t="shared" si="11"/>
        <v>233.36</v>
      </c>
      <c r="H15" s="63">
        <f t="shared" si="12"/>
        <v>470.80380000000002</v>
      </c>
      <c r="I15" s="202">
        <v>1742.2400000000002</v>
      </c>
      <c r="J15" s="202">
        <v>1794.5072000000002</v>
      </c>
      <c r="K15" s="202">
        <v>4.0431697125539534</v>
      </c>
      <c r="L15" s="202">
        <v>8.0366068968683972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1794.5072000000002</v>
      </c>
      <c r="S15" s="62">
        <f t="shared" si="14"/>
        <v>72.554971600000002</v>
      </c>
      <c r="T15" s="63">
        <f t="shared" si="15"/>
        <v>144.21748940000001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7628</v>
      </c>
      <c r="AI15" s="66">
        <v>4.0599999999999996</v>
      </c>
      <c r="AJ15" s="66">
        <v>8.06</v>
      </c>
      <c r="AK15" s="62">
        <f t="shared" si="20"/>
        <v>309.6968</v>
      </c>
      <c r="AL15" s="72">
        <f t="shared" si="21"/>
        <v>614.81680000000006</v>
      </c>
      <c r="AM15" s="73">
        <f t="shared" si="22"/>
        <v>0.50720000000001164</v>
      </c>
      <c r="AN15" s="74">
        <f t="shared" si="8"/>
        <v>-3.7818283999999949</v>
      </c>
      <c r="AO15" s="74">
        <f t="shared" si="8"/>
        <v>0.20448939999994309</v>
      </c>
      <c r="AP15" s="75">
        <f t="shared" si="23"/>
        <v>-1.650273740260785E-2</v>
      </c>
      <c r="AQ15" s="76">
        <f t="shared" si="9"/>
        <v>-1756.04887636598</v>
      </c>
      <c r="AR15" s="90">
        <f t="shared" si="24"/>
        <v>0.50720000000001164</v>
      </c>
    </row>
    <row r="16" spans="1:44" x14ac:dyDescent="0.25">
      <c r="A16" t="str">
        <f t="shared" si="10"/>
        <v>46210M</v>
      </c>
      <c r="B16" s="51">
        <f t="shared" si="25"/>
        <v>46210</v>
      </c>
      <c r="C16" s="52" t="s">
        <v>87</v>
      </c>
      <c r="D16" s="91">
        <v>7628</v>
      </c>
      <c r="E16" s="62">
        <v>4.0599999999999996</v>
      </c>
      <c r="F16" s="62">
        <v>8.06</v>
      </c>
      <c r="G16" s="62">
        <f t="shared" si="11"/>
        <v>309.6968</v>
      </c>
      <c r="H16" s="63">
        <f t="shared" si="12"/>
        <v>614.81680000000006</v>
      </c>
      <c r="I16" s="202">
        <v>1371.5599999999997</v>
      </c>
      <c r="J16" s="202">
        <v>1412.7067999999997</v>
      </c>
      <c r="K16" s="202">
        <v>4.2145906850593482</v>
      </c>
      <c r="L16" s="202">
        <v>8.246175158214001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1412.7067999999997</v>
      </c>
      <c r="S16" s="62">
        <f t="shared" si="14"/>
        <v>59.539809199999979</v>
      </c>
      <c r="T16" s="63">
        <f t="shared" si="15"/>
        <v>116.49427719999994</v>
      </c>
      <c r="U16" s="64" t="s">
        <v>179</v>
      </c>
      <c r="V16" s="65" t="s">
        <v>358</v>
      </c>
      <c r="W16" s="66" t="s">
        <v>178</v>
      </c>
      <c r="X16" s="67">
        <v>5130</v>
      </c>
      <c r="Y16" s="68">
        <v>4.2</v>
      </c>
      <c r="Z16" s="68">
        <v>8.25</v>
      </c>
      <c r="AA16" s="62">
        <f t="shared" si="16"/>
        <v>215.46</v>
      </c>
      <c r="AB16" s="63">
        <f t="shared" si="17"/>
        <v>423.22500000000002</v>
      </c>
      <c r="AC16" s="69">
        <v>5120</v>
      </c>
      <c r="AD16" s="70">
        <v>4.1500000000000004</v>
      </c>
      <c r="AE16" s="70">
        <v>8.11</v>
      </c>
      <c r="AF16" s="62">
        <f t="shared" si="18"/>
        <v>212.48000000000002</v>
      </c>
      <c r="AG16" s="63">
        <f t="shared" si="19"/>
        <v>415.23199999999997</v>
      </c>
      <c r="AH16" s="66">
        <v>3910</v>
      </c>
      <c r="AI16" s="66">
        <v>4.08</v>
      </c>
      <c r="AJ16" s="66">
        <v>8.08</v>
      </c>
      <c r="AK16" s="62">
        <f t="shared" si="20"/>
        <v>159.52800000000002</v>
      </c>
      <c r="AL16" s="72">
        <f t="shared" si="21"/>
        <v>315.928</v>
      </c>
      <c r="AM16" s="73">
        <f t="shared" si="22"/>
        <v>10.70679999999993</v>
      </c>
      <c r="AN16" s="74">
        <f t="shared" si="8"/>
        <v>-2.7713908000000629</v>
      </c>
      <c r="AO16" s="74">
        <f t="shared" si="8"/>
        <v>0.15107720000003155</v>
      </c>
      <c r="AP16" s="75">
        <f t="shared" si="23"/>
        <v>-1.4885262585144603E-2</v>
      </c>
      <c r="AQ16" s="76">
        <f t="shared" si="9"/>
        <v>-1286.4972018310682</v>
      </c>
      <c r="AR16" s="90">
        <f t="shared" si="24"/>
        <v>0.70679999999993015</v>
      </c>
    </row>
    <row r="17" spans="1:49" x14ac:dyDescent="0.25">
      <c r="A17" t="str">
        <f t="shared" si="10"/>
        <v>46210E</v>
      </c>
      <c r="B17" s="51">
        <f t="shared" si="25"/>
        <v>46210</v>
      </c>
      <c r="C17" s="52" t="s">
        <v>88</v>
      </c>
      <c r="D17" s="91">
        <v>3910</v>
      </c>
      <c r="E17" s="62">
        <v>4.08</v>
      </c>
      <c r="F17" s="62">
        <v>8.08</v>
      </c>
      <c r="G17" s="62">
        <f t="shared" si="11"/>
        <v>159.52800000000002</v>
      </c>
      <c r="H17" s="63">
        <f t="shared" si="12"/>
        <v>315.928</v>
      </c>
      <c r="I17" s="202">
        <v>1825.8600000000001</v>
      </c>
      <c r="J17" s="202">
        <v>1880.6358000000002</v>
      </c>
      <c r="K17" s="202">
        <v>4.0287283800510449</v>
      </c>
      <c r="L17" s="202">
        <v>8.1303199588139297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1880.6358000000002</v>
      </c>
      <c r="S17" s="62">
        <f t="shared" si="14"/>
        <v>75.76570820000002</v>
      </c>
      <c r="T17" s="63">
        <f t="shared" si="15"/>
        <v>152.90170780000003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5790</v>
      </c>
      <c r="AI17" s="66">
        <v>4.0599999999999996</v>
      </c>
      <c r="AJ17" s="66">
        <v>8.09</v>
      </c>
      <c r="AK17" s="62">
        <f t="shared" si="20"/>
        <v>235.07399999999998</v>
      </c>
      <c r="AL17" s="72">
        <f t="shared" si="21"/>
        <v>468.411</v>
      </c>
      <c r="AM17" s="73">
        <f t="shared" si="22"/>
        <v>0.63580000000001746</v>
      </c>
      <c r="AN17" s="74">
        <f t="shared" si="8"/>
        <v>0.2197082000000421</v>
      </c>
      <c r="AO17" s="74">
        <f t="shared" si="8"/>
        <v>0.4187078000000497</v>
      </c>
      <c r="AP17" s="75">
        <f t="shared" si="23"/>
        <v>2.7918975565810024E-3</v>
      </c>
      <c r="AQ17" s="76">
        <f t="shared" si="9"/>
        <v>230.97619936581714</v>
      </c>
      <c r="AR17" s="90">
        <f t="shared" si="24"/>
        <v>0.63580000000001746</v>
      </c>
    </row>
    <row r="18" spans="1:49" x14ac:dyDescent="0.25">
      <c r="A18" t="str">
        <f t="shared" si="10"/>
        <v>46211M</v>
      </c>
      <c r="B18" s="51">
        <f t="shared" si="25"/>
        <v>46211</v>
      </c>
      <c r="C18" s="52" t="s">
        <v>87</v>
      </c>
      <c r="D18" s="91">
        <v>5790</v>
      </c>
      <c r="E18" s="62">
        <v>4.0599999999999996</v>
      </c>
      <c r="F18" s="62">
        <v>8.09</v>
      </c>
      <c r="G18" s="62">
        <f t="shared" si="11"/>
        <v>235.07399999999998</v>
      </c>
      <c r="H18" s="63">
        <f t="shared" si="12"/>
        <v>468.411</v>
      </c>
      <c r="I18" s="202">
        <v>1355.64</v>
      </c>
      <c r="J18" s="202">
        <v>1396.3092000000001</v>
      </c>
      <c r="K18" s="202">
        <v>4.394781800478003</v>
      </c>
      <c r="L18" s="202">
        <v>8.2967941341359062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1396.3092000000001</v>
      </c>
      <c r="S18" s="62">
        <f t="shared" si="14"/>
        <v>61.364742600000007</v>
      </c>
      <c r="T18" s="63">
        <f t="shared" si="15"/>
        <v>115.8488998</v>
      </c>
      <c r="U18" s="64" t="s">
        <v>179</v>
      </c>
      <c r="V18" s="65" t="s">
        <v>359</v>
      </c>
      <c r="W18" s="66" t="s">
        <v>184</v>
      </c>
      <c r="X18" s="67">
        <v>5130</v>
      </c>
      <c r="Y18" s="68">
        <v>4.3</v>
      </c>
      <c r="Z18" s="68">
        <v>8.52</v>
      </c>
      <c r="AA18" s="62">
        <f t="shared" si="16"/>
        <v>220.58999999999997</v>
      </c>
      <c r="AB18" s="63">
        <f t="shared" si="17"/>
        <v>437.07599999999996</v>
      </c>
      <c r="AC18" s="69">
        <v>5140</v>
      </c>
      <c r="AD18" s="70">
        <v>4.2</v>
      </c>
      <c r="AE18" s="70">
        <v>8.25</v>
      </c>
      <c r="AF18" s="62">
        <f t="shared" si="18"/>
        <v>215.88000000000002</v>
      </c>
      <c r="AG18" s="63">
        <f t="shared" si="19"/>
        <v>424.05</v>
      </c>
      <c r="AH18" s="66">
        <v>2056</v>
      </c>
      <c r="AI18" s="66">
        <v>4.12</v>
      </c>
      <c r="AJ18" s="66">
        <v>8.1300000000000008</v>
      </c>
      <c r="AK18" s="62">
        <f t="shared" si="20"/>
        <v>84.7072</v>
      </c>
      <c r="AL18" s="72">
        <f t="shared" si="21"/>
        <v>167.15280000000001</v>
      </c>
      <c r="AM18" s="73">
        <f t="shared" si="22"/>
        <v>-9.6908000000003085</v>
      </c>
      <c r="AN18" s="74">
        <f t="shared" si="8"/>
        <v>-4.1484574000000123</v>
      </c>
      <c r="AO18" s="74">
        <f t="shared" si="8"/>
        <v>-6.9429002000000537</v>
      </c>
      <c r="AP18" s="75">
        <f t="shared" si="23"/>
        <v>-6.2587492981861226E-2</v>
      </c>
      <c r="AQ18" s="76">
        <f t="shared" si="9"/>
        <v>-4072.805598814638</v>
      </c>
      <c r="AR18" s="90">
        <f t="shared" si="24"/>
        <v>0.3091999999996915</v>
      </c>
    </row>
    <row r="19" spans="1:49" x14ac:dyDescent="0.25">
      <c r="A19" t="str">
        <f t="shared" si="10"/>
        <v>46211E</v>
      </c>
      <c r="B19" s="51">
        <f t="shared" si="25"/>
        <v>46211</v>
      </c>
      <c r="C19" s="52" t="s">
        <v>88</v>
      </c>
      <c r="D19" s="91">
        <v>2056</v>
      </c>
      <c r="E19" s="62">
        <v>4.12</v>
      </c>
      <c r="F19" s="62">
        <v>8.1300000000000008</v>
      </c>
      <c r="G19" s="62">
        <f t="shared" si="11"/>
        <v>84.7072</v>
      </c>
      <c r="H19" s="63">
        <f t="shared" si="12"/>
        <v>167.15280000000001</v>
      </c>
      <c r="I19" s="202">
        <v>1886.3400000000001</v>
      </c>
      <c r="J19" s="202">
        <v>1942.9302000000002</v>
      </c>
      <c r="K19" s="202">
        <v>4.0544811645832661</v>
      </c>
      <c r="L19" s="202">
        <v>8.1742453640382955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1942.9302000000002</v>
      </c>
      <c r="S19" s="62">
        <f t="shared" si="14"/>
        <v>78.775738999999987</v>
      </c>
      <c r="T19" s="63">
        <f t="shared" si="15"/>
        <v>158.81988180000002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3999</v>
      </c>
      <c r="AI19" s="66">
        <v>4.08</v>
      </c>
      <c r="AJ19" s="66">
        <v>8.14</v>
      </c>
      <c r="AK19" s="62">
        <f t="shared" si="20"/>
        <v>163.1592</v>
      </c>
      <c r="AL19" s="72">
        <f t="shared" si="21"/>
        <v>325.51859999999999</v>
      </c>
      <c r="AM19" s="73">
        <f t="shared" si="22"/>
        <v>-6.9799999999759166E-2</v>
      </c>
      <c r="AN19" s="74">
        <f t="shared" si="8"/>
        <v>0.32373899999998912</v>
      </c>
      <c r="AO19" s="74">
        <f t="shared" si="8"/>
        <v>0.45408180000003995</v>
      </c>
      <c r="AP19" s="75">
        <f t="shared" si="23"/>
        <v>3.2737169034557771E-3</v>
      </c>
      <c r="AQ19" s="76">
        <f t="shared" si="9"/>
        <v>291.56058267906019</v>
      </c>
      <c r="AR19" s="90">
        <f t="shared" si="24"/>
        <v>-6.9799999999759166E-2</v>
      </c>
    </row>
    <row r="20" spans="1:49" x14ac:dyDescent="0.25">
      <c r="A20" t="str">
        <f t="shared" si="10"/>
        <v>46212M</v>
      </c>
      <c r="B20" s="51">
        <f t="shared" si="25"/>
        <v>46212</v>
      </c>
      <c r="C20" s="52" t="s">
        <v>87</v>
      </c>
      <c r="D20" s="91">
        <v>3999</v>
      </c>
      <c r="E20" s="62">
        <v>4.08</v>
      </c>
      <c r="F20" s="62">
        <v>8.14</v>
      </c>
      <c r="G20" s="62">
        <f t="shared" si="11"/>
        <v>163.1592</v>
      </c>
      <c r="H20" s="63">
        <f t="shared" si="12"/>
        <v>325.51859999999999</v>
      </c>
      <c r="I20" s="202">
        <v>1770.08</v>
      </c>
      <c r="J20" s="202">
        <v>1823.1823999999999</v>
      </c>
      <c r="K20" s="202">
        <v>4.3685630028021327</v>
      </c>
      <c r="L20" s="202">
        <v>8.3024145801319698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1823.1823999999999</v>
      </c>
      <c r="S20" s="62">
        <f t="shared" si="14"/>
        <v>79.646871799999985</v>
      </c>
      <c r="T20" s="63">
        <f t="shared" si="15"/>
        <v>151.36816139999996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66">
        <v>5822</v>
      </c>
      <c r="AI20" s="66">
        <v>4.17</v>
      </c>
      <c r="AJ20" s="66">
        <v>8.19</v>
      </c>
      <c r="AK20" s="62">
        <f t="shared" si="20"/>
        <v>242.7774</v>
      </c>
      <c r="AL20" s="72">
        <f t="shared" si="21"/>
        <v>476.8218</v>
      </c>
      <c r="AM20" s="73">
        <f t="shared" si="22"/>
        <v>0.18239999999968859</v>
      </c>
      <c r="AN20" s="74">
        <f t="shared" ref="AN20:AO65" si="26">+G20+S20-AF20-AK20</f>
        <v>2.8671799999983705E-2</v>
      </c>
      <c r="AO20" s="74">
        <f t="shared" si="26"/>
        <v>6.4961399999958758E-2</v>
      </c>
      <c r="AP20" s="75">
        <f t="shared" si="23"/>
        <v>4.0531215091478507E-4</v>
      </c>
      <c r="AQ20" s="76">
        <f t="shared" si="9"/>
        <v>33.233094045005814</v>
      </c>
      <c r="AR20" s="90">
        <f t="shared" si="24"/>
        <v>0.18239999999968859</v>
      </c>
    </row>
    <row r="21" spans="1:49" x14ac:dyDescent="0.25">
      <c r="A21" t="str">
        <f t="shared" si="10"/>
        <v>46212E</v>
      </c>
      <c r="B21" s="51">
        <f t="shared" si="25"/>
        <v>46212</v>
      </c>
      <c r="C21" s="52" t="s">
        <v>88</v>
      </c>
      <c r="D21" s="91">
        <v>5822</v>
      </c>
      <c r="E21" s="62">
        <v>4.17</v>
      </c>
      <c r="F21" s="62">
        <v>8.19</v>
      </c>
      <c r="G21" s="62">
        <f t="shared" si="11"/>
        <v>242.7774</v>
      </c>
      <c r="H21" s="63">
        <f t="shared" si="12"/>
        <v>476.8218</v>
      </c>
      <c r="I21" s="202">
        <v>2238.1999999999994</v>
      </c>
      <c r="J21" s="202">
        <v>2305.3459999999995</v>
      </c>
      <c r="K21" s="202">
        <v>4.1223438477347853</v>
      </c>
      <c r="L21" s="202">
        <v>8.2364283799481708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2305.3459999999995</v>
      </c>
      <c r="S21" s="62">
        <f t="shared" si="14"/>
        <v>95.034288999999958</v>
      </c>
      <c r="T21" s="63">
        <f t="shared" si="15"/>
        <v>189.87817219999994</v>
      </c>
      <c r="U21" s="64" t="s">
        <v>179</v>
      </c>
      <c r="V21" s="65" t="s">
        <v>368</v>
      </c>
      <c r="W21" s="66" t="s">
        <v>178</v>
      </c>
      <c r="X21" s="67">
        <v>5130</v>
      </c>
      <c r="Y21" s="68">
        <v>4.4000000000000004</v>
      </c>
      <c r="Z21" s="68">
        <v>8.41</v>
      </c>
      <c r="AA21" s="62">
        <f t="shared" si="16"/>
        <v>225.72000000000003</v>
      </c>
      <c r="AB21" s="63">
        <f t="shared" si="17"/>
        <v>431.43300000000005</v>
      </c>
      <c r="AC21" s="215">
        <v>5120</v>
      </c>
      <c r="AD21" s="216">
        <v>4.3499999999999996</v>
      </c>
      <c r="AE21" s="216">
        <v>8.4</v>
      </c>
      <c r="AF21" s="62">
        <f t="shared" si="18"/>
        <v>222.71999999999997</v>
      </c>
      <c r="AG21" s="63">
        <f t="shared" si="19"/>
        <v>430.08000000000004</v>
      </c>
      <c r="AH21" s="66">
        <v>2260</v>
      </c>
      <c r="AI21" s="66">
        <v>4.1500000000000004</v>
      </c>
      <c r="AJ21" s="66">
        <v>8.1999999999999993</v>
      </c>
      <c r="AK21" s="62">
        <f t="shared" si="20"/>
        <v>93.79</v>
      </c>
      <c r="AL21" s="72">
        <f t="shared" si="21"/>
        <v>185.31999999999996</v>
      </c>
      <c r="AM21" s="73">
        <f t="shared" si="22"/>
        <v>747.34599999999955</v>
      </c>
      <c r="AN21" s="74">
        <f t="shared" si="26"/>
        <v>21.301688999999968</v>
      </c>
      <c r="AO21" s="74">
        <f t="shared" si="26"/>
        <v>51.299972199999928</v>
      </c>
      <c r="AP21" s="75">
        <f t="shared" si="23"/>
        <v>0.25482094006774852</v>
      </c>
      <c r="AQ21" s="76">
        <f t="shared" si="9"/>
        <v>25600.039833668146</v>
      </c>
      <c r="AR21" s="90">
        <f t="shared" si="24"/>
        <v>737.34599999999955</v>
      </c>
      <c r="AS21" s="90">
        <f>SUM(J8:J21)</f>
        <v>23742.468200000003</v>
      </c>
      <c r="AT21" s="83">
        <f>SUM(AM8:AM21)</f>
        <v>742.46819999999707</v>
      </c>
      <c r="AU21" s="83">
        <f>SUM(AN8:AN21)</f>
        <v>-11.155130800000009</v>
      </c>
      <c r="AV21" s="83">
        <f>SUM(AO8:AO21)</f>
        <v>16.858124399999866</v>
      </c>
      <c r="AW21" s="83">
        <f>-SUM(AQ8:AQ21)</f>
        <v>311.54523087381313</v>
      </c>
    </row>
    <row r="22" spans="1:49" x14ac:dyDescent="0.25">
      <c r="A22" t="str">
        <f t="shared" si="10"/>
        <v>46213M</v>
      </c>
      <c r="B22" s="51">
        <f t="shared" si="25"/>
        <v>46213</v>
      </c>
      <c r="C22" s="52" t="s">
        <v>87</v>
      </c>
      <c r="D22" s="91"/>
      <c r="E22" s="62"/>
      <c r="F22" s="62"/>
      <c r="G22" s="62">
        <f t="shared" si="11"/>
        <v>0</v>
      </c>
      <c r="H22" s="63">
        <f t="shared" si="12"/>
        <v>0</v>
      </c>
      <c r="I22" s="202"/>
      <c r="J22" s="202"/>
      <c r="K22" s="202"/>
      <c r="L22" s="202"/>
      <c r="M22" s="57"/>
      <c r="N22" s="58"/>
      <c r="O22" s="59"/>
      <c r="P22" s="56"/>
      <c r="Q22" s="60"/>
      <c r="R22" s="61">
        <f t="shared" si="13"/>
        <v>0</v>
      </c>
      <c r="S22" s="62">
        <f t="shared" si="14"/>
        <v>0</v>
      </c>
      <c r="T22" s="63">
        <f t="shared" si="15"/>
        <v>0</v>
      </c>
      <c r="U22" s="64"/>
      <c r="V22" s="65"/>
      <c r="W22" s="66"/>
      <c r="X22" s="67"/>
      <c r="Y22" s="68"/>
      <c r="Z22" s="68"/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/>
      <c r="AI22" s="66"/>
      <c r="AJ22" s="66"/>
      <c r="AK22" s="62">
        <f t="shared" si="20"/>
        <v>0</v>
      </c>
      <c r="AL22" s="72">
        <f t="shared" si="21"/>
        <v>0</v>
      </c>
      <c r="AM22" s="73">
        <f t="shared" si="22"/>
        <v>0</v>
      </c>
      <c r="AN22" s="74">
        <f t="shared" si="26"/>
        <v>0</v>
      </c>
      <c r="AO22" s="74">
        <f t="shared" si="26"/>
        <v>0</v>
      </c>
      <c r="AP22" s="75" t="e">
        <f t="shared" si="23"/>
        <v>#DIV/0!</v>
      </c>
      <c r="AQ22" s="76">
        <f t="shared" si="9"/>
        <v>0</v>
      </c>
      <c r="AR22" s="90">
        <f t="shared" si="24"/>
        <v>0</v>
      </c>
    </row>
    <row r="23" spans="1:49" x14ac:dyDescent="0.25">
      <c r="A23" t="str">
        <f t="shared" si="10"/>
        <v>46213E</v>
      </c>
      <c r="B23" s="51">
        <f t="shared" si="25"/>
        <v>46213</v>
      </c>
      <c r="C23" s="52" t="s">
        <v>88</v>
      </c>
      <c r="D23" s="91"/>
      <c r="E23" s="62"/>
      <c r="F23" s="62"/>
      <c r="G23" s="62">
        <f t="shared" si="11"/>
        <v>0</v>
      </c>
      <c r="H23" s="63">
        <f t="shared" si="12"/>
        <v>0</v>
      </c>
      <c r="I23" s="202"/>
      <c r="J23" s="202"/>
      <c r="K23" s="202"/>
      <c r="L23" s="202"/>
      <c r="M23" s="57"/>
      <c r="N23" s="58"/>
      <c r="O23" s="59"/>
      <c r="P23" s="56"/>
      <c r="Q23" s="60"/>
      <c r="R23" s="61">
        <f t="shared" si="13"/>
        <v>0</v>
      </c>
      <c r="S23" s="62">
        <f t="shared" si="14"/>
        <v>0</v>
      </c>
      <c r="T23" s="63">
        <f t="shared" si="15"/>
        <v>0</v>
      </c>
      <c r="U23" s="64"/>
      <c r="V23" s="65"/>
      <c r="W23" s="66"/>
      <c r="X23" s="67"/>
      <c r="Y23" s="68"/>
      <c r="Z23" s="68"/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/>
      <c r="AI23" s="66"/>
      <c r="AJ23" s="66"/>
      <c r="AK23" s="62">
        <f t="shared" si="20"/>
        <v>0</v>
      </c>
      <c r="AL23" s="72">
        <f t="shared" si="21"/>
        <v>0</v>
      </c>
      <c r="AM23" s="73">
        <f t="shared" si="22"/>
        <v>0</v>
      </c>
      <c r="AN23" s="74">
        <f t="shared" si="26"/>
        <v>0</v>
      </c>
      <c r="AO23" s="74">
        <f t="shared" si="26"/>
        <v>0</v>
      </c>
      <c r="AP23" s="75" t="e">
        <f t="shared" si="23"/>
        <v>#DIV/0!</v>
      </c>
      <c r="AQ23" s="76">
        <f t="shared" si="9"/>
        <v>0</v>
      </c>
      <c r="AR23" s="90">
        <f t="shared" si="24"/>
        <v>0</v>
      </c>
    </row>
    <row r="24" spans="1:49" x14ac:dyDescent="0.25">
      <c r="A24" t="str">
        <f t="shared" si="10"/>
        <v>46214M</v>
      </c>
      <c r="B24" s="51">
        <f t="shared" si="25"/>
        <v>46214</v>
      </c>
      <c r="C24" s="52" t="s">
        <v>87</v>
      </c>
      <c r="D24" s="91"/>
      <c r="E24" s="62"/>
      <c r="F24" s="62"/>
      <c r="G24" s="62">
        <f t="shared" si="11"/>
        <v>0</v>
      </c>
      <c r="H24" s="63">
        <f t="shared" si="12"/>
        <v>0</v>
      </c>
      <c r="I24" s="202"/>
      <c r="J24" s="202"/>
      <c r="K24" s="202"/>
      <c r="L24" s="202"/>
      <c r="M24" s="57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6"/>
        <v>0</v>
      </c>
      <c r="AO24" s="74">
        <f t="shared" si="26"/>
        <v>0</v>
      </c>
      <c r="AP24" s="75" t="e">
        <f t="shared" si="23"/>
        <v>#DIV/0!</v>
      </c>
      <c r="AQ24" s="76">
        <f t="shared" si="9"/>
        <v>0</v>
      </c>
      <c r="AR24" s="90">
        <f t="shared" si="24"/>
        <v>0</v>
      </c>
    </row>
    <row r="25" spans="1:49" x14ac:dyDescent="0.25">
      <c r="A25" t="str">
        <f t="shared" si="10"/>
        <v>46214E</v>
      </c>
      <c r="B25" s="51">
        <f t="shared" si="25"/>
        <v>46214</v>
      </c>
      <c r="C25" s="52" t="s">
        <v>88</v>
      </c>
      <c r="D25" s="91"/>
      <c r="E25" s="62"/>
      <c r="F25" s="62"/>
      <c r="G25" s="62">
        <f t="shared" si="11"/>
        <v>0</v>
      </c>
      <c r="H25" s="63">
        <f t="shared" si="12"/>
        <v>0</v>
      </c>
      <c r="I25" s="202"/>
      <c r="J25" s="202"/>
      <c r="K25" s="202"/>
      <c r="L25" s="202"/>
      <c r="M25" s="57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6"/>
        <v>0</v>
      </c>
      <c r="AO25" s="74">
        <f t="shared" si="26"/>
        <v>0</v>
      </c>
      <c r="AP25" s="75" t="e">
        <f t="shared" si="23"/>
        <v>#DIV/0!</v>
      </c>
      <c r="AQ25" s="76">
        <f t="shared" si="9"/>
        <v>0</v>
      </c>
      <c r="AR25" s="90">
        <f t="shared" si="24"/>
        <v>0</v>
      </c>
    </row>
    <row r="26" spans="1:49" x14ac:dyDescent="0.25">
      <c r="A26" t="str">
        <f t="shared" si="10"/>
        <v>46215M</v>
      </c>
      <c r="B26" s="51">
        <f t="shared" si="25"/>
        <v>46215</v>
      </c>
      <c r="C26" s="52" t="s">
        <v>87</v>
      </c>
      <c r="D26" s="91"/>
      <c r="E26" s="62"/>
      <c r="F26" s="62"/>
      <c r="G26" s="62">
        <f t="shared" si="11"/>
        <v>0</v>
      </c>
      <c r="H26" s="63">
        <f t="shared" si="12"/>
        <v>0</v>
      </c>
      <c r="I26" s="202"/>
      <c r="J26" s="202"/>
      <c r="K26" s="202"/>
      <c r="L26" s="202"/>
      <c r="M26" s="57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6"/>
        <v>0</v>
      </c>
      <c r="AO26" s="74">
        <f t="shared" si="26"/>
        <v>0</v>
      </c>
      <c r="AP26" s="75" t="e">
        <f t="shared" si="23"/>
        <v>#DIV/0!</v>
      </c>
      <c r="AQ26" s="76">
        <f t="shared" si="9"/>
        <v>0</v>
      </c>
      <c r="AR26" s="90">
        <f t="shared" si="24"/>
        <v>0</v>
      </c>
    </row>
    <row r="27" spans="1:49" x14ac:dyDescent="0.25">
      <c r="A27" t="str">
        <f t="shared" si="10"/>
        <v>46215E</v>
      </c>
      <c r="B27" s="51">
        <f t="shared" si="25"/>
        <v>46215</v>
      </c>
      <c r="C27" s="52" t="s">
        <v>88</v>
      </c>
      <c r="D27" s="91"/>
      <c r="E27" s="62"/>
      <c r="F27" s="62"/>
      <c r="G27" s="62">
        <f t="shared" si="11"/>
        <v>0</v>
      </c>
      <c r="H27" s="63">
        <f t="shared" si="12"/>
        <v>0</v>
      </c>
      <c r="I27" s="202"/>
      <c r="J27" s="202"/>
      <c r="K27" s="202"/>
      <c r="L27" s="202"/>
      <c r="M27" s="57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6"/>
        <v>0</v>
      </c>
      <c r="AO27" s="74">
        <f t="shared" si="26"/>
        <v>0</v>
      </c>
      <c r="AP27" s="75" t="e">
        <f t="shared" si="23"/>
        <v>#DIV/0!</v>
      </c>
      <c r="AQ27" s="76">
        <f t="shared" si="9"/>
        <v>0</v>
      </c>
      <c r="AR27" s="90">
        <f t="shared" si="24"/>
        <v>0</v>
      </c>
    </row>
    <row r="28" spans="1:49" x14ac:dyDescent="0.25">
      <c r="A28" t="str">
        <f t="shared" si="10"/>
        <v>46216M</v>
      </c>
      <c r="B28" s="51">
        <f t="shared" si="25"/>
        <v>46216</v>
      </c>
      <c r="C28" s="52" t="s">
        <v>87</v>
      </c>
      <c r="D28" s="91"/>
      <c r="E28" s="62"/>
      <c r="F28" s="62"/>
      <c r="G28" s="62">
        <f t="shared" si="11"/>
        <v>0</v>
      </c>
      <c r="H28" s="63">
        <f t="shared" si="12"/>
        <v>0</v>
      </c>
      <c r="I28" s="202"/>
      <c r="J28" s="202"/>
      <c r="K28" s="202"/>
      <c r="L28" s="202"/>
      <c r="M28" s="57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6"/>
        <v>0</v>
      </c>
      <c r="AO28" s="74">
        <f t="shared" si="26"/>
        <v>0</v>
      </c>
      <c r="AP28" s="75" t="e">
        <f t="shared" si="23"/>
        <v>#DIV/0!</v>
      </c>
      <c r="AQ28" s="76">
        <f t="shared" si="9"/>
        <v>0</v>
      </c>
      <c r="AR28" s="90">
        <f t="shared" si="24"/>
        <v>0</v>
      </c>
    </row>
    <row r="29" spans="1:49" x14ac:dyDescent="0.25">
      <c r="A29" t="str">
        <f t="shared" si="10"/>
        <v>46216E</v>
      </c>
      <c r="B29" s="51">
        <f t="shared" si="25"/>
        <v>46216</v>
      </c>
      <c r="C29" s="52" t="s">
        <v>88</v>
      </c>
      <c r="D29" s="91"/>
      <c r="E29" s="62"/>
      <c r="F29" s="62"/>
      <c r="G29" s="62">
        <f t="shared" si="11"/>
        <v>0</v>
      </c>
      <c r="H29" s="63">
        <f t="shared" si="12"/>
        <v>0</v>
      </c>
      <c r="I29" s="202"/>
      <c r="J29" s="202"/>
      <c r="K29" s="202"/>
      <c r="L29" s="202"/>
      <c r="M29" s="57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6"/>
        <v>0</v>
      </c>
      <c r="AO29" s="74">
        <f t="shared" si="26"/>
        <v>0</v>
      </c>
      <c r="AP29" s="75" t="e">
        <f t="shared" si="23"/>
        <v>#DIV/0!</v>
      </c>
      <c r="AQ29" s="76">
        <f t="shared" si="9"/>
        <v>0</v>
      </c>
      <c r="AR29" s="90">
        <f t="shared" si="24"/>
        <v>0</v>
      </c>
    </row>
    <row r="30" spans="1:49" x14ac:dyDescent="0.25">
      <c r="A30" t="str">
        <f t="shared" si="10"/>
        <v>46217M</v>
      </c>
      <c r="B30" s="51">
        <f t="shared" si="25"/>
        <v>46217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202"/>
      <c r="J30" s="202"/>
      <c r="K30" s="202"/>
      <c r="L30" s="202"/>
      <c r="M30" s="57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6"/>
        <v>0</v>
      </c>
      <c r="AO30" s="74">
        <f t="shared" si="26"/>
        <v>0</v>
      </c>
      <c r="AP30" s="75" t="e">
        <f t="shared" si="23"/>
        <v>#DIV/0!</v>
      </c>
      <c r="AQ30" s="76">
        <f t="shared" si="9"/>
        <v>0</v>
      </c>
      <c r="AR30" s="90">
        <f t="shared" si="24"/>
        <v>0</v>
      </c>
    </row>
    <row r="31" spans="1:49" x14ac:dyDescent="0.25">
      <c r="A31" t="str">
        <f t="shared" si="10"/>
        <v>46217E</v>
      </c>
      <c r="B31" s="51">
        <f t="shared" si="25"/>
        <v>46217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202"/>
      <c r="J31" s="202"/>
      <c r="K31" s="202"/>
      <c r="L31" s="202"/>
      <c r="M31" s="57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6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6"/>
        <v>0</v>
      </c>
      <c r="AO31" s="74">
        <f t="shared" si="26"/>
        <v>0</v>
      </c>
      <c r="AP31" s="75" t="e">
        <f t="shared" si="23"/>
        <v>#DIV/0!</v>
      </c>
      <c r="AQ31" s="76">
        <f t="shared" si="9"/>
        <v>0</v>
      </c>
      <c r="AR31" s="90">
        <f t="shared" si="24"/>
        <v>0</v>
      </c>
    </row>
    <row r="32" spans="1:49" x14ac:dyDescent="0.25">
      <c r="A32" t="str">
        <f t="shared" si="10"/>
        <v>46218M</v>
      </c>
      <c r="B32" s="51">
        <f t="shared" si="25"/>
        <v>46218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202"/>
      <c r="J32" s="202"/>
      <c r="K32" s="202"/>
      <c r="L32" s="202"/>
      <c r="M32" s="57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6"/>
        <v>0</v>
      </c>
      <c r="AO32" s="74">
        <f t="shared" si="26"/>
        <v>0</v>
      </c>
      <c r="AP32" s="75" t="e">
        <f t="shared" si="23"/>
        <v>#DIV/0!</v>
      </c>
      <c r="AQ32" s="76">
        <f t="shared" si="9"/>
        <v>0</v>
      </c>
      <c r="AR32" s="90">
        <f t="shared" si="24"/>
        <v>0</v>
      </c>
    </row>
    <row r="33" spans="1:49" x14ac:dyDescent="0.25">
      <c r="A33" t="str">
        <f t="shared" si="10"/>
        <v>46218E</v>
      </c>
      <c r="B33" s="51">
        <f t="shared" si="25"/>
        <v>46218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202"/>
      <c r="J33" s="202"/>
      <c r="K33" s="202"/>
      <c r="L33" s="202"/>
      <c r="M33" s="57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6"/>
        <v>0</v>
      </c>
      <c r="AO33" s="74">
        <f t="shared" si="26"/>
        <v>0</v>
      </c>
      <c r="AP33" s="75" t="e">
        <f t="shared" si="23"/>
        <v>#DIV/0!</v>
      </c>
      <c r="AQ33" s="76">
        <f t="shared" si="9"/>
        <v>0</v>
      </c>
      <c r="AR33" s="90">
        <f t="shared" si="24"/>
        <v>0</v>
      </c>
    </row>
    <row r="34" spans="1:49" x14ac:dyDescent="0.25">
      <c r="A34" t="str">
        <f t="shared" si="10"/>
        <v>46219M</v>
      </c>
      <c r="B34" s="51">
        <f t="shared" si="25"/>
        <v>46219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202"/>
      <c r="J34" s="202"/>
      <c r="K34" s="202"/>
      <c r="L34" s="202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6"/>
        <v>0</v>
      </c>
      <c r="AO34" s="74">
        <f t="shared" si="26"/>
        <v>0</v>
      </c>
      <c r="AP34" s="75" t="e">
        <f t="shared" si="23"/>
        <v>#DIV/0!</v>
      </c>
      <c r="AQ34" s="76">
        <f t="shared" si="9"/>
        <v>0</v>
      </c>
      <c r="AR34" s="90">
        <f t="shared" si="24"/>
        <v>0</v>
      </c>
    </row>
    <row r="35" spans="1:49" x14ac:dyDescent="0.25">
      <c r="A35" t="str">
        <f t="shared" si="10"/>
        <v>46219E</v>
      </c>
      <c r="B35" s="51">
        <f t="shared" si="25"/>
        <v>46219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202"/>
      <c r="J35" s="202"/>
      <c r="K35" s="202"/>
      <c r="L35" s="202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6"/>
        <v>0</v>
      </c>
      <c r="AO35" s="74">
        <f t="shared" si="26"/>
        <v>0</v>
      </c>
      <c r="AP35" s="75" t="e">
        <f t="shared" si="23"/>
        <v>#DIV/0!</v>
      </c>
      <c r="AQ35" s="76">
        <f t="shared" si="9"/>
        <v>0</v>
      </c>
      <c r="AR35" s="90">
        <f t="shared" si="24"/>
        <v>0</v>
      </c>
    </row>
    <row r="36" spans="1:49" x14ac:dyDescent="0.25">
      <c r="A36" t="str">
        <f t="shared" si="10"/>
        <v>46220M</v>
      </c>
      <c r="B36" s="51">
        <f t="shared" si="25"/>
        <v>46220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202"/>
      <c r="J36" s="202"/>
      <c r="K36" s="202"/>
      <c r="L36" s="202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6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6"/>
        <v>0</v>
      </c>
      <c r="AO36" s="74">
        <f t="shared" si="26"/>
        <v>0</v>
      </c>
      <c r="AP36" s="75" t="e">
        <f t="shared" si="23"/>
        <v>#DIV/0!</v>
      </c>
      <c r="AQ36" s="76">
        <f t="shared" si="9"/>
        <v>0</v>
      </c>
      <c r="AR36" s="90">
        <f t="shared" si="24"/>
        <v>0</v>
      </c>
    </row>
    <row r="37" spans="1:49" x14ac:dyDescent="0.25">
      <c r="A37" t="str">
        <f t="shared" si="10"/>
        <v>46220E</v>
      </c>
      <c r="B37" s="51">
        <f t="shared" si="25"/>
        <v>46220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202"/>
      <c r="J37" s="202"/>
      <c r="K37" s="202"/>
      <c r="L37" s="202"/>
      <c r="M37" s="57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6"/>
        <v>0</v>
      </c>
      <c r="AO37" s="74">
        <f t="shared" si="26"/>
        <v>0</v>
      </c>
      <c r="AP37" s="75" t="e">
        <f t="shared" si="23"/>
        <v>#DIV/0!</v>
      </c>
      <c r="AQ37" s="76">
        <f t="shared" si="9"/>
        <v>0</v>
      </c>
      <c r="AR37" s="90">
        <f t="shared" si="24"/>
        <v>0</v>
      </c>
    </row>
    <row r="38" spans="1:49" x14ac:dyDescent="0.25">
      <c r="A38" t="str">
        <f t="shared" si="10"/>
        <v>46221M</v>
      </c>
      <c r="B38" s="51">
        <f t="shared" si="25"/>
        <v>46221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202"/>
      <c r="J38" s="202"/>
      <c r="K38" s="202"/>
      <c r="L38" s="202"/>
      <c r="M38" s="58"/>
      <c r="N38" s="56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6"/>
        <v>0</v>
      </c>
      <c r="AO38" s="74">
        <f t="shared" si="26"/>
        <v>0</v>
      </c>
      <c r="AP38" s="75" t="e">
        <f t="shared" si="23"/>
        <v>#DIV/0!</v>
      </c>
      <c r="AQ38" s="76">
        <f t="shared" si="9"/>
        <v>0</v>
      </c>
      <c r="AR38" s="90">
        <f t="shared" si="24"/>
        <v>0</v>
      </c>
    </row>
    <row r="39" spans="1:49" x14ac:dyDescent="0.25">
      <c r="A39" t="str">
        <f t="shared" si="10"/>
        <v>46221E</v>
      </c>
      <c r="B39" s="51">
        <f t="shared" si="25"/>
        <v>46221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202"/>
      <c r="J39" s="202"/>
      <c r="K39" s="202"/>
      <c r="L39" s="202"/>
      <c r="M39" s="58"/>
      <c r="N39" s="56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6"/>
        <v>0</v>
      </c>
      <c r="AO39" s="74">
        <f t="shared" si="26"/>
        <v>0</v>
      </c>
      <c r="AP39" s="75" t="e">
        <f t="shared" si="23"/>
        <v>#DIV/0!</v>
      </c>
      <c r="AQ39" s="76">
        <f t="shared" si="9"/>
        <v>0</v>
      </c>
      <c r="AR39" s="90">
        <f t="shared" si="24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x14ac:dyDescent="0.25">
      <c r="A40" t="str">
        <f t="shared" si="10"/>
        <v>46222M</v>
      </c>
      <c r="B40" s="51">
        <f t="shared" si="25"/>
        <v>46222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202"/>
      <c r="J40" s="202"/>
      <c r="K40" s="202"/>
      <c r="L40" s="202"/>
      <c r="M40" s="58"/>
      <c r="N40" s="56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6"/>
        <v>0</v>
      </c>
      <c r="AO40" s="74">
        <f t="shared" si="26"/>
        <v>0</v>
      </c>
      <c r="AP40" s="75" t="e">
        <f t="shared" si="23"/>
        <v>#DIV/0!</v>
      </c>
      <c r="AQ40" s="76">
        <f t="shared" si="9"/>
        <v>0</v>
      </c>
      <c r="AR40" s="90">
        <f t="shared" si="24"/>
        <v>0</v>
      </c>
    </row>
    <row r="41" spans="1:49" x14ac:dyDescent="0.25">
      <c r="A41" t="str">
        <f t="shared" si="10"/>
        <v>46222E</v>
      </c>
      <c r="B41" s="51">
        <f t="shared" si="25"/>
        <v>46222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202"/>
      <c r="J41" s="202"/>
      <c r="K41" s="202"/>
      <c r="L41" s="202"/>
      <c r="M41" s="58"/>
      <c r="N41" s="56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6"/>
        <v>0</v>
      </c>
      <c r="AO41" s="74">
        <f t="shared" si="26"/>
        <v>0</v>
      </c>
      <c r="AP41" s="75" t="e">
        <f t="shared" si="23"/>
        <v>#DIV/0!</v>
      </c>
      <c r="AQ41" s="76">
        <f t="shared" si="9"/>
        <v>0</v>
      </c>
      <c r="AR41" s="90">
        <f t="shared" si="24"/>
        <v>0</v>
      </c>
    </row>
    <row r="42" spans="1:49" x14ac:dyDescent="0.25">
      <c r="A42" t="str">
        <f t="shared" si="10"/>
        <v>46223M</v>
      </c>
      <c r="B42" s="51">
        <f t="shared" si="25"/>
        <v>46223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202"/>
      <c r="J42" s="202"/>
      <c r="K42" s="202"/>
      <c r="L42" s="202"/>
      <c r="M42" s="58"/>
      <c r="N42" s="56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6"/>
        <v>0</v>
      </c>
      <c r="AO42" s="74">
        <f t="shared" si="26"/>
        <v>0</v>
      </c>
      <c r="AP42" s="75" t="e">
        <f t="shared" si="23"/>
        <v>#DIV/0!</v>
      </c>
      <c r="AQ42" s="76">
        <f t="shared" si="9"/>
        <v>0</v>
      </c>
      <c r="AR42" s="90">
        <f t="shared" si="24"/>
        <v>0</v>
      </c>
    </row>
    <row r="43" spans="1:49" x14ac:dyDescent="0.25">
      <c r="A43" t="str">
        <f t="shared" si="10"/>
        <v>46223E</v>
      </c>
      <c r="B43" s="51">
        <f t="shared" si="25"/>
        <v>46223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202"/>
      <c r="J43" s="202"/>
      <c r="K43" s="202"/>
      <c r="L43" s="202"/>
      <c r="M43" s="58"/>
      <c r="N43" s="56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6"/>
        <v>0</v>
      </c>
      <c r="AO43" s="74">
        <f t="shared" si="26"/>
        <v>0</v>
      </c>
      <c r="AP43" s="75" t="e">
        <f t="shared" si="23"/>
        <v>#DIV/0!</v>
      </c>
      <c r="AQ43" s="76">
        <f t="shared" si="9"/>
        <v>0</v>
      </c>
      <c r="AR43" s="90">
        <f t="shared" si="24"/>
        <v>0</v>
      </c>
    </row>
    <row r="44" spans="1:49" x14ac:dyDescent="0.25">
      <c r="A44" t="str">
        <f t="shared" si="10"/>
        <v>46224M</v>
      </c>
      <c r="B44" s="51">
        <f t="shared" si="25"/>
        <v>46224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202"/>
      <c r="J44" s="202"/>
      <c r="K44" s="202"/>
      <c r="L44" s="202"/>
      <c r="M44" s="58"/>
      <c r="N44" s="56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6"/>
        <v>0</v>
      </c>
      <c r="AO44" s="74">
        <f t="shared" si="26"/>
        <v>0</v>
      </c>
      <c r="AP44" s="75" t="e">
        <f t="shared" si="23"/>
        <v>#DIV/0!</v>
      </c>
      <c r="AQ44" s="76">
        <f t="shared" si="9"/>
        <v>0</v>
      </c>
      <c r="AR44" s="90">
        <f t="shared" si="24"/>
        <v>0</v>
      </c>
    </row>
    <row r="45" spans="1:49" x14ac:dyDescent="0.25">
      <c r="A45" t="str">
        <f t="shared" si="10"/>
        <v>46224E</v>
      </c>
      <c r="B45" s="51">
        <f t="shared" si="25"/>
        <v>46224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202"/>
      <c r="J45" s="202"/>
      <c r="K45" s="202"/>
      <c r="L45" s="202"/>
      <c r="M45" s="58"/>
      <c r="N45" s="56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6"/>
        <v>0</v>
      </c>
      <c r="AO45" s="74">
        <f t="shared" si="26"/>
        <v>0</v>
      </c>
      <c r="AP45" s="75" t="e">
        <f t="shared" si="23"/>
        <v>#DIV/0!</v>
      </c>
      <c r="AQ45" s="76">
        <f t="shared" si="9"/>
        <v>0</v>
      </c>
      <c r="AR45" s="90">
        <f t="shared" si="24"/>
        <v>0</v>
      </c>
    </row>
    <row r="46" spans="1:49" x14ac:dyDescent="0.25">
      <c r="A46" t="str">
        <f t="shared" si="10"/>
        <v>46225M</v>
      </c>
      <c r="B46" s="51">
        <f t="shared" si="25"/>
        <v>46225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202"/>
      <c r="J46" s="202"/>
      <c r="K46" s="202"/>
      <c r="L46" s="202"/>
      <c r="M46" s="58"/>
      <c r="N46" s="56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6"/>
        <v>0</v>
      </c>
      <c r="AO46" s="74">
        <f t="shared" si="26"/>
        <v>0</v>
      </c>
      <c r="AP46" s="75" t="e">
        <f t="shared" si="23"/>
        <v>#DIV/0!</v>
      </c>
      <c r="AQ46" s="76">
        <f t="shared" si="9"/>
        <v>0</v>
      </c>
      <c r="AR46" s="90">
        <f>(D46+J46+O46)-(X46+AH46)</f>
        <v>0</v>
      </c>
    </row>
    <row r="47" spans="1:49" x14ac:dyDescent="0.25">
      <c r="A47" t="str">
        <f t="shared" si="10"/>
        <v>46225E</v>
      </c>
      <c r="B47" s="51">
        <f t="shared" si="25"/>
        <v>46225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202"/>
      <c r="J47" s="202"/>
      <c r="K47" s="202"/>
      <c r="L47" s="202"/>
      <c r="M47" s="58"/>
      <c r="N47" s="56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6"/>
        <v>0</v>
      </c>
      <c r="AO47" s="74">
        <f t="shared" si="26"/>
        <v>0</v>
      </c>
      <c r="AP47" s="75" t="e">
        <f t="shared" si="23"/>
        <v>#DIV/0!</v>
      </c>
      <c r="AQ47" s="76">
        <f t="shared" si="9"/>
        <v>0</v>
      </c>
      <c r="AR47" s="90">
        <f t="shared" si="24"/>
        <v>0</v>
      </c>
    </row>
    <row r="48" spans="1:49" x14ac:dyDescent="0.25">
      <c r="A48" t="str">
        <f t="shared" si="10"/>
        <v>46226M</v>
      </c>
      <c r="B48" s="51">
        <f t="shared" si="25"/>
        <v>46226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202"/>
      <c r="J48" s="202"/>
      <c r="K48" s="202"/>
      <c r="L48" s="202"/>
      <c r="M48" s="58"/>
      <c r="N48" s="56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6"/>
        <v>0</v>
      </c>
      <c r="AO48" s="74">
        <f t="shared" si="26"/>
        <v>0</v>
      </c>
      <c r="AP48" s="75" t="e">
        <f t="shared" si="23"/>
        <v>#DIV/0!</v>
      </c>
      <c r="AQ48" s="76">
        <f t="shared" si="9"/>
        <v>0</v>
      </c>
      <c r="AR48" s="90">
        <f t="shared" si="24"/>
        <v>0</v>
      </c>
    </row>
    <row r="49" spans="1:49" x14ac:dyDescent="0.25">
      <c r="A49" t="str">
        <f t="shared" si="10"/>
        <v>46226E</v>
      </c>
      <c r="B49" s="51">
        <f t="shared" si="25"/>
        <v>46226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202"/>
      <c r="J49" s="202"/>
      <c r="K49" s="202"/>
      <c r="L49" s="202"/>
      <c r="M49" s="58"/>
      <c r="N49" s="56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6"/>
        <v>0</v>
      </c>
      <c r="AO49" s="74">
        <f t="shared" si="26"/>
        <v>0</v>
      </c>
      <c r="AP49" s="75" t="e">
        <f t="shared" si="23"/>
        <v>#DIV/0!</v>
      </c>
      <c r="AQ49" s="76">
        <f t="shared" si="9"/>
        <v>0</v>
      </c>
      <c r="AR49" s="90">
        <f t="shared" si="24"/>
        <v>0</v>
      </c>
    </row>
    <row r="50" spans="1:49" x14ac:dyDescent="0.25">
      <c r="A50" t="str">
        <f t="shared" si="10"/>
        <v>46227M</v>
      </c>
      <c r="B50" s="51">
        <f t="shared" si="25"/>
        <v>46227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202"/>
      <c r="J50" s="202"/>
      <c r="K50" s="202"/>
      <c r="L50" s="202"/>
      <c r="M50" s="58"/>
      <c r="N50" s="56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6"/>
        <v>0</v>
      </c>
      <c r="AO50" s="74">
        <f t="shared" si="26"/>
        <v>0</v>
      </c>
      <c r="AP50" s="75" t="e">
        <f t="shared" si="23"/>
        <v>#DIV/0!</v>
      </c>
      <c r="AQ50" s="76">
        <f t="shared" si="9"/>
        <v>0</v>
      </c>
      <c r="AR50" s="90">
        <f t="shared" si="24"/>
        <v>0</v>
      </c>
    </row>
    <row r="51" spans="1:49" x14ac:dyDescent="0.25">
      <c r="A51" t="str">
        <f t="shared" si="10"/>
        <v>46227E</v>
      </c>
      <c r="B51" s="51">
        <f t="shared" si="25"/>
        <v>46227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202"/>
      <c r="J51" s="202"/>
      <c r="K51" s="202"/>
      <c r="L51" s="202"/>
      <c r="M51" s="58"/>
      <c r="N51" s="56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6"/>
        <v>0</v>
      </c>
      <c r="AO51" s="74">
        <f t="shared" si="26"/>
        <v>0</v>
      </c>
      <c r="AP51" s="75" t="e">
        <f t="shared" si="23"/>
        <v>#DIV/0!</v>
      </c>
      <c r="AQ51" s="76">
        <f t="shared" si="9"/>
        <v>0</v>
      </c>
      <c r="AR51" s="90">
        <f t="shared" si="24"/>
        <v>0</v>
      </c>
    </row>
    <row r="52" spans="1:49" x14ac:dyDescent="0.25">
      <c r="A52" t="str">
        <f t="shared" si="10"/>
        <v>46228M</v>
      </c>
      <c r="B52" s="51">
        <f t="shared" si="25"/>
        <v>46228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202"/>
      <c r="J52" s="202"/>
      <c r="K52" s="202"/>
      <c r="L52" s="202"/>
      <c r="M52" s="58"/>
      <c r="N52" s="56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6"/>
        <v>0</v>
      </c>
      <c r="AO52" s="74">
        <f t="shared" si="26"/>
        <v>0</v>
      </c>
      <c r="AP52" s="75" t="e">
        <f t="shared" si="23"/>
        <v>#DIV/0!</v>
      </c>
      <c r="AQ52" s="76">
        <f t="shared" si="9"/>
        <v>0</v>
      </c>
      <c r="AR52" s="90">
        <f t="shared" si="24"/>
        <v>0</v>
      </c>
    </row>
    <row r="53" spans="1:49" x14ac:dyDescent="0.25">
      <c r="A53" t="str">
        <f t="shared" si="10"/>
        <v>46228E</v>
      </c>
      <c r="B53" s="51">
        <f t="shared" si="25"/>
        <v>46228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202"/>
      <c r="J53" s="202"/>
      <c r="K53" s="202"/>
      <c r="L53" s="202"/>
      <c r="M53" s="58"/>
      <c r="N53" s="56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6"/>
        <v>0</v>
      </c>
      <c r="AO53" s="74">
        <f t="shared" si="26"/>
        <v>0</v>
      </c>
      <c r="AP53" s="75" t="e">
        <f t="shared" si="23"/>
        <v>#DIV/0!</v>
      </c>
      <c r="AQ53" s="76">
        <f t="shared" si="9"/>
        <v>0</v>
      </c>
      <c r="AR53" s="90">
        <f t="shared" si="24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0"/>
        <v>46229M</v>
      </c>
      <c r="B54" s="51">
        <f t="shared" si="25"/>
        <v>46229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202"/>
      <c r="J54" s="202"/>
      <c r="K54" s="202"/>
      <c r="L54" s="202"/>
      <c r="M54" s="58"/>
      <c r="N54" s="56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6"/>
        <v>0</v>
      </c>
      <c r="AO54" s="74">
        <f t="shared" si="26"/>
        <v>0</v>
      </c>
      <c r="AP54" s="75" t="e">
        <f t="shared" si="23"/>
        <v>#DIV/0!</v>
      </c>
      <c r="AQ54" s="76">
        <f t="shared" si="9"/>
        <v>0</v>
      </c>
      <c r="AR54" s="90">
        <f t="shared" si="24"/>
        <v>0</v>
      </c>
    </row>
    <row r="55" spans="1:49" x14ac:dyDescent="0.25">
      <c r="A55" t="str">
        <f t="shared" si="10"/>
        <v>46229E</v>
      </c>
      <c r="B55" s="51">
        <f t="shared" si="25"/>
        <v>46229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202"/>
      <c r="J55" s="202"/>
      <c r="K55" s="202"/>
      <c r="L55" s="202"/>
      <c r="M55" s="58"/>
      <c r="N55" s="56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6"/>
        <v>0</v>
      </c>
      <c r="AO55" s="74">
        <f t="shared" si="26"/>
        <v>0</v>
      </c>
      <c r="AP55" s="75" t="e">
        <f t="shared" si="23"/>
        <v>#DIV/0!</v>
      </c>
      <c r="AQ55" s="76">
        <f t="shared" si="9"/>
        <v>0</v>
      </c>
      <c r="AR55" s="90">
        <f t="shared" si="24"/>
        <v>0</v>
      </c>
    </row>
    <row r="56" spans="1:49" x14ac:dyDescent="0.25">
      <c r="A56" t="str">
        <f t="shared" si="10"/>
        <v>46230M</v>
      </c>
      <c r="B56" s="51">
        <f t="shared" si="25"/>
        <v>46230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202"/>
      <c r="J56" s="202"/>
      <c r="K56" s="202"/>
      <c r="L56" s="202"/>
      <c r="M56" s="58"/>
      <c r="N56" s="56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6"/>
        <v>0</v>
      </c>
      <c r="AO56" s="74">
        <f t="shared" si="26"/>
        <v>0</v>
      </c>
      <c r="AP56" s="75" t="e">
        <f t="shared" si="23"/>
        <v>#DIV/0!</v>
      </c>
      <c r="AQ56" s="76">
        <f t="shared" si="9"/>
        <v>0</v>
      </c>
      <c r="AR56" s="90">
        <f t="shared" si="24"/>
        <v>0</v>
      </c>
    </row>
    <row r="57" spans="1:49" x14ac:dyDescent="0.25">
      <c r="A57" t="str">
        <f t="shared" si="10"/>
        <v>46230E</v>
      </c>
      <c r="B57" s="51">
        <f t="shared" si="25"/>
        <v>46230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202"/>
      <c r="J57" s="202"/>
      <c r="K57" s="202"/>
      <c r="L57" s="202"/>
      <c r="M57" s="58"/>
      <c r="N57" s="56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6"/>
        <v>0</v>
      </c>
      <c r="AO57" s="74">
        <f t="shared" si="26"/>
        <v>0</v>
      </c>
      <c r="AP57" s="75" t="e">
        <f t="shared" si="23"/>
        <v>#DIV/0!</v>
      </c>
      <c r="AQ57" s="76">
        <f t="shared" si="9"/>
        <v>0</v>
      </c>
      <c r="AR57" s="90">
        <f t="shared" si="24"/>
        <v>0</v>
      </c>
    </row>
    <row r="58" spans="1:49" x14ac:dyDescent="0.25">
      <c r="A58" t="str">
        <f t="shared" si="10"/>
        <v>46231M</v>
      </c>
      <c r="B58" s="51">
        <f t="shared" si="25"/>
        <v>46231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202"/>
      <c r="J58" s="202"/>
      <c r="K58" s="202"/>
      <c r="L58" s="202"/>
      <c r="M58" s="58"/>
      <c r="N58" s="56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6"/>
        <v>0</v>
      </c>
      <c r="AO58" s="74">
        <f t="shared" si="26"/>
        <v>0</v>
      </c>
      <c r="AP58" s="75" t="e">
        <f t="shared" si="23"/>
        <v>#DIV/0!</v>
      </c>
      <c r="AQ58" s="76">
        <f t="shared" si="9"/>
        <v>0</v>
      </c>
      <c r="AR58" s="90">
        <f t="shared" si="24"/>
        <v>0</v>
      </c>
    </row>
    <row r="59" spans="1:49" x14ac:dyDescent="0.25">
      <c r="A59" t="str">
        <f t="shared" si="10"/>
        <v>46231E</v>
      </c>
      <c r="B59" s="51">
        <f t="shared" si="25"/>
        <v>46231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202"/>
      <c r="J59" s="202"/>
      <c r="K59" s="202"/>
      <c r="L59" s="202"/>
      <c r="M59" s="58"/>
      <c r="N59" s="56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6"/>
        <v>0</v>
      </c>
      <c r="AO59" s="74">
        <f t="shared" si="26"/>
        <v>0</v>
      </c>
      <c r="AP59" s="75" t="e">
        <f t="shared" si="23"/>
        <v>#DIV/0!</v>
      </c>
      <c r="AQ59" s="76">
        <f t="shared" si="9"/>
        <v>0</v>
      </c>
      <c r="AR59" s="90">
        <f t="shared" si="24"/>
        <v>0</v>
      </c>
    </row>
    <row r="60" spans="1:49" x14ac:dyDescent="0.25">
      <c r="A60" t="str">
        <f t="shared" si="10"/>
        <v>46232M</v>
      </c>
      <c r="B60" s="51">
        <f t="shared" si="25"/>
        <v>46232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202"/>
      <c r="J60" s="202"/>
      <c r="K60" s="202"/>
      <c r="L60" s="202"/>
      <c r="M60" s="58"/>
      <c r="N60" s="56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6"/>
        <v>0</v>
      </c>
      <c r="AO60" s="74">
        <f t="shared" si="26"/>
        <v>0</v>
      </c>
      <c r="AP60" s="75" t="e">
        <f t="shared" si="23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46232E</v>
      </c>
      <c r="B61" s="51">
        <f t="shared" si="25"/>
        <v>46232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202"/>
      <c r="J61" s="202"/>
      <c r="K61" s="202"/>
      <c r="L61" s="202"/>
      <c r="M61" s="58"/>
      <c r="N61" s="56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6"/>
        <v>0</v>
      </c>
      <c r="AO61" s="74">
        <f t="shared" si="26"/>
        <v>0</v>
      </c>
      <c r="AP61" s="75" t="e">
        <f t="shared" si="23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46233M</v>
      </c>
      <c r="B62" s="51">
        <f t="shared" si="25"/>
        <v>46233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202"/>
      <c r="J62" s="202"/>
      <c r="K62" s="202"/>
      <c r="L62" s="202"/>
      <c r="M62" s="58"/>
      <c r="N62" s="56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6"/>
        <v>0</v>
      </c>
      <c r="AO62" s="74">
        <f t="shared" si="26"/>
        <v>0</v>
      </c>
      <c r="AP62" s="75" t="e">
        <f t="shared" si="23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46233E</v>
      </c>
      <c r="B63" s="51">
        <f t="shared" si="25"/>
        <v>46233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202"/>
      <c r="J63" s="202"/>
      <c r="K63" s="202"/>
      <c r="L63" s="202"/>
      <c r="M63" s="58"/>
      <c r="N63" s="56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6"/>
        <v>0</v>
      </c>
      <c r="AO63" s="74">
        <f t="shared" si="26"/>
        <v>0</v>
      </c>
      <c r="AP63" s="75" t="e">
        <f t="shared" si="23"/>
        <v>#DIV/0!</v>
      </c>
      <c r="AQ63" s="76">
        <f t="shared" si="9"/>
        <v>0</v>
      </c>
      <c r="AR63" s="90">
        <f>(D63+J63+O63)-(X63+AH63)</f>
        <v>0</v>
      </c>
      <c r="AS63" s="90">
        <f>SUM(J54:J63)</f>
        <v>0</v>
      </c>
      <c r="AT63" s="83">
        <f>SUM(AM54:AM63)</f>
        <v>0</v>
      </c>
      <c r="AU63" s="83">
        <f>SUM(AN54:AN63)</f>
        <v>0</v>
      </c>
      <c r="AV63" s="83">
        <f>SUM(AO54:AO63)</f>
        <v>0</v>
      </c>
      <c r="AW63" s="83">
        <f>-SUM(AQ54:AQ63)</f>
        <v>0</v>
      </c>
    </row>
    <row r="64" spans="1:49" x14ac:dyDescent="0.25">
      <c r="A64" t="str">
        <f t="shared" si="10"/>
        <v>46234M</v>
      </c>
      <c r="B64" s="51">
        <f t="shared" si="25"/>
        <v>46234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18"/>
      <c r="J64" s="119"/>
      <c r="K64" s="120"/>
      <c r="L64" s="121"/>
      <c r="M64" s="58"/>
      <c r="N64" s="56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6"/>
        <v>0</v>
      </c>
      <c r="AO64" s="74">
        <f t="shared" si="26"/>
        <v>0</v>
      </c>
      <c r="AP64" s="75" t="e">
        <f t="shared" si="23"/>
        <v>#DIV/0!</v>
      </c>
      <c r="AQ64" s="76">
        <f t="shared" si="9"/>
        <v>0</v>
      </c>
      <c r="AR64" s="90">
        <f t="shared" si="24"/>
        <v>0</v>
      </c>
    </row>
    <row r="65" spans="1:44" x14ac:dyDescent="0.25">
      <c r="A65" t="str">
        <f t="shared" si="10"/>
        <v>46234E</v>
      </c>
      <c r="B65" s="51">
        <f t="shared" si="25"/>
        <v>46234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18"/>
      <c r="J65" s="119"/>
      <c r="K65" s="120"/>
      <c r="L65" s="121"/>
      <c r="M65" s="58"/>
      <c r="N65" s="56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6"/>
        <v>0</v>
      </c>
      <c r="AO65" s="74">
        <f t="shared" si="26"/>
        <v>0</v>
      </c>
      <c r="AP65" s="75" t="e">
        <f t="shared" si="23"/>
        <v>#DIV/0!</v>
      </c>
      <c r="AQ65" s="76">
        <f t="shared" si="9"/>
        <v>0</v>
      </c>
      <c r="AR65" s="90">
        <f t="shared" si="24"/>
        <v>0</v>
      </c>
    </row>
    <row r="66" spans="1:44" x14ac:dyDescent="0.25">
      <c r="J66" s="83">
        <f>SUM(J4:J65)</f>
        <v>31197.299199999994</v>
      </c>
      <c r="AM66" s="126">
        <f>-SUM(AM4:AM65)</f>
        <v>-850.29919999999902</v>
      </c>
      <c r="AN66" s="126">
        <f>-SUM(AN4:AN65)</f>
        <v>15.181267800000086</v>
      </c>
      <c r="AO66" s="126">
        <f>-SUM(AO4:AO65)</f>
        <v>-22.434739399999955</v>
      </c>
      <c r="AP66" s="126"/>
      <c r="AQ66" s="126">
        <f>-SUM(AQ4:AQ65)</f>
        <v>576.08854911894741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2" operator="lessThan">
      <formula>0.1</formula>
    </cfRule>
    <cfRule type="cellIs" dxfId="13" priority="3" operator="greaterThan">
      <formula>0.1</formula>
    </cfRule>
  </conditionalFormatting>
  <conditionalFormatting sqref="AP1:AQ1">
    <cfRule type="cellIs" dxfId="12" priority="1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AW69"/>
  <sheetViews>
    <sheetView topLeftCell="B1" zoomScale="80" zoomScaleNormal="8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AH8" sqref="AH8:AJ21"/>
    </sheetView>
  </sheetViews>
  <sheetFormatPr defaultRowHeight="15" x14ac:dyDescent="0.25"/>
  <cols>
    <col min="1" max="1" width="8.42578125" bestFit="1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bestFit="1" customWidth="1"/>
    <col min="10" max="10" width="8.140625" bestFit="1" customWidth="1"/>
    <col min="11" max="11" width="6" bestFit="1" customWidth="1"/>
    <col min="12" max="12" width="5.85546875" bestFit="1" customWidth="1"/>
    <col min="13" max="13" width="6" bestFit="1" customWidth="1"/>
    <col min="14" max="14" width="10.28515625" customWidth="1"/>
    <col min="15" max="15" width="8.85546875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9" customWidth="1"/>
    <col min="22" max="22" width="8.28515625" customWidth="1"/>
    <col min="23" max="23" width="11.285156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5" width="5.85546875" bestFit="1" customWidth="1"/>
    <col min="36" max="36" width="6.570312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" bestFit="1" customWidth="1"/>
    <col min="46" max="46" width="7.28515625" bestFit="1" customWidth="1"/>
    <col min="47" max="48" width="6.28515625" bestFit="1" customWidth="1"/>
    <col min="49" max="49" width="9.28515625" bestFit="1" customWidth="1"/>
  </cols>
  <sheetData>
    <row r="1" spans="1:44" ht="15.75" thickBot="1" x14ac:dyDescent="0.3">
      <c r="B1" s="43" t="s">
        <v>101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1890</v>
      </c>
      <c r="E4" s="88">
        <v>4.01</v>
      </c>
      <c r="F4" s="88">
        <v>8.01</v>
      </c>
      <c r="G4" s="62">
        <f t="shared" ref="G4:G15" si="0">+D4*E4%</f>
        <v>75.788999999999987</v>
      </c>
      <c r="H4" s="63">
        <f t="shared" ref="H4:H15" si="1">+D4*F4%</f>
        <v>151.38900000000001</v>
      </c>
      <c r="I4" s="118">
        <v>1620.1999999999998</v>
      </c>
      <c r="J4" s="119">
        <v>1668.8059999999998</v>
      </c>
      <c r="K4" s="120">
        <v>4.0775552400938153</v>
      </c>
      <c r="L4" s="121">
        <v>7.9694142698432264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1668.8059999999998</v>
      </c>
      <c r="S4" s="62">
        <f t="shared" ref="S4" si="2">+J4*K4%+O4*P4%</f>
        <v>68.046486499999986</v>
      </c>
      <c r="T4" s="63">
        <f t="shared" ref="T4" si="3">+J4*L4%+O4*Q4%</f>
        <v>132.99406349999995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+X4*Y4%</f>
        <v>0</v>
      </c>
      <c r="AB4" s="63">
        <f>+X4*Z4%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89">
        <v>3557</v>
      </c>
      <c r="AI4" s="66">
        <v>4.03</v>
      </c>
      <c r="AJ4" s="66">
        <v>7.98</v>
      </c>
      <c r="AK4" s="62">
        <f t="shared" ref="AK4" si="6">AH4*AI4%</f>
        <v>143.34710000000001</v>
      </c>
      <c r="AL4" s="72">
        <f t="shared" ref="AL4" si="7">AH4*AJ4%</f>
        <v>283.84860000000003</v>
      </c>
      <c r="AM4" s="73">
        <f>+D4+R4-AC4-AH4</f>
        <v>1.8059999999995853</v>
      </c>
      <c r="AN4" s="74">
        <f t="shared" ref="AN4:AO4" si="8">+G4+S4-AF4-AK4</f>
        <v>0.48838649999996164</v>
      </c>
      <c r="AO4" s="74">
        <f t="shared" si="8"/>
        <v>0.53446349999990161</v>
      </c>
      <c r="AP4" s="75">
        <f>(AN4+AO4)/(S4+T4)</f>
        <v>5.0877795549199578E-3</v>
      </c>
      <c r="AQ4" s="76">
        <f t="shared" ref="AQ4:AQ65" si="9">($AP$1*AN4+$AQ$1*AO4)</f>
        <v>394.75266866765014</v>
      </c>
      <c r="AR4" s="90">
        <f t="shared" ref="AR4:AR48" si="10">(D4+J4+O4)-(X4+AH4)</f>
        <v>1.8059999999995853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3557</v>
      </c>
      <c r="E5" s="62">
        <v>4.03</v>
      </c>
      <c r="F5" s="62">
        <v>7.98</v>
      </c>
      <c r="G5" s="62">
        <f t="shared" si="0"/>
        <v>143.34710000000001</v>
      </c>
      <c r="H5" s="63">
        <f t="shared" si="1"/>
        <v>283.84860000000003</v>
      </c>
      <c r="I5" s="118">
        <v>1602.75</v>
      </c>
      <c r="J5" s="119">
        <v>1650.8325</v>
      </c>
      <c r="K5" s="120">
        <v>3.7698393386367184</v>
      </c>
      <c r="L5" s="121">
        <v>7.9921385119326169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5" si="12">+J5+O5</f>
        <v>1650.8325</v>
      </c>
      <c r="S5" s="62">
        <f t="shared" ref="S5:S35" si="13">+J5*K5%+O5*P5%</f>
        <v>62.233733000000008</v>
      </c>
      <c r="T5" s="63">
        <f t="shared" ref="T5:T35" si="14">+J5*L5%+O5*Q5%</f>
        <v>131.93682000000001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5">+X5*Y5%</f>
        <v>0</v>
      </c>
      <c r="AB5" s="63">
        <f t="shared" ref="AB5:AB65" si="16">+X5*Z5%</f>
        <v>0</v>
      </c>
      <c r="AC5" s="69"/>
      <c r="AD5" s="70"/>
      <c r="AE5" s="70"/>
      <c r="AF5" s="62">
        <f t="shared" ref="AF5" si="17">AC5*AD5%</f>
        <v>0</v>
      </c>
      <c r="AG5" s="63">
        <f t="shared" ref="AG5" si="18">AC5*AE5%</f>
        <v>0</v>
      </c>
      <c r="AH5" s="89">
        <v>5220</v>
      </c>
      <c r="AI5" s="66">
        <v>3.94</v>
      </c>
      <c r="AJ5" s="66">
        <v>7.98</v>
      </c>
      <c r="AK5" s="62">
        <f t="shared" ref="AK5:AK65" si="19">AH5*AI5%</f>
        <v>205.66799999999998</v>
      </c>
      <c r="AL5" s="72">
        <f t="shared" ref="AL5:AL65" si="20">AH5*AJ5%</f>
        <v>416.55600000000004</v>
      </c>
      <c r="AM5" s="73">
        <f t="shared" ref="AM5:AM21" si="21">+D5+R5-AC5-AH5</f>
        <v>-12.167499999999563</v>
      </c>
      <c r="AN5" s="74">
        <f t="shared" ref="AN5:AN21" si="22">+G5+S5-AF5-AK5</f>
        <v>-8.7166999999965356E-2</v>
      </c>
      <c r="AO5" s="74">
        <f t="shared" ref="AO5:AO21" si="23">+H5+T5-AG5-AL5</f>
        <v>-0.77057999999999538</v>
      </c>
      <c r="AP5" s="75">
        <f t="shared" ref="AP5:AP65" si="24">(AN5+AO5)/(S5+T5)</f>
        <v>-4.417492697772564E-3</v>
      </c>
      <c r="AQ5" s="76">
        <f t="shared" si="9"/>
        <v>-272.66843037730729</v>
      </c>
      <c r="AR5" s="90">
        <f t="shared" si="10"/>
        <v>-12.167499999999563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91">
        <v>5220</v>
      </c>
      <c r="E6" s="62">
        <v>3.94</v>
      </c>
      <c r="F6" s="62">
        <v>7.98</v>
      </c>
      <c r="G6" s="62">
        <f t="shared" si="0"/>
        <v>205.66799999999998</v>
      </c>
      <c r="H6" s="63">
        <f t="shared" si="1"/>
        <v>416.55600000000004</v>
      </c>
      <c r="I6" s="118">
        <v>4494.6500000000005</v>
      </c>
      <c r="J6" s="119">
        <v>4629.4895000000006</v>
      </c>
      <c r="K6" s="120">
        <v>4.047476444217013</v>
      </c>
      <c r="L6" s="121">
        <v>7.9952309968518165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4629.4895000000006</v>
      </c>
      <c r="S6" s="62">
        <f t="shared" si="13"/>
        <v>187.37749700000001</v>
      </c>
      <c r="T6" s="63">
        <f t="shared" si="14"/>
        <v>370.13837950000021</v>
      </c>
      <c r="U6" s="64" t="s">
        <v>174</v>
      </c>
      <c r="V6" s="65" t="s">
        <v>217</v>
      </c>
      <c r="W6" s="66" t="s">
        <v>149</v>
      </c>
      <c r="X6" s="67">
        <v>3480</v>
      </c>
      <c r="Y6" s="68">
        <v>4.05</v>
      </c>
      <c r="Z6" s="68">
        <v>8.09</v>
      </c>
      <c r="AA6" s="62">
        <v>8.1</v>
      </c>
      <c r="AB6" s="63">
        <f t="shared" si="16"/>
        <v>281.53199999999998</v>
      </c>
      <c r="AC6" s="69">
        <v>3480</v>
      </c>
      <c r="AD6" s="70">
        <v>4</v>
      </c>
      <c r="AE6" s="70">
        <v>8.02</v>
      </c>
      <c r="AF6" s="62">
        <f t="shared" ref="AF6:AF65" si="25">AC6*AD6%</f>
        <v>139.20000000000002</v>
      </c>
      <c r="AG6" s="63">
        <f t="shared" ref="AG6:AG65" si="26">AC6*AE6%</f>
        <v>279.096</v>
      </c>
      <c r="AH6" s="89">
        <v>6368</v>
      </c>
      <c r="AI6" s="66">
        <v>3.9</v>
      </c>
      <c r="AJ6" s="66">
        <v>7.9</v>
      </c>
      <c r="AK6" s="62">
        <f t="shared" si="19"/>
        <v>248.352</v>
      </c>
      <c r="AL6" s="72">
        <f t="shared" si="20"/>
        <v>503.072</v>
      </c>
      <c r="AM6" s="73">
        <f t="shared" si="21"/>
        <v>1.4894999999996799</v>
      </c>
      <c r="AN6" s="74">
        <f t="shared" si="22"/>
        <v>5.4934969999999339</v>
      </c>
      <c r="AO6" s="74">
        <f t="shared" si="23"/>
        <v>4.5263795000001892</v>
      </c>
      <c r="AP6" s="75">
        <f t="shared" si="24"/>
        <v>1.7972360828364894E-2</v>
      </c>
      <c r="AQ6" s="76">
        <f t="shared" si="9"/>
        <v>3995.414466298188</v>
      </c>
      <c r="AR6" s="90">
        <f t="shared" si="10"/>
        <v>1.4894999999996799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91">
        <v>6368</v>
      </c>
      <c r="E7" s="62">
        <v>3.9</v>
      </c>
      <c r="F7" s="62">
        <v>7.9</v>
      </c>
      <c r="G7" s="62">
        <f t="shared" si="0"/>
        <v>248.352</v>
      </c>
      <c r="H7" s="63">
        <f t="shared" si="1"/>
        <v>503.072</v>
      </c>
      <c r="I7" s="118">
        <v>3177.2000000000003</v>
      </c>
      <c r="J7" s="119">
        <v>3272.5160000000005</v>
      </c>
      <c r="K7" s="120">
        <v>4.1828654160896397</v>
      </c>
      <c r="L7" s="121">
        <v>8.1911620294598997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3272.5160000000005</v>
      </c>
      <c r="S7" s="62">
        <f t="shared" si="13"/>
        <v>136.88494000000006</v>
      </c>
      <c r="T7" s="63">
        <f t="shared" si="14"/>
        <v>268.05708799999996</v>
      </c>
      <c r="U7" s="64" t="s">
        <v>169</v>
      </c>
      <c r="V7" s="65" t="s">
        <v>218</v>
      </c>
      <c r="W7" s="66" t="s">
        <v>181</v>
      </c>
      <c r="X7" s="67">
        <v>5920</v>
      </c>
      <c r="Y7" s="68">
        <v>4.05</v>
      </c>
      <c r="Z7" s="68">
        <v>8.1</v>
      </c>
      <c r="AA7" s="62">
        <v>8.07</v>
      </c>
      <c r="AB7" s="63">
        <f t="shared" si="16"/>
        <v>479.52000000000004</v>
      </c>
      <c r="AC7" s="69">
        <v>5920</v>
      </c>
      <c r="AD7" s="70">
        <v>4</v>
      </c>
      <c r="AE7" s="70">
        <v>8.0199999999999978</v>
      </c>
      <c r="AF7" s="62">
        <f t="shared" si="25"/>
        <v>236.8</v>
      </c>
      <c r="AG7" s="63">
        <f t="shared" si="26"/>
        <v>474.78399999999988</v>
      </c>
      <c r="AH7" s="89">
        <v>3762</v>
      </c>
      <c r="AI7" s="66">
        <v>4.0999999999999996</v>
      </c>
      <c r="AJ7" s="66">
        <v>8.11</v>
      </c>
      <c r="AK7" s="62">
        <f t="shared" si="19"/>
        <v>154.24199999999999</v>
      </c>
      <c r="AL7" s="72">
        <f t="shared" si="20"/>
        <v>305.09819999999996</v>
      </c>
      <c r="AM7" s="73">
        <f t="shared" si="21"/>
        <v>-41.484000000000378</v>
      </c>
      <c r="AN7" s="74">
        <f t="shared" si="22"/>
        <v>-5.8050599999999406</v>
      </c>
      <c r="AO7" s="74">
        <f t="shared" si="23"/>
        <v>-8.7531119999999305</v>
      </c>
      <c r="AP7" s="75">
        <f t="shared" si="24"/>
        <v>-3.5951249792229197E-2</v>
      </c>
      <c r="AQ7" s="76">
        <f t="shared" si="9"/>
        <v>-5410.9993832773735</v>
      </c>
      <c r="AR7" s="90">
        <f t="shared" si="10"/>
        <v>-41.484000000000378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91">
        <v>3762</v>
      </c>
      <c r="E8" s="62">
        <v>4.0999999999999996</v>
      </c>
      <c r="F8" s="62">
        <v>8.11</v>
      </c>
      <c r="G8" s="62">
        <f t="shared" si="0"/>
        <v>154.24199999999999</v>
      </c>
      <c r="H8" s="63">
        <f t="shared" si="1"/>
        <v>305.09819999999996</v>
      </c>
      <c r="I8" s="118">
        <v>2672.4499999999994</v>
      </c>
      <c r="J8" s="119">
        <v>2752.6234999999992</v>
      </c>
      <c r="K8" s="120">
        <v>4.1086437538588187</v>
      </c>
      <c r="L8" s="121">
        <v>8.0917659825253985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2752.6234999999992</v>
      </c>
      <c r="S8" s="62">
        <f t="shared" si="13"/>
        <v>113.09549349999996</v>
      </c>
      <c r="T8" s="63">
        <f t="shared" si="14"/>
        <v>222.73585199999994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v>0</v>
      </c>
      <c r="AB8" s="63">
        <f t="shared" si="16"/>
        <v>0</v>
      </c>
      <c r="AC8" s="69"/>
      <c r="AD8" s="70"/>
      <c r="AE8" s="70"/>
      <c r="AF8" s="62">
        <f t="shared" si="25"/>
        <v>0</v>
      </c>
      <c r="AG8" s="63">
        <f t="shared" si="26"/>
        <v>0</v>
      </c>
      <c r="AH8" s="89">
        <v>6513</v>
      </c>
      <c r="AI8" s="66">
        <v>4.0999999999999996</v>
      </c>
      <c r="AJ8" s="66">
        <v>8.09</v>
      </c>
      <c r="AK8" s="62">
        <f t="shared" si="19"/>
        <v>267.03299999999996</v>
      </c>
      <c r="AL8" s="72">
        <f t="shared" si="20"/>
        <v>526.90170000000001</v>
      </c>
      <c r="AM8" s="73">
        <f t="shared" si="21"/>
        <v>1.6234999999996944</v>
      </c>
      <c r="AN8" s="74">
        <f t="shared" si="22"/>
        <v>0.30449349999997821</v>
      </c>
      <c r="AO8" s="74">
        <f t="shared" si="23"/>
        <v>0.93235199999992346</v>
      </c>
      <c r="AP8" s="75">
        <f t="shared" si="24"/>
        <v>3.6829364398919756E-3</v>
      </c>
      <c r="AQ8" s="76">
        <f t="shared" si="9"/>
        <v>425.5501606510486</v>
      </c>
      <c r="AR8" s="90">
        <f t="shared" si="10"/>
        <v>1.6234999999996944</v>
      </c>
    </row>
    <row r="9" spans="1:44" x14ac:dyDescent="0.25">
      <c r="A9" t="str">
        <f t="shared" si="11"/>
        <v>46206E</v>
      </c>
      <c r="B9" s="51">
        <f t="shared" ref="B9:B65" si="27">+B7+1</f>
        <v>46206</v>
      </c>
      <c r="C9" s="52" t="s">
        <v>88</v>
      </c>
      <c r="D9" s="91">
        <v>6513</v>
      </c>
      <c r="E9" s="62">
        <v>4.0999999999999996</v>
      </c>
      <c r="F9" s="62">
        <v>8.09</v>
      </c>
      <c r="G9" s="62">
        <f t="shared" si="0"/>
        <v>267.03299999999996</v>
      </c>
      <c r="H9" s="63">
        <f t="shared" si="1"/>
        <v>526.90170000000001</v>
      </c>
      <c r="I9" s="118">
        <v>2361.0499999999997</v>
      </c>
      <c r="J9" s="119">
        <v>2431.8815</v>
      </c>
      <c r="K9" s="120">
        <v>3.7718832722729281</v>
      </c>
      <c r="L9" s="121">
        <v>8.0526185383621645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2431.8815</v>
      </c>
      <c r="S9" s="62">
        <f t="shared" si="13"/>
        <v>91.727731499999962</v>
      </c>
      <c r="T9" s="63">
        <f t="shared" si="14"/>
        <v>195.83014049999989</v>
      </c>
      <c r="U9" s="64" t="s">
        <v>174</v>
      </c>
      <c r="V9" s="65" t="s">
        <v>369</v>
      </c>
      <c r="W9" s="66" t="s">
        <v>182</v>
      </c>
      <c r="X9" s="67">
        <v>7130</v>
      </c>
      <c r="Y9" s="68">
        <v>4.25</v>
      </c>
      <c r="Z9" s="68">
        <v>8.26</v>
      </c>
      <c r="AA9" s="62">
        <v>0</v>
      </c>
      <c r="AB9" s="63">
        <f t="shared" si="16"/>
        <v>588.93799999999999</v>
      </c>
      <c r="AC9" s="69">
        <v>7130</v>
      </c>
      <c r="AD9" s="70">
        <v>4.0999999999999988</v>
      </c>
      <c r="AE9" s="70">
        <v>8.1</v>
      </c>
      <c r="AF9" s="62">
        <f t="shared" si="25"/>
        <v>292.32999999999993</v>
      </c>
      <c r="AG9" s="63">
        <f t="shared" si="26"/>
        <v>577.53</v>
      </c>
      <c r="AH9" s="89">
        <v>1813</v>
      </c>
      <c r="AI9" s="66">
        <v>3.8</v>
      </c>
      <c r="AJ9" s="66">
        <v>8</v>
      </c>
      <c r="AK9" s="62">
        <f t="shared" si="19"/>
        <v>68.893999999999991</v>
      </c>
      <c r="AL9" s="72">
        <f t="shared" si="20"/>
        <v>145.04</v>
      </c>
      <c r="AM9" s="73">
        <f t="shared" si="21"/>
        <v>1.8814999999995052</v>
      </c>
      <c r="AN9" s="74">
        <f t="shared" si="22"/>
        <v>-2.4632685000000123</v>
      </c>
      <c r="AO9" s="74">
        <f t="shared" si="23"/>
        <v>0.16184049999989725</v>
      </c>
      <c r="AP9" s="75">
        <f t="shared" si="24"/>
        <v>-8.0033559296895755E-3</v>
      </c>
      <c r="AQ9" s="76">
        <f t="shared" si="9"/>
        <v>-1135.2108958719548</v>
      </c>
      <c r="AR9" s="90">
        <f t="shared" si="10"/>
        <v>1.8814999999995052</v>
      </c>
    </row>
    <row r="10" spans="1:44" x14ac:dyDescent="0.25">
      <c r="A10" t="str">
        <f t="shared" si="11"/>
        <v>46207M</v>
      </c>
      <c r="B10" s="51">
        <f t="shared" si="27"/>
        <v>46207</v>
      </c>
      <c r="C10" s="52" t="s">
        <v>87</v>
      </c>
      <c r="D10" s="91">
        <v>1813</v>
      </c>
      <c r="E10" s="62">
        <v>3.8</v>
      </c>
      <c r="F10" s="62">
        <v>8</v>
      </c>
      <c r="G10" s="62">
        <f t="shared" si="0"/>
        <v>68.893999999999991</v>
      </c>
      <c r="H10" s="63">
        <f t="shared" si="1"/>
        <v>145.04</v>
      </c>
      <c r="I10" s="118">
        <v>1814.4499999999998</v>
      </c>
      <c r="J10" s="119">
        <v>1868.8834999999999</v>
      </c>
      <c r="K10" s="120">
        <v>4.1455895725977578</v>
      </c>
      <c r="L10" s="121">
        <v>8.0331202292705761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1868.8834999999999</v>
      </c>
      <c r="S10" s="62">
        <f t="shared" si="13"/>
        <v>77.476239500000005</v>
      </c>
      <c r="T10" s="63">
        <f t="shared" si="14"/>
        <v>150.12965849999998</v>
      </c>
      <c r="U10" s="64" t="s">
        <v>169</v>
      </c>
      <c r="V10" s="65" t="s">
        <v>370</v>
      </c>
      <c r="W10" s="66" t="s">
        <v>371</v>
      </c>
      <c r="X10" s="67">
        <v>2950</v>
      </c>
      <c r="Y10" s="68">
        <v>4.05</v>
      </c>
      <c r="Z10" s="68">
        <v>8.2200000000000006</v>
      </c>
      <c r="AA10" s="62">
        <v>7.94</v>
      </c>
      <c r="AB10" s="63">
        <f t="shared" si="16"/>
        <v>242.49000000000004</v>
      </c>
      <c r="AC10" s="69">
        <v>2970</v>
      </c>
      <c r="AD10" s="70">
        <v>4</v>
      </c>
      <c r="AE10" s="70">
        <v>8.2100000000000009</v>
      </c>
      <c r="AF10" s="62">
        <f t="shared" si="25"/>
        <v>118.8</v>
      </c>
      <c r="AG10" s="63">
        <f t="shared" si="26"/>
        <v>243.83700000000002</v>
      </c>
      <c r="AH10" s="89">
        <v>731</v>
      </c>
      <c r="AI10" s="66">
        <v>3.8</v>
      </c>
      <c r="AJ10" s="66">
        <v>8</v>
      </c>
      <c r="AK10" s="62">
        <f t="shared" si="19"/>
        <v>27.777999999999999</v>
      </c>
      <c r="AL10" s="72">
        <f t="shared" si="20"/>
        <v>58.480000000000004</v>
      </c>
      <c r="AM10" s="73">
        <f t="shared" si="21"/>
        <v>-19.116500000000087</v>
      </c>
      <c r="AN10" s="74">
        <f t="shared" si="22"/>
        <v>-0.20776049999999913</v>
      </c>
      <c r="AO10" s="74">
        <f t="shared" si="23"/>
        <v>-7.1473415000000529</v>
      </c>
      <c r="AP10" s="75">
        <f t="shared" si="24"/>
        <v>-3.2315076474863813E-2</v>
      </c>
      <c r="AQ10" s="76">
        <f t="shared" si="9"/>
        <v>-2240.4008320750545</v>
      </c>
      <c r="AR10" s="90">
        <f t="shared" si="10"/>
        <v>0.88349999999991269</v>
      </c>
    </row>
    <row r="11" spans="1:44" x14ac:dyDescent="0.25">
      <c r="A11" t="str">
        <f t="shared" si="11"/>
        <v>46207E</v>
      </c>
      <c r="B11" s="51">
        <f t="shared" si="27"/>
        <v>46207</v>
      </c>
      <c r="C11" s="52" t="s">
        <v>88</v>
      </c>
      <c r="D11" s="91">
        <v>731</v>
      </c>
      <c r="E11" s="62">
        <v>3.8</v>
      </c>
      <c r="F11" s="62">
        <v>8</v>
      </c>
      <c r="G11" s="62">
        <f t="shared" si="0"/>
        <v>27.777999999999999</v>
      </c>
      <c r="H11" s="63">
        <f t="shared" si="1"/>
        <v>58.480000000000004</v>
      </c>
      <c r="I11" s="118">
        <v>2066.1000000000004</v>
      </c>
      <c r="J11" s="119">
        <v>2128.0830000000005</v>
      </c>
      <c r="K11" s="120">
        <v>3.6418832583127636</v>
      </c>
      <c r="L11" s="121">
        <v>8.0142829485504059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2128.0830000000005</v>
      </c>
      <c r="S11" s="62">
        <f t="shared" si="13"/>
        <v>77.502298500000023</v>
      </c>
      <c r="T11" s="63">
        <f t="shared" si="14"/>
        <v>170.55059299999996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v>0</v>
      </c>
      <c r="AB11" s="63">
        <f t="shared" si="16"/>
        <v>0</v>
      </c>
      <c r="AC11" s="69"/>
      <c r="AD11" s="70"/>
      <c r="AE11" s="70"/>
      <c r="AF11" s="62">
        <f t="shared" si="25"/>
        <v>0</v>
      </c>
      <c r="AG11" s="63">
        <f t="shared" si="26"/>
        <v>0</v>
      </c>
      <c r="AH11" s="89">
        <v>2857</v>
      </c>
      <c r="AI11" s="66">
        <v>3.67</v>
      </c>
      <c r="AJ11" s="66">
        <v>8</v>
      </c>
      <c r="AK11" s="62">
        <f t="shared" si="19"/>
        <v>104.85189999999999</v>
      </c>
      <c r="AL11" s="72">
        <f t="shared" si="20"/>
        <v>228.56</v>
      </c>
      <c r="AM11" s="73">
        <f t="shared" si="21"/>
        <v>2.0830000000005384</v>
      </c>
      <c r="AN11" s="74">
        <f t="shared" si="22"/>
        <v>0.42839850000002855</v>
      </c>
      <c r="AO11" s="74">
        <f t="shared" si="23"/>
        <v>0.47059299999995119</v>
      </c>
      <c r="AP11" s="75">
        <f t="shared" si="24"/>
        <v>3.6241927863194441E-3</v>
      </c>
      <c r="AQ11" s="76">
        <f t="shared" si="9"/>
        <v>346.79783613054701</v>
      </c>
      <c r="AR11" s="90">
        <f t="shared" si="10"/>
        <v>2.0830000000005384</v>
      </c>
    </row>
    <row r="12" spans="1:44" x14ac:dyDescent="0.25">
      <c r="A12" t="str">
        <f t="shared" si="11"/>
        <v>46208M</v>
      </c>
      <c r="B12" s="51">
        <f t="shared" si="27"/>
        <v>46208</v>
      </c>
      <c r="C12" s="52" t="s">
        <v>87</v>
      </c>
      <c r="D12" s="91">
        <v>2857</v>
      </c>
      <c r="E12" s="62">
        <v>3.67</v>
      </c>
      <c r="F12" s="62">
        <v>8</v>
      </c>
      <c r="G12" s="62">
        <f t="shared" si="0"/>
        <v>104.85189999999999</v>
      </c>
      <c r="H12" s="63">
        <f t="shared" si="1"/>
        <v>228.56</v>
      </c>
      <c r="I12" s="118">
        <v>3369.4500000000003</v>
      </c>
      <c r="J12" s="119">
        <v>3470.5335000000005</v>
      </c>
      <c r="K12" s="120">
        <v>3.4361067830061285</v>
      </c>
      <c r="L12" s="121">
        <v>8.0040451705768003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3470.5335000000005</v>
      </c>
      <c r="S12" s="62">
        <f t="shared" si="13"/>
        <v>119.25123700000002</v>
      </c>
      <c r="T12" s="63">
        <f t="shared" si="14"/>
        <v>277.78306900000001</v>
      </c>
      <c r="U12" s="64" t="s">
        <v>169</v>
      </c>
      <c r="V12" s="65" t="s">
        <v>372</v>
      </c>
      <c r="W12" s="66" t="s">
        <v>182</v>
      </c>
      <c r="X12" s="67">
        <v>5920</v>
      </c>
      <c r="Y12" s="68">
        <v>3.7</v>
      </c>
      <c r="Z12" s="68">
        <v>8.15</v>
      </c>
      <c r="AA12" s="62">
        <v>8.16</v>
      </c>
      <c r="AB12" s="63">
        <f t="shared" si="16"/>
        <v>482.48</v>
      </c>
      <c r="AC12" s="69">
        <v>5930</v>
      </c>
      <c r="AD12" s="70">
        <v>3.6000000000000005</v>
      </c>
      <c r="AE12" s="70">
        <v>8.1300000000000008</v>
      </c>
      <c r="AF12" s="62">
        <f t="shared" si="25"/>
        <v>213.48000000000002</v>
      </c>
      <c r="AG12" s="63">
        <f t="shared" si="26"/>
        <v>482.10900000000009</v>
      </c>
      <c r="AH12" s="89">
        <v>406</v>
      </c>
      <c r="AI12" s="66">
        <v>3</v>
      </c>
      <c r="AJ12" s="66">
        <v>8</v>
      </c>
      <c r="AK12" s="62">
        <f t="shared" si="19"/>
        <v>12.18</v>
      </c>
      <c r="AL12" s="72">
        <f t="shared" si="20"/>
        <v>32.480000000000004</v>
      </c>
      <c r="AM12" s="73">
        <f t="shared" si="21"/>
        <v>-8.4664999999995416</v>
      </c>
      <c r="AN12" s="74">
        <f t="shared" si="22"/>
        <v>-1.5568630000000141</v>
      </c>
      <c r="AO12" s="74">
        <f t="shared" si="23"/>
        <v>-8.2459310000000841</v>
      </c>
      <c r="AP12" s="75">
        <f t="shared" si="24"/>
        <v>-2.4690042779326224E-2</v>
      </c>
      <c r="AQ12" s="76">
        <f t="shared" si="9"/>
        <v>-3217.7062668341205</v>
      </c>
      <c r="AR12" s="90">
        <f t="shared" si="10"/>
        <v>1.5335000000004584</v>
      </c>
    </row>
    <row r="13" spans="1:44" x14ac:dyDescent="0.25">
      <c r="A13" t="str">
        <f t="shared" si="11"/>
        <v>46208E</v>
      </c>
      <c r="B13" s="51">
        <f t="shared" si="27"/>
        <v>46208</v>
      </c>
      <c r="C13" s="52" t="s">
        <v>88</v>
      </c>
      <c r="D13" s="91">
        <v>406</v>
      </c>
      <c r="E13" s="62">
        <v>3</v>
      </c>
      <c r="F13" s="62">
        <v>8</v>
      </c>
      <c r="G13" s="62">
        <f t="shared" si="0"/>
        <v>12.18</v>
      </c>
      <c r="H13" s="63">
        <f t="shared" si="1"/>
        <v>32.480000000000004</v>
      </c>
      <c r="I13" s="118">
        <v>1557.55</v>
      </c>
      <c r="J13" s="119">
        <v>1604.2764999999999</v>
      </c>
      <c r="K13" s="120">
        <v>3.7134987640846218</v>
      </c>
      <c r="L13" s="121">
        <v>7.9661680202882765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1604.2764999999999</v>
      </c>
      <c r="S13" s="62">
        <f t="shared" si="13"/>
        <v>59.574788000000026</v>
      </c>
      <c r="T13" s="63">
        <f t="shared" si="14"/>
        <v>127.79936150000005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v>8.26</v>
      </c>
      <c r="AB13" s="63">
        <f t="shared" si="16"/>
        <v>0</v>
      </c>
      <c r="AC13" s="69"/>
      <c r="AD13" s="70"/>
      <c r="AE13" s="70"/>
      <c r="AF13" s="62">
        <f t="shared" si="25"/>
        <v>0</v>
      </c>
      <c r="AG13" s="63">
        <f t="shared" si="26"/>
        <v>0</v>
      </c>
      <c r="AH13" s="89">
        <v>2009</v>
      </c>
      <c r="AI13" s="66">
        <v>3.55</v>
      </c>
      <c r="AJ13" s="66">
        <v>7.96</v>
      </c>
      <c r="AK13" s="62">
        <f t="shared" si="19"/>
        <v>71.319499999999991</v>
      </c>
      <c r="AL13" s="72">
        <f t="shared" si="20"/>
        <v>159.91640000000001</v>
      </c>
      <c r="AM13" s="73">
        <f t="shared" si="21"/>
        <v>1.2764999999999418</v>
      </c>
      <c r="AN13" s="74">
        <f t="shared" si="22"/>
        <v>0.43528800000002832</v>
      </c>
      <c r="AO13" s="74">
        <f t="shared" si="23"/>
        <v>0.3629615000000399</v>
      </c>
      <c r="AP13" s="75">
        <f t="shared" si="24"/>
        <v>4.2601901176344921E-3</v>
      </c>
      <c r="AQ13" s="76">
        <f t="shared" si="9"/>
        <v>317.87378904979016</v>
      </c>
      <c r="AR13" s="90">
        <f t="shared" si="10"/>
        <v>1.2764999999999418</v>
      </c>
    </row>
    <row r="14" spans="1:44" x14ac:dyDescent="0.25">
      <c r="A14" t="str">
        <f t="shared" si="11"/>
        <v>46209M</v>
      </c>
      <c r="B14" s="51">
        <f t="shared" si="27"/>
        <v>46209</v>
      </c>
      <c r="C14" s="52" t="s">
        <v>87</v>
      </c>
      <c r="D14" s="91">
        <v>2009</v>
      </c>
      <c r="E14" s="62">
        <v>3.55</v>
      </c>
      <c r="F14" s="62">
        <v>7.96</v>
      </c>
      <c r="G14" s="62">
        <f t="shared" si="0"/>
        <v>71.319499999999991</v>
      </c>
      <c r="H14" s="63">
        <f t="shared" si="1"/>
        <v>159.91640000000001</v>
      </c>
      <c r="I14" s="118">
        <v>2846.9</v>
      </c>
      <c r="J14" s="119">
        <v>2932.3070000000002</v>
      </c>
      <c r="K14" s="120">
        <v>4.0095208823632751</v>
      </c>
      <c r="L14" s="121">
        <v>7.9214215462432849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2932.3070000000002</v>
      </c>
      <c r="S14" s="62">
        <f t="shared" si="13"/>
        <v>117.5714615000001</v>
      </c>
      <c r="T14" s="63">
        <f t="shared" si="14"/>
        <v>232.2803985000001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v>0</v>
      </c>
      <c r="AB14" s="63">
        <f t="shared" si="16"/>
        <v>0</v>
      </c>
      <c r="AC14" s="69"/>
      <c r="AD14" s="70"/>
      <c r="AE14" s="70"/>
      <c r="AF14" s="62">
        <f t="shared" si="25"/>
        <v>0</v>
      </c>
      <c r="AG14" s="63">
        <f t="shared" si="26"/>
        <v>0</v>
      </c>
      <c r="AH14" s="89">
        <v>4940</v>
      </c>
      <c r="AI14" s="66">
        <v>3.81</v>
      </c>
      <c r="AJ14" s="66">
        <v>7.93</v>
      </c>
      <c r="AK14" s="62">
        <f t="shared" si="19"/>
        <v>188.214</v>
      </c>
      <c r="AL14" s="72">
        <f t="shared" si="20"/>
        <v>391.74199999999996</v>
      </c>
      <c r="AM14" s="73">
        <f t="shared" si="21"/>
        <v>1.3070000000006985</v>
      </c>
      <c r="AN14" s="74">
        <f t="shared" si="22"/>
        <v>0.6769615000000897</v>
      </c>
      <c r="AO14" s="74">
        <f t="shared" si="23"/>
        <v>0.45479850000015176</v>
      </c>
      <c r="AP14" s="75">
        <f t="shared" si="24"/>
        <v>3.2349692238315977E-3</v>
      </c>
      <c r="AQ14" s="76">
        <f t="shared" si="9"/>
        <v>461.51013532854483</v>
      </c>
      <c r="AR14" s="90">
        <f t="shared" si="10"/>
        <v>1.3070000000006985</v>
      </c>
    </row>
    <row r="15" spans="1:44" x14ac:dyDescent="0.25">
      <c r="A15" t="str">
        <f t="shared" si="11"/>
        <v>46209E</v>
      </c>
      <c r="B15" s="51">
        <f t="shared" si="27"/>
        <v>46209</v>
      </c>
      <c r="C15" s="52" t="s">
        <v>88</v>
      </c>
      <c r="D15" s="91">
        <v>4940</v>
      </c>
      <c r="E15" s="62">
        <v>3.81</v>
      </c>
      <c r="F15" s="62">
        <v>7.93</v>
      </c>
      <c r="G15" s="62">
        <f t="shared" si="0"/>
        <v>188.214</v>
      </c>
      <c r="H15" s="63">
        <f t="shared" si="1"/>
        <v>391.74199999999996</v>
      </c>
      <c r="I15" s="118">
        <v>1570.7499999999998</v>
      </c>
      <c r="J15" s="119">
        <v>1617.8724999999997</v>
      </c>
      <c r="K15" s="120">
        <v>3.8146331370364468</v>
      </c>
      <c r="L15" s="121">
        <v>7.9903612923762539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1617.8724999999997</v>
      </c>
      <c r="S15" s="62">
        <f t="shared" si="13"/>
        <v>61.715900499999975</v>
      </c>
      <c r="T15" s="63">
        <f t="shared" si="14"/>
        <v>129.27385799999999</v>
      </c>
      <c r="U15" s="64" t="s">
        <v>169</v>
      </c>
      <c r="V15" s="65" t="s">
        <v>373</v>
      </c>
      <c r="W15" s="66" t="s">
        <v>182</v>
      </c>
      <c r="X15" s="67">
        <v>5920</v>
      </c>
      <c r="Y15" s="68">
        <v>4.0999999999999996</v>
      </c>
      <c r="Z15" s="68">
        <v>8.11</v>
      </c>
      <c r="AA15" s="62">
        <v>0</v>
      </c>
      <c r="AB15" s="63">
        <f t="shared" si="16"/>
        <v>480.11199999999997</v>
      </c>
      <c r="AC15" s="69">
        <v>5510</v>
      </c>
      <c r="AD15" s="70">
        <v>4</v>
      </c>
      <c r="AE15" s="70">
        <v>8.08</v>
      </c>
      <c r="AF15" s="62">
        <f t="shared" si="25"/>
        <v>220.4</v>
      </c>
      <c r="AG15" s="63">
        <f t="shared" si="26"/>
        <v>445.20799999999997</v>
      </c>
      <c r="AH15" s="89">
        <v>636</v>
      </c>
      <c r="AI15" s="66">
        <v>3.8</v>
      </c>
      <c r="AJ15" s="66">
        <v>8</v>
      </c>
      <c r="AK15" s="62">
        <f t="shared" si="19"/>
        <v>24.167999999999999</v>
      </c>
      <c r="AL15" s="72">
        <f t="shared" si="20"/>
        <v>50.88</v>
      </c>
      <c r="AM15" s="73">
        <f t="shared" si="21"/>
        <v>411.87249999999949</v>
      </c>
      <c r="AN15" s="74">
        <f t="shared" si="22"/>
        <v>5.3619004999999689</v>
      </c>
      <c r="AO15" s="74">
        <f t="shared" si="23"/>
        <v>24.927858000000008</v>
      </c>
      <c r="AP15" s="75">
        <f t="shared" si="24"/>
        <v>0.1585936268933498</v>
      </c>
      <c r="AQ15" s="76">
        <f t="shared" si="9"/>
        <v>10042.239251414825</v>
      </c>
      <c r="AR15" s="90">
        <f t="shared" si="10"/>
        <v>1.8724999999994907</v>
      </c>
    </row>
    <row r="16" spans="1:44" x14ac:dyDescent="0.25">
      <c r="A16" t="str">
        <f t="shared" si="11"/>
        <v>46210M</v>
      </c>
      <c r="B16" s="51">
        <f t="shared" si="27"/>
        <v>46210</v>
      </c>
      <c r="C16" s="52" t="s">
        <v>87</v>
      </c>
      <c r="D16" s="91">
        <v>636</v>
      </c>
      <c r="E16" s="62">
        <v>3.8</v>
      </c>
      <c r="F16" s="62">
        <v>8</v>
      </c>
      <c r="G16" s="62">
        <f t="shared" ref="G16:G43" si="28">+D16*E16%</f>
        <v>24.167999999999999</v>
      </c>
      <c r="H16" s="63">
        <f t="shared" ref="H16:H43" si="29">+D16*F16%</f>
        <v>50.88</v>
      </c>
      <c r="I16" s="118">
        <v>1910.2499999999998</v>
      </c>
      <c r="J16" s="119">
        <v>1967.5574999999999</v>
      </c>
      <c r="K16" s="120">
        <v>3.7739798455699534</v>
      </c>
      <c r="L16" s="121">
        <v>7.9959664965318655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1967.5574999999999</v>
      </c>
      <c r="S16" s="62">
        <f t="shared" si="13"/>
        <v>74.255223500000028</v>
      </c>
      <c r="T16" s="63">
        <f t="shared" si="14"/>
        <v>157.32523849999995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v>8.3800000000000008</v>
      </c>
      <c r="AB16" s="63">
        <f t="shared" si="16"/>
        <v>0</v>
      </c>
      <c r="AC16" s="69"/>
      <c r="AD16" s="70"/>
      <c r="AE16" s="70"/>
      <c r="AF16" s="62">
        <f t="shared" si="25"/>
        <v>0</v>
      </c>
      <c r="AG16" s="63">
        <f t="shared" si="26"/>
        <v>0</v>
      </c>
      <c r="AH16" s="89">
        <v>2602</v>
      </c>
      <c r="AI16" s="66">
        <v>3.77</v>
      </c>
      <c r="AJ16" s="66">
        <v>7.99</v>
      </c>
      <c r="AK16" s="62">
        <f t="shared" si="19"/>
        <v>98.095399999999998</v>
      </c>
      <c r="AL16" s="72">
        <f t="shared" si="20"/>
        <v>207.8998</v>
      </c>
      <c r="AM16" s="73">
        <f t="shared" si="21"/>
        <v>1.5574999999998909</v>
      </c>
      <c r="AN16" s="74">
        <f t="shared" si="22"/>
        <v>0.32782350000003646</v>
      </c>
      <c r="AO16" s="74">
        <f t="shared" si="23"/>
        <v>0.30543849999995132</v>
      </c>
      <c r="AP16" s="75">
        <f t="shared" si="24"/>
        <v>2.7345225695248323E-3</v>
      </c>
      <c r="AQ16" s="76">
        <f t="shared" si="9"/>
        <v>249.00597281355149</v>
      </c>
      <c r="AR16" s="90">
        <f t="shared" si="10"/>
        <v>1.5574999999998909</v>
      </c>
    </row>
    <row r="17" spans="1:49" x14ac:dyDescent="0.25">
      <c r="A17" t="str">
        <f t="shared" si="11"/>
        <v>46210E</v>
      </c>
      <c r="B17" s="51">
        <f t="shared" si="27"/>
        <v>46210</v>
      </c>
      <c r="C17" s="52" t="s">
        <v>88</v>
      </c>
      <c r="D17" s="91">
        <v>2602</v>
      </c>
      <c r="E17" s="62">
        <v>3.77</v>
      </c>
      <c r="F17" s="62">
        <v>7.99</v>
      </c>
      <c r="G17" s="62">
        <f>+D17*E17%</f>
        <v>98.095399999999998</v>
      </c>
      <c r="H17" s="63">
        <f>+D17*F17%</f>
        <v>207.8998</v>
      </c>
      <c r="I17" s="118">
        <v>2139.65</v>
      </c>
      <c r="J17" s="119">
        <v>2203.8395</v>
      </c>
      <c r="K17" s="120">
        <v>3.8696211997289267</v>
      </c>
      <c r="L17" s="121">
        <v>8.0665459304091751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2203.8395</v>
      </c>
      <c r="S17" s="62">
        <f t="shared" si="13"/>
        <v>85.280240499999977</v>
      </c>
      <c r="T17" s="63">
        <f t="shared" si="14"/>
        <v>177.7737254999999</v>
      </c>
      <c r="U17" s="64" t="s">
        <v>169</v>
      </c>
      <c r="V17" s="65" t="s">
        <v>374</v>
      </c>
      <c r="W17" s="66" t="s">
        <v>181</v>
      </c>
      <c r="X17" s="67">
        <v>2950</v>
      </c>
      <c r="Y17" s="68">
        <v>4.0999999999999996</v>
      </c>
      <c r="Z17" s="68">
        <v>8.23</v>
      </c>
      <c r="AA17" s="62">
        <v>0</v>
      </c>
      <c r="AB17" s="63">
        <f t="shared" si="16"/>
        <v>242.785</v>
      </c>
      <c r="AC17" s="69">
        <v>2970</v>
      </c>
      <c r="AD17" s="70">
        <v>3.85</v>
      </c>
      <c r="AE17" s="70">
        <v>7.93</v>
      </c>
      <c r="AF17" s="62">
        <f t="shared" si="25"/>
        <v>114.345</v>
      </c>
      <c r="AG17" s="63">
        <f t="shared" si="26"/>
        <v>235.52099999999999</v>
      </c>
      <c r="AH17" s="89">
        <v>1854</v>
      </c>
      <c r="AI17" s="66">
        <v>3.8</v>
      </c>
      <c r="AJ17" s="66">
        <v>8</v>
      </c>
      <c r="AK17" s="62">
        <f t="shared" si="19"/>
        <v>70.451999999999998</v>
      </c>
      <c r="AL17" s="72">
        <f t="shared" si="20"/>
        <v>148.32</v>
      </c>
      <c r="AM17" s="73">
        <f t="shared" si="21"/>
        <v>-18.160499999999956</v>
      </c>
      <c r="AN17" s="74">
        <f t="shared" si="22"/>
        <v>-1.4213595000000225</v>
      </c>
      <c r="AO17" s="74">
        <f t="shared" si="23"/>
        <v>1.832525499999889</v>
      </c>
      <c r="AP17" s="75">
        <f t="shared" si="24"/>
        <v>1.5630480933325546E-3</v>
      </c>
      <c r="AQ17" s="76">
        <f t="shared" si="9"/>
        <v>-134.18442674982487</v>
      </c>
      <c r="AR17" s="90">
        <f t="shared" si="10"/>
        <v>1.8395000000000437</v>
      </c>
    </row>
    <row r="18" spans="1:49" x14ac:dyDescent="0.25">
      <c r="A18" t="str">
        <f t="shared" si="11"/>
        <v>46211M</v>
      </c>
      <c r="B18" s="51">
        <f t="shared" si="27"/>
        <v>46211</v>
      </c>
      <c r="C18" s="52" t="s">
        <v>87</v>
      </c>
      <c r="D18" s="91">
        <v>1854</v>
      </c>
      <c r="E18" s="62">
        <v>3.8</v>
      </c>
      <c r="F18" s="62">
        <v>8</v>
      </c>
      <c r="G18" s="62">
        <f t="shared" si="28"/>
        <v>70.451999999999998</v>
      </c>
      <c r="H18" s="63">
        <f t="shared" si="29"/>
        <v>148.32</v>
      </c>
      <c r="I18" s="118">
        <v>3153.4</v>
      </c>
      <c r="J18" s="119">
        <v>3248.002</v>
      </c>
      <c r="K18" s="120">
        <v>3.9360801040147142</v>
      </c>
      <c r="L18" s="121">
        <v>8.0239550960867678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3248.002</v>
      </c>
      <c r="S18" s="62">
        <f t="shared" si="13"/>
        <v>127.84396049999999</v>
      </c>
      <c r="T18" s="63">
        <f t="shared" si="14"/>
        <v>260.61822200000017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v>8.3000000000000007</v>
      </c>
      <c r="AB18" s="63">
        <f t="shared" si="16"/>
        <v>0</v>
      </c>
      <c r="AC18" s="69"/>
      <c r="AD18" s="70"/>
      <c r="AE18" s="70"/>
      <c r="AF18" s="62">
        <f t="shared" si="25"/>
        <v>0</v>
      </c>
      <c r="AG18" s="63">
        <f t="shared" si="26"/>
        <v>0</v>
      </c>
      <c r="AH18" s="89">
        <v>5100</v>
      </c>
      <c r="AI18" s="66">
        <v>3.87</v>
      </c>
      <c r="AJ18" s="66">
        <v>8</v>
      </c>
      <c r="AK18" s="62">
        <f t="shared" si="19"/>
        <v>197.37</v>
      </c>
      <c r="AL18" s="72">
        <f t="shared" si="20"/>
        <v>408</v>
      </c>
      <c r="AM18" s="73">
        <f t="shared" si="21"/>
        <v>2.0020000000004075</v>
      </c>
      <c r="AN18" s="74">
        <f t="shared" si="22"/>
        <v>0.92596049999997376</v>
      </c>
      <c r="AO18" s="74">
        <f t="shared" si="23"/>
        <v>0.93822200000016664</v>
      </c>
      <c r="AP18" s="75">
        <f t="shared" si="24"/>
        <v>4.7988776874056194E-3</v>
      </c>
      <c r="AQ18" s="76">
        <f t="shared" si="9"/>
        <v>725.94329342288597</v>
      </c>
      <c r="AR18" s="90">
        <f t="shared" si="10"/>
        <v>2.0020000000004075</v>
      </c>
    </row>
    <row r="19" spans="1:49" x14ac:dyDescent="0.25">
      <c r="A19" t="str">
        <f t="shared" si="11"/>
        <v>46211E</v>
      </c>
      <c r="B19" s="51">
        <f t="shared" si="27"/>
        <v>46211</v>
      </c>
      <c r="C19" s="52" t="s">
        <v>88</v>
      </c>
      <c r="D19" s="91">
        <v>5100</v>
      </c>
      <c r="E19" s="62">
        <v>3.87</v>
      </c>
      <c r="F19" s="62">
        <v>8</v>
      </c>
      <c r="G19" s="62">
        <f t="shared" si="28"/>
        <v>197.37</v>
      </c>
      <c r="H19" s="63">
        <f t="shared" si="29"/>
        <v>408</v>
      </c>
      <c r="I19" s="118">
        <v>1610.8500000000004</v>
      </c>
      <c r="J19" s="119">
        <v>1659.1755000000005</v>
      </c>
      <c r="K19" s="120">
        <v>3.7958313933637515</v>
      </c>
      <c r="L19" s="121">
        <v>8.0316509917124481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1659.1755000000005</v>
      </c>
      <c r="S19" s="62">
        <f t="shared" si="13"/>
        <v>62.979504500000012</v>
      </c>
      <c r="T19" s="63">
        <f t="shared" si="14"/>
        <v>133.2591855</v>
      </c>
      <c r="U19" s="64" t="s">
        <v>169</v>
      </c>
      <c r="V19" s="65" t="s">
        <v>375</v>
      </c>
      <c r="W19" s="66" t="s">
        <v>182</v>
      </c>
      <c r="X19" s="67">
        <v>5920</v>
      </c>
      <c r="Y19" s="68">
        <v>3.5</v>
      </c>
      <c r="Z19" s="68">
        <v>8.24</v>
      </c>
      <c r="AA19" s="62">
        <v>0</v>
      </c>
      <c r="AB19" s="63">
        <f t="shared" si="16"/>
        <v>487.80799999999999</v>
      </c>
      <c r="AC19" s="69">
        <v>5920</v>
      </c>
      <c r="AD19" s="70">
        <v>3.5</v>
      </c>
      <c r="AE19" s="70">
        <v>8.23</v>
      </c>
      <c r="AF19" s="62">
        <f t="shared" si="25"/>
        <v>207.20000000000002</v>
      </c>
      <c r="AG19" s="63">
        <f t="shared" si="26"/>
        <v>487.21600000000001</v>
      </c>
      <c r="AH19" s="89">
        <v>837</v>
      </c>
      <c r="AI19" s="66">
        <v>3.95</v>
      </c>
      <c r="AJ19" s="66">
        <v>8</v>
      </c>
      <c r="AK19" s="62">
        <f t="shared" si="19"/>
        <v>33.061500000000002</v>
      </c>
      <c r="AL19" s="72">
        <f t="shared" si="20"/>
        <v>66.960000000000008</v>
      </c>
      <c r="AM19" s="73">
        <f t="shared" si="21"/>
        <v>2.1755000000002838</v>
      </c>
      <c r="AN19" s="74">
        <f t="shared" si="22"/>
        <v>20.088004500000004</v>
      </c>
      <c r="AO19" s="74">
        <f t="shared" si="23"/>
        <v>-12.916814499999958</v>
      </c>
      <c r="AP19" s="75">
        <f t="shared" si="24"/>
        <v>3.6543201547054989E-2</v>
      </c>
      <c r="AQ19" s="76">
        <f t="shared" si="9"/>
        <v>5784.4690043285518</v>
      </c>
      <c r="AR19" s="90">
        <f t="shared" si="10"/>
        <v>2.1755000000002838</v>
      </c>
    </row>
    <row r="20" spans="1:49" x14ac:dyDescent="0.25">
      <c r="A20" t="str">
        <f t="shared" si="11"/>
        <v>46212M</v>
      </c>
      <c r="B20" s="51">
        <f t="shared" si="27"/>
        <v>46212</v>
      </c>
      <c r="C20" s="52" t="s">
        <v>87</v>
      </c>
      <c r="D20" s="91">
        <v>837</v>
      </c>
      <c r="E20" s="62">
        <v>3.95</v>
      </c>
      <c r="F20" s="62">
        <v>8</v>
      </c>
      <c r="G20" s="62">
        <f t="shared" si="28"/>
        <v>33.061500000000002</v>
      </c>
      <c r="H20" s="63">
        <f t="shared" si="29"/>
        <v>66.960000000000008</v>
      </c>
      <c r="I20" s="118">
        <v>1931.4500000000003</v>
      </c>
      <c r="J20" s="119">
        <v>1989.3935000000004</v>
      </c>
      <c r="K20" s="120">
        <v>4.1250097077325316</v>
      </c>
      <c r="L20" s="121">
        <v>8.0874187786378116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1989.3935000000004</v>
      </c>
      <c r="S20" s="62">
        <f t="shared" si="13"/>
        <v>82.062674999999999</v>
      </c>
      <c r="T20" s="63">
        <f t="shared" si="14"/>
        <v>160.89058350000005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25"/>
        <v>0</v>
      </c>
      <c r="AG20" s="63">
        <f t="shared" si="26"/>
        <v>0</v>
      </c>
      <c r="AH20" s="89">
        <v>2825</v>
      </c>
      <c r="AI20" s="66">
        <v>4.07</v>
      </c>
      <c r="AJ20" s="66">
        <v>8.0500000000000007</v>
      </c>
      <c r="AK20" s="62">
        <f t="shared" si="19"/>
        <v>114.97750000000001</v>
      </c>
      <c r="AL20" s="72">
        <f t="shared" si="20"/>
        <v>227.41249999999999</v>
      </c>
      <c r="AM20" s="73">
        <f t="shared" si="21"/>
        <v>1.393500000000131</v>
      </c>
      <c r="AN20" s="74">
        <f t="shared" si="22"/>
        <v>0.14667500000000189</v>
      </c>
      <c r="AO20" s="74">
        <f t="shared" si="23"/>
        <v>0.43808350000006158</v>
      </c>
      <c r="AP20" s="75">
        <f t="shared" si="24"/>
        <v>2.4068765474082468E-3</v>
      </c>
      <c r="AQ20" s="76">
        <f t="shared" si="9"/>
        <v>201.6842194538047</v>
      </c>
      <c r="AR20" s="90">
        <f t="shared" si="10"/>
        <v>1.393500000000131</v>
      </c>
    </row>
    <row r="21" spans="1:49" x14ac:dyDescent="0.25">
      <c r="A21" t="str">
        <f t="shared" si="11"/>
        <v>46212E</v>
      </c>
      <c r="B21" s="51">
        <f t="shared" si="27"/>
        <v>46212</v>
      </c>
      <c r="C21" s="52" t="s">
        <v>88</v>
      </c>
      <c r="D21" s="91">
        <v>2825</v>
      </c>
      <c r="E21" s="62">
        <v>4.07</v>
      </c>
      <c r="F21" s="62">
        <v>8.0500000000000007</v>
      </c>
      <c r="G21" s="62">
        <f t="shared" si="28"/>
        <v>114.97750000000001</v>
      </c>
      <c r="H21" s="63">
        <f t="shared" si="29"/>
        <v>227.41249999999999</v>
      </c>
      <c r="I21" s="118">
        <v>1649.6000000000001</v>
      </c>
      <c r="J21" s="119">
        <v>1699.0880000000002</v>
      </c>
      <c r="K21" s="120">
        <v>3.852349054316198</v>
      </c>
      <c r="L21" s="121">
        <v>8.0165009699321068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1699.0880000000002</v>
      </c>
      <c r="S21" s="62">
        <f t="shared" si="13"/>
        <v>65.454800500000005</v>
      </c>
      <c r="T21" s="63">
        <f t="shared" si="14"/>
        <v>136.20740600000005</v>
      </c>
      <c r="U21" s="64" t="s">
        <v>169</v>
      </c>
      <c r="V21" s="65" t="s">
        <v>376</v>
      </c>
      <c r="W21" s="66" t="s">
        <v>159</v>
      </c>
      <c r="X21" s="67">
        <v>2950</v>
      </c>
      <c r="Y21" s="68">
        <v>4.0999999999999996</v>
      </c>
      <c r="Z21" s="68">
        <v>8.23</v>
      </c>
      <c r="AA21" s="62">
        <f t="shared" si="15"/>
        <v>120.94999999999999</v>
      </c>
      <c r="AB21" s="63">
        <f t="shared" si="16"/>
        <v>242.785</v>
      </c>
      <c r="AC21" s="215">
        <v>2960</v>
      </c>
      <c r="AD21" s="216">
        <v>4</v>
      </c>
      <c r="AE21" s="216">
        <v>8.2100000000000009</v>
      </c>
      <c r="AF21" s="62">
        <f t="shared" si="25"/>
        <v>118.4</v>
      </c>
      <c r="AG21" s="63">
        <f t="shared" si="26"/>
        <v>243.01600000000002</v>
      </c>
      <c r="AH21" s="89">
        <v>1835</v>
      </c>
      <c r="AI21" s="66">
        <v>3.8</v>
      </c>
      <c r="AJ21" s="66">
        <v>8</v>
      </c>
      <c r="AK21" s="62">
        <f t="shared" si="19"/>
        <v>69.73</v>
      </c>
      <c r="AL21" s="72">
        <f t="shared" si="20"/>
        <v>146.80000000000001</v>
      </c>
      <c r="AM21" s="73">
        <f t="shared" si="21"/>
        <v>-270.91200000000026</v>
      </c>
      <c r="AN21" s="74">
        <f t="shared" si="22"/>
        <v>-7.697699500000013</v>
      </c>
      <c r="AO21" s="74">
        <f t="shared" si="23"/>
        <v>-26.196094000000016</v>
      </c>
      <c r="AP21" s="75">
        <f t="shared" si="24"/>
        <v>-0.16807211469244746</v>
      </c>
      <c r="AQ21" s="76">
        <f t="shared" si="9"/>
        <v>-11544.49208433833</v>
      </c>
      <c r="AR21" s="90">
        <f t="shared" si="10"/>
        <v>-260.91200000000026</v>
      </c>
      <c r="AS21" s="90">
        <f>SUM(J8:J21)</f>
        <v>31573.517000000003</v>
      </c>
      <c r="AT21" s="83">
        <f>SUM(AM8:AM21)</f>
        <v>110.51700000000073</v>
      </c>
      <c r="AU21" s="83">
        <f>SUM(AN8:AN21)</f>
        <v>15.348554500000049</v>
      </c>
      <c r="AV21" s="83">
        <f>SUM(AO8:AO21)</f>
        <v>-23.681508000000072</v>
      </c>
      <c r="AW21" s="83">
        <f>-SUM(AQ8:AQ21)</f>
        <v>-283.07915672426498</v>
      </c>
    </row>
    <row r="22" spans="1:49" x14ac:dyDescent="0.25">
      <c r="A22" t="str">
        <f t="shared" si="11"/>
        <v>46213M</v>
      </c>
      <c r="B22" s="51">
        <f t="shared" si="27"/>
        <v>46213</v>
      </c>
      <c r="C22" s="52" t="s">
        <v>87</v>
      </c>
      <c r="D22" s="91"/>
      <c r="E22" s="62"/>
      <c r="F22" s="62"/>
      <c r="G22" s="62">
        <f t="shared" si="28"/>
        <v>0</v>
      </c>
      <c r="H22" s="63">
        <f t="shared" si="29"/>
        <v>0</v>
      </c>
      <c r="I22" s="118"/>
      <c r="J22" s="119"/>
      <c r="K22" s="120"/>
      <c r="L22" s="121"/>
      <c r="M22" s="58"/>
      <c r="N22" s="58"/>
      <c r="O22" s="59"/>
      <c r="P22" s="56"/>
      <c r="Q22" s="60"/>
      <c r="R22" s="61">
        <f t="shared" si="12"/>
        <v>0</v>
      </c>
      <c r="S22" s="62">
        <f t="shared" si="13"/>
        <v>0</v>
      </c>
      <c r="T22" s="63">
        <f t="shared" si="14"/>
        <v>0</v>
      </c>
      <c r="U22" s="64"/>
      <c r="V22" s="65"/>
      <c r="W22" s="66"/>
      <c r="X22" s="67"/>
      <c r="Y22" s="68"/>
      <c r="Z22" s="68"/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25"/>
        <v>0</v>
      </c>
      <c r="AG22" s="63">
        <f t="shared" si="26"/>
        <v>0</v>
      </c>
      <c r="AH22" s="89"/>
      <c r="AI22" s="66"/>
      <c r="AJ22" s="66"/>
      <c r="AK22" s="62">
        <f t="shared" si="19"/>
        <v>0</v>
      </c>
      <c r="AL22" s="72">
        <f t="shared" si="20"/>
        <v>0</v>
      </c>
      <c r="AM22" s="73">
        <f t="shared" ref="AM22:AM35" si="30">+D22+R22-AC22-AH22</f>
        <v>0</v>
      </c>
      <c r="AN22" s="80">
        <f t="shared" ref="AN22:AN35" si="31">+G22+S22-AF22-AK22</f>
        <v>0</v>
      </c>
      <c r="AO22" s="80">
        <f t="shared" ref="AO22:AO35" si="32">+H22+T22-AG22-AL22</f>
        <v>0</v>
      </c>
      <c r="AP22" s="75" t="e">
        <f t="shared" si="24"/>
        <v>#DIV/0!</v>
      </c>
      <c r="AQ22" s="76">
        <f t="shared" si="9"/>
        <v>0</v>
      </c>
      <c r="AR22" s="90">
        <f t="shared" si="10"/>
        <v>0</v>
      </c>
    </row>
    <row r="23" spans="1:49" x14ac:dyDescent="0.25">
      <c r="A23" t="str">
        <f t="shared" si="11"/>
        <v>46213E</v>
      </c>
      <c r="B23" s="51">
        <f t="shared" si="27"/>
        <v>46213</v>
      </c>
      <c r="C23" s="52" t="s">
        <v>88</v>
      </c>
      <c r="D23" s="91"/>
      <c r="E23" s="62"/>
      <c r="F23" s="62"/>
      <c r="G23" s="62">
        <f t="shared" si="28"/>
        <v>0</v>
      </c>
      <c r="H23" s="63">
        <f t="shared" si="29"/>
        <v>0</v>
      </c>
      <c r="I23" s="118"/>
      <c r="J23" s="119"/>
      <c r="K23" s="120"/>
      <c r="L23" s="121"/>
      <c r="M23" s="58"/>
      <c r="N23" s="58"/>
      <c r="O23" s="59"/>
      <c r="P23" s="56"/>
      <c r="Q23" s="60"/>
      <c r="R23" s="61">
        <f t="shared" si="12"/>
        <v>0</v>
      </c>
      <c r="S23" s="62">
        <f t="shared" si="13"/>
        <v>0</v>
      </c>
      <c r="T23" s="63">
        <f t="shared" si="14"/>
        <v>0</v>
      </c>
      <c r="U23" s="64"/>
      <c r="V23" s="65"/>
      <c r="W23" s="66"/>
      <c r="X23" s="67"/>
      <c r="Y23" s="68"/>
      <c r="Z23" s="68"/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25"/>
        <v>0</v>
      </c>
      <c r="AG23" s="63">
        <f t="shared" si="26"/>
        <v>0</v>
      </c>
      <c r="AH23" s="89"/>
      <c r="AI23" s="66"/>
      <c r="AJ23" s="84"/>
      <c r="AK23" s="62">
        <f t="shared" si="19"/>
        <v>0</v>
      </c>
      <c r="AL23" s="72">
        <f t="shared" si="20"/>
        <v>0</v>
      </c>
      <c r="AM23" s="73">
        <f t="shared" si="30"/>
        <v>0</v>
      </c>
      <c r="AN23" s="80">
        <f t="shared" si="31"/>
        <v>0</v>
      </c>
      <c r="AO23" s="80">
        <f t="shared" si="32"/>
        <v>0</v>
      </c>
      <c r="AP23" s="75" t="e">
        <f t="shared" si="24"/>
        <v>#DIV/0!</v>
      </c>
      <c r="AQ23" s="76">
        <f t="shared" si="9"/>
        <v>0</v>
      </c>
      <c r="AR23" s="90">
        <f t="shared" si="10"/>
        <v>0</v>
      </c>
      <c r="AS23" s="90"/>
      <c r="AT23" s="83"/>
      <c r="AU23" s="83"/>
      <c r="AV23" s="83"/>
      <c r="AW23" s="83"/>
    </row>
    <row r="24" spans="1:49" x14ac:dyDescent="0.25">
      <c r="A24" t="str">
        <f t="shared" si="11"/>
        <v>46214M</v>
      </c>
      <c r="B24" s="51">
        <f t="shared" si="27"/>
        <v>46214</v>
      </c>
      <c r="C24" s="52" t="s">
        <v>87</v>
      </c>
      <c r="D24" s="91"/>
      <c r="E24" s="62"/>
      <c r="F24" s="62"/>
      <c r="G24" s="62">
        <f t="shared" si="28"/>
        <v>0</v>
      </c>
      <c r="H24" s="63">
        <f t="shared" si="29"/>
        <v>0</v>
      </c>
      <c r="I24" s="118"/>
      <c r="J24" s="119"/>
      <c r="K24" s="120"/>
      <c r="L24" s="121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25"/>
        <v>0</v>
      </c>
      <c r="AG24" s="63">
        <f t="shared" si="26"/>
        <v>0</v>
      </c>
      <c r="AH24" s="89"/>
      <c r="AI24" s="66"/>
      <c r="AJ24" s="66"/>
      <c r="AK24" s="62">
        <f t="shared" si="19"/>
        <v>0</v>
      </c>
      <c r="AL24" s="72">
        <f t="shared" si="20"/>
        <v>0</v>
      </c>
      <c r="AM24" s="73">
        <f t="shared" si="30"/>
        <v>0</v>
      </c>
      <c r="AN24" s="80">
        <f t="shared" si="31"/>
        <v>0</v>
      </c>
      <c r="AO24" s="80">
        <f t="shared" si="32"/>
        <v>0</v>
      </c>
      <c r="AP24" s="75" t="e">
        <f t="shared" si="24"/>
        <v>#DIV/0!</v>
      </c>
      <c r="AQ24" s="76">
        <f t="shared" si="9"/>
        <v>0</v>
      </c>
      <c r="AR24" s="90">
        <f t="shared" si="10"/>
        <v>0</v>
      </c>
    </row>
    <row r="25" spans="1:49" x14ac:dyDescent="0.25">
      <c r="A25" t="str">
        <f t="shared" si="11"/>
        <v>46214E</v>
      </c>
      <c r="B25" s="51">
        <f t="shared" si="27"/>
        <v>46214</v>
      </c>
      <c r="C25" s="52" t="s">
        <v>88</v>
      </c>
      <c r="D25" s="91"/>
      <c r="E25" s="62"/>
      <c r="F25" s="62"/>
      <c r="G25" s="62">
        <f t="shared" si="28"/>
        <v>0</v>
      </c>
      <c r="H25" s="63">
        <f t="shared" si="29"/>
        <v>0</v>
      </c>
      <c r="I25" s="118"/>
      <c r="J25" s="119"/>
      <c r="K25" s="120"/>
      <c r="L25" s="121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25"/>
        <v>0</v>
      </c>
      <c r="AG25" s="63">
        <f t="shared" si="26"/>
        <v>0</v>
      </c>
      <c r="AH25" s="89"/>
      <c r="AI25" s="66"/>
      <c r="AJ25" s="66"/>
      <c r="AK25" s="62">
        <f t="shared" si="19"/>
        <v>0</v>
      </c>
      <c r="AL25" s="72">
        <f t="shared" si="20"/>
        <v>0</v>
      </c>
      <c r="AM25" s="73">
        <f t="shared" si="30"/>
        <v>0</v>
      </c>
      <c r="AN25" s="80">
        <f t="shared" si="31"/>
        <v>0</v>
      </c>
      <c r="AO25" s="80">
        <f t="shared" si="32"/>
        <v>0</v>
      </c>
      <c r="AP25" s="75" t="e">
        <f t="shared" si="24"/>
        <v>#DIV/0!</v>
      </c>
      <c r="AQ25" s="76">
        <f t="shared" si="9"/>
        <v>0</v>
      </c>
      <c r="AR25" s="90">
        <f t="shared" si="10"/>
        <v>0</v>
      </c>
      <c r="AS25" s="90">
        <f>SUM(J12:J25)</f>
        <v>22392.0455</v>
      </c>
      <c r="AT25" s="83">
        <f>SUM(AM12:AM25)</f>
        <v>124.04550000000108</v>
      </c>
      <c r="AU25" s="83">
        <f>SUM(AN12:AN25)</f>
        <v>17.286691500000053</v>
      </c>
      <c r="AV25" s="83">
        <f>SUM(AO12:AO25)</f>
        <v>-18.098951999999791</v>
      </c>
      <c r="AW25" s="83">
        <f>-SUM(AQ12:AQ25)</f>
        <v>-2886.3428878896775</v>
      </c>
    </row>
    <row r="26" spans="1:49" x14ac:dyDescent="0.25">
      <c r="A26" t="str">
        <f t="shared" si="11"/>
        <v>46215M</v>
      </c>
      <c r="B26" s="51">
        <f t="shared" si="27"/>
        <v>46215</v>
      </c>
      <c r="C26" s="52" t="s">
        <v>87</v>
      </c>
      <c r="D26" s="91"/>
      <c r="E26" s="62"/>
      <c r="F26" s="62"/>
      <c r="G26" s="62">
        <f t="shared" si="28"/>
        <v>0</v>
      </c>
      <c r="H26" s="63">
        <f t="shared" si="29"/>
        <v>0</v>
      </c>
      <c r="I26" s="118"/>
      <c r="J26" s="119"/>
      <c r="K26" s="120"/>
      <c r="L26" s="121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25"/>
        <v>0</v>
      </c>
      <c r="AG26" s="63">
        <f t="shared" si="26"/>
        <v>0</v>
      </c>
      <c r="AH26" s="89"/>
      <c r="AI26" s="66"/>
      <c r="AJ26" s="66"/>
      <c r="AK26" s="62">
        <f t="shared" si="19"/>
        <v>0</v>
      </c>
      <c r="AL26" s="72">
        <f t="shared" si="20"/>
        <v>0</v>
      </c>
      <c r="AM26" s="73">
        <f t="shared" si="30"/>
        <v>0</v>
      </c>
      <c r="AN26" s="80">
        <f t="shared" si="31"/>
        <v>0</v>
      </c>
      <c r="AO26" s="80">
        <f t="shared" si="32"/>
        <v>0</v>
      </c>
      <c r="AP26" s="75" t="e">
        <f t="shared" si="24"/>
        <v>#DIV/0!</v>
      </c>
      <c r="AQ26" s="76">
        <f t="shared" si="9"/>
        <v>0</v>
      </c>
      <c r="AR26" s="90">
        <f t="shared" si="10"/>
        <v>0</v>
      </c>
    </row>
    <row r="27" spans="1:49" x14ac:dyDescent="0.25">
      <c r="A27" t="str">
        <f t="shared" si="11"/>
        <v>46215E</v>
      </c>
      <c r="B27" s="51">
        <f t="shared" si="27"/>
        <v>46215</v>
      </c>
      <c r="C27" s="52" t="s">
        <v>88</v>
      </c>
      <c r="D27" s="91"/>
      <c r="E27" s="62"/>
      <c r="F27" s="62"/>
      <c r="G27" s="62">
        <f t="shared" si="28"/>
        <v>0</v>
      </c>
      <c r="H27" s="63">
        <f t="shared" si="29"/>
        <v>0</v>
      </c>
      <c r="I27" s="118"/>
      <c r="J27" s="119"/>
      <c r="K27" s="120"/>
      <c r="L27" s="121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25"/>
        <v>0</v>
      </c>
      <c r="AG27" s="63">
        <f t="shared" si="26"/>
        <v>0</v>
      </c>
      <c r="AH27" s="89"/>
      <c r="AI27" s="66"/>
      <c r="AJ27" s="66"/>
      <c r="AK27" s="62">
        <f t="shared" si="19"/>
        <v>0</v>
      </c>
      <c r="AL27" s="72">
        <f t="shared" si="20"/>
        <v>0</v>
      </c>
      <c r="AM27" s="73">
        <f t="shared" si="30"/>
        <v>0</v>
      </c>
      <c r="AN27" s="80">
        <f t="shared" si="31"/>
        <v>0</v>
      </c>
      <c r="AO27" s="80">
        <f t="shared" si="32"/>
        <v>0</v>
      </c>
      <c r="AP27" s="75" t="e">
        <f t="shared" si="24"/>
        <v>#DIV/0!</v>
      </c>
      <c r="AQ27" s="76">
        <f t="shared" si="9"/>
        <v>0</v>
      </c>
      <c r="AR27" s="90">
        <f t="shared" si="10"/>
        <v>0</v>
      </c>
    </row>
    <row r="28" spans="1:49" x14ac:dyDescent="0.25">
      <c r="A28" t="str">
        <f t="shared" si="11"/>
        <v>46216M</v>
      </c>
      <c r="B28" s="51">
        <f t="shared" si="27"/>
        <v>46216</v>
      </c>
      <c r="C28" s="52" t="s">
        <v>87</v>
      </c>
      <c r="D28" s="91"/>
      <c r="E28" s="62"/>
      <c r="F28" s="62"/>
      <c r="G28" s="62">
        <f t="shared" si="28"/>
        <v>0</v>
      </c>
      <c r="H28" s="63">
        <f t="shared" si="29"/>
        <v>0</v>
      </c>
      <c r="I28" s="118"/>
      <c r="J28" s="119"/>
      <c r="K28" s="120"/>
      <c r="L28" s="121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25"/>
        <v>0</v>
      </c>
      <c r="AG28" s="63">
        <f t="shared" si="26"/>
        <v>0</v>
      </c>
      <c r="AH28" s="89"/>
      <c r="AI28" s="66"/>
      <c r="AJ28" s="66"/>
      <c r="AK28" s="62">
        <f t="shared" si="19"/>
        <v>0</v>
      </c>
      <c r="AL28" s="72">
        <f t="shared" si="20"/>
        <v>0</v>
      </c>
      <c r="AM28" s="73">
        <f t="shared" si="30"/>
        <v>0</v>
      </c>
      <c r="AN28" s="74">
        <f t="shared" si="31"/>
        <v>0</v>
      </c>
      <c r="AO28" s="74">
        <f t="shared" si="32"/>
        <v>0</v>
      </c>
      <c r="AP28" s="75" t="e">
        <f t="shared" si="24"/>
        <v>#DIV/0!</v>
      </c>
      <c r="AQ28" s="76">
        <f t="shared" si="9"/>
        <v>0</v>
      </c>
      <c r="AR28" s="90">
        <f t="shared" si="10"/>
        <v>0</v>
      </c>
    </row>
    <row r="29" spans="1:49" x14ac:dyDescent="0.25">
      <c r="A29" t="str">
        <f t="shared" si="11"/>
        <v>46216E</v>
      </c>
      <c r="B29" s="51">
        <f t="shared" si="27"/>
        <v>46216</v>
      </c>
      <c r="C29" s="52" t="s">
        <v>88</v>
      </c>
      <c r="D29" s="91"/>
      <c r="E29" s="62"/>
      <c r="F29" s="62"/>
      <c r="G29" s="62">
        <f t="shared" si="28"/>
        <v>0</v>
      </c>
      <c r="H29" s="63">
        <f t="shared" si="29"/>
        <v>0</v>
      </c>
      <c r="I29" s="118"/>
      <c r="J29" s="119"/>
      <c r="K29" s="120"/>
      <c r="L29" s="121"/>
      <c r="M29" s="58"/>
      <c r="N29" s="191"/>
      <c r="O29" s="59"/>
      <c r="P29" s="56"/>
      <c r="Q29" s="60"/>
      <c r="R29" s="61">
        <f>+J29+O29</f>
        <v>0</v>
      </c>
      <c r="S29" s="62">
        <f t="shared" si="13"/>
        <v>0</v>
      </c>
      <c r="T29" s="63">
        <f>+J29*L29%+O29*Q29%</f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>+X29*Z29%</f>
        <v>0</v>
      </c>
      <c r="AC29" s="69"/>
      <c r="AD29" s="70"/>
      <c r="AE29" s="70"/>
      <c r="AF29" s="62">
        <f t="shared" si="25"/>
        <v>0</v>
      </c>
      <c r="AG29" s="63">
        <f>AC29*AE29%</f>
        <v>0</v>
      </c>
      <c r="AH29" s="89"/>
      <c r="AI29" s="66"/>
      <c r="AJ29" s="66"/>
      <c r="AK29" s="62">
        <f t="shared" si="19"/>
        <v>0</v>
      </c>
      <c r="AL29" s="72">
        <f t="shared" si="20"/>
        <v>0</v>
      </c>
      <c r="AM29" s="73">
        <f t="shared" si="30"/>
        <v>0</v>
      </c>
      <c r="AN29" s="74">
        <f t="shared" si="31"/>
        <v>0</v>
      </c>
      <c r="AO29" s="74">
        <f t="shared" si="32"/>
        <v>0</v>
      </c>
      <c r="AP29" s="75" t="e">
        <f t="shared" si="24"/>
        <v>#DIV/0!</v>
      </c>
      <c r="AQ29" s="76">
        <f t="shared" si="9"/>
        <v>0</v>
      </c>
      <c r="AR29" s="90">
        <f t="shared" si="10"/>
        <v>0</v>
      </c>
    </row>
    <row r="30" spans="1:49" x14ac:dyDescent="0.25">
      <c r="A30" t="str">
        <f t="shared" si="11"/>
        <v>46217M</v>
      </c>
      <c r="B30" s="51">
        <f t="shared" si="27"/>
        <v>46217</v>
      </c>
      <c r="C30" s="52" t="s">
        <v>87</v>
      </c>
      <c r="D30" s="91"/>
      <c r="E30" s="62"/>
      <c r="F30" s="62"/>
      <c r="G30" s="62">
        <f t="shared" si="28"/>
        <v>0</v>
      </c>
      <c r="H30" s="63">
        <f t="shared" si="29"/>
        <v>0</v>
      </c>
      <c r="I30" s="118"/>
      <c r="J30" s="119"/>
      <c r="K30" s="120"/>
      <c r="L30" s="121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25"/>
        <v>0</v>
      </c>
      <c r="AG30" s="63">
        <f t="shared" si="26"/>
        <v>0</v>
      </c>
      <c r="AH30" s="89"/>
      <c r="AI30" s="66"/>
      <c r="AJ30" s="66"/>
      <c r="AK30" s="62">
        <f t="shared" si="19"/>
        <v>0</v>
      </c>
      <c r="AL30" s="72">
        <f t="shared" si="20"/>
        <v>0</v>
      </c>
      <c r="AM30" s="73">
        <f t="shared" si="30"/>
        <v>0</v>
      </c>
      <c r="AN30" s="80">
        <f t="shared" si="31"/>
        <v>0</v>
      </c>
      <c r="AO30" s="80">
        <f t="shared" si="32"/>
        <v>0</v>
      </c>
      <c r="AP30" s="75" t="e">
        <f t="shared" si="24"/>
        <v>#DIV/0!</v>
      </c>
      <c r="AQ30" s="76">
        <f t="shared" si="9"/>
        <v>0</v>
      </c>
      <c r="AR30" s="90">
        <f t="shared" si="10"/>
        <v>0</v>
      </c>
    </row>
    <row r="31" spans="1:49" x14ac:dyDescent="0.25">
      <c r="A31" t="str">
        <f t="shared" si="11"/>
        <v>46217E</v>
      </c>
      <c r="B31" s="51">
        <f t="shared" si="27"/>
        <v>46217</v>
      </c>
      <c r="C31" s="52" t="s">
        <v>88</v>
      </c>
      <c r="D31" s="91"/>
      <c r="E31" s="62"/>
      <c r="F31" s="62"/>
      <c r="G31" s="62">
        <f t="shared" si="28"/>
        <v>0</v>
      </c>
      <c r="H31" s="63">
        <f t="shared" si="29"/>
        <v>0</v>
      </c>
      <c r="I31" s="118"/>
      <c r="J31" s="119"/>
      <c r="K31" s="120"/>
      <c r="L31" s="121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25"/>
        <v>0</v>
      </c>
      <c r="AG31" s="63">
        <f t="shared" si="26"/>
        <v>0</v>
      </c>
      <c r="AH31" s="89"/>
      <c r="AI31" s="66"/>
      <c r="AJ31" s="66"/>
      <c r="AK31" s="62">
        <f t="shared" si="19"/>
        <v>0</v>
      </c>
      <c r="AL31" s="72">
        <f t="shared" si="20"/>
        <v>0</v>
      </c>
      <c r="AM31" s="73">
        <f t="shared" ref="AM31" si="33">+D31+R31-AC31-AH31</f>
        <v>0</v>
      </c>
      <c r="AN31" s="80">
        <f t="shared" ref="AN31" si="34">+G31+S31-AF31-AK31</f>
        <v>0</v>
      </c>
      <c r="AO31" s="80">
        <f t="shared" ref="AO31" si="35">+H31+T31-AG31-AL31</f>
        <v>0</v>
      </c>
      <c r="AP31" s="75" t="e">
        <f t="shared" si="24"/>
        <v>#DIV/0!</v>
      </c>
      <c r="AQ31" s="76">
        <f t="shared" si="9"/>
        <v>0</v>
      </c>
      <c r="AR31" s="90">
        <f t="shared" si="10"/>
        <v>0</v>
      </c>
    </row>
    <row r="32" spans="1:49" x14ac:dyDescent="0.25">
      <c r="A32" t="str">
        <f t="shared" si="11"/>
        <v>46218M</v>
      </c>
      <c r="B32" s="51">
        <f t="shared" si="27"/>
        <v>46218</v>
      </c>
      <c r="C32" s="52" t="s">
        <v>87</v>
      </c>
      <c r="D32" s="91"/>
      <c r="E32" s="62"/>
      <c r="F32" s="62"/>
      <c r="G32" s="62">
        <f t="shared" si="28"/>
        <v>0</v>
      </c>
      <c r="H32" s="63">
        <f t="shared" si="29"/>
        <v>0</v>
      </c>
      <c r="I32" s="118"/>
      <c r="J32" s="119"/>
      <c r="K32" s="120"/>
      <c r="L32" s="121"/>
      <c r="M32" s="58"/>
      <c r="N32" s="57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25"/>
        <v>0</v>
      </c>
      <c r="AG32" s="63">
        <f t="shared" si="26"/>
        <v>0</v>
      </c>
      <c r="AH32" s="89"/>
      <c r="AI32" s="66"/>
      <c r="AJ32" s="66"/>
      <c r="AK32" s="62">
        <f t="shared" si="19"/>
        <v>0</v>
      </c>
      <c r="AL32" s="72">
        <f t="shared" si="20"/>
        <v>0</v>
      </c>
      <c r="AM32" s="73">
        <f t="shared" si="30"/>
        <v>0</v>
      </c>
      <c r="AN32" s="80">
        <f t="shared" si="31"/>
        <v>0</v>
      </c>
      <c r="AO32" s="80">
        <f t="shared" si="32"/>
        <v>0</v>
      </c>
      <c r="AP32" s="75" t="e">
        <f t="shared" si="24"/>
        <v>#DIV/0!</v>
      </c>
      <c r="AQ32" s="76">
        <f t="shared" si="9"/>
        <v>0</v>
      </c>
      <c r="AR32" s="90">
        <f t="shared" si="10"/>
        <v>0</v>
      </c>
    </row>
    <row r="33" spans="1:49" x14ac:dyDescent="0.25">
      <c r="A33" t="str">
        <f t="shared" si="11"/>
        <v>46218E</v>
      </c>
      <c r="B33" s="51">
        <f t="shared" si="27"/>
        <v>46218</v>
      </c>
      <c r="C33" s="52" t="s">
        <v>88</v>
      </c>
      <c r="D33" s="91"/>
      <c r="E33" s="62"/>
      <c r="F33" s="62"/>
      <c r="G33" s="62">
        <f t="shared" si="28"/>
        <v>0</v>
      </c>
      <c r="H33" s="63">
        <f t="shared" si="29"/>
        <v>0</v>
      </c>
      <c r="I33" s="118"/>
      <c r="J33" s="119"/>
      <c r="K33" s="120"/>
      <c r="L33" s="121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25"/>
        <v>0</v>
      </c>
      <c r="AG33" s="63">
        <f t="shared" si="26"/>
        <v>0</v>
      </c>
      <c r="AH33" s="89"/>
      <c r="AI33" s="66"/>
      <c r="AJ33" s="66"/>
      <c r="AK33" s="62">
        <f t="shared" si="19"/>
        <v>0</v>
      </c>
      <c r="AL33" s="72">
        <f t="shared" si="20"/>
        <v>0</v>
      </c>
      <c r="AM33" s="73">
        <f t="shared" si="30"/>
        <v>0</v>
      </c>
      <c r="AN33" s="80">
        <f t="shared" si="31"/>
        <v>0</v>
      </c>
      <c r="AO33" s="80">
        <f t="shared" si="32"/>
        <v>0</v>
      </c>
      <c r="AP33" s="75" t="e">
        <f t="shared" si="24"/>
        <v>#DIV/0!</v>
      </c>
      <c r="AQ33" s="76">
        <f t="shared" si="9"/>
        <v>0</v>
      </c>
      <c r="AR33" s="90">
        <f t="shared" si="10"/>
        <v>0</v>
      </c>
    </row>
    <row r="34" spans="1:49" x14ac:dyDescent="0.25">
      <c r="A34" t="str">
        <f t="shared" si="11"/>
        <v>46219M</v>
      </c>
      <c r="B34" s="51">
        <f t="shared" si="27"/>
        <v>46219</v>
      </c>
      <c r="C34" s="52" t="s">
        <v>87</v>
      </c>
      <c r="D34" s="91"/>
      <c r="E34" s="62"/>
      <c r="F34" s="62"/>
      <c r="G34" s="62">
        <f t="shared" si="28"/>
        <v>0</v>
      </c>
      <c r="H34" s="63">
        <f t="shared" si="29"/>
        <v>0</v>
      </c>
      <c r="I34" s="118"/>
      <c r="J34" s="119"/>
      <c r="K34" s="120"/>
      <c r="L34" s="121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25"/>
        <v>0</v>
      </c>
      <c r="AG34" s="63">
        <f t="shared" si="26"/>
        <v>0</v>
      </c>
      <c r="AH34" s="89"/>
      <c r="AI34" s="66"/>
      <c r="AJ34" s="66"/>
      <c r="AK34" s="62">
        <f t="shared" si="19"/>
        <v>0</v>
      </c>
      <c r="AL34" s="72">
        <f t="shared" si="20"/>
        <v>0</v>
      </c>
      <c r="AM34" s="73">
        <f t="shared" si="30"/>
        <v>0</v>
      </c>
      <c r="AN34" s="80">
        <f t="shared" si="31"/>
        <v>0</v>
      </c>
      <c r="AO34" s="80">
        <f t="shared" si="32"/>
        <v>0</v>
      </c>
      <c r="AP34" s="75" t="e">
        <f t="shared" si="24"/>
        <v>#DIV/0!</v>
      </c>
      <c r="AQ34" s="76">
        <f t="shared" si="9"/>
        <v>0</v>
      </c>
      <c r="AR34" s="90">
        <f t="shared" si="10"/>
        <v>0</v>
      </c>
    </row>
    <row r="35" spans="1:49" x14ac:dyDescent="0.25">
      <c r="A35" t="str">
        <f t="shared" si="11"/>
        <v>46219E</v>
      </c>
      <c r="B35" s="51">
        <f t="shared" si="27"/>
        <v>46219</v>
      </c>
      <c r="C35" s="52" t="s">
        <v>88</v>
      </c>
      <c r="D35" s="91"/>
      <c r="E35" s="62"/>
      <c r="F35" s="62"/>
      <c r="G35" s="62">
        <f t="shared" si="28"/>
        <v>0</v>
      </c>
      <c r="H35" s="63">
        <f t="shared" si="29"/>
        <v>0</v>
      </c>
      <c r="I35" s="118"/>
      <c r="J35" s="119"/>
      <c r="K35" s="120"/>
      <c r="L35" s="121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25"/>
        <v>0</v>
      </c>
      <c r="AG35" s="63">
        <f t="shared" si="26"/>
        <v>0</v>
      </c>
      <c r="AH35" s="89"/>
      <c r="AI35" s="66"/>
      <c r="AJ35" s="66"/>
      <c r="AK35" s="62">
        <f t="shared" si="19"/>
        <v>0</v>
      </c>
      <c r="AL35" s="72">
        <f t="shared" si="20"/>
        <v>0</v>
      </c>
      <c r="AM35" s="73">
        <f t="shared" si="30"/>
        <v>0</v>
      </c>
      <c r="AN35" s="80">
        <f t="shared" si="31"/>
        <v>0</v>
      </c>
      <c r="AO35" s="80">
        <f t="shared" si="32"/>
        <v>0</v>
      </c>
      <c r="AP35" s="75" t="e">
        <f t="shared" si="24"/>
        <v>#DIV/0!</v>
      </c>
      <c r="AQ35" s="76">
        <f t="shared" si="9"/>
        <v>0</v>
      </c>
      <c r="AR35" s="90">
        <f t="shared" si="10"/>
        <v>0</v>
      </c>
    </row>
    <row r="36" spans="1:49" x14ac:dyDescent="0.25">
      <c r="A36" t="str">
        <f t="shared" si="11"/>
        <v>46220M</v>
      </c>
      <c r="B36" s="51">
        <f t="shared" si="27"/>
        <v>46220</v>
      </c>
      <c r="C36" s="52" t="s">
        <v>87</v>
      </c>
      <c r="D36" s="91"/>
      <c r="E36" s="62"/>
      <c r="F36" s="62"/>
      <c r="G36" s="62">
        <f t="shared" si="28"/>
        <v>0</v>
      </c>
      <c r="H36" s="63">
        <f t="shared" si="29"/>
        <v>0</v>
      </c>
      <c r="I36" s="118"/>
      <c r="J36" s="119"/>
      <c r="K36" s="120"/>
      <c r="L36" s="121"/>
      <c r="M36" s="58"/>
      <c r="N36" s="58"/>
      <c r="O36" s="59"/>
      <c r="P36" s="56"/>
      <c r="Q36" s="60"/>
      <c r="R36" s="61">
        <f t="shared" ref="R36:R48" si="36">+J36+O36</f>
        <v>0</v>
      </c>
      <c r="S36" s="62">
        <f t="shared" ref="S36:S48" si="37">+J36*K36%+O36*P36%</f>
        <v>0</v>
      </c>
      <c r="T36" s="63">
        <f t="shared" ref="T36:T48" si="38">+J36*L36%+O36*Q36%</f>
        <v>0</v>
      </c>
      <c r="U36" s="64"/>
      <c r="V36" s="8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25"/>
        <v>0</v>
      </c>
      <c r="AG36" s="63">
        <f t="shared" si="26"/>
        <v>0</v>
      </c>
      <c r="AH36" s="89"/>
      <c r="AI36" s="66"/>
      <c r="AJ36" s="66"/>
      <c r="AK36" s="62">
        <f t="shared" si="19"/>
        <v>0</v>
      </c>
      <c r="AL36" s="72">
        <f t="shared" si="20"/>
        <v>0</v>
      </c>
      <c r="AM36" s="73">
        <f t="shared" ref="AM36:AM49" si="39">+D36+R36-AC36-AH36</f>
        <v>0</v>
      </c>
      <c r="AN36" s="80">
        <f t="shared" ref="AN36:AN49" si="40">+G36+S36-AF36-AK36</f>
        <v>0</v>
      </c>
      <c r="AO36" s="80">
        <f t="shared" ref="AO36:AO49" si="41">+H36+T36-AG36-AL36</f>
        <v>0</v>
      </c>
      <c r="AP36" s="75" t="e">
        <f t="shared" si="24"/>
        <v>#DIV/0!</v>
      </c>
      <c r="AQ36" s="76">
        <f t="shared" si="9"/>
        <v>0</v>
      </c>
      <c r="AR36">
        <f t="shared" si="10"/>
        <v>0</v>
      </c>
    </row>
    <row r="37" spans="1:49" x14ac:dyDescent="0.25">
      <c r="A37" t="str">
        <f t="shared" si="11"/>
        <v>46220E</v>
      </c>
      <c r="B37" s="51">
        <f t="shared" si="27"/>
        <v>46220</v>
      </c>
      <c r="C37" s="52" t="s">
        <v>88</v>
      </c>
      <c r="D37" s="91"/>
      <c r="E37" s="62"/>
      <c r="F37" s="62"/>
      <c r="G37" s="62">
        <f t="shared" si="28"/>
        <v>0</v>
      </c>
      <c r="H37" s="63">
        <f t="shared" si="29"/>
        <v>0</v>
      </c>
      <c r="I37" s="118"/>
      <c r="J37" s="119"/>
      <c r="K37" s="120"/>
      <c r="L37" s="121"/>
      <c r="M37" s="58"/>
      <c r="N37" s="58"/>
      <c r="O37" s="59"/>
      <c r="P37" s="56"/>
      <c r="Q37" s="60"/>
      <c r="R37" s="61">
        <f t="shared" si="36"/>
        <v>0</v>
      </c>
      <c r="S37" s="62">
        <f t="shared" si="37"/>
        <v>0</v>
      </c>
      <c r="T37" s="63">
        <f t="shared" si="38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25"/>
        <v>0</v>
      </c>
      <c r="AG37" s="63">
        <f t="shared" si="26"/>
        <v>0</v>
      </c>
      <c r="AH37" s="89"/>
      <c r="AI37" s="66"/>
      <c r="AJ37" s="66"/>
      <c r="AK37" s="62">
        <f t="shared" si="19"/>
        <v>0</v>
      </c>
      <c r="AL37" s="72">
        <f t="shared" si="20"/>
        <v>0</v>
      </c>
      <c r="AM37" s="73">
        <f t="shared" si="39"/>
        <v>0</v>
      </c>
      <c r="AN37" s="80">
        <f t="shared" si="40"/>
        <v>0</v>
      </c>
      <c r="AO37" s="80">
        <f t="shared" si="41"/>
        <v>0</v>
      </c>
      <c r="AP37" s="75" t="e">
        <f t="shared" si="24"/>
        <v>#DIV/0!</v>
      </c>
      <c r="AQ37" s="76">
        <f t="shared" si="9"/>
        <v>0</v>
      </c>
      <c r="AR37">
        <f t="shared" si="10"/>
        <v>0</v>
      </c>
    </row>
    <row r="38" spans="1:49" x14ac:dyDescent="0.25">
      <c r="A38" t="str">
        <f t="shared" si="11"/>
        <v>46221M</v>
      </c>
      <c r="B38" s="51">
        <f t="shared" si="27"/>
        <v>46221</v>
      </c>
      <c r="C38" s="52" t="s">
        <v>87</v>
      </c>
      <c r="D38" s="91"/>
      <c r="E38" s="62"/>
      <c r="F38" s="62"/>
      <c r="G38" s="62">
        <f t="shared" si="28"/>
        <v>0</v>
      </c>
      <c r="H38" s="63">
        <f t="shared" si="29"/>
        <v>0</v>
      </c>
      <c r="I38" s="118"/>
      <c r="J38" s="119"/>
      <c r="K38" s="120"/>
      <c r="L38" s="121"/>
      <c r="M38" s="58"/>
      <c r="N38" s="58"/>
      <c r="O38" s="59"/>
      <c r="P38" s="56"/>
      <c r="Q38" s="60"/>
      <c r="R38" s="61">
        <f t="shared" si="36"/>
        <v>0</v>
      </c>
      <c r="S38" s="62">
        <f t="shared" si="37"/>
        <v>0</v>
      </c>
      <c r="T38" s="63">
        <f t="shared" si="38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25"/>
        <v>0</v>
      </c>
      <c r="AG38" s="63">
        <f t="shared" si="26"/>
        <v>0</v>
      </c>
      <c r="AH38" s="89"/>
      <c r="AI38" s="66"/>
      <c r="AJ38" s="66"/>
      <c r="AK38" s="62">
        <f t="shared" si="19"/>
        <v>0</v>
      </c>
      <c r="AL38" s="72">
        <f t="shared" si="20"/>
        <v>0</v>
      </c>
      <c r="AM38" s="73">
        <f t="shared" si="39"/>
        <v>0</v>
      </c>
      <c r="AN38" s="80">
        <f t="shared" si="40"/>
        <v>0</v>
      </c>
      <c r="AO38" s="80">
        <f t="shared" si="41"/>
        <v>0</v>
      </c>
      <c r="AP38" s="75" t="e">
        <f t="shared" si="24"/>
        <v>#DIV/0!</v>
      </c>
      <c r="AQ38" s="76">
        <f t="shared" si="9"/>
        <v>0</v>
      </c>
      <c r="AR38">
        <f t="shared" si="10"/>
        <v>0</v>
      </c>
    </row>
    <row r="39" spans="1:49" x14ac:dyDescent="0.25">
      <c r="A39" t="str">
        <f t="shared" si="11"/>
        <v>46221E</v>
      </c>
      <c r="B39" s="51">
        <f t="shared" si="27"/>
        <v>46221</v>
      </c>
      <c r="C39" s="52" t="s">
        <v>88</v>
      </c>
      <c r="D39" s="91"/>
      <c r="E39" s="62"/>
      <c r="F39" s="62"/>
      <c r="G39" s="62">
        <f t="shared" si="28"/>
        <v>0</v>
      </c>
      <c r="H39" s="63">
        <f t="shared" si="29"/>
        <v>0</v>
      </c>
      <c r="I39" s="118"/>
      <c r="J39" s="119"/>
      <c r="K39" s="120"/>
      <c r="L39" s="121"/>
      <c r="M39" s="58"/>
      <c r="N39" s="58"/>
      <c r="O39" s="59"/>
      <c r="P39" s="56"/>
      <c r="Q39" s="60"/>
      <c r="R39" s="61">
        <f t="shared" si="36"/>
        <v>0</v>
      </c>
      <c r="S39" s="62">
        <f t="shared" si="37"/>
        <v>0</v>
      </c>
      <c r="T39" s="63">
        <f t="shared" si="38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25"/>
        <v>0</v>
      </c>
      <c r="AG39" s="63">
        <f t="shared" si="26"/>
        <v>0</v>
      </c>
      <c r="AH39" s="89"/>
      <c r="AI39" s="66"/>
      <c r="AJ39" s="66"/>
      <c r="AK39" s="62">
        <f t="shared" si="19"/>
        <v>0</v>
      </c>
      <c r="AL39" s="72">
        <f t="shared" si="20"/>
        <v>0</v>
      </c>
      <c r="AM39" s="73">
        <f t="shared" si="39"/>
        <v>0</v>
      </c>
      <c r="AN39" s="80">
        <f t="shared" si="40"/>
        <v>0</v>
      </c>
      <c r="AO39" s="80">
        <f t="shared" si="41"/>
        <v>0</v>
      </c>
      <c r="AP39" s="75" t="e">
        <f t="shared" si="24"/>
        <v>#DIV/0!</v>
      </c>
      <c r="AQ39" s="76">
        <f t="shared" si="9"/>
        <v>0</v>
      </c>
      <c r="AR39" s="90">
        <f t="shared" si="10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x14ac:dyDescent="0.25">
      <c r="A40" t="str">
        <f t="shared" si="11"/>
        <v>46222M</v>
      </c>
      <c r="B40" s="51">
        <f t="shared" si="27"/>
        <v>46222</v>
      </c>
      <c r="C40" s="52" t="s">
        <v>87</v>
      </c>
      <c r="D40" s="91"/>
      <c r="E40" s="62"/>
      <c r="F40" s="62"/>
      <c r="G40" s="62">
        <f t="shared" si="28"/>
        <v>0</v>
      </c>
      <c r="H40" s="63">
        <f t="shared" si="29"/>
        <v>0</v>
      </c>
      <c r="I40" s="118"/>
      <c r="J40" s="119"/>
      <c r="K40" s="120"/>
      <c r="L40" s="121"/>
      <c r="M40" s="58"/>
      <c r="N40" s="58"/>
      <c r="O40" s="59"/>
      <c r="P40" s="56"/>
      <c r="Q40" s="60"/>
      <c r="R40" s="61">
        <f t="shared" si="36"/>
        <v>0</v>
      </c>
      <c r="S40" s="62">
        <f t="shared" si="37"/>
        <v>0</v>
      </c>
      <c r="T40" s="63">
        <f t="shared" si="38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25"/>
        <v>0</v>
      </c>
      <c r="AG40" s="63">
        <f t="shared" si="26"/>
        <v>0</v>
      </c>
      <c r="AH40" s="89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39"/>
        <v>0</v>
      </c>
      <c r="AN40" s="80">
        <f t="shared" si="40"/>
        <v>0</v>
      </c>
      <c r="AO40" s="80">
        <f t="shared" si="41"/>
        <v>0</v>
      </c>
      <c r="AP40" s="75" t="e">
        <f t="shared" si="24"/>
        <v>#DIV/0!</v>
      </c>
      <c r="AQ40" s="76">
        <f t="shared" si="9"/>
        <v>0</v>
      </c>
      <c r="AR40" s="90">
        <f t="shared" si="10"/>
        <v>0</v>
      </c>
    </row>
    <row r="41" spans="1:49" x14ac:dyDescent="0.25">
      <c r="A41" t="str">
        <f t="shared" si="11"/>
        <v>46222E</v>
      </c>
      <c r="B41" s="51">
        <f t="shared" si="27"/>
        <v>46222</v>
      </c>
      <c r="C41" s="52" t="s">
        <v>88</v>
      </c>
      <c r="D41" s="91"/>
      <c r="E41" s="62"/>
      <c r="F41" s="62"/>
      <c r="G41" s="62">
        <f t="shared" si="28"/>
        <v>0</v>
      </c>
      <c r="H41" s="63">
        <f t="shared" si="29"/>
        <v>0</v>
      </c>
      <c r="I41" s="118"/>
      <c r="J41" s="119"/>
      <c r="K41" s="120"/>
      <c r="L41" s="121"/>
      <c r="M41" s="58"/>
      <c r="N41" s="58"/>
      <c r="O41" s="59"/>
      <c r="P41" s="56"/>
      <c r="Q41" s="60"/>
      <c r="R41" s="61">
        <f t="shared" si="36"/>
        <v>0</v>
      </c>
      <c r="S41" s="62">
        <f t="shared" si="37"/>
        <v>0</v>
      </c>
      <c r="T41" s="63">
        <f t="shared" si="38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25"/>
        <v>0</v>
      </c>
      <c r="AG41" s="63">
        <f t="shared" si="26"/>
        <v>0</v>
      </c>
      <c r="AH41" s="89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39"/>
        <v>0</v>
      </c>
      <c r="AN41" s="80">
        <f t="shared" si="40"/>
        <v>0</v>
      </c>
      <c r="AO41" s="80">
        <f t="shared" si="41"/>
        <v>0</v>
      </c>
      <c r="AP41" s="75" t="e">
        <f t="shared" si="24"/>
        <v>#DIV/0!</v>
      </c>
      <c r="AQ41" s="76">
        <f t="shared" si="9"/>
        <v>0</v>
      </c>
      <c r="AR41" s="90">
        <f t="shared" si="10"/>
        <v>0</v>
      </c>
    </row>
    <row r="42" spans="1:49" x14ac:dyDescent="0.25">
      <c r="A42" t="str">
        <f t="shared" si="11"/>
        <v>46223M</v>
      </c>
      <c r="B42" s="51">
        <f t="shared" si="27"/>
        <v>46223</v>
      </c>
      <c r="C42" s="52" t="s">
        <v>87</v>
      </c>
      <c r="D42" s="91"/>
      <c r="E42" s="62"/>
      <c r="F42" s="62"/>
      <c r="G42" s="62">
        <f t="shared" si="28"/>
        <v>0</v>
      </c>
      <c r="H42" s="63">
        <f t="shared" si="29"/>
        <v>0</v>
      </c>
      <c r="I42" s="118"/>
      <c r="J42" s="119"/>
      <c r="K42" s="120"/>
      <c r="L42" s="121"/>
      <c r="M42" s="58"/>
      <c r="N42" s="58"/>
      <c r="O42" s="59"/>
      <c r="P42" s="56"/>
      <c r="Q42" s="60"/>
      <c r="R42" s="61">
        <f t="shared" si="36"/>
        <v>0</v>
      </c>
      <c r="S42" s="62">
        <f t="shared" si="37"/>
        <v>0</v>
      </c>
      <c r="T42" s="63">
        <f t="shared" si="38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25"/>
        <v>0</v>
      </c>
      <c r="AG42" s="63">
        <f t="shared" si="26"/>
        <v>0</v>
      </c>
      <c r="AH42" s="89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39"/>
        <v>0</v>
      </c>
      <c r="AN42" s="80">
        <f t="shared" si="40"/>
        <v>0</v>
      </c>
      <c r="AO42" s="80">
        <f t="shared" si="41"/>
        <v>0</v>
      </c>
      <c r="AP42" s="75" t="e">
        <f t="shared" si="24"/>
        <v>#DIV/0!</v>
      </c>
      <c r="AQ42" s="76">
        <f t="shared" si="9"/>
        <v>0</v>
      </c>
      <c r="AR42" s="90">
        <f>(D42+J42+O42)-(X42+AH42)</f>
        <v>0</v>
      </c>
    </row>
    <row r="43" spans="1:49" x14ac:dyDescent="0.25">
      <c r="A43" t="str">
        <f t="shared" si="11"/>
        <v>46223E</v>
      </c>
      <c r="B43" s="51">
        <f t="shared" si="27"/>
        <v>46223</v>
      </c>
      <c r="C43" s="52" t="s">
        <v>88</v>
      </c>
      <c r="D43" s="91"/>
      <c r="E43" s="62"/>
      <c r="F43" s="62"/>
      <c r="G43" s="62">
        <f t="shared" si="28"/>
        <v>0</v>
      </c>
      <c r="H43" s="63">
        <f t="shared" si="29"/>
        <v>0</v>
      </c>
      <c r="I43" s="118"/>
      <c r="J43" s="119"/>
      <c r="K43" s="120"/>
      <c r="L43" s="121"/>
      <c r="M43" s="58"/>
      <c r="N43" s="58"/>
      <c r="O43" s="59"/>
      <c r="P43" s="56"/>
      <c r="Q43" s="60"/>
      <c r="R43" s="61">
        <f t="shared" si="36"/>
        <v>0</v>
      </c>
      <c r="S43" s="62">
        <f t="shared" si="37"/>
        <v>0</v>
      </c>
      <c r="T43" s="63">
        <f t="shared" si="38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25"/>
        <v>0</v>
      </c>
      <c r="AG43" s="63">
        <f t="shared" si="26"/>
        <v>0</v>
      </c>
      <c r="AH43" s="89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39"/>
        <v>0</v>
      </c>
      <c r="AN43" s="80">
        <f t="shared" si="40"/>
        <v>0</v>
      </c>
      <c r="AO43" s="80">
        <f t="shared" si="41"/>
        <v>0</v>
      </c>
      <c r="AP43" s="75" t="e">
        <f t="shared" si="24"/>
        <v>#DIV/0!</v>
      </c>
      <c r="AQ43" s="76">
        <f t="shared" si="9"/>
        <v>0</v>
      </c>
      <c r="AR43" s="90">
        <f t="shared" si="10"/>
        <v>0</v>
      </c>
    </row>
    <row r="44" spans="1:49" x14ac:dyDescent="0.25">
      <c r="A44" t="str">
        <f t="shared" si="11"/>
        <v>46224M</v>
      </c>
      <c r="B44" s="51">
        <f t="shared" si="27"/>
        <v>46224</v>
      </c>
      <c r="C44" s="52" t="s">
        <v>87</v>
      </c>
      <c r="D44" s="91"/>
      <c r="E44" s="62"/>
      <c r="F44" s="62"/>
      <c r="G44" s="62">
        <f t="shared" ref="G44:G65" si="42">+D44*E44%</f>
        <v>0</v>
      </c>
      <c r="H44" s="63">
        <f t="shared" ref="H44:H65" si="43">+D44*F44%</f>
        <v>0</v>
      </c>
      <c r="I44" s="118"/>
      <c r="J44" s="119"/>
      <c r="K44" s="120"/>
      <c r="L44" s="121"/>
      <c r="M44" s="58"/>
      <c r="N44" s="58"/>
      <c r="O44" s="59"/>
      <c r="P44" s="56"/>
      <c r="Q44" s="60"/>
      <c r="R44" s="61">
        <f t="shared" si="36"/>
        <v>0</v>
      </c>
      <c r="S44" s="62">
        <f t="shared" si="37"/>
        <v>0</v>
      </c>
      <c r="T44" s="63">
        <f t="shared" si="38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25"/>
        <v>0</v>
      </c>
      <c r="AG44" s="63">
        <f t="shared" si="26"/>
        <v>0</v>
      </c>
      <c r="AH44" s="89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39"/>
        <v>0</v>
      </c>
      <c r="AN44" s="80">
        <f t="shared" si="40"/>
        <v>0</v>
      </c>
      <c r="AO44" s="80">
        <f t="shared" si="41"/>
        <v>0</v>
      </c>
      <c r="AP44" s="75" t="e">
        <f t="shared" si="24"/>
        <v>#DIV/0!</v>
      </c>
      <c r="AQ44" s="76">
        <f t="shared" si="9"/>
        <v>0</v>
      </c>
      <c r="AR44" s="90">
        <f t="shared" si="10"/>
        <v>0</v>
      </c>
    </row>
    <row r="45" spans="1:49" x14ac:dyDescent="0.25">
      <c r="A45" t="str">
        <f t="shared" si="11"/>
        <v>46224E</v>
      </c>
      <c r="B45" s="51">
        <f t="shared" si="27"/>
        <v>46224</v>
      </c>
      <c r="C45" s="52" t="s">
        <v>88</v>
      </c>
      <c r="D45" s="91"/>
      <c r="E45" s="62"/>
      <c r="F45" s="62"/>
      <c r="G45" s="62">
        <f t="shared" si="42"/>
        <v>0</v>
      </c>
      <c r="H45" s="63">
        <f t="shared" si="43"/>
        <v>0</v>
      </c>
      <c r="I45" s="118"/>
      <c r="J45" s="119"/>
      <c r="K45" s="120"/>
      <c r="L45" s="121"/>
      <c r="M45" s="58"/>
      <c r="N45" s="58"/>
      <c r="O45" s="59"/>
      <c r="P45" s="56"/>
      <c r="Q45" s="60"/>
      <c r="R45" s="61">
        <f t="shared" si="36"/>
        <v>0</v>
      </c>
      <c r="S45" s="62">
        <f t="shared" si="37"/>
        <v>0</v>
      </c>
      <c r="T45" s="63">
        <f t="shared" si="38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25"/>
        <v>0</v>
      </c>
      <c r="AG45" s="63">
        <f t="shared" si="26"/>
        <v>0</v>
      </c>
      <c r="AH45" s="89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39"/>
        <v>0</v>
      </c>
      <c r="AN45" s="80">
        <f t="shared" si="40"/>
        <v>0</v>
      </c>
      <c r="AO45" s="80">
        <f t="shared" si="41"/>
        <v>0</v>
      </c>
      <c r="AP45" s="75" t="e">
        <f t="shared" si="24"/>
        <v>#DIV/0!</v>
      </c>
      <c r="AQ45" s="76">
        <f t="shared" si="9"/>
        <v>0</v>
      </c>
      <c r="AR45" s="90">
        <f t="shared" si="10"/>
        <v>0</v>
      </c>
    </row>
    <row r="46" spans="1:49" ht="14.25" customHeight="1" x14ac:dyDescent="0.25">
      <c r="A46" t="str">
        <f t="shared" si="11"/>
        <v>46225M</v>
      </c>
      <c r="B46" s="51">
        <f t="shared" si="27"/>
        <v>46225</v>
      </c>
      <c r="C46" s="52" t="s">
        <v>87</v>
      </c>
      <c r="D46" s="91"/>
      <c r="E46" s="62"/>
      <c r="F46" s="62"/>
      <c r="G46" s="62">
        <f t="shared" si="42"/>
        <v>0</v>
      </c>
      <c r="H46" s="63">
        <f t="shared" si="43"/>
        <v>0</v>
      </c>
      <c r="I46" s="118"/>
      <c r="J46" s="119"/>
      <c r="K46" s="120"/>
      <c r="L46" s="121"/>
      <c r="M46" s="58"/>
      <c r="N46" s="58"/>
      <c r="O46" s="59"/>
      <c r="P46" s="56"/>
      <c r="Q46" s="60"/>
      <c r="R46" s="61">
        <f t="shared" si="36"/>
        <v>0</v>
      </c>
      <c r="S46" s="62">
        <f t="shared" si="37"/>
        <v>0</v>
      </c>
      <c r="T46" s="63">
        <f t="shared" si="38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25"/>
        <v>0</v>
      </c>
      <c r="AG46" s="63">
        <f t="shared" si="26"/>
        <v>0</v>
      </c>
      <c r="AH46" s="89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39"/>
        <v>0</v>
      </c>
      <c r="AN46" s="80">
        <f t="shared" si="40"/>
        <v>0</v>
      </c>
      <c r="AO46" s="80">
        <f t="shared" si="41"/>
        <v>0</v>
      </c>
      <c r="AP46" s="75" t="e">
        <f t="shared" si="24"/>
        <v>#DIV/0!</v>
      </c>
      <c r="AQ46" s="76">
        <f t="shared" si="9"/>
        <v>0</v>
      </c>
      <c r="AR46" s="90">
        <f t="shared" si="10"/>
        <v>0</v>
      </c>
    </row>
    <row r="47" spans="1:49" x14ac:dyDescent="0.25">
      <c r="A47" t="str">
        <f t="shared" si="11"/>
        <v>46225E</v>
      </c>
      <c r="B47" s="51">
        <f t="shared" si="27"/>
        <v>46225</v>
      </c>
      <c r="C47" s="52" t="s">
        <v>88</v>
      </c>
      <c r="D47" s="91"/>
      <c r="E47" s="62"/>
      <c r="F47" s="62"/>
      <c r="G47" s="62">
        <f t="shared" si="42"/>
        <v>0</v>
      </c>
      <c r="H47" s="63">
        <f t="shared" si="43"/>
        <v>0</v>
      </c>
      <c r="I47" s="118"/>
      <c r="J47" s="119"/>
      <c r="K47" s="120"/>
      <c r="L47" s="121"/>
      <c r="M47" s="58"/>
      <c r="N47" s="58"/>
      <c r="O47" s="59"/>
      <c r="P47" s="56"/>
      <c r="Q47" s="60"/>
      <c r="R47" s="61">
        <f t="shared" si="36"/>
        <v>0</v>
      </c>
      <c r="S47" s="62">
        <f t="shared" si="37"/>
        <v>0</v>
      </c>
      <c r="T47" s="63">
        <f t="shared" si="38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25"/>
        <v>0</v>
      </c>
      <c r="AG47" s="63">
        <f t="shared" si="26"/>
        <v>0</v>
      </c>
      <c r="AH47" s="89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39"/>
        <v>0</v>
      </c>
      <c r="AN47" s="80">
        <f t="shared" si="40"/>
        <v>0</v>
      </c>
      <c r="AO47" s="80">
        <f t="shared" si="41"/>
        <v>0</v>
      </c>
      <c r="AP47" s="75" t="e">
        <f t="shared" si="24"/>
        <v>#DIV/0!</v>
      </c>
      <c r="AQ47" s="76">
        <f t="shared" si="9"/>
        <v>0</v>
      </c>
      <c r="AR47" s="90">
        <f t="shared" si="10"/>
        <v>0</v>
      </c>
    </row>
    <row r="48" spans="1:49" x14ac:dyDescent="0.25">
      <c r="A48" t="str">
        <f t="shared" si="11"/>
        <v>46226M</v>
      </c>
      <c r="B48" s="51">
        <f t="shared" si="27"/>
        <v>46226</v>
      </c>
      <c r="C48" s="52" t="s">
        <v>87</v>
      </c>
      <c r="D48" s="91"/>
      <c r="E48" s="62"/>
      <c r="F48" s="62"/>
      <c r="G48" s="62">
        <f t="shared" si="42"/>
        <v>0</v>
      </c>
      <c r="H48" s="63">
        <f t="shared" si="43"/>
        <v>0</v>
      </c>
      <c r="I48" s="118"/>
      <c r="J48" s="119"/>
      <c r="K48" s="120"/>
      <c r="L48" s="121"/>
      <c r="M48" s="58"/>
      <c r="N48" s="58"/>
      <c r="O48" s="59"/>
      <c r="P48" s="56"/>
      <c r="Q48" s="60"/>
      <c r="R48" s="61">
        <f t="shared" si="36"/>
        <v>0</v>
      </c>
      <c r="S48" s="62">
        <f t="shared" si="37"/>
        <v>0</v>
      </c>
      <c r="T48" s="63">
        <f t="shared" si="38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25"/>
        <v>0</v>
      </c>
      <c r="AG48" s="63">
        <f t="shared" si="26"/>
        <v>0</v>
      </c>
      <c r="AH48" s="89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39"/>
        <v>0</v>
      </c>
      <c r="AN48" s="80">
        <f t="shared" si="40"/>
        <v>0</v>
      </c>
      <c r="AO48" s="80">
        <f t="shared" si="41"/>
        <v>0</v>
      </c>
      <c r="AP48" s="75" t="e">
        <f t="shared" si="24"/>
        <v>#DIV/0!</v>
      </c>
      <c r="AQ48" s="76">
        <f t="shared" si="9"/>
        <v>0</v>
      </c>
      <c r="AR48" s="90">
        <f t="shared" si="10"/>
        <v>0</v>
      </c>
    </row>
    <row r="49" spans="1:49" x14ac:dyDescent="0.25">
      <c r="A49" t="str">
        <f t="shared" si="11"/>
        <v>46226E</v>
      </c>
      <c r="B49" s="51">
        <f t="shared" si="27"/>
        <v>46226</v>
      </c>
      <c r="C49" s="52" t="s">
        <v>88</v>
      </c>
      <c r="D49" s="91"/>
      <c r="E49" s="62"/>
      <c r="F49" s="62"/>
      <c r="G49" s="62">
        <f t="shared" si="42"/>
        <v>0</v>
      </c>
      <c r="H49" s="63">
        <f t="shared" si="43"/>
        <v>0</v>
      </c>
      <c r="I49" s="118"/>
      <c r="J49" s="119"/>
      <c r="K49" s="120"/>
      <c r="L49" s="121"/>
      <c r="M49" s="58"/>
      <c r="N49" s="58"/>
      <c r="O49" s="59"/>
      <c r="P49" s="56"/>
      <c r="Q49" s="60"/>
      <c r="R49" s="61">
        <f t="shared" ref="R49:R63" si="44">+J49+O49</f>
        <v>0</v>
      </c>
      <c r="S49" s="62">
        <f t="shared" ref="S49:S63" si="45">+J49*K49%+O49*P49%</f>
        <v>0</v>
      </c>
      <c r="T49" s="63">
        <f t="shared" ref="T49:T63" si="46">+J49*L49%+O49*Q49%</f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25"/>
        <v>0</v>
      </c>
      <c r="AG49" s="63">
        <f t="shared" si="26"/>
        <v>0</v>
      </c>
      <c r="AH49" s="89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39"/>
        <v>0</v>
      </c>
      <c r="AN49" s="80">
        <f t="shared" si="40"/>
        <v>0</v>
      </c>
      <c r="AO49" s="80">
        <f t="shared" si="41"/>
        <v>0</v>
      </c>
      <c r="AP49" s="75" t="e">
        <f t="shared" si="24"/>
        <v>#DIV/0!</v>
      </c>
      <c r="AQ49" s="76">
        <f t="shared" si="9"/>
        <v>0</v>
      </c>
      <c r="AR49" s="90">
        <f t="shared" ref="AR49:AR63" si="47">(D49+J49+O49)-(X49+AH49)</f>
        <v>0</v>
      </c>
    </row>
    <row r="50" spans="1:49" x14ac:dyDescent="0.25">
      <c r="A50" t="str">
        <f t="shared" si="11"/>
        <v>46227M</v>
      </c>
      <c r="B50" s="51">
        <f t="shared" si="27"/>
        <v>46227</v>
      </c>
      <c r="C50" s="52" t="s">
        <v>87</v>
      </c>
      <c r="D50" s="91"/>
      <c r="E50" s="62"/>
      <c r="F50" s="62"/>
      <c r="G50" s="62">
        <f t="shared" si="42"/>
        <v>0</v>
      </c>
      <c r="H50" s="63">
        <f t="shared" si="43"/>
        <v>0</v>
      </c>
      <c r="I50" s="118"/>
      <c r="J50" s="119"/>
      <c r="K50" s="120"/>
      <c r="L50" s="121"/>
      <c r="M50" s="58"/>
      <c r="N50" s="58"/>
      <c r="O50" s="59"/>
      <c r="P50" s="56"/>
      <c r="Q50" s="60"/>
      <c r="R50" s="61">
        <f t="shared" si="44"/>
        <v>0</v>
      </c>
      <c r="S50" s="62">
        <f t="shared" si="45"/>
        <v>0</v>
      </c>
      <c r="T50" s="63">
        <f t="shared" si="46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25"/>
        <v>0</v>
      </c>
      <c r="AG50" s="63">
        <f t="shared" si="26"/>
        <v>0</v>
      </c>
      <c r="AH50" s="89"/>
      <c r="AI50" s="66"/>
      <c r="AJ50" s="66"/>
      <c r="AK50" s="62">
        <f t="shared" si="19"/>
        <v>0</v>
      </c>
      <c r="AL50" s="72">
        <f t="shared" si="20"/>
        <v>0</v>
      </c>
      <c r="AM50" s="73">
        <f t="shared" ref="AM50:AM63" si="48">+D50+R50-AC50-AH50</f>
        <v>0</v>
      </c>
      <c r="AN50" s="80">
        <f t="shared" ref="AN50:AN63" si="49">+G50+S50-AF50-AK50</f>
        <v>0</v>
      </c>
      <c r="AO50" s="80">
        <f t="shared" ref="AO50:AO63" si="50">+H50+T50-AG50-AL50</f>
        <v>0</v>
      </c>
      <c r="AP50" s="75" t="e">
        <f t="shared" si="24"/>
        <v>#DIV/0!</v>
      </c>
      <c r="AQ50" s="76">
        <f t="shared" si="9"/>
        <v>0</v>
      </c>
      <c r="AR50" s="90">
        <f t="shared" si="47"/>
        <v>0</v>
      </c>
    </row>
    <row r="51" spans="1:49" x14ac:dyDescent="0.25">
      <c r="A51" t="str">
        <f t="shared" si="11"/>
        <v>46227E</v>
      </c>
      <c r="B51" s="51">
        <f t="shared" si="27"/>
        <v>46227</v>
      </c>
      <c r="C51" s="52" t="s">
        <v>88</v>
      </c>
      <c r="D51" s="91"/>
      <c r="E51" s="62"/>
      <c r="F51" s="62"/>
      <c r="G51" s="62">
        <f t="shared" si="42"/>
        <v>0</v>
      </c>
      <c r="H51" s="63">
        <f t="shared" si="43"/>
        <v>0</v>
      </c>
      <c r="I51" s="118"/>
      <c r="J51" s="119"/>
      <c r="K51" s="120"/>
      <c r="L51" s="121"/>
      <c r="M51" s="58"/>
      <c r="N51" s="58"/>
      <c r="O51" s="59"/>
      <c r="P51" s="56"/>
      <c r="Q51" s="60"/>
      <c r="R51" s="61">
        <f t="shared" si="44"/>
        <v>0</v>
      </c>
      <c r="S51" s="62">
        <f t="shared" si="45"/>
        <v>0</v>
      </c>
      <c r="T51" s="63">
        <f t="shared" si="46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25"/>
        <v>0</v>
      </c>
      <c r="AG51" s="63">
        <f t="shared" si="26"/>
        <v>0</v>
      </c>
      <c r="AH51" s="89"/>
      <c r="AI51" s="66"/>
      <c r="AJ51" s="66"/>
      <c r="AK51" s="62">
        <f t="shared" si="19"/>
        <v>0</v>
      </c>
      <c r="AL51" s="72">
        <f t="shared" si="20"/>
        <v>0</v>
      </c>
      <c r="AM51" s="73">
        <f t="shared" si="48"/>
        <v>0</v>
      </c>
      <c r="AN51" s="80">
        <f t="shared" si="49"/>
        <v>0</v>
      </c>
      <c r="AO51" s="80">
        <f t="shared" si="50"/>
        <v>0</v>
      </c>
      <c r="AP51" s="75" t="e">
        <f t="shared" si="24"/>
        <v>#DIV/0!</v>
      </c>
      <c r="AQ51" s="76">
        <f t="shared" si="9"/>
        <v>0</v>
      </c>
      <c r="AR51" s="90">
        <f t="shared" si="47"/>
        <v>0</v>
      </c>
    </row>
    <row r="52" spans="1:49" x14ac:dyDescent="0.25">
      <c r="A52" t="str">
        <f t="shared" si="11"/>
        <v>46228M</v>
      </c>
      <c r="B52" s="51">
        <f t="shared" si="27"/>
        <v>46228</v>
      </c>
      <c r="C52" s="52" t="s">
        <v>87</v>
      </c>
      <c r="D52" s="91"/>
      <c r="E52" s="62"/>
      <c r="F52" s="62"/>
      <c r="G52" s="62">
        <f t="shared" si="42"/>
        <v>0</v>
      </c>
      <c r="H52" s="63">
        <f t="shared" si="43"/>
        <v>0</v>
      </c>
      <c r="I52" s="118"/>
      <c r="J52" s="119"/>
      <c r="K52" s="120"/>
      <c r="L52" s="121"/>
      <c r="M52" s="58"/>
      <c r="N52" s="58"/>
      <c r="O52" s="59"/>
      <c r="P52" s="56"/>
      <c r="Q52" s="60"/>
      <c r="R52" s="61">
        <f t="shared" si="44"/>
        <v>0</v>
      </c>
      <c r="S52" s="62">
        <f t="shared" si="45"/>
        <v>0</v>
      </c>
      <c r="T52" s="63">
        <f t="shared" si="46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25"/>
        <v>0</v>
      </c>
      <c r="AG52" s="63">
        <f t="shared" si="26"/>
        <v>0</v>
      </c>
      <c r="AH52" s="89"/>
      <c r="AI52" s="66"/>
      <c r="AJ52" s="66"/>
      <c r="AK52" s="62">
        <f t="shared" si="19"/>
        <v>0</v>
      </c>
      <c r="AL52" s="72">
        <f t="shared" si="20"/>
        <v>0</v>
      </c>
      <c r="AM52" s="73">
        <f t="shared" si="48"/>
        <v>0</v>
      </c>
      <c r="AN52" s="80">
        <f t="shared" si="49"/>
        <v>0</v>
      </c>
      <c r="AO52" s="80">
        <f t="shared" si="50"/>
        <v>0</v>
      </c>
      <c r="AP52" s="75" t="e">
        <f t="shared" si="24"/>
        <v>#DIV/0!</v>
      </c>
      <c r="AQ52" s="76">
        <f t="shared" si="9"/>
        <v>0</v>
      </c>
      <c r="AR52" s="90">
        <f t="shared" si="47"/>
        <v>0</v>
      </c>
    </row>
    <row r="53" spans="1:49" x14ac:dyDescent="0.25">
      <c r="A53" t="str">
        <f t="shared" si="11"/>
        <v>46228E</v>
      </c>
      <c r="B53" s="51">
        <f t="shared" si="27"/>
        <v>46228</v>
      </c>
      <c r="C53" s="52" t="s">
        <v>88</v>
      </c>
      <c r="D53" s="91"/>
      <c r="E53" s="62"/>
      <c r="F53" s="62"/>
      <c r="G53" s="62">
        <f t="shared" si="42"/>
        <v>0</v>
      </c>
      <c r="H53" s="63">
        <f t="shared" si="43"/>
        <v>0</v>
      </c>
      <c r="I53" s="118"/>
      <c r="J53" s="119"/>
      <c r="K53" s="120"/>
      <c r="L53" s="121"/>
      <c r="M53" s="58"/>
      <c r="N53" s="58"/>
      <c r="O53" s="59"/>
      <c r="P53" s="56"/>
      <c r="Q53" s="60"/>
      <c r="R53" s="61">
        <f t="shared" si="44"/>
        <v>0</v>
      </c>
      <c r="S53" s="62">
        <f t="shared" si="45"/>
        <v>0</v>
      </c>
      <c r="T53" s="63">
        <f t="shared" si="46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25"/>
        <v>0</v>
      </c>
      <c r="AG53" s="63">
        <f t="shared" si="26"/>
        <v>0</v>
      </c>
      <c r="AH53" s="89"/>
      <c r="AI53" s="66"/>
      <c r="AJ53" s="66"/>
      <c r="AK53" s="62">
        <f t="shared" si="19"/>
        <v>0</v>
      </c>
      <c r="AL53" s="72">
        <f t="shared" si="20"/>
        <v>0</v>
      </c>
      <c r="AM53" s="73">
        <f t="shared" si="48"/>
        <v>0</v>
      </c>
      <c r="AN53" s="80">
        <f t="shared" si="49"/>
        <v>0</v>
      </c>
      <c r="AO53" s="80">
        <f t="shared" si="50"/>
        <v>0</v>
      </c>
      <c r="AP53" s="75" t="e">
        <f t="shared" si="24"/>
        <v>#DIV/0!</v>
      </c>
      <c r="AQ53" s="76">
        <f t="shared" si="9"/>
        <v>0</v>
      </c>
      <c r="AR53" s="90">
        <f t="shared" si="47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1"/>
        <v>46229M</v>
      </c>
      <c r="B54" s="51">
        <f t="shared" si="27"/>
        <v>46229</v>
      </c>
      <c r="C54" s="52" t="s">
        <v>87</v>
      </c>
      <c r="D54" s="91"/>
      <c r="E54" s="62"/>
      <c r="F54" s="62"/>
      <c r="G54" s="62">
        <f t="shared" si="42"/>
        <v>0</v>
      </c>
      <c r="H54" s="63">
        <f t="shared" si="43"/>
        <v>0</v>
      </c>
      <c r="I54" s="118"/>
      <c r="J54" s="119"/>
      <c r="K54" s="120"/>
      <c r="L54" s="121"/>
      <c r="M54" s="58"/>
      <c r="N54" s="58"/>
      <c r="O54" s="59"/>
      <c r="P54" s="56"/>
      <c r="Q54" s="60"/>
      <c r="R54" s="61">
        <f t="shared" si="44"/>
        <v>0</v>
      </c>
      <c r="S54" s="62">
        <f t="shared" si="45"/>
        <v>0</v>
      </c>
      <c r="T54" s="63">
        <f t="shared" si="46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25"/>
        <v>0</v>
      </c>
      <c r="AG54" s="63">
        <f t="shared" si="26"/>
        <v>0</v>
      </c>
      <c r="AH54" s="89"/>
      <c r="AI54" s="66"/>
      <c r="AJ54" s="66"/>
      <c r="AK54" s="62">
        <f t="shared" si="19"/>
        <v>0</v>
      </c>
      <c r="AL54" s="72">
        <f t="shared" si="20"/>
        <v>0</v>
      </c>
      <c r="AM54" s="73">
        <f t="shared" si="48"/>
        <v>0</v>
      </c>
      <c r="AN54" s="80">
        <f t="shared" si="49"/>
        <v>0</v>
      </c>
      <c r="AO54" s="80">
        <f t="shared" si="50"/>
        <v>0</v>
      </c>
      <c r="AP54" s="75" t="e">
        <f t="shared" si="24"/>
        <v>#DIV/0!</v>
      </c>
      <c r="AQ54" s="76">
        <f t="shared" si="9"/>
        <v>0</v>
      </c>
      <c r="AR54" s="90">
        <f t="shared" si="47"/>
        <v>0</v>
      </c>
    </row>
    <row r="55" spans="1:49" x14ac:dyDescent="0.25">
      <c r="A55" t="str">
        <f t="shared" si="11"/>
        <v>46229E</v>
      </c>
      <c r="B55" s="51">
        <f t="shared" si="27"/>
        <v>46229</v>
      </c>
      <c r="C55" s="52" t="s">
        <v>88</v>
      </c>
      <c r="D55" s="91"/>
      <c r="E55" s="62"/>
      <c r="F55" s="62"/>
      <c r="G55" s="62">
        <f t="shared" si="42"/>
        <v>0</v>
      </c>
      <c r="H55" s="63">
        <f t="shared" si="43"/>
        <v>0</v>
      </c>
      <c r="I55" s="118"/>
      <c r="J55" s="119"/>
      <c r="K55" s="120"/>
      <c r="L55" s="121"/>
      <c r="M55" s="58"/>
      <c r="N55" s="58"/>
      <c r="O55" s="59"/>
      <c r="P55" s="56"/>
      <c r="Q55" s="60"/>
      <c r="R55" s="61">
        <f t="shared" si="44"/>
        <v>0</v>
      </c>
      <c r="S55" s="62">
        <f t="shared" si="45"/>
        <v>0</v>
      </c>
      <c r="T55" s="63">
        <f t="shared" si="46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25"/>
        <v>0</v>
      </c>
      <c r="AG55" s="63">
        <f t="shared" si="26"/>
        <v>0</v>
      </c>
      <c r="AH55" s="89"/>
      <c r="AI55" s="66"/>
      <c r="AJ55" s="66"/>
      <c r="AK55" s="62">
        <f t="shared" si="19"/>
        <v>0</v>
      </c>
      <c r="AL55" s="72">
        <f t="shared" si="20"/>
        <v>0</v>
      </c>
      <c r="AM55" s="73">
        <f t="shared" si="48"/>
        <v>0</v>
      </c>
      <c r="AN55" s="80">
        <f t="shared" si="49"/>
        <v>0</v>
      </c>
      <c r="AO55" s="80">
        <f t="shared" si="50"/>
        <v>0</v>
      </c>
      <c r="AP55" s="75" t="e">
        <f t="shared" si="24"/>
        <v>#DIV/0!</v>
      </c>
      <c r="AQ55" s="76">
        <f t="shared" si="9"/>
        <v>0</v>
      </c>
      <c r="AR55" s="90">
        <f t="shared" si="47"/>
        <v>0</v>
      </c>
    </row>
    <row r="56" spans="1:49" x14ac:dyDescent="0.25">
      <c r="A56" t="str">
        <f t="shared" si="11"/>
        <v>46230M</v>
      </c>
      <c r="B56" s="51">
        <f t="shared" si="27"/>
        <v>46230</v>
      </c>
      <c r="C56" s="52" t="s">
        <v>87</v>
      </c>
      <c r="D56" s="91"/>
      <c r="E56" s="62"/>
      <c r="F56" s="62"/>
      <c r="G56" s="62">
        <f t="shared" si="42"/>
        <v>0</v>
      </c>
      <c r="H56" s="63">
        <f t="shared" si="43"/>
        <v>0</v>
      </c>
      <c r="I56" s="118"/>
      <c r="J56" s="119"/>
      <c r="K56" s="120"/>
      <c r="L56" s="121"/>
      <c r="M56" s="58"/>
      <c r="N56" s="58"/>
      <c r="O56" s="59"/>
      <c r="P56" s="56"/>
      <c r="Q56" s="60"/>
      <c r="R56" s="61">
        <f t="shared" si="44"/>
        <v>0</v>
      </c>
      <c r="S56" s="62">
        <f t="shared" si="45"/>
        <v>0</v>
      </c>
      <c r="T56" s="63">
        <f t="shared" si="46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25"/>
        <v>0</v>
      </c>
      <c r="AG56" s="63">
        <f t="shared" si="26"/>
        <v>0</v>
      </c>
      <c r="AH56" s="89"/>
      <c r="AI56" s="66"/>
      <c r="AJ56" s="66"/>
      <c r="AK56" s="62">
        <f t="shared" si="19"/>
        <v>0</v>
      </c>
      <c r="AL56" s="72">
        <f t="shared" si="20"/>
        <v>0</v>
      </c>
      <c r="AM56" s="73">
        <f t="shared" si="48"/>
        <v>0</v>
      </c>
      <c r="AN56" s="80">
        <f t="shared" si="49"/>
        <v>0</v>
      </c>
      <c r="AO56" s="80">
        <f t="shared" si="50"/>
        <v>0</v>
      </c>
      <c r="AP56" s="75" t="e">
        <f t="shared" si="24"/>
        <v>#DIV/0!</v>
      </c>
      <c r="AQ56" s="76">
        <f t="shared" si="9"/>
        <v>0</v>
      </c>
      <c r="AR56" s="90">
        <f t="shared" si="47"/>
        <v>0</v>
      </c>
    </row>
    <row r="57" spans="1:49" x14ac:dyDescent="0.25">
      <c r="A57" t="str">
        <f t="shared" si="11"/>
        <v>46230E</v>
      </c>
      <c r="B57" s="51">
        <f t="shared" si="27"/>
        <v>46230</v>
      </c>
      <c r="C57" s="52" t="s">
        <v>88</v>
      </c>
      <c r="D57" s="91"/>
      <c r="E57" s="62"/>
      <c r="F57" s="62"/>
      <c r="G57" s="62">
        <f t="shared" si="42"/>
        <v>0</v>
      </c>
      <c r="H57" s="63">
        <f t="shared" si="43"/>
        <v>0</v>
      </c>
      <c r="I57" s="118"/>
      <c r="J57" s="119"/>
      <c r="K57" s="120"/>
      <c r="L57" s="121"/>
      <c r="M57" s="58"/>
      <c r="N57" s="58"/>
      <c r="O57" s="59"/>
      <c r="P57" s="56"/>
      <c r="Q57" s="60"/>
      <c r="R57" s="61">
        <f t="shared" si="44"/>
        <v>0</v>
      </c>
      <c r="S57" s="62">
        <f t="shared" si="45"/>
        <v>0</v>
      </c>
      <c r="T57" s="63">
        <f t="shared" si="46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25"/>
        <v>0</v>
      </c>
      <c r="AG57" s="63">
        <f t="shared" si="26"/>
        <v>0</v>
      </c>
      <c r="AH57" s="89"/>
      <c r="AI57" s="66"/>
      <c r="AJ57" s="66"/>
      <c r="AK57" s="62">
        <f t="shared" si="19"/>
        <v>0</v>
      </c>
      <c r="AL57" s="72">
        <f t="shared" si="20"/>
        <v>0</v>
      </c>
      <c r="AM57" s="73">
        <f t="shared" si="48"/>
        <v>0</v>
      </c>
      <c r="AN57" s="80">
        <f t="shared" si="49"/>
        <v>0</v>
      </c>
      <c r="AO57" s="80">
        <f t="shared" si="50"/>
        <v>0</v>
      </c>
      <c r="AP57" s="75" t="e">
        <f t="shared" si="24"/>
        <v>#DIV/0!</v>
      </c>
      <c r="AQ57" s="76">
        <f t="shared" si="9"/>
        <v>0</v>
      </c>
      <c r="AR57" s="90">
        <f t="shared" si="47"/>
        <v>0</v>
      </c>
    </row>
    <row r="58" spans="1:49" x14ac:dyDescent="0.25">
      <c r="A58" t="str">
        <f t="shared" si="11"/>
        <v>46231M</v>
      </c>
      <c r="B58" s="51">
        <f t="shared" si="27"/>
        <v>46231</v>
      </c>
      <c r="C58" s="52" t="s">
        <v>87</v>
      </c>
      <c r="D58" s="91"/>
      <c r="E58" s="62"/>
      <c r="F58" s="62"/>
      <c r="G58" s="62">
        <f t="shared" si="42"/>
        <v>0</v>
      </c>
      <c r="H58" s="63">
        <f t="shared" si="43"/>
        <v>0</v>
      </c>
      <c r="I58" s="118"/>
      <c r="J58" s="119"/>
      <c r="K58" s="120"/>
      <c r="L58" s="121"/>
      <c r="M58" s="58"/>
      <c r="N58" s="58"/>
      <c r="O58" s="59"/>
      <c r="P58" s="56"/>
      <c r="Q58" s="60"/>
      <c r="R58" s="61">
        <f t="shared" si="44"/>
        <v>0</v>
      </c>
      <c r="S58" s="62">
        <f t="shared" si="45"/>
        <v>0</v>
      </c>
      <c r="T58" s="63">
        <f t="shared" si="46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25"/>
        <v>0</v>
      </c>
      <c r="AG58" s="63">
        <f t="shared" si="26"/>
        <v>0</v>
      </c>
      <c r="AH58" s="89"/>
      <c r="AI58" s="66"/>
      <c r="AJ58" s="66"/>
      <c r="AK58" s="62">
        <f t="shared" si="19"/>
        <v>0</v>
      </c>
      <c r="AL58" s="72">
        <f t="shared" si="20"/>
        <v>0</v>
      </c>
      <c r="AM58" s="73">
        <f t="shared" si="48"/>
        <v>0</v>
      </c>
      <c r="AN58" s="80">
        <f t="shared" si="49"/>
        <v>0</v>
      </c>
      <c r="AO58" s="80">
        <f t="shared" si="50"/>
        <v>0</v>
      </c>
      <c r="AP58" s="75" t="e">
        <f t="shared" si="24"/>
        <v>#DIV/0!</v>
      </c>
      <c r="AQ58" s="76">
        <f t="shared" si="9"/>
        <v>0</v>
      </c>
      <c r="AR58" s="90">
        <f t="shared" si="47"/>
        <v>0</v>
      </c>
    </row>
    <row r="59" spans="1:49" x14ac:dyDescent="0.25">
      <c r="A59" t="str">
        <f t="shared" si="11"/>
        <v>46231E</v>
      </c>
      <c r="B59" s="51">
        <f t="shared" si="27"/>
        <v>46231</v>
      </c>
      <c r="C59" s="52" t="s">
        <v>88</v>
      </c>
      <c r="D59" s="91"/>
      <c r="E59" s="62"/>
      <c r="F59" s="62"/>
      <c r="G59" s="62">
        <f t="shared" si="42"/>
        <v>0</v>
      </c>
      <c r="H59" s="63">
        <f t="shared" si="43"/>
        <v>0</v>
      </c>
      <c r="I59" s="118"/>
      <c r="J59" s="119"/>
      <c r="K59" s="120"/>
      <c r="L59" s="121"/>
      <c r="M59" s="58"/>
      <c r="N59" s="58"/>
      <c r="O59" s="59"/>
      <c r="P59" s="56"/>
      <c r="Q59" s="60"/>
      <c r="R59" s="61">
        <f t="shared" si="44"/>
        <v>0</v>
      </c>
      <c r="S59" s="62">
        <f t="shared" si="45"/>
        <v>0</v>
      </c>
      <c r="T59" s="63">
        <f t="shared" si="46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25"/>
        <v>0</v>
      </c>
      <c r="AG59" s="63">
        <f t="shared" si="26"/>
        <v>0</v>
      </c>
      <c r="AH59" s="89"/>
      <c r="AI59" s="66"/>
      <c r="AJ59" s="66"/>
      <c r="AK59" s="62">
        <f t="shared" si="19"/>
        <v>0</v>
      </c>
      <c r="AL59" s="72">
        <f t="shared" si="20"/>
        <v>0</v>
      </c>
      <c r="AM59" s="73">
        <f t="shared" si="48"/>
        <v>0</v>
      </c>
      <c r="AN59" s="80">
        <f t="shared" si="49"/>
        <v>0</v>
      </c>
      <c r="AO59" s="80">
        <f t="shared" si="50"/>
        <v>0</v>
      </c>
      <c r="AP59" s="75" t="e">
        <f t="shared" si="24"/>
        <v>#DIV/0!</v>
      </c>
      <c r="AQ59" s="76">
        <f t="shared" si="9"/>
        <v>0</v>
      </c>
      <c r="AR59" s="90">
        <f t="shared" si="47"/>
        <v>0</v>
      </c>
    </row>
    <row r="60" spans="1:49" x14ac:dyDescent="0.25">
      <c r="A60" t="str">
        <f t="shared" si="11"/>
        <v>46232M</v>
      </c>
      <c r="B60" s="51">
        <f t="shared" si="27"/>
        <v>46232</v>
      </c>
      <c r="C60" s="52" t="s">
        <v>87</v>
      </c>
      <c r="D60" s="91"/>
      <c r="E60" s="62"/>
      <c r="F60" s="62"/>
      <c r="G60" s="62">
        <f t="shared" si="42"/>
        <v>0</v>
      </c>
      <c r="H60" s="63">
        <f t="shared" si="43"/>
        <v>0</v>
      </c>
      <c r="I60" s="118"/>
      <c r="J60" s="119"/>
      <c r="K60" s="120"/>
      <c r="L60" s="121"/>
      <c r="M60" s="58"/>
      <c r="N60" s="58"/>
      <c r="O60" s="59"/>
      <c r="P60" s="56"/>
      <c r="Q60" s="60"/>
      <c r="R60" s="61">
        <f t="shared" si="44"/>
        <v>0</v>
      </c>
      <c r="S60" s="62">
        <f t="shared" si="45"/>
        <v>0</v>
      </c>
      <c r="T60" s="63">
        <f t="shared" si="46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25"/>
        <v>0</v>
      </c>
      <c r="AG60" s="63">
        <f t="shared" si="26"/>
        <v>0</v>
      </c>
      <c r="AH60" s="89"/>
      <c r="AI60" s="66"/>
      <c r="AJ60" s="66"/>
      <c r="AK60" s="62">
        <f t="shared" si="19"/>
        <v>0</v>
      </c>
      <c r="AL60" s="72">
        <f t="shared" si="20"/>
        <v>0</v>
      </c>
      <c r="AM60" s="73">
        <f t="shared" si="48"/>
        <v>0</v>
      </c>
      <c r="AN60" s="80">
        <f t="shared" si="49"/>
        <v>0</v>
      </c>
      <c r="AO60" s="80">
        <f t="shared" si="50"/>
        <v>0</v>
      </c>
      <c r="AP60" s="75" t="e">
        <f t="shared" si="24"/>
        <v>#DIV/0!</v>
      </c>
      <c r="AQ60" s="76">
        <f t="shared" si="9"/>
        <v>0</v>
      </c>
      <c r="AR60" s="90">
        <f t="shared" si="47"/>
        <v>0</v>
      </c>
    </row>
    <row r="61" spans="1:49" x14ac:dyDescent="0.25">
      <c r="A61" t="str">
        <f t="shared" si="11"/>
        <v>46232E</v>
      </c>
      <c r="B61" s="51">
        <f t="shared" si="27"/>
        <v>46232</v>
      </c>
      <c r="C61" s="52" t="s">
        <v>88</v>
      </c>
      <c r="D61" s="91"/>
      <c r="E61" s="62"/>
      <c r="F61" s="62"/>
      <c r="G61" s="62">
        <f t="shared" si="42"/>
        <v>0</v>
      </c>
      <c r="H61" s="63">
        <f t="shared" si="43"/>
        <v>0</v>
      </c>
      <c r="I61" s="118"/>
      <c r="J61" s="119"/>
      <c r="K61" s="120"/>
      <c r="L61" s="121"/>
      <c r="M61" s="58"/>
      <c r="N61" s="58"/>
      <c r="O61" s="59"/>
      <c r="P61" s="56"/>
      <c r="Q61" s="60"/>
      <c r="R61" s="61">
        <f t="shared" si="44"/>
        <v>0</v>
      </c>
      <c r="S61" s="62">
        <f t="shared" si="45"/>
        <v>0</v>
      </c>
      <c r="T61" s="63">
        <f t="shared" si="46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25"/>
        <v>0</v>
      </c>
      <c r="AG61" s="63">
        <f t="shared" si="26"/>
        <v>0</v>
      </c>
      <c r="AH61" s="89"/>
      <c r="AI61" s="66"/>
      <c r="AJ61" s="66"/>
      <c r="AK61" s="62">
        <f t="shared" si="19"/>
        <v>0</v>
      </c>
      <c r="AL61" s="72">
        <f t="shared" si="20"/>
        <v>0</v>
      </c>
      <c r="AM61" s="73">
        <f t="shared" si="48"/>
        <v>0</v>
      </c>
      <c r="AN61" s="80">
        <f t="shared" si="49"/>
        <v>0</v>
      </c>
      <c r="AO61" s="80">
        <f t="shared" si="50"/>
        <v>0</v>
      </c>
      <c r="AP61" s="75" t="e">
        <f t="shared" si="24"/>
        <v>#DIV/0!</v>
      </c>
      <c r="AQ61" s="76">
        <f t="shared" si="9"/>
        <v>0</v>
      </c>
      <c r="AR61" s="90">
        <f t="shared" si="47"/>
        <v>0</v>
      </c>
    </row>
    <row r="62" spans="1:49" x14ac:dyDescent="0.25">
      <c r="A62" t="str">
        <f t="shared" si="11"/>
        <v>46233M</v>
      </c>
      <c r="B62" s="51">
        <f t="shared" si="27"/>
        <v>46233</v>
      </c>
      <c r="C62" s="52" t="s">
        <v>87</v>
      </c>
      <c r="D62" s="91"/>
      <c r="E62" s="62"/>
      <c r="F62" s="62"/>
      <c r="G62" s="62">
        <f t="shared" si="42"/>
        <v>0</v>
      </c>
      <c r="H62" s="63">
        <f t="shared" si="43"/>
        <v>0</v>
      </c>
      <c r="I62" s="118"/>
      <c r="J62" s="119"/>
      <c r="K62" s="120"/>
      <c r="L62" s="121"/>
      <c r="M62" s="58"/>
      <c r="N62" s="58"/>
      <c r="O62" s="59"/>
      <c r="P62" s="56"/>
      <c r="Q62" s="60"/>
      <c r="R62" s="61">
        <f t="shared" si="44"/>
        <v>0</v>
      </c>
      <c r="S62" s="62">
        <f t="shared" si="45"/>
        <v>0</v>
      </c>
      <c r="T62" s="63">
        <f t="shared" si="46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25"/>
        <v>0</v>
      </c>
      <c r="AG62" s="63">
        <f t="shared" si="26"/>
        <v>0</v>
      </c>
      <c r="AH62" s="89"/>
      <c r="AI62" s="66"/>
      <c r="AJ62" s="66"/>
      <c r="AK62" s="62">
        <f t="shared" si="19"/>
        <v>0</v>
      </c>
      <c r="AL62" s="72">
        <f t="shared" si="20"/>
        <v>0</v>
      </c>
      <c r="AM62" s="73">
        <f t="shared" si="48"/>
        <v>0</v>
      </c>
      <c r="AN62" s="80">
        <f t="shared" si="49"/>
        <v>0</v>
      </c>
      <c r="AO62" s="80">
        <f t="shared" si="50"/>
        <v>0</v>
      </c>
      <c r="AP62" s="75" t="e">
        <f t="shared" si="24"/>
        <v>#DIV/0!</v>
      </c>
      <c r="AQ62" s="76">
        <f t="shared" si="9"/>
        <v>0</v>
      </c>
      <c r="AR62" s="90">
        <f t="shared" si="47"/>
        <v>0</v>
      </c>
    </row>
    <row r="63" spans="1:49" x14ac:dyDescent="0.25">
      <c r="A63" t="str">
        <f t="shared" si="11"/>
        <v>46233E</v>
      </c>
      <c r="B63" s="51">
        <f t="shared" si="27"/>
        <v>46233</v>
      </c>
      <c r="C63" s="52" t="s">
        <v>88</v>
      </c>
      <c r="D63" s="91"/>
      <c r="E63" s="62"/>
      <c r="F63" s="62"/>
      <c r="G63" s="62">
        <f t="shared" si="42"/>
        <v>0</v>
      </c>
      <c r="H63" s="63">
        <f t="shared" si="43"/>
        <v>0</v>
      </c>
      <c r="I63" s="118"/>
      <c r="J63" s="119"/>
      <c r="K63" s="120"/>
      <c r="L63" s="121"/>
      <c r="M63" s="58"/>
      <c r="N63" s="58"/>
      <c r="O63" s="59"/>
      <c r="P63" s="56"/>
      <c r="Q63" s="60"/>
      <c r="R63" s="61">
        <f t="shared" si="44"/>
        <v>0</v>
      </c>
      <c r="S63" s="62">
        <f t="shared" si="45"/>
        <v>0</v>
      </c>
      <c r="T63" s="63">
        <f t="shared" si="46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25"/>
        <v>0</v>
      </c>
      <c r="AG63" s="63">
        <f t="shared" si="26"/>
        <v>0</v>
      </c>
      <c r="AH63" s="89"/>
      <c r="AI63" s="66"/>
      <c r="AJ63" s="66"/>
      <c r="AK63" s="62">
        <f t="shared" si="19"/>
        <v>0</v>
      </c>
      <c r="AL63" s="72">
        <f t="shared" si="20"/>
        <v>0</v>
      </c>
      <c r="AM63" s="73">
        <f t="shared" si="48"/>
        <v>0</v>
      </c>
      <c r="AN63" s="80">
        <f t="shared" si="49"/>
        <v>0</v>
      </c>
      <c r="AO63" s="80">
        <f t="shared" si="50"/>
        <v>0</v>
      </c>
      <c r="AP63" s="75" t="e">
        <f t="shared" si="24"/>
        <v>#DIV/0!</v>
      </c>
      <c r="AQ63" s="76">
        <f t="shared" si="9"/>
        <v>0</v>
      </c>
      <c r="AR63" s="90">
        <f t="shared" si="47"/>
        <v>0</v>
      </c>
      <c r="AS63" s="90">
        <f>SUM(J54:J63)</f>
        <v>0</v>
      </c>
      <c r="AT63" s="83">
        <f>SUM(AM54:AM63)</f>
        <v>0</v>
      </c>
      <c r="AU63" s="83">
        <f>SUM(AN54:AN63)</f>
        <v>0</v>
      </c>
      <c r="AV63" s="83">
        <f>SUM(AO54:AO63)</f>
        <v>0</v>
      </c>
      <c r="AW63" s="83">
        <f>-SUM(AQ54:AQ63)</f>
        <v>0</v>
      </c>
    </row>
    <row r="64" spans="1:49" x14ac:dyDescent="0.25">
      <c r="A64" t="str">
        <f t="shared" si="11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42"/>
        <v>0</v>
      </c>
      <c r="H64" s="63">
        <f t="shared" si="43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>I64*1.03</f>
        <v>0</v>
      </c>
      <c r="S64" s="62">
        <f>R64*K64%</f>
        <v>0</v>
      </c>
      <c r="T64" s="63">
        <f>R64*L64%</f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25"/>
        <v>0</v>
      </c>
      <c r="AG64" s="63">
        <f t="shared" si="26"/>
        <v>0</v>
      </c>
      <c r="AH64" s="89"/>
      <c r="AI64" s="66"/>
      <c r="AJ64" s="66"/>
      <c r="AK64" s="123">
        <f t="shared" si="19"/>
        <v>0</v>
      </c>
      <c r="AL64" s="124">
        <f t="shared" si="20"/>
        <v>0</v>
      </c>
      <c r="AM64" s="73">
        <f t="shared" ref="AM64:AM65" si="51">+D64+R64-AC64-AH64</f>
        <v>0</v>
      </c>
      <c r="AN64" s="80">
        <f t="shared" ref="AN64:AN65" si="52">+G64+S64-AF64-AK64</f>
        <v>0</v>
      </c>
      <c r="AO64" s="80">
        <f t="shared" ref="AO64:AO65" si="53">+H64+T64-AG64-AL64</f>
        <v>0</v>
      </c>
      <c r="AP64" s="75" t="e">
        <f t="shared" si="24"/>
        <v>#DIV/0!</v>
      </c>
      <c r="AQ64" s="76">
        <f t="shared" si="9"/>
        <v>0</v>
      </c>
      <c r="AR64" s="90">
        <f>(D64+J64+O64)-(X64+AH64)</f>
        <v>0</v>
      </c>
    </row>
    <row r="65" spans="1:44" x14ac:dyDescent="0.25">
      <c r="A65" t="str">
        <f t="shared" si="11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42"/>
        <v>0</v>
      </c>
      <c r="H65" s="63">
        <f t="shared" si="43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>I65*1.03</f>
        <v>0</v>
      </c>
      <c r="S65" s="62">
        <f>R65*K65%</f>
        <v>0</v>
      </c>
      <c r="T65" s="63">
        <f>R65*L65%</f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25"/>
        <v>0</v>
      </c>
      <c r="AG65" s="63">
        <f t="shared" si="26"/>
        <v>0</v>
      </c>
      <c r="AH65" s="89"/>
      <c r="AI65" s="66"/>
      <c r="AJ65" s="66"/>
      <c r="AK65" s="123">
        <f t="shared" si="19"/>
        <v>0</v>
      </c>
      <c r="AL65" s="124">
        <f t="shared" si="20"/>
        <v>0</v>
      </c>
      <c r="AM65" s="73">
        <f t="shared" si="51"/>
        <v>0</v>
      </c>
      <c r="AN65" s="80">
        <f t="shared" si="52"/>
        <v>0</v>
      </c>
      <c r="AO65" s="80">
        <f t="shared" si="53"/>
        <v>0</v>
      </c>
      <c r="AP65" s="75" t="e">
        <f t="shared" si="24"/>
        <v>#DIV/0!</v>
      </c>
      <c r="AQ65" s="76">
        <f t="shared" si="9"/>
        <v>0</v>
      </c>
      <c r="AR65" s="90">
        <f>(D65+J65+O65)-(X65+AH65)</f>
        <v>0</v>
      </c>
    </row>
    <row r="66" spans="1:44" x14ac:dyDescent="0.25">
      <c r="J66" s="83">
        <f>SUM(J4:J65)</f>
        <v>42795.161</v>
      </c>
      <c r="AM66" s="97">
        <f>-SUM(AM4:AM65)</f>
        <v>-60.161000000000058</v>
      </c>
      <c r="AN66" s="97">
        <f t="shared" ref="AN66:AO66" si="54">-SUM(AN4:AN65)</f>
        <v>-15.438211000000038</v>
      </c>
      <c r="AO66" s="97">
        <f t="shared" si="54"/>
        <v>28.144356999999907</v>
      </c>
      <c r="AQ66" s="97">
        <f>-SUM(AQ4:AQ65)</f>
        <v>1010.4215219645776</v>
      </c>
    </row>
    <row r="67" spans="1:44" x14ac:dyDescent="0.25">
      <c r="I67">
        <f>I65*1.03</f>
        <v>0</v>
      </c>
    </row>
    <row r="68" spans="1:44" x14ac:dyDescent="0.25">
      <c r="K68" s="83">
        <v>500</v>
      </c>
      <c r="L68" s="208">
        <v>5.6</v>
      </c>
      <c r="M68" s="209">
        <v>8.6</v>
      </c>
      <c r="N68">
        <v>44.881135200000003</v>
      </c>
      <c r="O68">
        <f>N68*K68</f>
        <v>22440.567600000002</v>
      </c>
    </row>
    <row r="69" spans="1:44" x14ac:dyDescent="0.25">
      <c r="I69">
        <v>3930.6500000000005</v>
      </c>
      <c r="J69" s="83">
        <f>I65+K68</f>
        <v>500</v>
      </c>
      <c r="AH69" s="89">
        <v>9580</v>
      </c>
      <c r="AI69" s="66">
        <v>3.93</v>
      </c>
      <c r="AJ69" s="66">
        <v>8.24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2" operator="lessThan">
      <formula>0.1</formula>
    </cfRule>
    <cfRule type="cellIs" dxfId="8" priority="3" operator="greaterThan">
      <formula>0.1</formula>
    </cfRule>
  </conditionalFormatting>
  <conditionalFormatting sqref="AP1:AQ1">
    <cfRule type="cellIs" dxfId="7" priority="1" operator="lessThan">
      <formula>1</formula>
    </cfRule>
  </conditionalFormatting>
  <conditionalFormatting sqref="AQ4:AQ65">
    <cfRule type="cellIs" dxfId="6" priority="14" operator="lessThan">
      <formula>0</formula>
    </cfRule>
    <cfRule type="cellIs" dxfId="5" priority="15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AW66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C21" sqref="AC21:AE21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85546875" bestFit="1" customWidth="1"/>
  </cols>
  <sheetData>
    <row r="1" spans="1:44" ht="15.75" thickBot="1" x14ac:dyDescent="0.3">
      <c r="B1" s="43" t="s">
        <v>93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44" t="s">
        <v>64</v>
      </c>
      <c r="C2" s="246" t="s">
        <v>65</v>
      </c>
      <c r="D2" s="248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50"/>
      <c r="O2" s="241"/>
      <c r="P2" s="241"/>
      <c r="Q2" s="242"/>
      <c r="R2" s="25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3"/>
      <c r="AM2" s="237" t="s">
        <v>73</v>
      </c>
      <c r="AN2" s="238"/>
      <c r="AO2" s="238"/>
      <c r="AP2" s="238"/>
      <c r="AQ2" s="239"/>
    </row>
    <row r="3" spans="1:44" x14ac:dyDescent="0.25">
      <c r="B3" s="245"/>
      <c r="C3" s="24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9130</v>
      </c>
      <c r="E4" s="108">
        <v>5.9</v>
      </c>
      <c r="F4" s="108">
        <v>8.6999999999999993</v>
      </c>
      <c r="G4" s="62">
        <f t="shared" ref="G4:G11" si="0">+D4*E4%</f>
        <v>538.67000000000007</v>
      </c>
      <c r="H4" s="72">
        <f t="shared" ref="H4:H11" si="1">+D4*F4%</f>
        <v>794.31</v>
      </c>
      <c r="I4" s="147">
        <v>7261.8</v>
      </c>
      <c r="J4" s="144">
        <v>7479.6540000000005</v>
      </c>
      <c r="K4" s="145">
        <v>4.5080062794348512</v>
      </c>
      <c r="L4" s="146">
        <v>8.1728359359938345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7479.6540000000005</v>
      </c>
      <c r="S4" s="62">
        <f t="shared" ref="S4" si="2">+J4*K4%+O4*P4%</f>
        <v>337.18327200000004</v>
      </c>
      <c r="T4" s="63">
        <f t="shared" ref="T4" si="3">+J4*L4%+O4*Q4%</f>
        <v>611.29985000000033</v>
      </c>
      <c r="U4" s="64" t="s">
        <v>209</v>
      </c>
      <c r="V4" s="65" t="s">
        <v>256</v>
      </c>
      <c r="W4" s="66" t="s">
        <v>177</v>
      </c>
      <c r="X4" s="67">
        <v>6550</v>
      </c>
      <c r="Y4" s="68">
        <v>4.66</v>
      </c>
      <c r="Z4" s="68">
        <v>8.2100000000000009</v>
      </c>
      <c r="AA4" s="62">
        <f t="shared" ref="AA4" si="4">X4*Y4%</f>
        <v>305.23</v>
      </c>
      <c r="AB4" s="63">
        <f t="shared" ref="AB4" si="5">X4*Z4%</f>
        <v>537.755</v>
      </c>
      <c r="AC4" s="69">
        <v>6560</v>
      </c>
      <c r="AD4" s="70">
        <v>4.4641768292682933</v>
      </c>
      <c r="AE4" s="70">
        <v>8.0932621951219517</v>
      </c>
      <c r="AF4" s="62">
        <f t="shared" ref="AF4" si="6">AC4*AD4%</f>
        <v>292.85000000000002</v>
      </c>
      <c r="AG4" s="63">
        <f t="shared" ref="AG4" si="7">AC4*AE4%</f>
        <v>530.91800000000001</v>
      </c>
      <c r="AH4" s="89">
        <v>10060</v>
      </c>
      <c r="AI4" s="66">
        <v>5.7</v>
      </c>
      <c r="AJ4" s="66">
        <v>8.6</v>
      </c>
      <c r="AK4" s="62">
        <f t="shared" ref="AK4" si="8">AH4*AI4%</f>
        <v>573.42000000000007</v>
      </c>
      <c r="AL4" s="72">
        <f t="shared" ref="AL4" si="9">AH4*AJ4%</f>
        <v>865.16</v>
      </c>
      <c r="AM4" s="73">
        <f>+D4+R4-AC4-AH4</f>
        <v>-10.34599999999773</v>
      </c>
      <c r="AN4" s="74">
        <f t="shared" ref="AN4:AN11" si="10">+G4+S4-AF4-AK4</f>
        <v>9.5832719999999654</v>
      </c>
      <c r="AO4" s="74">
        <f t="shared" ref="AO4:AO11" si="11">+H4+T4-AG4-AL4</f>
        <v>9.5318500000003041</v>
      </c>
      <c r="AP4" s="75">
        <f>(AN4+AO4)/(S4+T4)</f>
        <v>2.0153360198643853E-2</v>
      </c>
      <c r="AQ4" s="76">
        <f t="shared" ref="AQ4" si="12">($AP$1*AN4+$AQ$1*AO4)</f>
        <v>7459.7783148497838</v>
      </c>
      <c r="AR4" s="90">
        <f>(D4+J4+O4)-(X4+AH4)</f>
        <v>-0.3459999999977299</v>
      </c>
    </row>
    <row r="5" spans="1:44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91">
        <v>10060</v>
      </c>
      <c r="E5" s="62">
        <v>5.7</v>
      </c>
      <c r="F5" s="62">
        <v>8.6</v>
      </c>
      <c r="G5" s="62">
        <f t="shared" si="0"/>
        <v>573.42000000000007</v>
      </c>
      <c r="H5" s="72">
        <f t="shared" si="1"/>
        <v>865.16</v>
      </c>
      <c r="I5" s="122">
        <v>7158.0999999999995</v>
      </c>
      <c r="J5" s="119">
        <v>7372.8429999999998</v>
      </c>
      <c r="K5" s="120">
        <v>4.3925203615484545</v>
      </c>
      <c r="L5" s="121">
        <v>8.1769002947709577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59" si="14">+J5+O5</f>
        <v>7372.8429999999998</v>
      </c>
      <c r="S5" s="62">
        <f t="shared" ref="S5:S59" si="15">+J5*K5%+O5*P5%</f>
        <v>323.85362999999995</v>
      </c>
      <c r="T5" s="63">
        <f t="shared" ref="T5:T59" si="16">+J5*L5%+O5*Q5%</f>
        <v>602.87002099999984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59" si="17">X5*Y5%</f>
        <v>0</v>
      </c>
      <c r="AB5" s="63">
        <f t="shared" ref="AB5:AB59" si="18">X5*Z5%</f>
        <v>0</v>
      </c>
      <c r="AC5" s="69"/>
      <c r="AD5" s="70"/>
      <c r="AE5" s="70"/>
      <c r="AF5" s="62">
        <f t="shared" ref="AF5:AF57" si="19">AC5*AD5%</f>
        <v>0</v>
      </c>
      <c r="AG5" s="63">
        <f t="shared" ref="AG5:AG65" si="20">AC5*AE5%</f>
        <v>0</v>
      </c>
      <c r="AH5" s="89">
        <v>17433</v>
      </c>
      <c r="AI5" s="66">
        <v>5.6</v>
      </c>
      <c r="AJ5" s="66">
        <v>8.5</v>
      </c>
      <c r="AK5" s="62">
        <f t="shared" ref="AK5:AK21" si="21">AH5*AI5%</f>
        <v>976.24799999999993</v>
      </c>
      <c r="AL5" s="72">
        <f t="shared" ref="AL5:AL21" si="22">AH5*AJ5%</f>
        <v>1481.8050000000001</v>
      </c>
      <c r="AM5" s="73">
        <f t="shared" ref="AM5:AM35" si="23">+D5+R5-AC5-AH5</f>
        <v>-0.1569999999992433</v>
      </c>
      <c r="AN5" s="74">
        <f t="shared" si="10"/>
        <v>-78.974369999999908</v>
      </c>
      <c r="AO5" s="74">
        <f t="shared" si="11"/>
        <v>-13.774979000000258</v>
      </c>
      <c r="AP5" s="75">
        <f t="shared" ref="AP5:AP59" si="24">(AN5+AO5)/(S5+T5)</f>
        <v>-0.1000830710427182</v>
      </c>
      <c r="AQ5" s="76">
        <f t="shared" ref="AQ5:AQ59" si="25">($AP$1*AN5+$AQ$1*AO5)</f>
        <v>-42075.23869705847</v>
      </c>
      <c r="AR5" s="90">
        <f t="shared" ref="AR5:AR13" si="26">(D5+J5+O5)-(X5+AH5)</f>
        <v>-0.1569999999992433</v>
      </c>
    </row>
    <row r="6" spans="1:44" x14ac:dyDescent="0.25">
      <c r="A6" t="str">
        <f t="shared" si="13"/>
        <v>46205M</v>
      </c>
      <c r="B6" s="51">
        <f>+B4+1</f>
        <v>46205</v>
      </c>
      <c r="C6" s="52" t="s">
        <v>87</v>
      </c>
      <c r="D6" s="91">
        <v>17433</v>
      </c>
      <c r="E6" s="62">
        <v>5.6</v>
      </c>
      <c r="F6" s="62">
        <v>8.5</v>
      </c>
      <c r="G6" s="62">
        <f t="shared" si="0"/>
        <v>976.24799999999993</v>
      </c>
      <c r="H6" s="72">
        <f t="shared" si="1"/>
        <v>1481.8050000000001</v>
      </c>
      <c r="I6" s="122">
        <v>8842</v>
      </c>
      <c r="J6" s="119">
        <v>9107.26</v>
      </c>
      <c r="K6" s="120">
        <v>4.5259997738068307</v>
      </c>
      <c r="L6" s="121">
        <v>8.2160857272110395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9107.26</v>
      </c>
      <c r="S6" s="62">
        <f t="shared" si="15"/>
        <v>412.19456699999995</v>
      </c>
      <c r="T6" s="63">
        <f t="shared" si="16"/>
        <v>748.26028900000017</v>
      </c>
      <c r="U6" s="64" t="s">
        <v>208</v>
      </c>
      <c r="V6" s="65" t="s">
        <v>257</v>
      </c>
      <c r="W6" s="66" t="s">
        <v>181</v>
      </c>
      <c r="X6" s="67">
        <v>6500</v>
      </c>
      <c r="Y6" s="68">
        <v>4.54</v>
      </c>
      <c r="Z6" s="68">
        <v>8.3699999999999992</v>
      </c>
      <c r="AA6" s="62">
        <f t="shared" si="17"/>
        <v>295.10000000000002</v>
      </c>
      <c r="AB6" s="63">
        <f t="shared" si="18"/>
        <v>544.04999999999995</v>
      </c>
      <c r="AC6" s="69">
        <v>6490</v>
      </c>
      <c r="AD6" s="70">
        <v>4.4690292758089365</v>
      </c>
      <c r="AE6" s="70">
        <v>8.0909707241910631</v>
      </c>
      <c r="AF6" s="62">
        <f t="shared" si="19"/>
        <v>290.03999999999996</v>
      </c>
      <c r="AG6" s="63">
        <f t="shared" si="20"/>
        <v>525.10399999999993</v>
      </c>
      <c r="AH6" s="89">
        <v>20030</v>
      </c>
      <c r="AI6" s="66">
        <v>5.5</v>
      </c>
      <c r="AJ6" s="66">
        <v>8.4</v>
      </c>
      <c r="AK6" s="62">
        <f t="shared" si="21"/>
        <v>1101.6500000000001</v>
      </c>
      <c r="AL6" s="72">
        <f t="shared" si="22"/>
        <v>1682.5200000000002</v>
      </c>
      <c r="AM6" s="73">
        <f t="shared" si="23"/>
        <v>20.260000000002037</v>
      </c>
      <c r="AN6" s="74">
        <f t="shared" si="10"/>
        <v>-3.2474330000002283</v>
      </c>
      <c r="AO6" s="74">
        <f t="shared" si="11"/>
        <v>22.441289000000097</v>
      </c>
      <c r="AP6" s="75">
        <f t="shared" si="24"/>
        <v>1.6539941989781176E-2</v>
      </c>
      <c r="AQ6" s="76">
        <f t="shared" si="25"/>
        <v>5160.4690228401232</v>
      </c>
      <c r="AR6" s="90">
        <f t="shared" si="26"/>
        <v>10.260000000002037</v>
      </c>
    </row>
    <row r="7" spans="1:44" x14ac:dyDescent="0.25">
      <c r="A7" t="str">
        <f t="shared" si="13"/>
        <v>46205E</v>
      </c>
      <c r="B7" s="51">
        <f>+B5+1</f>
        <v>46205</v>
      </c>
      <c r="C7" s="52" t="s">
        <v>88</v>
      </c>
      <c r="D7" s="91">
        <v>20030</v>
      </c>
      <c r="E7" s="62">
        <v>5.5</v>
      </c>
      <c r="F7" s="62">
        <v>8.4</v>
      </c>
      <c r="G7" s="62">
        <f t="shared" si="0"/>
        <v>1101.6500000000001</v>
      </c>
      <c r="H7" s="72">
        <f t="shared" si="1"/>
        <v>1682.5200000000002</v>
      </c>
      <c r="I7" s="122">
        <v>9955.8000000000011</v>
      </c>
      <c r="J7" s="119">
        <v>10254.474000000002</v>
      </c>
      <c r="K7" s="120">
        <v>4.4472458265533694</v>
      </c>
      <c r="L7" s="121">
        <v>8.2198778601418301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10254.474000000002</v>
      </c>
      <c r="S7" s="62">
        <f t="shared" si="15"/>
        <v>456.04166700000042</v>
      </c>
      <c r="T7" s="63">
        <f t="shared" si="16"/>
        <v>842.90523800000051</v>
      </c>
      <c r="U7" s="64" t="s">
        <v>209</v>
      </c>
      <c r="V7" s="65" t="s">
        <v>258</v>
      </c>
      <c r="W7" s="66" t="s">
        <v>177</v>
      </c>
      <c r="X7" s="67">
        <v>6550</v>
      </c>
      <c r="Y7" s="68">
        <v>4.8099999999999996</v>
      </c>
      <c r="Z7" s="68">
        <v>8.3000000000000007</v>
      </c>
      <c r="AA7" s="62">
        <f t="shared" si="17"/>
        <v>315.05500000000001</v>
      </c>
      <c r="AB7" s="63">
        <f t="shared" si="18"/>
        <v>543.65</v>
      </c>
      <c r="AC7" s="215">
        <v>6550</v>
      </c>
      <c r="AD7" s="216">
        <v>4.8099999999999996</v>
      </c>
      <c r="AE7" s="216">
        <v>8.3000000000000007</v>
      </c>
      <c r="AF7" s="62">
        <f t="shared" si="19"/>
        <v>315.05500000000001</v>
      </c>
      <c r="AG7" s="63">
        <f t="shared" si="20"/>
        <v>543.65</v>
      </c>
      <c r="AH7" s="89">
        <v>22740</v>
      </c>
      <c r="AI7" s="66">
        <v>5.4</v>
      </c>
      <c r="AJ7" s="66">
        <v>8.4</v>
      </c>
      <c r="AK7" s="62">
        <f t="shared" si="21"/>
        <v>1227.96</v>
      </c>
      <c r="AL7" s="72">
        <f t="shared" si="22"/>
        <v>1910.16</v>
      </c>
      <c r="AM7" s="73">
        <f t="shared" si="23"/>
        <v>994.47400000000198</v>
      </c>
      <c r="AN7" s="74">
        <f t="shared" si="10"/>
        <v>14.676667000000407</v>
      </c>
      <c r="AO7" s="74">
        <f t="shared" si="11"/>
        <v>71.615238000000545</v>
      </c>
      <c r="AP7" s="75">
        <f t="shared" si="24"/>
        <v>6.6432203400954931E-2</v>
      </c>
      <c r="AQ7" s="76">
        <f t="shared" si="25"/>
        <v>28500.742392104512</v>
      </c>
      <c r="AR7" s="116">
        <f t="shared" si="26"/>
        <v>994.47400000000198</v>
      </c>
    </row>
    <row r="8" spans="1:44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22740</v>
      </c>
      <c r="E8" s="62">
        <v>5.4</v>
      </c>
      <c r="F8" s="62">
        <v>8.4</v>
      </c>
      <c r="G8" s="62">
        <f t="shared" si="0"/>
        <v>1227.96</v>
      </c>
      <c r="H8" s="72">
        <f t="shared" si="1"/>
        <v>1910.16</v>
      </c>
      <c r="I8" s="122">
        <v>2382.2000000000003</v>
      </c>
      <c r="J8" s="119">
        <v>2453.6660000000002</v>
      </c>
      <c r="K8" s="120">
        <v>4.9748173956846617</v>
      </c>
      <c r="L8" s="121">
        <v>8.1489967257157279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2453.6660000000002</v>
      </c>
      <c r="S8" s="62">
        <f t="shared" si="15"/>
        <v>122.06540300000002</v>
      </c>
      <c r="T8" s="63">
        <f t="shared" si="16"/>
        <v>199.94916200000009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7"/>
        <v>0</v>
      </c>
      <c r="AB8" s="63">
        <f t="shared" si="18"/>
        <v>0</v>
      </c>
      <c r="AC8" s="69"/>
      <c r="AD8" s="70"/>
      <c r="AE8" s="70"/>
      <c r="AF8" s="62">
        <f t="shared" si="19"/>
        <v>0</v>
      </c>
      <c r="AG8" s="63">
        <f t="shared" si="20"/>
        <v>0</v>
      </c>
      <c r="AH8" s="89">
        <v>25193</v>
      </c>
      <c r="AI8" s="66">
        <v>5.4</v>
      </c>
      <c r="AJ8" s="66">
        <v>8.4</v>
      </c>
      <c r="AK8" s="62">
        <f t="shared" si="21"/>
        <v>1360.4220000000003</v>
      </c>
      <c r="AL8" s="72">
        <f t="shared" si="22"/>
        <v>2116.212</v>
      </c>
      <c r="AM8" s="73">
        <f t="shared" si="23"/>
        <v>0.66600000000107684</v>
      </c>
      <c r="AN8" s="74">
        <f t="shared" si="10"/>
        <v>-10.396597000000156</v>
      </c>
      <c r="AO8" s="74">
        <f t="shared" si="11"/>
        <v>-6.1028379999997924</v>
      </c>
      <c r="AP8" s="75">
        <f t="shared" si="24"/>
        <v>-5.1238163714737384E-2</v>
      </c>
      <c r="AQ8" s="76">
        <f t="shared" si="25"/>
        <v>-6823.6488809885541</v>
      </c>
      <c r="AR8" s="90">
        <f t="shared" si="26"/>
        <v>0.66600000000107684</v>
      </c>
    </row>
    <row r="9" spans="1:44" x14ac:dyDescent="0.25">
      <c r="A9" t="str">
        <f t="shared" si="13"/>
        <v>46206E</v>
      </c>
      <c r="B9" s="51">
        <f t="shared" ref="B9:B65" si="27">+B7+1</f>
        <v>46206</v>
      </c>
      <c r="C9" s="52" t="s">
        <v>88</v>
      </c>
      <c r="D9" s="91">
        <v>25193</v>
      </c>
      <c r="E9" s="62">
        <v>5.4</v>
      </c>
      <c r="F9" s="62">
        <v>8.4</v>
      </c>
      <c r="G9" s="62">
        <f t="shared" si="0"/>
        <v>1360.4220000000003</v>
      </c>
      <c r="H9" s="72">
        <f t="shared" si="1"/>
        <v>2116.212</v>
      </c>
      <c r="I9" s="122">
        <v>2391.8000000000002</v>
      </c>
      <c r="J9" s="119">
        <v>2463.5540000000001</v>
      </c>
      <c r="K9" s="120">
        <v>4.2343297934609891</v>
      </c>
      <c r="L9" s="121">
        <v>8.1302868132787012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2463.5540000000001</v>
      </c>
      <c r="S9" s="62">
        <f t="shared" si="15"/>
        <v>104.31500099999994</v>
      </c>
      <c r="T9" s="63">
        <f t="shared" si="16"/>
        <v>200.294006</v>
      </c>
      <c r="U9" s="64" t="s">
        <v>208</v>
      </c>
      <c r="V9" s="65" t="s">
        <v>360</v>
      </c>
      <c r="W9" s="66" t="s">
        <v>181</v>
      </c>
      <c r="X9" s="67">
        <v>6500</v>
      </c>
      <c r="Y9" s="68">
        <v>4.54</v>
      </c>
      <c r="Z9" s="68">
        <v>8.39</v>
      </c>
      <c r="AA9" s="62">
        <f t="shared" si="17"/>
        <v>295.10000000000002</v>
      </c>
      <c r="AB9" s="63">
        <f t="shared" si="18"/>
        <v>545.35</v>
      </c>
      <c r="AC9" s="69">
        <v>6540</v>
      </c>
      <c r="AD9" s="70">
        <v>4.4731651376146777</v>
      </c>
      <c r="AE9" s="70">
        <v>8.3046330275229341</v>
      </c>
      <c r="AF9" s="62">
        <f t="shared" si="19"/>
        <v>292.5449999999999</v>
      </c>
      <c r="AG9" s="63">
        <f t="shared" si="20"/>
        <v>543.12299999999993</v>
      </c>
      <c r="AH9" s="89">
        <v>21157</v>
      </c>
      <c r="AI9" s="66">
        <v>5.4</v>
      </c>
      <c r="AJ9" s="66">
        <v>8.4</v>
      </c>
      <c r="AK9" s="62">
        <f t="shared" si="21"/>
        <v>1142.4780000000001</v>
      </c>
      <c r="AL9" s="72">
        <f t="shared" si="22"/>
        <v>1777.1880000000001</v>
      </c>
      <c r="AM9" s="73">
        <f t="shared" si="23"/>
        <v>-40.445999999999913</v>
      </c>
      <c r="AN9" s="74">
        <f t="shared" si="10"/>
        <v>29.71400100000028</v>
      </c>
      <c r="AO9" s="74">
        <f t="shared" si="11"/>
        <v>-3.8049940000000788</v>
      </c>
      <c r="AP9" s="75">
        <f t="shared" si="24"/>
        <v>8.5056601757019651E-2</v>
      </c>
      <c r="AQ9" s="76">
        <f t="shared" si="25"/>
        <v>13138.982736025382</v>
      </c>
      <c r="AR9" s="90">
        <f t="shared" si="26"/>
        <v>-0.44599999999991269</v>
      </c>
    </row>
    <row r="10" spans="1:44" x14ac:dyDescent="0.25">
      <c r="A10" t="str">
        <f t="shared" si="13"/>
        <v>46207M</v>
      </c>
      <c r="B10" s="51">
        <f t="shared" si="27"/>
        <v>46207</v>
      </c>
      <c r="C10" s="52" t="s">
        <v>87</v>
      </c>
      <c r="D10" s="91">
        <v>21157</v>
      </c>
      <c r="E10" s="62">
        <v>5.4</v>
      </c>
      <c r="F10" s="62">
        <v>8.4</v>
      </c>
      <c r="G10" s="62">
        <f t="shared" si="0"/>
        <v>1142.4780000000001</v>
      </c>
      <c r="H10" s="72">
        <f t="shared" si="1"/>
        <v>1777.1880000000001</v>
      </c>
      <c r="I10" s="122">
        <v>4252.3</v>
      </c>
      <c r="J10" s="119">
        <v>4379.8690000000006</v>
      </c>
      <c r="K10" s="120">
        <v>4.8574841850292803</v>
      </c>
      <c r="L10" s="121">
        <v>8.3019542365308219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4379.8690000000006</v>
      </c>
      <c r="S10" s="62">
        <f t="shared" si="15"/>
        <v>212.75144400000011</v>
      </c>
      <c r="T10" s="63">
        <f t="shared" si="16"/>
        <v>363.6147200000002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7"/>
        <v>0</v>
      </c>
      <c r="AB10" s="63">
        <f t="shared" si="18"/>
        <v>0</v>
      </c>
      <c r="AC10" s="69"/>
      <c r="AD10" s="70"/>
      <c r="AE10" s="70"/>
      <c r="AF10" s="62">
        <f t="shared" si="19"/>
        <v>0</v>
      </c>
      <c r="AG10" s="63">
        <f t="shared" si="20"/>
        <v>0</v>
      </c>
      <c r="AH10" s="89">
        <v>25537</v>
      </c>
      <c r="AI10" s="66">
        <v>5.4</v>
      </c>
      <c r="AJ10" s="66">
        <v>8.4</v>
      </c>
      <c r="AK10" s="62">
        <f t="shared" si="21"/>
        <v>1378.9980000000003</v>
      </c>
      <c r="AL10" s="72">
        <f t="shared" si="22"/>
        <v>2145.1080000000002</v>
      </c>
      <c r="AM10" s="73">
        <f t="shared" si="23"/>
        <v>-0.13100000000122236</v>
      </c>
      <c r="AN10" s="74">
        <f t="shared" si="10"/>
        <v>-23.768556000000217</v>
      </c>
      <c r="AO10" s="74">
        <f t="shared" si="11"/>
        <v>-4.3052800000000389</v>
      </c>
      <c r="AP10" s="75">
        <f t="shared" si="24"/>
        <v>-4.8708334655120811E-2</v>
      </c>
      <c r="AQ10" s="76">
        <f t="shared" si="25"/>
        <v>-12710.957771737925</v>
      </c>
      <c r="AR10" s="90">
        <f t="shared" si="26"/>
        <v>-0.13100000000122236</v>
      </c>
    </row>
    <row r="11" spans="1:44" x14ac:dyDescent="0.25">
      <c r="A11" t="str">
        <f t="shared" si="13"/>
        <v>46207E</v>
      </c>
      <c r="B11" s="51">
        <f t="shared" si="27"/>
        <v>46207</v>
      </c>
      <c r="C11" s="52" t="s">
        <v>88</v>
      </c>
      <c r="D11" s="91">
        <v>25537</v>
      </c>
      <c r="E11" s="62">
        <v>5.4</v>
      </c>
      <c r="F11" s="62">
        <v>8.4</v>
      </c>
      <c r="G11" s="62">
        <f t="shared" si="0"/>
        <v>1378.9980000000003</v>
      </c>
      <c r="H11" s="72">
        <f t="shared" si="1"/>
        <v>2145.1080000000002</v>
      </c>
      <c r="I11" s="122">
        <v>4300.1999999999989</v>
      </c>
      <c r="J11" s="119">
        <v>4429.2059999999992</v>
      </c>
      <c r="K11" s="120">
        <v>4.325282544997906</v>
      </c>
      <c r="L11" s="121">
        <v>8.1885865773684881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4429.2059999999992</v>
      </c>
      <c r="S11" s="62">
        <f t="shared" si="15"/>
        <v>191.57567399999994</v>
      </c>
      <c r="T11" s="63">
        <f t="shared" si="16"/>
        <v>362.68936799999966</v>
      </c>
      <c r="U11" s="64" t="s">
        <v>210</v>
      </c>
      <c r="V11" s="65" t="s">
        <v>361</v>
      </c>
      <c r="W11" s="66" t="s">
        <v>201</v>
      </c>
      <c r="X11" s="67">
        <v>10080</v>
      </c>
      <c r="Y11" s="68">
        <v>5.0199999999999996</v>
      </c>
      <c r="Z11" s="68">
        <v>8.31</v>
      </c>
      <c r="AA11" s="62">
        <f t="shared" si="17"/>
        <v>506.01599999999996</v>
      </c>
      <c r="AB11" s="63">
        <f t="shared" si="18"/>
        <v>837.64800000000002</v>
      </c>
      <c r="AC11" s="69">
        <v>10030</v>
      </c>
      <c r="AD11" s="70">
        <v>4.9757726819541386</v>
      </c>
      <c r="AE11" s="70">
        <v>8.3112362911266207</v>
      </c>
      <c r="AF11" s="62">
        <f t="shared" si="19"/>
        <v>499.07000000000011</v>
      </c>
      <c r="AG11" s="63">
        <f t="shared" si="20"/>
        <v>833.61700000000008</v>
      </c>
      <c r="AH11" s="89">
        <v>19886</v>
      </c>
      <c r="AI11" s="66">
        <v>5.4</v>
      </c>
      <c r="AJ11" s="66">
        <v>8.4</v>
      </c>
      <c r="AK11" s="62">
        <f t="shared" si="21"/>
        <v>1073.8440000000001</v>
      </c>
      <c r="AL11" s="72">
        <f t="shared" si="22"/>
        <v>1670.4240000000002</v>
      </c>
      <c r="AM11" s="73">
        <f t="shared" si="23"/>
        <v>50.205999999998312</v>
      </c>
      <c r="AN11" s="74">
        <f t="shared" si="10"/>
        <v>-2.3403260000000046</v>
      </c>
      <c r="AO11" s="74">
        <f t="shared" si="11"/>
        <v>3.7563679999996111</v>
      </c>
      <c r="AP11" s="75">
        <f t="shared" si="24"/>
        <v>2.5548102310223053E-3</v>
      </c>
      <c r="AQ11" s="76">
        <f t="shared" si="25"/>
        <v>0.39596264613805943</v>
      </c>
      <c r="AR11" s="90">
        <f t="shared" si="26"/>
        <v>0.20599999999831198</v>
      </c>
    </row>
    <row r="12" spans="1:44" x14ac:dyDescent="0.25">
      <c r="A12" t="str">
        <f t="shared" si="13"/>
        <v>46208M</v>
      </c>
      <c r="B12" s="51">
        <f t="shared" si="27"/>
        <v>46208</v>
      </c>
      <c r="C12" s="52" t="s">
        <v>87</v>
      </c>
      <c r="D12" s="91">
        <v>19886</v>
      </c>
      <c r="E12" s="62">
        <v>5.4</v>
      </c>
      <c r="F12" s="62">
        <v>8.4</v>
      </c>
      <c r="G12" s="62">
        <f t="shared" ref="G12:G51" si="28">+D12*E12%</f>
        <v>1073.8440000000001</v>
      </c>
      <c r="H12" s="72">
        <f t="shared" ref="H12:H51" si="29">+D12*F12%</f>
        <v>1670.4240000000002</v>
      </c>
      <c r="I12" s="122">
        <v>4306.3999999999996</v>
      </c>
      <c r="J12" s="119">
        <v>4435.5919999999996</v>
      </c>
      <c r="K12" s="120">
        <v>4.9140279583875159</v>
      </c>
      <c r="L12" s="121">
        <v>8.2845509009845806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4435.5919999999996</v>
      </c>
      <c r="S12" s="62">
        <f t="shared" si="15"/>
        <v>217.96623099999996</v>
      </c>
      <c r="T12" s="63">
        <f t="shared" si="16"/>
        <v>367.46887699999991</v>
      </c>
      <c r="U12" s="64" t="s">
        <v>209</v>
      </c>
      <c r="V12" s="65" t="s">
        <v>421</v>
      </c>
      <c r="W12" s="66" t="s">
        <v>177</v>
      </c>
      <c r="X12" s="67">
        <v>6550</v>
      </c>
      <c r="Y12" s="68">
        <v>4.75</v>
      </c>
      <c r="Z12" s="68">
        <v>8.25</v>
      </c>
      <c r="AA12" s="62">
        <f t="shared" si="17"/>
        <v>311.125</v>
      </c>
      <c r="AB12" s="63">
        <f t="shared" si="18"/>
        <v>540.375</v>
      </c>
      <c r="AC12" s="69">
        <v>6550</v>
      </c>
      <c r="AD12" s="70">
        <v>4.6148854961832058</v>
      </c>
      <c r="AE12" s="70">
        <v>8.2029770992366409</v>
      </c>
      <c r="AF12" s="62">
        <f t="shared" si="19"/>
        <v>302.27499999999998</v>
      </c>
      <c r="AG12" s="63">
        <f t="shared" si="20"/>
        <v>537.29499999999996</v>
      </c>
      <c r="AH12" s="89">
        <v>17721</v>
      </c>
      <c r="AI12" s="66">
        <v>5.4</v>
      </c>
      <c r="AJ12" s="66">
        <v>8.4</v>
      </c>
      <c r="AK12" s="62">
        <f t="shared" si="21"/>
        <v>956.93400000000008</v>
      </c>
      <c r="AL12" s="72">
        <f t="shared" si="22"/>
        <v>1488.5640000000001</v>
      </c>
      <c r="AM12" s="73">
        <f t="shared" si="23"/>
        <v>50.592000000000553</v>
      </c>
      <c r="AN12" s="74">
        <f t="shared" ref="AN12:AN35" si="30">+G12+S12-AF12-AK12</f>
        <v>32.601230999999871</v>
      </c>
      <c r="AO12" s="74">
        <f t="shared" ref="AO12:AO35" si="31">+H12+T12-AG12-AL12</f>
        <v>12.033877000000075</v>
      </c>
      <c r="AP12" s="75">
        <f t="shared" si="24"/>
        <v>7.624262260677396E-2</v>
      </c>
      <c r="AQ12" s="76">
        <f t="shared" si="25"/>
        <v>19269.991578817775</v>
      </c>
      <c r="AR12" s="90">
        <f t="shared" si="26"/>
        <v>50.592000000000553</v>
      </c>
    </row>
    <row r="13" spans="1:44" x14ac:dyDescent="0.25">
      <c r="A13" t="str">
        <f t="shared" si="13"/>
        <v>46208E</v>
      </c>
      <c r="B13" s="51">
        <f t="shared" si="27"/>
        <v>46208</v>
      </c>
      <c r="C13" s="52" t="s">
        <v>88</v>
      </c>
      <c r="D13" s="91">
        <v>17721</v>
      </c>
      <c r="E13" s="62">
        <v>5.4</v>
      </c>
      <c r="F13" s="62">
        <v>8.4</v>
      </c>
      <c r="G13" s="62">
        <f t="shared" si="28"/>
        <v>956.93400000000008</v>
      </c>
      <c r="H13" s="72">
        <f t="shared" si="29"/>
        <v>1488.5640000000001</v>
      </c>
      <c r="I13" s="122">
        <v>4240.7999999999993</v>
      </c>
      <c r="J13" s="119">
        <v>4368.0239999999994</v>
      </c>
      <c r="K13" s="120">
        <v>4.3084535936615724</v>
      </c>
      <c r="L13" s="121">
        <v>8.1738775702697595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4368.0239999999994</v>
      </c>
      <c r="S13" s="62">
        <f t="shared" si="15"/>
        <v>188.19428699999992</v>
      </c>
      <c r="T13" s="63">
        <f t="shared" si="16"/>
        <v>357.03693399999992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7"/>
        <v>0</v>
      </c>
      <c r="AB13" s="63">
        <f t="shared" si="18"/>
        <v>0</v>
      </c>
      <c r="AC13" s="69"/>
      <c r="AD13" s="70"/>
      <c r="AE13" s="70"/>
      <c r="AF13" s="62">
        <f t="shared" si="19"/>
        <v>0</v>
      </c>
      <c r="AG13" s="63">
        <f t="shared" si="20"/>
        <v>0</v>
      </c>
      <c r="AH13" s="89">
        <v>22088</v>
      </c>
      <c r="AI13" s="66">
        <v>5.4</v>
      </c>
      <c r="AJ13" s="66">
        <v>8.4</v>
      </c>
      <c r="AK13" s="62">
        <f t="shared" si="21"/>
        <v>1192.7520000000002</v>
      </c>
      <c r="AL13" s="72">
        <f t="shared" si="22"/>
        <v>1855.3920000000001</v>
      </c>
      <c r="AM13" s="73">
        <f t="shared" si="23"/>
        <v>1.0239999999976135</v>
      </c>
      <c r="AN13" s="74">
        <f t="shared" si="30"/>
        <v>-47.62371300000018</v>
      </c>
      <c r="AO13" s="74">
        <f t="shared" si="31"/>
        <v>-9.7910660000000007</v>
      </c>
      <c r="AP13" s="75">
        <f t="shared" si="24"/>
        <v>-0.1053035424029766</v>
      </c>
      <c r="AQ13" s="76">
        <f t="shared" si="25"/>
        <v>-25817.081180061014</v>
      </c>
      <c r="AR13" s="90">
        <f t="shared" si="26"/>
        <v>1.0239999999976135</v>
      </c>
    </row>
    <row r="14" spans="1:44" x14ac:dyDescent="0.25">
      <c r="A14" t="str">
        <f t="shared" si="13"/>
        <v>46209M</v>
      </c>
      <c r="B14" s="51">
        <f t="shared" si="27"/>
        <v>46209</v>
      </c>
      <c r="C14" s="52" t="s">
        <v>87</v>
      </c>
      <c r="D14" s="91">
        <v>22088</v>
      </c>
      <c r="E14" s="62">
        <v>5.4</v>
      </c>
      <c r="F14" s="62">
        <v>8.4</v>
      </c>
      <c r="G14" s="62">
        <f t="shared" si="28"/>
        <v>1192.7520000000002</v>
      </c>
      <c r="H14" s="72">
        <f t="shared" si="29"/>
        <v>1855.3920000000001</v>
      </c>
      <c r="I14" s="122">
        <v>4323.6000000000013</v>
      </c>
      <c r="J14" s="119">
        <v>4453.3080000000018</v>
      </c>
      <c r="K14" s="120">
        <v>4.9703811638449409</v>
      </c>
      <c r="L14" s="121">
        <v>8.3075700804884836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4453.3080000000018</v>
      </c>
      <c r="S14" s="62">
        <f t="shared" si="15"/>
        <v>221.34638199999998</v>
      </c>
      <c r="T14" s="63">
        <f t="shared" si="16"/>
        <v>369.96168300000028</v>
      </c>
      <c r="U14" s="64" t="s">
        <v>208</v>
      </c>
      <c r="V14" s="65" t="s">
        <v>422</v>
      </c>
      <c r="W14" s="66" t="s">
        <v>181</v>
      </c>
      <c r="X14" s="67">
        <v>6500</v>
      </c>
      <c r="Y14" s="68">
        <v>4.47</v>
      </c>
      <c r="Z14" s="68">
        <v>8.3800000000000008</v>
      </c>
      <c r="AA14" s="62">
        <f t="shared" si="17"/>
        <v>290.54999999999995</v>
      </c>
      <c r="AB14" s="63">
        <f t="shared" si="18"/>
        <v>544.70000000000005</v>
      </c>
      <c r="AC14" s="69">
        <v>6520</v>
      </c>
      <c r="AD14" s="70">
        <v>4.4000000000000004</v>
      </c>
      <c r="AE14" s="70">
        <v>8.3084049079754596</v>
      </c>
      <c r="AF14" s="62">
        <f t="shared" si="19"/>
        <v>286.88000000000005</v>
      </c>
      <c r="AG14" s="63">
        <f t="shared" si="20"/>
        <v>541.70799999999997</v>
      </c>
      <c r="AH14" s="89">
        <v>20036</v>
      </c>
      <c r="AI14" s="66">
        <v>5.4</v>
      </c>
      <c r="AJ14" s="66">
        <v>8.4</v>
      </c>
      <c r="AK14" s="62">
        <f t="shared" si="21"/>
        <v>1081.9440000000002</v>
      </c>
      <c r="AL14" s="72">
        <f t="shared" si="22"/>
        <v>1683.0240000000001</v>
      </c>
      <c r="AM14" s="73">
        <f t="shared" si="23"/>
        <v>-14.691999999999098</v>
      </c>
      <c r="AN14" s="74">
        <f t="shared" si="30"/>
        <v>45.274381999999832</v>
      </c>
      <c r="AO14" s="74">
        <f t="shared" si="31"/>
        <v>0.62168300000007548</v>
      </c>
      <c r="AP14" s="75">
        <f t="shared" si="24"/>
        <v>7.7617857283918304E-2</v>
      </c>
      <c r="AQ14" s="76">
        <f t="shared" si="25"/>
        <v>21942.002594267567</v>
      </c>
      <c r="AR14" s="90">
        <f t="shared" ref="AR14:AR65" si="32">(D14+J14+O14)-(X14+AH14)</f>
        <v>5.3080000000009022</v>
      </c>
    </row>
    <row r="15" spans="1:44" x14ac:dyDescent="0.25">
      <c r="A15" t="str">
        <f t="shared" si="13"/>
        <v>46209E</v>
      </c>
      <c r="B15" s="51">
        <f t="shared" si="27"/>
        <v>46209</v>
      </c>
      <c r="C15" s="52" t="s">
        <v>88</v>
      </c>
      <c r="D15" s="91">
        <v>20036</v>
      </c>
      <c r="E15" s="62">
        <v>5.4</v>
      </c>
      <c r="F15" s="62">
        <v>8.4</v>
      </c>
      <c r="G15" s="62">
        <f t="shared" si="28"/>
        <v>1081.9440000000002</v>
      </c>
      <c r="H15" s="72">
        <f t="shared" si="29"/>
        <v>1683.0240000000001</v>
      </c>
      <c r="I15" s="122">
        <v>2214.8999999999996</v>
      </c>
      <c r="J15" s="119">
        <v>2281.3469999999998</v>
      </c>
      <c r="K15" s="120">
        <v>4.5193733351392833</v>
      </c>
      <c r="L15" s="121">
        <v>8.1593029030655995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2281.3469999999998</v>
      </c>
      <c r="S15" s="62">
        <f t="shared" si="15"/>
        <v>103.10258799999997</v>
      </c>
      <c r="T15" s="63">
        <f t="shared" si="16"/>
        <v>186.14201199999994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7"/>
        <v>0</v>
      </c>
      <c r="AB15" s="63">
        <f t="shared" si="18"/>
        <v>0</v>
      </c>
      <c r="AC15" s="69"/>
      <c r="AD15" s="70"/>
      <c r="AE15" s="70"/>
      <c r="AF15" s="62">
        <f t="shared" si="19"/>
        <v>0</v>
      </c>
      <c r="AG15" s="63">
        <f t="shared" si="20"/>
        <v>0</v>
      </c>
      <c r="AH15" s="89">
        <v>22319</v>
      </c>
      <c r="AI15" s="66">
        <v>5.4</v>
      </c>
      <c r="AJ15" s="66">
        <v>8.4</v>
      </c>
      <c r="AK15" s="62">
        <f t="shared" si="21"/>
        <v>1205.2260000000001</v>
      </c>
      <c r="AL15" s="72">
        <f t="shared" si="22"/>
        <v>1874.796</v>
      </c>
      <c r="AM15" s="73">
        <f t="shared" si="23"/>
        <v>-1.6529999999984284</v>
      </c>
      <c r="AN15" s="74">
        <f t="shared" si="30"/>
        <v>-20.179411999999957</v>
      </c>
      <c r="AO15" s="74">
        <f t="shared" si="31"/>
        <v>-5.6299879999999121</v>
      </c>
      <c r="AP15" s="75">
        <f t="shared" si="24"/>
        <v>-8.9230360739664213E-2</v>
      </c>
      <c r="AQ15" s="76">
        <f t="shared" si="25"/>
        <v>-11382.99551870184</v>
      </c>
      <c r="AR15" s="90">
        <f t="shared" si="32"/>
        <v>-1.6529999999984284</v>
      </c>
    </row>
    <row r="16" spans="1:44" x14ac:dyDescent="0.25">
      <c r="A16" t="str">
        <f t="shared" si="13"/>
        <v>46210M</v>
      </c>
      <c r="B16" s="51">
        <f t="shared" si="27"/>
        <v>46210</v>
      </c>
      <c r="C16" s="52" t="s">
        <v>87</v>
      </c>
      <c r="D16" s="91">
        <v>22319</v>
      </c>
      <c r="E16" s="62">
        <v>5.4</v>
      </c>
      <c r="F16" s="62">
        <v>8.4</v>
      </c>
      <c r="G16" s="62">
        <f t="shared" si="28"/>
        <v>1205.2260000000001</v>
      </c>
      <c r="H16" s="72">
        <f t="shared" si="29"/>
        <v>1874.796</v>
      </c>
      <c r="I16" s="122">
        <v>2111.4000000000005</v>
      </c>
      <c r="J16" s="119">
        <v>2174.7420000000006</v>
      </c>
      <c r="K16" s="120">
        <v>5.2353604243629812</v>
      </c>
      <c r="L16" s="121">
        <v>8.3027990906507565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2174.7420000000006</v>
      </c>
      <c r="S16" s="62">
        <f t="shared" si="15"/>
        <v>113.85558200000001</v>
      </c>
      <c r="T16" s="63">
        <f t="shared" si="16"/>
        <v>180.56445900000011</v>
      </c>
      <c r="U16" s="64" t="s">
        <v>209</v>
      </c>
      <c r="V16" s="65" t="s">
        <v>423</v>
      </c>
      <c r="W16" s="66" t="s">
        <v>177</v>
      </c>
      <c r="X16" s="67">
        <v>6550</v>
      </c>
      <c r="Y16" s="68">
        <v>4.75</v>
      </c>
      <c r="Z16" s="68">
        <v>8.25</v>
      </c>
      <c r="AA16" s="62">
        <f t="shared" si="17"/>
        <v>311.125</v>
      </c>
      <c r="AB16" s="63">
        <f t="shared" si="18"/>
        <v>540.375</v>
      </c>
      <c r="AC16" s="69">
        <v>6530</v>
      </c>
      <c r="AD16" s="70">
        <v>4.6652373660030628</v>
      </c>
      <c r="AE16" s="70">
        <v>8.2130474732006107</v>
      </c>
      <c r="AF16" s="62">
        <f t="shared" si="19"/>
        <v>304.64000000000004</v>
      </c>
      <c r="AG16" s="63">
        <f t="shared" si="20"/>
        <v>536.3119999999999</v>
      </c>
      <c r="AH16" s="89">
        <v>17944</v>
      </c>
      <c r="AI16" s="66">
        <v>5.4</v>
      </c>
      <c r="AJ16" s="66">
        <v>8.4</v>
      </c>
      <c r="AK16" s="62">
        <f t="shared" si="21"/>
        <v>968.97600000000011</v>
      </c>
      <c r="AL16" s="72">
        <f t="shared" si="22"/>
        <v>1507.296</v>
      </c>
      <c r="AM16" s="73">
        <f t="shared" si="23"/>
        <v>19.742000000002008</v>
      </c>
      <c r="AN16" s="74">
        <f t="shared" si="30"/>
        <v>45.465581999999813</v>
      </c>
      <c r="AO16" s="74">
        <f t="shared" si="31"/>
        <v>11.752459000000044</v>
      </c>
      <c r="AP16" s="75">
        <f t="shared" si="24"/>
        <v>0.19434152921675543</v>
      </c>
      <c r="AQ16" s="76">
        <f t="shared" si="25"/>
        <v>25367.448737287887</v>
      </c>
      <c r="AR16" s="90">
        <f t="shared" si="32"/>
        <v>-0.25799999999799184</v>
      </c>
    </row>
    <row r="17" spans="1:49" x14ac:dyDescent="0.25">
      <c r="A17" t="str">
        <f t="shared" si="13"/>
        <v>46210E</v>
      </c>
      <c r="B17" s="51">
        <f t="shared" si="27"/>
        <v>46210</v>
      </c>
      <c r="C17" s="52" t="s">
        <v>88</v>
      </c>
      <c r="D17" s="91">
        <v>17944</v>
      </c>
      <c r="E17" s="62">
        <v>5.4</v>
      </c>
      <c r="F17" s="62">
        <v>8.4</v>
      </c>
      <c r="G17" s="62">
        <f t="shared" si="28"/>
        <v>968.97600000000011</v>
      </c>
      <c r="H17" s="72">
        <f t="shared" si="29"/>
        <v>1507.296</v>
      </c>
      <c r="I17" s="122">
        <v>2562.6</v>
      </c>
      <c r="J17" s="119">
        <v>2639.4780000000001</v>
      </c>
      <c r="K17" s="120">
        <v>4.3164871614766236</v>
      </c>
      <c r="L17" s="121">
        <v>8.1012175134628901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2639.4780000000001</v>
      </c>
      <c r="S17" s="62">
        <f t="shared" si="15"/>
        <v>113.93272899999997</v>
      </c>
      <c r="T17" s="63">
        <f t="shared" si="16"/>
        <v>213.82985400000001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7"/>
        <v>0</v>
      </c>
      <c r="AB17" s="63">
        <f t="shared" si="18"/>
        <v>0</v>
      </c>
      <c r="AC17" s="69"/>
      <c r="AD17" s="70"/>
      <c r="AE17" s="70"/>
      <c r="AF17" s="62">
        <f t="shared" si="19"/>
        <v>0</v>
      </c>
      <c r="AG17" s="63">
        <f t="shared" si="20"/>
        <v>0</v>
      </c>
      <c r="AH17" s="89">
        <v>20583</v>
      </c>
      <c r="AI17" s="66">
        <v>5.4</v>
      </c>
      <c r="AJ17" s="66">
        <v>8.4</v>
      </c>
      <c r="AK17" s="62">
        <f t="shared" si="21"/>
        <v>1111.4820000000002</v>
      </c>
      <c r="AL17" s="72">
        <f t="shared" si="22"/>
        <v>1728.9720000000002</v>
      </c>
      <c r="AM17" s="73">
        <f t="shared" si="23"/>
        <v>0.47799999999915599</v>
      </c>
      <c r="AN17" s="74">
        <f t="shared" si="30"/>
        <v>-28.573271000000204</v>
      </c>
      <c r="AO17" s="74">
        <f t="shared" si="31"/>
        <v>-7.8461460000000898</v>
      </c>
      <c r="AP17" s="75">
        <f t="shared" si="24"/>
        <v>-0.11111523672609176</v>
      </c>
      <c r="AQ17" s="76">
        <f t="shared" si="25"/>
        <v>-16080.237549938765</v>
      </c>
      <c r="AR17" s="90">
        <f t="shared" si="32"/>
        <v>0.47799999999915599</v>
      </c>
      <c r="AS17" s="90">
        <f>SUM(J4:J17)</f>
        <v>68293.017000000007</v>
      </c>
      <c r="AT17" s="83">
        <f>SUM(AM4:AM17)</f>
        <v>1070.0170000000071</v>
      </c>
      <c r="AU17" s="83">
        <f>SUM(AN4:AN17)</f>
        <v>-37.788543000000686</v>
      </c>
      <c r="AV17" s="83">
        <f>SUM(AO4:AO17)</f>
        <v>80.497473000000582</v>
      </c>
      <c r="AW17" s="83">
        <f>-SUM(AQ4:AQ17)</f>
        <v>-5949.6517403525995</v>
      </c>
    </row>
    <row r="18" spans="1:49" x14ac:dyDescent="0.25">
      <c r="A18" t="str">
        <f t="shared" si="13"/>
        <v>46211M</v>
      </c>
      <c r="B18" s="51">
        <f t="shared" si="27"/>
        <v>46211</v>
      </c>
      <c r="C18" s="52" t="s">
        <v>87</v>
      </c>
      <c r="D18" s="91">
        <v>20583</v>
      </c>
      <c r="E18" s="62">
        <v>5.4</v>
      </c>
      <c r="F18" s="62">
        <v>8.4</v>
      </c>
      <c r="G18" s="62">
        <f t="shared" si="28"/>
        <v>1111.4820000000002</v>
      </c>
      <c r="H18" s="72">
        <f t="shared" si="29"/>
        <v>1728.9720000000002</v>
      </c>
      <c r="I18" s="122">
        <v>5126.1999999999989</v>
      </c>
      <c r="J18" s="119">
        <v>5279.985999999999</v>
      </c>
      <c r="K18" s="120">
        <v>4.6918087472201648</v>
      </c>
      <c r="L18" s="121">
        <v>8.1911454878857661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5279.985999999999</v>
      </c>
      <c r="S18" s="62">
        <f t="shared" si="15"/>
        <v>247.72684500000005</v>
      </c>
      <c r="T18" s="63">
        <f t="shared" si="16"/>
        <v>432.49133500000005</v>
      </c>
      <c r="U18" s="64" t="s">
        <v>208</v>
      </c>
      <c r="V18" s="65" t="s">
        <v>424</v>
      </c>
      <c r="W18" s="66" t="s">
        <v>181</v>
      </c>
      <c r="X18" s="67">
        <v>6500</v>
      </c>
      <c r="Y18" s="68">
        <v>4.3899999999999997</v>
      </c>
      <c r="Z18" s="68">
        <v>8.26</v>
      </c>
      <c r="AA18" s="62">
        <f t="shared" si="17"/>
        <v>285.34999999999997</v>
      </c>
      <c r="AB18" s="63">
        <f t="shared" si="18"/>
        <v>536.9</v>
      </c>
      <c r="AC18" s="215">
        <v>6500</v>
      </c>
      <c r="AD18" s="216">
        <v>4.3899999999999997</v>
      </c>
      <c r="AE18" s="216">
        <v>8.26</v>
      </c>
      <c r="AF18" s="62">
        <f t="shared" si="19"/>
        <v>285.34999999999997</v>
      </c>
      <c r="AG18" s="63">
        <f t="shared" si="20"/>
        <v>536.9</v>
      </c>
      <c r="AH18" s="89">
        <v>19363</v>
      </c>
      <c r="AI18" s="66">
        <v>5.4</v>
      </c>
      <c r="AJ18" s="66">
        <v>8.4</v>
      </c>
      <c r="AK18" s="62">
        <f t="shared" si="21"/>
        <v>1045.6020000000001</v>
      </c>
      <c r="AL18" s="72">
        <f t="shared" si="22"/>
        <v>1626.4920000000002</v>
      </c>
      <c r="AM18" s="73">
        <f t="shared" si="23"/>
        <v>-1.4000000002852175E-2</v>
      </c>
      <c r="AN18" s="74">
        <f t="shared" si="30"/>
        <v>28.256845000000339</v>
      </c>
      <c r="AO18" s="74">
        <f t="shared" si="31"/>
        <v>-1.9286649999999099</v>
      </c>
      <c r="AP18" s="75">
        <f t="shared" si="24"/>
        <v>3.870549299343988E-2</v>
      </c>
      <c r="AQ18" s="76">
        <f t="shared" si="25"/>
        <v>13000.715684266414</v>
      </c>
      <c r="AR18" s="90">
        <f t="shared" si="32"/>
        <v>-1.4000000002852175E-2</v>
      </c>
    </row>
    <row r="19" spans="1:49" x14ac:dyDescent="0.25">
      <c r="A19" t="str">
        <f t="shared" si="13"/>
        <v>46211E</v>
      </c>
      <c r="B19" s="51">
        <f t="shared" si="27"/>
        <v>46211</v>
      </c>
      <c r="C19" s="52" t="s">
        <v>88</v>
      </c>
      <c r="D19" s="91">
        <v>19363</v>
      </c>
      <c r="E19" s="62">
        <v>5.4</v>
      </c>
      <c r="F19" s="62">
        <v>8.4</v>
      </c>
      <c r="G19" s="62">
        <f t="shared" si="28"/>
        <v>1045.6020000000001</v>
      </c>
      <c r="H19" s="72">
        <f t="shared" si="29"/>
        <v>1626.4920000000002</v>
      </c>
      <c r="I19" s="122">
        <v>4972.5000000000009</v>
      </c>
      <c r="J19" s="119">
        <v>5121.6750000000011</v>
      </c>
      <c r="K19" s="120">
        <v>4.4147149321266985</v>
      </c>
      <c r="L19" s="121">
        <v>8.2769150326797405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5121.6750000000011</v>
      </c>
      <c r="S19" s="62">
        <f t="shared" si="15"/>
        <v>226.10735100000011</v>
      </c>
      <c r="T19" s="63">
        <f t="shared" si="16"/>
        <v>423.91668800000019</v>
      </c>
      <c r="U19" s="64" t="s">
        <v>209</v>
      </c>
      <c r="V19" s="65" t="s">
        <v>425</v>
      </c>
      <c r="W19" s="66" t="s">
        <v>177</v>
      </c>
      <c r="X19" s="67">
        <v>6550</v>
      </c>
      <c r="Y19" s="68">
        <v>5.05</v>
      </c>
      <c r="Z19" s="68">
        <v>8.31</v>
      </c>
      <c r="AA19" s="62">
        <f t="shared" si="17"/>
        <v>330.77499999999998</v>
      </c>
      <c r="AB19" s="63">
        <f t="shared" si="18"/>
        <v>544.30500000000006</v>
      </c>
      <c r="AC19" s="215">
        <v>6550</v>
      </c>
      <c r="AD19" s="216">
        <v>5.05</v>
      </c>
      <c r="AE19" s="216">
        <v>8.31</v>
      </c>
      <c r="AF19" s="62">
        <f t="shared" si="19"/>
        <v>330.77499999999998</v>
      </c>
      <c r="AG19" s="63">
        <f t="shared" si="20"/>
        <v>544.30500000000006</v>
      </c>
      <c r="AH19" s="89">
        <v>17935</v>
      </c>
      <c r="AI19" s="66">
        <v>5.4</v>
      </c>
      <c r="AJ19" s="66">
        <v>8.4</v>
      </c>
      <c r="AK19" s="62">
        <f t="shared" si="21"/>
        <v>968.49000000000012</v>
      </c>
      <c r="AL19" s="72">
        <f t="shared" si="22"/>
        <v>1506.5400000000002</v>
      </c>
      <c r="AM19" s="73">
        <f t="shared" si="23"/>
        <v>-0.32499999999708962</v>
      </c>
      <c r="AN19" s="74">
        <f t="shared" si="30"/>
        <v>-27.555648999999903</v>
      </c>
      <c r="AO19" s="74">
        <f t="shared" si="31"/>
        <v>-0.43631199999981618</v>
      </c>
      <c r="AP19" s="75">
        <f t="shared" si="24"/>
        <v>-4.3062962783749763E-2</v>
      </c>
      <c r="AQ19" s="76">
        <f t="shared" si="25"/>
        <v>-13372.057742108787</v>
      </c>
      <c r="AR19" s="90">
        <f t="shared" si="32"/>
        <v>-0.32499999999708962</v>
      </c>
    </row>
    <row r="20" spans="1:49" x14ac:dyDescent="0.25">
      <c r="A20" t="str">
        <f t="shared" si="13"/>
        <v>46212M</v>
      </c>
      <c r="B20" s="51">
        <f t="shared" si="27"/>
        <v>46212</v>
      </c>
      <c r="C20" s="52" t="s">
        <v>87</v>
      </c>
      <c r="D20" s="91">
        <v>17935</v>
      </c>
      <c r="E20" s="62">
        <v>5.4</v>
      </c>
      <c r="F20" s="62">
        <v>8.4</v>
      </c>
      <c r="G20" s="62">
        <f t="shared" si="28"/>
        <v>968.49000000000012</v>
      </c>
      <c r="H20" s="72">
        <f t="shared" si="29"/>
        <v>1506.5400000000002</v>
      </c>
      <c r="I20" s="122">
        <v>5551.7000000000007</v>
      </c>
      <c r="J20" s="119">
        <v>5718.2510000000011</v>
      </c>
      <c r="K20" s="120">
        <v>4.6826449555991854</v>
      </c>
      <c r="L20" s="121">
        <v>8.2488462993317349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5718.2510000000011</v>
      </c>
      <c r="S20" s="62">
        <f t="shared" si="15"/>
        <v>267.76539200000002</v>
      </c>
      <c r="T20" s="63">
        <f t="shared" si="16"/>
        <v>471.68973599999998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7"/>
        <v>0</v>
      </c>
      <c r="AB20" s="63">
        <f t="shared" si="18"/>
        <v>0</v>
      </c>
      <c r="AC20" s="69"/>
      <c r="AD20" s="70"/>
      <c r="AE20" s="70"/>
      <c r="AF20" s="62">
        <f t="shared" si="19"/>
        <v>0</v>
      </c>
      <c r="AG20" s="63">
        <f t="shared" si="20"/>
        <v>0</v>
      </c>
      <c r="AH20" s="89">
        <v>23653</v>
      </c>
      <c r="AI20" s="66">
        <v>5.4</v>
      </c>
      <c r="AJ20" s="66">
        <v>8.4</v>
      </c>
      <c r="AK20" s="62">
        <f t="shared" si="21"/>
        <v>1277.2620000000002</v>
      </c>
      <c r="AL20" s="72">
        <f t="shared" si="22"/>
        <v>1986.8520000000001</v>
      </c>
      <c r="AM20" s="73">
        <f t="shared" si="23"/>
        <v>0.25100000000020373</v>
      </c>
      <c r="AN20" s="74">
        <f t="shared" si="30"/>
        <v>-41.006608000000142</v>
      </c>
      <c r="AO20" s="74">
        <f t="shared" si="31"/>
        <v>-8.6222639999998592</v>
      </c>
      <c r="AP20" s="75">
        <f t="shared" si="24"/>
        <v>-6.7115461264337858E-2</v>
      </c>
      <c r="AQ20" s="76">
        <f t="shared" si="25"/>
        <v>-22287.301070717796</v>
      </c>
      <c r="AR20" s="90">
        <f t="shared" si="32"/>
        <v>0.25100000000020373</v>
      </c>
    </row>
    <row r="21" spans="1:49" x14ac:dyDescent="0.25">
      <c r="A21" t="str">
        <f t="shared" si="13"/>
        <v>46212E</v>
      </c>
      <c r="B21" s="51">
        <f t="shared" si="27"/>
        <v>46212</v>
      </c>
      <c r="C21" s="52" t="s">
        <v>88</v>
      </c>
      <c r="D21" s="91">
        <v>23653</v>
      </c>
      <c r="E21" s="62">
        <v>5.4</v>
      </c>
      <c r="F21" s="62">
        <v>8.4</v>
      </c>
      <c r="G21" s="62">
        <f t="shared" si="28"/>
        <v>1277.2620000000002</v>
      </c>
      <c r="H21" s="72">
        <f t="shared" si="29"/>
        <v>1986.8520000000001</v>
      </c>
      <c r="I21" s="122">
        <v>5374.6000000000022</v>
      </c>
      <c r="J21" s="119">
        <v>5535.8380000000025</v>
      </c>
      <c r="K21" s="120">
        <v>4.4194358649946022</v>
      </c>
      <c r="L21" s="121">
        <v>8.2100044654485913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5535.8380000000025</v>
      </c>
      <c r="S21" s="62">
        <f t="shared" si="15"/>
        <v>244.65281000000002</v>
      </c>
      <c r="T21" s="63">
        <f t="shared" si="16"/>
        <v>454.49254700000017</v>
      </c>
      <c r="U21" s="64" t="s">
        <v>208</v>
      </c>
      <c r="V21" s="65" t="s">
        <v>426</v>
      </c>
      <c r="W21" s="66" t="s">
        <v>181</v>
      </c>
      <c r="X21" s="67">
        <v>6500</v>
      </c>
      <c r="Y21" s="68">
        <v>4.54</v>
      </c>
      <c r="Z21" s="68">
        <v>8.3800000000000008</v>
      </c>
      <c r="AA21" s="62">
        <f t="shared" si="17"/>
        <v>295.10000000000002</v>
      </c>
      <c r="AB21" s="63">
        <f t="shared" si="18"/>
        <v>544.70000000000005</v>
      </c>
      <c r="AC21" s="215">
        <v>6500</v>
      </c>
      <c r="AD21" s="216">
        <v>4.54</v>
      </c>
      <c r="AE21" s="216">
        <v>8.3800000000000008</v>
      </c>
      <c r="AF21" s="62">
        <f t="shared" si="19"/>
        <v>295.10000000000002</v>
      </c>
      <c r="AG21" s="63">
        <f t="shared" si="20"/>
        <v>544.70000000000005</v>
      </c>
      <c r="AH21" s="89">
        <v>22500</v>
      </c>
      <c r="AI21" s="66">
        <v>5.4</v>
      </c>
      <c r="AJ21" s="66">
        <v>8.4</v>
      </c>
      <c r="AK21" s="62">
        <f t="shared" si="21"/>
        <v>1215.0000000000002</v>
      </c>
      <c r="AL21" s="72">
        <f t="shared" si="22"/>
        <v>1890.0000000000002</v>
      </c>
      <c r="AM21" s="73">
        <f t="shared" si="23"/>
        <v>188.83800000000338</v>
      </c>
      <c r="AN21" s="74">
        <f t="shared" si="30"/>
        <v>11.81481000000008</v>
      </c>
      <c r="AO21" s="74">
        <f t="shared" si="31"/>
        <v>6.644546999999875</v>
      </c>
      <c r="AP21" s="75">
        <f t="shared" si="24"/>
        <v>2.6402745602442653E-2</v>
      </c>
      <c r="AQ21" s="76">
        <f t="shared" si="25"/>
        <v>7667.3834081821415</v>
      </c>
      <c r="AR21" s="90">
        <f t="shared" si="32"/>
        <v>188.83800000000338</v>
      </c>
    </row>
    <row r="22" spans="1:49" x14ac:dyDescent="0.25">
      <c r="A22" t="str">
        <f t="shared" si="13"/>
        <v>46213M</v>
      </c>
      <c r="B22" s="51">
        <f t="shared" si="27"/>
        <v>46213</v>
      </c>
      <c r="C22" s="52" t="s">
        <v>87</v>
      </c>
      <c r="D22" s="91"/>
      <c r="E22" s="62"/>
      <c r="F22" s="62"/>
      <c r="G22" s="62">
        <f t="shared" si="28"/>
        <v>0</v>
      </c>
      <c r="H22" s="72">
        <f t="shared" si="29"/>
        <v>0</v>
      </c>
      <c r="I22" s="122"/>
      <c r="J22" s="119"/>
      <c r="K22" s="120"/>
      <c r="L22" s="121"/>
      <c r="M22" s="58"/>
      <c r="N22" s="58"/>
      <c r="O22" s="59"/>
      <c r="P22" s="56"/>
      <c r="Q22" s="60"/>
      <c r="R22" s="61">
        <f t="shared" si="14"/>
        <v>0</v>
      </c>
      <c r="S22" s="62">
        <f t="shared" si="15"/>
        <v>0</v>
      </c>
      <c r="T22" s="63">
        <f t="shared" si="16"/>
        <v>0</v>
      </c>
      <c r="U22" s="64"/>
      <c r="V22" s="65"/>
      <c r="W22" s="66"/>
      <c r="X22" s="67"/>
      <c r="Y22" s="68"/>
      <c r="Z22" s="68"/>
      <c r="AA22" s="62">
        <f t="shared" si="17"/>
        <v>0</v>
      </c>
      <c r="AB22" s="63">
        <f t="shared" si="18"/>
        <v>0</v>
      </c>
      <c r="AC22" s="69"/>
      <c r="AD22" s="70"/>
      <c r="AE22" s="70"/>
      <c r="AF22" s="62">
        <f t="shared" si="19"/>
        <v>0</v>
      </c>
      <c r="AG22" s="63">
        <f t="shared" si="20"/>
        <v>0</v>
      </c>
      <c r="AH22" s="89"/>
      <c r="AI22" s="66"/>
      <c r="AJ22" s="66"/>
      <c r="AK22" s="62">
        <f t="shared" ref="AK22:AK50" si="33">AH22*AI22%</f>
        <v>0</v>
      </c>
      <c r="AL22" s="72">
        <f t="shared" ref="AL22:AL65" si="34">AH22*AJ22%</f>
        <v>0</v>
      </c>
      <c r="AM22" s="73">
        <f t="shared" si="23"/>
        <v>0</v>
      </c>
      <c r="AN22" s="74">
        <f t="shared" si="30"/>
        <v>0</v>
      </c>
      <c r="AO22" s="74">
        <f t="shared" si="31"/>
        <v>0</v>
      </c>
      <c r="AP22" s="75" t="e">
        <f t="shared" si="24"/>
        <v>#DIV/0!</v>
      </c>
      <c r="AQ22" s="76">
        <f t="shared" si="25"/>
        <v>0</v>
      </c>
      <c r="AR22" s="90">
        <f>(D22+J22+O22)-(X22+AH22)</f>
        <v>0</v>
      </c>
    </row>
    <row r="23" spans="1:49" x14ac:dyDescent="0.25">
      <c r="A23" t="str">
        <f t="shared" si="13"/>
        <v>46213E</v>
      </c>
      <c r="B23" s="51">
        <f t="shared" si="27"/>
        <v>46213</v>
      </c>
      <c r="C23" s="52" t="s">
        <v>88</v>
      </c>
      <c r="D23" s="91"/>
      <c r="E23" s="62"/>
      <c r="F23" s="62"/>
      <c r="G23" s="62">
        <f t="shared" si="28"/>
        <v>0</v>
      </c>
      <c r="H23" s="72">
        <f t="shared" si="29"/>
        <v>0</v>
      </c>
      <c r="I23" s="122"/>
      <c r="J23" s="119"/>
      <c r="K23" s="120"/>
      <c r="L23" s="121"/>
      <c r="M23" s="58"/>
      <c r="N23" s="58"/>
      <c r="O23" s="59"/>
      <c r="P23" s="56"/>
      <c r="Q23" s="60"/>
      <c r="R23" s="61">
        <f t="shared" si="14"/>
        <v>0</v>
      </c>
      <c r="S23" s="62">
        <f t="shared" si="15"/>
        <v>0</v>
      </c>
      <c r="T23" s="63">
        <f t="shared" si="16"/>
        <v>0</v>
      </c>
      <c r="U23" s="64"/>
      <c r="V23" s="65"/>
      <c r="W23" s="66"/>
      <c r="X23" s="67"/>
      <c r="Y23" s="68"/>
      <c r="Z23" s="68"/>
      <c r="AA23" s="62">
        <f t="shared" si="17"/>
        <v>0</v>
      </c>
      <c r="AB23" s="63">
        <f t="shared" si="18"/>
        <v>0</v>
      </c>
      <c r="AC23" s="69"/>
      <c r="AD23" s="70"/>
      <c r="AE23" s="70"/>
      <c r="AF23" s="62">
        <f t="shared" si="19"/>
        <v>0</v>
      </c>
      <c r="AG23" s="63">
        <f t="shared" si="20"/>
        <v>0</v>
      </c>
      <c r="AH23" s="89"/>
      <c r="AI23" s="66"/>
      <c r="AJ23" s="66"/>
      <c r="AK23" s="62">
        <f t="shared" si="33"/>
        <v>0</v>
      </c>
      <c r="AL23" s="72">
        <f t="shared" si="34"/>
        <v>0</v>
      </c>
      <c r="AM23" s="73">
        <f t="shared" si="23"/>
        <v>0</v>
      </c>
      <c r="AN23" s="74">
        <f t="shared" si="30"/>
        <v>0</v>
      </c>
      <c r="AO23" s="74">
        <f t="shared" si="31"/>
        <v>0</v>
      </c>
      <c r="AP23" s="75" t="e">
        <f t="shared" si="24"/>
        <v>#DIV/0!</v>
      </c>
      <c r="AQ23" s="76">
        <f t="shared" si="25"/>
        <v>0</v>
      </c>
      <c r="AR23" s="90">
        <f t="shared" si="32"/>
        <v>0</v>
      </c>
    </row>
    <row r="24" spans="1:49" x14ac:dyDescent="0.25">
      <c r="A24" t="str">
        <f t="shared" si="13"/>
        <v>46214M</v>
      </c>
      <c r="B24" s="51">
        <f t="shared" si="27"/>
        <v>46214</v>
      </c>
      <c r="C24" s="52" t="s">
        <v>87</v>
      </c>
      <c r="D24" s="91"/>
      <c r="E24" s="62"/>
      <c r="F24" s="62"/>
      <c r="G24" s="62">
        <f t="shared" si="28"/>
        <v>0</v>
      </c>
      <c r="H24" s="72">
        <f t="shared" si="29"/>
        <v>0</v>
      </c>
      <c r="I24" s="122"/>
      <c r="J24" s="119"/>
      <c r="K24" s="120"/>
      <c r="L24" s="121"/>
      <c r="M24" s="58"/>
      <c r="N24" s="58"/>
      <c r="O24" s="59"/>
      <c r="P24" s="56"/>
      <c r="Q24" s="60"/>
      <c r="R24" s="61">
        <f t="shared" si="14"/>
        <v>0</v>
      </c>
      <c r="S24" s="62">
        <f t="shared" si="15"/>
        <v>0</v>
      </c>
      <c r="T24" s="63">
        <f t="shared" si="16"/>
        <v>0</v>
      </c>
      <c r="U24" s="64"/>
      <c r="V24" s="65"/>
      <c r="W24" s="66"/>
      <c r="X24" s="67"/>
      <c r="Y24" s="68"/>
      <c r="Z24" s="68"/>
      <c r="AA24" s="62">
        <f t="shared" si="17"/>
        <v>0</v>
      </c>
      <c r="AB24" s="63">
        <f t="shared" si="18"/>
        <v>0</v>
      </c>
      <c r="AC24" s="69"/>
      <c r="AD24" s="70"/>
      <c r="AE24" s="70"/>
      <c r="AF24" s="62">
        <f t="shared" si="19"/>
        <v>0</v>
      </c>
      <c r="AG24" s="63">
        <f t="shared" si="20"/>
        <v>0</v>
      </c>
      <c r="AH24" s="89"/>
      <c r="AI24" s="66"/>
      <c r="AJ24" s="66"/>
      <c r="AK24" s="62">
        <f t="shared" si="33"/>
        <v>0</v>
      </c>
      <c r="AL24" s="72">
        <f t="shared" si="34"/>
        <v>0</v>
      </c>
      <c r="AM24" s="73">
        <f t="shared" si="23"/>
        <v>0</v>
      </c>
      <c r="AN24" s="74">
        <f t="shared" si="30"/>
        <v>0</v>
      </c>
      <c r="AO24" s="74">
        <f t="shared" si="31"/>
        <v>0</v>
      </c>
      <c r="AP24" s="75" t="e">
        <f t="shared" si="24"/>
        <v>#DIV/0!</v>
      </c>
      <c r="AQ24" s="76">
        <f t="shared" si="25"/>
        <v>0</v>
      </c>
      <c r="AR24" s="90">
        <f t="shared" ref="AR24:AR30" si="35">(D24+J24+O24)-(X24+AH24)</f>
        <v>0</v>
      </c>
    </row>
    <row r="25" spans="1:49" x14ac:dyDescent="0.25">
      <c r="A25" t="str">
        <f t="shared" si="13"/>
        <v>46214E</v>
      </c>
      <c r="B25" s="51">
        <f t="shared" si="27"/>
        <v>46214</v>
      </c>
      <c r="C25" s="52" t="s">
        <v>88</v>
      </c>
      <c r="D25" s="91"/>
      <c r="E25" s="62"/>
      <c r="F25" s="62"/>
      <c r="G25" s="62">
        <f t="shared" si="28"/>
        <v>0</v>
      </c>
      <c r="H25" s="72">
        <f t="shared" si="29"/>
        <v>0</v>
      </c>
      <c r="I25" s="122"/>
      <c r="J25" s="119"/>
      <c r="K25" s="120"/>
      <c r="L25" s="121"/>
      <c r="M25" s="58"/>
      <c r="N25" s="58"/>
      <c r="O25" s="59"/>
      <c r="P25" s="56"/>
      <c r="Q25" s="60"/>
      <c r="R25" s="61">
        <f t="shared" si="14"/>
        <v>0</v>
      </c>
      <c r="S25" s="62">
        <f t="shared" si="15"/>
        <v>0</v>
      </c>
      <c r="T25" s="63">
        <f t="shared" si="16"/>
        <v>0</v>
      </c>
      <c r="U25" s="64"/>
      <c r="V25" s="65"/>
      <c r="W25" s="66"/>
      <c r="X25" s="67"/>
      <c r="Y25" s="68"/>
      <c r="Z25" s="68"/>
      <c r="AA25" s="62">
        <f t="shared" si="17"/>
        <v>0</v>
      </c>
      <c r="AB25" s="63">
        <f t="shared" si="18"/>
        <v>0</v>
      </c>
      <c r="AC25" s="69"/>
      <c r="AD25" s="70"/>
      <c r="AE25" s="70"/>
      <c r="AF25" s="62">
        <f t="shared" si="19"/>
        <v>0</v>
      </c>
      <c r="AG25" s="63">
        <f t="shared" si="20"/>
        <v>0</v>
      </c>
      <c r="AH25" s="89"/>
      <c r="AI25" s="66"/>
      <c r="AJ25" s="66"/>
      <c r="AK25" s="62">
        <f t="shared" si="33"/>
        <v>0</v>
      </c>
      <c r="AL25" s="72">
        <f t="shared" si="34"/>
        <v>0</v>
      </c>
      <c r="AM25" s="73">
        <f t="shared" si="23"/>
        <v>0</v>
      </c>
      <c r="AN25" s="74">
        <f t="shared" si="30"/>
        <v>0</v>
      </c>
      <c r="AO25" s="74">
        <f t="shared" si="31"/>
        <v>0</v>
      </c>
      <c r="AP25" s="75" t="e">
        <f t="shared" si="24"/>
        <v>#DIV/0!</v>
      </c>
      <c r="AQ25" s="76">
        <f t="shared" si="25"/>
        <v>0</v>
      </c>
      <c r="AR25" s="90">
        <f t="shared" si="35"/>
        <v>0</v>
      </c>
    </row>
    <row r="26" spans="1:49" x14ac:dyDescent="0.25">
      <c r="A26" t="str">
        <f t="shared" si="13"/>
        <v>46215M</v>
      </c>
      <c r="B26" s="51">
        <f t="shared" si="27"/>
        <v>46215</v>
      </c>
      <c r="C26" s="52" t="s">
        <v>87</v>
      </c>
      <c r="D26" s="91"/>
      <c r="E26" s="62"/>
      <c r="F26" s="62"/>
      <c r="G26" s="62">
        <f t="shared" si="28"/>
        <v>0</v>
      </c>
      <c r="H26" s="72">
        <f t="shared" si="29"/>
        <v>0</v>
      </c>
      <c r="I26" s="122"/>
      <c r="J26" s="119"/>
      <c r="K26" s="120"/>
      <c r="L26" s="121"/>
      <c r="M26" s="58"/>
      <c r="N26" s="58"/>
      <c r="O26" s="59"/>
      <c r="P26" s="56"/>
      <c r="Q26" s="60"/>
      <c r="R26" s="61">
        <f t="shared" si="14"/>
        <v>0</v>
      </c>
      <c r="S26" s="62">
        <f t="shared" si="15"/>
        <v>0</v>
      </c>
      <c r="T26" s="63">
        <f t="shared" si="16"/>
        <v>0</v>
      </c>
      <c r="U26" s="64"/>
      <c r="V26" s="65"/>
      <c r="W26" s="66"/>
      <c r="X26" s="67"/>
      <c r="Y26" s="68"/>
      <c r="Z26" s="68"/>
      <c r="AA26" s="62">
        <f t="shared" si="17"/>
        <v>0</v>
      </c>
      <c r="AB26" s="63">
        <f t="shared" si="18"/>
        <v>0</v>
      </c>
      <c r="AC26" s="69"/>
      <c r="AD26" s="70"/>
      <c r="AE26" s="70"/>
      <c r="AF26" s="62">
        <f t="shared" si="19"/>
        <v>0</v>
      </c>
      <c r="AG26" s="63">
        <f t="shared" si="20"/>
        <v>0</v>
      </c>
      <c r="AH26" s="89"/>
      <c r="AI26" s="66"/>
      <c r="AJ26" s="66"/>
      <c r="AK26" s="62">
        <f t="shared" si="33"/>
        <v>0</v>
      </c>
      <c r="AL26" s="72">
        <f t="shared" si="34"/>
        <v>0</v>
      </c>
      <c r="AM26" s="73">
        <f t="shared" si="23"/>
        <v>0</v>
      </c>
      <c r="AN26" s="74">
        <f t="shared" si="30"/>
        <v>0</v>
      </c>
      <c r="AO26" s="74">
        <f t="shared" si="31"/>
        <v>0</v>
      </c>
      <c r="AP26" s="75" t="e">
        <f t="shared" si="24"/>
        <v>#DIV/0!</v>
      </c>
      <c r="AQ26" s="76">
        <f t="shared" si="25"/>
        <v>0</v>
      </c>
      <c r="AR26" s="90">
        <f t="shared" si="35"/>
        <v>0</v>
      </c>
    </row>
    <row r="27" spans="1:49" x14ac:dyDescent="0.25">
      <c r="A27" t="str">
        <f t="shared" si="13"/>
        <v>46215E</v>
      </c>
      <c r="B27" s="51">
        <f t="shared" si="27"/>
        <v>46215</v>
      </c>
      <c r="C27" s="52" t="s">
        <v>88</v>
      </c>
      <c r="D27" s="91"/>
      <c r="E27" s="62"/>
      <c r="F27" s="62"/>
      <c r="G27" s="62">
        <f t="shared" si="28"/>
        <v>0</v>
      </c>
      <c r="H27" s="72">
        <f t="shared" si="29"/>
        <v>0</v>
      </c>
      <c r="I27" s="122"/>
      <c r="J27" s="119"/>
      <c r="K27" s="120"/>
      <c r="L27" s="121"/>
      <c r="M27" s="58"/>
      <c r="N27" s="58"/>
      <c r="O27" s="59"/>
      <c r="P27" s="56"/>
      <c r="Q27" s="60"/>
      <c r="R27" s="61">
        <f t="shared" si="14"/>
        <v>0</v>
      </c>
      <c r="S27" s="62">
        <f t="shared" si="15"/>
        <v>0</v>
      </c>
      <c r="T27" s="63">
        <f t="shared" si="16"/>
        <v>0</v>
      </c>
      <c r="U27" s="64"/>
      <c r="V27" s="65"/>
      <c r="W27" s="66"/>
      <c r="X27" s="67"/>
      <c r="Y27" s="68"/>
      <c r="Z27" s="68"/>
      <c r="AA27" s="62">
        <f t="shared" si="17"/>
        <v>0</v>
      </c>
      <c r="AB27" s="63">
        <f t="shared" si="18"/>
        <v>0</v>
      </c>
      <c r="AC27" s="69"/>
      <c r="AD27" s="70"/>
      <c r="AE27" s="70"/>
      <c r="AF27" s="62">
        <f t="shared" si="19"/>
        <v>0</v>
      </c>
      <c r="AG27" s="63">
        <f t="shared" si="20"/>
        <v>0</v>
      </c>
      <c r="AH27" s="89"/>
      <c r="AI27" s="66"/>
      <c r="AJ27" s="66"/>
      <c r="AK27" s="62">
        <f t="shared" si="33"/>
        <v>0</v>
      </c>
      <c r="AL27" s="72">
        <f t="shared" si="34"/>
        <v>0</v>
      </c>
      <c r="AM27" s="73">
        <f t="shared" si="23"/>
        <v>0</v>
      </c>
      <c r="AN27" s="74">
        <f t="shared" si="30"/>
        <v>0</v>
      </c>
      <c r="AO27" s="74">
        <f t="shared" si="31"/>
        <v>0</v>
      </c>
      <c r="AP27" s="75" t="e">
        <f t="shared" si="24"/>
        <v>#DIV/0!</v>
      </c>
      <c r="AQ27" s="76">
        <f t="shared" si="25"/>
        <v>0</v>
      </c>
      <c r="AR27" s="90">
        <f t="shared" si="35"/>
        <v>0</v>
      </c>
      <c r="AS27" s="90">
        <f>SUM(J14:J27)</f>
        <v>33204.625000000007</v>
      </c>
      <c r="AT27" s="83">
        <f>SUM(AM14:AM27)</f>
        <v>192.62500000000728</v>
      </c>
      <c r="AU27" s="83">
        <f>SUM(AN14:AN27)</f>
        <v>13.496678999999858</v>
      </c>
      <c r="AV27" s="83">
        <f>SUM(AO14:AO27)</f>
        <v>-5.4446859999995922</v>
      </c>
      <c r="AW27" s="83">
        <f>-SUM(AQ14:AQ27)</f>
        <v>-4854.9585425368214</v>
      </c>
    </row>
    <row r="28" spans="1:49" x14ac:dyDescent="0.25">
      <c r="A28" t="str">
        <f t="shared" si="13"/>
        <v>46216M</v>
      </c>
      <c r="B28" s="51">
        <f t="shared" si="27"/>
        <v>46216</v>
      </c>
      <c r="C28" s="52" t="s">
        <v>87</v>
      </c>
      <c r="D28" s="91"/>
      <c r="E28" s="62"/>
      <c r="F28" s="62"/>
      <c r="G28" s="62">
        <f t="shared" si="28"/>
        <v>0</v>
      </c>
      <c r="H28" s="72">
        <f t="shared" si="29"/>
        <v>0</v>
      </c>
      <c r="I28" s="122"/>
      <c r="J28" s="119"/>
      <c r="K28" s="120"/>
      <c r="L28" s="121"/>
      <c r="M28" s="58"/>
      <c r="N28" s="58"/>
      <c r="O28" s="59"/>
      <c r="P28" s="56"/>
      <c r="Q28" s="60"/>
      <c r="R28" s="61">
        <f t="shared" si="14"/>
        <v>0</v>
      </c>
      <c r="S28" s="62">
        <f t="shared" si="15"/>
        <v>0</v>
      </c>
      <c r="T28" s="63">
        <f t="shared" si="16"/>
        <v>0</v>
      </c>
      <c r="U28" s="64"/>
      <c r="V28" s="65"/>
      <c r="W28" s="66"/>
      <c r="X28" s="67"/>
      <c r="Y28" s="68"/>
      <c r="Z28" s="68"/>
      <c r="AA28" s="62">
        <f t="shared" si="17"/>
        <v>0</v>
      </c>
      <c r="AB28" s="63">
        <f t="shared" si="18"/>
        <v>0</v>
      </c>
      <c r="AC28" s="69"/>
      <c r="AD28" s="70"/>
      <c r="AE28" s="70"/>
      <c r="AF28" s="62">
        <f t="shared" si="19"/>
        <v>0</v>
      </c>
      <c r="AG28" s="63">
        <f t="shared" si="20"/>
        <v>0</v>
      </c>
      <c r="AH28" s="89"/>
      <c r="AI28" s="66"/>
      <c r="AJ28" s="66"/>
      <c r="AK28" s="62">
        <f t="shared" si="33"/>
        <v>0</v>
      </c>
      <c r="AL28" s="72">
        <f t="shared" si="34"/>
        <v>0</v>
      </c>
      <c r="AM28" s="73">
        <f t="shared" si="23"/>
        <v>0</v>
      </c>
      <c r="AN28" s="74">
        <f t="shared" si="30"/>
        <v>0</v>
      </c>
      <c r="AO28" s="74">
        <f t="shared" si="31"/>
        <v>0</v>
      </c>
      <c r="AP28" s="75" t="e">
        <f t="shared" si="24"/>
        <v>#DIV/0!</v>
      </c>
      <c r="AQ28" s="76">
        <f t="shared" si="25"/>
        <v>0</v>
      </c>
      <c r="AR28" s="90">
        <f t="shared" si="35"/>
        <v>0</v>
      </c>
    </row>
    <row r="29" spans="1:49" x14ac:dyDescent="0.25">
      <c r="A29" t="str">
        <f t="shared" si="13"/>
        <v>46216E</v>
      </c>
      <c r="B29" s="51">
        <f t="shared" si="27"/>
        <v>46216</v>
      </c>
      <c r="C29" s="52" t="s">
        <v>88</v>
      </c>
      <c r="D29" s="91"/>
      <c r="E29" s="62"/>
      <c r="F29" s="62"/>
      <c r="G29" s="62">
        <f t="shared" si="28"/>
        <v>0</v>
      </c>
      <c r="H29" s="72">
        <f t="shared" si="29"/>
        <v>0</v>
      </c>
      <c r="I29" s="122"/>
      <c r="J29" s="119"/>
      <c r="K29" s="120"/>
      <c r="L29" s="121"/>
      <c r="M29" s="58"/>
      <c r="N29" s="58"/>
      <c r="O29" s="59"/>
      <c r="P29" s="56"/>
      <c r="Q29" s="60"/>
      <c r="R29" s="61">
        <f t="shared" si="14"/>
        <v>0</v>
      </c>
      <c r="S29" s="62">
        <f t="shared" si="15"/>
        <v>0</v>
      </c>
      <c r="T29" s="63">
        <f t="shared" si="16"/>
        <v>0</v>
      </c>
      <c r="U29" s="64"/>
      <c r="V29" s="65"/>
      <c r="W29" s="66"/>
      <c r="X29" s="67"/>
      <c r="Y29" s="68"/>
      <c r="Z29" s="68"/>
      <c r="AA29" s="62">
        <f t="shared" si="17"/>
        <v>0</v>
      </c>
      <c r="AB29" s="63">
        <f t="shared" si="18"/>
        <v>0</v>
      </c>
      <c r="AC29" s="69"/>
      <c r="AD29" s="70"/>
      <c r="AE29" s="70"/>
      <c r="AF29" s="62">
        <f t="shared" si="19"/>
        <v>0</v>
      </c>
      <c r="AG29" s="63">
        <f t="shared" si="20"/>
        <v>0</v>
      </c>
      <c r="AH29" s="89"/>
      <c r="AI29" s="66"/>
      <c r="AJ29" s="66"/>
      <c r="AK29" s="62">
        <f t="shared" si="33"/>
        <v>0</v>
      </c>
      <c r="AL29" s="72">
        <f t="shared" si="34"/>
        <v>0</v>
      </c>
      <c r="AM29" s="73">
        <f t="shared" ref="AM29" si="36">+D29+R29-AC29-AH29</f>
        <v>0</v>
      </c>
      <c r="AN29" s="74">
        <f t="shared" ref="AN29" si="37">+G29+S29-AF29-AK29</f>
        <v>0</v>
      </c>
      <c r="AO29" s="74">
        <f t="shared" ref="AO29" si="38">+H29+T29-AG29-AL29</f>
        <v>0</v>
      </c>
      <c r="AP29" s="75" t="e">
        <f t="shared" ref="AP29" si="39">(AN29+AO29)/(S29+T29)</f>
        <v>#DIV/0!</v>
      </c>
      <c r="AQ29" s="76">
        <f t="shared" ref="AQ29" si="40">($AP$1*AN29+$AQ$1*AO29)</f>
        <v>0</v>
      </c>
      <c r="AR29" s="90">
        <f t="shared" si="35"/>
        <v>0</v>
      </c>
    </row>
    <row r="30" spans="1:49" x14ac:dyDescent="0.25">
      <c r="A30" t="str">
        <f t="shared" si="13"/>
        <v>46217M</v>
      </c>
      <c r="B30" s="51">
        <f t="shared" si="27"/>
        <v>46217</v>
      </c>
      <c r="C30" s="52" t="s">
        <v>87</v>
      </c>
      <c r="D30" s="91"/>
      <c r="E30" s="62"/>
      <c r="F30" s="62"/>
      <c r="G30" s="62">
        <f t="shared" si="28"/>
        <v>0</v>
      </c>
      <c r="H30" s="72">
        <f t="shared" si="29"/>
        <v>0</v>
      </c>
      <c r="I30" s="122"/>
      <c r="J30" s="119"/>
      <c r="K30" s="120"/>
      <c r="L30" s="121"/>
      <c r="M30" s="58"/>
      <c r="N30" s="58"/>
      <c r="O30" s="59"/>
      <c r="P30" s="56"/>
      <c r="Q30" s="60"/>
      <c r="R30" s="61">
        <f t="shared" si="14"/>
        <v>0</v>
      </c>
      <c r="S30" s="62">
        <f t="shared" si="15"/>
        <v>0</v>
      </c>
      <c r="T30" s="63">
        <f t="shared" si="16"/>
        <v>0</v>
      </c>
      <c r="U30" s="64"/>
      <c r="V30" s="65"/>
      <c r="W30" s="66"/>
      <c r="X30" s="67"/>
      <c r="Y30" s="68"/>
      <c r="Z30" s="68"/>
      <c r="AA30" s="62">
        <f t="shared" si="17"/>
        <v>0</v>
      </c>
      <c r="AB30" s="63">
        <f t="shared" si="18"/>
        <v>0</v>
      </c>
      <c r="AC30" s="69"/>
      <c r="AD30" s="70"/>
      <c r="AE30" s="70"/>
      <c r="AF30" s="62">
        <f t="shared" si="19"/>
        <v>0</v>
      </c>
      <c r="AG30" s="63">
        <f t="shared" si="20"/>
        <v>0</v>
      </c>
      <c r="AH30" s="89"/>
      <c r="AI30" s="66"/>
      <c r="AJ30" s="66"/>
      <c r="AK30" s="62">
        <f t="shared" si="33"/>
        <v>0</v>
      </c>
      <c r="AL30" s="72">
        <f t="shared" si="34"/>
        <v>0</v>
      </c>
      <c r="AM30" s="73">
        <f t="shared" si="23"/>
        <v>0</v>
      </c>
      <c r="AN30" s="74">
        <f t="shared" si="30"/>
        <v>0</v>
      </c>
      <c r="AO30" s="74">
        <f t="shared" si="31"/>
        <v>0</v>
      </c>
      <c r="AP30" s="75" t="e">
        <f t="shared" si="24"/>
        <v>#DIV/0!</v>
      </c>
      <c r="AQ30" s="76">
        <f t="shared" si="25"/>
        <v>0</v>
      </c>
      <c r="AR30" s="90">
        <f t="shared" si="35"/>
        <v>0</v>
      </c>
    </row>
    <row r="31" spans="1:49" x14ac:dyDescent="0.25">
      <c r="A31" t="str">
        <f t="shared" si="13"/>
        <v>46217E</v>
      </c>
      <c r="B31" s="51">
        <f t="shared" si="27"/>
        <v>46217</v>
      </c>
      <c r="C31" s="52" t="s">
        <v>88</v>
      </c>
      <c r="D31" s="91"/>
      <c r="E31" s="62"/>
      <c r="F31" s="62"/>
      <c r="G31" s="62">
        <f t="shared" si="28"/>
        <v>0</v>
      </c>
      <c r="H31" s="72">
        <f t="shared" si="29"/>
        <v>0</v>
      </c>
      <c r="I31" s="122"/>
      <c r="J31" s="119"/>
      <c r="K31" s="120"/>
      <c r="L31" s="121"/>
      <c r="M31" s="58"/>
      <c r="N31" s="58"/>
      <c r="O31" s="59"/>
      <c r="P31" s="56"/>
      <c r="Q31" s="60"/>
      <c r="R31" s="61">
        <f t="shared" si="14"/>
        <v>0</v>
      </c>
      <c r="S31" s="62">
        <f t="shared" si="15"/>
        <v>0</v>
      </c>
      <c r="T31" s="63">
        <f t="shared" si="16"/>
        <v>0</v>
      </c>
      <c r="U31" s="64"/>
      <c r="V31" s="65"/>
      <c r="W31" s="66"/>
      <c r="X31" s="67"/>
      <c r="Y31" s="68"/>
      <c r="Z31" s="68"/>
      <c r="AA31" s="62">
        <f t="shared" si="17"/>
        <v>0</v>
      </c>
      <c r="AB31" s="63">
        <f t="shared" si="18"/>
        <v>0</v>
      </c>
      <c r="AC31" s="69"/>
      <c r="AD31" s="70"/>
      <c r="AE31" s="70"/>
      <c r="AF31" s="62">
        <f t="shared" si="19"/>
        <v>0</v>
      </c>
      <c r="AG31" s="63">
        <f t="shared" si="20"/>
        <v>0</v>
      </c>
      <c r="AH31" s="89"/>
      <c r="AI31" s="66"/>
      <c r="AJ31" s="66"/>
      <c r="AK31" s="62">
        <f t="shared" si="33"/>
        <v>0</v>
      </c>
      <c r="AL31" s="72">
        <f t="shared" si="34"/>
        <v>0</v>
      </c>
      <c r="AM31" s="73">
        <f t="shared" si="23"/>
        <v>0</v>
      </c>
      <c r="AN31" s="74">
        <f t="shared" si="30"/>
        <v>0</v>
      </c>
      <c r="AO31" s="74">
        <f t="shared" si="31"/>
        <v>0</v>
      </c>
      <c r="AP31" s="75" t="e">
        <f t="shared" si="24"/>
        <v>#DIV/0!</v>
      </c>
      <c r="AQ31" s="76">
        <f t="shared" si="25"/>
        <v>0</v>
      </c>
      <c r="AR31" s="90">
        <f>(D31+J31+O31)-(X31+AH31)</f>
        <v>0</v>
      </c>
    </row>
    <row r="32" spans="1:49" x14ac:dyDescent="0.25">
      <c r="A32" t="str">
        <f t="shared" si="13"/>
        <v>46218M</v>
      </c>
      <c r="B32" s="51">
        <f t="shared" si="27"/>
        <v>46218</v>
      </c>
      <c r="C32" s="52" t="s">
        <v>87</v>
      </c>
      <c r="D32" s="91"/>
      <c r="E32" s="62"/>
      <c r="F32" s="62"/>
      <c r="G32" s="62">
        <f t="shared" si="28"/>
        <v>0</v>
      </c>
      <c r="H32" s="72">
        <f t="shared" si="29"/>
        <v>0</v>
      </c>
      <c r="I32" s="122"/>
      <c r="J32" s="119"/>
      <c r="K32" s="120"/>
      <c r="L32" s="121"/>
      <c r="M32" s="58"/>
      <c r="N32" s="58"/>
      <c r="O32" s="59"/>
      <c r="P32" s="56"/>
      <c r="Q32" s="60"/>
      <c r="R32" s="61">
        <f t="shared" si="14"/>
        <v>0</v>
      </c>
      <c r="S32" s="62">
        <f t="shared" si="15"/>
        <v>0</v>
      </c>
      <c r="T32" s="63">
        <f t="shared" si="16"/>
        <v>0</v>
      </c>
      <c r="U32" s="64"/>
      <c r="V32" s="65"/>
      <c r="W32" s="66"/>
      <c r="X32" s="67"/>
      <c r="Y32" s="68"/>
      <c r="Z32" s="68"/>
      <c r="AA32" s="62">
        <f t="shared" si="17"/>
        <v>0</v>
      </c>
      <c r="AB32" s="63">
        <f t="shared" si="18"/>
        <v>0</v>
      </c>
      <c r="AC32" s="69"/>
      <c r="AD32" s="70"/>
      <c r="AE32" s="70"/>
      <c r="AF32" s="62">
        <f t="shared" si="19"/>
        <v>0</v>
      </c>
      <c r="AG32" s="63">
        <f t="shared" si="20"/>
        <v>0</v>
      </c>
      <c r="AH32" s="89"/>
      <c r="AI32" s="66"/>
      <c r="AJ32" s="66"/>
      <c r="AK32" s="62">
        <f t="shared" si="33"/>
        <v>0</v>
      </c>
      <c r="AL32" s="72">
        <f t="shared" si="34"/>
        <v>0</v>
      </c>
      <c r="AM32" s="73">
        <f t="shared" si="23"/>
        <v>0</v>
      </c>
      <c r="AN32" s="74">
        <f t="shared" si="30"/>
        <v>0</v>
      </c>
      <c r="AO32" s="74">
        <f t="shared" si="31"/>
        <v>0</v>
      </c>
      <c r="AP32" s="75" t="e">
        <f t="shared" si="24"/>
        <v>#DIV/0!</v>
      </c>
      <c r="AQ32" s="76">
        <f t="shared" si="25"/>
        <v>0</v>
      </c>
      <c r="AR32" s="90">
        <f t="shared" si="32"/>
        <v>0</v>
      </c>
    </row>
    <row r="33" spans="1:49" x14ac:dyDescent="0.25">
      <c r="A33" t="str">
        <f t="shared" si="13"/>
        <v>46218E</v>
      </c>
      <c r="B33" s="51">
        <f t="shared" si="27"/>
        <v>46218</v>
      </c>
      <c r="C33" s="52" t="s">
        <v>88</v>
      </c>
      <c r="D33" s="91"/>
      <c r="E33" s="62"/>
      <c r="F33" s="62"/>
      <c r="G33" s="62">
        <f t="shared" si="28"/>
        <v>0</v>
      </c>
      <c r="H33" s="72">
        <f t="shared" si="29"/>
        <v>0</v>
      </c>
      <c r="I33" s="122"/>
      <c r="J33" s="119"/>
      <c r="K33" s="120"/>
      <c r="L33" s="121"/>
      <c r="M33" s="58"/>
      <c r="N33" s="58"/>
      <c r="O33" s="59"/>
      <c r="P33" s="56"/>
      <c r="Q33" s="60"/>
      <c r="R33" s="61">
        <f t="shared" si="14"/>
        <v>0</v>
      </c>
      <c r="S33" s="62">
        <f t="shared" si="15"/>
        <v>0</v>
      </c>
      <c r="T33" s="63">
        <f t="shared" si="16"/>
        <v>0</v>
      </c>
      <c r="U33" s="64"/>
      <c r="V33" s="65"/>
      <c r="W33" s="66"/>
      <c r="X33" s="67"/>
      <c r="Y33" s="68"/>
      <c r="Z33" s="68"/>
      <c r="AA33" s="62">
        <f t="shared" si="17"/>
        <v>0</v>
      </c>
      <c r="AB33" s="63">
        <f t="shared" si="18"/>
        <v>0</v>
      </c>
      <c r="AC33" s="69"/>
      <c r="AD33" s="70"/>
      <c r="AE33" s="70"/>
      <c r="AF33" s="62">
        <f t="shared" si="19"/>
        <v>0</v>
      </c>
      <c r="AG33" s="63">
        <f t="shared" si="20"/>
        <v>0</v>
      </c>
      <c r="AH33" s="89"/>
      <c r="AI33" s="66"/>
      <c r="AJ33" s="66"/>
      <c r="AK33" s="62">
        <f t="shared" si="33"/>
        <v>0</v>
      </c>
      <c r="AL33" s="72">
        <f t="shared" si="34"/>
        <v>0</v>
      </c>
      <c r="AM33" s="73">
        <f t="shared" si="23"/>
        <v>0</v>
      </c>
      <c r="AN33" s="74">
        <f t="shared" si="30"/>
        <v>0</v>
      </c>
      <c r="AO33" s="74">
        <f t="shared" si="31"/>
        <v>0</v>
      </c>
      <c r="AP33" s="75" t="e">
        <f t="shared" si="24"/>
        <v>#DIV/0!</v>
      </c>
      <c r="AQ33" s="76">
        <f t="shared" si="25"/>
        <v>0</v>
      </c>
      <c r="AR33" s="90">
        <f t="shared" si="32"/>
        <v>0</v>
      </c>
    </row>
    <row r="34" spans="1:49" x14ac:dyDescent="0.25">
      <c r="A34" t="str">
        <f t="shared" si="13"/>
        <v>46219M</v>
      </c>
      <c r="B34" s="51">
        <f t="shared" si="27"/>
        <v>46219</v>
      </c>
      <c r="C34" s="52" t="s">
        <v>87</v>
      </c>
      <c r="D34" s="91"/>
      <c r="E34" s="62"/>
      <c r="F34" s="62"/>
      <c r="G34" s="62">
        <f t="shared" si="28"/>
        <v>0</v>
      </c>
      <c r="H34" s="72">
        <f t="shared" si="29"/>
        <v>0</v>
      </c>
      <c r="I34" s="122"/>
      <c r="J34" s="119"/>
      <c r="K34" s="120"/>
      <c r="L34" s="121"/>
      <c r="M34" s="58"/>
      <c r="N34" s="58"/>
      <c r="O34" s="59"/>
      <c r="P34" s="56"/>
      <c r="Q34" s="60"/>
      <c r="R34" s="61">
        <f t="shared" si="14"/>
        <v>0</v>
      </c>
      <c r="S34" s="62">
        <f t="shared" si="15"/>
        <v>0</v>
      </c>
      <c r="T34" s="63">
        <f t="shared" si="16"/>
        <v>0</v>
      </c>
      <c r="U34" s="64"/>
      <c r="V34" s="65"/>
      <c r="W34" s="66"/>
      <c r="X34" s="67"/>
      <c r="Y34" s="68"/>
      <c r="Z34" s="68"/>
      <c r="AA34" s="62">
        <f t="shared" si="17"/>
        <v>0</v>
      </c>
      <c r="AB34" s="63">
        <f t="shared" si="18"/>
        <v>0</v>
      </c>
      <c r="AC34" s="69"/>
      <c r="AD34" s="70"/>
      <c r="AE34" s="70"/>
      <c r="AF34" s="62">
        <f t="shared" si="19"/>
        <v>0</v>
      </c>
      <c r="AG34" s="63">
        <f t="shared" si="20"/>
        <v>0</v>
      </c>
      <c r="AH34" s="89"/>
      <c r="AI34" s="66"/>
      <c r="AJ34" s="66"/>
      <c r="AK34" s="62">
        <f t="shared" si="33"/>
        <v>0</v>
      </c>
      <c r="AL34" s="72">
        <f t="shared" si="34"/>
        <v>0</v>
      </c>
      <c r="AM34" s="73">
        <f t="shared" si="23"/>
        <v>0</v>
      </c>
      <c r="AN34" s="74">
        <f t="shared" si="30"/>
        <v>0</v>
      </c>
      <c r="AO34" s="74">
        <f t="shared" si="31"/>
        <v>0</v>
      </c>
      <c r="AP34" s="75" t="e">
        <f t="shared" si="24"/>
        <v>#DIV/0!</v>
      </c>
      <c r="AQ34" s="76">
        <f t="shared" si="25"/>
        <v>0</v>
      </c>
      <c r="AR34" s="90">
        <f t="shared" si="32"/>
        <v>0</v>
      </c>
    </row>
    <row r="35" spans="1:49" x14ac:dyDescent="0.25">
      <c r="A35" t="str">
        <f t="shared" si="13"/>
        <v>46219E</v>
      </c>
      <c r="B35" s="51">
        <f t="shared" si="27"/>
        <v>46219</v>
      </c>
      <c r="C35" s="52" t="s">
        <v>88</v>
      </c>
      <c r="D35" s="91"/>
      <c r="E35" s="62"/>
      <c r="F35" s="62"/>
      <c r="G35" s="62">
        <f t="shared" si="28"/>
        <v>0</v>
      </c>
      <c r="H35" s="72">
        <f t="shared" si="29"/>
        <v>0</v>
      </c>
      <c r="I35" s="122"/>
      <c r="J35" s="119"/>
      <c r="K35" s="120"/>
      <c r="L35" s="121"/>
      <c r="M35" s="58"/>
      <c r="N35" s="58"/>
      <c r="O35" s="59"/>
      <c r="P35" s="56"/>
      <c r="Q35" s="60"/>
      <c r="R35" s="61">
        <f t="shared" si="14"/>
        <v>0</v>
      </c>
      <c r="S35" s="62">
        <f t="shared" si="15"/>
        <v>0</v>
      </c>
      <c r="T35" s="63">
        <f t="shared" si="16"/>
        <v>0</v>
      </c>
      <c r="U35" s="64"/>
      <c r="V35" s="65"/>
      <c r="W35" s="66"/>
      <c r="X35" s="67"/>
      <c r="Y35" s="68"/>
      <c r="Z35" s="68"/>
      <c r="AA35" s="62">
        <f t="shared" si="17"/>
        <v>0</v>
      </c>
      <c r="AB35" s="63">
        <f t="shared" si="18"/>
        <v>0</v>
      </c>
      <c r="AC35" s="69"/>
      <c r="AD35" s="70"/>
      <c r="AE35" s="70"/>
      <c r="AF35" s="62">
        <f t="shared" si="19"/>
        <v>0</v>
      </c>
      <c r="AG35" s="63">
        <f t="shared" si="20"/>
        <v>0</v>
      </c>
      <c r="AH35" s="89"/>
      <c r="AI35" s="66"/>
      <c r="AJ35" s="66"/>
      <c r="AK35" s="62">
        <f t="shared" si="33"/>
        <v>0</v>
      </c>
      <c r="AL35" s="72">
        <f t="shared" si="34"/>
        <v>0</v>
      </c>
      <c r="AM35" s="73">
        <f t="shared" si="23"/>
        <v>0</v>
      </c>
      <c r="AN35" s="74">
        <f t="shared" si="30"/>
        <v>0</v>
      </c>
      <c r="AO35" s="74">
        <f t="shared" si="31"/>
        <v>0</v>
      </c>
      <c r="AP35" s="75" t="e">
        <f t="shared" si="24"/>
        <v>#DIV/0!</v>
      </c>
      <c r="AQ35" s="76">
        <f t="shared" si="25"/>
        <v>0</v>
      </c>
      <c r="AR35" s="90">
        <f t="shared" ref="AR35" si="41">(D35+J35+O35)-(X35+AH35)</f>
        <v>0</v>
      </c>
    </row>
    <row r="36" spans="1:49" x14ac:dyDescent="0.25">
      <c r="A36" t="str">
        <f t="shared" si="13"/>
        <v>46220M</v>
      </c>
      <c r="B36" s="51">
        <f t="shared" si="27"/>
        <v>46220</v>
      </c>
      <c r="C36" s="52" t="s">
        <v>87</v>
      </c>
      <c r="D36" s="91"/>
      <c r="E36" s="62"/>
      <c r="F36" s="62"/>
      <c r="G36" s="62">
        <f t="shared" si="28"/>
        <v>0</v>
      </c>
      <c r="H36" s="72">
        <f t="shared" si="29"/>
        <v>0</v>
      </c>
      <c r="I36" s="122"/>
      <c r="J36" s="119"/>
      <c r="K36" s="120"/>
      <c r="L36" s="121"/>
      <c r="M36" s="58"/>
      <c r="N36" s="58"/>
      <c r="O36" s="59"/>
      <c r="P36" s="56"/>
      <c r="Q36" s="60"/>
      <c r="R36" s="61">
        <f t="shared" si="14"/>
        <v>0</v>
      </c>
      <c r="S36" s="62">
        <f t="shared" si="15"/>
        <v>0</v>
      </c>
      <c r="T36" s="63">
        <f t="shared" si="16"/>
        <v>0</v>
      </c>
      <c r="U36" s="64"/>
      <c r="V36" s="85"/>
      <c r="W36" s="66"/>
      <c r="X36" s="67"/>
      <c r="Y36" s="68"/>
      <c r="Z36" s="68"/>
      <c r="AA36" s="62">
        <f t="shared" si="17"/>
        <v>0</v>
      </c>
      <c r="AB36" s="63">
        <f t="shared" si="18"/>
        <v>0</v>
      </c>
      <c r="AC36" s="69"/>
      <c r="AD36" s="70"/>
      <c r="AE36" s="70"/>
      <c r="AF36" s="62">
        <f t="shared" si="19"/>
        <v>0</v>
      </c>
      <c r="AG36" s="63">
        <f t="shared" si="20"/>
        <v>0</v>
      </c>
      <c r="AH36" s="89"/>
      <c r="AI36" s="66"/>
      <c r="AJ36" s="66"/>
      <c r="AK36" s="62">
        <f t="shared" si="33"/>
        <v>0</v>
      </c>
      <c r="AL36" s="72">
        <f t="shared" si="34"/>
        <v>0</v>
      </c>
      <c r="AM36" s="73">
        <f t="shared" ref="AM36:AM49" si="42">+D36+R36-AC36-AH36</f>
        <v>0</v>
      </c>
      <c r="AN36" s="80">
        <f t="shared" ref="AN36:AN49" si="43">+G36+S36-AF36-AK36</f>
        <v>0</v>
      </c>
      <c r="AO36" s="80">
        <f t="shared" ref="AO36:AO49" si="44">+H36+T36-AG36-AL36</f>
        <v>0</v>
      </c>
      <c r="AP36" s="75" t="e">
        <f t="shared" si="24"/>
        <v>#DIV/0!</v>
      </c>
      <c r="AQ36" s="76">
        <f t="shared" si="25"/>
        <v>0</v>
      </c>
      <c r="AR36" s="90">
        <f t="shared" ref="AR36:AR49" si="45">(D36+J36+O36)-(X36+AH36)</f>
        <v>0</v>
      </c>
    </row>
    <row r="37" spans="1:49" x14ac:dyDescent="0.25">
      <c r="A37" t="str">
        <f t="shared" si="13"/>
        <v>46220E</v>
      </c>
      <c r="B37" s="51">
        <f t="shared" si="27"/>
        <v>46220</v>
      </c>
      <c r="C37" s="52" t="s">
        <v>88</v>
      </c>
      <c r="D37" s="91"/>
      <c r="E37" s="62"/>
      <c r="F37" s="62"/>
      <c r="G37" s="62">
        <f t="shared" si="28"/>
        <v>0</v>
      </c>
      <c r="H37" s="72">
        <f t="shared" si="29"/>
        <v>0</v>
      </c>
      <c r="I37" s="122"/>
      <c r="J37" s="119"/>
      <c r="K37" s="120"/>
      <c r="L37" s="121"/>
      <c r="M37" s="58"/>
      <c r="N37" s="58"/>
      <c r="O37" s="59"/>
      <c r="P37" s="56"/>
      <c r="Q37" s="60"/>
      <c r="R37" s="61">
        <f t="shared" si="14"/>
        <v>0</v>
      </c>
      <c r="S37" s="62">
        <f t="shared" si="15"/>
        <v>0</v>
      </c>
      <c r="T37" s="63">
        <f t="shared" si="16"/>
        <v>0</v>
      </c>
      <c r="U37" s="64"/>
      <c r="V37" s="65"/>
      <c r="W37" s="66"/>
      <c r="X37" s="67"/>
      <c r="Y37" s="68"/>
      <c r="Z37" s="68"/>
      <c r="AA37" s="62">
        <f t="shared" si="17"/>
        <v>0</v>
      </c>
      <c r="AB37" s="63">
        <f t="shared" si="18"/>
        <v>0</v>
      </c>
      <c r="AC37" s="69"/>
      <c r="AD37" s="70"/>
      <c r="AE37" s="70"/>
      <c r="AF37" s="62">
        <f t="shared" si="19"/>
        <v>0</v>
      </c>
      <c r="AG37" s="63">
        <f t="shared" si="20"/>
        <v>0</v>
      </c>
      <c r="AH37" s="89"/>
      <c r="AI37" s="66"/>
      <c r="AJ37" s="66"/>
      <c r="AK37" s="62">
        <f t="shared" si="33"/>
        <v>0</v>
      </c>
      <c r="AL37" s="72">
        <f t="shared" si="34"/>
        <v>0</v>
      </c>
      <c r="AM37" s="73">
        <f t="shared" si="42"/>
        <v>0</v>
      </c>
      <c r="AN37" s="80">
        <f t="shared" si="43"/>
        <v>0</v>
      </c>
      <c r="AO37" s="80">
        <f t="shared" si="44"/>
        <v>0</v>
      </c>
      <c r="AP37" s="75" t="e">
        <f t="shared" si="24"/>
        <v>#DIV/0!</v>
      </c>
      <c r="AQ37" s="76">
        <f t="shared" si="25"/>
        <v>0</v>
      </c>
      <c r="AR37" s="90">
        <f t="shared" si="45"/>
        <v>0</v>
      </c>
    </row>
    <row r="38" spans="1:49" x14ac:dyDescent="0.25">
      <c r="A38" t="str">
        <f t="shared" si="13"/>
        <v>46221M</v>
      </c>
      <c r="B38" s="51">
        <f t="shared" si="27"/>
        <v>46221</v>
      </c>
      <c r="C38" s="52" t="s">
        <v>87</v>
      </c>
      <c r="D38" s="91"/>
      <c r="E38" s="62"/>
      <c r="F38" s="62"/>
      <c r="G38" s="62">
        <f t="shared" si="28"/>
        <v>0</v>
      </c>
      <c r="H38" s="72">
        <f t="shared" si="29"/>
        <v>0</v>
      </c>
      <c r="I38" s="122"/>
      <c r="J38" s="119"/>
      <c r="K38" s="120"/>
      <c r="L38" s="121"/>
      <c r="M38" s="58"/>
      <c r="N38" s="58"/>
      <c r="O38" s="59"/>
      <c r="P38" s="56"/>
      <c r="Q38" s="60"/>
      <c r="R38" s="61">
        <f t="shared" si="14"/>
        <v>0</v>
      </c>
      <c r="S38" s="62">
        <f t="shared" si="15"/>
        <v>0</v>
      </c>
      <c r="T38" s="63">
        <f t="shared" si="16"/>
        <v>0</v>
      </c>
      <c r="U38" s="64"/>
      <c r="V38" s="65"/>
      <c r="W38" s="66"/>
      <c r="X38" s="67"/>
      <c r="Y38" s="68"/>
      <c r="Z38" s="68"/>
      <c r="AA38" s="62">
        <f t="shared" si="17"/>
        <v>0</v>
      </c>
      <c r="AB38" s="63">
        <f t="shared" si="18"/>
        <v>0</v>
      </c>
      <c r="AC38" s="69"/>
      <c r="AD38" s="70"/>
      <c r="AE38" s="70"/>
      <c r="AF38" s="62">
        <f t="shared" si="19"/>
        <v>0</v>
      </c>
      <c r="AG38" s="63">
        <f t="shared" si="20"/>
        <v>0</v>
      </c>
      <c r="AH38" s="89"/>
      <c r="AI38" s="66"/>
      <c r="AJ38" s="66"/>
      <c r="AK38" s="62">
        <f t="shared" si="33"/>
        <v>0</v>
      </c>
      <c r="AL38" s="72">
        <f t="shared" si="34"/>
        <v>0</v>
      </c>
      <c r="AM38" s="73">
        <f t="shared" si="42"/>
        <v>0</v>
      </c>
      <c r="AN38" s="80">
        <f t="shared" si="43"/>
        <v>0</v>
      </c>
      <c r="AO38" s="80">
        <f t="shared" si="44"/>
        <v>0</v>
      </c>
      <c r="AP38" s="75" t="e">
        <f t="shared" si="24"/>
        <v>#DIV/0!</v>
      </c>
      <c r="AQ38" s="76">
        <f t="shared" si="25"/>
        <v>0</v>
      </c>
      <c r="AR38" s="90">
        <f t="shared" si="45"/>
        <v>0</v>
      </c>
    </row>
    <row r="39" spans="1:49" x14ac:dyDescent="0.25">
      <c r="A39" t="str">
        <f t="shared" si="13"/>
        <v>46221E</v>
      </c>
      <c r="B39" s="51">
        <f t="shared" si="27"/>
        <v>46221</v>
      </c>
      <c r="C39" s="52" t="s">
        <v>88</v>
      </c>
      <c r="D39" s="91"/>
      <c r="E39" s="62"/>
      <c r="F39" s="62"/>
      <c r="G39" s="62">
        <f t="shared" si="28"/>
        <v>0</v>
      </c>
      <c r="H39" s="72">
        <f t="shared" si="29"/>
        <v>0</v>
      </c>
      <c r="I39" s="122"/>
      <c r="J39" s="119"/>
      <c r="K39" s="120"/>
      <c r="L39" s="121"/>
      <c r="M39" s="58"/>
      <c r="N39" s="58"/>
      <c r="O39" s="59"/>
      <c r="P39" s="56"/>
      <c r="Q39" s="60"/>
      <c r="R39" s="61">
        <f t="shared" si="14"/>
        <v>0</v>
      </c>
      <c r="S39" s="62">
        <f t="shared" si="15"/>
        <v>0</v>
      </c>
      <c r="T39" s="63">
        <f t="shared" si="16"/>
        <v>0</v>
      </c>
      <c r="U39" s="64"/>
      <c r="V39" s="65"/>
      <c r="W39" s="66"/>
      <c r="X39" s="67"/>
      <c r="Y39" s="68"/>
      <c r="Z39" s="68"/>
      <c r="AA39" s="62">
        <f t="shared" si="17"/>
        <v>0</v>
      </c>
      <c r="AB39" s="63">
        <f t="shared" si="18"/>
        <v>0</v>
      </c>
      <c r="AC39" s="69"/>
      <c r="AD39" s="70"/>
      <c r="AE39" s="70"/>
      <c r="AF39" s="62">
        <f t="shared" si="19"/>
        <v>0</v>
      </c>
      <c r="AG39" s="63">
        <f t="shared" si="20"/>
        <v>0</v>
      </c>
      <c r="AH39" s="89"/>
      <c r="AI39" s="66"/>
      <c r="AJ39" s="66"/>
      <c r="AK39" s="62">
        <f t="shared" si="33"/>
        <v>0</v>
      </c>
      <c r="AL39" s="72">
        <f t="shared" si="34"/>
        <v>0</v>
      </c>
      <c r="AM39" s="73">
        <f t="shared" si="42"/>
        <v>0</v>
      </c>
      <c r="AN39" s="80">
        <f t="shared" si="43"/>
        <v>0</v>
      </c>
      <c r="AO39" s="80">
        <f t="shared" si="44"/>
        <v>0</v>
      </c>
      <c r="AP39" s="75" t="e">
        <f t="shared" si="24"/>
        <v>#DIV/0!</v>
      </c>
      <c r="AQ39" s="76">
        <f t="shared" si="25"/>
        <v>0</v>
      </c>
      <c r="AR39" s="90">
        <f t="shared" si="45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x14ac:dyDescent="0.25">
      <c r="A40" t="str">
        <f t="shared" si="13"/>
        <v>46222M</v>
      </c>
      <c r="B40" s="51">
        <f t="shared" si="27"/>
        <v>46222</v>
      </c>
      <c r="C40" s="52" t="s">
        <v>87</v>
      </c>
      <c r="D40" s="91"/>
      <c r="E40" s="62"/>
      <c r="F40" s="62"/>
      <c r="G40" s="62">
        <f t="shared" si="28"/>
        <v>0</v>
      </c>
      <c r="H40" s="72">
        <f t="shared" si="29"/>
        <v>0</v>
      </c>
      <c r="I40" s="122"/>
      <c r="J40" s="119"/>
      <c r="K40" s="120"/>
      <c r="L40" s="121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66"/>
      <c r="X40" s="67"/>
      <c r="Y40" s="68"/>
      <c r="Z40" s="68"/>
      <c r="AA40" s="62">
        <f t="shared" si="17"/>
        <v>0</v>
      </c>
      <c r="AB40" s="63">
        <f t="shared" si="18"/>
        <v>0</v>
      </c>
      <c r="AC40" s="69"/>
      <c r="AD40" s="70"/>
      <c r="AE40" s="70"/>
      <c r="AF40" s="62">
        <f t="shared" si="19"/>
        <v>0</v>
      </c>
      <c r="AG40" s="63">
        <f t="shared" si="20"/>
        <v>0</v>
      </c>
      <c r="AH40" s="89"/>
      <c r="AI40" s="66"/>
      <c r="AJ40" s="66"/>
      <c r="AK40" s="62">
        <f t="shared" si="33"/>
        <v>0</v>
      </c>
      <c r="AL40" s="72">
        <f t="shared" si="34"/>
        <v>0</v>
      </c>
      <c r="AM40" s="73">
        <f t="shared" si="42"/>
        <v>0</v>
      </c>
      <c r="AN40" s="80">
        <f t="shared" si="43"/>
        <v>0</v>
      </c>
      <c r="AO40" s="80">
        <f t="shared" si="44"/>
        <v>0</v>
      </c>
      <c r="AP40" s="75" t="e">
        <f t="shared" si="24"/>
        <v>#DIV/0!</v>
      </c>
      <c r="AQ40" s="76">
        <f t="shared" si="25"/>
        <v>0</v>
      </c>
      <c r="AR40" s="90">
        <f t="shared" si="45"/>
        <v>0</v>
      </c>
    </row>
    <row r="41" spans="1:49" x14ac:dyDescent="0.25">
      <c r="A41" t="str">
        <f t="shared" si="13"/>
        <v>46222E</v>
      </c>
      <c r="B41" s="51">
        <f t="shared" si="27"/>
        <v>46222</v>
      </c>
      <c r="C41" s="52" t="s">
        <v>88</v>
      </c>
      <c r="D41" s="91"/>
      <c r="E41" s="62"/>
      <c r="F41" s="62"/>
      <c r="G41" s="62">
        <f t="shared" si="28"/>
        <v>0</v>
      </c>
      <c r="H41" s="72">
        <f t="shared" si="29"/>
        <v>0</v>
      </c>
      <c r="I41" s="122"/>
      <c r="J41" s="119"/>
      <c r="K41" s="120"/>
      <c r="L41" s="121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66"/>
      <c r="X41" s="67"/>
      <c r="Y41" s="68"/>
      <c r="Z41" s="68"/>
      <c r="AA41" s="62">
        <f t="shared" si="17"/>
        <v>0</v>
      </c>
      <c r="AB41" s="63">
        <f t="shared" si="18"/>
        <v>0</v>
      </c>
      <c r="AC41" s="69"/>
      <c r="AD41" s="70"/>
      <c r="AE41" s="70"/>
      <c r="AF41" s="62">
        <f t="shared" si="19"/>
        <v>0</v>
      </c>
      <c r="AG41" s="63">
        <f t="shared" si="20"/>
        <v>0</v>
      </c>
      <c r="AH41" s="89"/>
      <c r="AI41" s="66"/>
      <c r="AJ41" s="66"/>
      <c r="AK41" s="62">
        <f t="shared" si="33"/>
        <v>0</v>
      </c>
      <c r="AL41" s="72">
        <f t="shared" si="34"/>
        <v>0</v>
      </c>
      <c r="AM41" s="73">
        <f t="shared" si="42"/>
        <v>0</v>
      </c>
      <c r="AN41" s="80">
        <f t="shared" si="43"/>
        <v>0</v>
      </c>
      <c r="AO41" s="80">
        <f t="shared" si="44"/>
        <v>0</v>
      </c>
      <c r="AP41" s="75" t="e">
        <f t="shared" si="24"/>
        <v>#DIV/0!</v>
      </c>
      <c r="AQ41" s="76">
        <f t="shared" si="25"/>
        <v>0</v>
      </c>
      <c r="AR41" s="90">
        <f t="shared" si="45"/>
        <v>0</v>
      </c>
    </row>
    <row r="42" spans="1:49" x14ac:dyDescent="0.25">
      <c r="A42" t="str">
        <f t="shared" si="13"/>
        <v>46223M</v>
      </c>
      <c r="B42" s="51">
        <f t="shared" si="27"/>
        <v>46223</v>
      </c>
      <c r="C42" s="52" t="s">
        <v>87</v>
      </c>
      <c r="D42" s="91"/>
      <c r="E42" s="62"/>
      <c r="F42" s="62"/>
      <c r="G42" s="62">
        <f t="shared" si="28"/>
        <v>0</v>
      </c>
      <c r="H42" s="72">
        <f t="shared" si="29"/>
        <v>0</v>
      </c>
      <c r="I42" s="122"/>
      <c r="J42" s="119"/>
      <c r="K42" s="120"/>
      <c r="L42" s="121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17"/>
        <v>0</v>
      </c>
      <c r="AB42" s="63">
        <f t="shared" si="18"/>
        <v>0</v>
      </c>
      <c r="AC42" s="69"/>
      <c r="AD42" s="70"/>
      <c r="AE42" s="70"/>
      <c r="AF42" s="62">
        <f t="shared" si="19"/>
        <v>0</v>
      </c>
      <c r="AG42" s="63">
        <f t="shared" si="20"/>
        <v>0</v>
      </c>
      <c r="AH42" s="89"/>
      <c r="AI42" s="66"/>
      <c r="AJ42" s="66"/>
      <c r="AK42" s="62">
        <f t="shared" si="33"/>
        <v>0</v>
      </c>
      <c r="AL42" s="72">
        <f t="shared" si="34"/>
        <v>0</v>
      </c>
      <c r="AM42" s="73">
        <f t="shared" si="42"/>
        <v>0</v>
      </c>
      <c r="AN42" s="80">
        <f t="shared" si="43"/>
        <v>0</v>
      </c>
      <c r="AO42" s="80">
        <f t="shared" si="44"/>
        <v>0</v>
      </c>
      <c r="AP42" s="75" t="e">
        <f t="shared" si="24"/>
        <v>#DIV/0!</v>
      </c>
      <c r="AQ42" s="76">
        <f t="shared" si="25"/>
        <v>0</v>
      </c>
      <c r="AR42" s="90">
        <f t="shared" si="45"/>
        <v>0</v>
      </c>
      <c r="AS42" s="90"/>
      <c r="AT42" s="83"/>
      <c r="AU42" s="83"/>
      <c r="AV42" s="83"/>
      <c r="AW42" s="83"/>
    </row>
    <row r="43" spans="1:49" x14ac:dyDescent="0.25">
      <c r="A43" t="str">
        <f t="shared" si="13"/>
        <v>46223E</v>
      </c>
      <c r="B43" s="51">
        <f t="shared" si="27"/>
        <v>46223</v>
      </c>
      <c r="C43" s="52" t="s">
        <v>88</v>
      </c>
      <c r="D43" s="91"/>
      <c r="E43" s="62"/>
      <c r="F43" s="62"/>
      <c r="G43" s="62">
        <f t="shared" si="28"/>
        <v>0</v>
      </c>
      <c r="H43" s="72">
        <f t="shared" si="29"/>
        <v>0</v>
      </c>
      <c r="I43" s="122"/>
      <c r="J43" s="119"/>
      <c r="K43" s="120"/>
      <c r="L43" s="121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66"/>
      <c r="X43" s="67"/>
      <c r="Y43" s="68"/>
      <c r="Z43" s="68"/>
      <c r="AA43" s="62">
        <f t="shared" si="17"/>
        <v>0</v>
      </c>
      <c r="AB43" s="63">
        <f t="shared" si="18"/>
        <v>0</v>
      </c>
      <c r="AC43" s="69"/>
      <c r="AD43" s="70"/>
      <c r="AE43" s="70"/>
      <c r="AF43" s="62">
        <f t="shared" si="19"/>
        <v>0</v>
      </c>
      <c r="AG43" s="63">
        <f t="shared" si="20"/>
        <v>0</v>
      </c>
      <c r="AH43" s="89"/>
      <c r="AI43" s="66"/>
      <c r="AJ43" s="66"/>
      <c r="AK43" s="62">
        <f t="shared" si="33"/>
        <v>0</v>
      </c>
      <c r="AL43" s="72">
        <f t="shared" si="34"/>
        <v>0</v>
      </c>
      <c r="AM43" s="73">
        <f t="shared" si="42"/>
        <v>0</v>
      </c>
      <c r="AN43" s="80">
        <f t="shared" si="43"/>
        <v>0</v>
      </c>
      <c r="AO43" s="80">
        <f t="shared" si="44"/>
        <v>0</v>
      </c>
      <c r="AP43" s="75" t="e">
        <f t="shared" si="24"/>
        <v>#DIV/0!</v>
      </c>
      <c r="AQ43" s="76">
        <f t="shared" si="25"/>
        <v>0</v>
      </c>
      <c r="AR43" s="90">
        <f t="shared" si="45"/>
        <v>0</v>
      </c>
      <c r="AS43" s="90"/>
      <c r="AT43" s="83"/>
      <c r="AU43" s="83"/>
      <c r="AV43" s="83"/>
      <c r="AW43" s="83"/>
    </row>
    <row r="44" spans="1:49" x14ac:dyDescent="0.25">
      <c r="A44" t="str">
        <f t="shared" si="13"/>
        <v>46224M</v>
      </c>
      <c r="B44" s="51">
        <f t="shared" si="27"/>
        <v>46224</v>
      </c>
      <c r="C44" s="52" t="s">
        <v>87</v>
      </c>
      <c r="D44" s="91"/>
      <c r="E44" s="62"/>
      <c r="F44" s="62"/>
      <c r="G44" s="62">
        <f t="shared" si="28"/>
        <v>0</v>
      </c>
      <c r="H44" s="72">
        <f t="shared" si="29"/>
        <v>0</v>
      </c>
      <c r="I44" s="122"/>
      <c r="J44" s="119"/>
      <c r="K44" s="120"/>
      <c r="L44" s="121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66"/>
      <c r="X44" s="67"/>
      <c r="Y44" s="68"/>
      <c r="Z44" s="68"/>
      <c r="AA44" s="62">
        <f t="shared" si="17"/>
        <v>0</v>
      </c>
      <c r="AB44" s="63">
        <f t="shared" si="18"/>
        <v>0</v>
      </c>
      <c r="AC44" s="69"/>
      <c r="AD44" s="70"/>
      <c r="AE44" s="70"/>
      <c r="AF44" s="62">
        <f t="shared" si="19"/>
        <v>0</v>
      </c>
      <c r="AG44" s="63">
        <f t="shared" si="20"/>
        <v>0</v>
      </c>
      <c r="AH44" s="89"/>
      <c r="AI44" s="66"/>
      <c r="AJ44" s="66"/>
      <c r="AK44" s="62">
        <f t="shared" si="33"/>
        <v>0</v>
      </c>
      <c r="AL44" s="72">
        <f t="shared" si="34"/>
        <v>0</v>
      </c>
      <c r="AM44" s="73">
        <f t="shared" si="42"/>
        <v>0</v>
      </c>
      <c r="AN44" s="80">
        <f t="shared" si="43"/>
        <v>0</v>
      </c>
      <c r="AO44" s="80">
        <f t="shared" si="44"/>
        <v>0</v>
      </c>
      <c r="AP44" s="75" t="e">
        <f t="shared" si="24"/>
        <v>#DIV/0!</v>
      </c>
      <c r="AQ44" s="76">
        <f t="shared" si="25"/>
        <v>0</v>
      </c>
      <c r="AR44" s="90">
        <f t="shared" si="45"/>
        <v>0</v>
      </c>
    </row>
    <row r="45" spans="1:49" x14ac:dyDescent="0.25">
      <c r="A45" t="str">
        <f t="shared" si="13"/>
        <v>46224E</v>
      </c>
      <c r="B45" s="51">
        <f t="shared" si="27"/>
        <v>46224</v>
      </c>
      <c r="C45" s="52" t="s">
        <v>88</v>
      </c>
      <c r="D45" s="91"/>
      <c r="E45" s="62"/>
      <c r="F45" s="62"/>
      <c r="G45" s="62">
        <f t="shared" si="28"/>
        <v>0</v>
      </c>
      <c r="H45" s="72">
        <f t="shared" si="29"/>
        <v>0</v>
      </c>
      <c r="I45" s="122"/>
      <c r="J45" s="119"/>
      <c r="K45" s="120"/>
      <c r="L45" s="121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66"/>
      <c r="X45" s="67"/>
      <c r="Y45" s="68"/>
      <c r="Z45" s="68"/>
      <c r="AA45" s="62">
        <f t="shared" si="17"/>
        <v>0</v>
      </c>
      <c r="AB45" s="63">
        <f t="shared" si="18"/>
        <v>0</v>
      </c>
      <c r="AC45" s="69"/>
      <c r="AD45" s="70"/>
      <c r="AE45" s="70"/>
      <c r="AF45" s="62">
        <f t="shared" si="19"/>
        <v>0</v>
      </c>
      <c r="AG45" s="63">
        <f t="shared" si="20"/>
        <v>0</v>
      </c>
      <c r="AH45" s="89"/>
      <c r="AI45" s="66"/>
      <c r="AJ45" s="66"/>
      <c r="AK45" s="62">
        <f t="shared" si="33"/>
        <v>0</v>
      </c>
      <c r="AL45" s="72">
        <f t="shared" si="34"/>
        <v>0</v>
      </c>
      <c r="AM45" s="73">
        <f t="shared" si="42"/>
        <v>0</v>
      </c>
      <c r="AN45" s="80">
        <f t="shared" si="43"/>
        <v>0</v>
      </c>
      <c r="AO45" s="80">
        <f t="shared" si="44"/>
        <v>0</v>
      </c>
      <c r="AP45" s="75" t="e">
        <f t="shared" si="24"/>
        <v>#DIV/0!</v>
      </c>
      <c r="AQ45" s="76">
        <f t="shared" si="25"/>
        <v>0</v>
      </c>
      <c r="AR45" s="90">
        <f t="shared" si="45"/>
        <v>0</v>
      </c>
    </row>
    <row r="46" spans="1:49" x14ac:dyDescent="0.25">
      <c r="A46" t="str">
        <f t="shared" si="13"/>
        <v>46225M</v>
      </c>
      <c r="B46" s="51">
        <f t="shared" si="27"/>
        <v>46225</v>
      </c>
      <c r="C46" s="52" t="s">
        <v>87</v>
      </c>
      <c r="D46" s="91"/>
      <c r="E46" s="62"/>
      <c r="F46" s="62"/>
      <c r="G46" s="62">
        <f t="shared" si="28"/>
        <v>0</v>
      </c>
      <c r="H46" s="72">
        <f t="shared" si="29"/>
        <v>0</v>
      </c>
      <c r="I46" s="122"/>
      <c r="J46" s="119"/>
      <c r="K46" s="120"/>
      <c r="L46" s="121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66"/>
      <c r="X46" s="67"/>
      <c r="Y46" s="68"/>
      <c r="Z46" s="68"/>
      <c r="AA46" s="62">
        <f t="shared" si="17"/>
        <v>0</v>
      </c>
      <c r="AB46" s="63">
        <f t="shared" si="18"/>
        <v>0</v>
      </c>
      <c r="AC46" s="69"/>
      <c r="AD46" s="70"/>
      <c r="AE46" s="70"/>
      <c r="AF46" s="62">
        <f t="shared" si="19"/>
        <v>0</v>
      </c>
      <c r="AG46" s="63">
        <f t="shared" si="20"/>
        <v>0</v>
      </c>
      <c r="AH46" s="89"/>
      <c r="AI46" s="66"/>
      <c r="AJ46" s="66"/>
      <c r="AK46" s="62">
        <f t="shared" si="33"/>
        <v>0</v>
      </c>
      <c r="AL46" s="72">
        <f t="shared" si="34"/>
        <v>0</v>
      </c>
      <c r="AM46" s="73">
        <f t="shared" si="42"/>
        <v>0</v>
      </c>
      <c r="AN46" s="80">
        <f t="shared" si="43"/>
        <v>0</v>
      </c>
      <c r="AO46" s="80">
        <f t="shared" si="44"/>
        <v>0</v>
      </c>
      <c r="AP46" s="75" t="e">
        <f t="shared" si="24"/>
        <v>#DIV/0!</v>
      </c>
      <c r="AQ46" s="76">
        <f t="shared" si="25"/>
        <v>0</v>
      </c>
      <c r="AR46" s="90">
        <f t="shared" si="45"/>
        <v>0</v>
      </c>
    </row>
    <row r="47" spans="1:49" x14ac:dyDescent="0.25">
      <c r="A47" t="str">
        <f t="shared" si="13"/>
        <v>46225E</v>
      </c>
      <c r="B47" s="51">
        <f t="shared" si="27"/>
        <v>46225</v>
      </c>
      <c r="C47" s="52" t="s">
        <v>88</v>
      </c>
      <c r="D47" s="91"/>
      <c r="E47" s="62"/>
      <c r="F47" s="62"/>
      <c r="G47" s="62">
        <f t="shared" si="28"/>
        <v>0</v>
      </c>
      <c r="H47" s="72">
        <f t="shared" si="29"/>
        <v>0</v>
      </c>
      <c r="I47" s="122"/>
      <c r="J47" s="119"/>
      <c r="K47" s="120"/>
      <c r="L47" s="121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17"/>
        <v>0</v>
      </c>
      <c r="AB47" s="63">
        <f t="shared" si="18"/>
        <v>0</v>
      </c>
      <c r="AC47" s="69"/>
      <c r="AD47" s="70"/>
      <c r="AE47" s="70"/>
      <c r="AF47" s="62">
        <f t="shared" si="19"/>
        <v>0</v>
      </c>
      <c r="AG47" s="63">
        <f t="shared" si="20"/>
        <v>0</v>
      </c>
      <c r="AH47" s="89"/>
      <c r="AI47" s="66"/>
      <c r="AJ47" s="66"/>
      <c r="AK47" s="62">
        <f t="shared" si="33"/>
        <v>0</v>
      </c>
      <c r="AL47" s="72">
        <f t="shared" si="34"/>
        <v>0</v>
      </c>
      <c r="AM47" s="73">
        <f t="shared" si="42"/>
        <v>0</v>
      </c>
      <c r="AN47" s="80">
        <f t="shared" si="43"/>
        <v>0</v>
      </c>
      <c r="AO47" s="80">
        <f t="shared" si="44"/>
        <v>0</v>
      </c>
      <c r="AP47" s="75" t="e">
        <f t="shared" si="24"/>
        <v>#DIV/0!</v>
      </c>
      <c r="AQ47" s="76">
        <f t="shared" si="25"/>
        <v>0</v>
      </c>
      <c r="AR47" s="90">
        <f t="shared" si="45"/>
        <v>0</v>
      </c>
    </row>
    <row r="48" spans="1:49" x14ac:dyDescent="0.25">
      <c r="A48" t="str">
        <f t="shared" si="13"/>
        <v>46226M</v>
      </c>
      <c r="B48" s="51">
        <f t="shared" si="27"/>
        <v>46226</v>
      </c>
      <c r="C48" s="52" t="s">
        <v>87</v>
      </c>
      <c r="D48" s="91"/>
      <c r="E48" s="62"/>
      <c r="F48" s="62"/>
      <c r="G48" s="62">
        <f t="shared" si="28"/>
        <v>0</v>
      </c>
      <c r="H48" s="72">
        <f t="shared" si="29"/>
        <v>0</v>
      </c>
      <c r="I48" s="122"/>
      <c r="J48" s="119"/>
      <c r="K48" s="120"/>
      <c r="L48" s="121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64"/>
      <c r="V48" s="65"/>
      <c r="W48" s="66"/>
      <c r="X48" s="67"/>
      <c r="Y48" s="68"/>
      <c r="Z48" s="68"/>
      <c r="AA48" s="62">
        <f t="shared" si="17"/>
        <v>0</v>
      </c>
      <c r="AB48" s="63">
        <f t="shared" si="18"/>
        <v>0</v>
      </c>
      <c r="AC48" s="69"/>
      <c r="AD48" s="70"/>
      <c r="AE48" s="70"/>
      <c r="AF48" s="62">
        <f t="shared" si="19"/>
        <v>0</v>
      </c>
      <c r="AG48" s="63">
        <f t="shared" si="20"/>
        <v>0</v>
      </c>
      <c r="AH48" s="89"/>
      <c r="AI48" s="66"/>
      <c r="AJ48" s="66"/>
      <c r="AK48" s="62">
        <f t="shared" si="33"/>
        <v>0</v>
      </c>
      <c r="AL48" s="72">
        <f t="shared" si="34"/>
        <v>0</v>
      </c>
      <c r="AM48" s="73">
        <f t="shared" si="42"/>
        <v>0</v>
      </c>
      <c r="AN48" s="80">
        <f t="shared" si="43"/>
        <v>0</v>
      </c>
      <c r="AO48" s="80">
        <f t="shared" si="44"/>
        <v>0</v>
      </c>
      <c r="AP48" s="75" t="e">
        <f t="shared" si="24"/>
        <v>#DIV/0!</v>
      </c>
      <c r="AQ48" s="76">
        <f t="shared" si="25"/>
        <v>0</v>
      </c>
      <c r="AR48" s="90">
        <f t="shared" si="45"/>
        <v>0</v>
      </c>
    </row>
    <row r="49" spans="1:49" x14ac:dyDescent="0.25">
      <c r="A49" t="str">
        <f t="shared" si="13"/>
        <v>46226E</v>
      </c>
      <c r="B49" s="51">
        <f t="shared" si="27"/>
        <v>46226</v>
      </c>
      <c r="C49" s="52" t="s">
        <v>88</v>
      </c>
      <c r="D49" s="91"/>
      <c r="E49" s="62"/>
      <c r="F49" s="62"/>
      <c r="G49" s="62">
        <f t="shared" si="28"/>
        <v>0</v>
      </c>
      <c r="H49" s="72">
        <f t="shared" si="29"/>
        <v>0</v>
      </c>
      <c r="I49" s="122"/>
      <c r="J49" s="119"/>
      <c r="K49" s="120"/>
      <c r="L49" s="121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64"/>
      <c r="V49" s="65"/>
      <c r="W49" s="66"/>
      <c r="X49" s="67"/>
      <c r="Y49" s="68"/>
      <c r="Z49" s="68"/>
      <c r="AA49" s="62">
        <f t="shared" si="17"/>
        <v>0</v>
      </c>
      <c r="AB49" s="63">
        <f t="shared" si="18"/>
        <v>0</v>
      </c>
      <c r="AC49" s="69"/>
      <c r="AD49" s="70"/>
      <c r="AE49" s="70"/>
      <c r="AF49" s="62">
        <f t="shared" si="19"/>
        <v>0</v>
      </c>
      <c r="AG49" s="63">
        <f t="shared" si="20"/>
        <v>0</v>
      </c>
      <c r="AH49" s="89"/>
      <c r="AI49" s="66"/>
      <c r="AJ49" s="66"/>
      <c r="AK49" s="62">
        <f t="shared" si="33"/>
        <v>0</v>
      </c>
      <c r="AL49" s="72">
        <f t="shared" si="34"/>
        <v>0</v>
      </c>
      <c r="AM49" s="73">
        <f t="shared" si="42"/>
        <v>0</v>
      </c>
      <c r="AN49" s="80">
        <f t="shared" si="43"/>
        <v>0</v>
      </c>
      <c r="AO49" s="80">
        <f t="shared" si="44"/>
        <v>0</v>
      </c>
      <c r="AP49" s="75" t="e">
        <f t="shared" si="24"/>
        <v>#DIV/0!</v>
      </c>
      <c r="AQ49" s="76">
        <f t="shared" si="25"/>
        <v>0</v>
      </c>
      <c r="AR49" s="90">
        <f t="shared" si="45"/>
        <v>0</v>
      </c>
    </row>
    <row r="50" spans="1:49" x14ac:dyDescent="0.25">
      <c r="A50" t="str">
        <f t="shared" si="13"/>
        <v>46227M</v>
      </c>
      <c r="B50" s="51">
        <f t="shared" si="27"/>
        <v>46227</v>
      </c>
      <c r="C50" s="52" t="s">
        <v>87</v>
      </c>
      <c r="D50" s="91"/>
      <c r="E50" s="62"/>
      <c r="F50" s="62"/>
      <c r="G50" s="62">
        <f t="shared" si="28"/>
        <v>0</v>
      </c>
      <c r="H50" s="72">
        <f t="shared" si="29"/>
        <v>0</v>
      </c>
      <c r="I50" s="122"/>
      <c r="J50" s="119"/>
      <c r="K50" s="120"/>
      <c r="L50" s="121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17"/>
        <v>0</v>
      </c>
      <c r="AB50" s="63">
        <f t="shared" si="18"/>
        <v>0</v>
      </c>
      <c r="AC50" s="69"/>
      <c r="AD50" s="70"/>
      <c r="AE50" s="70"/>
      <c r="AF50" s="62">
        <f t="shared" si="19"/>
        <v>0</v>
      </c>
      <c r="AG50" s="63">
        <f t="shared" si="20"/>
        <v>0</v>
      </c>
      <c r="AH50" s="89"/>
      <c r="AI50" s="66"/>
      <c r="AJ50" s="66"/>
      <c r="AK50" s="62">
        <f t="shared" si="33"/>
        <v>0</v>
      </c>
      <c r="AL50" s="72">
        <f t="shared" si="34"/>
        <v>0</v>
      </c>
      <c r="AM50" s="73">
        <f t="shared" ref="AM50" si="46">+D50+R50-AC50-AH50</f>
        <v>0</v>
      </c>
      <c r="AN50" s="80">
        <f t="shared" ref="AN50:AO50" si="47">+G50+S50-AF50-AK50</f>
        <v>0</v>
      </c>
      <c r="AO50" s="80">
        <f t="shared" si="47"/>
        <v>0</v>
      </c>
      <c r="AP50" s="75" t="e">
        <f t="shared" si="24"/>
        <v>#DIV/0!</v>
      </c>
      <c r="AQ50" s="76">
        <f t="shared" si="25"/>
        <v>0</v>
      </c>
      <c r="AR50" s="90">
        <f t="shared" ref="AR50:AR57" si="48">(D50+J50+O50)-(X50+AH50)</f>
        <v>0</v>
      </c>
    </row>
    <row r="51" spans="1:49" x14ac:dyDescent="0.25">
      <c r="A51" t="str">
        <f t="shared" si="13"/>
        <v>46227E</v>
      </c>
      <c r="B51" s="51">
        <f t="shared" si="27"/>
        <v>46227</v>
      </c>
      <c r="C51" s="52" t="s">
        <v>88</v>
      </c>
      <c r="D51" s="91"/>
      <c r="E51" s="62"/>
      <c r="F51" s="62"/>
      <c r="G51" s="62">
        <f t="shared" si="28"/>
        <v>0</v>
      </c>
      <c r="H51" s="72">
        <f t="shared" si="29"/>
        <v>0</v>
      </c>
      <c r="I51" s="122"/>
      <c r="J51" s="119"/>
      <c r="K51" s="120"/>
      <c r="L51" s="121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17"/>
        <v>0</v>
      </c>
      <c r="AB51" s="63">
        <f t="shared" si="18"/>
        <v>0</v>
      </c>
      <c r="AC51" s="69"/>
      <c r="AD51" s="70"/>
      <c r="AE51" s="70"/>
      <c r="AF51" s="62">
        <f t="shared" si="19"/>
        <v>0</v>
      </c>
      <c r="AG51" s="63">
        <f t="shared" si="20"/>
        <v>0</v>
      </c>
      <c r="AH51" s="89"/>
      <c r="AI51" s="66"/>
      <c r="AJ51" s="66"/>
      <c r="AK51" s="62">
        <f t="shared" ref="AK51:AK59" si="49">AH51*AI51%</f>
        <v>0</v>
      </c>
      <c r="AL51" s="72">
        <f t="shared" si="34"/>
        <v>0</v>
      </c>
      <c r="AM51" s="73">
        <f t="shared" ref="AM51:AM59" si="50">+D51+R51-AC51-AH51</f>
        <v>0</v>
      </c>
      <c r="AN51" s="80">
        <f t="shared" ref="AN51:AN59" si="51">+G51+S51-AF51-AK51</f>
        <v>0</v>
      </c>
      <c r="AO51" s="80">
        <f t="shared" ref="AO51:AO59" si="52">+H51+T51-AG51-AL51</f>
        <v>0</v>
      </c>
      <c r="AP51" s="75" t="e">
        <f t="shared" si="24"/>
        <v>#DIV/0!</v>
      </c>
      <c r="AQ51" s="76">
        <f t="shared" si="25"/>
        <v>0</v>
      </c>
      <c r="AR51" s="90">
        <f t="shared" si="48"/>
        <v>0</v>
      </c>
    </row>
    <row r="52" spans="1:49" x14ac:dyDescent="0.25">
      <c r="A52" t="str">
        <f t="shared" si="13"/>
        <v>46228M</v>
      </c>
      <c r="B52" s="51">
        <f t="shared" si="27"/>
        <v>46228</v>
      </c>
      <c r="C52" s="52" t="s">
        <v>87</v>
      </c>
      <c r="D52" s="91"/>
      <c r="E52" s="62"/>
      <c r="F52" s="62"/>
      <c r="G52" s="62">
        <f t="shared" ref="G52:G57" si="53">+D52*E52%</f>
        <v>0</v>
      </c>
      <c r="H52" s="72">
        <f t="shared" ref="H52:H57" si="54">+D52*F52%</f>
        <v>0</v>
      </c>
      <c r="I52" s="122"/>
      <c r="J52" s="119"/>
      <c r="K52" s="120"/>
      <c r="L52" s="121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si="17"/>
        <v>0</v>
      </c>
      <c r="AB52" s="63">
        <f t="shared" si="18"/>
        <v>0</v>
      </c>
      <c r="AC52" s="69"/>
      <c r="AD52" s="70"/>
      <c r="AE52" s="70"/>
      <c r="AF52" s="62">
        <f t="shared" si="19"/>
        <v>0</v>
      </c>
      <c r="AG52" s="63">
        <f t="shared" si="20"/>
        <v>0</v>
      </c>
      <c r="AH52" s="89"/>
      <c r="AI52" s="66"/>
      <c r="AJ52" s="66"/>
      <c r="AK52" s="62">
        <f t="shared" si="49"/>
        <v>0</v>
      </c>
      <c r="AL52" s="72">
        <f t="shared" si="34"/>
        <v>0</v>
      </c>
      <c r="AM52" s="73">
        <f t="shared" si="50"/>
        <v>0</v>
      </c>
      <c r="AN52" s="80">
        <f t="shared" si="51"/>
        <v>0</v>
      </c>
      <c r="AO52" s="80">
        <f t="shared" si="52"/>
        <v>0</v>
      </c>
      <c r="AP52" s="75" t="e">
        <f t="shared" si="24"/>
        <v>#DIV/0!</v>
      </c>
      <c r="AQ52" s="76">
        <f t="shared" si="25"/>
        <v>0</v>
      </c>
      <c r="AR52" s="90">
        <f t="shared" si="48"/>
        <v>0</v>
      </c>
    </row>
    <row r="53" spans="1:49" x14ac:dyDescent="0.25">
      <c r="A53" t="str">
        <f t="shared" si="13"/>
        <v>46228E</v>
      </c>
      <c r="B53" s="51">
        <f t="shared" si="27"/>
        <v>46228</v>
      </c>
      <c r="C53" s="52" t="s">
        <v>88</v>
      </c>
      <c r="D53" s="91"/>
      <c r="E53" s="62"/>
      <c r="F53" s="62"/>
      <c r="G53" s="62">
        <f t="shared" si="53"/>
        <v>0</v>
      </c>
      <c r="H53" s="72">
        <f t="shared" si="54"/>
        <v>0</v>
      </c>
      <c r="I53" s="122"/>
      <c r="J53" s="119"/>
      <c r="K53" s="120"/>
      <c r="L53" s="121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17"/>
        <v>0</v>
      </c>
      <c r="AB53" s="63">
        <f t="shared" si="18"/>
        <v>0</v>
      </c>
      <c r="AC53" s="69"/>
      <c r="AD53" s="70"/>
      <c r="AE53" s="70"/>
      <c r="AF53" s="62">
        <f t="shared" si="19"/>
        <v>0</v>
      </c>
      <c r="AG53" s="63">
        <f t="shared" si="20"/>
        <v>0</v>
      </c>
      <c r="AH53" s="89"/>
      <c r="AI53" s="66"/>
      <c r="AJ53" s="66"/>
      <c r="AK53" s="62">
        <f t="shared" si="49"/>
        <v>0</v>
      </c>
      <c r="AL53" s="72">
        <f t="shared" si="34"/>
        <v>0</v>
      </c>
      <c r="AM53" s="73">
        <f t="shared" si="50"/>
        <v>0</v>
      </c>
      <c r="AN53" s="80">
        <f t="shared" si="51"/>
        <v>0</v>
      </c>
      <c r="AO53" s="80">
        <f t="shared" si="52"/>
        <v>0</v>
      </c>
      <c r="AP53" s="75" t="e">
        <f t="shared" si="24"/>
        <v>#DIV/0!</v>
      </c>
      <c r="AQ53" s="76">
        <f t="shared" si="25"/>
        <v>0</v>
      </c>
      <c r="AR53" s="90">
        <f t="shared" si="48"/>
        <v>0</v>
      </c>
    </row>
    <row r="54" spans="1:49" x14ac:dyDescent="0.25">
      <c r="A54" t="str">
        <f t="shared" si="13"/>
        <v>46229M</v>
      </c>
      <c r="B54" s="51">
        <f t="shared" si="27"/>
        <v>46229</v>
      </c>
      <c r="C54" s="52" t="s">
        <v>87</v>
      </c>
      <c r="D54" s="91"/>
      <c r="E54" s="62"/>
      <c r="F54" s="62"/>
      <c r="G54" s="62">
        <f t="shared" si="53"/>
        <v>0</v>
      </c>
      <c r="H54" s="72">
        <f t="shared" si="54"/>
        <v>0</v>
      </c>
      <c r="I54" s="122"/>
      <c r="J54" s="119"/>
      <c r="K54" s="120"/>
      <c r="L54" s="121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66"/>
      <c r="X54" s="67"/>
      <c r="Y54" s="68"/>
      <c r="Z54" s="68"/>
      <c r="AA54" s="62">
        <f t="shared" si="17"/>
        <v>0</v>
      </c>
      <c r="AB54" s="63">
        <f t="shared" si="18"/>
        <v>0</v>
      </c>
      <c r="AC54" s="69"/>
      <c r="AD54" s="70"/>
      <c r="AE54" s="70"/>
      <c r="AF54" s="62">
        <f t="shared" si="19"/>
        <v>0</v>
      </c>
      <c r="AG54" s="63">
        <f t="shared" si="20"/>
        <v>0</v>
      </c>
      <c r="AH54" s="89"/>
      <c r="AI54" s="66"/>
      <c r="AJ54" s="66"/>
      <c r="AK54" s="62">
        <f t="shared" si="49"/>
        <v>0</v>
      </c>
      <c r="AL54" s="72">
        <f t="shared" si="34"/>
        <v>0</v>
      </c>
      <c r="AM54" s="73">
        <f t="shared" si="50"/>
        <v>0</v>
      </c>
      <c r="AN54" s="80">
        <f t="shared" si="51"/>
        <v>0</v>
      </c>
      <c r="AO54" s="80">
        <f t="shared" si="52"/>
        <v>0</v>
      </c>
      <c r="AP54" s="75" t="e">
        <f t="shared" si="24"/>
        <v>#DIV/0!</v>
      </c>
      <c r="AQ54" s="76">
        <f t="shared" si="25"/>
        <v>0</v>
      </c>
      <c r="AR54" s="90">
        <f t="shared" si="48"/>
        <v>0</v>
      </c>
    </row>
    <row r="55" spans="1:49" x14ac:dyDescent="0.25">
      <c r="A55" t="str">
        <f t="shared" si="13"/>
        <v>46229E</v>
      </c>
      <c r="B55" s="51">
        <f t="shared" si="27"/>
        <v>46229</v>
      </c>
      <c r="C55" s="52" t="s">
        <v>88</v>
      </c>
      <c r="D55" s="91"/>
      <c r="E55" s="62"/>
      <c r="F55" s="62"/>
      <c r="G55" s="62">
        <f t="shared" si="53"/>
        <v>0</v>
      </c>
      <c r="H55" s="72">
        <f t="shared" si="54"/>
        <v>0</v>
      </c>
      <c r="I55" s="122"/>
      <c r="J55" s="119"/>
      <c r="K55" s="120"/>
      <c r="L55" s="121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66"/>
      <c r="X55" s="67"/>
      <c r="Y55" s="68"/>
      <c r="Z55" s="68"/>
      <c r="AA55" s="62">
        <f t="shared" si="17"/>
        <v>0</v>
      </c>
      <c r="AB55" s="63">
        <f t="shared" si="18"/>
        <v>0</v>
      </c>
      <c r="AC55" s="69"/>
      <c r="AD55" s="70"/>
      <c r="AE55" s="70"/>
      <c r="AF55" s="62">
        <f t="shared" si="19"/>
        <v>0</v>
      </c>
      <c r="AG55" s="63">
        <f t="shared" si="20"/>
        <v>0</v>
      </c>
      <c r="AH55" s="89"/>
      <c r="AI55" s="66"/>
      <c r="AJ55" s="66"/>
      <c r="AK55" s="62">
        <f t="shared" si="49"/>
        <v>0</v>
      </c>
      <c r="AL55" s="72">
        <f t="shared" si="34"/>
        <v>0</v>
      </c>
      <c r="AM55" s="73">
        <f t="shared" si="50"/>
        <v>0</v>
      </c>
      <c r="AN55" s="80">
        <f t="shared" si="51"/>
        <v>0</v>
      </c>
      <c r="AO55" s="80">
        <f t="shared" si="52"/>
        <v>0</v>
      </c>
      <c r="AP55" s="75" t="e">
        <f t="shared" si="24"/>
        <v>#DIV/0!</v>
      </c>
      <c r="AQ55" s="76">
        <f t="shared" si="25"/>
        <v>0</v>
      </c>
      <c r="AR55" s="90">
        <f t="shared" si="48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3"/>
        <v>46230M</v>
      </c>
      <c r="B56" s="51">
        <f t="shared" si="27"/>
        <v>46230</v>
      </c>
      <c r="C56" s="52" t="s">
        <v>87</v>
      </c>
      <c r="D56" s="91"/>
      <c r="E56" s="62"/>
      <c r="F56" s="62"/>
      <c r="G56" s="62">
        <f t="shared" si="53"/>
        <v>0</v>
      </c>
      <c r="H56" s="72">
        <f t="shared" si="54"/>
        <v>0</v>
      </c>
      <c r="I56" s="122"/>
      <c r="J56" s="119"/>
      <c r="K56" s="120"/>
      <c r="L56" s="121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17"/>
        <v>0</v>
      </c>
      <c r="AB56" s="63">
        <f t="shared" si="18"/>
        <v>0</v>
      </c>
      <c r="AC56" s="69"/>
      <c r="AD56" s="70"/>
      <c r="AE56" s="70"/>
      <c r="AF56" s="62">
        <f t="shared" si="19"/>
        <v>0</v>
      </c>
      <c r="AG56" s="63">
        <f t="shared" si="20"/>
        <v>0</v>
      </c>
      <c r="AH56" s="89"/>
      <c r="AI56" s="66"/>
      <c r="AJ56" s="66"/>
      <c r="AK56" s="62">
        <f t="shared" si="49"/>
        <v>0</v>
      </c>
      <c r="AL56" s="72">
        <f t="shared" si="34"/>
        <v>0</v>
      </c>
      <c r="AM56" s="73">
        <f t="shared" si="50"/>
        <v>0</v>
      </c>
      <c r="AN56" s="80">
        <f t="shared" si="51"/>
        <v>0</v>
      </c>
      <c r="AO56" s="80">
        <f t="shared" si="52"/>
        <v>0</v>
      </c>
      <c r="AP56" s="75" t="e">
        <f t="shared" si="24"/>
        <v>#DIV/0!</v>
      </c>
      <c r="AQ56" s="76">
        <f t="shared" si="25"/>
        <v>0</v>
      </c>
      <c r="AR56" s="90">
        <f t="shared" si="48"/>
        <v>0</v>
      </c>
    </row>
    <row r="57" spans="1:49" x14ac:dyDescent="0.25">
      <c r="A57" t="str">
        <f t="shared" si="13"/>
        <v>46230E</v>
      </c>
      <c r="B57" s="51">
        <f t="shared" si="27"/>
        <v>46230</v>
      </c>
      <c r="C57" s="52" t="s">
        <v>88</v>
      </c>
      <c r="D57" s="91"/>
      <c r="E57" s="62"/>
      <c r="F57" s="62"/>
      <c r="G57" s="62">
        <f t="shared" si="53"/>
        <v>0</v>
      </c>
      <c r="H57" s="72">
        <f t="shared" si="54"/>
        <v>0</v>
      </c>
      <c r="I57" s="122"/>
      <c r="J57" s="119"/>
      <c r="K57" s="120"/>
      <c r="L57" s="121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66"/>
      <c r="X57" s="67"/>
      <c r="Y57" s="68"/>
      <c r="Z57" s="68"/>
      <c r="AA57" s="62">
        <f t="shared" si="17"/>
        <v>0</v>
      </c>
      <c r="AB57" s="63">
        <f t="shared" si="18"/>
        <v>0</v>
      </c>
      <c r="AC57" s="69"/>
      <c r="AD57" s="70"/>
      <c r="AE57" s="70"/>
      <c r="AF57" s="62">
        <f t="shared" si="19"/>
        <v>0</v>
      </c>
      <c r="AG57" s="63">
        <f t="shared" si="20"/>
        <v>0</v>
      </c>
      <c r="AH57" s="89"/>
      <c r="AI57" s="66"/>
      <c r="AJ57" s="66"/>
      <c r="AK57" s="62">
        <f t="shared" si="49"/>
        <v>0</v>
      </c>
      <c r="AL57" s="72">
        <f t="shared" si="34"/>
        <v>0</v>
      </c>
      <c r="AM57" s="73">
        <f t="shared" si="50"/>
        <v>0</v>
      </c>
      <c r="AN57" s="80">
        <f t="shared" si="51"/>
        <v>0</v>
      </c>
      <c r="AO57" s="80">
        <f t="shared" si="52"/>
        <v>0</v>
      </c>
      <c r="AP57" s="75" t="e">
        <f t="shared" si="24"/>
        <v>#DIV/0!</v>
      </c>
      <c r="AQ57" s="76">
        <f t="shared" si="25"/>
        <v>0</v>
      </c>
      <c r="AR57" s="90">
        <f t="shared" si="48"/>
        <v>0</v>
      </c>
    </row>
    <row r="58" spans="1:49" x14ac:dyDescent="0.25">
      <c r="A58" t="str">
        <f t="shared" si="13"/>
        <v>46231M</v>
      </c>
      <c r="B58" s="51">
        <f t="shared" si="27"/>
        <v>46231</v>
      </c>
      <c r="C58" s="52" t="s">
        <v>87</v>
      </c>
      <c r="D58" s="91"/>
      <c r="E58" s="62"/>
      <c r="F58" s="62"/>
      <c r="G58" s="62">
        <f t="shared" ref="G58:G65" si="55">+D58*E58%</f>
        <v>0</v>
      </c>
      <c r="H58" s="72">
        <f t="shared" ref="H58:H65" si="56">+D58*F58%</f>
        <v>0</v>
      </c>
      <c r="I58" s="122"/>
      <c r="J58" s="119"/>
      <c r="K58" s="120"/>
      <c r="L58" s="121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17"/>
        <v>0</v>
      </c>
      <c r="AB58" s="63">
        <f t="shared" si="18"/>
        <v>0</v>
      </c>
      <c r="AC58" s="69"/>
      <c r="AD58" s="70"/>
      <c r="AE58" s="70"/>
      <c r="AF58" s="62">
        <f t="shared" ref="AF58:AF59" si="57">AC58*AD58%</f>
        <v>0</v>
      </c>
      <c r="AG58" s="63">
        <f t="shared" si="20"/>
        <v>0</v>
      </c>
      <c r="AH58" s="89"/>
      <c r="AI58" s="66"/>
      <c r="AJ58" s="66"/>
      <c r="AK58" s="62">
        <f t="shared" si="49"/>
        <v>0</v>
      </c>
      <c r="AL58" s="72">
        <f t="shared" si="34"/>
        <v>0</v>
      </c>
      <c r="AM58" s="73">
        <f t="shared" si="50"/>
        <v>0</v>
      </c>
      <c r="AN58" s="80">
        <f t="shared" si="51"/>
        <v>0</v>
      </c>
      <c r="AO58" s="80">
        <f t="shared" si="52"/>
        <v>0</v>
      </c>
      <c r="AP58" s="75" t="e">
        <f t="shared" si="24"/>
        <v>#DIV/0!</v>
      </c>
      <c r="AQ58" s="76">
        <f t="shared" si="25"/>
        <v>0</v>
      </c>
      <c r="AR58" s="90">
        <f t="shared" si="32"/>
        <v>0</v>
      </c>
    </row>
    <row r="59" spans="1:49" x14ac:dyDescent="0.25">
      <c r="A59" t="str">
        <f t="shared" si="13"/>
        <v>46231E</v>
      </c>
      <c r="B59" s="51">
        <f>+B57+1</f>
        <v>46231</v>
      </c>
      <c r="C59" s="52" t="s">
        <v>88</v>
      </c>
      <c r="D59" s="91"/>
      <c r="E59" s="62"/>
      <c r="F59" s="62"/>
      <c r="G59" s="62">
        <f t="shared" si="55"/>
        <v>0</v>
      </c>
      <c r="H59" s="72">
        <f t="shared" si="56"/>
        <v>0</v>
      </c>
      <c r="I59" s="122"/>
      <c r="J59" s="119"/>
      <c r="K59" s="120"/>
      <c r="L59" s="121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17"/>
        <v>0</v>
      </c>
      <c r="AB59" s="63">
        <f t="shared" si="18"/>
        <v>0</v>
      </c>
      <c r="AC59" s="69"/>
      <c r="AD59" s="70"/>
      <c r="AE59" s="70"/>
      <c r="AF59" s="62">
        <f t="shared" si="57"/>
        <v>0</v>
      </c>
      <c r="AG59" s="63">
        <f t="shared" si="20"/>
        <v>0</v>
      </c>
      <c r="AH59" s="89"/>
      <c r="AI59" s="66"/>
      <c r="AJ59" s="66"/>
      <c r="AK59" s="62">
        <f t="shared" si="49"/>
        <v>0</v>
      </c>
      <c r="AL59" s="72">
        <f t="shared" si="34"/>
        <v>0</v>
      </c>
      <c r="AM59" s="73">
        <f t="shared" si="50"/>
        <v>0</v>
      </c>
      <c r="AN59" s="80">
        <f t="shared" si="51"/>
        <v>0</v>
      </c>
      <c r="AO59" s="80">
        <f t="shared" si="52"/>
        <v>0</v>
      </c>
      <c r="AP59" s="75" t="e">
        <f t="shared" si="24"/>
        <v>#DIV/0!</v>
      </c>
      <c r="AQ59" s="76">
        <f t="shared" si="25"/>
        <v>0</v>
      </c>
      <c r="AR59" s="90">
        <f t="shared" si="32"/>
        <v>0</v>
      </c>
    </row>
    <row r="60" spans="1:49" x14ac:dyDescent="0.25">
      <c r="A60" t="str">
        <f t="shared" si="13"/>
        <v>46232M</v>
      </c>
      <c r="B60" s="51">
        <f>+B58+1</f>
        <v>46232</v>
      </c>
      <c r="C60" s="52" t="s">
        <v>87</v>
      </c>
      <c r="D60" s="89"/>
      <c r="E60" s="66"/>
      <c r="F60" s="66"/>
      <c r="G60" s="62">
        <f t="shared" si="55"/>
        <v>0</v>
      </c>
      <c r="H60" s="72">
        <f t="shared" si="56"/>
        <v>0</v>
      </c>
      <c r="I60" s="122"/>
      <c r="J60" s="119"/>
      <c r="K60" s="120"/>
      <c r="L60" s="121"/>
      <c r="M60" s="58"/>
      <c r="N60" s="58"/>
      <c r="O60" s="59"/>
      <c r="P60" s="56"/>
      <c r="Q60" s="60"/>
      <c r="R60" s="61">
        <f t="shared" ref="R60:R65" si="58">+J60+O60</f>
        <v>0</v>
      </c>
      <c r="S60" s="62">
        <f t="shared" ref="S60:S65" si="59">+J60*K60%+O60*P60%</f>
        <v>0</v>
      </c>
      <c r="T60" s="63">
        <f t="shared" ref="T60:T65" si="60">+J60*L60%+O60*Q60%</f>
        <v>0</v>
      </c>
      <c r="U60" s="64"/>
      <c r="V60" s="65"/>
      <c r="W60" s="66"/>
      <c r="X60" s="67"/>
      <c r="Y60" s="68"/>
      <c r="Z60" s="68"/>
      <c r="AA60" s="62">
        <f t="shared" ref="AA60:AA65" si="61">X60*Y60%</f>
        <v>0</v>
      </c>
      <c r="AB60" s="63">
        <f t="shared" ref="AB60:AB65" si="62">X60*Z60%</f>
        <v>0</v>
      </c>
      <c r="AC60" s="69"/>
      <c r="AD60" s="70"/>
      <c r="AE60" s="70"/>
      <c r="AF60" s="62">
        <f t="shared" ref="AF60:AF65" si="63">AC60*AD60%</f>
        <v>0</v>
      </c>
      <c r="AG60" s="63">
        <f t="shared" si="20"/>
        <v>0</v>
      </c>
      <c r="AH60" s="89"/>
      <c r="AI60" s="66"/>
      <c r="AJ60" s="66"/>
      <c r="AK60" s="62">
        <f t="shared" ref="AK60:AK65" si="64">AH60*AI60%</f>
        <v>0</v>
      </c>
      <c r="AL60" s="72">
        <f t="shared" si="34"/>
        <v>0</v>
      </c>
      <c r="AM60" s="73">
        <f t="shared" ref="AM60:AM65" si="65">+D60+R60-AC60-AH60</f>
        <v>0</v>
      </c>
      <c r="AN60" s="80">
        <f t="shared" ref="AN60:AN65" si="66">+G60+S60-AF60-AK60</f>
        <v>0</v>
      </c>
      <c r="AO60" s="80">
        <f t="shared" ref="AO60:AO65" si="67">+H60+T60-AG60-AL60</f>
        <v>0</v>
      </c>
      <c r="AP60" s="75" t="e">
        <f t="shared" ref="AP60:AP65" si="68">(AN60+AO60)/(S60+T60)</f>
        <v>#DIV/0!</v>
      </c>
      <c r="AQ60" s="76">
        <f t="shared" ref="AQ60:AQ65" si="69">($AP$1*AN60+$AQ$1*AO60)</f>
        <v>0</v>
      </c>
      <c r="AR60" s="90">
        <f t="shared" si="32"/>
        <v>0</v>
      </c>
    </row>
    <row r="61" spans="1:49" x14ac:dyDescent="0.25">
      <c r="A61" t="str">
        <f t="shared" si="13"/>
        <v>46232E</v>
      </c>
      <c r="B61" s="51">
        <f t="shared" si="27"/>
        <v>46232</v>
      </c>
      <c r="C61" s="52" t="s">
        <v>88</v>
      </c>
      <c r="D61" s="91"/>
      <c r="E61" s="62"/>
      <c r="F61" s="62"/>
      <c r="G61" s="62">
        <f t="shared" si="55"/>
        <v>0</v>
      </c>
      <c r="H61" s="72">
        <f t="shared" si="56"/>
        <v>0</v>
      </c>
      <c r="I61" s="122"/>
      <c r="J61" s="119"/>
      <c r="K61" s="120"/>
      <c r="L61" s="121"/>
      <c r="M61" s="58"/>
      <c r="N61" s="58"/>
      <c r="O61" s="59"/>
      <c r="P61" s="56"/>
      <c r="Q61" s="60"/>
      <c r="R61" s="61">
        <f t="shared" si="58"/>
        <v>0</v>
      </c>
      <c r="S61" s="62">
        <f t="shared" si="59"/>
        <v>0</v>
      </c>
      <c r="T61" s="63">
        <f t="shared" si="60"/>
        <v>0</v>
      </c>
      <c r="U61" s="64"/>
      <c r="V61" s="65"/>
      <c r="W61" s="66"/>
      <c r="X61" s="67"/>
      <c r="Y61" s="68"/>
      <c r="Z61" s="68"/>
      <c r="AA61" s="62">
        <f t="shared" si="61"/>
        <v>0</v>
      </c>
      <c r="AB61" s="63">
        <f t="shared" si="62"/>
        <v>0</v>
      </c>
      <c r="AC61" s="69"/>
      <c r="AD61" s="70"/>
      <c r="AE61" s="70"/>
      <c r="AF61" s="62">
        <f t="shared" si="63"/>
        <v>0</v>
      </c>
      <c r="AG61" s="63">
        <f t="shared" si="20"/>
        <v>0</v>
      </c>
      <c r="AH61" s="89"/>
      <c r="AI61" s="66"/>
      <c r="AJ61" s="66"/>
      <c r="AK61" s="62">
        <f t="shared" si="64"/>
        <v>0</v>
      </c>
      <c r="AL61" s="72">
        <f t="shared" si="34"/>
        <v>0</v>
      </c>
      <c r="AM61" s="73">
        <f t="shared" si="65"/>
        <v>0</v>
      </c>
      <c r="AN61" s="80">
        <f t="shared" si="66"/>
        <v>0</v>
      </c>
      <c r="AO61" s="80">
        <f t="shared" si="67"/>
        <v>0</v>
      </c>
      <c r="AP61" s="75" t="e">
        <f t="shared" si="68"/>
        <v>#DIV/0!</v>
      </c>
      <c r="AQ61" s="76">
        <f t="shared" si="69"/>
        <v>0</v>
      </c>
      <c r="AR61" s="90">
        <f t="shared" si="3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3"/>
        <v>46233M</v>
      </c>
      <c r="B62" s="51">
        <f t="shared" si="27"/>
        <v>46233</v>
      </c>
      <c r="C62" s="52" t="s">
        <v>87</v>
      </c>
      <c r="D62" s="91"/>
      <c r="E62" s="62"/>
      <c r="F62" s="62"/>
      <c r="G62" s="62">
        <f t="shared" si="55"/>
        <v>0</v>
      </c>
      <c r="H62" s="72">
        <f t="shared" si="56"/>
        <v>0</v>
      </c>
      <c r="I62" s="122"/>
      <c r="J62" s="119"/>
      <c r="K62" s="120"/>
      <c r="L62" s="121"/>
      <c r="M62" s="58"/>
      <c r="N62" s="58"/>
      <c r="O62" s="59"/>
      <c r="P62" s="56"/>
      <c r="Q62" s="60"/>
      <c r="R62" s="61">
        <f t="shared" si="58"/>
        <v>0</v>
      </c>
      <c r="S62" s="62">
        <f t="shared" si="59"/>
        <v>0</v>
      </c>
      <c r="T62" s="63">
        <f t="shared" si="60"/>
        <v>0</v>
      </c>
      <c r="U62" s="64"/>
      <c r="V62" s="65"/>
      <c r="W62" s="66"/>
      <c r="X62" s="67"/>
      <c r="Y62" s="68"/>
      <c r="Z62" s="68"/>
      <c r="AA62" s="62">
        <f t="shared" si="61"/>
        <v>0</v>
      </c>
      <c r="AB62" s="63">
        <f t="shared" si="62"/>
        <v>0</v>
      </c>
      <c r="AC62" s="69"/>
      <c r="AD62" s="70"/>
      <c r="AE62" s="70"/>
      <c r="AF62" s="62">
        <f t="shared" si="63"/>
        <v>0</v>
      </c>
      <c r="AG62" s="63">
        <f t="shared" si="20"/>
        <v>0</v>
      </c>
      <c r="AH62" s="89"/>
      <c r="AI62" s="66"/>
      <c r="AJ62" s="66"/>
      <c r="AK62" s="62">
        <f t="shared" si="64"/>
        <v>0</v>
      </c>
      <c r="AL62" s="72">
        <f t="shared" si="34"/>
        <v>0</v>
      </c>
      <c r="AM62" s="73">
        <f t="shared" si="65"/>
        <v>0</v>
      </c>
      <c r="AN62" s="80">
        <f t="shared" si="66"/>
        <v>0</v>
      </c>
      <c r="AO62" s="80">
        <f t="shared" si="67"/>
        <v>0</v>
      </c>
      <c r="AP62" s="75" t="e">
        <f t="shared" si="68"/>
        <v>#DIV/0!</v>
      </c>
      <c r="AQ62" s="76">
        <f t="shared" si="69"/>
        <v>0</v>
      </c>
      <c r="AR62" s="90">
        <f t="shared" si="32"/>
        <v>0</v>
      </c>
    </row>
    <row r="63" spans="1:49" x14ac:dyDescent="0.25">
      <c r="A63" t="str">
        <f t="shared" si="13"/>
        <v>46233E</v>
      </c>
      <c r="B63" s="51">
        <f t="shared" si="27"/>
        <v>46233</v>
      </c>
      <c r="C63" s="52" t="s">
        <v>88</v>
      </c>
      <c r="D63" s="91"/>
      <c r="E63" s="62"/>
      <c r="F63" s="62"/>
      <c r="G63" s="62">
        <f t="shared" si="55"/>
        <v>0</v>
      </c>
      <c r="H63" s="72">
        <f t="shared" si="56"/>
        <v>0</v>
      </c>
      <c r="I63" s="122"/>
      <c r="J63" s="119"/>
      <c r="K63" s="120"/>
      <c r="L63" s="121"/>
      <c r="M63" s="58"/>
      <c r="N63" s="58"/>
      <c r="O63" s="59"/>
      <c r="P63" s="56"/>
      <c r="Q63" s="60"/>
      <c r="R63" s="61">
        <f t="shared" si="58"/>
        <v>0</v>
      </c>
      <c r="S63" s="62">
        <f t="shared" si="59"/>
        <v>0</v>
      </c>
      <c r="T63" s="63">
        <f t="shared" si="60"/>
        <v>0</v>
      </c>
      <c r="U63" s="64"/>
      <c r="V63" s="65"/>
      <c r="W63" s="66"/>
      <c r="X63" s="67"/>
      <c r="Y63" s="68"/>
      <c r="Z63" s="68"/>
      <c r="AA63" s="62">
        <f t="shared" si="61"/>
        <v>0</v>
      </c>
      <c r="AB63" s="63">
        <f t="shared" si="62"/>
        <v>0</v>
      </c>
      <c r="AC63" s="69"/>
      <c r="AD63" s="70"/>
      <c r="AE63" s="70"/>
      <c r="AF63" s="62">
        <f t="shared" si="63"/>
        <v>0</v>
      </c>
      <c r="AG63" s="63">
        <f t="shared" si="20"/>
        <v>0</v>
      </c>
      <c r="AH63" s="89"/>
      <c r="AI63" s="66"/>
      <c r="AJ63" s="66"/>
      <c r="AK63" s="62">
        <f t="shared" si="64"/>
        <v>0</v>
      </c>
      <c r="AL63" s="72">
        <f t="shared" si="34"/>
        <v>0</v>
      </c>
      <c r="AM63" s="73">
        <f t="shared" si="65"/>
        <v>0</v>
      </c>
      <c r="AN63" s="80">
        <f t="shared" si="66"/>
        <v>0</v>
      </c>
      <c r="AO63" s="80">
        <f t="shared" si="67"/>
        <v>0</v>
      </c>
      <c r="AP63" s="75" t="e">
        <f t="shared" si="68"/>
        <v>#DIV/0!</v>
      </c>
      <c r="AQ63" s="76">
        <f t="shared" si="69"/>
        <v>0</v>
      </c>
      <c r="AR63" s="90">
        <f t="shared" si="32"/>
        <v>0</v>
      </c>
    </row>
    <row r="64" spans="1:49" x14ac:dyDescent="0.25">
      <c r="A64" t="str">
        <f t="shared" si="13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55"/>
        <v>0</v>
      </c>
      <c r="H64" s="72">
        <f t="shared" si="56"/>
        <v>0</v>
      </c>
      <c r="I64" s="122"/>
      <c r="J64" s="119"/>
      <c r="K64" s="120"/>
      <c r="L64" s="120"/>
      <c r="M64" s="58"/>
      <c r="N64" s="58"/>
      <c r="O64" s="59"/>
      <c r="P64" s="56"/>
      <c r="Q64" s="60"/>
      <c r="R64" s="61">
        <f t="shared" si="58"/>
        <v>0</v>
      </c>
      <c r="S64" s="62">
        <f t="shared" si="59"/>
        <v>0</v>
      </c>
      <c r="T64" s="63">
        <f t="shared" si="60"/>
        <v>0</v>
      </c>
      <c r="U64" s="64"/>
      <c r="V64" s="65"/>
      <c r="W64" s="66"/>
      <c r="X64" s="67"/>
      <c r="Y64" s="68"/>
      <c r="Z64" s="68"/>
      <c r="AA64" s="62">
        <f t="shared" si="61"/>
        <v>0</v>
      </c>
      <c r="AB64" s="63">
        <f t="shared" si="62"/>
        <v>0</v>
      </c>
      <c r="AC64" s="69"/>
      <c r="AD64" s="70"/>
      <c r="AE64" s="70"/>
      <c r="AF64" s="62">
        <f t="shared" si="63"/>
        <v>0</v>
      </c>
      <c r="AG64" s="63">
        <f t="shared" si="20"/>
        <v>0</v>
      </c>
      <c r="AH64" s="89"/>
      <c r="AI64" s="66"/>
      <c r="AJ64" s="66"/>
      <c r="AK64" s="62">
        <f t="shared" si="64"/>
        <v>0</v>
      </c>
      <c r="AL64" s="72">
        <f t="shared" si="34"/>
        <v>0</v>
      </c>
      <c r="AM64" s="73">
        <f t="shared" si="65"/>
        <v>0</v>
      </c>
      <c r="AN64" s="80">
        <f t="shared" si="66"/>
        <v>0</v>
      </c>
      <c r="AO64" s="80">
        <f t="shared" si="67"/>
        <v>0</v>
      </c>
      <c r="AP64" s="75" t="e">
        <f t="shared" si="68"/>
        <v>#DIV/0!</v>
      </c>
      <c r="AQ64" s="76">
        <f t="shared" si="69"/>
        <v>0</v>
      </c>
      <c r="AR64" s="90">
        <f t="shared" si="32"/>
        <v>0</v>
      </c>
    </row>
    <row r="65" spans="1:49" x14ac:dyDescent="0.25">
      <c r="A65" t="str">
        <f t="shared" si="13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55"/>
        <v>0</v>
      </c>
      <c r="H65" s="72">
        <f t="shared" si="56"/>
        <v>0</v>
      </c>
      <c r="I65" s="122"/>
      <c r="J65" s="119"/>
      <c r="K65" s="120"/>
      <c r="L65" s="120"/>
      <c r="M65" s="58"/>
      <c r="N65" s="58"/>
      <c r="O65" s="59"/>
      <c r="P65" s="56"/>
      <c r="Q65" s="60"/>
      <c r="R65" s="61">
        <f t="shared" si="58"/>
        <v>0</v>
      </c>
      <c r="S65" s="62">
        <f t="shared" si="59"/>
        <v>0</v>
      </c>
      <c r="T65" s="63">
        <f t="shared" si="60"/>
        <v>0</v>
      </c>
      <c r="U65" s="64"/>
      <c r="V65" s="65"/>
      <c r="W65" s="66"/>
      <c r="X65" s="67"/>
      <c r="Y65" s="68"/>
      <c r="Z65" s="68"/>
      <c r="AA65" s="62">
        <f t="shared" si="61"/>
        <v>0</v>
      </c>
      <c r="AB65" s="63">
        <f t="shared" si="62"/>
        <v>0</v>
      </c>
      <c r="AC65" s="69"/>
      <c r="AD65" s="70"/>
      <c r="AE65" s="70"/>
      <c r="AF65" s="62">
        <f t="shared" si="63"/>
        <v>0</v>
      </c>
      <c r="AG65" s="63">
        <f t="shared" si="20"/>
        <v>0</v>
      </c>
      <c r="AH65" s="89"/>
      <c r="AI65" s="66"/>
      <c r="AJ65" s="66"/>
      <c r="AK65" s="62">
        <f t="shared" si="64"/>
        <v>0</v>
      </c>
      <c r="AL65" s="72">
        <f t="shared" si="34"/>
        <v>0</v>
      </c>
      <c r="AM65" s="73">
        <f t="shared" si="65"/>
        <v>0</v>
      </c>
      <c r="AN65" s="80">
        <f t="shared" si="66"/>
        <v>0</v>
      </c>
      <c r="AO65" s="80">
        <f t="shared" si="67"/>
        <v>0</v>
      </c>
      <c r="AP65" s="75" t="e">
        <f t="shared" si="68"/>
        <v>#DIV/0!</v>
      </c>
      <c r="AQ65" s="76">
        <f t="shared" si="69"/>
        <v>0</v>
      </c>
      <c r="AR65" s="90">
        <f t="shared" si="32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89948.767000000022</v>
      </c>
      <c r="AM66" s="83">
        <f>-SUM(AM4:AM65)</f>
        <v>-1258.7670000000107</v>
      </c>
      <c r="AN66" s="83">
        <f t="shared" ref="AN66:AO66" si="70">-SUM(AN4:AN65)</f>
        <v>66.279145000000312</v>
      </c>
      <c r="AO66" s="83">
        <f t="shared" si="70"/>
        <v>-76.154779000000872</v>
      </c>
      <c r="AQ66" s="83">
        <f>-SUM(AQ4:AQ65)</f>
        <v>9041.6079800254302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2" operator="lessThan">
      <formula>0.1</formula>
    </cfRule>
    <cfRule type="cellIs" dxfId="3" priority="3" operator="greaterThan">
      <formula>0.1</formula>
    </cfRule>
  </conditionalFormatting>
  <conditionalFormatting sqref="AP1:AQ1">
    <cfRule type="cellIs" dxfId="2" priority="1" operator="lessThan">
      <formula>1</formula>
    </cfRule>
  </conditionalFormatting>
  <conditionalFormatting sqref="AQ4:AQ65">
    <cfRule type="cellIs" dxfId="1" priority="12" operator="less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Sumarry</vt:lpstr>
      <vt:lpstr>Manjhaul</vt:lpstr>
      <vt:lpstr>Hasanpur</vt:lpstr>
      <vt:lpstr>Singhia </vt:lpstr>
      <vt:lpstr>Sahibpur Kamal</vt:lpstr>
      <vt:lpstr>Matihani</vt:lpstr>
      <vt:lpstr>Bachhwara</vt:lpstr>
      <vt:lpstr>Alauli</vt:lpstr>
      <vt:lpstr>Dalsingsarai</vt:lpstr>
      <vt:lpstr>Musrigharari</vt:lpstr>
      <vt:lpstr>Mahua</vt:lpstr>
      <vt:lpstr>Warisnagar</vt:lpstr>
      <vt:lpstr>Rosera</vt:lpstr>
      <vt:lpstr>Kalyanpur</vt:lpstr>
      <vt:lpstr>Gaighat</vt:lpstr>
      <vt:lpstr>Buxar</vt:lpstr>
      <vt:lpstr>Asarganj</vt:lpstr>
      <vt:lpstr>Laldiyara</vt:lpstr>
      <vt:lpstr>Parbatta</vt:lpstr>
      <vt:lpstr>Gopalpur</vt:lpstr>
      <vt:lpstr>Sonvarsha</vt:lpstr>
      <vt:lpstr>Madhatpur</vt:lpstr>
      <vt:lpstr>Araiya</vt:lpstr>
      <vt:lpstr>Chautham</vt:lpstr>
      <vt:lpstr>Teghra</vt:lpstr>
      <vt:lpstr>Halsi</vt:lpstr>
      <vt:lpstr>Sumarry!Print_Area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dcterms:created xsi:type="dcterms:W3CDTF">2015-06-05T18:17:20Z</dcterms:created>
  <dcterms:modified xsi:type="dcterms:W3CDTF">2026-07-13T10:39:55Z</dcterms:modified>
</cp:coreProperties>
</file>