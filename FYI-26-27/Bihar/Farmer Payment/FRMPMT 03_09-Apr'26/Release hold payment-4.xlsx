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03_09-Apr'26\"/>
    </mc:Choice>
  </mc:AlternateContent>
  <xr:revisionPtr revIDLastSave="0" documentId="8_{E814D776-E5AD-448E-82C7-3D3341B27187}" xr6:coauthVersionLast="47" xr6:coauthVersionMax="47" xr10:uidLastSave="{00000000-0000-0000-0000-000000000000}"/>
  <bookViews>
    <workbookView xWindow="-120" yWindow="-120" windowWidth="29040" windowHeight="15720" xr2:uid="{D2F48332-8BCB-4DFA-87BF-477BED5F96EA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0" i="2" l="1"/>
</calcChain>
</file>

<file path=xl/sharedStrings.xml><?xml version="1.0" encoding="utf-8"?>
<sst xmlns="http://schemas.openxmlformats.org/spreadsheetml/2006/main" count="1090" uniqueCount="397">
  <si>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</si>
  <si>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</si>
  <si>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</si>
  <si>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</si>
  <si>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</si>
  <si>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</si>
  <si>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</si>
  <si>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</si>
  <si>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</si>
  <si>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</si>
  <si>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</si>
  <si>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</si>
  <si>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</si>
  <si>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</si>
  <si>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</si>
  <si>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</si>
  <si>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</si>
  <si>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</si>
  <si>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</si>
  <si>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</si>
  <si>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</si>
  <si>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</si>
  <si>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</si>
  <si>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</si>
  <si>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</si>
  <si>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</si>
  <si>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</si>
  <si>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</si>
  <si>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</si>
  <si>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</si>
  <si>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Laldiyara</t>
  </si>
  <si>
    <t>RAMNAGAR</t>
  </si>
  <si>
    <t>MPG</t>
  </si>
  <si>
    <t>Direct</t>
  </si>
  <si>
    <t>Release4</t>
  </si>
  <si>
    <t>CF OS &gt;15 Day's</t>
  </si>
  <si>
    <t>02. 03-09 Apr</t>
  </si>
  <si>
    <t>Asarganj</t>
  </si>
  <si>
    <t>CHORGAUN</t>
  </si>
  <si>
    <t>Sonvarsha</t>
  </si>
  <si>
    <t xml:space="preserve">LAKHOCHAK                                                                                           </t>
  </si>
  <si>
    <t>Letter not received</t>
  </si>
  <si>
    <t>Hasanpur</t>
  </si>
  <si>
    <t>Sakhwa Ghat</t>
  </si>
  <si>
    <t>Behiya BMC</t>
  </si>
  <si>
    <t>Gomukh Charghat</t>
  </si>
  <si>
    <t>Hold by sushil sir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</si>
  <si>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</si>
  <si>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</si>
  <si>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</si>
  <si>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</si>
  <si>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</si>
  <si>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</si>
  <si>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</si>
  <si>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</si>
  <si>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</si>
  <si>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</si>
  <si>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</si>
  <si>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</si>
  <si>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</si>
  <si>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</si>
  <si>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</si>
  <si>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</si>
  <si>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</si>
  <si>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</si>
  <si>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</si>
  <si>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</si>
  <si>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100200750003</t>
  </si>
  <si>
    <t>0003</t>
  </si>
  <si>
    <t xml:space="preserve">Yogesh Sharma </t>
  </si>
  <si>
    <t>1648001700118133</t>
  </si>
  <si>
    <t>PUNB0164800</t>
  </si>
  <si>
    <t xml:space="preserve">Punjab National Bank </t>
  </si>
  <si>
    <t>Available</t>
  </si>
  <si>
    <t>100200750006</t>
  </si>
  <si>
    <t>0006</t>
  </si>
  <si>
    <t>Lagani Devi</t>
  </si>
  <si>
    <t>31010131063093</t>
  </si>
  <si>
    <t>PUNB0MBGB06</t>
  </si>
  <si>
    <t xml:space="preserve">Dakshin Bihar Gramin Bank </t>
  </si>
  <si>
    <t>100200750007</t>
  </si>
  <si>
    <t>0007</t>
  </si>
  <si>
    <t>Prabhat Kumar Ranjan</t>
  </si>
  <si>
    <t>3936000100246866</t>
  </si>
  <si>
    <t>PUNB0393600</t>
  </si>
  <si>
    <t>100200750010</t>
  </si>
  <si>
    <t>0010</t>
  </si>
  <si>
    <t>Sanjeev Kumar</t>
  </si>
  <si>
    <t>31020110171939</t>
  </si>
  <si>
    <t>Bihar Gramin Bank</t>
  </si>
  <si>
    <t>100200750012</t>
  </si>
  <si>
    <t>0012</t>
  </si>
  <si>
    <t>Gautam Kumar</t>
  </si>
  <si>
    <t>3936000100258436</t>
  </si>
  <si>
    <t>100200750014</t>
  </si>
  <si>
    <t>0014</t>
  </si>
  <si>
    <t>Naresh Kumar</t>
  </si>
  <si>
    <t>1648001700118072</t>
  </si>
  <si>
    <t>100200750015</t>
  </si>
  <si>
    <t>0015</t>
  </si>
  <si>
    <t>Surendra Kumar</t>
  </si>
  <si>
    <t>23500110055182</t>
  </si>
  <si>
    <t>UCBA0002350</t>
  </si>
  <si>
    <t xml:space="preserve">Uco Bank </t>
  </si>
  <si>
    <t>100200750017</t>
  </si>
  <si>
    <t>0017</t>
  </si>
  <si>
    <t>Raghubir Kumar</t>
  </si>
  <si>
    <t>40291449034</t>
  </si>
  <si>
    <t>SBIN0002968</t>
  </si>
  <si>
    <t xml:space="preserve">State Bank of India </t>
  </si>
  <si>
    <t>100200750019</t>
  </si>
  <si>
    <t>0019</t>
  </si>
  <si>
    <t>Mohit Kumar</t>
  </si>
  <si>
    <t>110112616420</t>
  </si>
  <si>
    <t>CNRB0003288</t>
  </si>
  <si>
    <t>Canara Bank</t>
  </si>
  <si>
    <t>100200750024</t>
  </si>
  <si>
    <t>0024</t>
  </si>
  <si>
    <t>Nivash Kumar</t>
  </si>
  <si>
    <t>42979437387</t>
  </si>
  <si>
    <t>100200750025</t>
  </si>
  <si>
    <t>0025</t>
  </si>
  <si>
    <t xml:space="preserve">Pinki Devi </t>
  </si>
  <si>
    <t>31050110085047</t>
  </si>
  <si>
    <t>100200750028</t>
  </si>
  <si>
    <t>0028</t>
  </si>
  <si>
    <t>Ravindra Yadav</t>
  </si>
  <si>
    <t>3936000100282901</t>
  </si>
  <si>
    <t>100300270001</t>
  </si>
  <si>
    <t>0001</t>
  </si>
  <si>
    <t>Not Available</t>
  </si>
  <si>
    <t>100300270002</t>
  </si>
  <si>
    <t>0002</t>
  </si>
  <si>
    <t xml:space="preserve">Ashok Kumar  </t>
  </si>
  <si>
    <t>35080796824</t>
  </si>
  <si>
    <t>SBIN0003527</t>
  </si>
  <si>
    <t>100300270003</t>
  </si>
  <si>
    <t xml:space="preserve">Kanchan Devi </t>
  </si>
  <si>
    <t>16373211162735</t>
  </si>
  <si>
    <t>UCBA0001637</t>
  </si>
  <si>
    <t>Uco Bank</t>
  </si>
  <si>
    <t>100300270005</t>
  </si>
  <si>
    <t>0005</t>
  </si>
  <si>
    <t>Krishna Nand Singh</t>
  </si>
  <si>
    <t>27680110014479</t>
  </si>
  <si>
    <t>UCBA0002768</t>
  </si>
  <si>
    <t>100300270007</t>
  </si>
  <si>
    <t xml:space="preserve">Rekha Devi </t>
  </si>
  <si>
    <t>37963683512</t>
  </si>
  <si>
    <t>100300270010</t>
  </si>
  <si>
    <t>Kishor Kumar Singh</t>
  </si>
  <si>
    <t>38856162525</t>
  </si>
  <si>
    <t>100300270012</t>
  </si>
  <si>
    <t xml:space="preserve">Sulochna Devi </t>
  </si>
  <si>
    <t>20362437461</t>
  </si>
  <si>
    <t>100300270017</t>
  </si>
  <si>
    <t xml:space="preserve">Kiran Devi </t>
  </si>
  <si>
    <t>34417528877</t>
  </si>
  <si>
    <t>100300270030</t>
  </si>
  <si>
    <t>0030</t>
  </si>
  <si>
    <t>Ganesh Yadav</t>
  </si>
  <si>
    <t>27680110004036</t>
  </si>
  <si>
    <t>100300270067</t>
  </si>
  <si>
    <t>0067</t>
  </si>
  <si>
    <t xml:space="preserve">Champa Devi </t>
  </si>
  <si>
    <t>32160131028114</t>
  </si>
  <si>
    <t xml:space="preserve">Bihar Gramin Bank </t>
  </si>
  <si>
    <t>100300270072</t>
  </si>
  <si>
    <t>0072</t>
  </si>
  <si>
    <t xml:space="preserve">Vivek kumari </t>
  </si>
  <si>
    <t>38774591308</t>
  </si>
  <si>
    <t>100300270074</t>
  </si>
  <si>
    <t>0074</t>
  </si>
  <si>
    <t>Mahendra Singh</t>
  </si>
  <si>
    <t>33846075232</t>
  </si>
  <si>
    <t>100300270076</t>
  </si>
  <si>
    <t>0076</t>
  </si>
  <si>
    <t xml:space="preserve">Gunjan Devi </t>
  </si>
  <si>
    <t>35954828644</t>
  </si>
  <si>
    <t>100300270102</t>
  </si>
  <si>
    <t>0102</t>
  </si>
  <si>
    <t>Nandkishor Singh</t>
  </si>
  <si>
    <t>16373211173786</t>
  </si>
  <si>
    <t>100300270103</t>
  </si>
  <si>
    <t>0103</t>
  </si>
  <si>
    <t xml:space="preserve">Heena Kumari </t>
  </si>
  <si>
    <t>699702120000731</t>
  </si>
  <si>
    <t>UBIN0569976</t>
  </si>
  <si>
    <t xml:space="preserve">Union Bank Of India </t>
  </si>
  <si>
    <t>100300270107</t>
  </si>
  <si>
    <t>0107</t>
  </si>
  <si>
    <t xml:space="preserve">Abdhesh Singh </t>
  </si>
  <si>
    <t>32160131005096</t>
  </si>
  <si>
    <t>100300270131</t>
  </si>
  <si>
    <t>0131</t>
  </si>
  <si>
    <t xml:space="preserve">Rinku Devi </t>
  </si>
  <si>
    <t>32673472324</t>
  </si>
  <si>
    <t>100300270144</t>
  </si>
  <si>
    <t>0144</t>
  </si>
  <si>
    <t xml:space="preserve">Anju Devi </t>
  </si>
  <si>
    <t>27680110107294</t>
  </si>
  <si>
    <t>100300270147</t>
  </si>
  <si>
    <t>0147</t>
  </si>
  <si>
    <t>Shri Kant Yadav</t>
  </si>
  <si>
    <t>32160131033833</t>
  </si>
  <si>
    <t>100300270156</t>
  </si>
  <si>
    <t>0156</t>
  </si>
  <si>
    <t xml:space="preserve">Shila devi </t>
  </si>
  <si>
    <t>27680110092637</t>
  </si>
  <si>
    <t>100300270161</t>
  </si>
  <si>
    <t>0161</t>
  </si>
  <si>
    <t>Vijay Bind</t>
  </si>
  <si>
    <t>39469304554</t>
  </si>
  <si>
    <t>100300270173</t>
  </si>
  <si>
    <t>0173</t>
  </si>
  <si>
    <t>Mithlesh Kumar</t>
  </si>
  <si>
    <t>27683211022343</t>
  </si>
  <si>
    <t>UCBA0002767</t>
  </si>
  <si>
    <t>100300270184</t>
  </si>
  <si>
    <t>0184</t>
  </si>
  <si>
    <t>Raj Ranjan</t>
  </si>
  <si>
    <t>31040891420</t>
  </si>
  <si>
    <t>SBIN0012531</t>
  </si>
  <si>
    <t>100300270185</t>
  </si>
  <si>
    <t>0185</t>
  </si>
  <si>
    <t>Prashant Kumar</t>
  </si>
  <si>
    <t>16370110073582</t>
  </si>
  <si>
    <t>100300270191</t>
  </si>
  <si>
    <t>0191</t>
  </si>
  <si>
    <t>Sanju Devi</t>
  </si>
  <si>
    <t>32160131033957</t>
  </si>
  <si>
    <t>100300270192</t>
  </si>
  <si>
    <t>0192</t>
  </si>
  <si>
    <t xml:space="preserve">Sadanand Bind </t>
  </si>
  <si>
    <t>32100100007531</t>
  </si>
  <si>
    <t xml:space="preserve"> Bihar Gramin Bank </t>
  </si>
  <si>
    <t>100300270202</t>
  </si>
  <si>
    <t>0202</t>
  </si>
  <si>
    <t>Suman Devi</t>
  </si>
  <si>
    <t>35898238748</t>
  </si>
  <si>
    <t>SBI-Kiosk Banking</t>
  </si>
  <si>
    <t>100300270212</t>
  </si>
  <si>
    <t>0212</t>
  </si>
  <si>
    <t xml:space="preserve">Dilkush Kumar </t>
  </si>
  <si>
    <t>16373211130543</t>
  </si>
  <si>
    <t>100300270214</t>
  </si>
  <si>
    <t>0214</t>
  </si>
  <si>
    <t xml:space="preserve">Anita Devi </t>
  </si>
  <si>
    <t>34585195068</t>
  </si>
  <si>
    <t>100300270221</t>
  </si>
  <si>
    <t>0221</t>
  </si>
  <si>
    <t>Dayasaran Singh</t>
  </si>
  <si>
    <t>11657429453</t>
  </si>
  <si>
    <t>100300270222</t>
  </si>
  <si>
    <t>0222</t>
  </si>
  <si>
    <t>Kanhaiya Kumar Yadav</t>
  </si>
  <si>
    <t>38142951588</t>
  </si>
  <si>
    <t>100300270223</t>
  </si>
  <si>
    <t>0223</t>
  </si>
  <si>
    <t>Parekhni Devi</t>
  </si>
  <si>
    <t>32159589654</t>
  </si>
  <si>
    <t>100300270226</t>
  </si>
  <si>
    <t>0226</t>
  </si>
  <si>
    <t>Anand Mohan Singh</t>
  </si>
  <si>
    <t>16373211017264</t>
  </si>
  <si>
    <t>100300270228</t>
  </si>
  <si>
    <t>0228</t>
  </si>
  <si>
    <t>Fula Devi</t>
  </si>
  <si>
    <t>40841389943</t>
  </si>
  <si>
    <t>100300270231</t>
  </si>
  <si>
    <t>0231</t>
  </si>
  <si>
    <t>Prachi Arya</t>
  </si>
  <si>
    <t>27680110111963</t>
  </si>
  <si>
    <t>100300270236</t>
  </si>
  <si>
    <t>0236</t>
  </si>
  <si>
    <t xml:space="preserve">Baby Devi </t>
  </si>
  <si>
    <t>42971572288</t>
  </si>
  <si>
    <t>State Bank Of India</t>
  </si>
  <si>
    <t>100300270237</t>
  </si>
  <si>
    <t>0237</t>
  </si>
  <si>
    <t>Sanyukta Devi</t>
  </si>
  <si>
    <t>42368802823</t>
  </si>
  <si>
    <t>100300270238</t>
  </si>
  <si>
    <t>0238</t>
  </si>
  <si>
    <t>35937762591</t>
  </si>
  <si>
    <t>100300270239</t>
  </si>
  <si>
    <t>0239</t>
  </si>
  <si>
    <t xml:space="preserve">Rajesh Kumar </t>
  </si>
  <si>
    <t>32100131009086</t>
  </si>
  <si>
    <t xml:space="preserve">Bihar Gramin bank </t>
  </si>
  <si>
    <t>100300270240</t>
  </si>
  <si>
    <t>0240</t>
  </si>
  <si>
    <t xml:space="preserve">Rita Devi </t>
  </si>
  <si>
    <t>36116169552</t>
  </si>
  <si>
    <t>100300270241</t>
  </si>
  <si>
    <t>0241</t>
  </si>
  <si>
    <t xml:space="preserve">Premlata Kumari </t>
  </si>
  <si>
    <t>38488092111</t>
  </si>
  <si>
    <t>100600310002</t>
  </si>
  <si>
    <t>Prem Kumar</t>
  </si>
  <si>
    <t>3548110010052302</t>
  </si>
  <si>
    <t>UJVN0003548</t>
  </si>
  <si>
    <t xml:space="preserve">Ujjivan Small finance bank </t>
  </si>
  <si>
    <t>100600310090</t>
  </si>
  <si>
    <t>0090</t>
  </si>
  <si>
    <t>Manju Devi</t>
  </si>
  <si>
    <t>39160605914</t>
  </si>
  <si>
    <t>SBIN0012593</t>
  </si>
  <si>
    <t>100600310091</t>
  </si>
  <si>
    <t>0091</t>
  </si>
  <si>
    <t>Nitu Devi</t>
  </si>
  <si>
    <t>35966067934</t>
  </si>
  <si>
    <t>100600310095</t>
  </si>
  <si>
    <t>0095</t>
  </si>
  <si>
    <t>Ramniwas Kumar</t>
  </si>
  <si>
    <t>39160179188</t>
  </si>
  <si>
    <t>100600310097</t>
  </si>
  <si>
    <t>0097</t>
  </si>
  <si>
    <t>Sunny Kumar</t>
  </si>
  <si>
    <t>44043633720</t>
  </si>
  <si>
    <t>100600310100</t>
  </si>
  <si>
    <t>0100</t>
  </si>
  <si>
    <t>Chalisha Yadav</t>
  </si>
  <si>
    <t>36417030833</t>
  </si>
  <si>
    <t>100600310101</t>
  </si>
  <si>
    <t>0101</t>
  </si>
  <si>
    <t>Rajiv Ranjan Kumar</t>
  </si>
  <si>
    <t>31090100001854</t>
  </si>
  <si>
    <t>100600310102</t>
  </si>
  <si>
    <t>Nago Ram</t>
  </si>
  <si>
    <t>479102010008782</t>
  </si>
  <si>
    <t>UBIN0547913</t>
  </si>
  <si>
    <t xml:space="preserve">Union Bank of India </t>
  </si>
  <si>
    <t>100600310105</t>
  </si>
  <si>
    <t>0105</t>
  </si>
  <si>
    <t>Ravindra Kumar</t>
  </si>
  <si>
    <t>41784210895</t>
  </si>
  <si>
    <t>100600310108</t>
  </si>
  <si>
    <t>0108</t>
  </si>
  <si>
    <t>Madan Yadav</t>
  </si>
  <si>
    <t>479102010002383</t>
  </si>
  <si>
    <t>100600310110</t>
  </si>
  <si>
    <t>0110</t>
  </si>
  <si>
    <t>Muskan Kumari</t>
  </si>
  <si>
    <t>38304622256</t>
  </si>
  <si>
    <t>100600310112</t>
  </si>
  <si>
    <t>0112</t>
  </si>
  <si>
    <t>Karan Kumar</t>
  </si>
  <si>
    <t>479102120007761</t>
  </si>
  <si>
    <t>100600310113</t>
  </si>
  <si>
    <t>0113</t>
  </si>
  <si>
    <t>Lilabati Devi</t>
  </si>
  <si>
    <t>479102010016853</t>
  </si>
  <si>
    <t>100600310116</t>
  </si>
  <si>
    <t>0116</t>
  </si>
  <si>
    <t xml:space="preserve">Sudhanshu Kumar </t>
  </si>
  <si>
    <t>479102010012546</t>
  </si>
  <si>
    <t xml:space="preserve">Union Bank </t>
  </si>
  <si>
    <t>100600310118</t>
  </si>
  <si>
    <t>0118</t>
  </si>
  <si>
    <t xml:space="preserve">Manish Kumar </t>
  </si>
  <si>
    <t>479102010017845</t>
  </si>
  <si>
    <t>105800020001</t>
  </si>
  <si>
    <t>105800020002</t>
  </si>
  <si>
    <t xml:space="preserve">Rahul Kumar </t>
  </si>
  <si>
    <t>35023100170</t>
  </si>
  <si>
    <t>SBIN0016985</t>
  </si>
  <si>
    <t>105800020003</t>
  </si>
  <si>
    <t>Kumari Manisha</t>
  </si>
  <si>
    <t>35198694912</t>
  </si>
  <si>
    <t>105800020012</t>
  </si>
  <si>
    <t>Rabina Kumari</t>
  </si>
  <si>
    <t>36147071489</t>
  </si>
  <si>
    <t>SBIN0005912</t>
  </si>
  <si>
    <t>105800020014</t>
  </si>
  <si>
    <t>Laksman  Kumar</t>
  </si>
  <si>
    <t>30584891509</t>
  </si>
  <si>
    <t>105800020017</t>
  </si>
  <si>
    <t>Mahindra Yadav</t>
  </si>
  <si>
    <t>33853360479</t>
  </si>
  <si>
    <t>SBIN0006017</t>
  </si>
  <si>
    <t>106000060001</t>
  </si>
  <si>
    <t>106000060002</t>
  </si>
  <si>
    <t>Rajaram Yadav</t>
  </si>
  <si>
    <t>33192850918</t>
  </si>
  <si>
    <t>SBIN0006286</t>
  </si>
  <si>
    <t>106000060004</t>
  </si>
  <si>
    <t>0004</t>
  </si>
  <si>
    <t>Sunita Kumari</t>
  </si>
  <si>
    <t>1929001700124985</t>
  </si>
  <si>
    <t>PUNB0192900</t>
  </si>
  <si>
    <t>106000060011</t>
  </si>
  <si>
    <t>0011</t>
  </si>
  <si>
    <t>Shanti Devi</t>
  </si>
  <si>
    <t>69510100022655</t>
  </si>
  <si>
    <t xml:space="preserve">Madhya Bihar Gramin Bank </t>
  </si>
  <si>
    <t>LAKHOCHAK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</si>
</sst>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6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6" fontId="0" fillId="0" borderId="9" xfId="1" applyNumberFormat="1" applyFont="1" applyBorder="1" applyAlignment="1">
      <alignment horizontal="center"/>
    </xf>
    <xf numFmtId="166" fontId="0" fillId="0" borderId="0" xfId="0" applyNumberFormat="1"/>
  </cellXfs>
  <cellStyles count="6">
    <cellStyle name="Comma" xfId="1" builtinId="3"/>
    <cellStyle name="Comma 2" xfId="4" xr:uid="{13C10594-3063-483E-B596-B6EB3B558952}"/>
    <cellStyle name="Normal" xfId="0" builtinId="0"/>
    <cellStyle name="Normal 2" xfId="5" xr:uid="{8C9559CE-DF65-4593-85AC-A182BF983B33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9501-F8FD-462B-BD18-6CAE0AE7F88A}">
  <dimension ref="A1:AB7"/>
  <sheetViews>
    <sheetView tabSelected="1" workbookViewId="0">
      <selection activeCell="N19" sqref="N19"/>
    </sheetView>
  </sheetViews>
  <sheetFormatPr defaultRowHeight="15" x14ac:dyDescent="0.25"/>
  <cols>
    <col min="1" max="1" width="5.85546875" bestFit="1" customWidth="1"/>
    <col min="2" max="2" width="12" bestFit="1" customWidth="1"/>
    <col min="3" max="3" width="9" bestFit="1" customWidth="1"/>
    <col min="4" max="4" width="17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9.5703125" bestFit="1" customWidth="1"/>
    <col min="10" max="10" width="8.85546875" bestFit="1" customWidth="1"/>
    <col min="11" max="11" width="9.28515625" bestFit="1" customWidth="1"/>
    <col min="12" max="12" width="9.7109375" bestFit="1" customWidth="1"/>
    <col min="13" max="13" width="16.85546875" bestFit="1" customWidth="1"/>
    <col min="14" max="14" width="12.140625" bestFit="1" customWidth="1"/>
    <col min="17" max="17" width="10" bestFit="1" customWidth="1"/>
    <col min="18" max="18" width="9" bestFit="1" customWidth="1"/>
    <col min="19" max="19" width="10" bestFit="1" customWidth="1"/>
    <col min="20" max="20" width="5.85546875" bestFit="1" customWidth="1"/>
    <col min="21" max="21" width="8.42578125" bestFit="1" customWidth="1"/>
    <col min="22" max="23" width="7.7109375" bestFit="1" customWidth="1"/>
    <col min="24" max="24" width="5.42578125" bestFit="1" customWidth="1"/>
    <col min="25" max="25" width="8.42578125" bestFit="1" customWidth="1"/>
    <col min="26" max="26" width="8.28515625" bestFit="1" customWidth="1"/>
    <col min="27" max="27" width="8.7109375" bestFit="1" customWidth="1"/>
    <col min="28" max="28" width="8.5703125" bestFit="1" customWidth="1"/>
  </cols>
  <sheetData>
    <row r="1" spans="1:28" s="11" customFormat="1" ht="4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9" t="s">
        <v>28</v>
      </c>
      <c r="AB1" s="10" t="s">
        <v>29</v>
      </c>
    </row>
    <row r="2" spans="1:28" x14ac:dyDescent="0.25">
      <c r="A2" s="12">
        <v>1002</v>
      </c>
      <c r="B2" s="13" t="s">
        <v>30</v>
      </c>
      <c r="C2" s="14">
        <v>10020075</v>
      </c>
      <c r="D2" s="15" t="s">
        <v>31</v>
      </c>
      <c r="E2" s="16" t="s">
        <v>32</v>
      </c>
      <c r="F2" s="16" t="s">
        <v>33</v>
      </c>
      <c r="G2" s="17">
        <v>427.59999999999997</v>
      </c>
      <c r="H2" s="17">
        <v>18246.07</v>
      </c>
      <c r="I2" s="18">
        <v>15761</v>
      </c>
      <c r="J2" s="18">
        <v>0</v>
      </c>
      <c r="K2" s="18">
        <v>0</v>
      </c>
      <c r="L2" s="19" t="s">
        <v>34</v>
      </c>
      <c r="M2" s="20" t="s">
        <v>35</v>
      </c>
      <c r="N2" s="21" t="s">
        <v>36</v>
      </c>
      <c r="O2" s="22"/>
      <c r="P2" s="23">
        <v>1.0520153770953788E-2</v>
      </c>
      <c r="Q2" s="24">
        <v>2293</v>
      </c>
      <c r="R2" s="24">
        <v>2293</v>
      </c>
      <c r="S2" s="25">
        <v>0</v>
      </c>
      <c r="T2" s="26"/>
      <c r="U2" s="24">
        <v>0</v>
      </c>
      <c r="V2" s="24">
        <v>0</v>
      </c>
      <c r="W2" s="27">
        <v>0</v>
      </c>
      <c r="X2" s="28">
        <v>0</v>
      </c>
      <c r="Y2" s="27">
        <v>0</v>
      </c>
      <c r="Z2" s="25">
        <v>0</v>
      </c>
      <c r="AA2" s="25">
        <v>0</v>
      </c>
      <c r="AB2" s="29">
        <v>46142</v>
      </c>
    </row>
    <row r="3" spans="1:28" x14ac:dyDescent="0.25">
      <c r="A3" s="12">
        <v>1003</v>
      </c>
      <c r="B3" s="13" t="s">
        <v>37</v>
      </c>
      <c r="C3" s="14">
        <v>10030027</v>
      </c>
      <c r="D3" s="15" t="s">
        <v>38</v>
      </c>
      <c r="E3" s="16" t="s">
        <v>32</v>
      </c>
      <c r="F3" s="16" t="s">
        <v>33</v>
      </c>
      <c r="G3" s="17">
        <v>903.05000000000007</v>
      </c>
      <c r="H3" s="17">
        <v>33749.97</v>
      </c>
      <c r="I3" s="18">
        <v>32756</v>
      </c>
      <c r="J3" s="18">
        <v>0</v>
      </c>
      <c r="K3" s="18">
        <v>0</v>
      </c>
      <c r="L3" s="19" t="s">
        <v>34</v>
      </c>
      <c r="M3" s="20" t="s">
        <v>35</v>
      </c>
      <c r="N3" s="21" t="s">
        <v>36</v>
      </c>
      <c r="O3" s="22"/>
      <c r="P3" s="23">
        <v>-1.6772035921003691E-2</v>
      </c>
      <c r="Q3" s="24">
        <v>10150</v>
      </c>
      <c r="R3" s="24">
        <v>0</v>
      </c>
      <c r="S3" s="25">
        <v>10150</v>
      </c>
      <c r="T3" s="26"/>
      <c r="U3" s="24">
        <v>0</v>
      </c>
      <c r="V3" s="24">
        <v>0</v>
      </c>
      <c r="W3" s="27">
        <v>0</v>
      </c>
      <c r="X3" s="28">
        <v>0</v>
      </c>
      <c r="Y3" s="27">
        <v>0</v>
      </c>
      <c r="Z3" s="25">
        <v>0</v>
      </c>
      <c r="AA3" s="25">
        <v>0</v>
      </c>
      <c r="AB3" s="29">
        <v>46142</v>
      </c>
    </row>
    <row r="4" spans="1:28" x14ac:dyDescent="0.25">
      <c r="A4" s="12">
        <v>1006</v>
      </c>
      <c r="B4" s="13" t="s">
        <v>39</v>
      </c>
      <c r="C4" s="14">
        <v>10060031</v>
      </c>
      <c r="D4" s="15" t="s">
        <v>396</v>
      </c>
      <c r="E4" s="16" t="s">
        <v>32</v>
      </c>
      <c r="F4" s="16" t="s">
        <v>33</v>
      </c>
      <c r="G4" s="17">
        <v>445.2000000000001</v>
      </c>
      <c r="H4" s="17">
        <v>18674.18</v>
      </c>
      <c r="I4" s="18">
        <v>18674</v>
      </c>
      <c r="J4" s="18">
        <v>0</v>
      </c>
      <c r="K4" s="18">
        <v>0</v>
      </c>
      <c r="L4" s="19" t="s">
        <v>34</v>
      </c>
      <c r="M4" s="20" t="s">
        <v>41</v>
      </c>
      <c r="N4" s="21" t="s">
        <v>36</v>
      </c>
      <c r="O4" s="22"/>
      <c r="P4" s="23">
        <v>-0.81051600005691271</v>
      </c>
      <c r="Q4" s="24">
        <v>0</v>
      </c>
      <c r="R4" s="24">
        <v>0</v>
      </c>
      <c r="S4" s="25">
        <v>0</v>
      </c>
      <c r="T4" s="26"/>
      <c r="U4" s="24">
        <v>0</v>
      </c>
      <c r="V4" s="24">
        <v>0</v>
      </c>
      <c r="W4" s="27">
        <v>0</v>
      </c>
      <c r="X4" s="28">
        <v>0</v>
      </c>
      <c r="Y4" s="27">
        <v>0</v>
      </c>
      <c r="Z4" s="25">
        <v>0</v>
      </c>
      <c r="AA4" s="25">
        <v>0</v>
      </c>
      <c r="AB4" s="29">
        <v>46142</v>
      </c>
    </row>
    <row r="5" spans="1:28" x14ac:dyDescent="0.25">
      <c r="A5" s="12">
        <v>1058</v>
      </c>
      <c r="B5" s="13" t="s">
        <v>42</v>
      </c>
      <c r="C5" s="14">
        <v>10580002</v>
      </c>
      <c r="D5" s="15" t="s">
        <v>43</v>
      </c>
      <c r="E5" s="16" t="s">
        <v>32</v>
      </c>
      <c r="F5" s="16" t="s">
        <v>33</v>
      </c>
      <c r="G5" s="17">
        <v>341.59999999999997</v>
      </c>
      <c r="H5" s="17">
        <v>13146.78</v>
      </c>
      <c r="I5" s="18">
        <v>11731</v>
      </c>
      <c r="J5" s="18">
        <v>0</v>
      </c>
      <c r="K5" s="18">
        <v>0</v>
      </c>
      <c r="L5" s="19" t="s">
        <v>34</v>
      </c>
      <c r="M5" s="20" t="s">
        <v>35</v>
      </c>
      <c r="N5" s="21" t="s">
        <v>36</v>
      </c>
      <c r="O5" s="22"/>
      <c r="P5" s="23">
        <v>-0.11870691189728624</v>
      </c>
      <c r="Q5" s="24">
        <v>1300</v>
      </c>
      <c r="R5" s="24">
        <v>1300</v>
      </c>
      <c r="S5" s="25">
        <v>0</v>
      </c>
      <c r="T5" s="26"/>
      <c r="U5" s="24">
        <v>0</v>
      </c>
      <c r="V5" s="24">
        <v>0</v>
      </c>
      <c r="W5" s="27">
        <v>0</v>
      </c>
      <c r="X5" s="28">
        <v>0</v>
      </c>
      <c r="Y5" s="27">
        <v>0</v>
      </c>
      <c r="Z5" s="25">
        <v>0</v>
      </c>
      <c r="AA5" s="25">
        <v>0</v>
      </c>
      <c r="AB5" s="29">
        <v>46142</v>
      </c>
    </row>
    <row r="6" spans="1:28" x14ac:dyDescent="0.25">
      <c r="A6" s="12">
        <v>1060</v>
      </c>
      <c r="B6" s="13" t="s">
        <v>44</v>
      </c>
      <c r="C6" s="14">
        <v>10600006</v>
      </c>
      <c r="D6" s="15" t="s">
        <v>45</v>
      </c>
      <c r="E6" s="16" t="s">
        <v>32</v>
      </c>
      <c r="F6" s="16" t="s">
        <v>33</v>
      </c>
      <c r="G6" s="17">
        <v>675.69999999999993</v>
      </c>
      <c r="H6" s="17">
        <v>24829.99</v>
      </c>
      <c r="I6" s="18">
        <v>24688</v>
      </c>
      <c r="J6" s="18">
        <v>0</v>
      </c>
      <c r="K6" s="18">
        <v>0</v>
      </c>
      <c r="L6" s="19" t="s">
        <v>34</v>
      </c>
      <c r="M6" s="20" t="s">
        <v>46</v>
      </c>
      <c r="N6" s="21" t="s">
        <v>36</v>
      </c>
      <c r="O6" s="22"/>
      <c r="P6" s="23">
        <v>-0.14010664944105247</v>
      </c>
      <c r="Q6" s="24">
        <v>0</v>
      </c>
      <c r="R6" s="24">
        <v>0</v>
      </c>
      <c r="S6" s="25">
        <v>0</v>
      </c>
      <c r="T6" s="26"/>
      <c r="U6" s="24">
        <v>0</v>
      </c>
      <c r="V6" s="24">
        <v>0</v>
      </c>
      <c r="W6" s="27">
        <v>0</v>
      </c>
      <c r="X6" s="28">
        <v>0</v>
      </c>
      <c r="Y6" s="27">
        <v>0</v>
      </c>
      <c r="Z6" s="25">
        <v>0</v>
      </c>
      <c r="AA6" s="25">
        <v>0</v>
      </c>
      <c r="AB6" s="29">
        <v>46142</v>
      </c>
    </row>
    <row r="7" spans="1:28" x14ac:dyDescent="0.25">
      <c r="A7" s="30"/>
      <c r="B7" s="31"/>
      <c r="C7" s="30"/>
      <c r="D7" s="30"/>
      <c r="E7" s="30" t="s">
        <v>47</v>
      </c>
      <c r="F7" s="30">
        <v>1028</v>
      </c>
      <c r="G7" s="32">
        <v>2793.15</v>
      </c>
      <c r="H7" s="32">
        <v>108646.99</v>
      </c>
      <c r="I7" s="33">
        <v>103610</v>
      </c>
      <c r="J7" s="33">
        <v>0</v>
      </c>
      <c r="K7" s="33">
        <v>0</v>
      </c>
      <c r="L7" s="19">
        <v>4</v>
      </c>
      <c r="M7" s="14"/>
      <c r="N7" s="26"/>
      <c r="O7" s="6"/>
      <c r="P7" s="34"/>
      <c r="Q7" s="25">
        <v>13743</v>
      </c>
      <c r="R7" s="25">
        <v>3593</v>
      </c>
      <c r="S7" s="25">
        <v>10150</v>
      </c>
      <c r="T7" s="26"/>
      <c r="U7" s="24">
        <v>0</v>
      </c>
      <c r="V7" s="24">
        <v>0</v>
      </c>
      <c r="W7" s="35">
        <v>0</v>
      </c>
      <c r="X7" s="24">
        <v>0</v>
      </c>
      <c r="Y7" s="24">
        <v>0</v>
      </c>
      <c r="Z7" s="24">
        <v>0</v>
      </c>
      <c r="AA7" s="24">
        <v>0</v>
      </c>
      <c r="AB7" s="26"/>
    </row>
  </sheetData>
  <conditionalFormatting sqref="C2:C6">
    <cfRule type="duplicateValues" dxfId="16" priority="9"/>
    <cfRule type="duplicateValues" dxfId="15" priority="10"/>
    <cfRule type="duplicateValues" dxfId="14" priority="11"/>
  </conditionalFormatting>
  <conditionalFormatting sqref="C7 C1">
    <cfRule type="duplicateValues" dxfId="13" priority="12" stopIfTrue="1"/>
  </conditionalFormatting>
  <conditionalFormatting sqref="D7">
    <cfRule type="duplicateValues" dxfId="12" priority="5" stopIfTrue="1"/>
  </conditionalFormatting>
  <conditionalFormatting sqref="E7">
    <cfRule type="duplicateValues" dxfId="11" priority="4" stopIfTrue="1"/>
  </conditionalFormatting>
  <conditionalFormatting sqref="F2:F6">
    <cfRule type="containsText" dxfId="10" priority="7" operator="containsText" text="Indirect">
      <formula>NOT(ISERROR(SEARCH("Indirect",F2)))</formula>
    </cfRule>
  </conditionalFormatting>
  <conditionalFormatting sqref="F7">
    <cfRule type="duplicateValues" dxfId="9" priority="3" stopIfTrue="1"/>
  </conditionalFormatting>
  <conditionalFormatting sqref="G7">
    <cfRule type="duplicateValues" dxfId="8" priority="2" stopIfTrue="1"/>
  </conditionalFormatting>
  <conditionalFormatting sqref="H7">
    <cfRule type="duplicateValues" dxfId="7" priority="1" stopIfTrue="1"/>
  </conditionalFormatting>
  <conditionalFormatting sqref="I2:K6">
    <cfRule type="cellIs" dxfId="6" priority="6" operator="lessThan">
      <formula>-1</formula>
    </cfRule>
  </conditionalFormatting>
  <conditionalFormatting sqref="Z2:AA6">
    <cfRule type="cellIs" dxfId="5" priority="8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25B4-DB07-435F-87AC-F238A170ED0D}">
  <dimension ref="A1:AC80"/>
  <sheetViews>
    <sheetView topLeftCell="A39" zoomScale="87" workbookViewId="0">
      <selection activeCell="D78" sqref="D78"/>
    </sheetView>
  </sheetViews>
  <sheetFormatPr defaultRowHeight="15" x14ac:dyDescent="0.25"/>
  <cols>
    <col min="1" max="1" width="15.140625" bestFit="1" customWidth="1"/>
    <col min="2" max="3" width="11.140625" bestFit="1" customWidth="1"/>
    <col min="4" max="4" width="27" customWidth="1"/>
    <col min="5" max="5" width="10.28515625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1" width="7.7109375" bestFit="1" customWidth="1"/>
    <col min="12" max="12" width="8.5703125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1.28515625" bestFit="1" customWidth="1"/>
    <col min="18" max="18" width="21.7109375" bestFit="1" customWidth="1"/>
    <col min="19" max="19" width="19.85546875" bestFit="1" customWidth="1"/>
    <col min="20" max="20" width="14.5703125" bestFit="1" customWidth="1"/>
    <col min="21" max="21" width="26.28515625" bestFit="1" customWidth="1"/>
    <col min="22" max="22" width="12.7109375" bestFit="1" customWidth="1"/>
    <col min="23" max="23" width="12.8554687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36" t="s">
        <v>48</v>
      </c>
      <c r="B1" s="36" t="s">
        <v>1</v>
      </c>
      <c r="C1" s="36" t="s">
        <v>49</v>
      </c>
      <c r="D1" s="36" t="s">
        <v>50</v>
      </c>
      <c r="E1" s="37" t="s">
        <v>51</v>
      </c>
      <c r="F1" s="38" t="s">
        <v>52</v>
      </c>
      <c r="G1" s="39" t="s">
        <v>53</v>
      </c>
      <c r="H1" s="38" t="s">
        <v>54</v>
      </c>
      <c r="I1" s="38" t="s">
        <v>55</v>
      </c>
      <c r="J1" s="40" t="s">
        <v>8</v>
      </c>
      <c r="K1" s="40" t="s">
        <v>56</v>
      </c>
      <c r="L1" s="40" t="s">
        <v>57</v>
      </c>
      <c r="M1" s="40" t="s">
        <v>9</v>
      </c>
      <c r="N1" s="40" t="s">
        <v>10</v>
      </c>
      <c r="O1" s="40" t="s">
        <v>14</v>
      </c>
      <c r="P1" s="40" t="s">
        <v>58</v>
      </c>
      <c r="Q1" s="41" t="s">
        <v>59</v>
      </c>
      <c r="R1" s="42" t="s">
        <v>60</v>
      </c>
      <c r="S1" s="42" t="s">
        <v>61</v>
      </c>
      <c r="T1" s="42" t="s">
        <v>62</v>
      </c>
      <c r="U1" s="42" t="s">
        <v>63</v>
      </c>
      <c r="V1" s="43" t="s">
        <v>64</v>
      </c>
      <c r="W1" s="44" t="s">
        <v>16</v>
      </c>
      <c r="X1" s="45"/>
      <c r="Y1" s="46" t="s">
        <v>65</v>
      </c>
      <c r="AC1" t="s">
        <v>66</v>
      </c>
    </row>
    <row r="2" spans="1:29" x14ac:dyDescent="0.25">
      <c r="A2" t="s">
        <v>67</v>
      </c>
      <c r="B2" t="s">
        <v>30</v>
      </c>
      <c r="C2" s="47" t="s">
        <v>30</v>
      </c>
      <c r="D2" t="s">
        <v>31</v>
      </c>
      <c r="E2" s="47">
        <v>10020075</v>
      </c>
      <c r="F2" t="s">
        <v>68</v>
      </c>
      <c r="G2" s="47">
        <v>14</v>
      </c>
      <c r="H2" s="48">
        <v>101.31000000000002</v>
      </c>
      <c r="I2" s="49">
        <v>4033.6844911704002</v>
      </c>
      <c r="J2" s="50">
        <v>0</v>
      </c>
      <c r="K2" s="50">
        <v>0</v>
      </c>
      <c r="L2" s="50">
        <v>0</v>
      </c>
      <c r="M2" s="48">
        <v>0</v>
      </c>
      <c r="N2" s="48">
        <v>0</v>
      </c>
      <c r="O2" s="50" t="s">
        <v>34</v>
      </c>
      <c r="P2" s="50">
        <v>4034</v>
      </c>
      <c r="Q2" s="47" t="s">
        <v>33</v>
      </c>
      <c r="R2" t="s">
        <v>69</v>
      </c>
      <c r="S2" t="s">
        <v>70</v>
      </c>
      <c r="T2" t="s">
        <v>71</v>
      </c>
      <c r="U2" t="s">
        <v>72</v>
      </c>
      <c r="V2" t="s">
        <v>73</v>
      </c>
      <c r="W2" t="s">
        <v>36</v>
      </c>
      <c r="Y2" s="51">
        <v>27.87068545868404</v>
      </c>
    </row>
    <row r="3" spans="1:29" x14ac:dyDescent="0.25">
      <c r="A3" t="s">
        <v>74</v>
      </c>
      <c r="B3" t="s">
        <v>30</v>
      </c>
      <c r="C3" s="47" t="s">
        <v>30</v>
      </c>
      <c r="D3" t="s">
        <v>31</v>
      </c>
      <c r="E3" s="47">
        <v>10020075</v>
      </c>
      <c r="F3" t="s">
        <v>75</v>
      </c>
      <c r="G3" s="47">
        <v>7</v>
      </c>
      <c r="H3" s="48">
        <v>17.32</v>
      </c>
      <c r="I3" s="49">
        <v>537.70221204480004</v>
      </c>
      <c r="J3" s="50">
        <v>0</v>
      </c>
      <c r="K3" s="50">
        <v>0</v>
      </c>
      <c r="L3" s="50">
        <v>0</v>
      </c>
      <c r="M3" s="48">
        <v>0</v>
      </c>
      <c r="N3" s="48">
        <v>0</v>
      </c>
      <c r="O3" s="50" t="s">
        <v>34</v>
      </c>
      <c r="P3" s="50">
        <v>538</v>
      </c>
      <c r="Q3" s="47" t="s">
        <v>33</v>
      </c>
      <c r="R3" t="s">
        <v>76</v>
      </c>
      <c r="S3" t="s">
        <v>77</v>
      </c>
      <c r="T3" t="s">
        <v>78</v>
      </c>
      <c r="U3" t="s">
        <v>79</v>
      </c>
      <c r="V3" t="s">
        <v>73</v>
      </c>
      <c r="W3" t="s">
        <v>36</v>
      </c>
      <c r="Y3" s="51">
        <v>10.865806825385683</v>
      </c>
    </row>
    <row r="4" spans="1:29" x14ac:dyDescent="0.25">
      <c r="A4" t="s">
        <v>80</v>
      </c>
      <c r="B4" t="s">
        <v>30</v>
      </c>
      <c r="C4" s="47" t="s">
        <v>30</v>
      </c>
      <c r="D4" t="s">
        <v>31</v>
      </c>
      <c r="E4" s="47">
        <v>10020075</v>
      </c>
      <c r="F4" t="s">
        <v>81</v>
      </c>
      <c r="G4" s="47">
        <v>14</v>
      </c>
      <c r="H4" s="48">
        <v>56.37</v>
      </c>
      <c r="I4" s="49">
        <v>1907.2104783138</v>
      </c>
      <c r="J4" s="50">
        <v>0</v>
      </c>
      <c r="K4" s="50">
        <v>0</v>
      </c>
      <c r="L4" s="50">
        <v>0</v>
      </c>
      <c r="M4" s="48">
        <v>0</v>
      </c>
      <c r="N4" s="48">
        <v>0</v>
      </c>
      <c r="O4" s="50" t="s">
        <v>34</v>
      </c>
      <c r="P4" s="50">
        <v>1907</v>
      </c>
      <c r="Q4" s="47" t="s">
        <v>33</v>
      </c>
      <c r="R4" t="s">
        <v>82</v>
      </c>
      <c r="S4" t="s">
        <v>83</v>
      </c>
      <c r="T4" t="s">
        <v>84</v>
      </c>
      <c r="U4" t="s">
        <v>72</v>
      </c>
      <c r="V4" t="s">
        <v>73</v>
      </c>
      <c r="W4" t="s">
        <v>36</v>
      </c>
      <c r="Y4" s="51">
        <v>23.683649721831827</v>
      </c>
    </row>
    <row r="5" spans="1:29" x14ac:dyDescent="0.25">
      <c r="A5" t="s">
        <v>85</v>
      </c>
      <c r="B5" t="s">
        <v>30</v>
      </c>
      <c r="C5" s="47" t="s">
        <v>30</v>
      </c>
      <c r="D5" t="s">
        <v>31</v>
      </c>
      <c r="E5" s="47">
        <v>10020075</v>
      </c>
      <c r="F5" t="s">
        <v>86</v>
      </c>
      <c r="G5" s="47">
        <v>14</v>
      </c>
      <c r="H5" s="48">
        <v>89.179999999999993</v>
      </c>
      <c r="I5" s="49">
        <v>3228.0700166896404</v>
      </c>
      <c r="J5" s="50">
        <v>0</v>
      </c>
      <c r="K5" s="50">
        <v>0</v>
      </c>
      <c r="L5" s="50">
        <v>0</v>
      </c>
      <c r="M5" s="48">
        <v>0</v>
      </c>
      <c r="N5" s="48">
        <v>0</v>
      </c>
      <c r="O5" s="50" t="s">
        <v>34</v>
      </c>
      <c r="P5" s="50">
        <v>3228</v>
      </c>
      <c r="Q5" s="47" t="s">
        <v>33</v>
      </c>
      <c r="R5" t="s">
        <v>87</v>
      </c>
      <c r="S5" t="s">
        <v>88</v>
      </c>
      <c r="T5" t="s">
        <v>78</v>
      </c>
      <c r="U5" t="s">
        <v>89</v>
      </c>
      <c r="V5" t="s">
        <v>73</v>
      </c>
      <c r="W5" t="s">
        <v>36</v>
      </c>
      <c r="Y5" s="51">
        <v>25.338069204785253</v>
      </c>
    </row>
    <row r="6" spans="1:29" x14ac:dyDescent="0.25">
      <c r="A6" t="s">
        <v>90</v>
      </c>
      <c r="B6" t="s">
        <v>30</v>
      </c>
      <c r="C6" s="47" t="s">
        <v>30</v>
      </c>
      <c r="D6" t="s">
        <v>31</v>
      </c>
      <c r="E6" s="47">
        <v>10020075</v>
      </c>
      <c r="F6" t="s">
        <v>91</v>
      </c>
      <c r="G6" s="47">
        <v>4</v>
      </c>
      <c r="H6" s="48">
        <v>6.9700000000000006</v>
      </c>
      <c r="I6" s="49">
        <v>300.05337337716003</v>
      </c>
      <c r="J6" s="50">
        <v>0</v>
      </c>
      <c r="K6" s="50">
        <v>0</v>
      </c>
      <c r="L6" s="50">
        <v>0</v>
      </c>
      <c r="M6" s="48">
        <v>0</v>
      </c>
      <c r="N6" s="48">
        <v>0</v>
      </c>
      <c r="O6" s="50" t="s">
        <v>34</v>
      </c>
      <c r="P6" s="50">
        <v>300</v>
      </c>
      <c r="Q6" s="47" t="s">
        <v>33</v>
      </c>
      <c r="R6" t="s">
        <v>92</v>
      </c>
      <c r="S6" t="s">
        <v>93</v>
      </c>
      <c r="T6" t="s">
        <v>84</v>
      </c>
      <c r="U6" t="s">
        <v>72</v>
      </c>
      <c r="V6" t="s">
        <v>73</v>
      </c>
      <c r="W6" t="s">
        <v>36</v>
      </c>
      <c r="Y6" s="51">
        <v>8.609852894610043</v>
      </c>
    </row>
    <row r="7" spans="1:29" x14ac:dyDescent="0.25">
      <c r="A7" t="s">
        <v>94</v>
      </c>
      <c r="B7" t="s">
        <v>30</v>
      </c>
      <c r="C7" s="47" t="s">
        <v>30</v>
      </c>
      <c r="D7" t="s">
        <v>31</v>
      </c>
      <c r="E7" s="47">
        <v>10020075</v>
      </c>
      <c r="F7" t="s">
        <v>95</v>
      </c>
      <c r="G7" s="47">
        <v>9</v>
      </c>
      <c r="H7" s="48">
        <v>73.72</v>
      </c>
      <c r="I7" s="49">
        <v>3418.290710531659</v>
      </c>
      <c r="J7" s="50">
        <v>0</v>
      </c>
      <c r="K7" s="50">
        <v>0</v>
      </c>
      <c r="L7" s="50">
        <v>0</v>
      </c>
      <c r="M7" s="48">
        <v>2293</v>
      </c>
      <c r="N7" s="48">
        <v>0</v>
      </c>
      <c r="O7" s="50" t="s">
        <v>34</v>
      </c>
      <c r="P7" s="50">
        <v>1125</v>
      </c>
      <c r="Q7" s="47" t="s">
        <v>33</v>
      </c>
      <c r="R7" t="s">
        <v>96</v>
      </c>
      <c r="S7" t="s">
        <v>97</v>
      </c>
      <c r="T7" t="s">
        <v>71</v>
      </c>
      <c r="U7" t="s">
        <v>72</v>
      </c>
      <c r="V7" t="s">
        <v>73</v>
      </c>
      <c r="W7" t="s">
        <v>36</v>
      </c>
      <c r="Y7" s="51">
        <v>20.865854852675618</v>
      </c>
    </row>
    <row r="8" spans="1:29" x14ac:dyDescent="0.25">
      <c r="A8" t="s">
        <v>98</v>
      </c>
      <c r="B8" t="s">
        <v>30</v>
      </c>
      <c r="C8" s="47" t="s">
        <v>30</v>
      </c>
      <c r="D8" t="s">
        <v>31</v>
      </c>
      <c r="E8" s="47">
        <v>10020075</v>
      </c>
      <c r="F8" t="s">
        <v>99</v>
      </c>
      <c r="G8" s="47">
        <v>7</v>
      </c>
      <c r="H8" s="48">
        <v>11.489999999999998</v>
      </c>
      <c r="I8" s="49">
        <v>692.95892304119002</v>
      </c>
      <c r="J8" s="50">
        <v>0</v>
      </c>
      <c r="K8" s="50">
        <v>0</v>
      </c>
      <c r="L8" s="50">
        <v>0</v>
      </c>
      <c r="M8" s="48">
        <v>0</v>
      </c>
      <c r="N8" s="48">
        <v>0</v>
      </c>
      <c r="O8" s="50" t="s">
        <v>34</v>
      </c>
      <c r="P8" s="50">
        <v>693</v>
      </c>
      <c r="Q8" s="47" t="s">
        <v>33</v>
      </c>
      <c r="R8" t="s">
        <v>100</v>
      </c>
      <c r="S8" t="s">
        <v>101</v>
      </c>
      <c r="T8" t="s">
        <v>102</v>
      </c>
      <c r="U8" t="s">
        <v>103</v>
      </c>
      <c r="V8" t="s">
        <v>73</v>
      </c>
      <c r="W8" t="s">
        <v>36</v>
      </c>
      <c r="Y8" s="51">
        <v>21.108409318051919</v>
      </c>
    </row>
    <row r="9" spans="1:29" x14ac:dyDescent="0.25">
      <c r="A9" t="s">
        <v>104</v>
      </c>
      <c r="B9" t="s">
        <v>30</v>
      </c>
      <c r="C9" s="47" t="s">
        <v>30</v>
      </c>
      <c r="D9" t="s">
        <v>31</v>
      </c>
      <c r="E9" s="47">
        <v>10020075</v>
      </c>
      <c r="F9" t="s">
        <v>105</v>
      </c>
      <c r="G9" s="47">
        <v>13</v>
      </c>
      <c r="H9" s="48">
        <v>24.569999999999997</v>
      </c>
      <c r="I9" s="49">
        <v>932.49461558880012</v>
      </c>
      <c r="J9" s="50">
        <v>0</v>
      </c>
      <c r="K9" s="50">
        <v>0</v>
      </c>
      <c r="L9" s="50">
        <v>0</v>
      </c>
      <c r="M9" s="48">
        <v>0</v>
      </c>
      <c r="N9" s="48">
        <v>0</v>
      </c>
      <c r="O9" s="50" t="s">
        <v>34</v>
      </c>
      <c r="P9" s="50">
        <v>932</v>
      </c>
      <c r="Q9" s="47" t="s">
        <v>33</v>
      </c>
      <c r="R9" t="s">
        <v>106</v>
      </c>
      <c r="S9" t="s">
        <v>107</v>
      </c>
      <c r="T9" t="s">
        <v>108</v>
      </c>
      <c r="U9" t="s">
        <v>109</v>
      </c>
      <c r="V9" t="s">
        <v>73</v>
      </c>
      <c r="W9" t="s">
        <v>36</v>
      </c>
      <c r="Y9" s="51">
        <v>24.669169724571436</v>
      </c>
    </row>
    <row r="10" spans="1:29" x14ac:dyDescent="0.25">
      <c r="A10" t="s">
        <v>110</v>
      </c>
      <c r="B10" t="s">
        <v>30</v>
      </c>
      <c r="C10" s="47" t="s">
        <v>30</v>
      </c>
      <c r="D10" t="s">
        <v>31</v>
      </c>
      <c r="E10" s="47">
        <v>10020075</v>
      </c>
      <c r="F10" t="s">
        <v>111</v>
      </c>
      <c r="G10" s="47">
        <v>7</v>
      </c>
      <c r="H10" s="48">
        <v>15.260000000000002</v>
      </c>
      <c r="I10" s="49">
        <v>953.9133228592201</v>
      </c>
      <c r="J10" s="50">
        <v>0</v>
      </c>
      <c r="K10" s="50">
        <v>0</v>
      </c>
      <c r="L10" s="50">
        <v>0</v>
      </c>
      <c r="M10" s="48">
        <v>0</v>
      </c>
      <c r="N10" s="48">
        <v>0</v>
      </c>
      <c r="O10" s="50" t="s">
        <v>34</v>
      </c>
      <c r="P10" s="50">
        <v>954</v>
      </c>
      <c r="Q10" s="47" t="s">
        <v>33</v>
      </c>
      <c r="R10" t="s">
        <v>112</v>
      </c>
      <c r="S10" t="s">
        <v>113</v>
      </c>
      <c r="T10" t="s">
        <v>114</v>
      </c>
      <c r="U10" t="s">
        <v>115</v>
      </c>
      <c r="V10" t="s">
        <v>73</v>
      </c>
      <c r="W10" t="s">
        <v>36</v>
      </c>
      <c r="Y10" s="51">
        <v>21.878745937138074</v>
      </c>
    </row>
    <row r="11" spans="1:29" x14ac:dyDescent="0.25">
      <c r="A11" t="s">
        <v>116</v>
      </c>
      <c r="B11" t="s">
        <v>30</v>
      </c>
      <c r="C11" s="47" t="s">
        <v>30</v>
      </c>
      <c r="D11" t="s">
        <v>31</v>
      </c>
      <c r="E11" s="47">
        <v>10020075</v>
      </c>
      <c r="F11" t="s">
        <v>117</v>
      </c>
      <c r="G11" s="47">
        <v>7</v>
      </c>
      <c r="H11" s="48">
        <v>9.0599999999999987</v>
      </c>
      <c r="I11" s="49">
        <v>427.17071626859996</v>
      </c>
      <c r="J11" s="50">
        <v>0</v>
      </c>
      <c r="K11" s="50">
        <v>0</v>
      </c>
      <c r="L11" s="50">
        <v>0</v>
      </c>
      <c r="M11" s="48">
        <v>0</v>
      </c>
      <c r="N11" s="48">
        <v>0</v>
      </c>
      <c r="O11" s="50" t="s">
        <v>34</v>
      </c>
      <c r="P11" s="50">
        <v>427</v>
      </c>
      <c r="Q11" s="47" t="s">
        <v>33</v>
      </c>
      <c r="R11" t="s">
        <v>118</v>
      </c>
      <c r="S11" t="s">
        <v>119</v>
      </c>
      <c r="T11" t="s">
        <v>108</v>
      </c>
      <c r="U11" t="s">
        <v>109</v>
      </c>
      <c r="V11" t="s">
        <v>73</v>
      </c>
      <c r="W11" t="s">
        <v>36</v>
      </c>
      <c r="Y11" s="51">
        <v>16.502179988301325</v>
      </c>
    </row>
    <row r="12" spans="1:29" x14ac:dyDescent="0.25">
      <c r="A12" t="s">
        <v>120</v>
      </c>
      <c r="B12" t="s">
        <v>30</v>
      </c>
      <c r="C12" s="47" t="s">
        <v>30</v>
      </c>
      <c r="D12" t="s">
        <v>31</v>
      </c>
      <c r="E12" s="47">
        <v>10020075</v>
      </c>
      <c r="F12" t="s">
        <v>121</v>
      </c>
      <c r="G12" s="47">
        <v>7</v>
      </c>
      <c r="H12" s="48">
        <v>11.58</v>
      </c>
      <c r="I12" s="49">
        <v>796.91369513503992</v>
      </c>
      <c r="J12" s="50">
        <v>0</v>
      </c>
      <c r="K12" s="50">
        <v>0</v>
      </c>
      <c r="L12" s="50">
        <v>0</v>
      </c>
      <c r="M12" s="48">
        <v>0</v>
      </c>
      <c r="N12" s="48">
        <v>0</v>
      </c>
      <c r="O12" s="50" t="s">
        <v>34</v>
      </c>
      <c r="P12" s="50">
        <v>797</v>
      </c>
      <c r="Q12" s="47" t="s">
        <v>33</v>
      </c>
      <c r="R12" t="s">
        <v>122</v>
      </c>
      <c r="S12" t="s">
        <v>123</v>
      </c>
      <c r="T12" t="s">
        <v>78</v>
      </c>
      <c r="U12" t="s">
        <v>79</v>
      </c>
      <c r="V12" t="s">
        <v>73</v>
      </c>
      <c r="W12" t="s">
        <v>36</v>
      </c>
      <c r="Y12" s="51">
        <v>24.086337935860449</v>
      </c>
    </row>
    <row r="13" spans="1:29" x14ac:dyDescent="0.25">
      <c r="A13" t="s">
        <v>124</v>
      </c>
      <c r="B13" t="s">
        <v>30</v>
      </c>
      <c r="C13" s="47" t="s">
        <v>30</v>
      </c>
      <c r="D13" t="s">
        <v>31</v>
      </c>
      <c r="E13" s="47">
        <v>10020075</v>
      </c>
      <c r="F13" t="s">
        <v>125</v>
      </c>
      <c r="G13" s="47">
        <v>7</v>
      </c>
      <c r="H13" s="48">
        <v>11.309999999999999</v>
      </c>
      <c r="I13" s="49">
        <v>825.65598286410011</v>
      </c>
      <c r="J13" s="50">
        <v>0</v>
      </c>
      <c r="K13" s="50">
        <v>0</v>
      </c>
      <c r="L13" s="50">
        <v>0</v>
      </c>
      <c r="M13" s="48">
        <v>0</v>
      </c>
      <c r="N13" s="48">
        <v>0</v>
      </c>
      <c r="O13" s="50" t="s">
        <v>34</v>
      </c>
      <c r="P13" s="50">
        <v>826</v>
      </c>
      <c r="Q13" s="47" t="s">
        <v>33</v>
      </c>
      <c r="R13" t="s">
        <v>126</v>
      </c>
      <c r="S13" t="s">
        <v>127</v>
      </c>
      <c r="T13" t="s">
        <v>84</v>
      </c>
      <c r="U13" t="s">
        <v>72</v>
      </c>
      <c r="V13" t="s">
        <v>73</v>
      </c>
      <c r="W13" t="s">
        <v>36</v>
      </c>
      <c r="Y13" s="51">
        <v>25.550804067412475</v>
      </c>
    </row>
    <row r="14" spans="1:29" x14ac:dyDescent="0.25">
      <c r="A14" t="s">
        <v>128</v>
      </c>
      <c r="B14" t="s">
        <v>37</v>
      </c>
      <c r="C14" s="47" t="s">
        <v>37</v>
      </c>
      <c r="D14" t="s">
        <v>38</v>
      </c>
      <c r="E14" s="47">
        <v>10030027</v>
      </c>
      <c r="F14" t="s">
        <v>129</v>
      </c>
      <c r="G14" s="47">
        <v>14</v>
      </c>
      <c r="H14" s="48">
        <v>26.3</v>
      </c>
      <c r="I14" s="49">
        <v>994.07223378000015</v>
      </c>
      <c r="J14" s="50">
        <v>0</v>
      </c>
      <c r="K14" s="50">
        <v>994.07223378000015</v>
      </c>
      <c r="L14" s="50">
        <v>0</v>
      </c>
      <c r="M14" s="48">
        <v>0</v>
      </c>
      <c r="N14" s="48">
        <v>0</v>
      </c>
      <c r="O14" s="50" t="s">
        <v>34</v>
      </c>
      <c r="P14" s="50">
        <v>0</v>
      </c>
      <c r="Q14" s="47" t="s">
        <v>33</v>
      </c>
      <c r="R14">
        <v>0</v>
      </c>
      <c r="S14">
        <v>0</v>
      </c>
      <c r="T14">
        <v>0</v>
      </c>
      <c r="U14">
        <v>0</v>
      </c>
      <c r="V14" t="s">
        <v>130</v>
      </c>
      <c r="W14" t="s">
        <v>36</v>
      </c>
      <c r="Y14" s="51">
        <v>0</v>
      </c>
    </row>
    <row r="15" spans="1:29" x14ac:dyDescent="0.25">
      <c r="A15" t="s">
        <v>131</v>
      </c>
      <c r="B15" t="s">
        <v>37</v>
      </c>
      <c r="C15" s="47" t="s">
        <v>37</v>
      </c>
      <c r="D15" t="s">
        <v>38</v>
      </c>
      <c r="E15" s="47">
        <v>10030027</v>
      </c>
      <c r="F15" t="s">
        <v>132</v>
      </c>
      <c r="G15" s="47">
        <v>1</v>
      </c>
      <c r="H15" s="48">
        <v>1.1000000000000001</v>
      </c>
      <c r="I15" s="49">
        <v>38.624390640000009</v>
      </c>
      <c r="J15" s="50">
        <v>0</v>
      </c>
      <c r="K15" s="50">
        <v>0</v>
      </c>
      <c r="L15" s="50">
        <v>38.624390640000009</v>
      </c>
      <c r="M15" s="48">
        <v>0</v>
      </c>
      <c r="N15" s="48">
        <v>0</v>
      </c>
      <c r="O15" s="50" t="s">
        <v>34</v>
      </c>
      <c r="P15" s="50">
        <v>0</v>
      </c>
      <c r="Q15" s="47" t="s">
        <v>33</v>
      </c>
      <c r="R15" t="s">
        <v>133</v>
      </c>
      <c r="S15" t="s">
        <v>134</v>
      </c>
      <c r="T15" t="s">
        <v>135</v>
      </c>
      <c r="U15" t="s">
        <v>109</v>
      </c>
      <c r="V15" t="s">
        <v>73</v>
      </c>
      <c r="W15" t="s">
        <v>36</v>
      </c>
      <c r="Y15" s="51">
        <v>1.7556541200000002</v>
      </c>
    </row>
    <row r="16" spans="1:29" x14ac:dyDescent="0.25">
      <c r="A16" t="s">
        <v>136</v>
      </c>
      <c r="B16" t="s">
        <v>37</v>
      </c>
      <c r="C16" s="47" t="s">
        <v>37</v>
      </c>
      <c r="D16" t="s">
        <v>38</v>
      </c>
      <c r="E16" s="47">
        <v>10030027</v>
      </c>
      <c r="F16" t="s">
        <v>68</v>
      </c>
      <c r="G16" s="47">
        <v>8</v>
      </c>
      <c r="H16" s="48">
        <v>25.4</v>
      </c>
      <c r="I16" s="49">
        <v>902.69678664000014</v>
      </c>
      <c r="J16" s="50">
        <v>0</v>
      </c>
      <c r="K16" s="50">
        <v>0</v>
      </c>
      <c r="L16" s="50">
        <v>527</v>
      </c>
      <c r="M16" s="48">
        <v>0</v>
      </c>
      <c r="N16" s="48">
        <v>0</v>
      </c>
      <c r="O16" s="50" t="s">
        <v>34</v>
      </c>
      <c r="P16" s="50">
        <v>376</v>
      </c>
      <c r="Q16" s="47" t="s">
        <v>33</v>
      </c>
      <c r="R16" t="s">
        <v>137</v>
      </c>
      <c r="S16" t="s">
        <v>138</v>
      </c>
      <c r="T16" t="s">
        <v>139</v>
      </c>
      <c r="U16" t="s">
        <v>140</v>
      </c>
      <c r="V16" t="s">
        <v>73</v>
      </c>
      <c r="W16" t="s">
        <v>36</v>
      </c>
      <c r="Y16" s="51">
        <v>14.215697427401578</v>
      </c>
    </row>
    <row r="17" spans="1:25" x14ac:dyDescent="0.25">
      <c r="A17" t="s">
        <v>141</v>
      </c>
      <c r="B17" t="s">
        <v>37</v>
      </c>
      <c r="C17" s="47" t="s">
        <v>37</v>
      </c>
      <c r="D17" t="s">
        <v>38</v>
      </c>
      <c r="E17" s="47">
        <v>10030027</v>
      </c>
      <c r="F17" t="s">
        <v>142</v>
      </c>
      <c r="G17" s="47">
        <v>8</v>
      </c>
      <c r="H17" s="48">
        <v>18.100000000000001</v>
      </c>
      <c r="I17" s="49">
        <v>625.16610664200016</v>
      </c>
      <c r="J17" s="50">
        <v>0</v>
      </c>
      <c r="K17" s="50">
        <v>0</v>
      </c>
      <c r="L17" s="50">
        <v>0</v>
      </c>
      <c r="M17" s="48">
        <v>0</v>
      </c>
      <c r="N17" s="48">
        <v>0</v>
      </c>
      <c r="O17" s="50" t="s">
        <v>34</v>
      </c>
      <c r="P17" s="50">
        <v>625</v>
      </c>
      <c r="Q17" s="47" t="s">
        <v>33</v>
      </c>
      <c r="R17" t="s">
        <v>143</v>
      </c>
      <c r="S17" t="s">
        <v>144</v>
      </c>
      <c r="T17" t="s">
        <v>145</v>
      </c>
      <c r="U17" t="s">
        <v>140</v>
      </c>
      <c r="V17" t="s">
        <v>73</v>
      </c>
      <c r="W17" t="s">
        <v>36</v>
      </c>
      <c r="Y17" s="51">
        <v>13.815825561149175</v>
      </c>
    </row>
    <row r="18" spans="1:25" x14ac:dyDescent="0.25">
      <c r="A18" t="s">
        <v>146</v>
      </c>
      <c r="B18" t="s">
        <v>37</v>
      </c>
      <c r="C18" s="47" t="s">
        <v>37</v>
      </c>
      <c r="D18" t="s">
        <v>38</v>
      </c>
      <c r="E18" s="47">
        <v>10030027</v>
      </c>
      <c r="F18" t="s">
        <v>81</v>
      </c>
      <c r="G18" s="47">
        <v>13</v>
      </c>
      <c r="H18" s="48">
        <v>51.4</v>
      </c>
      <c r="I18" s="49">
        <v>1848.7704708000001</v>
      </c>
      <c r="J18" s="50">
        <v>0</v>
      </c>
      <c r="K18" s="50">
        <v>0</v>
      </c>
      <c r="L18" s="50">
        <v>0</v>
      </c>
      <c r="M18" s="48">
        <v>0</v>
      </c>
      <c r="N18" s="48">
        <v>0</v>
      </c>
      <c r="O18" s="50" t="s">
        <v>34</v>
      </c>
      <c r="P18" s="50">
        <v>1849</v>
      </c>
      <c r="Q18" s="47" t="s">
        <v>33</v>
      </c>
      <c r="R18" t="s">
        <v>147</v>
      </c>
      <c r="S18" t="s">
        <v>148</v>
      </c>
      <c r="T18" t="s">
        <v>135</v>
      </c>
      <c r="U18" t="s">
        <v>109</v>
      </c>
      <c r="V18" t="s">
        <v>73</v>
      </c>
      <c r="W18" t="s">
        <v>36</v>
      </c>
      <c r="Y18" s="51">
        <v>23.379393113229575</v>
      </c>
    </row>
    <row r="19" spans="1:25" x14ac:dyDescent="0.25">
      <c r="A19" t="s">
        <v>149</v>
      </c>
      <c r="B19" t="s">
        <v>37</v>
      </c>
      <c r="C19" s="47" t="s">
        <v>37</v>
      </c>
      <c r="D19" t="s">
        <v>38</v>
      </c>
      <c r="E19" s="47">
        <v>10030027</v>
      </c>
      <c r="F19" t="s">
        <v>86</v>
      </c>
      <c r="G19" s="47">
        <v>14</v>
      </c>
      <c r="H19" s="48">
        <v>50.000000000000007</v>
      </c>
      <c r="I19" s="49">
        <v>1814.2365225600001</v>
      </c>
      <c r="J19" s="50">
        <v>0</v>
      </c>
      <c r="K19" s="50">
        <v>0</v>
      </c>
      <c r="L19" s="50">
        <v>0</v>
      </c>
      <c r="M19" s="48">
        <v>0</v>
      </c>
      <c r="N19" s="48">
        <v>0</v>
      </c>
      <c r="O19" s="50" t="s">
        <v>34</v>
      </c>
      <c r="P19" s="50">
        <v>1814</v>
      </c>
      <c r="Q19" s="47" t="s">
        <v>33</v>
      </c>
      <c r="R19" t="s">
        <v>150</v>
      </c>
      <c r="S19" t="s">
        <v>151</v>
      </c>
      <c r="T19" t="s">
        <v>135</v>
      </c>
      <c r="U19" t="s">
        <v>109</v>
      </c>
      <c r="V19" t="s">
        <v>73</v>
      </c>
      <c r="W19" t="s">
        <v>36</v>
      </c>
      <c r="Y19" s="51">
        <v>25.399311315840002</v>
      </c>
    </row>
    <row r="20" spans="1:25" x14ac:dyDescent="0.25">
      <c r="A20" t="s">
        <v>152</v>
      </c>
      <c r="B20" t="s">
        <v>37</v>
      </c>
      <c r="C20" s="47" t="s">
        <v>37</v>
      </c>
      <c r="D20" t="s">
        <v>38</v>
      </c>
      <c r="E20" s="47">
        <v>10030027</v>
      </c>
      <c r="F20" t="s">
        <v>91</v>
      </c>
      <c r="G20" s="47">
        <v>13</v>
      </c>
      <c r="H20" s="48">
        <v>66.399999999999991</v>
      </c>
      <c r="I20" s="49">
        <v>2630.2877199449999</v>
      </c>
      <c r="J20" s="50">
        <v>0</v>
      </c>
      <c r="K20" s="50">
        <v>0</v>
      </c>
      <c r="L20" s="50">
        <v>0</v>
      </c>
      <c r="M20" s="48">
        <v>0</v>
      </c>
      <c r="N20" s="48">
        <v>0</v>
      </c>
      <c r="O20" s="50" t="s">
        <v>34</v>
      </c>
      <c r="P20" s="50">
        <v>2630</v>
      </c>
      <c r="Q20" s="47" t="s">
        <v>33</v>
      </c>
      <c r="R20" t="s">
        <v>153</v>
      </c>
      <c r="S20" t="s">
        <v>154</v>
      </c>
      <c r="T20" t="s">
        <v>135</v>
      </c>
      <c r="U20" t="s">
        <v>109</v>
      </c>
      <c r="V20" t="s">
        <v>73</v>
      </c>
      <c r="W20" t="s">
        <v>36</v>
      </c>
      <c r="Y20" s="51">
        <v>25.748298463317024</v>
      </c>
    </row>
    <row r="21" spans="1:25" x14ac:dyDescent="0.25">
      <c r="A21" t="s">
        <v>155</v>
      </c>
      <c r="B21" t="s">
        <v>37</v>
      </c>
      <c r="C21" s="47" t="s">
        <v>37</v>
      </c>
      <c r="D21" t="s">
        <v>38</v>
      </c>
      <c r="E21" s="47">
        <v>10030027</v>
      </c>
      <c r="F21" t="s">
        <v>105</v>
      </c>
      <c r="G21" s="47">
        <v>6</v>
      </c>
      <c r="H21" s="48">
        <v>8.1999999999999993</v>
      </c>
      <c r="I21" s="49">
        <v>315.52880040000002</v>
      </c>
      <c r="J21" s="50">
        <v>0</v>
      </c>
      <c r="K21" s="50">
        <v>0</v>
      </c>
      <c r="L21" s="50">
        <v>0</v>
      </c>
      <c r="M21" s="48">
        <v>0</v>
      </c>
      <c r="N21" s="48">
        <v>0</v>
      </c>
      <c r="O21" s="50" t="s">
        <v>34</v>
      </c>
      <c r="P21" s="50">
        <v>316</v>
      </c>
      <c r="Q21" s="47" t="s">
        <v>33</v>
      </c>
      <c r="R21" t="s">
        <v>156</v>
      </c>
      <c r="S21" t="s">
        <v>157</v>
      </c>
      <c r="T21" t="s">
        <v>135</v>
      </c>
      <c r="U21" t="s">
        <v>109</v>
      </c>
      <c r="V21" t="s">
        <v>73</v>
      </c>
      <c r="W21" t="s">
        <v>36</v>
      </c>
      <c r="Y21" s="51">
        <v>11.543736600000003</v>
      </c>
    </row>
    <row r="22" spans="1:25" x14ac:dyDescent="0.25">
      <c r="A22" t="s">
        <v>158</v>
      </c>
      <c r="B22" t="s">
        <v>37</v>
      </c>
      <c r="C22" s="47" t="s">
        <v>37</v>
      </c>
      <c r="D22" t="s">
        <v>38</v>
      </c>
      <c r="E22" s="47">
        <v>10030027</v>
      </c>
      <c r="F22" t="s">
        <v>159</v>
      </c>
      <c r="G22" s="47">
        <v>7</v>
      </c>
      <c r="H22" s="48">
        <v>19.8</v>
      </c>
      <c r="I22" s="49">
        <v>627.60457663200009</v>
      </c>
      <c r="J22" s="50">
        <v>0</v>
      </c>
      <c r="K22" s="50">
        <v>0</v>
      </c>
      <c r="L22" s="50">
        <v>0</v>
      </c>
      <c r="M22" s="48">
        <v>0</v>
      </c>
      <c r="N22" s="48">
        <v>0</v>
      </c>
      <c r="O22" s="50" t="s">
        <v>34</v>
      </c>
      <c r="P22" s="50">
        <v>628</v>
      </c>
      <c r="Q22" s="47" t="s">
        <v>33</v>
      </c>
      <c r="R22" t="s">
        <v>160</v>
      </c>
      <c r="S22" t="s">
        <v>161</v>
      </c>
      <c r="T22" t="s">
        <v>145</v>
      </c>
      <c r="U22" t="s">
        <v>140</v>
      </c>
      <c r="V22" t="s">
        <v>73</v>
      </c>
      <c r="W22" t="s">
        <v>36</v>
      </c>
      <c r="Y22" s="51">
        <v>11.094020294000002</v>
      </c>
    </row>
    <row r="23" spans="1:25" x14ac:dyDescent="0.25">
      <c r="A23" t="s">
        <v>162</v>
      </c>
      <c r="B23" t="s">
        <v>37</v>
      </c>
      <c r="C23" s="47" t="s">
        <v>37</v>
      </c>
      <c r="D23" t="s">
        <v>38</v>
      </c>
      <c r="E23" s="47">
        <v>10030027</v>
      </c>
      <c r="F23" t="s">
        <v>163</v>
      </c>
      <c r="G23" s="47">
        <v>5</v>
      </c>
      <c r="H23" s="48">
        <v>6.9</v>
      </c>
      <c r="I23" s="49">
        <v>268.45614180000001</v>
      </c>
      <c r="J23" s="50">
        <v>0</v>
      </c>
      <c r="K23" s="50">
        <v>0</v>
      </c>
      <c r="L23" s="50">
        <v>0</v>
      </c>
      <c r="M23" s="48">
        <v>0</v>
      </c>
      <c r="N23" s="48">
        <v>0</v>
      </c>
      <c r="O23" s="50" t="s">
        <v>34</v>
      </c>
      <c r="P23" s="50">
        <v>268</v>
      </c>
      <c r="Q23" s="47" t="s">
        <v>33</v>
      </c>
      <c r="R23" t="s">
        <v>164</v>
      </c>
      <c r="S23" t="s">
        <v>165</v>
      </c>
      <c r="T23" t="s">
        <v>78</v>
      </c>
      <c r="U23" t="s">
        <v>166</v>
      </c>
      <c r="V23" t="s">
        <v>73</v>
      </c>
      <c r="W23" t="s">
        <v>36</v>
      </c>
      <c r="Y23" s="51">
        <v>9.7266718043478253</v>
      </c>
    </row>
    <row r="24" spans="1:25" x14ac:dyDescent="0.25">
      <c r="A24" t="s">
        <v>167</v>
      </c>
      <c r="B24" t="s">
        <v>37</v>
      </c>
      <c r="C24" s="47" t="s">
        <v>37</v>
      </c>
      <c r="D24" t="s">
        <v>38</v>
      </c>
      <c r="E24" s="47">
        <v>10030027</v>
      </c>
      <c r="F24" t="s">
        <v>168</v>
      </c>
      <c r="G24" s="47">
        <v>7</v>
      </c>
      <c r="H24" s="48">
        <v>15.899999999999999</v>
      </c>
      <c r="I24" s="49">
        <v>841.83646598300004</v>
      </c>
      <c r="J24" s="50">
        <v>0</v>
      </c>
      <c r="K24" s="50">
        <v>0</v>
      </c>
      <c r="L24" s="50">
        <v>0</v>
      </c>
      <c r="M24" s="48">
        <v>0</v>
      </c>
      <c r="N24" s="48">
        <v>0</v>
      </c>
      <c r="O24" s="50" t="s">
        <v>34</v>
      </c>
      <c r="P24" s="50">
        <v>842</v>
      </c>
      <c r="Q24" s="47" t="s">
        <v>33</v>
      </c>
      <c r="R24" t="s">
        <v>169</v>
      </c>
      <c r="S24" t="s">
        <v>170</v>
      </c>
      <c r="T24" t="s">
        <v>135</v>
      </c>
      <c r="U24" t="s">
        <v>109</v>
      </c>
      <c r="V24" t="s">
        <v>73</v>
      </c>
      <c r="W24" t="s">
        <v>36</v>
      </c>
      <c r="Y24" s="51">
        <v>18.530991389562896</v>
      </c>
    </row>
    <row r="25" spans="1:25" x14ac:dyDescent="0.25">
      <c r="A25" t="s">
        <v>171</v>
      </c>
      <c r="B25" t="s">
        <v>37</v>
      </c>
      <c r="C25" s="47" t="s">
        <v>37</v>
      </c>
      <c r="D25" t="s">
        <v>38</v>
      </c>
      <c r="E25" s="47">
        <v>10030027</v>
      </c>
      <c r="F25" t="s">
        <v>172</v>
      </c>
      <c r="G25" s="47">
        <v>6</v>
      </c>
      <c r="H25" s="48">
        <v>18.400000000000002</v>
      </c>
      <c r="I25" s="49">
        <v>596.38435322400005</v>
      </c>
      <c r="J25" s="50">
        <v>0</v>
      </c>
      <c r="K25" s="50">
        <v>0</v>
      </c>
      <c r="L25" s="50">
        <v>0</v>
      </c>
      <c r="M25" s="48">
        <v>0</v>
      </c>
      <c r="N25" s="48">
        <v>0</v>
      </c>
      <c r="O25" s="50" t="s">
        <v>34</v>
      </c>
      <c r="P25" s="50">
        <v>596</v>
      </c>
      <c r="Q25" s="47" t="s">
        <v>33</v>
      </c>
      <c r="R25" t="s">
        <v>173</v>
      </c>
      <c r="S25" t="s">
        <v>174</v>
      </c>
      <c r="T25" t="s">
        <v>135</v>
      </c>
      <c r="U25" t="s">
        <v>109</v>
      </c>
      <c r="V25" t="s">
        <v>73</v>
      </c>
      <c r="W25" t="s">
        <v>36</v>
      </c>
      <c r="Y25" s="51">
        <v>9.7236579330000001</v>
      </c>
    </row>
    <row r="26" spans="1:25" x14ac:dyDescent="0.25">
      <c r="A26" t="s">
        <v>175</v>
      </c>
      <c r="B26" t="s">
        <v>37</v>
      </c>
      <c r="C26" s="47" t="s">
        <v>37</v>
      </c>
      <c r="D26" t="s">
        <v>38</v>
      </c>
      <c r="E26" s="47">
        <v>10030027</v>
      </c>
      <c r="F26" t="s">
        <v>176</v>
      </c>
      <c r="G26" s="47">
        <v>6</v>
      </c>
      <c r="H26" s="48">
        <v>13.000000000000002</v>
      </c>
      <c r="I26" s="49">
        <v>585.32501380200006</v>
      </c>
      <c r="J26" s="50">
        <v>0</v>
      </c>
      <c r="K26" s="50">
        <v>0</v>
      </c>
      <c r="L26" s="50">
        <v>0</v>
      </c>
      <c r="M26" s="48">
        <v>0</v>
      </c>
      <c r="N26" s="48">
        <v>0</v>
      </c>
      <c r="O26" s="50" t="s">
        <v>34</v>
      </c>
      <c r="P26" s="50">
        <v>585</v>
      </c>
      <c r="Q26" s="47" t="s">
        <v>33</v>
      </c>
      <c r="R26" t="s">
        <v>177</v>
      </c>
      <c r="S26" t="s">
        <v>178</v>
      </c>
      <c r="T26" t="s">
        <v>135</v>
      </c>
      <c r="U26" t="s">
        <v>109</v>
      </c>
      <c r="V26" t="s">
        <v>73</v>
      </c>
      <c r="W26" t="s">
        <v>36</v>
      </c>
      <c r="Y26" s="51">
        <v>13.507500318507695</v>
      </c>
    </row>
    <row r="27" spans="1:25" x14ac:dyDescent="0.25">
      <c r="A27" t="s">
        <v>179</v>
      </c>
      <c r="B27" t="s">
        <v>37</v>
      </c>
      <c r="C27" s="47" t="s">
        <v>37</v>
      </c>
      <c r="D27" t="s">
        <v>38</v>
      </c>
      <c r="E27" s="47">
        <v>10030027</v>
      </c>
      <c r="F27" t="s">
        <v>180</v>
      </c>
      <c r="G27" s="47">
        <v>14</v>
      </c>
      <c r="H27" s="48">
        <v>48.3</v>
      </c>
      <c r="I27" s="49">
        <v>1714.99689504</v>
      </c>
      <c r="J27" s="50">
        <v>0</v>
      </c>
      <c r="K27" s="50">
        <v>0</v>
      </c>
      <c r="L27" s="50">
        <v>0</v>
      </c>
      <c r="M27" s="48">
        <v>0</v>
      </c>
      <c r="N27" s="48">
        <v>0</v>
      </c>
      <c r="O27" s="50" t="s">
        <v>34</v>
      </c>
      <c r="P27" s="50">
        <v>1715</v>
      </c>
      <c r="Q27" s="47" t="s">
        <v>33</v>
      </c>
      <c r="R27" t="s">
        <v>181</v>
      </c>
      <c r="S27" t="s">
        <v>182</v>
      </c>
      <c r="T27" t="s">
        <v>139</v>
      </c>
      <c r="U27" t="s">
        <v>140</v>
      </c>
      <c r="V27" t="s">
        <v>73</v>
      </c>
      <c r="W27" t="s">
        <v>36</v>
      </c>
      <c r="Y27" s="51">
        <v>24.855027464347831</v>
      </c>
    </row>
    <row r="28" spans="1:25" x14ac:dyDescent="0.25">
      <c r="A28" t="s">
        <v>183</v>
      </c>
      <c r="B28" t="s">
        <v>37</v>
      </c>
      <c r="C28" s="47" t="s">
        <v>37</v>
      </c>
      <c r="D28" t="s">
        <v>38</v>
      </c>
      <c r="E28" s="47">
        <v>10030027</v>
      </c>
      <c r="F28" t="s">
        <v>184</v>
      </c>
      <c r="G28" s="47">
        <v>14</v>
      </c>
      <c r="H28" s="48">
        <v>44.9</v>
      </c>
      <c r="I28" s="49">
        <v>1564.1912258279999</v>
      </c>
      <c r="J28" s="50">
        <v>0</v>
      </c>
      <c r="K28" s="50">
        <v>0</v>
      </c>
      <c r="L28" s="50">
        <v>0</v>
      </c>
      <c r="M28" s="48">
        <v>0</v>
      </c>
      <c r="N28" s="48">
        <v>0</v>
      </c>
      <c r="O28" s="50" t="s">
        <v>34</v>
      </c>
      <c r="P28" s="50">
        <v>1564</v>
      </c>
      <c r="Q28" s="47" t="s">
        <v>33</v>
      </c>
      <c r="R28" t="s">
        <v>185</v>
      </c>
      <c r="S28" t="s">
        <v>186</v>
      </c>
      <c r="T28" t="s">
        <v>187</v>
      </c>
      <c r="U28" t="s">
        <v>188</v>
      </c>
      <c r="V28" t="s">
        <v>73</v>
      </c>
      <c r="W28" t="s">
        <v>36</v>
      </c>
      <c r="Y28" s="51">
        <v>24.386054745648106</v>
      </c>
    </row>
    <row r="29" spans="1:25" x14ac:dyDescent="0.25">
      <c r="A29" t="s">
        <v>189</v>
      </c>
      <c r="B29" t="s">
        <v>37</v>
      </c>
      <c r="C29" s="47" t="s">
        <v>37</v>
      </c>
      <c r="D29" t="s">
        <v>38</v>
      </c>
      <c r="E29" s="47">
        <v>10030027</v>
      </c>
      <c r="F29" t="s">
        <v>190</v>
      </c>
      <c r="G29" s="47">
        <v>7</v>
      </c>
      <c r="H29" s="48">
        <v>19</v>
      </c>
      <c r="I29" s="49">
        <v>718.60207320000006</v>
      </c>
      <c r="J29" s="50">
        <v>0</v>
      </c>
      <c r="K29" s="50">
        <v>0</v>
      </c>
      <c r="L29" s="50">
        <v>0</v>
      </c>
      <c r="M29" s="48">
        <v>0</v>
      </c>
      <c r="N29" s="48">
        <v>0</v>
      </c>
      <c r="O29" s="50" t="s">
        <v>34</v>
      </c>
      <c r="P29" s="50">
        <v>719</v>
      </c>
      <c r="Q29" s="47" t="s">
        <v>33</v>
      </c>
      <c r="R29" t="s">
        <v>191</v>
      </c>
      <c r="S29" t="s">
        <v>192</v>
      </c>
      <c r="T29" t="s">
        <v>78</v>
      </c>
      <c r="U29" t="s">
        <v>166</v>
      </c>
      <c r="V29" t="s">
        <v>73</v>
      </c>
      <c r="W29" t="s">
        <v>36</v>
      </c>
      <c r="Y29" s="51">
        <v>13.237406611578949</v>
      </c>
    </row>
    <row r="30" spans="1:25" x14ac:dyDescent="0.25">
      <c r="A30" t="s">
        <v>193</v>
      </c>
      <c r="B30" t="s">
        <v>37</v>
      </c>
      <c r="C30" s="47" t="s">
        <v>37</v>
      </c>
      <c r="D30" t="s">
        <v>38</v>
      </c>
      <c r="E30" s="47">
        <v>10030027</v>
      </c>
      <c r="F30" t="s">
        <v>194</v>
      </c>
      <c r="G30" s="47">
        <v>5</v>
      </c>
      <c r="H30" s="48">
        <v>15.8</v>
      </c>
      <c r="I30" s="49">
        <v>489.74850342000002</v>
      </c>
      <c r="J30" s="50">
        <v>0</v>
      </c>
      <c r="K30" s="50">
        <v>0</v>
      </c>
      <c r="L30" s="50">
        <v>0</v>
      </c>
      <c r="M30" s="48">
        <v>0</v>
      </c>
      <c r="N30" s="48">
        <v>0</v>
      </c>
      <c r="O30" s="50" t="s">
        <v>34</v>
      </c>
      <c r="P30" s="50">
        <v>490</v>
      </c>
      <c r="Q30" s="47" t="s">
        <v>33</v>
      </c>
      <c r="R30" t="s">
        <v>195</v>
      </c>
      <c r="S30" t="s">
        <v>196</v>
      </c>
      <c r="T30" t="s">
        <v>135</v>
      </c>
      <c r="U30" t="s">
        <v>109</v>
      </c>
      <c r="V30" t="s">
        <v>73</v>
      </c>
      <c r="W30" t="s">
        <v>36</v>
      </c>
      <c r="Y30" s="51">
        <v>7.7491851806962027</v>
      </c>
    </row>
    <row r="31" spans="1:25" x14ac:dyDescent="0.25">
      <c r="A31" t="s">
        <v>197</v>
      </c>
      <c r="B31" t="s">
        <v>37</v>
      </c>
      <c r="C31" s="47" t="s">
        <v>37</v>
      </c>
      <c r="D31" t="s">
        <v>38</v>
      </c>
      <c r="E31" s="47">
        <v>10030027</v>
      </c>
      <c r="F31" t="s">
        <v>198</v>
      </c>
      <c r="G31" s="47">
        <v>5</v>
      </c>
      <c r="H31" s="48">
        <v>5.4</v>
      </c>
      <c r="I31" s="49">
        <v>245.61858816000006</v>
      </c>
      <c r="J31" s="50">
        <v>0</v>
      </c>
      <c r="K31" s="50">
        <v>0</v>
      </c>
      <c r="L31" s="50">
        <v>0</v>
      </c>
      <c r="M31" s="48">
        <v>0</v>
      </c>
      <c r="N31" s="48">
        <v>0</v>
      </c>
      <c r="O31" s="50" t="s">
        <v>34</v>
      </c>
      <c r="P31" s="50">
        <v>246</v>
      </c>
      <c r="Q31" s="47" t="s">
        <v>33</v>
      </c>
      <c r="R31" t="s">
        <v>199</v>
      </c>
      <c r="S31" t="s">
        <v>200</v>
      </c>
      <c r="T31" t="s">
        <v>145</v>
      </c>
      <c r="U31" t="s">
        <v>103</v>
      </c>
      <c r="V31" t="s">
        <v>73</v>
      </c>
      <c r="W31" t="s">
        <v>36</v>
      </c>
      <c r="Y31" s="51">
        <v>11.371230933333335</v>
      </c>
    </row>
    <row r="32" spans="1:25" x14ac:dyDescent="0.25">
      <c r="A32" t="s">
        <v>201</v>
      </c>
      <c r="B32" t="s">
        <v>37</v>
      </c>
      <c r="C32" s="47" t="s">
        <v>37</v>
      </c>
      <c r="D32" t="s">
        <v>38</v>
      </c>
      <c r="E32" s="47">
        <v>10030027</v>
      </c>
      <c r="F32" t="s">
        <v>202</v>
      </c>
      <c r="G32" s="47">
        <v>7</v>
      </c>
      <c r="H32" s="48">
        <v>16.600000000000001</v>
      </c>
      <c r="I32" s="49">
        <v>487.49614749000006</v>
      </c>
      <c r="J32" s="50">
        <v>0</v>
      </c>
      <c r="K32" s="50">
        <v>0</v>
      </c>
      <c r="L32" s="50">
        <v>0</v>
      </c>
      <c r="M32" s="48">
        <v>0</v>
      </c>
      <c r="N32" s="48">
        <v>0</v>
      </c>
      <c r="O32" s="50" t="s">
        <v>34</v>
      </c>
      <c r="P32" s="50">
        <v>487</v>
      </c>
      <c r="Q32" s="47" t="s">
        <v>33</v>
      </c>
      <c r="R32" t="s">
        <v>203</v>
      </c>
      <c r="S32" t="s">
        <v>204</v>
      </c>
      <c r="T32" t="s">
        <v>78</v>
      </c>
      <c r="U32" t="s">
        <v>166</v>
      </c>
      <c r="V32" t="s">
        <v>73</v>
      </c>
      <c r="W32" t="s">
        <v>36</v>
      </c>
      <c r="Y32" s="51">
        <v>10.278533230210845</v>
      </c>
    </row>
    <row r="33" spans="1:25" x14ac:dyDescent="0.25">
      <c r="A33" t="s">
        <v>205</v>
      </c>
      <c r="B33" t="s">
        <v>37</v>
      </c>
      <c r="C33" s="47" t="s">
        <v>37</v>
      </c>
      <c r="D33" t="s">
        <v>38</v>
      </c>
      <c r="E33" s="47">
        <v>10030027</v>
      </c>
      <c r="F33" t="s">
        <v>206</v>
      </c>
      <c r="G33" s="47">
        <v>3</v>
      </c>
      <c r="H33" s="48">
        <v>2.6</v>
      </c>
      <c r="I33" s="49">
        <v>104.99569344000001</v>
      </c>
      <c r="J33" s="50">
        <v>0</v>
      </c>
      <c r="K33" s="50">
        <v>0</v>
      </c>
      <c r="L33" s="50">
        <v>0</v>
      </c>
      <c r="M33" s="48">
        <v>0</v>
      </c>
      <c r="N33" s="48">
        <v>0</v>
      </c>
      <c r="O33" s="50" t="s">
        <v>34</v>
      </c>
      <c r="P33" s="50">
        <v>105</v>
      </c>
      <c r="Q33" s="47" t="s">
        <v>33</v>
      </c>
      <c r="R33" t="s">
        <v>207</v>
      </c>
      <c r="S33" t="s">
        <v>208</v>
      </c>
      <c r="T33" t="s">
        <v>145</v>
      </c>
      <c r="U33" t="s">
        <v>103</v>
      </c>
      <c r="V33" t="s">
        <v>73</v>
      </c>
      <c r="W33" t="s">
        <v>36</v>
      </c>
      <c r="Y33" s="51">
        <v>6.0574438523076939</v>
      </c>
    </row>
    <row r="34" spans="1:25" x14ac:dyDescent="0.25">
      <c r="A34" t="s">
        <v>209</v>
      </c>
      <c r="B34" t="s">
        <v>37</v>
      </c>
      <c r="C34" s="47" t="s">
        <v>37</v>
      </c>
      <c r="D34" t="s">
        <v>38</v>
      </c>
      <c r="E34" s="47">
        <v>10030027</v>
      </c>
      <c r="F34" t="s">
        <v>210</v>
      </c>
      <c r="G34" s="47">
        <v>14</v>
      </c>
      <c r="H34" s="48">
        <v>58.199999999999996</v>
      </c>
      <c r="I34" s="49">
        <v>1864.8257569919999</v>
      </c>
      <c r="J34" s="50">
        <v>0</v>
      </c>
      <c r="K34" s="50">
        <v>0</v>
      </c>
      <c r="L34" s="50">
        <v>0</v>
      </c>
      <c r="M34" s="48">
        <v>0</v>
      </c>
      <c r="N34" s="48">
        <v>0</v>
      </c>
      <c r="O34" s="50" t="s">
        <v>34</v>
      </c>
      <c r="P34" s="50">
        <v>1865</v>
      </c>
      <c r="Q34" s="47" t="s">
        <v>33</v>
      </c>
      <c r="R34" t="s">
        <v>211</v>
      </c>
      <c r="S34" t="s">
        <v>212</v>
      </c>
      <c r="T34" t="s">
        <v>135</v>
      </c>
      <c r="U34" t="s">
        <v>109</v>
      </c>
      <c r="V34" t="s">
        <v>73</v>
      </c>
      <c r="W34" t="s">
        <v>36</v>
      </c>
      <c r="Y34" s="51">
        <v>22.429175771381448</v>
      </c>
    </row>
    <row r="35" spans="1:25" x14ac:dyDescent="0.25">
      <c r="A35" t="s">
        <v>213</v>
      </c>
      <c r="B35" t="s">
        <v>37</v>
      </c>
      <c r="C35" s="47" t="s">
        <v>37</v>
      </c>
      <c r="D35" t="s">
        <v>38</v>
      </c>
      <c r="E35" s="47">
        <v>10030027</v>
      </c>
      <c r="F35" t="s">
        <v>214</v>
      </c>
      <c r="G35" s="47">
        <v>4</v>
      </c>
      <c r="H35" s="48">
        <v>8.8000000000000007</v>
      </c>
      <c r="I35" s="49">
        <v>269.65826514000003</v>
      </c>
      <c r="J35" s="50">
        <v>0</v>
      </c>
      <c r="K35" s="50">
        <v>0</v>
      </c>
      <c r="L35" s="50">
        <v>0</v>
      </c>
      <c r="M35" s="48">
        <v>0</v>
      </c>
      <c r="N35" s="48">
        <v>0</v>
      </c>
      <c r="O35" s="50" t="s">
        <v>34</v>
      </c>
      <c r="P35" s="50">
        <v>270</v>
      </c>
      <c r="Q35" s="47" t="s">
        <v>33</v>
      </c>
      <c r="R35" t="s">
        <v>215</v>
      </c>
      <c r="S35" t="s">
        <v>216</v>
      </c>
      <c r="T35" t="s">
        <v>217</v>
      </c>
      <c r="U35" t="s">
        <v>103</v>
      </c>
      <c r="V35" t="s">
        <v>73</v>
      </c>
      <c r="W35" t="s">
        <v>36</v>
      </c>
      <c r="Y35" s="51">
        <v>6.1285969350000009</v>
      </c>
    </row>
    <row r="36" spans="1:25" x14ac:dyDescent="0.25">
      <c r="A36" t="s">
        <v>218</v>
      </c>
      <c r="B36" t="s">
        <v>37</v>
      </c>
      <c r="C36" s="47" t="s">
        <v>37</v>
      </c>
      <c r="D36" t="s">
        <v>38</v>
      </c>
      <c r="E36" s="47">
        <v>10030027</v>
      </c>
      <c r="F36" t="s">
        <v>219</v>
      </c>
      <c r="G36" s="47">
        <v>7</v>
      </c>
      <c r="H36" s="48">
        <v>10.200000000000001</v>
      </c>
      <c r="I36" s="49">
        <v>469.28427790199999</v>
      </c>
      <c r="J36" s="50">
        <v>0</v>
      </c>
      <c r="K36" s="50">
        <v>0</v>
      </c>
      <c r="L36" s="50">
        <v>0</v>
      </c>
      <c r="M36" s="48">
        <v>0</v>
      </c>
      <c r="N36" s="48">
        <v>0</v>
      </c>
      <c r="O36" s="50" t="s">
        <v>34</v>
      </c>
      <c r="P36" s="50">
        <v>469</v>
      </c>
      <c r="Q36" s="47" t="s">
        <v>33</v>
      </c>
      <c r="R36" t="s">
        <v>220</v>
      </c>
      <c r="S36" t="s">
        <v>221</v>
      </c>
      <c r="T36" t="s">
        <v>222</v>
      </c>
      <c r="U36" t="s">
        <v>109</v>
      </c>
      <c r="V36" t="s">
        <v>73</v>
      </c>
      <c r="W36" t="s">
        <v>36</v>
      </c>
      <c r="Y36" s="51">
        <v>16.102891888794119</v>
      </c>
    </row>
    <row r="37" spans="1:25" x14ac:dyDescent="0.25">
      <c r="A37" t="s">
        <v>223</v>
      </c>
      <c r="B37" t="s">
        <v>37</v>
      </c>
      <c r="C37" s="47" t="s">
        <v>37</v>
      </c>
      <c r="D37" t="s">
        <v>38</v>
      </c>
      <c r="E37" s="47">
        <v>10030027</v>
      </c>
      <c r="F37" t="s">
        <v>224</v>
      </c>
      <c r="G37" s="47">
        <v>7</v>
      </c>
      <c r="H37" s="48">
        <v>23.3</v>
      </c>
      <c r="I37" s="49">
        <v>767.84356836000018</v>
      </c>
      <c r="J37" s="50">
        <v>0</v>
      </c>
      <c r="K37" s="50">
        <v>0</v>
      </c>
      <c r="L37" s="50">
        <v>0</v>
      </c>
      <c r="M37" s="48">
        <v>0</v>
      </c>
      <c r="N37" s="48">
        <v>0</v>
      </c>
      <c r="O37" s="50" t="s">
        <v>34</v>
      </c>
      <c r="P37" s="50">
        <v>768</v>
      </c>
      <c r="Q37" s="47" t="s">
        <v>33</v>
      </c>
      <c r="R37" t="s">
        <v>225</v>
      </c>
      <c r="S37" t="s">
        <v>226</v>
      </c>
      <c r="T37" t="s">
        <v>139</v>
      </c>
      <c r="U37" t="s">
        <v>103</v>
      </c>
      <c r="V37" t="s">
        <v>73</v>
      </c>
      <c r="W37" t="s">
        <v>36</v>
      </c>
      <c r="Y37" s="51">
        <v>11.534130855193137</v>
      </c>
    </row>
    <row r="38" spans="1:25" x14ac:dyDescent="0.25">
      <c r="A38" t="s">
        <v>227</v>
      </c>
      <c r="B38" t="s">
        <v>37</v>
      </c>
      <c r="C38" s="47" t="s">
        <v>37</v>
      </c>
      <c r="D38" t="s">
        <v>38</v>
      </c>
      <c r="E38" s="47">
        <v>10030027</v>
      </c>
      <c r="F38" t="s">
        <v>228</v>
      </c>
      <c r="G38" s="47">
        <v>6</v>
      </c>
      <c r="H38" s="48">
        <v>15.7</v>
      </c>
      <c r="I38" s="49">
        <v>676.45161540000015</v>
      </c>
      <c r="J38" s="50">
        <v>0</v>
      </c>
      <c r="K38" s="50">
        <v>0</v>
      </c>
      <c r="L38" s="50">
        <v>0</v>
      </c>
      <c r="M38" s="48">
        <v>0</v>
      </c>
      <c r="N38" s="48">
        <v>0</v>
      </c>
      <c r="O38" s="50" t="s">
        <v>34</v>
      </c>
      <c r="P38" s="50">
        <v>676</v>
      </c>
      <c r="Q38" s="47" t="s">
        <v>33</v>
      </c>
      <c r="R38" t="s">
        <v>229</v>
      </c>
      <c r="S38" t="s">
        <v>230</v>
      </c>
      <c r="T38" t="s">
        <v>78</v>
      </c>
      <c r="U38" t="s">
        <v>166</v>
      </c>
      <c r="V38" t="s">
        <v>73</v>
      </c>
      <c r="W38" t="s">
        <v>36</v>
      </c>
      <c r="Y38" s="51">
        <v>12.925827045859878</v>
      </c>
    </row>
    <row r="39" spans="1:25" x14ac:dyDescent="0.25">
      <c r="A39" t="s">
        <v>231</v>
      </c>
      <c r="B39" t="s">
        <v>37</v>
      </c>
      <c r="C39" s="47" t="s">
        <v>37</v>
      </c>
      <c r="D39" t="s">
        <v>38</v>
      </c>
      <c r="E39" s="47">
        <v>10030027</v>
      </c>
      <c r="F39" t="s">
        <v>232</v>
      </c>
      <c r="G39" s="47">
        <v>13</v>
      </c>
      <c r="H39" s="48">
        <v>44.000000000000007</v>
      </c>
      <c r="I39" s="49">
        <v>1521.7954567200006</v>
      </c>
      <c r="J39" s="50">
        <v>0</v>
      </c>
      <c r="K39" s="50">
        <v>0</v>
      </c>
      <c r="L39" s="50">
        <v>0</v>
      </c>
      <c r="M39" s="48">
        <v>0</v>
      </c>
      <c r="N39" s="48">
        <v>0</v>
      </c>
      <c r="O39" s="50" t="s">
        <v>34</v>
      </c>
      <c r="P39" s="50">
        <v>1522</v>
      </c>
      <c r="Q39" s="47" t="s">
        <v>33</v>
      </c>
      <c r="R39" t="s">
        <v>233</v>
      </c>
      <c r="S39" t="s">
        <v>234</v>
      </c>
      <c r="T39" t="s">
        <v>78</v>
      </c>
      <c r="U39" t="s">
        <v>235</v>
      </c>
      <c r="V39" t="s">
        <v>73</v>
      </c>
      <c r="W39" t="s">
        <v>36</v>
      </c>
      <c r="Y39" s="51">
        <v>22.481069247000004</v>
      </c>
    </row>
    <row r="40" spans="1:25" x14ac:dyDescent="0.25">
      <c r="A40" t="s">
        <v>236</v>
      </c>
      <c r="B40" t="s">
        <v>37</v>
      </c>
      <c r="C40" s="47" t="s">
        <v>37</v>
      </c>
      <c r="D40" t="s">
        <v>38</v>
      </c>
      <c r="E40" s="47">
        <v>10030027</v>
      </c>
      <c r="F40" t="s">
        <v>237</v>
      </c>
      <c r="G40" s="47">
        <v>2</v>
      </c>
      <c r="H40" s="48">
        <v>3.0999999999999996</v>
      </c>
      <c r="I40" s="49">
        <v>170.23461844479999</v>
      </c>
      <c r="J40" s="50">
        <v>0</v>
      </c>
      <c r="K40" s="50">
        <v>0</v>
      </c>
      <c r="L40" s="50">
        <v>0</v>
      </c>
      <c r="M40" s="48">
        <v>0</v>
      </c>
      <c r="N40" s="48">
        <v>0</v>
      </c>
      <c r="O40" s="50" t="s">
        <v>34</v>
      </c>
      <c r="P40" s="50">
        <v>170</v>
      </c>
      <c r="Q40" s="47" t="s">
        <v>33</v>
      </c>
      <c r="R40" t="s">
        <v>238</v>
      </c>
      <c r="S40" t="s">
        <v>239</v>
      </c>
      <c r="T40" t="s">
        <v>135</v>
      </c>
      <c r="U40" t="s">
        <v>240</v>
      </c>
      <c r="V40" t="s">
        <v>73</v>
      </c>
      <c r="W40" t="s">
        <v>36</v>
      </c>
      <c r="Y40" s="51">
        <v>5.4914393046709691</v>
      </c>
    </row>
    <row r="41" spans="1:25" x14ac:dyDescent="0.25">
      <c r="A41" t="s">
        <v>241</v>
      </c>
      <c r="B41" t="s">
        <v>37</v>
      </c>
      <c r="C41" s="47" t="s">
        <v>37</v>
      </c>
      <c r="D41" t="s">
        <v>38</v>
      </c>
      <c r="E41" s="47">
        <v>10030027</v>
      </c>
      <c r="F41" t="s">
        <v>242</v>
      </c>
      <c r="G41" s="47">
        <v>5</v>
      </c>
      <c r="H41" s="48">
        <v>42.400000000000006</v>
      </c>
      <c r="I41" s="49">
        <v>1716.6547569599998</v>
      </c>
      <c r="J41" s="50">
        <v>0</v>
      </c>
      <c r="K41" s="50">
        <v>0</v>
      </c>
      <c r="L41" s="50">
        <v>0</v>
      </c>
      <c r="M41" s="48">
        <v>0</v>
      </c>
      <c r="N41" s="48">
        <v>0</v>
      </c>
      <c r="O41" s="50" t="s">
        <v>34</v>
      </c>
      <c r="P41" s="50">
        <v>1717</v>
      </c>
      <c r="Q41" s="47" t="s">
        <v>33</v>
      </c>
      <c r="R41" t="s">
        <v>243</v>
      </c>
      <c r="S41" t="s">
        <v>244</v>
      </c>
      <c r="T41" t="s">
        <v>139</v>
      </c>
      <c r="U41" t="s">
        <v>103</v>
      </c>
      <c r="V41" t="s">
        <v>73</v>
      </c>
      <c r="W41" t="s">
        <v>36</v>
      </c>
      <c r="Y41" s="51">
        <v>10.121785123584903</v>
      </c>
    </row>
    <row r="42" spans="1:25" x14ac:dyDescent="0.25">
      <c r="A42" t="s">
        <v>245</v>
      </c>
      <c r="B42" t="s">
        <v>37</v>
      </c>
      <c r="C42" s="47" t="s">
        <v>37</v>
      </c>
      <c r="D42" t="s">
        <v>38</v>
      </c>
      <c r="E42" s="47">
        <v>10030027</v>
      </c>
      <c r="F42" t="s">
        <v>246</v>
      </c>
      <c r="G42" s="47">
        <v>7</v>
      </c>
      <c r="H42" s="48">
        <v>15.399999999999999</v>
      </c>
      <c r="I42" s="49">
        <v>625.24852632000011</v>
      </c>
      <c r="J42" s="50">
        <v>0</v>
      </c>
      <c r="K42" s="50">
        <v>0</v>
      </c>
      <c r="L42" s="50">
        <v>0</v>
      </c>
      <c r="M42" s="48">
        <v>0</v>
      </c>
      <c r="N42" s="48">
        <v>0</v>
      </c>
      <c r="O42" s="50" t="s">
        <v>34</v>
      </c>
      <c r="P42" s="50">
        <v>625</v>
      </c>
      <c r="Q42" s="47" t="s">
        <v>33</v>
      </c>
      <c r="R42" t="s">
        <v>247</v>
      </c>
      <c r="S42" t="s">
        <v>248</v>
      </c>
      <c r="T42" t="s">
        <v>135</v>
      </c>
      <c r="U42" t="s">
        <v>109</v>
      </c>
      <c r="V42" t="s">
        <v>73</v>
      </c>
      <c r="W42" t="s">
        <v>36</v>
      </c>
      <c r="Y42" s="51">
        <v>14.210193780000004</v>
      </c>
    </row>
    <row r="43" spans="1:25" x14ac:dyDescent="0.25">
      <c r="A43" t="s">
        <v>249</v>
      </c>
      <c r="B43" t="s">
        <v>37</v>
      </c>
      <c r="C43" s="47" t="s">
        <v>37</v>
      </c>
      <c r="D43" t="s">
        <v>38</v>
      </c>
      <c r="E43" s="47">
        <v>10030027</v>
      </c>
      <c r="F43" t="s">
        <v>250</v>
      </c>
      <c r="G43" s="47">
        <v>9</v>
      </c>
      <c r="H43" s="48">
        <v>21.8</v>
      </c>
      <c r="I43" s="49">
        <v>856.09627884000008</v>
      </c>
      <c r="J43" s="50">
        <v>0</v>
      </c>
      <c r="K43" s="50">
        <v>0</v>
      </c>
      <c r="L43" s="50">
        <v>0</v>
      </c>
      <c r="M43" s="48">
        <v>0</v>
      </c>
      <c r="N43" s="48">
        <v>0</v>
      </c>
      <c r="O43" s="50" t="s">
        <v>34</v>
      </c>
      <c r="P43" s="50">
        <v>856</v>
      </c>
      <c r="Q43" s="47" t="s">
        <v>33</v>
      </c>
      <c r="R43" t="s">
        <v>251</v>
      </c>
      <c r="S43" t="s">
        <v>252</v>
      </c>
      <c r="T43" t="s">
        <v>135</v>
      </c>
      <c r="U43" t="s">
        <v>109</v>
      </c>
      <c r="V43" t="s">
        <v>73</v>
      </c>
      <c r="W43" t="s">
        <v>36</v>
      </c>
      <c r="Y43" s="51">
        <v>17.671712177889908</v>
      </c>
    </row>
    <row r="44" spans="1:25" x14ac:dyDescent="0.25">
      <c r="A44" t="s">
        <v>253</v>
      </c>
      <c r="B44" t="s">
        <v>37</v>
      </c>
      <c r="C44" s="47" t="s">
        <v>37</v>
      </c>
      <c r="D44" t="s">
        <v>38</v>
      </c>
      <c r="E44" s="47">
        <v>10030027</v>
      </c>
      <c r="F44" t="s">
        <v>254</v>
      </c>
      <c r="G44" s="47">
        <v>14</v>
      </c>
      <c r="H44" s="48">
        <v>27.200000000000003</v>
      </c>
      <c r="I44" s="49">
        <v>1032.0153239880003</v>
      </c>
      <c r="J44" s="50">
        <v>0</v>
      </c>
      <c r="K44" s="50">
        <v>0</v>
      </c>
      <c r="L44" s="50">
        <v>0</v>
      </c>
      <c r="M44" s="48">
        <v>0</v>
      </c>
      <c r="N44" s="48">
        <v>0</v>
      </c>
      <c r="O44" s="50" t="s">
        <v>34</v>
      </c>
      <c r="P44" s="50">
        <v>1032</v>
      </c>
      <c r="Q44" s="47" t="s">
        <v>33</v>
      </c>
      <c r="R44" t="s">
        <v>255</v>
      </c>
      <c r="S44" t="s">
        <v>256</v>
      </c>
      <c r="T44" t="s">
        <v>135</v>
      </c>
      <c r="U44" t="s">
        <v>240</v>
      </c>
      <c r="V44" t="s">
        <v>73</v>
      </c>
      <c r="W44" t="s">
        <v>36</v>
      </c>
      <c r="Y44" s="51">
        <v>26.559217896750006</v>
      </c>
    </row>
    <row r="45" spans="1:25" x14ac:dyDescent="0.25">
      <c r="A45" t="s">
        <v>257</v>
      </c>
      <c r="B45" t="s">
        <v>37</v>
      </c>
      <c r="C45" s="47" t="s">
        <v>37</v>
      </c>
      <c r="D45" t="s">
        <v>38</v>
      </c>
      <c r="E45" s="47">
        <v>10030027</v>
      </c>
      <c r="F45" t="s">
        <v>258</v>
      </c>
      <c r="G45" s="47">
        <v>2</v>
      </c>
      <c r="H45" s="48">
        <v>2.5999999999999996</v>
      </c>
      <c r="I45" s="49">
        <v>137.22009578200002</v>
      </c>
      <c r="J45" s="50">
        <v>0</v>
      </c>
      <c r="K45" s="50">
        <v>0</v>
      </c>
      <c r="L45" s="50">
        <v>0</v>
      </c>
      <c r="M45" s="48">
        <v>0</v>
      </c>
      <c r="N45" s="48">
        <v>0</v>
      </c>
      <c r="O45" s="50" t="s">
        <v>34</v>
      </c>
      <c r="P45" s="50">
        <v>137</v>
      </c>
      <c r="Q45" s="47" t="s">
        <v>33</v>
      </c>
      <c r="R45" t="s">
        <v>259</v>
      </c>
      <c r="S45" t="s">
        <v>260</v>
      </c>
      <c r="T45" t="s">
        <v>135</v>
      </c>
      <c r="U45" t="s">
        <v>109</v>
      </c>
      <c r="V45" t="s">
        <v>73</v>
      </c>
      <c r="W45" t="s">
        <v>36</v>
      </c>
      <c r="Y45" s="51">
        <v>5.2776959916153858</v>
      </c>
    </row>
    <row r="46" spans="1:25" x14ac:dyDescent="0.25">
      <c r="A46" t="s">
        <v>261</v>
      </c>
      <c r="B46" t="s">
        <v>37</v>
      </c>
      <c r="C46" s="47" t="s">
        <v>37</v>
      </c>
      <c r="D46" t="s">
        <v>38</v>
      </c>
      <c r="E46" s="47">
        <v>10030027</v>
      </c>
      <c r="F46" t="s">
        <v>262</v>
      </c>
      <c r="G46" s="47">
        <v>7</v>
      </c>
      <c r="H46" s="48">
        <v>13.8</v>
      </c>
      <c r="I46" s="49">
        <v>850.12985120400003</v>
      </c>
      <c r="J46" s="50">
        <v>0</v>
      </c>
      <c r="K46" s="50">
        <v>0</v>
      </c>
      <c r="L46" s="50">
        <v>0</v>
      </c>
      <c r="M46" s="48">
        <v>0</v>
      </c>
      <c r="N46" s="48">
        <v>0</v>
      </c>
      <c r="O46" s="50" t="s">
        <v>34</v>
      </c>
      <c r="P46" s="50">
        <v>850</v>
      </c>
      <c r="Q46" s="47" t="s">
        <v>33</v>
      </c>
      <c r="R46" t="s">
        <v>263</v>
      </c>
      <c r="S46" t="s">
        <v>264</v>
      </c>
      <c r="T46" t="s">
        <v>139</v>
      </c>
      <c r="U46" t="s">
        <v>103</v>
      </c>
      <c r="V46" t="s">
        <v>73</v>
      </c>
      <c r="W46" t="s">
        <v>36</v>
      </c>
      <c r="Y46" s="51">
        <v>21.561264342130436</v>
      </c>
    </row>
    <row r="47" spans="1:25" x14ac:dyDescent="0.25">
      <c r="A47" t="s">
        <v>265</v>
      </c>
      <c r="B47" t="s">
        <v>37</v>
      </c>
      <c r="C47" s="47" t="s">
        <v>37</v>
      </c>
      <c r="D47" t="s">
        <v>38</v>
      </c>
      <c r="E47" s="47">
        <v>10030027</v>
      </c>
      <c r="F47" t="s">
        <v>266</v>
      </c>
      <c r="G47" s="47">
        <v>11</v>
      </c>
      <c r="H47" s="48">
        <v>21.7</v>
      </c>
      <c r="I47" s="49">
        <v>719.43693624000014</v>
      </c>
      <c r="J47" s="50">
        <v>0</v>
      </c>
      <c r="K47" s="50">
        <v>0</v>
      </c>
      <c r="L47" s="50">
        <v>0</v>
      </c>
      <c r="M47" s="48">
        <v>0</v>
      </c>
      <c r="N47" s="48">
        <v>0</v>
      </c>
      <c r="O47" s="50" t="s">
        <v>34</v>
      </c>
      <c r="P47" s="50">
        <v>719</v>
      </c>
      <c r="Q47" s="47" t="s">
        <v>33</v>
      </c>
      <c r="R47" t="s">
        <v>267</v>
      </c>
      <c r="S47" t="s">
        <v>268</v>
      </c>
      <c r="T47" t="s">
        <v>135</v>
      </c>
      <c r="U47" t="s">
        <v>109</v>
      </c>
      <c r="V47" t="s">
        <v>73</v>
      </c>
      <c r="W47" t="s">
        <v>36</v>
      </c>
      <c r="Y47" s="51">
        <v>18.234576724976964</v>
      </c>
    </row>
    <row r="48" spans="1:25" x14ac:dyDescent="0.25">
      <c r="A48" t="s">
        <v>269</v>
      </c>
      <c r="B48" t="s">
        <v>37</v>
      </c>
      <c r="C48" s="47" t="s">
        <v>37</v>
      </c>
      <c r="D48" t="s">
        <v>38</v>
      </c>
      <c r="E48" s="47">
        <v>10030027</v>
      </c>
      <c r="F48" t="s">
        <v>270</v>
      </c>
      <c r="G48" s="47">
        <v>14</v>
      </c>
      <c r="H48" s="48">
        <v>62.7</v>
      </c>
      <c r="I48" s="49">
        <v>2145.5108450820003</v>
      </c>
      <c r="J48" s="50">
        <v>0</v>
      </c>
      <c r="K48" s="50">
        <v>0</v>
      </c>
      <c r="L48" s="50">
        <v>0</v>
      </c>
      <c r="M48" s="48">
        <v>0</v>
      </c>
      <c r="N48" s="48">
        <v>0</v>
      </c>
      <c r="O48" s="50" t="s">
        <v>34</v>
      </c>
      <c r="P48" s="50">
        <v>2146</v>
      </c>
      <c r="Q48" s="47" t="s">
        <v>33</v>
      </c>
      <c r="R48" t="s">
        <v>271</v>
      </c>
      <c r="S48" t="s">
        <v>272</v>
      </c>
      <c r="T48" t="s">
        <v>145</v>
      </c>
      <c r="U48" t="s">
        <v>140</v>
      </c>
      <c r="V48" t="s">
        <v>73</v>
      </c>
      <c r="W48" t="s">
        <v>36</v>
      </c>
      <c r="Y48" s="51">
        <v>23.953071635684214</v>
      </c>
    </row>
    <row r="49" spans="1:25" x14ac:dyDescent="0.25">
      <c r="A49" t="s">
        <v>273</v>
      </c>
      <c r="B49" t="s">
        <v>37</v>
      </c>
      <c r="C49" s="47" t="s">
        <v>37</v>
      </c>
      <c r="D49" t="s">
        <v>38</v>
      </c>
      <c r="E49" s="47">
        <v>10030027</v>
      </c>
      <c r="F49" t="s">
        <v>274</v>
      </c>
      <c r="G49" s="47">
        <v>7</v>
      </c>
      <c r="H49" s="48">
        <v>12</v>
      </c>
      <c r="I49" s="49">
        <v>491.31737424000005</v>
      </c>
      <c r="J49" s="50">
        <v>0</v>
      </c>
      <c r="K49" s="50">
        <v>0</v>
      </c>
      <c r="L49" s="50">
        <v>0</v>
      </c>
      <c r="M49" s="48">
        <v>0</v>
      </c>
      <c r="N49" s="48">
        <v>0</v>
      </c>
      <c r="O49" s="50" t="s">
        <v>34</v>
      </c>
      <c r="P49" s="50">
        <v>491</v>
      </c>
      <c r="Q49" s="47" t="s">
        <v>33</v>
      </c>
      <c r="R49" t="s">
        <v>275</v>
      </c>
      <c r="S49" t="s">
        <v>276</v>
      </c>
      <c r="T49" t="s">
        <v>135</v>
      </c>
      <c r="U49" t="s">
        <v>277</v>
      </c>
      <c r="V49" t="s">
        <v>73</v>
      </c>
      <c r="W49" t="s">
        <v>36</v>
      </c>
      <c r="Y49" s="51">
        <v>14.330090082000002</v>
      </c>
    </row>
    <row r="50" spans="1:25" x14ac:dyDescent="0.25">
      <c r="A50" t="s">
        <v>278</v>
      </c>
      <c r="B50" t="s">
        <v>37</v>
      </c>
      <c r="C50" s="47" t="s">
        <v>37</v>
      </c>
      <c r="D50" t="s">
        <v>38</v>
      </c>
      <c r="E50" s="47">
        <v>10030027</v>
      </c>
      <c r="F50" t="s">
        <v>279</v>
      </c>
      <c r="G50" s="47">
        <v>9</v>
      </c>
      <c r="H50" s="48">
        <v>16.3</v>
      </c>
      <c r="I50" s="49">
        <v>501.00287331600009</v>
      </c>
      <c r="J50" s="50">
        <v>0</v>
      </c>
      <c r="K50" s="50">
        <v>0</v>
      </c>
      <c r="L50" s="50">
        <v>0</v>
      </c>
      <c r="M50" s="48">
        <v>0</v>
      </c>
      <c r="N50" s="48">
        <v>0</v>
      </c>
      <c r="O50" s="50" t="s">
        <v>34</v>
      </c>
      <c r="P50" s="50">
        <v>501</v>
      </c>
      <c r="Q50" s="47" t="s">
        <v>33</v>
      </c>
      <c r="R50" t="s">
        <v>280</v>
      </c>
      <c r="S50" t="s">
        <v>281</v>
      </c>
      <c r="T50" t="s">
        <v>135</v>
      </c>
      <c r="U50" t="s">
        <v>277</v>
      </c>
      <c r="V50" t="s">
        <v>73</v>
      </c>
      <c r="W50" t="s">
        <v>36</v>
      </c>
      <c r="Y50" s="51">
        <v>13.831367668233131</v>
      </c>
    </row>
    <row r="51" spans="1:25" x14ac:dyDescent="0.25">
      <c r="A51" t="s">
        <v>282</v>
      </c>
      <c r="B51" t="s">
        <v>37</v>
      </c>
      <c r="C51" s="47" t="s">
        <v>37</v>
      </c>
      <c r="D51" t="s">
        <v>38</v>
      </c>
      <c r="E51" s="47">
        <v>10030027</v>
      </c>
      <c r="F51" t="s">
        <v>283</v>
      </c>
      <c r="G51" s="47">
        <v>13</v>
      </c>
      <c r="H51" s="48">
        <v>27.4</v>
      </c>
      <c r="I51" s="49">
        <v>825.63278549400002</v>
      </c>
      <c r="J51" s="50">
        <v>0</v>
      </c>
      <c r="K51" s="50">
        <v>0</v>
      </c>
      <c r="L51" s="50">
        <v>0</v>
      </c>
      <c r="M51" s="48">
        <v>0</v>
      </c>
      <c r="N51" s="48">
        <v>0</v>
      </c>
      <c r="O51" s="50" t="s">
        <v>34</v>
      </c>
      <c r="P51" s="50">
        <v>826</v>
      </c>
      <c r="Q51" s="47" t="s">
        <v>33</v>
      </c>
      <c r="R51" t="s">
        <v>195</v>
      </c>
      <c r="S51" t="s">
        <v>284</v>
      </c>
      <c r="T51" t="s">
        <v>135</v>
      </c>
      <c r="U51" t="s">
        <v>277</v>
      </c>
      <c r="V51" t="s">
        <v>73</v>
      </c>
      <c r="W51" t="s">
        <v>36</v>
      </c>
      <c r="Y51" s="51">
        <v>19.586179217923362</v>
      </c>
    </row>
    <row r="52" spans="1:25" x14ac:dyDescent="0.25">
      <c r="A52" t="s">
        <v>285</v>
      </c>
      <c r="B52" t="s">
        <v>37</v>
      </c>
      <c r="C52" s="47" t="s">
        <v>37</v>
      </c>
      <c r="D52" t="s">
        <v>38</v>
      </c>
      <c r="E52" s="47">
        <v>10030027</v>
      </c>
      <c r="F52" t="s">
        <v>286</v>
      </c>
      <c r="G52" s="47">
        <v>4</v>
      </c>
      <c r="H52" s="48">
        <v>5.1999999999999993</v>
      </c>
      <c r="I52" s="49">
        <v>177.63619757400002</v>
      </c>
      <c r="J52" s="50">
        <v>0</v>
      </c>
      <c r="K52" s="50">
        <v>0</v>
      </c>
      <c r="L52" s="50">
        <v>0</v>
      </c>
      <c r="M52" s="48">
        <v>0</v>
      </c>
      <c r="N52" s="48">
        <v>0</v>
      </c>
      <c r="O52" s="50" t="s">
        <v>34</v>
      </c>
      <c r="P52" s="50">
        <v>178</v>
      </c>
      <c r="Q52" s="47" t="s">
        <v>33</v>
      </c>
      <c r="R52" t="s">
        <v>287</v>
      </c>
      <c r="S52" t="s">
        <v>288</v>
      </c>
      <c r="T52" t="s">
        <v>78</v>
      </c>
      <c r="U52" t="s">
        <v>289</v>
      </c>
      <c r="V52" t="s">
        <v>73</v>
      </c>
      <c r="W52" t="s">
        <v>36</v>
      </c>
      <c r="Y52" s="51">
        <v>6.8321614451538482</v>
      </c>
    </row>
    <row r="53" spans="1:25" x14ac:dyDescent="0.25">
      <c r="A53" t="s">
        <v>290</v>
      </c>
      <c r="B53" t="s">
        <v>37</v>
      </c>
      <c r="C53" s="47" t="s">
        <v>37</v>
      </c>
      <c r="D53" t="s">
        <v>38</v>
      </c>
      <c r="E53" s="47">
        <v>10030027</v>
      </c>
      <c r="F53" t="s">
        <v>291</v>
      </c>
      <c r="G53" s="47">
        <v>8</v>
      </c>
      <c r="H53" s="48">
        <v>17</v>
      </c>
      <c r="I53" s="49">
        <v>568.25207604000002</v>
      </c>
      <c r="J53" s="50">
        <v>0</v>
      </c>
      <c r="K53" s="50">
        <v>0</v>
      </c>
      <c r="L53" s="50">
        <v>0</v>
      </c>
      <c r="M53" s="48">
        <v>0</v>
      </c>
      <c r="N53" s="48">
        <v>0</v>
      </c>
      <c r="O53" s="50" t="s">
        <v>34</v>
      </c>
      <c r="P53" s="50">
        <v>568</v>
      </c>
      <c r="Q53" s="47" t="s">
        <v>33</v>
      </c>
      <c r="R53" t="s">
        <v>292</v>
      </c>
      <c r="S53" t="s">
        <v>293</v>
      </c>
      <c r="T53" t="s">
        <v>135</v>
      </c>
      <c r="U53" t="s">
        <v>277</v>
      </c>
      <c r="V53" t="s">
        <v>73</v>
      </c>
      <c r="W53" t="s">
        <v>36</v>
      </c>
      <c r="Y53" s="51">
        <v>13.37063708329412</v>
      </c>
    </row>
    <row r="54" spans="1:25" x14ac:dyDescent="0.25">
      <c r="A54" t="s">
        <v>294</v>
      </c>
      <c r="B54" t="s">
        <v>37</v>
      </c>
      <c r="C54" s="47" t="s">
        <v>37</v>
      </c>
      <c r="D54" t="s">
        <v>38</v>
      </c>
      <c r="E54" s="47">
        <v>10030027</v>
      </c>
      <c r="F54" t="s">
        <v>295</v>
      </c>
      <c r="G54" s="47">
        <v>10</v>
      </c>
      <c r="H54" s="48">
        <v>13.2</v>
      </c>
      <c r="I54" s="49">
        <v>515.13951970800008</v>
      </c>
      <c r="J54" s="50">
        <v>0</v>
      </c>
      <c r="K54" s="50">
        <v>0</v>
      </c>
      <c r="L54" s="50">
        <v>0</v>
      </c>
      <c r="M54" s="48">
        <v>0</v>
      </c>
      <c r="N54" s="48">
        <v>0</v>
      </c>
      <c r="O54" s="50" t="s">
        <v>34</v>
      </c>
      <c r="P54" s="50">
        <v>515</v>
      </c>
      <c r="Q54" s="47" t="s">
        <v>33</v>
      </c>
      <c r="R54" t="s">
        <v>296</v>
      </c>
      <c r="S54" t="s">
        <v>297</v>
      </c>
      <c r="T54" t="s">
        <v>135</v>
      </c>
      <c r="U54" t="s">
        <v>277</v>
      </c>
      <c r="V54" t="s">
        <v>73</v>
      </c>
      <c r="W54" t="s">
        <v>36</v>
      </c>
      <c r="Y54" s="51">
        <v>19.512860595000003</v>
      </c>
    </row>
    <row r="55" spans="1:25" x14ac:dyDescent="0.25">
      <c r="A55" t="s">
        <v>298</v>
      </c>
      <c r="B55" t="s">
        <v>39</v>
      </c>
      <c r="C55" s="47" t="s">
        <v>39</v>
      </c>
      <c r="D55" t="s">
        <v>40</v>
      </c>
      <c r="E55" s="47">
        <v>10060031</v>
      </c>
      <c r="F55" t="s">
        <v>132</v>
      </c>
      <c r="G55" s="47">
        <v>1</v>
      </c>
      <c r="H55" s="48">
        <v>2.61</v>
      </c>
      <c r="I55" s="49">
        <v>101.98084842000002</v>
      </c>
      <c r="J55" s="50">
        <v>0</v>
      </c>
      <c r="K55" s="50">
        <v>0</v>
      </c>
      <c r="L55" s="50">
        <v>101.98084842000002</v>
      </c>
      <c r="M55" s="48">
        <v>0</v>
      </c>
      <c r="N55" s="48">
        <v>0</v>
      </c>
      <c r="O55" s="50" t="s">
        <v>34</v>
      </c>
      <c r="P55" s="50">
        <v>0</v>
      </c>
      <c r="Q55" s="47" t="s">
        <v>33</v>
      </c>
      <c r="R55" t="s">
        <v>299</v>
      </c>
      <c r="S55" t="s">
        <v>300</v>
      </c>
      <c r="T55" t="s">
        <v>301</v>
      </c>
      <c r="U55" t="s">
        <v>302</v>
      </c>
      <c r="V55" t="s">
        <v>73</v>
      </c>
      <c r="W55" t="s">
        <v>36</v>
      </c>
      <c r="Y55" s="51">
        <v>1.9536561000000003</v>
      </c>
    </row>
    <row r="56" spans="1:25" x14ac:dyDescent="0.25">
      <c r="A56" t="s">
        <v>303</v>
      </c>
      <c r="B56" t="s">
        <v>39</v>
      </c>
      <c r="C56" s="47" t="s">
        <v>39</v>
      </c>
      <c r="D56" t="s">
        <v>40</v>
      </c>
      <c r="E56" s="47">
        <v>10060031</v>
      </c>
      <c r="F56" t="s">
        <v>304</v>
      </c>
      <c r="G56" s="47">
        <v>7</v>
      </c>
      <c r="H56" s="48">
        <v>19.88</v>
      </c>
      <c r="I56" s="49">
        <v>801.39298536000001</v>
      </c>
      <c r="J56" s="50">
        <v>0</v>
      </c>
      <c r="K56" s="50">
        <v>0</v>
      </c>
      <c r="L56" s="50">
        <v>0</v>
      </c>
      <c r="M56" s="48">
        <v>0</v>
      </c>
      <c r="N56" s="48">
        <v>0</v>
      </c>
      <c r="O56" s="50" t="s">
        <v>34</v>
      </c>
      <c r="P56" s="50">
        <v>801</v>
      </c>
      <c r="Q56" s="47" t="s">
        <v>33</v>
      </c>
      <c r="R56" t="s">
        <v>305</v>
      </c>
      <c r="S56" t="s">
        <v>306</v>
      </c>
      <c r="T56" t="s">
        <v>307</v>
      </c>
      <c r="U56" t="s">
        <v>109</v>
      </c>
      <c r="V56" t="s">
        <v>73</v>
      </c>
      <c r="W56" t="s">
        <v>36</v>
      </c>
      <c r="Y56" s="51">
        <v>14.109031432394367</v>
      </c>
    </row>
    <row r="57" spans="1:25" x14ac:dyDescent="0.25">
      <c r="A57" t="s">
        <v>308</v>
      </c>
      <c r="B57" t="s">
        <v>39</v>
      </c>
      <c r="C57" s="47" t="s">
        <v>39</v>
      </c>
      <c r="D57" t="s">
        <v>40</v>
      </c>
      <c r="E57" s="47">
        <v>10060031</v>
      </c>
      <c r="F57" t="s">
        <v>309</v>
      </c>
      <c r="G57" s="47">
        <v>2</v>
      </c>
      <c r="H57" s="48">
        <v>7.35</v>
      </c>
      <c r="I57" s="49">
        <v>306.21920670000009</v>
      </c>
      <c r="J57" s="50">
        <v>0</v>
      </c>
      <c r="K57" s="50">
        <v>0</v>
      </c>
      <c r="L57" s="50">
        <v>153</v>
      </c>
      <c r="M57" s="48">
        <v>0</v>
      </c>
      <c r="N57" s="48">
        <v>0</v>
      </c>
      <c r="O57" s="50" t="s">
        <v>34</v>
      </c>
      <c r="P57" s="50">
        <v>153</v>
      </c>
      <c r="Q57" s="47" t="s">
        <v>33</v>
      </c>
      <c r="R57" t="s">
        <v>310</v>
      </c>
      <c r="S57" t="s">
        <v>311</v>
      </c>
      <c r="T57" t="s">
        <v>307</v>
      </c>
      <c r="U57" t="s">
        <v>109</v>
      </c>
      <c r="V57" t="s">
        <v>73</v>
      </c>
      <c r="W57" t="s">
        <v>36</v>
      </c>
      <c r="Y57" s="51">
        <v>4.1662477102040834</v>
      </c>
    </row>
    <row r="58" spans="1:25" x14ac:dyDescent="0.25">
      <c r="A58" t="s">
        <v>312</v>
      </c>
      <c r="B58" t="s">
        <v>39</v>
      </c>
      <c r="C58" s="47" t="s">
        <v>39</v>
      </c>
      <c r="D58" t="s">
        <v>40</v>
      </c>
      <c r="E58" s="47">
        <v>10060031</v>
      </c>
      <c r="F58" t="s">
        <v>313</v>
      </c>
      <c r="G58" s="47">
        <v>14</v>
      </c>
      <c r="H58" s="48">
        <v>130.72000000000003</v>
      </c>
      <c r="I58" s="49">
        <v>5768.1318487320013</v>
      </c>
      <c r="J58" s="50">
        <v>0</v>
      </c>
      <c r="K58" s="50">
        <v>0</v>
      </c>
      <c r="L58" s="50">
        <v>2687</v>
      </c>
      <c r="M58" s="48">
        <v>0</v>
      </c>
      <c r="N58" s="48">
        <v>0</v>
      </c>
      <c r="O58" s="50" t="s">
        <v>34</v>
      </c>
      <c r="P58" s="50">
        <v>3081</v>
      </c>
      <c r="Q58" s="47" t="s">
        <v>33</v>
      </c>
      <c r="R58" t="s">
        <v>314</v>
      </c>
      <c r="S58" t="s">
        <v>315</v>
      </c>
      <c r="T58" t="s">
        <v>108</v>
      </c>
      <c r="U58" t="s">
        <v>109</v>
      </c>
      <c r="V58" t="s">
        <v>73</v>
      </c>
      <c r="W58" t="s">
        <v>36</v>
      </c>
      <c r="Y58" s="51">
        <v>30.888098945168302</v>
      </c>
    </row>
    <row r="59" spans="1:25" x14ac:dyDescent="0.25">
      <c r="A59" t="s">
        <v>316</v>
      </c>
      <c r="B59" t="s">
        <v>39</v>
      </c>
      <c r="C59" s="47" t="s">
        <v>39</v>
      </c>
      <c r="D59" t="s">
        <v>40</v>
      </c>
      <c r="E59" s="47">
        <v>10060031</v>
      </c>
      <c r="F59" t="s">
        <v>317</v>
      </c>
      <c r="G59" s="47">
        <v>14</v>
      </c>
      <c r="H59" s="48">
        <v>96.01</v>
      </c>
      <c r="I59" s="49">
        <v>3727.4689774080002</v>
      </c>
      <c r="J59" s="50">
        <v>0</v>
      </c>
      <c r="K59" s="50">
        <v>0</v>
      </c>
      <c r="L59" s="50">
        <v>1603</v>
      </c>
      <c r="M59" s="48">
        <v>0</v>
      </c>
      <c r="N59" s="48">
        <v>0</v>
      </c>
      <c r="O59" s="50" t="s">
        <v>34</v>
      </c>
      <c r="P59" s="50">
        <v>2124</v>
      </c>
      <c r="Q59" s="47" t="s">
        <v>33</v>
      </c>
      <c r="R59" t="s">
        <v>318</v>
      </c>
      <c r="S59" t="s">
        <v>319</v>
      </c>
      <c r="T59" t="s">
        <v>307</v>
      </c>
      <c r="U59" t="s">
        <v>109</v>
      </c>
      <c r="V59" t="s">
        <v>73</v>
      </c>
      <c r="W59" t="s">
        <v>36</v>
      </c>
      <c r="Y59" s="51">
        <v>27.176630394600565</v>
      </c>
    </row>
    <row r="60" spans="1:25" x14ac:dyDescent="0.25">
      <c r="A60" t="s">
        <v>320</v>
      </c>
      <c r="B60" t="s">
        <v>39</v>
      </c>
      <c r="C60" s="47" t="s">
        <v>39</v>
      </c>
      <c r="D60" t="s">
        <v>40</v>
      </c>
      <c r="E60" s="47">
        <v>10060031</v>
      </c>
      <c r="F60" t="s">
        <v>321</v>
      </c>
      <c r="G60" s="47">
        <v>7</v>
      </c>
      <c r="H60" s="48">
        <v>45.899999999999991</v>
      </c>
      <c r="I60" s="49">
        <v>3241.2119405043995</v>
      </c>
      <c r="J60" s="50">
        <v>0</v>
      </c>
      <c r="K60" s="50">
        <v>0</v>
      </c>
      <c r="L60" s="50">
        <v>1484</v>
      </c>
      <c r="M60" s="48">
        <v>0</v>
      </c>
      <c r="N60" s="48">
        <v>0</v>
      </c>
      <c r="O60" s="50" t="s">
        <v>34</v>
      </c>
      <c r="P60" s="50">
        <v>1757</v>
      </c>
      <c r="Q60" s="47" t="s">
        <v>33</v>
      </c>
      <c r="R60" t="s">
        <v>322</v>
      </c>
      <c r="S60" t="s">
        <v>323</v>
      </c>
      <c r="T60" t="s">
        <v>307</v>
      </c>
      <c r="U60" t="s">
        <v>109</v>
      </c>
      <c r="V60" t="s">
        <v>73</v>
      </c>
      <c r="W60" t="s">
        <v>36</v>
      </c>
      <c r="Y60" s="51">
        <v>24.715123729336383</v>
      </c>
    </row>
    <row r="61" spans="1:25" x14ac:dyDescent="0.25">
      <c r="A61" t="s">
        <v>324</v>
      </c>
      <c r="B61" t="s">
        <v>39</v>
      </c>
      <c r="C61" s="47" t="s">
        <v>39</v>
      </c>
      <c r="D61" t="s">
        <v>40</v>
      </c>
      <c r="E61" s="47">
        <v>10060031</v>
      </c>
      <c r="F61" t="s">
        <v>325</v>
      </c>
      <c r="G61" s="47">
        <v>14</v>
      </c>
      <c r="H61" s="48">
        <v>108.26</v>
      </c>
      <c r="I61" s="49">
        <v>4241.5458192756005</v>
      </c>
      <c r="J61" s="50">
        <v>0</v>
      </c>
      <c r="K61" s="50">
        <v>0</v>
      </c>
      <c r="L61" s="50">
        <v>1940</v>
      </c>
      <c r="M61" s="48">
        <v>0</v>
      </c>
      <c r="N61" s="48">
        <v>0</v>
      </c>
      <c r="O61" s="50" t="s">
        <v>34</v>
      </c>
      <c r="P61" s="50">
        <v>2302</v>
      </c>
      <c r="Q61" s="47" t="s">
        <v>33</v>
      </c>
      <c r="R61" t="s">
        <v>326</v>
      </c>
      <c r="S61" t="s">
        <v>327</v>
      </c>
      <c r="T61" t="s">
        <v>78</v>
      </c>
      <c r="U61" t="s">
        <v>89</v>
      </c>
      <c r="V61" t="s">
        <v>73</v>
      </c>
      <c r="W61" t="s">
        <v>36</v>
      </c>
      <c r="Y61" s="51">
        <v>27.425476385487904</v>
      </c>
    </row>
    <row r="62" spans="1:25" x14ac:dyDescent="0.25">
      <c r="A62" t="s">
        <v>328</v>
      </c>
      <c r="B62" t="s">
        <v>39</v>
      </c>
      <c r="C62" s="47" t="s">
        <v>39</v>
      </c>
      <c r="D62" t="s">
        <v>40</v>
      </c>
      <c r="E62" s="47">
        <v>10060031</v>
      </c>
      <c r="F62" t="s">
        <v>180</v>
      </c>
      <c r="G62" s="47">
        <v>7</v>
      </c>
      <c r="H62" s="48">
        <v>14.84</v>
      </c>
      <c r="I62" s="49">
        <v>653.1712743600001</v>
      </c>
      <c r="J62" s="50">
        <v>0</v>
      </c>
      <c r="K62" s="50">
        <v>0</v>
      </c>
      <c r="L62" s="50">
        <v>0</v>
      </c>
      <c r="M62" s="48">
        <v>0</v>
      </c>
      <c r="N62" s="48">
        <v>0</v>
      </c>
      <c r="O62" s="50" t="s">
        <v>34</v>
      </c>
      <c r="P62" s="50">
        <v>653</v>
      </c>
      <c r="Q62" s="47" t="s">
        <v>33</v>
      </c>
      <c r="R62" t="s">
        <v>329</v>
      </c>
      <c r="S62" t="s">
        <v>330</v>
      </c>
      <c r="T62" t="s">
        <v>331</v>
      </c>
      <c r="U62" t="s">
        <v>332</v>
      </c>
      <c r="V62" t="s">
        <v>73</v>
      </c>
      <c r="W62" t="s">
        <v>36</v>
      </c>
      <c r="Y62" s="51">
        <v>15.40498288584906</v>
      </c>
    </row>
    <row r="63" spans="1:25" x14ac:dyDescent="0.25">
      <c r="A63" t="s">
        <v>333</v>
      </c>
      <c r="B63" t="s">
        <v>39</v>
      </c>
      <c r="C63" s="47" t="s">
        <v>39</v>
      </c>
      <c r="D63" t="s">
        <v>40</v>
      </c>
      <c r="E63" s="47">
        <v>10060031</v>
      </c>
      <c r="F63" t="s">
        <v>334</v>
      </c>
      <c r="G63" s="47">
        <v>13</v>
      </c>
      <c r="H63" s="48">
        <v>109.66000000000001</v>
      </c>
      <c r="I63" s="49">
        <v>4518.9340627365</v>
      </c>
      <c r="J63" s="50">
        <v>0</v>
      </c>
      <c r="K63" s="50">
        <v>0</v>
      </c>
      <c r="L63" s="50">
        <v>2626</v>
      </c>
      <c r="M63" s="48">
        <v>0</v>
      </c>
      <c r="N63" s="48">
        <v>0</v>
      </c>
      <c r="O63" s="50" t="s">
        <v>34</v>
      </c>
      <c r="P63" s="50">
        <v>1893</v>
      </c>
      <c r="Q63" s="47" t="s">
        <v>33</v>
      </c>
      <c r="R63" t="s">
        <v>335</v>
      </c>
      <c r="S63" t="s">
        <v>336</v>
      </c>
      <c r="T63" t="s">
        <v>307</v>
      </c>
      <c r="U63" t="s">
        <v>109</v>
      </c>
      <c r="V63" t="s">
        <v>73</v>
      </c>
      <c r="W63" t="s">
        <v>36</v>
      </c>
      <c r="Y63" s="51">
        <v>26.78558399396977</v>
      </c>
    </row>
    <row r="64" spans="1:25" x14ac:dyDescent="0.25">
      <c r="A64" t="s">
        <v>337</v>
      </c>
      <c r="B64" t="s">
        <v>39</v>
      </c>
      <c r="C64" s="47" t="s">
        <v>39</v>
      </c>
      <c r="D64" t="s">
        <v>40</v>
      </c>
      <c r="E64" s="47">
        <v>10060031</v>
      </c>
      <c r="F64" t="s">
        <v>338</v>
      </c>
      <c r="G64" s="47">
        <v>14</v>
      </c>
      <c r="H64" s="48">
        <v>52.309999999999981</v>
      </c>
      <c r="I64" s="49">
        <v>3215.7882200007002</v>
      </c>
      <c r="J64" s="50">
        <v>0</v>
      </c>
      <c r="K64" s="50">
        <v>0</v>
      </c>
      <c r="L64" s="50">
        <v>1515</v>
      </c>
      <c r="M64" s="48">
        <v>0</v>
      </c>
      <c r="N64" s="48">
        <v>0</v>
      </c>
      <c r="O64" s="50" t="s">
        <v>34</v>
      </c>
      <c r="P64" s="50">
        <v>1701</v>
      </c>
      <c r="Q64" s="47" t="s">
        <v>33</v>
      </c>
      <c r="R64" t="s">
        <v>339</v>
      </c>
      <c r="S64" t="s">
        <v>340</v>
      </c>
      <c r="T64" t="s">
        <v>331</v>
      </c>
      <c r="U64" t="s">
        <v>332</v>
      </c>
      <c r="V64" t="s">
        <v>73</v>
      </c>
      <c r="W64" t="s">
        <v>36</v>
      </c>
      <c r="Y64" s="51">
        <v>43.032914433196161</v>
      </c>
    </row>
    <row r="65" spans="1:25" x14ac:dyDescent="0.25">
      <c r="A65" t="s">
        <v>341</v>
      </c>
      <c r="B65" t="s">
        <v>39</v>
      </c>
      <c r="C65" s="47" t="s">
        <v>39</v>
      </c>
      <c r="D65" t="s">
        <v>40</v>
      </c>
      <c r="E65" s="47">
        <v>10060031</v>
      </c>
      <c r="F65" t="s">
        <v>342</v>
      </c>
      <c r="G65" s="47">
        <v>1</v>
      </c>
      <c r="H65" s="48">
        <v>1.96</v>
      </c>
      <c r="I65" s="49">
        <v>89.854488233999987</v>
      </c>
      <c r="J65" s="50">
        <v>0</v>
      </c>
      <c r="K65" s="50">
        <v>0</v>
      </c>
      <c r="L65" s="50">
        <v>44.08</v>
      </c>
      <c r="M65" s="48">
        <v>0</v>
      </c>
      <c r="N65" s="48">
        <v>0</v>
      </c>
      <c r="O65" s="50" t="s">
        <v>34</v>
      </c>
      <c r="P65" s="50">
        <v>46</v>
      </c>
      <c r="Q65" s="47" t="s">
        <v>33</v>
      </c>
      <c r="R65" t="s">
        <v>343</v>
      </c>
      <c r="S65" t="s">
        <v>344</v>
      </c>
      <c r="T65" t="s">
        <v>307</v>
      </c>
      <c r="U65" t="s">
        <v>240</v>
      </c>
      <c r="V65" t="s">
        <v>73</v>
      </c>
      <c r="W65" t="s">
        <v>36</v>
      </c>
      <c r="Y65" s="51">
        <v>2.2922063324999997</v>
      </c>
    </row>
    <row r="66" spans="1:25" x14ac:dyDescent="0.25">
      <c r="A66" t="s">
        <v>345</v>
      </c>
      <c r="B66" t="s">
        <v>39</v>
      </c>
      <c r="C66" s="47" t="s">
        <v>39</v>
      </c>
      <c r="D66" t="s">
        <v>40</v>
      </c>
      <c r="E66" s="47">
        <v>10060031</v>
      </c>
      <c r="F66" t="s">
        <v>346</v>
      </c>
      <c r="G66" s="47">
        <v>11</v>
      </c>
      <c r="H66" s="48">
        <v>36.57</v>
      </c>
      <c r="I66" s="49">
        <v>1416.6450583956</v>
      </c>
      <c r="J66" s="50">
        <v>0</v>
      </c>
      <c r="K66" s="50">
        <v>0</v>
      </c>
      <c r="L66" s="50">
        <v>568</v>
      </c>
      <c r="M66" s="48">
        <v>0</v>
      </c>
      <c r="N66" s="48">
        <v>0</v>
      </c>
      <c r="O66" s="50" t="s">
        <v>34</v>
      </c>
      <c r="P66" s="50">
        <v>849</v>
      </c>
      <c r="Q66" s="47" t="s">
        <v>33</v>
      </c>
      <c r="R66" t="s">
        <v>347</v>
      </c>
      <c r="S66" t="s">
        <v>348</v>
      </c>
      <c r="T66" t="s">
        <v>331</v>
      </c>
      <c r="U66" t="s">
        <v>332</v>
      </c>
      <c r="V66" t="s">
        <v>73</v>
      </c>
      <c r="W66" t="s">
        <v>36</v>
      </c>
      <c r="Y66" s="51">
        <v>21.305845833130434</v>
      </c>
    </row>
    <row r="67" spans="1:25" x14ac:dyDescent="0.25">
      <c r="A67" t="s">
        <v>349</v>
      </c>
      <c r="B67" t="s">
        <v>39</v>
      </c>
      <c r="C67" s="47" t="s">
        <v>39</v>
      </c>
      <c r="D67" t="s">
        <v>40</v>
      </c>
      <c r="E67" s="47">
        <v>10060031</v>
      </c>
      <c r="F67" t="s">
        <v>350</v>
      </c>
      <c r="G67" s="47">
        <v>13</v>
      </c>
      <c r="H67" s="48">
        <v>27.629999999999995</v>
      </c>
      <c r="I67" s="49">
        <v>1117.8861863400002</v>
      </c>
      <c r="J67" s="50">
        <v>0</v>
      </c>
      <c r="K67" s="50">
        <v>0</v>
      </c>
      <c r="L67" s="50">
        <v>512</v>
      </c>
      <c r="M67" s="48">
        <v>0</v>
      </c>
      <c r="N67" s="48">
        <v>0</v>
      </c>
      <c r="O67" s="50" t="s">
        <v>34</v>
      </c>
      <c r="P67" s="50">
        <v>606</v>
      </c>
      <c r="Q67" s="47" t="s">
        <v>33</v>
      </c>
      <c r="R67" t="s">
        <v>351</v>
      </c>
      <c r="S67" t="s">
        <v>352</v>
      </c>
      <c r="T67" t="s">
        <v>331</v>
      </c>
      <c r="U67" t="s">
        <v>332</v>
      </c>
      <c r="V67" t="s">
        <v>73</v>
      </c>
      <c r="W67" t="s">
        <v>36</v>
      </c>
      <c r="Y67" s="51">
        <v>26.298444485016301</v>
      </c>
    </row>
    <row r="68" spans="1:25" x14ac:dyDescent="0.25">
      <c r="A68" t="s">
        <v>353</v>
      </c>
      <c r="B68" t="s">
        <v>39</v>
      </c>
      <c r="C68" s="47" t="s">
        <v>39</v>
      </c>
      <c r="D68" t="s">
        <v>40</v>
      </c>
      <c r="E68" s="47">
        <v>10060031</v>
      </c>
      <c r="F68" t="s">
        <v>354</v>
      </c>
      <c r="G68" s="47">
        <v>14</v>
      </c>
      <c r="H68" s="48">
        <v>43.73</v>
      </c>
      <c r="I68" s="49">
        <v>1628.4200973480004</v>
      </c>
      <c r="J68" s="50">
        <v>0</v>
      </c>
      <c r="K68" s="50">
        <v>0</v>
      </c>
      <c r="L68" s="50">
        <v>714</v>
      </c>
      <c r="M68" s="48">
        <v>0</v>
      </c>
      <c r="N68" s="48">
        <v>0</v>
      </c>
      <c r="O68" s="50" t="s">
        <v>34</v>
      </c>
      <c r="P68" s="50">
        <v>914</v>
      </c>
      <c r="Q68" s="47" t="s">
        <v>33</v>
      </c>
      <c r="R68" t="s">
        <v>355</v>
      </c>
      <c r="S68" t="s">
        <v>356</v>
      </c>
      <c r="T68" t="s">
        <v>331</v>
      </c>
      <c r="U68" t="s">
        <v>357</v>
      </c>
      <c r="V68" t="s">
        <v>73</v>
      </c>
      <c r="W68" t="s">
        <v>36</v>
      </c>
      <c r="Y68" s="51">
        <v>26.066637734818215</v>
      </c>
    </row>
    <row r="69" spans="1:25" x14ac:dyDescent="0.25">
      <c r="A69" t="s">
        <v>358</v>
      </c>
      <c r="B69" t="s">
        <v>39</v>
      </c>
      <c r="C69" s="47" t="s">
        <v>39</v>
      </c>
      <c r="D69" t="s">
        <v>40</v>
      </c>
      <c r="E69" s="47">
        <v>10060031</v>
      </c>
      <c r="F69" t="s">
        <v>359</v>
      </c>
      <c r="G69" s="47">
        <v>14</v>
      </c>
      <c r="H69" s="48">
        <v>79.16</v>
      </c>
      <c r="I69" s="49">
        <v>2981.2506641280011</v>
      </c>
      <c r="J69" s="50">
        <v>0</v>
      </c>
      <c r="K69" s="50">
        <v>0</v>
      </c>
      <c r="L69" s="50">
        <v>1187</v>
      </c>
      <c r="M69" s="48">
        <v>0</v>
      </c>
      <c r="N69" s="48">
        <v>0</v>
      </c>
      <c r="O69" s="50" t="s">
        <v>34</v>
      </c>
      <c r="P69" s="50">
        <v>1794</v>
      </c>
      <c r="Q69" s="47" t="s">
        <v>33</v>
      </c>
      <c r="R69" t="s">
        <v>360</v>
      </c>
      <c r="S69" t="s">
        <v>361</v>
      </c>
      <c r="T69" t="s">
        <v>331</v>
      </c>
      <c r="U69" t="s">
        <v>357</v>
      </c>
      <c r="V69" t="s">
        <v>73</v>
      </c>
      <c r="W69" t="s">
        <v>36</v>
      </c>
      <c r="Y69" s="51">
        <v>26.362752209317847</v>
      </c>
    </row>
    <row r="70" spans="1:25" x14ac:dyDescent="0.25">
      <c r="A70" t="s">
        <v>362</v>
      </c>
      <c r="B70" t="s">
        <v>42</v>
      </c>
      <c r="C70" s="47" t="s">
        <v>42</v>
      </c>
      <c r="D70" t="s">
        <v>43</v>
      </c>
      <c r="E70" s="47">
        <v>10580002</v>
      </c>
      <c r="F70" t="s">
        <v>129</v>
      </c>
      <c r="G70">
        <v>5</v>
      </c>
      <c r="H70" s="48">
        <v>3.1</v>
      </c>
      <c r="I70" s="48">
        <v>115.93361181600002</v>
      </c>
      <c r="J70" s="50">
        <v>0</v>
      </c>
      <c r="K70" s="50">
        <v>115.93361181600002</v>
      </c>
      <c r="L70" s="50">
        <v>0</v>
      </c>
      <c r="M70" s="48">
        <v>0</v>
      </c>
      <c r="N70" s="48">
        <v>0</v>
      </c>
      <c r="O70" s="50" t="s">
        <v>34</v>
      </c>
      <c r="P70" s="50">
        <v>0</v>
      </c>
      <c r="Q70" s="47" t="s">
        <v>33</v>
      </c>
      <c r="R70">
        <v>0</v>
      </c>
      <c r="S70">
        <v>0</v>
      </c>
      <c r="T70">
        <v>0</v>
      </c>
      <c r="U70">
        <v>0</v>
      </c>
      <c r="V70" t="s">
        <v>130</v>
      </c>
      <c r="W70" t="s">
        <v>36</v>
      </c>
      <c r="Y70" s="51">
        <v>0</v>
      </c>
    </row>
    <row r="71" spans="1:25" x14ac:dyDescent="0.25">
      <c r="A71" t="s">
        <v>363</v>
      </c>
      <c r="B71" t="s">
        <v>42</v>
      </c>
      <c r="C71" s="47" t="s">
        <v>42</v>
      </c>
      <c r="D71" t="s">
        <v>43</v>
      </c>
      <c r="E71" s="47">
        <v>10580002</v>
      </c>
      <c r="F71" t="s">
        <v>132</v>
      </c>
      <c r="G71">
        <v>2</v>
      </c>
      <c r="H71" s="48">
        <v>44.7</v>
      </c>
      <c r="I71" s="48">
        <v>1660.6216756800002</v>
      </c>
      <c r="J71" s="50">
        <v>0</v>
      </c>
      <c r="K71" s="50">
        <v>0</v>
      </c>
      <c r="L71" s="50">
        <v>1561</v>
      </c>
      <c r="M71" s="48">
        <v>0</v>
      </c>
      <c r="N71" s="48">
        <v>0</v>
      </c>
      <c r="O71" s="50" t="s">
        <v>34</v>
      </c>
      <c r="P71" s="50">
        <v>100</v>
      </c>
      <c r="Q71" s="47" t="s">
        <v>33</v>
      </c>
      <c r="R71" t="s">
        <v>364</v>
      </c>
      <c r="S71" t="s">
        <v>365</v>
      </c>
      <c r="T71" t="s">
        <v>366</v>
      </c>
      <c r="U71" t="s">
        <v>109</v>
      </c>
      <c r="V71" t="s">
        <v>73</v>
      </c>
      <c r="W71" t="s">
        <v>36</v>
      </c>
      <c r="Y71" s="51">
        <v>3.715037305771812</v>
      </c>
    </row>
    <row r="72" spans="1:25" x14ac:dyDescent="0.25">
      <c r="A72" t="s">
        <v>367</v>
      </c>
      <c r="B72" t="s">
        <v>42</v>
      </c>
      <c r="C72" s="47" t="s">
        <v>42</v>
      </c>
      <c r="D72" t="s">
        <v>43</v>
      </c>
      <c r="E72" s="47">
        <v>10580002</v>
      </c>
      <c r="F72" t="s">
        <v>68</v>
      </c>
      <c r="G72">
        <v>14</v>
      </c>
      <c r="H72" s="48">
        <v>236.6</v>
      </c>
      <c r="I72" s="48">
        <v>9814.6162009890031</v>
      </c>
      <c r="J72" s="50">
        <v>0</v>
      </c>
      <c r="K72" s="50">
        <v>0</v>
      </c>
      <c r="L72" s="50">
        <v>0</v>
      </c>
      <c r="M72" s="48">
        <v>1300</v>
      </c>
      <c r="N72" s="48">
        <v>0</v>
      </c>
      <c r="O72" s="50" t="s">
        <v>34</v>
      </c>
      <c r="P72" s="50">
        <v>8515</v>
      </c>
      <c r="Q72" s="47" t="s">
        <v>33</v>
      </c>
      <c r="R72" t="s">
        <v>368</v>
      </c>
      <c r="S72" t="s">
        <v>369</v>
      </c>
      <c r="T72" t="s">
        <v>366</v>
      </c>
      <c r="U72" t="s">
        <v>109</v>
      </c>
      <c r="V72" t="s">
        <v>73</v>
      </c>
      <c r="W72" t="s">
        <v>36</v>
      </c>
      <c r="Y72" s="51">
        <v>29.037326038429004</v>
      </c>
    </row>
    <row r="73" spans="1:25" x14ac:dyDescent="0.25">
      <c r="A73" t="s">
        <v>370</v>
      </c>
      <c r="B73" t="s">
        <v>42</v>
      </c>
      <c r="C73" s="47" t="s">
        <v>42</v>
      </c>
      <c r="D73" t="s">
        <v>43</v>
      </c>
      <c r="E73" s="47">
        <v>10580002</v>
      </c>
      <c r="F73" t="s">
        <v>91</v>
      </c>
      <c r="G73">
        <v>6</v>
      </c>
      <c r="H73" s="48">
        <v>6</v>
      </c>
      <c r="I73" s="48">
        <v>250.47614790000003</v>
      </c>
      <c r="J73" s="50">
        <v>0</v>
      </c>
      <c r="K73" s="50">
        <v>0</v>
      </c>
      <c r="L73" s="50">
        <v>0</v>
      </c>
      <c r="M73" s="48">
        <v>0</v>
      </c>
      <c r="N73" s="48">
        <v>0</v>
      </c>
      <c r="O73" s="50" t="s">
        <v>34</v>
      </c>
      <c r="P73" s="50">
        <v>250</v>
      </c>
      <c r="Q73" s="47" t="s">
        <v>33</v>
      </c>
      <c r="R73" t="s">
        <v>371</v>
      </c>
      <c r="S73" t="s">
        <v>372</v>
      </c>
      <c r="T73" t="s">
        <v>373</v>
      </c>
      <c r="U73" t="s">
        <v>240</v>
      </c>
      <c r="V73" t="s">
        <v>73</v>
      </c>
      <c r="W73" t="s">
        <v>36</v>
      </c>
      <c r="Y73" s="51">
        <v>12.523807395000002</v>
      </c>
    </row>
    <row r="74" spans="1:25" x14ac:dyDescent="0.25">
      <c r="A74" t="s">
        <v>374</v>
      </c>
      <c r="B74" t="s">
        <v>42</v>
      </c>
      <c r="C74" s="47" t="s">
        <v>42</v>
      </c>
      <c r="D74" t="s">
        <v>43</v>
      </c>
      <c r="E74" s="47">
        <v>10580002</v>
      </c>
      <c r="F74" t="s">
        <v>95</v>
      </c>
      <c r="G74">
        <v>1</v>
      </c>
      <c r="H74" s="48">
        <v>0.9</v>
      </c>
      <c r="I74" s="48">
        <v>39.561397920000005</v>
      </c>
      <c r="J74" s="50">
        <v>0</v>
      </c>
      <c r="K74" s="50">
        <v>0</v>
      </c>
      <c r="L74" s="50">
        <v>0</v>
      </c>
      <c r="M74" s="48">
        <v>0</v>
      </c>
      <c r="N74" s="48">
        <v>0</v>
      </c>
      <c r="O74" s="50" t="s">
        <v>34</v>
      </c>
      <c r="P74" s="50">
        <v>40</v>
      </c>
      <c r="Q74" s="47" t="s">
        <v>33</v>
      </c>
      <c r="R74" t="s">
        <v>375</v>
      </c>
      <c r="S74" t="s">
        <v>376</v>
      </c>
      <c r="T74" t="s">
        <v>373</v>
      </c>
      <c r="U74" t="s">
        <v>109</v>
      </c>
      <c r="V74" t="s">
        <v>73</v>
      </c>
      <c r="W74" t="s">
        <v>36</v>
      </c>
      <c r="Y74" s="51">
        <v>2.1978554400000005</v>
      </c>
    </row>
    <row r="75" spans="1:25" x14ac:dyDescent="0.25">
      <c r="A75" t="s">
        <v>377</v>
      </c>
      <c r="B75" t="s">
        <v>42</v>
      </c>
      <c r="C75" s="47" t="s">
        <v>42</v>
      </c>
      <c r="D75" t="s">
        <v>43</v>
      </c>
      <c r="E75" s="47">
        <v>10580002</v>
      </c>
      <c r="F75" t="s">
        <v>105</v>
      </c>
      <c r="G75">
        <v>13</v>
      </c>
      <c r="H75" s="48">
        <v>69.2</v>
      </c>
      <c r="I75" s="48">
        <v>2826.1846208880002</v>
      </c>
      <c r="J75" s="50">
        <v>0</v>
      </c>
      <c r="K75" s="50">
        <v>0</v>
      </c>
      <c r="L75" s="50">
        <v>0</v>
      </c>
      <c r="M75" s="48">
        <v>0</v>
      </c>
      <c r="N75" s="48">
        <v>0</v>
      </c>
      <c r="O75" s="50" t="s">
        <v>34</v>
      </c>
      <c r="P75" s="50">
        <v>2826</v>
      </c>
      <c r="Q75" s="47" t="s">
        <v>33</v>
      </c>
      <c r="R75" t="s">
        <v>378</v>
      </c>
      <c r="S75" t="s">
        <v>379</v>
      </c>
      <c r="T75" t="s">
        <v>380</v>
      </c>
      <c r="U75" t="s">
        <v>109</v>
      </c>
      <c r="V75" t="s">
        <v>73</v>
      </c>
      <c r="W75" t="s">
        <v>36</v>
      </c>
      <c r="Y75" s="51">
        <v>26.546531843601159</v>
      </c>
    </row>
    <row r="76" spans="1:25" x14ac:dyDescent="0.25">
      <c r="A76" t="s">
        <v>381</v>
      </c>
      <c r="B76" t="s">
        <v>44</v>
      </c>
      <c r="C76" s="47" t="s">
        <v>44</v>
      </c>
      <c r="D76" t="s">
        <v>45</v>
      </c>
      <c r="E76" s="47">
        <v>10600006</v>
      </c>
      <c r="F76" t="s">
        <v>129</v>
      </c>
      <c r="G76">
        <v>11</v>
      </c>
      <c r="H76" s="48">
        <v>3.4400000000000004</v>
      </c>
      <c r="I76" s="48">
        <v>141.99751051200002</v>
      </c>
      <c r="J76" s="50">
        <v>0</v>
      </c>
      <c r="K76" s="50">
        <v>141.99751051200002</v>
      </c>
      <c r="L76" s="50">
        <v>0</v>
      </c>
      <c r="M76" s="48">
        <v>0</v>
      </c>
      <c r="N76" s="48">
        <v>0</v>
      </c>
      <c r="O76" s="50" t="s">
        <v>34</v>
      </c>
      <c r="P76" s="50">
        <v>0</v>
      </c>
      <c r="Q76" s="47" t="s">
        <v>33</v>
      </c>
      <c r="R76">
        <v>0</v>
      </c>
      <c r="S76">
        <v>0</v>
      </c>
      <c r="T76">
        <v>0</v>
      </c>
      <c r="U76">
        <v>0</v>
      </c>
      <c r="V76" t="s">
        <v>130</v>
      </c>
      <c r="W76" t="s">
        <v>36</v>
      </c>
      <c r="Y76" s="51">
        <v>0</v>
      </c>
    </row>
    <row r="77" spans="1:25" x14ac:dyDescent="0.25">
      <c r="A77" t="s">
        <v>382</v>
      </c>
      <c r="B77" t="s">
        <v>44</v>
      </c>
      <c r="C77" s="47" t="s">
        <v>44</v>
      </c>
      <c r="D77" t="s">
        <v>45</v>
      </c>
      <c r="E77" s="47">
        <v>10600006</v>
      </c>
      <c r="F77" t="s">
        <v>132</v>
      </c>
      <c r="G77">
        <v>12</v>
      </c>
      <c r="H77" s="48">
        <v>433.94</v>
      </c>
      <c r="I77" s="48">
        <v>17969.937537182399</v>
      </c>
      <c r="J77" s="50">
        <v>0</v>
      </c>
      <c r="K77" s="50">
        <v>0</v>
      </c>
      <c r="L77" s="50">
        <v>3479</v>
      </c>
      <c r="M77" s="48">
        <v>0</v>
      </c>
      <c r="N77" s="48">
        <v>0</v>
      </c>
      <c r="O77" s="50" t="s">
        <v>34</v>
      </c>
      <c r="P77" s="50">
        <v>14491</v>
      </c>
      <c r="Q77" s="47" t="s">
        <v>33</v>
      </c>
      <c r="R77" t="s">
        <v>383</v>
      </c>
      <c r="S77" t="s">
        <v>384</v>
      </c>
      <c r="T77" t="s">
        <v>385</v>
      </c>
      <c r="U77" t="s">
        <v>109</v>
      </c>
      <c r="V77" t="s">
        <v>73</v>
      </c>
      <c r="W77" t="s">
        <v>36</v>
      </c>
      <c r="Y77" s="51">
        <v>24.84666664126248</v>
      </c>
    </row>
    <row r="78" spans="1:25" x14ac:dyDescent="0.25">
      <c r="A78" t="s">
        <v>386</v>
      </c>
      <c r="B78" t="s">
        <v>44</v>
      </c>
      <c r="C78" s="47" t="s">
        <v>44</v>
      </c>
      <c r="D78" t="s">
        <v>45</v>
      </c>
      <c r="E78" s="47">
        <v>10600006</v>
      </c>
      <c r="F78" t="s">
        <v>387</v>
      </c>
      <c r="G78">
        <v>12</v>
      </c>
      <c r="H78" s="48">
        <v>240.29</v>
      </c>
      <c r="I78" s="48">
        <v>9078.5688362027995</v>
      </c>
      <c r="J78" s="50">
        <v>0</v>
      </c>
      <c r="K78" s="50">
        <v>0</v>
      </c>
      <c r="L78" s="50">
        <v>0</v>
      </c>
      <c r="M78" s="48">
        <v>0</v>
      </c>
      <c r="N78" s="48">
        <v>0</v>
      </c>
      <c r="O78" s="50" t="s">
        <v>34</v>
      </c>
      <c r="P78" s="50">
        <v>9079</v>
      </c>
      <c r="Q78" s="47" t="s">
        <v>33</v>
      </c>
      <c r="R78" t="s">
        <v>388</v>
      </c>
      <c r="S78" t="s">
        <v>389</v>
      </c>
      <c r="T78" t="s">
        <v>390</v>
      </c>
      <c r="U78" t="s">
        <v>72</v>
      </c>
      <c r="V78" t="s">
        <v>73</v>
      </c>
      <c r="W78" t="s">
        <v>36</v>
      </c>
      <c r="Y78" s="51">
        <v>22.669030345506183</v>
      </c>
    </row>
    <row r="79" spans="1:25" ht="15.75" thickBot="1" x14ac:dyDescent="0.3">
      <c r="A79" s="52" t="s">
        <v>391</v>
      </c>
      <c r="B79" s="52" t="s">
        <v>44</v>
      </c>
      <c r="C79" s="53" t="s">
        <v>44</v>
      </c>
      <c r="D79" s="52" t="s">
        <v>45</v>
      </c>
      <c r="E79" s="53">
        <v>10600006</v>
      </c>
      <c r="F79" s="52" t="s">
        <v>392</v>
      </c>
      <c r="G79" s="52">
        <v>13</v>
      </c>
      <c r="H79" s="54">
        <v>24.89</v>
      </c>
      <c r="I79" s="54">
        <v>1118.33282065764</v>
      </c>
      <c r="J79" s="55">
        <v>0</v>
      </c>
      <c r="K79" s="55">
        <v>0</v>
      </c>
      <c r="L79" s="55">
        <v>0</v>
      </c>
      <c r="M79" s="54">
        <v>0</v>
      </c>
      <c r="N79" s="54">
        <v>0</v>
      </c>
      <c r="O79" s="55" t="s">
        <v>34</v>
      </c>
      <c r="P79" s="55">
        <v>1118</v>
      </c>
      <c r="Q79" s="53" t="s">
        <v>33</v>
      </c>
      <c r="R79" s="52" t="s">
        <v>393</v>
      </c>
      <c r="S79" s="52" t="s">
        <v>394</v>
      </c>
      <c r="T79" s="52" t="s">
        <v>78</v>
      </c>
      <c r="U79" s="52" t="s">
        <v>395</v>
      </c>
      <c r="V79" s="52" t="s">
        <v>73</v>
      </c>
      <c r="W79" s="52" t="s">
        <v>36</v>
      </c>
      <c r="Y79" s="51">
        <v>29.205156023602491</v>
      </c>
    </row>
    <row r="80" spans="1:25" ht="15.75" thickTop="1" x14ac:dyDescent="0.25">
      <c r="P80" s="56">
        <f>SUM(P2:P79)</f>
        <v>103610</v>
      </c>
    </row>
  </sheetData>
  <conditionalFormatting sqref="A2:A79">
    <cfRule type="duplicateValues" dxfId="4" priority="2"/>
    <cfRule type="duplicateValues" dxfId="3" priority="3"/>
  </conditionalFormatting>
  <conditionalFormatting sqref="P1:P79">
    <cfRule type="cellIs" dxfId="2" priority="4" operator="lessThan">
      <formula>0</formula>
    </cfRule>
  </conditionalFormatting>
  <conditionalFormatting sqref="P2:P79">
    <cfRule type="cellIs" dxfId="1" priority="1" operator="lessThan">
      <formula>-1</formula>
    </cfRule>
  </conditionalFormatting>
  <conditionalFormatting sqref="S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2026-05-02T04:27:29Z</dcterms:created>
  <dcterms:modified xsi:type="dcterms:W3CDTF">2026-05-02T04:52:08Z</dcterms:modified>
</cp:coreProperties>
</file>