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03_09-Apr'26\"/>
    </mc:Choice>
  </mc:AlternateContent>
  <xr:revisionPtr revIDLastSave="0" documentId="8_{553FD352-AED1-4D5C-9FFF-D153A07FB211}" xr6:coauthVersionLast="47" xr6:coauthVersionMax="47" xr10:uidLastSave="{00000000-0000-0000-0000-000000000000}"/>
  <bookViews>
    <workbookView xWindow="-120" yWindow="-120" windowWidth="29040" windowHeight="15720" xr2:uid="{8CA9246E-51AB-4530-90AB-DC8F00AB0ED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2" l="1"/>
</calcChain>
</file>

<file path=xl/sharedStrings.xml><?xml version="1.0" encoding="utf-8"?>
<sst xmlns="http://schemas.openxmlformats.org/spreadsheetml/2006/main" count="383" uniqueCount="167">
  <si>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</si>
  <si>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</si>
  <si>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</si>
  <si>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</si>
  <si>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</si>
  <si>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</si>
  <si>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</si>
  <si>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</si>
  <si>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</si>
  <si>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</si>
  <si>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</si>
  <si>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</si>
  <si>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</si>
  <si>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</si>
  <si>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</si>
  <si>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</si>
  <si>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</si>
  <si>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</si>
  <si>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loss/gain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</si>
  <si>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</si>
  <si>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</si>
  <si>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</si>
  <si>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</si>
  <si>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</si>
  <si>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</si>
  <si>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</si>
  <si>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</si>
  <si>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</si>
  <si>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</si>
  <si>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</si>
  <si>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</si>
  <si>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Dumraon</t>
  </si>
  <si>
    <t>Gomukh Dafadihari</t>
  </si>
  <si>
    <t>MPG</t>
  </si>
  <si>
    <t>Direct</t>
  </si>
  <si>
    <t>Release3</t>
  </si>
  <si>
    <t>Letter not received</t>
  </si>
  <si>
    <t>02. 03-09 Apr</t>
  </si>
  <si>
    <t>Behiya BMC</t>
  </si>
  <si>
    <t>Gomukh Uttardahan</t>
  </si>
  <si>
    <t>Gomukh Pawat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</si>
  <si>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</si>
  <si>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</si>
  <si>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</si>
  <si>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</si>
  <si>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</si>
  <si>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</si>
  <si>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</si>
  <si>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</si>
  <si>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</si>
  <si>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</si>
  <si>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</si>
  <si>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</si>
  <si>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</si>
  <si>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</si>
  <si>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</si>
  <si>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</si>
  <si>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</si>
  <si>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</si>
  <si>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</si>
  <si>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</si>
  <si>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101401260001</t>
  </si>
  <si>
    <t>0001</t>
  </si>
  <si>
    <t>Not Available</t>
  </si>
  <si>
    <t>101401260003</t>
  </si>
  <si>
    <t>0003</t>
  </si>
  <si>
    <t xml:space="preserve">Chanchal Kumar </t>
  </si>
  <si>
    <t>0809001700121319</t>
  </si>
  <si>
    <t>PUNB0080900</t>
  </si>
  <si>
    <t xml:space="preserve">Punjab National Bank </t>
  </si>
  <si>
    <t>Available</t>
  </si>
  <si>
    <t>101401260010</t>
  </si>
  <si>
    <t>0010</t>
  </si>
  <si>
    <t xml:space="preserve">Sunita Devi </t>
  </si>
  <si>
    <t>2703001700239370</t>
  </si>
  <si>
    <t>PUNB0270300</t>
  </si>
  <si>
    <t>101401260011</t>
  </si>
  <si>
    <t>0011</t>
  </si>
  <si>
    <t xml:space="preserve">Manju Devi </t>
  </si>
  <si>
    <t>70171700078000</t>
  </si>
  <si>
    <t>PUNB0MBGB06</t>
  </si>
  <si>
    <t xml:space="preserve">Madhya Bihar Gramin Bank </t>
  </si>
  <si>
    <t>101401260027</t>
  </si>
  <si>
    <t>0027</t>
  </si>
  <si>
    <t xml:space="preserve">Rabina Kumari </t>
  </si>
  <si>
    <t>69410700018510</t>
  </si>
  <si>
    <t xml:space="preserve">Dakshin Bihar Gramin Bank </t>
  </si>
  <si>
    <t>101401260032</t>
  </si>
  <si>
    <t>0032</t>
  </si>
  <si>
    <t>70170700066354</t>
  </si>
  <si>
    <t>101401260034</t>
  </si>
  <si>
    <t>0034</t>
  </si>
  <si>
    <t xml:space="preserve">Avinash Kumar </t>
  </si>
  <si>
    <t>69411500010107</t>
  </si>
  <si>
    <t>101401260035</t>
  </si>
  <si>
    <t>0035</t>
  </si>
  <si>
    <t xml:space="preserve">Umakant Tiwari </t>
  </si>
  <si>
    <t>69410700003325</t>
  </si>
  <si>
    <t>101401830002</t>
  </si>
  <si>
    <t>0002</t>
  </si>
  <si>
    <t>Arun Kumar Yadav</t>
  </si>
  <si>
    <t>6003001700223242</t>
  </si>
  <si>
    <t>PUNB0600300</t>
  </si>
  <si>
    <t>101401830003</t>
  </si>
  <si>
    <t>Dhanu Kumar</t>
  </si>
  <si>
    <t>00068100012052</t>
  </si>
  <si>
    <t>BARB0JAGDIS</t>
  </si>
  <si>
    <t>Bank Of Baroda</t>
  </si>
  <si>
    <t>101401830004</t>
  </si>
  <si>
    <t>0004</t>
  </si>
  <si>
    <t>Manti Devi</t>
  </si>
  <si>
    <t>70410100102391</t>
  </si>
  <si>
    <t>101401830005</t>
  </si>
  <si>
    <t>0005</t>
  </si>
  <si>
    <t>Hari Kishun Yadav</t>
  </si>
  <si>
    <t>11866734446</t>
  </si>
  <si>
    <t>SBIN0010769</t>
  </si>
  <si>
    <t xml:space="preserve">State Bank of India </t>
  </si>
  <si>
    <t>101401830007</t>
  </si>
  <si>
    <t>0007</t>
  </si>
  <si>
    <t xml:space="preserve">Shyam Viharee Singh </t>
  </si>
  <si>
    <t>70410100073472</t>
  </si>
  <si>
    <t>101401830008</t>
  </si>
  <si>
    <t>0008</t>
  </si>
  <si>
    <t>Basanti Devi</t>
  </si>
  <si>
    <t>70410100104033</t>
  </si>
  <si>
    <t>101401830009</t>
  </si>
  <si>
    <t>0009</t>
  </si>
  <si>
    <t>Fulkumari Devi</t>
  </si>
  <si>
    <t>70410700046512</t>
  </si>
  <si>
    <t>101401830012</t>
  </si>
  <si>
    <t>0012</t>
  </si>
  <si>
    <t>Lalan Yadav</t>
  </si>
  <si>
    <t>70410700017504</t>
  </si>
  <si>
    <t>101401830015</t>
  </si>
  <si>
    <t>0015</t>
  </si>
  <si>
    <t>Heera Muniya Devi</t>
  </si>
  <si>
    <t>70410700042436</t>
  </si>
  <si>
    <t>101401830016</t>
  </si>
  <si>
    <t>0016</t>
  </si>
  <si>
    <t>Sarvan Kumar</t>
  </si>
  <si>
    <t>20369871911</t>
  </si>
  <si>
    <t>FINO0001157</t>
  </si>
  <si>
    <t xml:space="preserve">Fino Payment Bank </t>
  </si>
  <si>
    <t>101401830020</t>
  </si>
  <si>
    <t>0020</t>
  </si>
  <si>
    <t>Shobha Devi</t>
  </si>
  <si>
    <t>6003000100083481</t>
  </si>
  <si>
    <t>101401830027</t>
  </si>
  <si>
    <t>Nayana Devi</t>
  </si>
  <si>
    <t>6002001700265269</t>
  </si>
  <si>
    <t>PUNB0600200</t>
  </si>
  <si>
    <t>101401830028</t>
  </si>
  <si>
    <t>0028</t>
  </si>
  <si>
    <t>Tetri Devi</t>
  </si>
  <si>
    <t>70410700031612</t>
  </si>
  <si>
    <t>101401830030</t>
  </si>
  <si>
    <t>0030</t>
  </si>
  <si>
    <t>Bimlesh Kumar</t>
  </si>
  <si>
    <t>6003001700197655</t>
  </si>
  <si>
    <t>106000040002</t>
  </si>
  <si>
    <t>Punam Devi</t>
  </si>
  <si>
    <t>40589452925</t>
  </si>
  <si>
    <t>SBIN0006286</t>
  </si>
  <si>
    <t>106000040003</t>
  </si>
  <si>
    <t>Sanjay Yadav</t>
  </si>
  <si>
    <t>70760700104154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</si>
</sst>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0" fillId="5" borderId="4" xfId="0" applyNumberFormat="1" applyFill="1" applyBorder="1"/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6" fontId="0" fillId="0" borderId="9" xfId="1" applyNumberFormat="1" applyFont="1" applyBorder="1" applyAlignment="1">
      <alignment horizontal="center"/>
    </xf>
    <xf numFmtId="166" fontId="0" fillId="0" borderId="0" xfId="0" applyNumberFormat="1"/>
  </cellXfs>
  <cellStyles count="6">
    <cellStyle name="Comma" xfId="1" builtinId="3"/>
    <cellStyle name="Comma 2" xfId="4" xr:uid="{FA6587BC-E286-4DAE-9685-50335C71BCD1}"/>
    <cellStyle name="Normal" xfId="0" builtinId="0"/>
    <cellStyle name="Normal 2" xfId="5" xr:uid="{50466759-2829-4D90-A364-17EFA3EE945E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757E-C3E4-44D8-B6E0-BDBAA59B52DF}">
  <dimension ref="A1:AC5"/>
  <sheetViews>
    <sheetView tabSelected="1" workbookViewId="0">
      <selection activeCell="M26" sqref="M26"/>
    </sheetView>
  </sheetViews>
  <sheetFormatPr defaultRowHeight="15" x14ac:dyDescent="0.25"/>
  <cols>
    <col min="1" max="1" width="5.85546875" bestFit="1" customWidth="1"/>
    <col min="2" max="2" width="12" bestFit="1" customWidth="1"/>
    <col min="3" max="3" width="9" bestFit="1" customWidth="1"/>
    <col min="4" max="4" width="19.14062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9.5703125" bestFit="1" customWidth="1"/>
    <col min="10" max="10" width="8.85546875" bestFit="1" customWidth="1"/>
    <col min="11" max="11" width="9.28515625" bestFit="1" customWidth="1"/>
    <col min="12" max="12" width="8.42578125" bestFit="1" customWidth="1"/>
    <col min="13" max="13" width="9.7109375" bestFit="1" customWidth="1"/>
    <col min="14" max="14" width="16.85546875" bestFit="1" customWidth="1"/>
    <col min="15" max="15" width="12.140625" bestFit="1" customWidth="1"/>
    <col min="18" max="18" width="6.42578125" bestFit="1" customWidth="1"/>
    <col min="19" max="19" width="8.140625" bestFit="1" customWidth="1"/>
    <col min="20" max="20" width="8" bestFit="1" customWidth="1"/>
    <col min="21" max="21" width="5.85546875" bestFit="1" customWidth="1"/>
    <col min="22" max="22" width="8.42578125" bestFit="1" customWidth="1"/>
    <col min="23" max="24" width="7.7109375" bestFit="1" customWidth="1"/>
    <col min="25" max="25" width="5.42578125" bestFit="1" customWidth="1"/>
    <col min="26" max="26" width="8.42578125" bestFit="1" customWidth="1"/>
    <col min="27" max="27" width="8.28515625" bestFit="1" customWidth="1"/>
    <col min="28" max="28" width="8.7109375" bestFit="1" customWidth="1"/>
    <col min="29" max="29" width="8.5703125" bestFit="1" customWidth="1"/>
  </cols>
  <sheetData>
    <row r="1" spans="1:29" s="11" customFormat="1" ht="4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  <c r="P1" s="6"/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29" x14ac:dyDescent="0.25">
      <c r="A2" s="12">
        <v>1014</v>
      </c>
      <c r="B2" s="13" t="s">
        <v>31</v>
      </c>
      <c r="C2" s="14">
        <v>10140126</v>
      </c>
      <c r="D2" s="15" t="s">
        <v>32</v>
      </c>
      <c r="E2" s="16" t="s">
        <v>33</v>
      </c>
      <c r="F2" s="16" t="s">
        <v>34</v>
      </c>
      <c r="G2" s="17">
        <v>201.70000000000002</v>
      </c>
      <c r="H2" s="17">
        <v>7418.97</v>
      </c>
      <c r="I2" s="18">
        <v>7274</v>
      </c>
      <c r="J2" s="18">
        <v>0</v>
      </c>
      <c r="K2" s="18">
        <v>0</v>
      </c>
      <c r="L2" s="19">
        <v>0</v>
      </c>
      <c r="M2" s="20" t="s">
        <v>35</v>
      </c>
      <c r="N2" s="21" t="s">
        <v>36</v>
      </c>
      <c r="O2" s="22" t="s">
        <v>37</v>
      </c>
      <c r="P2" s="23"/>
      <c r="Q2" s="24">
        <v>-3.6970019838152623E-2</v>
      </c>
      <c r="R2" s="25">
        <v>0</v>
      </c>
      <c r="S2" s="25">
        <v>0</v>
      </c>
      <c r="T2" s="26">
        <v>0</v>
      </c>
      <c r="U2" s="27"/>
      <c r="V2" s="25">
        <v>0</v>
      </c>
      <c r="W2" s="25">
        <v>0</v>
      </c>
      <c r="X2" s="28">
        <v>0</v>
      </c>
      <c r="Y2" s="29">
        <v>0</v>
      </c>
      <c r="Z2" s="28">
        <v>0</v>
      </c>
      <c r="AA2" s="26">
        <v>0</v>
      </c>
      <c r="AB2" s="26">
        <v>0</v>
      </c>
      <c r="AC2" s="30">
        <v>46142</v>
      </c>
    </row>
    <row r="3" spans="1:29" x14ac:dyDescent="0.25">
      <c r="A3" s="12">
        <v>1060</v>
      </c>
      <c r="B3" s="13" t="s">
        <v>38</v>
      </c>
      <c r="C3" s="14">
        <v>10140183</v>
      </c>
      <c r="D3" s="15" t="s">
        <v>39</v>
      </c>
      <c r="E3" s="16" t="s">
        <v>33</v>
      </c>
      <c r="F3" s="16" t="s">
        <v>34</v>
      </c>
      <c r="G3" s="17">
        <v>268.5</v>
      </c>
      <c r="H3" s="17">
        <v>11977.629999999997</v>
      </c>
      <c r="I3" s="18">
        <v>11978</v>
      </c>
      <c r="J3" s="18">
        <v>0</v>
      </c>
      <c r="K3" s="18">
        <v>0</v>
      </c>
      <c r="L3" s="19">
        <v>0</v>
      </c>
      <c r="M3" s="20" t="s">
        <v>35</v>
      </c>
      <c r="N3" s="21" t="s">
        <v>36</v>
      </c>
      <c r="O3" s="22" t="s">
        <v>37</v>
      </c>
      <c r="P3" s="23"/>
      <c r="Q3" s="24">
        <v>-8.2189992181484706E-2</v>
      </c>
      <c r="R3" s="25">
        <v>0</v>
      </c>
      <c r="S3" s="25">
        <v>0</v>
      </c>
      <c r="T3" s="26">
        <v>0</v>
      </c>
      <c r="U3" s="27"/>
      <c r="V3" s="25">
        <v>0</v>
      </c>
      <c r="W3" s="25">
        <v>0</v>
      </c>
      <c r="X3" s="28">
        <v>0</v>
      </c>
      <c r="Y3" s="29">
        <v>0</v>
      </c>
      <c r="Z3" s="28">
        <v>0</v>
      </c>
      <c r="AA3" s="26">
        <v>0</v>
      </c>
      <c r="AB3" s="26">
        <v>0</v>
      </c>
      <c r="AC3" s="30">
        <v>46142</v>
      </c>
    </row>
    <row r="4" spans="1:29" x14ac:dyDescent="0.25">
      <c r="A4" s="12">
        <v>1060</v>
      </c>
      <c r="B4" s="13" t="s">
        <v>38</v>
      </c>
      <c r="C4" s="14">
        <v>10600004</v>
      </c>
      <c r="D4" s="15" t="s">
        <v>40</v>
      </c>
      <c r="E4" s="16" t="s">
        <v>33</v>
      </c>
      <c r="F4" s="16" t="s">
        <v>34</v>
      </c>
      <c r="G4" s="17">
        <v>767.5999999999998</v>
      </c>
      <c r="H4" s="17">
        <v>24933.200000000001</v>
      </c>
      <c r="I4" s="18">
        <v>24933</v>
      </c>
      <c r="J4" s="18">
        <v>0</v>
      </c>
      <c r="K4" s="18">
        <v>0</v>
      </c>
      <c r="L4" s="19">
        <v>0</v>
      </c>
      <c r="M4" s="20" t="s">
        <v>35</v>
      </c>
      <c r="N4" s="21" t="s">
        <v>36</v>
      </c>
      <c r="O4" s="22" t="s">
        <v>37</v>
      </c>
      <c r="P4" s="23"/>
      <c r="Q4" s="24">
        <v>-0.39012549072152952</v>
      </c>
      <c r="R4" s="25">
        <v>0</v>
      </c>
      <c r="S4" s="25">
        <v>0</v>
      </c>
      <c r="T4" s="26">
        <v>0</v>
      </c>
      <c r="U4" s="27"/>
      <c r="V4" s="25">
        <v>0</v>
      </c>
      <c r="W4" s="25">
        <v>0</v>
      </c>
      <c r="X4" s="28">
        <v>0</v>
      </c>
      <c r="Y4" s="29">
        <v>0</v>
      </c>
      <c r="Z4" s="28">
        <v>0</v>
      </c>
      <c r="AA4" s="26">
        <v>0</v>
      </c>
      <c r="AB4" s="26">
        <v>0</v>
      </c>
      <c r="AC4" s="30">
        <v>46142</v>
      </c>
    </row>
    <row r="5" spans="1:29" x14ac:dyDescent="0.25">
      <c r="A5" s="31"/>
      <c r="B5" s="32"/>
      <c r="C5" s="31"/>
      <c r="D5" s="31"/>
      <c r="E5" s="31" t="s">
        <v>41</v>
      </c>
      <c r="F5" s="31">
        <v>1028</v>
      </c>
      <c r="G5" s="33">
        <v>1237.7999999999997</v>
      </c>
      <c r="H5" s="33">
        <v>44329.8</v>
      </c>
      <c r="I5" s="34">
        <v>44185</v>
      </c>
      <c r="J5" s="34">
        <v>0</v>
      </c>
      <c r="K5" s="34">
        <v>0</v>
      </c>
      <c r="L5" s="34">
        <v>0</v>
      </c>
      <c r="M5" s="20">
        <v>37</v>
      </c>
      <c r="N5" s="14"/>
      <c r="O5" s="27"/>
      <c r="P5" s="6"/>
      <c r="Q5" s="35"/>
      <c r="R5" s="26">
        <v>0</v>
      </c>
      <c r="S5" s="26">
        <v>0</v>
      </c>
      <c r="T5" s="26">
        <v>0</v>
      </c>
      <c r="U5" s="27"/>
      <c r="V5" s="25">
        <v>0</v>
      </c>
      <c r="W5" s="25">
        <v>0</v>
      </c>
      <c r="X5" s="36">
        <v>0</v>
      </c>
      <c r="Y5" s="25">
        <v>0</v>
      </c>
      <c r="Z5" s="25">
        <v>0</v>
      </c>
      <c r="AA5" s="25">
        <v>0</v>
      </c>
      <c r="AB5" s="25">
        <v>0</v>
      </c>
      <c r="AC5" s="27"/>
    </row>
  </sheetData>
  <conditionalFormatting sqref="C2:C4">
    <cfRule type="duplicateValues" dxfId="16" priority="9"/>
    <cfRule type="duplicateValues" dxfId="15" priority="10"/>
    <cfRule type="duplicateValues" dxfId="14" priority="11"/>
  </conditionalFormatting>
  <conditionalFormatting sqref="C5 C1">
    <cfRule type="duplicateValues" dxfId="13" priority="12" stopIfTrue="1"/>
  </conditionalFormatting>
  <conditionalFormatting sqref="D5">
    <cfRule type="duplicateValues" dxfId="12" priority="5" stopIfTrue="1"/>
  </conditionalFormatting>
  <conditionalFormatting sqref="E5">
    <cfRule type="duplicateValues" dxfId="11" priority="4" stopIfTrue="1"/>
  </conditionalFormatting>
  <conditionalFormatting sqref="F2:F4">
    <cfRule type="containsText" dxfId="10" priority="7" operator="containsText" text="Indirect">
      <formula>NOT(ISERROR(SEARCH("Indirect",F2)))</formula>
    </cfRule>
  </conditionalFormatting>
  <conditionalFormatting sqref="F5">
    <cfRule type="duplicateValues" dxfId="9" priority="3" stopIfTrue="1"/>
  </conditionalFormatting>
  <conditionalFormatting sqref="G5">
    <cfRule type="duplicateValues" dxfId="8" priority="2" stopIfTrue="1"/>
  </conditionalFormatting>
  <conditionalFormatting sqref="H5">
    <cfRule type="duplicateValues" dxfId="7" priority="1" stopIfTrue="1"/>
  </conditionalFormatting>
  <conditionalFormatting sqref="I2:K4">
    <cfRule type="cellIs" dxfId="6" priority="6" operator="lessThan">
      <formula>-1</formula>
    </cfRule>
  </conditionalFormatting>
  <conditionalFormatting sqref="L2:L4 AA2:AB4">
    <cfRule type="cellIs" dxfId="5" priority="8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94AA-DD10-441E-9D79-7E2F71A3503A}">
  <dimension ref="A1:AC26"/>
  <sheetViews>
    <sheetView workbookViewId="0">
      <selection activeCell="F2" sqref="F2:F25"/>
    </sheetView>
  </sheetViews>
  <sheetFormatPr defaultRowHeight="15" x14ac:dyDescent="0.25"/>
  <cols>
    <col min="1" max="1" width="13.140625" bestFit="1" customWidth="1"/>
    <col min="2" max="3" width="11.140625" bestFit="1" customWidth="1"/>
    <col min="4" max="4" width="19.140625" bestFit="1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1" width="7.7109375" bestFit="1" customWidth="1"/>
    <col min="12" max="12" width="8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9" bestFit="1" customWidth="1"/>
    <col min="18" max="18" width="20" bestFit="1" customWidth="1"/>
    <col min="19" max="19" width="17.28515625" bestFit="1" customWidth="1"/>
    <col min="20" max="20" width="14.28515625" bestFit="1" customWidth="1"/>
    <col min="21" max="21" width="26.28515625" bestFit="1" customWidth="1"/>
    <col min="22" max="22" width="12.7109375" bestFit="1" customWidth="1"/>
    <col min="23" max="23" width="12.14062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37" t="s">
        <v>42</v>
      </c>
      <c r="B1" s="37" t="s">
        <v>1</v>
      </c>
      <c r="C1" s="37" t="s">
        <v>43</v>
      </c>
      <c r="D1" s="37" t="s">
        <v>44</v>
      </c>
      <c r="E1" s="38" t="s">
        <v>45</v>
      </c>
      <c r="F1" s="39" t="s">
        <v>46</v>
      </c>
      <c r="G1" s="40" t="s">
        <v>47</v>
      </c>
      <c r="H1" s="39" t="s">
        <v>48</v>
      </c>
      <c r="I1" s="39" t="s">
        <v>49</v>
      </c>
      <c r="J1" s="41" t="s">
        <v>8</v>
      </c>
      <c r="K1" s="41" t="s">
        <v>50</v>
      </c>
      <c r="L1" s="41" t="s">
        <v>51</v>
      </c>
      <c r="M1" s="41" t="s">
        <v>9</v>
      </c>
      <c r="N1" s="41" t="s">
        <v>10</v>
      </c>
      <c r="O1" s="41" t="s">
        <v>15</v>
      </c>
      <c r="P1" s="41" t="s">
        <v>52</v>
      </c>
      <c r="Q1" s="42" t="s">
        <v>53</v>
      </c>
      <c r="R1" s="43" t="s">
        <v>54</v>
      </c>
      <c r="S1" s="43" t="s">
        <v>55</v>
      </c>
      <c r="T1" s="43" t="s">
        <v>56</v>
      </c>
      <c r="U1" s="43" t="s">
        <v>57</v>
      </c>
      <c r="V1" s="44" t="s">
        <v>58</v>
      </c>
      <c r="W1" s="45" t="s">
        <v>17</v>
      </c>
      <c r="X1" s="46"/>
      <c r="Y1" s="47" t="s">
        <v>59</v>
      </c>
      <c r="AC1" t="s">
        <v>60</v>
      </c>
    </row>
    <row r="2" spans="1:29" x14ac:dyDescent="0.25">
      <c r="A2" t="s">
        <v>61</v>
      </c>
      <c r="B2" t="s">
        <v>31</v>
      </c>
      <c r="C2" s="48" t="s">
        <v>31</v>
      </c>
      <c r="D2" t="s">
        <v>32</v>
      </c>
      <c r="E2" s="48">
        <v>10140126</v>
      </c>
      <c r="F2" t="s">
        <v>62</v>
      </c>
      <c r="G2">
        <v>12</v>
      </c>
      <c r="H2" s="49">
        <v>3.4499999999999997</v>
      </c>
      <c r="I2" s="49">
        <v>145.34678653930001</v>
      </c>
      <c r="J2" s="50">
        <v>0</v>
      </c>
      <c r="K2" s="50">
        <v>145.34678653930001</v>
      </c>
      <c r="L2" s="50">
        <v>0</v>
      </c>
      <c r="M2" s="49">
        <v>0</v>
      </c>
      <c r="N2" s="49">
        <v>0</v>
      </c>
      <c r="O2" s="50" t="s">
        <v>35</v>
      </c>
      <c r="P2" s="50">
        <v>0</v>
      </c>
      <c r="Q2" s="48" t="s">
        <v>34</v>
      </c>
      <c r="R2">
        <v>0</v>
      </c>
      <c r="S2">
        <v>0</v>
      </c>
      <c r="T2">
        <v>0</v>
      </c>
      <c r="U2">
        <v>0</v>
      </c>
      <c r="V2" t="s">
        <v>63</v>
      </c>
      <c r="W2" t="s">
        <v>37</v>
      </c>
      <c r="Y2" s="51">
        <v>0</v>
      </c>
    </row>
    <row r="3" spans="1:29" x14ac:dyDescent="0.25">
      <c r="A3" t="s">
        <v>64</v>
      </c>
      <c r="B3" t="s">
        <v>31</v>
      </c>
      <c r="C3" s="48" t="s">
        <v>31</v>
      </c>
      <c r="D3" t="s">
        <v>32</v>
      </c>
      <c r="E3" s="48">
        <v>10140126</v>
      </c>
      <c r="F3" t="s">
        <v>65</v>
      </c>
      <c r="G3">
        <v>13</v>
      </c>
      <c r="H3" s="49">
        <v>51.03</v>
      </c>
      <c r="I3" s="49">
        <v>1821.0424030919999</v>
      </c>
      <c r="J3" s="50">
        <v>0</v>
      </c>
      <c r="K3" s="50">
        <v>0</v>
      </c>
      <c r="L3" s="50">
        <v>100</v>
      </c>
      <c r="M3" s="49">
        <v>0</v>
      </c>
      <c r="N3" s="49">
        <v>0</v>
      </c>
      <c r="O3" s="50" t="s">
        <v>35</v>
      </c>
      <c r="P3" s="50">
        <v>1721</v>
      </c>
      <c r="Q3" s="48" t="s">
        <v>34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37</v>
      </c>
      <c r="Y3" s="51">
        <v>23.195719420141092</v>
      </c>
    </row>
    <row r="4" spans="1:29" x14ac:dyDescent="0.25">
      <c r="A4" t="s">
        <v>71</v>
      </c>
      <c r="B4" t="s">
        <v>31</v>
      </c>
      <c r="C4" s="48" t="s">
        <v>31</v>
      </c>
      <c r="D4" t="s">
        <v>32</v>
      </c>
      <c r="E4" s="48">
        <v>10140126</v>
      </c>
      <c r="F4" t="s">
        <v>72</v>
      </c>
      <c r="G4">
        <v>5</v>
      </c>
      <c r="H4" s="49">
        <v>12.8</v>
      </c>
      <c r="I4" s="49">
        <v>612.43869819726001</v>
      </c>
      <c r="J4" s="50">
        <v>0</v>
      </c>
      <c r="K4" s="50">
        <v>0</v>
      </c>
      <c r="L4" s="50">
        <v>0</v>
      </c>
      <c r="M4" s="49">
        <v>0</v>
      </c>
      <c r="N4" s="49">
        <v>0</v>
      </c>
      <c r="O4" s="50" t="s">
        <v>35</v>
      </c>
      <c r="P4" s="50">
        <v>612</v>
      </c>
      <c r="Q4" s="48" t="s">
        <v>34</v>
      </c>
      <c r="R4" t="s">
        <v>73</v>
      </c>
      <c r="S4" t="s">
        <v>74</v>
      </c>
      <c r="T4" t="s">
        <v>75</v>
      </c>
      <c r="U4" t="s">
        <v>69</v>
      </c>
      <c r="V4" t="s">
        <v>70</v>
      </c>
      <c r="W4" t="s">
        <v>37</v>
      </c>
      <c r="Y4" s="51">
        <v>11.961693324165234</v>
      </c>
    </row>
    <row r="5" spans="1:29" x14ac:dyDescent="0.25">
      <c r="A5" t="s">
        <v>76</v>
      </c>
      <c r="B5" t="s">
        <v>31</v>
      </c>
      <c r="C5" s="48" t="s">
        <v>31</v>
      </c>
      <c r="D5" t="s">
        <v>32</v>
      </c>
      <c r="E5" s="48">
        <v>10140126</v>
      </c>
      <c r="F5" t="s">
        <v>77</v>
      </c>
      <c r="G5">
        <v>9</v>
      </c>
      <c r="H5" s="49">
        <v>15.05</v>
      </c>
      <c r="I5" s="49">
        <v>663.00222112050005</v>
      </c>
      <c r="J5" s="50">
        <v>0</v>
      </c>
      <c r="K5" s="50">
        <v>0</v>
      </c>
      <c r="L5" s="50">
        <v>0</v>
      </c>
      <c r="M5" s="49">
        <v>0</v>
      </c>
      <c r="N5" s="49">
        <v>0</v>
      </c>
      <c r="O5" s="50" t="s">
        <v>35</v>
      </c>
      <c r="P5" s="50">
        <v>663</v>
      </c>
      <c r="Q5" s="48" t="s">
        <v>34</v>
      </c>
      <c r="R5" t="s">
        <v>78</v>
      </c>
      <c r="S5" t="s">
        <v>79</v>
      </c>
      <c r="T5" t="s">
        <v>80</v>
      </c>
      <c r="U5" t="s">
        <v>81</v>
      </c>
      <c r="V5" t="s">
        <v>70</v>
      </c>
      <c r="W5" t="s">
        <v>37</v>
      </c>
      <c r="Y5" s="51">
        <v>19.823986678021598</v>
      </c>
    </row>
    <row r="6" spans="1:29" x14ac:dyDescent="0.25">
      <c r="A6" t="s">
        <v>82</v>
      </c>
      <c r="B6" t="s">
        <v>31</v>
      </c>
      <c r="C6" s="48" t="s">
        <v>31</v>
      </c>
      <c r="D6" t="s">
        <v>32</v>
      </c>
      <c r="E6" s="48">
        <v>10140126</v>
      </c>
      <c r="F6" t="s">
        <v>83</v>
      </c>
      <c r="G6">
        <v>12</v>
      </c>
      <c r="H6" s="49">
        <v>62.5</v>
      </c>
      <c r="I6" s="49">
        <v>2269.7743071960003</v>
      </c>
      <c r="J6" s="50">
        <v>0</v>
      </c>
      <c r="K6" s="50">
        <v>0</v>
      </c>
      <c r="L6" s="50">
        <v>73</v>
      </c>
      <c r="M6" s="49">
        <v>0</v>
      </c>
      <c r="N6" s="49">
        <v>0</v>
      </c>
      <c r="O6" s="50" t="s">
        <v>35</v>
      </c>
      <c r="P6" s="50">
        <v>2197</v>
      </c>
      <c r="Q6" s="48" t="s">
        <v>34</v>
      </c>
      <c r="R6" t="s">
        <v>84</v>
      </c>
      <c r="S6" t="s">
        <v>85</v>
      </c>
      <c r="T6" t="s">
        <v>80</v>
      </c>
      <c r="U6" t="s">
        <v>86</v>
      </c>
      <c r="V6" t="s">
        <v>70</v>
      </c>
      <c r="W6" t="s">
        <v>37</v>
      </c>
      <c r="Y6" s="51">
        <v>21.789833349081604</v>
      </c>
    </row>
    <row r="7" spans="1:29" x14ac:dyDescent="0.25">
      <c r="A7" t="s">
        <v>87</v>
      </c>
      <c r="B7" t="s">
        <v>31</v>
      </c>
      <c r="C7" s="48" t="s">
        <v>31</v>
      </c>
      <c r="D7" t="s">
        <v>32</v>
      </c>
      <c r="E7" s="48">
        <v>10140126</v>
      </c>
      <c r="F7" t="s">
        <v>88</v>
      </c>
      <c r="G7">
        <v>7</v>
      </c>
      <c r="H7" s="49">
        <v>9.75</v>
      </c>
      <c r="I7" s="49">
        <v>353.40731395200004</v>
      </c>
      <c r="J7" s="50">
        <v>0</v>
      </c>
      <c r="K7" s="50">
        <v>0</v>
      </c>
      <c r="L7" s="50">
        <v>100</v>
      </c>
      <c r="M7" s="49">
        <v>0</v>
      </c>
      <c r="N7" s="49">
        <v>0</v>
      </c>
      <c r="O7" s="50" t="s">
        <v>35</v>
      </c>
      <c r="P7" s="50">
        <v>253</v>
      </c>
      <c r="Q7" s="48" t="s">
        <v>34</v>
      </c>
      <c r="R7" t="s">
        <v>78</v>
      </c>
      <c r="S7" t="s">
        <v>89</v>
      </c>
      <c r="T7" t="s">
        <v>80</v>
      </c>
      <c r="U7" t="s">
        <v>81</v>
      </c>
      <c r="V7" t="s">
        <v>70</v>
      </c>
      <c r="W7" t="s">
        <v>37</v>
      </c>
      <c r="Y7" s="51">
        <v>12.686416398276926</v>
      </c>
    </row>
    <row r="8" spans="1:29" x14ac:dyDescent="0.25">
      <c r="A8" t="s">
        <v>90</v>
      </c>
      <c r="B8" t="s">
        <v>31</v>
      </c>
      <c r="C8" s="48" t="s">
        <v>31</v>
      </c>
      <c r="D8" t="s">
        <v>32</v>
      </c>
      <c r="E8" s="48">
        <v>10140126</v>
      </c>
      <c r="F8" t="s">
        <v>91</v>
      </c>
      <c r="G8">
        <v>11</v>
      </c>
      <c r="H8" s="49">
        <v>22.040000000000003</v>
      </c>
      <c r="I8" s="49">
        <v>738.04729497840015</v>
      </c>
      <c r="J8" s="50">
        <v>0</v>
      </c>
      <c r="K8" s="50">
        <v>0</v>
      </c>
      <c r="L8" s="50">
        <v>0</v>
      </c>
      <c r="M8" s="49">
        <v>0</v>
      </c>
      <c r="N8" s="49">
        <v>0</v>
      </c>
      <c r="O8" s="50" t="s">
        <v>35</v>
      </c>
      <c r="P8" s="50">
        <v>738</v>
      </c>
      <c r="Q8" s="48" t="s">
        <v>34</v>
      </c>
      <c r="R8" t="s">
        <v>92</v>
      </c>
      <c r="S8" t="s">
        <v>93</v>
      </c>
      <c r="T8" t="s">
        <v>80</v>
      </c>
      <c r="U8" t="s">
        <v>86</v>
      </c>
      <c r="V8" t="s">
        <v>70</v>
      </c>
      <c r="W8" t="s">
        <v>37</v>
      </c>
      <c r="Y8" s="51">
        <v>18.417695655087119</v>
      </c>
    </row>
    <row r="9" spans="1:29" x14ac:dyDescent="0.25">
      <c r="A9" t="s">
        <v>94</v>
      </c>
      <c r="B9" t="s">
        <v>31</v>
      </c>
      <c r="C9" s="48" t="s">
        <v>31</v>
      </c>
      <c r="D9" t="s">
        <v>32</v>
      </c>
      <c r="E9" s="48">
        <v>10140126</v>
      </c>
      <c r="F9" t="s">
        <v>95</v>
      </c>
      <c r="G9">
        <v>8</v>
      </c>
      <c r="H9" s="49">
        <v>33.369999999999997</v>
      </c>
      <c r="I9" s="49">
        <v>1090.1904430032</v>
      </c>
      <c r="J9" s="50">
        <v>0</v>
      </c>
      <c r="K9" s="50">
        <v>0</v>
      </c>
      <c r="L9" s="50">
        <v>0</v>
      </c>
      <c r="M9" s="49">
        <v>0</v>
      </c>
      <c r="N9" s="49">
        <v>0</v>
      </c>
      <c r="O9" s="50" t="s">
        <v>35</v>
      </c>
      <c r="P9" s="50">
        <v>1090</v>
      </c>
      <c r="Q9" s="48" t="s">
        <v>34</v>
      </c>
      <c r="R9" t="s">
        <v>96</v>
      </c>
      <c r="S9" t="s">
        <v>97</v>
      </c>
      <c r="T9" t="s">
        <v>80</v>
      </c>
      <c r="U9" t="s">
        <v>86</v>
      </c>
      <c r="V9" t="s">
        <v>70</v>
      </c>
      <c r="W9" t="s">
        <v>37</v>
      </c>
      <c r="Y9" s="51">
        <v>13.067910614362603</v>
      </c>
    </row>
    <row r="10" spans="1:29" x14ac:dyDescent="0.25">
      <c r="A10" t="s">
        <v>98</v>
      </c>
      <c r="B10" t="s">
        <v>38</v>
      </c>
      <c r="C10" s="48" t="s">
        <v>38</v>
      </c>
      <c r="D10" t="s">
        <v>39</v>
      </c>
      <c r="E10" s="48">
        <v>10140183</v>
      </c>
      <c r="F10" t="s">
        <v>99</v>
      </c>
      <c r="G10">
        <v>2</v>
      </c>
      <c r="H10" s="49">
        <v>1.25</v>
      </c>
      <c r="I10" s="49">
        <v>52.434404352000001</v>
      </c>
      <c r="J10" s="50">
        <v>0</v>
      </c>
      <c r="K10" s="50">
        <v>0</v>
      </c>
      <c r="L10" s="50">
        <v>52.434404352000001</v>
      </c>
      <c r="M10" s="49">
        <v>0</v>
      </c>
      <c r="N10" s="49">
        <v>0</v>
      </c>
      <c r="O10" s="50" t="s">
        <v>35</v>
      </c>
      <c r="P10" s="50">
        <v>0</v>
      </c>
      <c r="Q10" s="48" t="s">
        <v>34</v>
      </c>
      <c r="R10" t="s">
        <v>100</v>
      </c>
      <c r="S10" t="s">
        <v>101</v>
      </c>
      <c r="T10" t="s">
        <v>102</v>
      </c>
      <c r="U10" t="s">
        <v>69</v>
      </c>
      <c r="V10" t="s">
        <v>70</v>
      </c>
      <c r="W10" t="s">
        <v>37</v>
      </c>
      <c r="Y10" s="51">
        <v>4.1947523481600006</v>
      </c>
    </row>
    <row r="11" spans="1:29" x14ac:dyDescent="0.25">
      <c r="A11" t="s">
        <v>103</v>
      </c>
      <c r="B11" t="s">
        <v>38</v>
      </c>
      <c r="C11" s="48" t="s">
        <v>38</v>
      </c>
      <c r="D11" t="s">
        <v>39</v>
      </c>
      <c r="E11" s="48">
        <v>10140183</v>
      </c>
      <c r="F11" t="s">
        <v>65</v>
      </c>
      <c r="G11">
        <v>14</v>
      </c>
      <c r="H11" s="49">
        <v>51.129999999999995</v>
      </c>
      <c r="I11" s="49">
        <v>2172.818693313</v>
      </c>
      <c r="J11" s="50">
        <v>0</v>
      </c>
      <c r="K11" s="50">
        <v>0</v>
      </c>
      <c r="L11" s="50">
        <v>0</v>
      </c>
      <c r="M11" s="49">
        <v>0</v>
      </c>
      <c r="N11" s="49">
        <v>0</v>
      </c>
      <c r="O11" s="50" t="s">
        <v>35</v>
      </c>
      <c r="P11" s="50">
        <v>2173</v>
      </c>
      <c r="Q11" s="48" t="s">
        <v>34</v>
      </c>
      <c r="R11" t="s">
        <v>104</v>
      </c>
      <c r="S11" t="s">
        <v>105</v>
      </c>
      <c r="T11" t="s">
        <v>106</v>
      </c>
      <c r="U11" t="s">
        <v>107</v>
      </c>
      <c r="V11" t="s">
        <v>70</v>
      </c>
      <c r="W11" t="s">
        <v>37</v>
      </c>
      <c r="Y11" s="51">
        <v>29.747175539196174</v>
      </c>
    </row>
    <row r="12" spans="1:29" x14ac:dyDescent="0.25">
      <c r="A12" t="s">
        <v>108</v>
      </c>
      <c r="B12" t="s">
        <v>38</v>
      </c>
      <c r="C12" s="48" t="s">
        <v>38</v>
      </c>
      <c r="D12" t="s">
        <v>39</v>
      </c>
      <c r="E12" s="48">
        <v>10140183</v>
      </c>
      <c r="F12" t="s">
        <v>109</v>
      </c>
      <c r="G12">
        <v>7</v>
      </c>
      <c r="H12" s="49">
        <v>8.9600000000000009</v>
      </c>
      <c r="I12" s="49">
        <v>339.44893052400005</v>
      </c>
      <c r="J12" s="50">
        <v>0</v>
      </c>
      <c r="K12" s="50">
        <v>0</v>
      </c>
      <c r="L12" s="50">
        <v>0</v>
      </c>
      <c r="M12" s="49">
        <v>0</v>
      </c>
      <c r="N12" s="49">
        <v>0</v>
      </c>
      <c r="O12" s="50" t="s">
        <v>35</v>
      </c>
      <c r="P12" s="50">
        <v>339</v>
      </c>
      <c r="Q12" s="48" t="s">
        <v>34</v>
      </c>
      <c r="R12" t="s">
        <v>110</v>
      </c>
      <c r="S12" t="s">
        <v>111</v>
      </c>
      <c r="T12" t="s">
        <v>80</v>
      </c>
      <c r="U12" t="s">
        <v>86</v>
      </c>
      <c r="V12" t="s">
        <v>70</v>
      </c>
      <c r="W12" t="s">
        <v>37</v>
      </c>
      <c r="Y12" s="51">
        <v>13.259723848593753</v>
      </c>
    </row>
    <row r="13" spans="1:29" x14ac:dyDescent="0.25">
      <c r="A13" t="s">
        <v>112</v>
      </c>
      <c r="B13" t="s">
        <v>38</v>
      </c>
      <c r="C13" s="48" t="s">
        <v>38</v>
      </c>
      <c r="D13" t="s">
        <v>39</v>
      </c>
      <c r="E13" s="48">
        <v>10140183</v>
      </c>
      <c r="F13" t="s">
        <v>113</v>
      </c>
      <c r="G13">
        <v>13</v>
      </c>
      <c r="H13" s="49">
        <v>41.460000000000008</v>
      </c>
      <c r="I13" s="49">
        <v>1796.2791778468604</v>
      </c>
      <c r="J13" s="50">
        <v>0</v>
      </c>
      <c r="K13" s="50">
        <v>0</v>
      </c>
      <c r="L13" s="50">
        <v>930</v>
      </c>
      <c r="M13" s="49">
        <v>0</v>
      </c>
      <c r="N13" s="49">
        <v>0</v>
      </c>
      <c r="O13" s="50" t="s">
        <v>35</v>
      </c>
      <c r="P13" s="50">
        <v>866</v>
      </c>
      <c r="Q13" s="48" t="s">
        <v>34</v>
      </c>
      <c r="R13" t="s">
        <v>114</v>
      </c>
      <c r="S13" t="s">
        <v>115</v>
      </c>
      <c r="T13" t="s">
        <v>116</v>
      </c>
      <c r="U13" t="s">
        <v>117</v>
      </c>
      <c r="V13" t="s">
        <v>70</v>
      </c>
      <c r="W13" t="s">
        <v>37</v>
      </c>
      <c r="Y13" s="51">
        <v>28.161636893402296</v>
      </c>
    </row>
    <row r="14" spans="1:29" x14ac:dyDescent="0.25">
      <c r="A14" t="s">
        <v>118</v>
      </c>
      <c r="B14" t="s">
        <v>38</v>
      </c>
      <c r="C14" s="48" t="s">
        <v>38</v>
      </c>
      <c r="D14" t="s">
        <v>39</v>
      </c>
      <c r="E14" s="48">
        <v>10140183</v>
      </c>
      <c r="F14" t="s">
        <v>119</v>
      </c>
      <c r="G14">
        <v>12</v>
      </c>
      <c r="H14" s="49">
        <v>13.26</v>
      </c>
      <c r="I14" s="49">
        <v>554.14538984296792</v>
      </c>
      <c r="J14" s="50">
        <v>0</v>
      </c>
      <c r="K14" s="50">
        <v>0</v>
      </c>
      <c r="L14" s="50">
        <v>0</v>
      </c>
      <c r="M14" s="49">
        <v>0</v>
      </c>
      <c r="N14" s="49">
        <v>0</v>
      </c>
      <c r="O14" s="50" t="s">
        <v>35</v>
      </c>
      <c r="P14" s="50">
        <v>554</v>
      </c>
      <c r="Q14" s="48" t="s">
        <v>34</v>
      </c>
      <c r="R14" t="s">
        <v>120</v>
      </c>
      <c r="S14" t="s">
        <v>121</v>
      </c>
      <c r="T14" t="s">
        <v>80</v>
      </c>
      <c r="U14" t="s">
        <v>81</v>
      </c>
      <c r="V14" t="s">
        <v>70</v>
      </c>
      <c r="W14" t="s">
        <v>37</v>
      </c>
      <c r="Y14" s="51">
        <v>25.074452029093575</v>
      </c>
    </row>
    <row r="15" spans="1:29" x14ac:dyDescent="0.25">
      <c r="A15" t="s">
        <v>122</v>
      </c>
      <c r="B15" t="s">
        <v>38</v>
      </c>
      <c r="C15" s="48" t="s">
        <v>38</v>
      </c>
      <c r="D15" t="s">
        <v>39</v>
      </c>
      <c r="E15" s="48">
        <v>10140183</v>
      </c>
      <c r="F15" t="s">
        <v>123</v>
      </c>
      <c r="G15">
        <v>13</v>
      </c>
      <c r="H15" s="49">
        <v>21.45</v>
      </c>
      <c r="I15" s="49">
        <v>1415.43039963566</v>
      </c>
      <c r="J15" s="50">
        <v>0</v>
      </c>
      <c r="K15" s="50">
        <v>0</v>
      </c>
      <c r="L15" s="50">
        <v>0</v>
      </c>
      <c r="M15" s="49">
        <v>0</v>
      </c>
      <c r="N15" s="49">
        <v>0</v>
      </c>
      <c r="O15" s="50" t="s">
        <v>35</v>
      </c>
      <c r="P15" s="50">
        <v>1415</v>
      </c>
      <c r="Q15" s="48" t="s">
        <v>34</v>
      </c>
      <c r="R15" t="s">
        <v>124</v>
      </c>
      <c r="S15" t="s">
        <v>125</v>
      </c>
      <c r="T15" t="s">
        <v>80</v>
      </c>
      <c r="U15" t="s">
        <v>86</v>
      </c>
      <c r="V15" t="s">
        <v>70</v>
      </c>
      <c r="W15" t="s">
        <v>37</v>
      </c>
      <c r="Y15" s="51">
        <v>42.891830291989699</v>
      </c>
    </row>
    <row r="16" spans="1:29" x14ac:dyDescent="0.25">
      <c r="A16" t="s">
        <v>126</v>
      </c>
      <c r="B16" t="s">
        <v>38</v>
      </c>
      <c r="C16" s="48" t="s">
        <v>38</v>
      </c>
      <c r="D16" t="s">
        <v>39</v>
      </c>
      <c r="E16" s="48">
        <v>10140183</v>
      </c>
      <c r="F16" t="s">
        <v>127</v>
      </c>
      <c r="G16">
        <v>2</v>
      </c>
      <c r="H16" s="49">
        <v>3.12</v>
      </c>
      <c r="I16" s="49">
        <v>161.30830343040003</v>
      </c>
      <c r="J16" s="50">
        <v>0</v>
      </c>
      <c r="K16" s="50">
        <v>0</v>
      </c>
      <c r="L16" s="50">
        <v>0</v>
      </c>
      <c r="M16" s="49">
        <v>0</v>
      </c>
      <c r="N16" s="49">
        <v>0</v>
      </c>
      <c r="O16" s="50" t="s">
        <v>35</v>
      </c>
      <c r="P16" s="50">
        <v>161</v>
      </c>
      <c r="Q16" s="48" t="s">
        <v>34</v>
      </c>
      <c r="R16" t="s">
        <v>128</v>
      </c>
      <c r="S16" t="s">
        <v>129</v>
      </c>
      <c r="T16" t="s">
        <v>80</v>
      </c>
      <c r="U16" t="s">
        <v>86</v>
      </c>
      <c r="V16" t="s">
        <v>70</v>
      </c>
      <c r="W16" t="s">
        <v>37</v>
      </c>
      <c r="Y16" s="51">
        <v>5.1701379304615394</v>
      </c>
    </row>
    <row r="17" spans="1:25" x14ac:dyDescent="0.25">
      <c r="A17" t="s">
        <v>130</v>
      </c>
      <c r="B17" t="s">
        <v>38</v>
      </c>
      <c r="C17" s="48" t="s">
        <v>38</v>
      </c>
      <c r="D17" t="s">
        <v>39</v>
      </c>
      <c r="E17" s="48">
        <v>10140183</v>
      </c>
      <c r="F17" t="s">
        <v>131</v>
      </c>
      <c r="G17">
        <v>7</v>
      </c>
      <c r="H17" s="49">
        <v>13.63</v>
      </c>
      <c r="I17" s="49">
        <v>1106.6127628126999</v>
      </c>
      <c r="J17" s="50">
        <v>0</v>
      </c>
      <c r="K17" s="50">
        <v>0</v>
      </c>
      <c r="L17" s="50">
        <v>0</v>
      </c>
      <c r="M17" s="49">
        <v>0</v>
      </c>
      <c r="N17" s="49">
        <v>0</v>
      </c>
      <c r="O17" s="50" t="s">
        <v>35</v>
      </c>
      <c r="P17" s="50">
        <v>1107</v>
      </c>
      <c r="Q17" s="48" t="s">
        <v>34</v>
      </c>
      <c r="R17" t="s">
        <v>132</v>
      </c>
      <c r="S17" t="s">
        <v>133</v>
      </c>
      <c r="T17" t="s">
        <v>80</v>
      </c>
      <c r="U17" t="s">
        <v>81</v>
      </c>
      <c r="V17" t="s">
        <v>70</v>
      </c>
      <c r="W17" t="s">
        <v>37</v>
      </c>
      <c r="Y17" s="51">
        <v>28.416321862395083</v>
      </c>
    </row>
    <row r="18" spans="1:25" x14ac:dyDescent="0.25">
      <c r="A18" t="s">
        <v>134</v>
      </c>
      <c r="B18" t="s">
        <v>38</v>
      </c>
      <c r="C18" s="48" t="s">
        <v>38</v>
      </c>
      <c r="D18" t="s">
        <v>39</v>
      </c>
      <c r="E18" s="48">
        <v>10140183</v>
      </c>
      <c r="F18" t="s">
        <v>135</v>
      </c>
      <c r="G18">
        <v>14</v>
      </c>
      <c r="H18" s="49">
        <v>18.940000000000001</v>
      </c>
      <c r="I18" s="49">
        <v>810.29966313455725</v>
      </c>
      <c r="J18" s="50">
        <v>0</v>
      </c>
      <c r="K18" s="50">
        <v>0</v>
      </c>
      <c r="L18" s="50">
        <v>0</v>
      </c>
      <c r="M18" s="49">
        <v>0</v>
      </c>
      <c r="N18" s="49">
        <v>0</v>
      </c>
      <c r="O18" s="50" t="s">
        <v>35</v>
      </c>
      <c r="P18" s="50">
        <v>810</v>
      </c>
      <c r="Q18" s="48" t="s">
        <v>34</v>
      </c>
      <c r="R18" t="s">
        <v>136</v>
      </c>
      <c r="S18" t="s">
        <v>137</v>
      </c>
      <c r="T18" t="s">
        <v>80</v>
      </c>
      <c r="U18" t="s">
        <v>86</v>
      </c>
      <c r="V18" t="s">
        <v>70</v>
      </c>
      <c r="W18" t="s">
        <v>37</v>
      </c>
      <c r="Y18" s="51">
        <v>29.947717222502117</v>
      </c>
    </row>
    <row r="19" spans="1:25" x14ac:dyDescent="0.25">
      <c r="A19" t="s">
        <v>138</v>
      </c>
      <c r="B19" t="s">
        <v>38</v>
      </c>
      <c r="C19" s="48" t="s">
        <v>38</v>
      </c>
      <c r="D19" t="s">
        <v>39</v>
      </c>
      <c r="E19" s="48">
        <v>10140183</v>
      </c>
      <c r="F19" t="s">
        <v>139</v>
      </c>
      <c r="G19">
        <v>3</v>
      </c>
      <c r="H19" s="49">
        <v>7.5</v>
      </c>
      <c r="I19" s="49">
        <v>275.54904432000006</v>
      </c>
      <c r="J19" s="50">
        <v>0</v>
      </c>
      <c r="K19" s="50">
        <v>0</v>
      </c>
      <c r="L19" s="50">
        <v>0</v>
      </c>
      <c r="M19" s="49">
        <v>0</v>
      </c>
      <c r="N19" s="49">
        <v>0</v>
      </c>
      <c r="O19" s="50" t="s">
        <v>35</v>
      </c>
      <c r="P19" s="50">
        <v>276</v>
      </c>
      <c r="Q19" s="48" t="s">
        <v>34</v>
      </c>
      <c r="R19" t="s">
        <v>140</v>
      </c>
      <c r="S19" t="s">
        <v>141</v>
      </c>
      <c r="T19" t="s">
        <v>142</v>
      </c>
      <c r="U19" t="s">
        <v>143</v>
      </c>
      <c r="V19" t="s">
        <v>70</v>
      </c>
      <c r="W19" t="s">
        <v>37</v>
      </c>
      <c r="Y19" s="51">
        <v>5.5109808864000023</v>
      </c>
    </row>
    <row r="20" spans="1:25" x14ac:dyDescent="0.25">
      <c r="A20" t="s">
        <v>144</v>
      </c>
      <c r="B20" t="s">
        <v>38</v>
      </c>
      <c r="C20" s="48" t="s">
        <v>38</v>
      </c>
      <c r="D20" t="s">
        <v>39</v>
      </c>
      <c r="E20" s="48">
        <v>10140183</v>
      </c>
      <c r="F20" t="s">
        <v>145</v>
      </c>
      <c r="G20">
        <v>7</v>
      </c>
      <c r="H20" s="49">
        <v>13.52</v>
      </c>
      <c r="I20" s="49">
        <v>821.38895659369007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50" t="s">
        <v>35</v>
      </c>
      <c r="P20" s="50">
        <v>821</v>
      </c>
      <c r="Q20" s="48" t="s">
        <v>34</v>
      </c>
      <c r="R20" t="s">
        <v>146</v>
      </c>
      <c r="S20" t="s">
        <v>147</v>
      </c>
      <c r="T20" t="s">
        <v>102</v>
      </c>
      <c r="U20" t="s">
        <v>69</v>
      </c>
      <c r="V20" t="s">
        <v>70</v>
      </c>
      <c r="W20" t="s">
        <v>37</v>
      </c>
      <c r="Y20" s="51">
        <v>21.263767367440206</v>
      </c>
    </row>
    <row r="21" spans="1:25" x14ac:dyDescent="0.25">
      <c r="A21" t="s">
        <v>148</v>
      </c>
      <c r="B21" t="s">
        <v>38</v>
      </c>
      <c r="C21" s="48" t="s">
        <v>38</v>
      </c>
      <c r="D21" t="s">
        <v>39</v>
      </c>
      <c r="E21" s="48">
        <v>10140183</v>
      </c>
      <c r="F21" t="s">
        <v>83</v>
      </c>
      <c r="G21">
        <v>14</v>
      </c>
      <c r="H21" s="49">
        <v>52.33</v>
      </c>
      <c r="I21" s="49">
        <v>2023.20956772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50" t="s">
        <v>35</v>
      </c>
      <c r="P21" s="50">
        <v>2023</v>
      </c>
      <c r="Q21" s="48" t="s">
        <v>34</v>
      </c>
      <c r="R21" t="s">
        <v>149</v>
      </c>
      <c r="S21" t="s">
        <v>150</v>
      </c>
      <c r="T21" t="s">
        <v>151</v>
      </c>
      <c r="U21" t="s">
        <v>69</v>
      </c>
      <c r="V21" t="s">
        <v>70</v>
      </c>
      <c r="W21" t="s">
        <v>37</v>
      </c>
      <c r="Y21" s="51">
        <v>27.063762610433788</v>
      </c>
    </row>
    <row r="22" spans="1:25" x14ac:dyDescent="0.25">
      <c r="A22" t="s">
        <v>152</v>
      </c>
      <c r="B22" t="s">
        <v>38</v>
      </c>
      <c r="C22" s="48" t="s">
        <v>38</v>
      </c>
      <c r="D22" t="s">
        <v>39</v>
      </c>
      <c r="E22" s="48">
        <v>10140183</v>
      </c>
      <c r="F22" t="s">
        <v>153</v>
      </c>
      <c r="G22">
        <v>12</v>
      </c>
      <c r="H22" s="49">
        <v>16.78</v>
      </c>
      <c r="I22" s="49">
        <v>950.4427404548801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50" t="s">
        <v>35</v>
      </c>
      <c r="P22" s="50">
        <v>950</v>
      </c>
      <c r="Q22" s="48" t="s">
        <v>34</v>
      </c>
      <c r="R22" t="s">
        <v>154</v>
      </c>
      <c r="S22" t="s">
        <v>155</v>
      </c>
      <c r="T22" t="s">
        <v>80</v>
      </c>
      <c r="U22" t="s">
        <v>86</v>
      </c>
      <c r="V22" t="s">
        <v>70</v>
      </c>
      <c r="W22" t="s">
        <v>37</v>
      </c>
      <c r="Y22" s="51">
        <v>33.984841732594049</v>
      </c>
    </row>
    <row r="23" spans="1:25" x14ac:dyDescent="0.25">
      <c r="A23" t="s">
        <v>156</v>
      </c>
      <c r="B23" t="s">
        <v>38</v>
      </c>
      <c r="C23" s="48" t="s">
        <v>38</v>
      </c>
      <c r="D23" t="s">
        <v>39</v>
      </c>
      <c r="E23" s="48">
        <v>10140183</v>
      </c>
      <c r="F23" t="s">
        <v>157</v>
      </c>
      <c r="G23">
        <v>6</v>
      </c>
      <c r="H23" s="49">
        <v>11.229999999999999</v>
      </c>
      <c r="I23" s="49">
        <v>482.70328207200004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50" t="s">
        <v>35</v>
      </c>
      <c r="P23" s="50">
        <v>483</v>
      </c>
      <c r="Q23" s="48" t="s">
        <v>34</v>
      </c>
      <c r="R23" t="s">
        <v>158</v>
      </c>
      <c r="S23" t="s">
        <v>159</v>
      </c>
      <c r="T23" t="s">
        <v>102</v>
      </c>
      <c r="U23" t="s">
        <v>69</v>
      </c>
      <c r="V23" t="s">
        <v>70</v>
      </c>
      <c r="W23" t="s">
        <v>37</v>
      </c>
      <c r="Y23" s="51">
        <v>12.895011987675872</v>
      </c>
    </row>
    <row r="24" spans="1:25" x14ac:dyDescent="0.25">
      <c r="A24" t="s">
        <v>160</v>
      </c>
      <c r="B24" t="s">
        <v>38</v>
      </c>
      <c r="C24" s="48" t="s">
        <v>38</v>
      </c>
      <c r="D24" t="s">
        <v>40</v>
      </c>
      <c r="E24" s="48">
        <v>10600004</v>
      </c>
      <c r="F24" t="s">
        <v>99</v>
      </c>
      <c r="G24">
        <v>12</v>
      </c>
      <c r="H24" s="49">
        <v>70.559999999999988</v>
      </c>
      <c r="I24" s="49">
        <v>4385.3825104267598</v>
      </c>
      <c r="J24" s="50">
        <v>0</v>
      </c>
      <c r="K24" s="50">
        <v>0</v>
      </c>
      <c r="L24" s="50">
        <v>4385.3825104267598</v>
      </c>
      <c r="M24" s="49">
        <v>0</v>
      </c>
      <c r="N24" s="49">
        <v>0</v>
      </c>
      <c r="O24" s="50" t="s">
        <v>35</v>
      </c>
      <c r="P24" s="50">
        <v>0</v>
      </c>
      <c r="Q24" s="48" t="s">
        <v>34</v>
      </c>
      <c r="R24" t="s">
        <v>161</v>
      </c>
      <c r="S24" t="s">
        <v>162</v>
      </c>
      <c r="T24" t="s">
        <v>163</v>
      </c>
      <c r="U24" t="s">
        <v>117</v>
      </c>
      <c r="V24" t="s">
        <v>70</v>
      </c>
      <c r="W24" t="s">
        <v>37</v>
      </c>
      <c r="Y24" s="51">
        <v>37.290667605669739</v>
      </c>
    </row>
    <row r="25" spans="1:25" ht="15.75" thickBot="1" x14ac:dyDescent="0.3">
      <c r="A25" s="52" t="s">
        <v>164</v>
      </c>
      <c r="B25" s="52" t="s">
        <v>38</v>
      </c>
      <c r="C25" s="53" t="s">
        <v>38</v>
      </c>
      <c r="D25" s="52" t="s">
        <v>40</v>
      </c>
      <c r="E25" s="53">
        <v>10600004</v>
      </c>
      <c r="F25" s="52" t="s">
        <v>65</v>
      </c>
      <c r="G25" s="52">
        <v>14</v>
      </c>
      <c r="H25" s="54">
        <v>742.13999999999976</v>
      </c>
      <c r="I25" s="54">
        <v>30274.894374831281</v>
      </c>
      <c r="J25" s="55">
        <v>0</v>
      </c>
      <c r="K25" s="55">
        <v>0</v>
      </c>
      <c r="L25" s="55">
        <v>5342</v>
      </c>
      <c r="M25" s="54">
        <v>0</v>
      </c>
      <c r="N25" s="54">
        <v>0</v>
      </c>
      <c r="O25" s="55" t="s">
        <v>35</v>
      </c>
      <c r="P25" s="55">
        <v>24933</v>
      </c>
      <c r="Q25" s="53" t="s">
        <v>34</v>
      </c>
      <c r="R25" s="52" t="s">
        <v>165</v>
      </c>
      <c r="S25" s="52" t="s">
        <v>166</v>
      </c>
      <c r="T25" s="52" t="s">
        <v>80</v>
      </c>
      <c r="U25" s="52" t="s">
        <v>86</v>
      </c>
      <c r="V25" s="52" t="s">
        <v>70</v>
      </c>
      <c r="W25" s="52" t="s">
        <v>37</v>
      </c>
      <c r="Y25" s="51">
        <v>28.555833215271925</v>
      </c>
    </row>
    <row r="26" spans="1:25" ht="15.75" thickTop="1" x14ac:dyDescent="0.25">
      <c r="P26" s="56">
        <f>SUM(P2:P25)</f>
        <v>44185</v>
      </c>
    </row>
  </sheetData>
  <conditionalFormatting sqref="A2:A25">
    <cfRule type="duplicateValues" dxfId="4" priority="2"/>
    <cfRule type="duplicateValues" dxfId="3" priority="3"/>
  </conditionalFormatting>
  <conditionalFormatting sqref="P1:P25">
    <cfRule type="cellIs" dxfId="2" priority="4" operator="lessThan">
      <formula>0</formula>
    </cfRule>
  </conditionalFormatting>
  <conditionalFormatting sqref="P2:P25">
    <cfRule type="cellIs" dxfId="1" priority="1" operator="lessThan">
      <formula>-1</formula>
    </cfRule>
  </conditionalFormatting>
  <conditionalFormatting sqref="S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2026-04-17T06:45:51Z</dcterms:created>
  <dcterms:modified xsi:type="dcterms:W3CDTF">2026-04-17T06:56:07Z</dcterms:modified>
</cp:coreProperties>
</file>