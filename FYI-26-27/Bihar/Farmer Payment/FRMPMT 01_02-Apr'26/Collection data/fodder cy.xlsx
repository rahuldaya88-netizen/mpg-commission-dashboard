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01_02-Apr'26\Collection data\"/>
    </mc:Choice>
  </mc:AlternateContent>
  <xr:revisionPtr revIDLastSave="0" documentId="13_ncr:1_{840FC70E-64A7-4147-A8C0-0B977957B2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ry fooder" sheetId="3" r:id="rId1"/>
    <sheet name="fooder cy 27-3-26 to 2-4-26" sheetId="1" r:id="rId2"/>
    <sheet name="Biogas" sheetId="2" r:id="rId3"/>
  </sheets>
  <definedNames>
    <definedName name="_xlnm._FilterDatabase" localSheetId="2" hidden="1">Biogas!$B$3:$L$3</definedName>
    <definedName name="_xlnm._FilterDatabase" localSheetId="1" hidden="1">'fooder cy 27-3-26 to 2-4-26'!$C$3:$M$3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3" l="1"/>
  <c r="Q11" i="3"/>
  <c r="Q10" i="3"/>
  <c r="L17" i="2"/>
  <c r="C5" i="2"/>
  <c r="C6" i="2"/>
  <c r="C7" i="2"/>
  <c r="C8" i="2"/>
  <c r="C9" i="2"/>
  <c r="C10" i="2"/>
  <c r="C11" i="2"/>
  <c r="C12" i="2"/>
  <c r="C13" i="2"/>
  <c r="C14" i="2"/>
  <c r="C15" i="2"/>
  <c r="C16" i="2"/>
  <c r="C4" i="2"/>
  <c r="K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D36" i="1"/>
  <c r="D35" i="1"/>
  <c r="D34" i="1"/>
  <c r="D33" i="1"/>
  <c r="D32" i="1"/>
  <c r="D31" i="1"/>
  <c r="D30" i="1"/>
  <c r="D44" i="1"/>
  <c r="D43" i="1"/>
  <c r="D42" i="1"/>
  <c r="D41" i="1"/>
  <c r="D40" i="1"/>
  <c r="D39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38" i="1"/>
  <c r="D37" i="1"/>
  <c r="D13" i="1"/>
  <c r="D12" i="1"/>
  <c r="D45" i="1"/>
  <c r="D11" i="1"/>
  <c r="D10" i="1"/>
  <c r="D9" i="1"/>
  <c r="D8" i="1"/>
  <c r="D7" i="1"/>
  <c r="D6" i="1"/>
  <c r="D5" i="1"/>
  <c r="D4" i="1"/>
  <c r="L8" i="1"/>
  <c r="L7" i="1"/>
  <c r="L30" i="1" l="1"/>
  <c r="L44" i="1"/>
  <c r="L43" i="1"/>
  <c r="L42" i="1"/>
  <c r="L41" i="1"/>
  <c r="L40" i="1"/>
  <c r="L39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16" i="1"/>
  <c r="L46" i="1" l="1"/>
  <c r="K17" i="2"/>
</calcChain>
</file>

<file path=xl/sharedStrings.xml><?xml version="1.0" encoding="utf-8"?>
<sst xmlns="http://schemas.openxmlformats.org/spreadsheetml/2006/main" count="498" uniqueCount="100">
  <si>
    <t>BMC NAME</t>
  </si>
  <si>
    <t>MPG CODE</t>
  </si>
  <si>
    <t>Type</t>
  </si>
  <si>
    <t>MPG NAME</t>
  </si>
  <si>
    <t>QTY</t>
  </si>
  <si>
    <t>Rate</t>
  </si>
  <si>
    <t>Amount</t>
  </si>
  <si>
    <t>Deduction</t>
  </si>
  <si>
    <t>Simri</t>
  </si>
  <si>
    <t>Direct</t>
  </si>
  <si>
    <t>Bochha</t>
  </si>
  <si>
    <t>0002</t>
  </si>
  <si>
    <t>Barieast</t>
  </si>
  <si>
    <t>Matior</t>
  </si>
  <si>
    <t>0003</t>
  </si>
  <si>
    <t>Rasalpur</t>
  </si>
  <si>
    <t>Tabhka</t>
  </si>
  <si>
    <t>Musligarari</t>
  </si>
  <si>
    <t>Andoha</t>
  </si>
  <si>
    <t>0016</t>
  </si>
  <si>
    <t>karhotiya</t>
  </si>
  <si>
    <t>Kowahi</t>
  </si>
  <si>
    <t>Maheshpur</t>
  </si>
  <si>
    <t>0019</t>
  </si>
  <si>
    <t>0017</t>
  </si>
  <si>
    <t>Mahothi</t>
  </si>
  <si>
    <t>Gwritahi</t>
  </si>
  <si>
    <t>Serpura narsari</t>
  </si>
  <si>
    <t>Aakaha</t>
  </si>
  <si>
    <t>Mpg code</t>
  </si>
  <si>
    <t>Payment Type</t>
  </si>
  <si>
    <t xml:space="preserve">
MPG Name </t>
  </si>
  <si>
    <t xml:space="preserve">
Farmer code  </t>
  </si>
  <si>
    <t xml:space="preserve">
BMC Name  </t>
  </si>
  <si>
    <t xml:space="preserve">
CSP  </t>
  </si>
  <si>
    <t>MPG</t>
  </si>
  <si>
    <t>ENGLISH DUBAULI</t>
  </si>
  <si>
    <t>0020</t>
  </si>
  <si>
    <t>Dumraon</t>
  </si>
  <si>
    <t>Pravah</t>
  </si>
  <si>
    <t>MAHULIYA</t>
  </si>
  <si>
    <t>Sonvarsha</t>
  </si>
  <si>
    <t>BALHAPUR</t>
  </si>
  <si>
    <t>BALHA</t>
  </si>
  <si>
    <t xml:space="preserve">Kalyanpur </t>
  </si>
  <si>
    <t xml:space="preserve">Madanpur </t>
  </si>
  <si>
    <t>pravah</t>
  </si>
  <si>
    <t>Dighra warad 6</t>
  </si>
  <si>
    <t xml:space="preserve">kalyanput </t>
  </si>
  <si>
    <t>Motipur</t>
  </si>
  <si>
    <t>simri</t>
  </si>
  <si>
    <t>kewas jageer</t>
  </si>
  <si>
    <t>Vishnu pur kowahi</t>
  </si>
  <si>
    <t>Mahipura</t>
  </si>
  <si>
    <t>Indirect</t>
  </si>
  <si>
    <t>Kheraiya</t>
  </si>
  <si>
    <t>Gorai</t>
  </si>
  <si>
    <t>0012</t>
  </si>
  <si>
    <t>Kalyanpur</t>
  </si>
  <si>
    <t>Sattogachhai</t>
  </si>
  <si>
    <t>Total Amount</t>
  </si>
  <si>
    <t>Harpur ward 13</t>
  </si>
  <si>
    <t>Birauli khurd</t>
  </si>
  <si>
    <t>Madanpur</t>
  </si>
  <si>
    <t xml:space="preserve">Sonversha </t>
  </si>
  <si>
    <t>Purani dih</t>
  </si>
  <si>
    <t>Akha kurha</t>
  </si>
  <si>
    <t>Chalish</t>
  </si>
  <si>
    <t>Arma</t>
  </si>
  <si>
    <t>Singhchak</t>
  </si>
  <si>
    <t>0163</t>
  </si>
  <si>
    <t>0227</t>
  </si>
  <si>
    <t xml:space="preserve"> </t>
  </si>
  <si>
    <t xml:space="preserve">Type </t>
  </si>
  <si>
    <t>Payment type</t>
  </si>
  <si>
    <t xml:space="preserve">Deduction cycle </t>
  </si>
  <si>
    <t>27/3/26 to 2/4/26</t>
  </si>
  <si>
    <t>Farmer  Code</t>
  </si>
  <si>
    <t>0033</t>
  </si>
  <si>
    <t>0026</t>
  </si>
  <si>
    <t>0027</t>
  </si>
  <si>
    <t>0013</t>
  </si>
  <si>
    <t>0076</t>
  </si>
  <si>
    <t>0009</t>
  </si>
  <si>
    <t>0022</t>
  </si>
  <si>
    <t>0006</t>
  </si>
  <si>
    <t>0023</t>
  </si>
  <si>
    <t>0018</t>
  </si>
  <si>
    <t>0004</t>
  </si>
  <si>
    <t>0301</t>
  </si>
  <si>
    <t>0165</t>
  </si>
  <si>
    <t>ID</t>
  </si>
  <si>
    <t>Grand Total</t>
  </si>
  <si>
    <t>Sum of Amount</t>
  </si>
  <si>
    <t>Total</t>
  </si>
  <si>
    <t>#N/A</t>
  </si>
  <si>
    <t>Direct Total</t>
  </si>
  <si>
    <t>Indirect Total</t>
  </si>
  <si>
    <t>#N/A Total</t>
  </si>
  <si>
    <t>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</si>
</sst>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1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1" fillId="0" borderId="3" xfId="0" applyFont="1" applyBorder="1"/>
    <xf numFmtId="0" fontId="3" fillId="0" borderId="3" xfId="0" applyFont="1" applyBorder="1" applyAlignment="1">
      <alignment horizontal="center"/>
    </xf>
    <xf numFmtId="0" fontId="4" fillId="0" borderId="3" xfId="0" quotePrefix="1" applyFont="1" applyBorder="1"/>
    <xf numFmtId="0" fontId="4" fillId="2" borderId="3" xfId="0" quotePrefix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0" fillId="0" borderId="3" xfId="1" applyNumberFormat="1" applyFont="1" applyBorder="1"/>
    <xf numFmtId="164" fontId="0" fillId="2" borderId="3" xfId="1" applyNumberFormat="1" applyFont="1" applyFill="1" applyBorder="1"/>
    <xf numFmtId="0" fontId="4" fillId="0" borderId="3" xfId="0" applyFont="1" applyBorder="1"/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/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0" fillId="0" borderId="7" xfId="0" applyBorder="1"/>
    <xf numFmtId="0" fontId="5" fillId="0" borderId="3" xfId="0" applyFont="1" applyBorder="1"/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4" xfId="0" applyBorder="1"/>
    <xf numFmtId="0" fontId="0" fillId="0" borderId="3" xfId="0" applyBorder="1" applyAlignment="1">
      <alignment horizontal="right"/>
    </xf>
    <xf numFmtId="0" fontId="0" fillId="0" borderId="0" xfId="0" pivotButton="1"/>
    <xf numFmtId="0" fontId="1" fillId="4" borderId="0" xfId="0" applyFont="1" applyFill="1"/>
    <xf numFmtId="0" fontId="1" fillId="4" borderId="10" xfId="0" applyFont="1" applyFill="1" applyBorder="1"/>
    <xf numFmtId="0" fontId="1" fillId="0" borderId="10" xfId="0" applyFont="1" applyBorder="1"/>
    <xf numFmtId="0" fontId="1" fillId="0" borderId="0" xfId="0" applyFont="1"/>
    <xf numFmtId="0" fontId="1" fillId="0" borderId="11" xfId="0" applyFont="1" applyBorder="1"/>
    <xf numFmtId="0" fontId="5" fillId="0" borderId="1" xfId="0" applyFont="1" applyBorder="1"/>
    <xf numFmtId="0" fontId="1" fillId="0" borderId="8" xfId="0" applyFont="1" applyBorder="1"/>
    <xf numFmtId="0" fontId="1" fillId="0" borderId="9" xfId="0" applyFont="1" applyBorder="1"/>
    <xf numFmtId="164" fontId="0" fillId="0" borderId="3" xfId="0" applyNumberFormat="1" applyBorder="1"/>
    <xf numFmtId="1" fontId="0" fillId="0" borderId="0" xfId="0" applyNumberFormat="1"/>
  </cellXfs>
  <cellStyles count="2">
    <cellStyle name="Comma" xfId="1" builtinId="3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9.622955208331" createdVersion="8" refreshedVersion="8" minRefreshableVersion="3" recordCount="42" xr:uid="{586B0E2F-8B59-4445-9A40-CC52761B58C8}">
  <cacheSource type="worksheet">
    <worksheetSource ref="C3:M45" sheet="fooder cy 27-3-26 to 2-4-26"/>
  </cacheSource>
  <cacheFields count="11">
    <cacheField name="BMC NAME" numFmtId="0">
      <sharedItems/>
    </cacheField>
    <cacheField name="ID" numFmtId="0">
      <sharedItems/>
    </cacheField>
    <cacheField name="MPG CODE" numFmtId="0">
      <sharedItems containsSemiMixedTypes="0" containsString="0" containsNumber="1" containsInteger="1" minValue="10060005" maxValue="10530076" count="21">
        <n v="10120094"/>
        <n v="10120083"/>
        <n v="10120034"/>
        <n v="10120015"/>
        <n v="10120025"/>
        <n v="10130006"/>
        <n v="10130097"/>
        <n v="10130054"/>
        <n v="10130093"/>
        <n v="10130077"/>
        <n v="10530055"/>
        <n v="10530035"/>
        <n v="10530076"/>
        <n v="10060026"/>
        <n v="10060027"/>
        <n v="10130020"/>
        <n v="10130058"/>
        <n v="10060021"/>
        <n v="10060062"/>
        <n v="10060005"/>
        <n v="10130090"/>
      </sharedItems>
    </cacheField>
    <cacheField name="Type " numFmtId="0">
      <sharedItems count="3">
        <s v="Direct"/>
        <s v="Indirect"/>
        <e v="#N/A"/>
      </sharedItems>
    </cacheField>
    <cacheField name="Payment type" numFmtId="0">
      <sharedItems/>
    </cacheField>
    <cacheField name="MPG NAME" numFmtId="0">
      <sharedItems/>
    </cacheField>
    <cacheField name="Farmer  Code" numFmtId="0">
      <sharedItems count="21">
        <s v="0002"/>
        <s v="0003"/>
        <s v="0033"/>
        <s v="0016"/>
        <s v="0019"/>
        <s v="0017"/>
        <s v="0026"/>
        <s v="0027"/>
        <s v="0013"/>
        <s v="0076"/>
        <s v="0009"/>
        <s v="0022"/>
        <s v="0006"/>
        <s v="0023"/>
        <s v="0018"/>
        <s v="0004"/>
        <s v="0163"/>
        <s v="0012"/>
        <s v="0301"/>
        <s v="0165"/>
        <s v="0227"/>
      </sharedItems>
    </cacheField>
    <cacheField name="QTY" numFmtId="0">
      <sharedItems containsString="0" containsBlank="1" containsNumber="1" minValue="1.5" maxValue="40"/>
    </cacheField>
    <cacheField name="Rate" numFmtId="0">
      <sharedItems containsString="0" containsBlank="1" containsNumber="1" containsInteger="1" minValue="14" maxValue="680"/>
    </cacheField>
    <cacheField name="Amount" numFmtId="0">
      <sharedItems containsSemiMixedTypes="0" containsString="0" containsNumber="1" minValue="188" maxValue="9200"/>
    </cacheField>
    <cacheField name="Deducti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Simri"/>
    <s v="101200940002"/>
    <x v="0"/>
    <x v="0"/>
    <e v="#REF!"/>
    <s v="Bochha"/>
    <x v="0"/>
    <n v="2"/>
    <n v="235"/>
    <n v="470"/>
    <m/>
  </r>
  <r>
    <s v="Simri"/>
    <s v="101200830002"/>
    <x v="1"/>
    <x v="0"/>
    <e v="#REF!"/>
    <s v="Barieast"/>
    <x v="0"/>
    <n v="20"/>
    <n v="235"/>
    <n v="4700"/>
    <m/>
  </r>
  <r>
    <s v="Simri"/>
    <s v="101200340003"/>
    <x v="2"/>
    <x v="0"/>
    <e v="#REF!"/>
    <s v="Matior"/>
    <x v="1"/>
    <n v="2"/>
    <n v="680"/>
    <n v="1360"/>
    <m/>
  </r>
  <r>
    <s v="Simri"/>
    <s v="101200150033"/>
    <x v="3"/>
    <x v="0"/>
    <s v="MPG"/>
    <s v="Rasalpur"/>
    <x v="2"/>
    <n v="4"/>
    <n v="235"/>
    <n v="940"/>
    <m/>
  </r>
  <r>
    <s v="Simri"/>
    <s v="101200150002"/>
    <x v="3"/>
    <x v="0"/>
    <e v="#REF!"/>
    <s v="Rasalpur"/>
    <x v="0"/>
    <n v="4"/>
    <n v="235"/>
    <n v="940"/>
    <m/>
  </r>
  <r>
    <s v="Simri"/>
    <s v="101200250002"/>
    <x v="4"/>
    <x v="0"/>
    <e v="#REF!"/>
    <s v="Tabhka"/>
    <x v="0"/>
    <n v="20"/>
    <n v="235"/>
    <n v="4700"/>
    <m/>
  </r>
  <r>
    <s v="Musligarari"/>
    <s v="101300060016"/>
    <x v="5"/>
    <x v="0"/>
    <e v="#REF!"/>
    <s v="Andoha"/>
    <x v="3"/>
    <n v="2"/>
    <n v="235"/>
    <n v="470"/>
    <m/>
  </r>
  <r>
    <s v="Musligarari"/>
    <s v="101300970002"/>
    <x v="6"/>
    <x v="0"/>
    <e v="#REF!"/>
    <s v="karhotiya"/>
    <x v="0"/>
    <n v="2"/>
    <n v="235"/>
    <n v="470"/>
    <m/>
  </r>
  <r>
    <s v="Musligarari"/>
    <s v="101300540019"/>
    <x v="7"/>
    <x v="0"/>
    <e v="#REF!"/>
    <s v="Maheshpur"/>
    <x v="4"/>
    <n v="4"/>
    <n v="235"/>
    <n v="940"/>
    <m/>
  </r>
  <r>
    <s v="Musligarari"/>
    <s v="101300540017"/>
    <x v="7"/>
    <x v="0"/>
    <e v="#REF!"/>
    <s v="Maheshpur"/>
    <x v="5"/>
    <n v="2"/>
    <n v="235"/>
    <n v="470"/>
    <m/>
  </r>
  <r>
    <s v="Musligarari"/>
    <s v="101300930002"/>
    <x v="8"/>
    <x v="0"/>
    <e v="#REF!"/>
    <s v="Serpura narsari"/>
    <x v="0"/>
    <n v="4"/>
    <n v="235"/>
    <n v="940"/>
    <m/>
  </r>
  <r>
    <s v="Musligarari"/>
    <s v="101300770002"/>
    <x v="9"/>
    <x v="0"/>
    <e v="#REF!"/>
    <s v="Aakaha"/>
    <x v="0"/>
    <n v="4"/>
    <n v="235"/>
    <n v="940"/>
    <m/>
  </r>
  <r>
    <s v="Kalyanpur "/>
    <s v="105300550026"/>
    <x v="10"/>
    <x v="0"/>
    <e v="#REF!"/>
    <s v="Harpur ward 13"/>
    <x v="6"/>
    <n v="2"/>
    <n v="235"/>
    <n v="470"/>
    <m/>
  </r>
  <r>
    <s v="Kalyanpur "/>
    <s v="105300550027"/>
    <x v="10"/>
    <x v="0"/>
    <e v="#REF!"/>
    <s v="Harpur ward 13"/>
    <x v="7"/>
    <n v="2"/>
    <n v="235"/>
    <n v="470"/>
    <m/>
  </r>
  <r>
    <s v="Kalyanpur "/>
    <s v="105300550013"/>
    <x v="10"/>
    <x v="0"/>
    <e v="#REF!"/>
    <s v="Harpur ward 13"/>
    <x v="8"/>
    <n v="2"/>
    <n v="235"/>
    <n v="470"/>
    <m/>
  </r>
  <r>
    <s v="Kalyanpur "/>
    <s v="105300550076"/>
    <x v="10"/>
    <x v="0"/>
    <e v="#REF!"/>
    <s v="Harpur ward 13"/>
    <x v="9"/>
    <n v="2"/>
    <n v="235"/>
    <n v="470"/>
    <m/>
  </r>
  <r>
    <s v="Kalyanpur "/>
    <s v="105300550019"/>
    <x v="10"/>
    <x v="0"/>
    <e v="#REF!"/>
    <s v="Harpur ward 13"/>
    <x v="4"/>
    <n v="2"/>
    <n v="235"/>
    <n v="470"/>
    <m/>
  </r>
  <r>
    <s v="Kalyanpur "/>
    <s v="105300550009"/>
    <x v="10"/>
    <x v="0"/>
    <e v="#REF!"/>
    <s v="Harpur ward 13"/>
    <x v="10"/>
    <n v="2"/>
    <n v="235"/>
    <n v="470"/>
    <m/>
  </r>
  <r>
    <s v="Kalyanpur "/>
    <s v="105300350003"/>
    <x v="11"/>
    <x v="0"/>
    <e v="#REF!"/>
    <s v="Birauli khurd"/>
    <x v="1"/>
    <n v="2"/>
    <n v="235"/>
    <n v="470"/>
    <m/>
  </r>
  <r>
    <s v="Kalyanpur "/>
    <s v="105300350022"/>
    <x v="11"/>
    <x v="0"/>
    <e v="#REF!"/>
    <s v="Birauli khurd"/>
    <x v="11"/>
    <n v="2"/>
    <n v="235"/>
    <n v="470"/>
    <m/>
  </r>
  <r>
    <s v="Kalyanpur "/>
    <s v="105300350017"/>
    <x v="11"/>
    <x v="0"/>
    <e v="#REF!"/>
    <s v="Birauli khurd"/>
    <x v="5"/>
    <n v="1.5"/>
    <n v="235"/>
    <n v="352.5"/>
    <m/>
  </r>
  <r>
    <s v="Kalyanpur "/>
    <s v="105300350006"/>
    <x v="11"/>
    <x v="0"/>
    <e v="#REF!"/>
    <s v="Birauli khurd"/>
    <x v="12"/>
    <n v="2"/>
    <n v="235"/>
    <n v="470"/>
    <m/>
  </r>
  <r>
    <s v="Kalyanpur "/>
    <s v="105300760023"/>
    <x v="12"/>
    <x v="0"/>
    <e v="#REF!"/>
    <s v="Madanpur"/>
    <x v="13"/>
    <n v="2"/>
    <n v="235"/>
    <n v="470"/>
    <m/>
  </r>
  <r>
    <s v="Kalyanpur "/>
    <s v="105300760018"/>
    <x v="12"/>
    <x v="0"/>
    <e v="#REF!"/>
    <s v="Madanpur"/>
    <x v="14"/>
    <n v="2"/>
    <n v="235"/>
    <n v="470"/>
    <m/>
  </r>
  <r>
    <s v="Kalyanpur "/>
    <s v="105300760004"/>
    <x v="12"/>
    <x v="0"/>
    <e v="#REF!"/>
    <s v="Madanpur"/>
    <x v="15"/>
    <n v="2"/>
    <n v="235"/>
    <n v="470"/>
    <m/>
  </r>
  <r>
    <s v="Kalyanpur "/>
    <s v="105300760003"/>
    <x v="12"/>
    <x v="0"/>
    <e v="#REF!"/>
    <s v="Madanpur"/>
    <x v="1"/>
    <n v="6"/>
    <n v="235"/>
    <n v="1410"/>
    <m/>
  </r>
  <r>
    <s v="Sonversha "/>
    <s v="100600260002"/>
    <x v="13"/>
    <x v="0"/>
    <e v="#REF!"/>
    <s v="Arma"/>
    <x v="0"/>
    <n v="40"/>
    <n v="14"/>
    <n v="560"/>
    <m/>
  </r>
  <r>
    <s v="Sonversha "/>
    <s v="100600260002"/>
    <x v="13"/>
    <x v="0"/>
    <e v="#REF!"/>
    <s v="Arma"/>
    <x v="0"/>
    <n v="20"/>
    <n v="20"/>
    <n v="235"/>
    <m/>
  </r>
  <r>
    <s v="Sonversha "/>
    <s v="100600270163"/>
    <x v="14"/>
    <x v="0"/>
    <e v="#REF!"/>
    <s v="Singhchak"/>
    <x v="16"/>
    <m/>
    <m/>
    <n v="359"/>
    <m/>
  </r>
  <r>
    <s v="Sonversha "/>
    <s v="100600270012"/>
    <x v="14"/>
    <x v="0"/>
    <e v="#REF!"/>
    <s v="Singhchak"/>
    <x v="17"/>
    <m/>
    <m/>
    <n v="500"/>
    <m/>
  </r>
  <r>
    <s v="Sonversha "/>
    <s v="100600270301"/>
    <x v="14"/>
    <x v="0"/>
    <e v="#REF!"/>
    <s v="Singhchak"/>
    <x v="18"/>
    <m/>
    <m/>
    <n v="200"/>
    <m/>
  </r>
  <r>
    <s v="Sonversha "/>
    <s v="100600270165"/>
    <x v="14"/>
    <x v="0"/>
    <e v="#REF!"/>
    <s v="Singhchak"/>
    <x v="19"/>
    <m/>
    <m/>
    <n v="853"/>
    <m/>
  </r>
  <r>
    <s v="Sonversha "/>
    <s v="100600270227"/>
    <x v="14"/>
    <x v="0"/>
    <e v="#REF!"/>
    <s v="Singhchak"/>
    <x v="20"/>
    <m/>
    <m/>
    <n v="188"/>
    <m/>
  </r>
  <r>
    <s v="Musligarari"/>
    <s v="101300200002"/>
    <x v="15"/>
    <x v="1"/>
    <e v="#REF!"/>
    <s v="Mahothi"/>
    <x v="0"/>
    <n v="2"/>
    <n v="235"/>
    <n v="470"/>
    <m/>
  </r>
  <r>
    <s v="Musligarari"/>
    <s v="101300580002"/>
    <x v="16"/>
    <x v="1"/>
    <e v="#REF!"/>
    <s v="Gwritahi"/>
    <x v="0"/>
    <n v="2"/>
    <n v="235"/>
    <n v="470"/>
    <m/>
  </r>
  <r>
    <s v="Sonversha "/>
    <s v="100600210002"/>
    <x v="17"/>
    <x v="1"/>
    <e v="#REF!"/>
    <s v="Purani dih"/>
    <x v="0"/>
    <n v="30"/>
    <n v="140"/>
    <n v="4200"/>
    <m/>
  </r>
  <r>
    <s v="Sonversha "/>
    <s v="100600210002"/>
    <x v="17"/>
    <x v="1"/>
    <e v="#REF!"/>
    <s v="Purani dih"/>
    <x v="0"/>
    <n v="30"/>
    <n v="235"/>
    <n v="7050"/>
    <m/>
  </r>
  <r>
    <s v="Sonversha "/>
    <s v="100600620002"/>
    <x v="18"/>
    <x v="1"/>
    <e v="#REF!"/>
    <s v="Akha kurha"/>
    <x v="0"/>
    <n v="30"/>
    <n v="140"/>
    <n v="4200"/>
    <m/>
  </r>
  <r>
    <s v="Sonversha "/>
    <s v="100600050002"/>
    <x v="19"/>
    <x v="1"/>
    <e v="#REF!"/>
    <s v="Chalish"/>
    <x v="0"/>
    <n v="35"/>
    <n v="140"/>
    <n v="4900"/>
    <m/>
  </r>
  <r>
    <s v="Sonversha "/>
    <s v="100600050002"/>
    <x v="19"/>
    <x v="1"/>
    <e v="#REF!"/>
    <s v="Chalish"/>
    <x v="0"/>
    <n v="12"/>
    <n v="235"/>
    <n v="2820"/>
    <m/>
  </r>
  <r>
    <s v="Sonversha "/>
    <s v="100600050002"/>
    <x v="19"/>
    <x v="1"/>
    <e v="#REF!"/>
    <s v="Chalish"/>
    <x v="0"/>
    <n v="20"/>
    <n v="460"/>
    <n v="9200"/>
    <m/>
  </r>
  <r>
    <s v="Musligarari"/>
    <s v="101300900002"/>
    <x v="20"/>
    <x v="2"/>
    <e v="#REF!"/>
    <s v="Kowahi"/>
    <x v="0"/>
    <n v="2"/>
    <n v="235"/>
    <n v="47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AD0AC-76FA-41F8-83FA-C59F748CC297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46" firstHeaderRow="2" firstDataRow="2" firstDataCol="3"/>
  <pivotFields count="11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">
        <item x="19"/>
        <item x="17"/>
        <item x="13"/>
        <item x="14"/>
        <item x="18"/>
        <item x="3"/>
        <item x="4"/>
        <item x="2"/>
        <item x="1"/>
        <item x="0"/>
        <item x="5"/>
        <item x="15"/>
        <item x="7"/>
        <item x="16"/>
        <item x="9"/>
        <item x="20"/>
        <item x="8"/>
        <item x="6"/>
        <item x="11"/>
        <item x="10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2">
        <item x="0"/>
        <item x="1"/>
        <item x="15"/>
        <item x="12"/>
        <item x="10"/>
        <item x="17"/>
        <item x="8"/>
        <item x="3"/>
        <item x="5"/>
        <item x="14"/>
        <item x="4"/>
        <item x="11"/>
        <item x="13"/>
        <item x="6"/>
        <item x="7"/>
        <item x="2"/>
        <item x="9"/>
        <item x="16"/>
        <item x="19"/>
        <item x="20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3"/>
    <field x="2"/>
    <field x="6"/>
  </rowFields>
  <rowItems count="42">
    <i>
      <x/>
      <x v="2"/>
      <x/>
    </i>
    <i r="1">
      <x v="3"/>
      <x v="5"/>
    </i>
    <i r="2">
      <x v="17"/>
    </i>
    <i r="2">
      <x v="18"/>
    </i>
    <i r="2">
      <x v="19"/>
    </i>
    <i r="2">
      <x v="20"/>
    </i>
    <i r="1">
      <x v="5"/>
      <x/>
    </i>
    <i r="2">
      <x v="15"/>
    </i>
    <i r="1">
      <x v="6"/>
      <x/>
    </i>
    <i r="1">
      <x v="7"/>
      <x v="1"/>
    </i>
    <i r="1">
      <x v="8"/>
      <x/>
    </i>
    <i r="1">
      <x v="9"/>
      <x/>
    </i>
    <i r="1">
      <x v="10"/>
      <x v="7"/>
    </i>
    <i r="1">
      <x v="12"/>
      <x v="8"/>
    </i>
    <i r="2">
      <x v="10"/>
    </i>
    <i r="1">
      <x v="14"/>
      <x/>
    </i>
    <i r="1">
      <x v="16"/>
      <x/>
    </i>
    <i r="1">
      <x v="17"/>
      <x/>
    </i>
    <i r="1">
      <x v="18"/>
      <x v="1"/>
    </i>
    <i r="2">
      <x v="3"/>
    </i>
    <i r="2">
      <x v="8"/>
    </i>
    <i r="2">
      <x v="11"/>
    </i>
    <i r="1">
      <x v="19"/>
      <x v="4"/>
    </i>
    <i r="2">
      <x v="6"/>
    </i>
    <i r="2">
      <x v="10"/>
    </i>
    <i r="2">
      <x v="13"/>
    </i>
    <i r="2">
      <x v="14"/>
    </i>
    <i r="2">
      <x v="16"/>
    </i>
    <i r="1">
      <x v="20"/>
      <x v="1"/>
    </i>
    <i r="2">
      <x v="2"/>
    </i>
    <i r="2">
      <x v="9"/>
    </i>
    <i r="2">
      <x v="12"/>
    </i>
    <i t="default">
      <x/>
    </i>
    <i>
      <x v="1"/>
      <x/>
      <x/>
    </i>
    <i r="1">
      <x v="1"/>
      <x/>
    </i>
    <i r="1">
      <x v="4"/>
      <x/>
    </i>
    <i r="1">
      <x v="11"/>
      <x/>
    </i>
    <i r="1">
      <x v="13"/>
      <x/>
    </i>
    <i t="default">
      <x v="1"/>
    </i>
    <i>
      <x v="2"/>
      <x v="15"/>
      <x/>
    </i>
    <i t="default">
      <x v="2"/>
    </i>
    <i t="grand">
      <x/>
    </i>
  </rowItems>
  <colItems count="1">
    <i/>
  </colItems>
  <dataFields count="1">
    <dataField name="Sum of 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5A97-D423-44AC-B417-1325C562F328}">
  <dimension ref="A3:Q46"/>
  <sheetViews>
    <sheetView tabSelected="1" topLeftCell="A4" workbookViewId="0">
      <selection activeCell="R12" sqref="R12"/>
    </sheetView>
  </sheetViews>
  <sheetFormatPr defaultRowHeight="15" x14ac:dyDescent="0.25"/>
  <cols>
    <col min="1" max="1" width="13" bestFit="1" customWidth="1"/>
    <col min="2" max="3" width="15" bestFit="1" customWidth="1"/>
    <col min="4" max="4" width="8" bestFit="1" customWidth="1"/>
    <col min="6" max="6" width="13.140625" bestFit="1" customWidth="1"/>
    <col min="7" max="7" width="11.140625" bestFit="1" customWidth="1"/>
    <col min="13" max="13" width="12.7109375" bestFit="1" customWidth="1"/>
    <col min="14" max="14" width="10.7109375" bestFit="1" customWidth="1"/>
    <col min="15" max="15" width="12.7109375" bestFit="1" customWidth="1"/>
    <col min="16" max="16" width="6" bestFit="1" customWidth="1"/>
    <col min="17" max="17" width="10.140625" bestFit="1" customWidth="1"/>
  </cols>
  <sheetData>
    <row r="3" spans="1:17" x14ac:dyDescent="0.25">
      <c r="A3" s="30" t="s">
        <v>93</v>
      </c>
    </row>
    <row r="4" spans="1:17" x14ac:dyDescent="0.25">
      <c r="A4" s="30" t="s">
        <v>73</v>
      </c>
      <c r="B4" s="30" t="s">
        <v>1</v>
      </c>
      <c r="C4" s="30" t="s">
        <v>77</v>
      </c>
      <c r="D4" t="s">
        <v>94</v>
      </c>
      <c r="F4" s="32" t="s">
        <v>91</v>
      </c>
      <c r="G4" s="32" t="s">
        <v>73</v>
      </c>
      <c r="H4" s="32" t="s">
        <v>1</v>
      </c>
      <c r="I4" s="32" t="s">
        <v>77</v>
      </c>
      <c r="J4" s="32" t="s">
        <v>94</v>
      </c>
      <c r="K4" s="31" t="s">
        <v>7</v>
      </c>
      <c r="M4" s="32" t="s">
        <v>73</v>
      </c>
      <c r="N4" s="32" t="s">
        <v>1</v>
      </c>
      <c r="O4" s="32" t="s">
        <v>77</v>
      </c>
      <c r="P4" s="32" t="s">
        <v>94</v>
      </c>
      <c r="Q4" s="31" t="s">
        <v>7</v>
      </c>
    </row>
    <row r="5" spans="1:17" x14ac:dyDescent="0.25">
      <c r="A5" t="s">
        <v>9</v>
      </c>
      <c r="B5">
        <v>10060026</v>
      </c>
      <c r="C5" t="s">
        <v>11</v>
      </c>
      <c r="D5">
        <v>795</v>
      </c>
      <c r="F5" t="str">
        <f>CONCATENATE(H5,I5)</f>
        <v>100600260002</v>
      </c>
      <c r="G5" s="34" t="s">
        <v>9</v>
      </c>
      <c r="H5" s="34">
        <v>10060026</v>
      </c>
      <c r="I5" t="s">
        <v>11</v>
      </c>
      <c r="J5">
        <v>795</v>
      </c>
      <c r="K5">
        <v>795</v>
      </c>
      <c r="M5" s="34" t="s">
        <v>54</v>
      </c>
      <c r="N5" s="34">
        <v>10060005</v>
      </c>
      <c r="O5" t="s">
        <v>11</v>
      </c>
      <c r="P5">
        <v>16920</v>
      </c>
      <c r="Q5">
        <v>10900</v>
      </c>
    </row>
    <row r="6" spans="1:17" x14ac:dyDescent="0.25">
      <c r="A6" t="s">
        <v>9</v>
      </c>
      <c r="B6">
        <v>10060027</v>
      </c>
      <c r="C6" t="s">
        <v>57</v>
      </c>
      <c r="D6">
        <v>500</v>
      </c>
      <c r="F6" t="str">
        <f t="shared" ref="F6:F36" si="0">CONCATENATE(H6,I6)</f>
        <v>100600270012</v>
      </c>
      <c r="G6" s="34" t="s">
        <v>9</v>
      </c>
      <c r="H6" s="34">
        <v>10060027</v>
      </c>
      <c r="I6" t="s">
        <v>57</v>
      </c>
      <c r="J6">
        <v>500</v>
      </c>
      <c r="K6">
        <v>500</v>
      </c>
      <c r="M6" s="34" t="s">
        <v>54</v>
      </c>
      <c r="N6" s="34">
        <v>10060021</v>
      </c>
      <c r="O6" t="s">
        <v>11</v>
      </c>
      <c r="P6">
        <v>11250</v>
      </c>
      <c r="Q6">
        <v>11250</v>
      </c>
    </row>
    <row r="7" spans="1:17" x14ac:dyDescent="0.25">
      <c r="A7" t="s">
        <v>9</v>
      </c>
      <c r="B7">
        <v>10060027</v>
      </c>
      <c r="C7" t="s">
        <v>70</v>
      </c>
      <c r="D7">
        <v>359</v>
      </c>
      <c r="F7" t="str">
        <f t="shared" si="0"/>
        <v>100600270163</v>
      </c>
      <c r="G7" s="34" t="s">
        <v>9</v>
      </c>
      <c r="H7" s="34">
        <v>10060027</v>
      </c>
      <c r="I7" t="s">
        <v>70</v>
      </c>
      <c r="J7">
        <v>359</v>
      </c>
      <c r="K7">
        <v>98</v>
      </c>
      <c r="M7" s="34" t="s">
        <v>54</v>
      </c>
      <c r="N7" s="34">
        <v>10060062</v>
      </c>
      <c r="O7" t="s">
        <v>11</v>
      </c>
      <c r="P7">
        <v>4200</v>
      </c>
      <c r="Q7">
        <v>4171</v>
      </c>
    </row>
    <row r="8" spans="1:17" x14ac:dyDescent="0.25">
      <c r="A8" t="s">
        <v>9</v>
      </c>
      <c r="B8">
        <v>10060027</v>
      </c>
      <c r="C8" t="s">
        <v>90</v>
      </c>
      <c r="D8">
        <v>853</v>
      </c>
      <c r="F8" t="str">
        <f t="shared" si="0"/>
        <v>100600270165</v>
      </c>
      <c r="G8" s="34" t="s">
        <v>9</v>
      </c>
      <c r="H8" s="34">
        <v>10060027</v>
      </c>
      <c r="I8" t="s">
        <v>90</v>
      </c>
      <c r="J8">
        <v>853</v>
      </c>
      <c r="K8">
        <v>93</v>
      </c>
      <c r="M8" s="34" t="s">
        <v>54</v>
      </c>
      <c r="N8" s="34">
        <v>10130020</v>
      </c>
      <c r="O8" t="s">
        <v>11</v>
      </c>
      <c r="P8">
        <v>470</v>
      </c>
      <c r="Q8">
        <v>470</v>
      </c>
    </row>
    <row r="9" spans="1:17" x14ac:dyDescent="0.25">
      <c r="A9" t="s">
        <v>9</v>
      </c>
      <c r="B9">
        <v>10060027</v>
      </c>
      <c r="C9" t="s">
        <v>71</v>
      </c>
      <c r="D9">
        <v>188</v>
      </c>
      <c r="F9" t="str">
        <f t="shared" si="0"/>
        <v>100600270227</v>
      </c>
      <c r="G9" s="34" t="s">
        <v>9</v>
      </c>
      <c r="H9" s="34">
        <v>10060027</v>
      </c>
      <c r="I9" t="s">
        <v>71</v>
      </c>
      <c r="J9">
        <v>188</v>
      </c>
      <c r="K9">
        <v>99</v>
      </c>
      <c r="M9" s="33" t="s">
        <v>54</v>
      </c>
      <c r="N9" s="34">
        <v>10130058</v>
      </c>
      <c r="O9" t="s">
        <v>11</v>
      </c>
      <c r="P9">
        <v>470</v>
      </c>
      <c r="Q9">
        <v>470</v>
      </c>
    </row>
    <row r="10" spans="1:17" x14ac:dyDescent="0.25">
      <c r="A10" t="s">
        <v>9</v>
      </c>
      <c r="B10">
        <v>10060027</v>
      </c>
      <c r="C10" t="s">
        <v>89</v>
      </c>
      <c r="D10">
        <v>200</v>
      </c>
      <c r="F10" t="str">
        <f t="shared" si="0"/>
        <v>100600270301</v>
      </c>
      <c r="G10" s="34" t="s">
        <v>9</v>
      </c>
      <c r="H10" s="34">
        <v>10060027</v>
      </c>
      <c r="I10" t="s">
        <v>89</v>
      </c>
      <c r="J10">
        <v>200</v>
      </c>
      <c r="K10">
        <v>200</v>
      </c>
      <c r="M10" s="35" t="s">
        <v>97</v>
      </c>
      <c r="N10" s="35"/>
      <c r="O10" s="35"/>
      <c r="P10" s="35">
        <v>33310</v>
      </c>
      <c r="Q10" s="35">
        <f>SUM(Q5:Q9)</f>
        <v>27261</v>
      </c>
    </row>
    <row r="11" spans="1:17" x14ac:dyDescent="0.25">
      <c r="A11" t="s">
        <v>9</v>
      </c>
      <c r="B11">
        <v>10120015</v>
      </c>
      <c r="C11" t="s">
        <v>11</v>
      </c>
      <c r="D11">
        <v>940</v>
      </c>
      <c r="F11" t="str">
        <f t="shared" si="0"/>
        <v>101200150002</v>
      </c>
      <c r="G11" s="34" t="s">
        <v>9</v>
      </c>
      <c r="H11" s="34">
        <v>10120015</v>
      </c>
      <c r="I11" t="s">
        <v>11</v>
      </c>
      <c r="J11">
        <v>940</v>
      </c>
      <c r="K11">
        <v>0</v>
      </c>
      <c r="Q11">
        <f>K37</f>
        <v>21524.5</v>
      </c>
    </row>
    <row r="12" spans="1:17" x14ac:dyDescent="0.25">
      <c r="A12" t="s">
        <v>9</v>
      </c>
      <c r="B12">
        <v>10120015</v>
      </c>
      <c r="C12" t="s">
        <v>78</v>
      </c>
      <c r="D12">
        <v>940</v>
      </c>
      <c r="F12" t="str">
        <f t="shared" si="0"/>
        <v>101200150033</v>
      </c>
      <c r="G12" s="34" t="s">
        <v>9</v>
      </c>
      <c r="H12" s="34">
        <v>10120015</v>
      </c>
      <c r="I12" t="s">
        <v>78</v>
      </c>
      <c r="J12">
        <v>940</v>
      </c>
      <c r="K12">
        <v>940</v>
      </c>
      <c r="Q12">
        <v>5585</v>
      </c>
    </row>
    <row r="13" spans="1:17" x14ac:dyDescent="0.25">
      <c r="A13" t="s">
        <v>9</v>
      </c>
      <c r="B13">
        <v>10120025</v>
      </c>
      <c r="C13" t="s">
        <v>11</v>
      </c>
      <c r="D13">
        <v>4700</v>
      </c>
      <c r="F13" t="str">
        <f t="shared" si="0"/>
        <v>101200250002</v>
      </c>
      <c r="G13" s="34" t="s">
        <v>9</v>
      </c>
      <c r="H13" s="34">
        <v>10120025</v>
      </c>
      <c r="I13" t="s">
        <v>11</v>
      </c>
      <c r="J13">
        <v>4700</v>
      </c>
      <c r="K13">
        <v>4323</v>
      </c>
      <c r="Q13" s="40">
        <f>SUM(Q10:Q12)</f>
        <v>54370.5</v>
      </c>
    </row>
    <row r="14" spans="1:17" x14ac:dyDescent="0.25">
      <c r="A14" t="s">
        <v>9</v>
      </c>
      <c r="B14">
        <v>10120034</v>
      </c>
      <c r="C14" t="s">
        <v>14</v>
      </c>
      <c r="D14">
        <v>1360</v>
      </c>
      <c r="F14" t="str">
        <f t="shared" si="0"/>
        <v>101200340003</v>
      </c>
      <c r="G14" s="34" t="s">
        <v>9</v>
      </c>
      <c r="H14" s="34">
        <v>10120034</v>
      </c>
      <c r="I14" t="s">
        <v>14</v>
      </c>
      <c r="J14">
        <v>1360</v>
      </c>
      <c r="K14">
        <v>0</v>
      </c>
    </row>
    <row r="15" spans="1:17" x14ac:dyDescent="0.25">
      <c r="A15" t="s">
        <v>9</v>
      </c>
      <c r="B15">
        <v>10120083</v>
      </c>
      <c r="C15" t="s">
        <v>11</v>
      </c>
      <c r="D15">
        <v>4700</v>
      </c>
      <c r="F15" t="str">
        <f t="shared" si="0"/>
        <v>101200830002</v>
      </c>
      <c r="G15" s="34" t="s">
        <v>9</v>
      </c>
      <c r="H15" s="34">
        <v>10120083</v>
      </c>
      <c r="I15" t="s">
        <v>11</v>
      </c>
      <c r="J15">
        <v>4700</v>
      </c>
      <c r="K15">
        <v>4700</v>
      </c>
    </row>
    <row r="16" spans="1:17" x14ac:dyDescent="0.25">
      <c r="A16" t="s">
        <v>9</v>
      </c>
      <c r="B16">
        <v>10120094</v>
      </c>
      <c r="C16" t="s">
        <v>11</v>
      </c>
      <c r="D16">
        <v>470</v>
      </c>
      <c r="F16" t="str">
        <f t="shared" si="0"/>
        <v>101200940002</v>
      </c>
      <c r="G16" s="34" t="s">
        <v>9</v>
      </c>
      <c r="H16" s="34">
        <v>10120094</v>
      </c>
      <c r="I16" t="s">
        <v>11</v>
      </c>
      <c r="J16">
        <v>470</v>
      </c>
      <c r="K16">
        <v>470</v>
      </c>
    </row>
    <row r="17" spans="1:11" x14ac:dyDescent="0.25">
      <c r="A17" t="s">
        <v>9</v>
      </c>
      <c r="B17">
        <v>10130006</v>
      </c>
      <c r="C17" t="s">
        <v>19</v>
      </c>
      <c r="D17">
        <v>470</v>
      </c>
      <c r="F17" t="str">
        <f t="shared" si="0"/>
        <v>101300060016</v>
      </c>
      <c r="G17" s="34" t="s">
        <v>9</v>
      </c>
      <c r="H17" s="34">
        <v>10130006</v>
      </c>
      <c r="I17" t="s">
        <v>19</v>
      </c>
      <c r="J17">
        <v>470</v>
      </c>
      <c r="K17">
        <v>143</v>
      </c>
    </row>
    <row r="18" spans="1:11" x14ac:dyDescent="0.25">
      <c r="A18" t="s">
        <v>9</v>
      </c>
      <c r="B18">
        <v>10130054</v>
      </c>
      <c r="C18" t="s">
        <v>24</v>
      </c>
      <c r="D18">
        <v>470</v>
      </c>
      <c r="F18" t="str">
        <f t="shared" si="0"/>
        <v>101300540017</v>
      </c>
      <c r="G18" s="34" t="s">
        <v>9</v>
      </c>
      <c r="H18" s="34">
        <v>10130054</v>
      </c>
      <c r="I18" t="s">
        <v>24</v>
      </c>
      <c r="J18">
        <v>470</v>
      </c>
      <c r="K18">
        <v>470</v>
      </c>
    </row>
    <row r="19" spans="1:11" x14ac:dyDescent="0.25">
      <c r="A19" t="s">
        <v>9</v>
      </c>
      <c r="B19">
        <v>10130054</v>
      </c>
      <c r="C19" t="s">
        <v>23</v>
      </c>
      <c r="D19">
        <v>940</v>
      </c>
      <c r="F19" t="str">
        <f t="shared" si="0"/>
        <v>101300540019</v>
      </c>
      <c r="G19" s="34" t="s">
        <v>9</v>
      </c>
      <c r="H19" s="34">
        <v>10130054</v>
      </c>
      <c r="I19" t="s">
        <v>23</v>
      </c>
      <c r="J19">
        <v>940</v>
      </c>
      <c r="K19">
        <v>940</v>
      </c>
    </row>
    <row r="20" spans="1:11" x14ac:dyDescent="0.25">
      <c r="A20" t="s">
        <v>9</v>
      </c>
      <c r="B20">
        <v>10130077</v>
      </c>
      <c r="C20" t="s">
        <v>11</v>
      </c>
      <c r="D20">
        <v>940</v>
      </c>
      <c r="F20" t="str">
        <f t="shared" si="0"/>
        <v>101300770002</v>
      </c>
      <c r="G20" s="34" t="s">
        <v>9</v>
      </c>
      <c r="H20" s="34">
        <v>10130077</v>
      </c>
      <c r="I20" t="s">
        <v>11</v>
      </c>
      <c r="J20">
        <v>940</v>
      </c>
      <c r="K20">
        <v>396</v>
      </c>
    </row>
    <row r="21" spans="1:11" x14ac:dyDescent="0.25">
      <c r="A21" t="s">
        <v>9</v>
      </c>
      <c r="B21">
        <v>10130093</v>
      </c>
      <c r="C21" t="s">
        <v>11</v>
      </c>
      <c r="D21">
        <v>940</v>
      </c>
      <c r="F21" t="str">
        <f t="shared" si="0"/>
        <v>101300930002</v>
      </c>
      <c r="G21" s="34" t="s">
        <v>9</v>
      </c>
      <c r="H21" s="34">
        <v>10130093</v>
      </c>
      <c r="I21" t="s">
        <v>11</v>
      </c>
      <c r="J21">
        <v>940</v>
      </c>
      <c r="K21">
        <v>940</v>
      </c>
    </row>
    <row r="22" spans="1:11" x14ac:dyDescent="0.25">
      <c r="A22" t="s">
        <v>9</v>
      </c>
      <c r="B22">
        <v>10130097</v>
      </c>
      <c r="C22" t="s">
        <v>11</v>
      </c>
      <c r="D22">
        <v>470</v>
      </c>
      <c r="F22" t="str">
        <f t="shared" si="0"/>
        <v>101300970002</v>
      </c>
      <c r="G22" s="34" t="s">
        <v>9</v>
      </c>
      <c r="H22" s="34">
        <v>10130097</v>
      </c>
      <c r="I22" t="s">
        <v>11</v>
      </c>
      <c r="J22">
        <v>470</v>
      </c>
      <c r="K22">
        <v>470</v>
      </c>
    </row>
    <row r="23" spans="1:11" x14ac:dyDescent="0.25">
      <c r="A23" t="s">
        <v>9</v>
      </c>
      <c r="B23">
        <v>10530035</v>
      </c>
      <c r="C23" t="s">
        <v>14</v>
      </c>
      <c r="D23">
        <v>470</v>
      </c>
      <c r="F23" t="str">
        <f t="shared" si="0"/>
        <v>105300350003</v>
      </c>
      <c r="G23" s="34" t="s">
        <v>9</v>
      </c>
      <c r="H23" s="34">
        <v>10530035</v>
      </c>
      <c r="I23" t="s">
        <v>14</v>
      </c>
      <c r="J23">
        <v>470</v>
      </c>
      <c r="K23">
        <v>470</v>
      </c>
    </row>
    <row r="24" spans="1:11" x14ac:dyDescent="0.25">
      <c r="A24" t="s">
        <v>9</v>
      </c>
      <c r="B24">
        <v>10530035</v>
      </c>
      <c r="C24" t="s">
        <v>85</v>
      </c>
      <c r="D24">
        <v>470</v>
      </c>
      <c r="F24" t="str">
        <f t="shared" si="0"/>
        <v>105300350006</v>
      </c>
      <c r="G24" s="34" t="s">
        <v>9</v>
      </c>
      <c r="H24" s="34">
        <v>10530035</v>
      </c>
      <c r="I24" t="s">
        <v>85</v>
      </c>
      <c r="J24">
        <v>470</v>
      </c>
      <c r="K24">
        <v>198</v>
      </c>
    </row>
    <row r="25" spans="1:11" x14ac:dyDescent="0.25">
      <c r="A25" t="s">
        <v>9</v>
      </c>
      <c r="B25">
        <v>10530035</v>
      </c>
      <c r="C25" t="s">
        <v>24</v>
      </c>
      <c r="D25">
        <v>352.5</v>
      </c>
      <c r="F25" t="str">
        <f t="shared" si="0"/>
        <v>105300350017</v>
      </c>
      <c r="G25" s="34" t="s">
        <v>9</v>
      </c>
      <c r="H25" s="34">
        <v>10530035</v>
      </c>
      <c r="I25" t="s">
        <v>24</v>
      </c>
      <c r="J25">
        <v>352.5</v>
      </c>
      <c r="K25">
        <v>352.5</v>
      </c>
    </row>
    <row r="26" spans="1:11" x14ac:dyDescent="0.25">
      <c r="A26" t="s">
        <v>9</v>
      </c>
      <c r="B26">
        <v>10530035</v>
      </c>
      <c r="C26" t="s">
        <v>84</v>
      </c>
      <c r="D26">
        <v>470</v>
      </c>
      <c r="F26" t="str">
        <f t="shared" si="0"/>
        <v>105300350022</v>
      </c>
      <c r="G26" s="34" t="s">
        <v>9</v>
      </c>
      <c r="H26" s="34">
        <v>10530035</v>
      </c>
      <c r="I26" t="s">
        <v>84</v>
      </c>
      <c r="J26">
        <v>470</v>
      </c>
      <c r="K26">
        <v>470</v>
      </c>
    </row>
    <row r="27" spans="1:11" x14ac:dyDescent="0.25">
      <c r="A27" t="s">
        <v>9</v>
      </c>
      <c r="B27">
        <v>10530055</v>
      </c>
      <c r="C27" t="s">
        <v>83</v>
      </c>
      <c r="D27">
        <v>470</v>
      </c>
      <c r="F27" t="str">
        <f t="shared" si="0"/>
        <v>105300550009</v>
      </c>
      <c r="G27" s="34" t="s">
        <v>9</v>
      </c>
      <c r="H27" s="34">
        <v>10530055</v>
      </c>
      <c r="I27" t="s">
        <v>83</v>
      </c>
      <c r="J27">
        <v>470</v>
      </c>
      <c r="K27">
        <v>444</v>
      </c>
    </row>
    <row r="28" spans="1:11" x14ac:dyDescent="0.25">
      <c r="A28" t="s">
        <v>9</v>
      </c>
      <c r="B28">
        <v>10530055</v>
      </c>
      <c r="C28" t="s">
        <v>81</v>
      </c>
      <c r="D28">
        <v>470</v>
      </c>
      <c r="F28" t="str">
        <f t="shared" si="0"/>
        <v>105300550013</v>
      </c>
      <c r="G28" s="34" t="s">
        <v>9</v>
      </c>
      <c r="H28" s="34">
        <v>10530055</v>
      </c>
      <c r="I28" t="s">
        <v>81</v>
      </c>
      <c r="J28">
        <v>470</v>
      </c>
      <c r="K28">
        <v>470</v>
      </c>
    </row>
    <row r="29" spans="1:11" x14ac:dyDescent="0.25">
      <c r="A29" t="s">
        <v>9</v>
      </c>
      <c r="B29">
        <v>10530055</v>
      </c>
      <c r="C29" t="s">
        <v>23</v>
      </c>
      <c r="D29">
        <v>470</v>
      </c>
      <c r="F29" t="str">
        <f t="shared" si="0"/>
        <v>105300550019</v>
      </c>
      <c r="G29" s="34" t="s">
        <v>9</v>
      </c>
      <c r="H29" s="34">
        <v>10530055</v>
      </c>
      <c r="I29" t="s">
        <v>23</v>
      </c>
      <c r="J29">
        <v>470</v>
      </c>
      <c r="K29">
        <v>470</v>
      </c>
    </row>
    <row r="30" spans="1:11" x14ac:dyDescent="0.25">
      <c r="A30" t="s">
        <v>9</v>
      </c>
      <c r="B30">
        <v>10530055</v>
      </c>
      <c r="C30" t="s">
        <v>79</v>
      </c>
      <c r="D30">
        <v>470</v>
      </c>
      <c r="F30" t="str">
        <f t="shared" si="0"/>
        <v>105300550026</v>
      </c>
      <c r="G30" s="34" t="s">
        <v>9</v>
      </c>
      <c r="H30" s="34">
        <v>10530055</v>
      </c>
      <c r="I30" t="s">
        <v>79</v>
      </c>
      <c r="J30">
        <v>470</v>
      </c>
      <c r="K30">
        <v>332</v>
      </c>
    </row>
    <row r="31" spans="1:11" x14ac:dyDescent="0.25">
      <c r="A31" t="s">
        <v>9</v>
      </c>
      <c r="B31">
        <v>10530055</v>
      </c>
      <c r="C31" t="s">
        <v>80</v>
      </c>
      <c r="D31">
        <v>470</v>
      </c>
      <c r="F31" t="str">
        <f t="shared" si="0"/>
        <v>105300550027</v>
      </c>
      <c r="G31" s="34" t="s">
        <v>9</v>
      </c>
      <c r="H31" s="34">
        <v>10530055</v>
      </c>
      <c r="I31" t="s">
        <v>80</v>
      </c>
      <c r="J31">
        <v>470</v>
      </c>
      <c r="K31">
        <v>470</v>
      </c>
    </row>
    <row r="32" spans="1:11" x14ac:dyDescent="0.25">
      <c r="A32" t="s">
        <v>9</v>
      </c>
      <c r="B32">
        <v>10530055</v>
      </c>
      <c r="C32" t="s">
        <v>82</v>
      </c>
      <c r="D32">
        <v>470</v>
      </c>
      <c r="F32" t="str">
        <f t="shared" si="0"/>
        <v>105300550076</v>
      </c>
      <c r="G32" s="34" t="s">
        <v>9</v>
      </c>
      <c r="H32" s="34">
        <v>10530055</v>
      </c>
      <c r="I32" t="s">
        <v>82</v>
      </c>
      <c r="J32">
        <v>470</v>
      </c>
      <c r="K32">
        <v>470</v>
      </c>
    </row>
    <row r="33" spans="1:11" x14ac:dyDescent="0.25">
      <c r="A33" t="s">
        <v>9</v>
      </c>
      <c r="B33">
        <v>10530076</v>
      </c>
      <c r="C33" t="s">
        <v>14</v>
      </c>
      <c r="D33">
        <v>1410</v>
      </c>
      <c r="F33" t="str">
        <f t="shared" si="0"/>
        <v>105300760003</v>
      </c>
      <c r="G33" s="34" t="s">
        <v>9</v>
      </c>
      <c r="H33" s="34">
        <v>10530076</v>
      </c>
      <c r="I33" t="s">
        <v>14</v>
      </c>
      <c r="J33">
        <v>1410</v>
      </c>
      <c r="K33">
        <v>415</v>
      </c>
    </row>
    <row r="34" spans="1:11" x14ac:dyDescent="0.25">
      <c r="A34" t="s">
        <v>9</v>
      </c>
      <c r="B34">
        <v>10530076</v>
      </c>
      <c r="C34" t="s">
        <v>88</v>
      </c>
      <c r="D34">
        <v>470</v>
      </c>
      <c r="F34" t="str">
        <f t="shared" si="0"/>
        <v>105300760004</v>
      </c>
      <c r="G34" s="34" t="s">
        <v>9</v>
      </c>
      <c r="H34" s="34">
        <v>10530076</v>
      </c>
      <c r="I34" t="s">
        <v>88</v>
      </c>
      <c r="J34">
        <v>470</v>
      </c>
      <c r="K34">
        <v>446</v>
      </c>
    </row>
    <row r="35" spans="1:11" x14ac:dyDescent="0.25">
      <c r="A35" t="s">
        <v>9</v>
      </c>
      <c r="B35">
        <v>10530076</v>
      </c>
      <c r="C35" t="s">
        <v>87</v>
      </c>
      <c r="D35">
        <v>470</v>
      </c>
      <c r="F35" t="str">
        <f t="shared" si="0"/>
        <v>105300760018</v>
      </c>
      <c r="G35" s="34" t="s">
        <v>9</v>
      </c>
      <c r="H35" s="34">
        <v>10530076</v>
      </c>
      <c r="I35" t="s">
        <v>87</v>
      </c>
      <c r="J35">
        <v>470</v>
      </c>
      <c r="K35">
        <v>470</v>
      </c>
    </row>
    <row r="36" spans="1:11" x14ac:dyDescent="0.25">
      <c r="A36" t="s">
        <v>9</v>
      </c>
      <c r="B36">
        <v>10530076</v>
      </c>
      <c r="C36" t="s">
        <v>86</v>
      </c>
      <c r="D36">
        <v>470</v>
      </c>
      <c r="F36" t="str">
        <f t="shared" si="0"/>
        <v>105300760023</v>
      </c>
      <c r="G36" s="33" t="s">
        <v>9</v>
      </c>
      <c r="H36" s="34">
        <v>10530076</v>
      </c>
      <c r="I36" t="s">
        <v>86</v>
      </c>
      <c r="J36">
        <v>470</v>
      </c>
      <c r="K36">
        <v>470</v>
      </c>
    </row>
    <row r="37" spans="1:11" x14ac:dyDescent="0.25">
      <c r="A37" t="s">
        <v>96</v>
      </c>
      <c r="D37">
        <v>27637.5</v>
      </c>
      <c r="F37" s="35" t="s">
        <v>96</v>
      </c>
      <c r="G37" s="35"/>
      <c r="H37" s="35"/>
      <c r="I37" s="35"/>
      <c r="J37" s="35">
        <v>27637.5</v>
      </c>
      <c r="K37" s="35">
        <f>SUM(K5:K36)</f>
        <v>21524.5</v>
      </c>
    </row>
    <row r="38" spans="1:11" x14ac:dyDescent="0.25">
      <c r="A38" t="s">
        <v>54</v>
      </c>
      <c r="B38">
        <v>10060005</v>
      </c>
      <c r="C38" t="s">
        <v>11</v>
      </c>
      <c r="D38">
        <v>16920</v>
      </c>
    </row>
    <row r="39" spans="1:11" x14ac:dyDescent="0.25">
      <c r="A39" t="s">
        <v>54</v>
      </c>
      <c r="B39">
        <v>10060021</v>
      </c>
      <c r="C39" t="s">
        <v>11</v>
      </c>
      <c r="D39">
        <v>11250</v>
      </c>
    </row>
    <row r="40" spans="1:11" x14ac:dyDescent="0.25">
      <c r="A40" t="s">
        <v>54</v>
      </c>
      <c r="B40">
        <v>10060062</v>
      </c>
      <c r="C40" t="s">
        <v>11</v>
      </c>
      <c r="D40">
        <v>4200</v>
      </c>
    </row>
    <row r="41" spans="1:11" x14ac:dyDescent="0.25">
      <c r="A41" t="s">
        <v>54</v>
      </c>
      <c r="B41">
        <v>10130020</v>
      </c>
      <c r="C41" t="s">
        <v>11</v>
      </c>
      <c r="D41">
        <v>470</v>
      </c>
      <c r="K41" s="40"/>
    </row>
    <row r="42" spans="1:11" x14ac:dyDescent="0.25">
      <c r="A42" t="s">
        <v>54</v>
      </c>
      <c r="B42">
        <v>10130058</v>
      </c>
      <c r="C42" t="s">
        <v>11</v>
      </c>
      <c r="D42">
        <v>470</v>
      </c>
    </row>
    <row r="43" spans="1:11" x14ac:dyDescent="0.25">
      <c r="A43" t="s">
        <v>97</v>
      </c>
      <c r="D43">
        <v>33310</v>
      </c>
    </row>
    <row r="44" spans="1:11" x14ac:dyDescent="0.25">
      <c r="A44" t="s">
        <v>95</v>
      </c>
      <c r="B44">
        <v>10130090</v>
      </c>
      <c r="C44" t="s">
        <v>11</v>
      </c>
      <c r="D44">
        <v>470</v>
      </c>
    </row>
    <row r="45" spans="1:11" x14ac:dyDescent="0.25">
      <c r="A45" t="s">
        <v>98</v>
      </c>
      <c r="D45">
        <v>470</v>
      </c>
    </row>
    <row r="46" spans="1:11" x14ac:dyDescent="0.25">
      <c r="A46" t="s">
        <v>92</v>
      </c>
      <c r="D46">
        <v>61417.5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46"/>
  <sheetViews>
    <sheetView topLeftCell="A13" workbookViewId="0">
      <selection activeCell="F37" sqref="F37"/>
    </sheetView>
  </sheetViews>
  <sheetFormatPr defaultRowHeight="15" x14ac:dyDescent="0.25"/>
  <cols>
    <col min="2" max="2" width="16.28515625" bestFit="1" customWidth="1"/>
    <col min="3" max="3" width="11.140625" bestFit="1" customWidth="1"/>
    <col min="4" max="5" width="13.140625" bestFit="1" customWidth="1"/>
    <col min="6" max="6" width="7.85546875" bestFit="1" customWidth="1"/>
    <col min="7" max="7" width="13.42578125" bestFit="1" customWidth="1"/>
    <col min="8" max="8" width="14.42578125" style="18" bestFit="1" customWidth="1"/>
    <col min="9" max="9" width="12.7109375" style="18" bestFit="1" customWidth="1"/>
    <col min="10" max="10" width="4.5703125" style="18" bestFit="1" customWidth="1"/>
    <col min="11" max="11" width="5" bestFit="1" customWidth="1"/>
    <col min="12" max="12" width="8.140625" bestFit="1" customWidth="1"/>
    <col min="13" max="13" width="10.140625" bestFit="1" customWidth="1"/>
  </cols>
  <sheetData>
    <row r="3" spans="2:13" ht="18.75" x14ac:dyDescent="0.3">
      <c r="B3" s="22"/>
      <c r="C3" s="23" t="s">
        <v>0</v>
      </c>
      <c r="D3" s="23" t="s">
        <v>91</v>
      </c>
      <c r="E3" s="24" t="s">
        <v>1</v>
      </c>
      <c r="F3" s="24" t="s">
        <v>73</v>
      </c>
      <c r="G3" s="24" t="s">
        <v>74</v>
      </c>
      <c r="H3" s="24" t="s">
        <v>3</v>
      </c>
      <c r="I3" s="24" t="s">
        <v>77</v>
      </c>
      <c r="J3" s="24" t="s">
        <v>4</v>
      </c>
      <c r="K3" s="24" t="s">
        <v>5</v>
      </c>
      <c r="L3" s="24" t="s">
        <v>6</v>
      </c>
      <c r="M3" s="1" t="s">
        <v>7</v>
      </c>
    </row>
    <row r="4" spans="2:13" x14ac:dyDescent="0.25">
      <c r="B4" s="2" t="s">
        <v>76</v>
      </c>
      <c r="C4" s="2" t="s">
        <v>8</v>
      </c>
      <c r="D4" s="2" t="str">
        <f t="shared" ref="D4:D45" si="0">CONCATENATE(E4,I4)</f>
        <v>101200940002</v>
      </c>
      <c r="E4" s="29">
        <v>10120094</v>
      </c>
      <c r="F4" s="3" t="s">
        <v>9</v>
      </c>
      <c r="G4" s="3" t="e">
        <v>#REF!</v>
      </c>
      <c r="H4" s="3" t="s">
        <v>10</v>
      </c>
      <c r="I4" s="4" t="s">
        <v>11</v>
      </c>
      <c r="J4" s="3">
        <v>2</v>
      </c>
      <c r="K4" s="3">
        <v>235</v>
      </c>
      <c r="L4" s="2">
        <v>470</v>
      </c>
      <c r="M4" s="2"/>
    </row>
    <row r="5" spans="2:13" x14ac:dyDescent="0.25">
      <c r="B5" s="2" t="s">
        <v>76</v>
      </c>
      <c r="C5" s="2" t="s">
        <v>8</v>
      </c>
      <c r="D5" s="2" t="str">
        <f t="shared" si="0"/>
        <v>101200830002</v>
      </c>
      <c r="E5" s="29">
        <v>10120083</v>
      </c>
      <c r="F5" s="3" t="s">
        <v>9</v>
      </c>
      <c r="G5" s="3" t="e">
        <v>#REF!</v>
      </c>
      <c r="H5" s="3" t="s">
        <v>12</v>
      </c>
      <c r="I5" s="4" t="s">
        <v>11</v>
      </c>
      <c r="J5" s="3">
        <v>20</v>
      </c>
      <c r="K5" s="3">
        <v>235</v>
      </c>
      <c r="L5" s="2">
        <v>4700</v>
      </c>
      <c r="M5" s="2"/>
    </row>
    <row r="6" spans="2:13" x14ac:dyDescent="0.25">
      <c r="B6" s="2" t="s">
        <v>76</v>
      </c>
      <c r="C6" s="2" t="s">
        <v>8</v>
      </c>
      <c r="D6" s="2" t="str">
        <f t="shared" si="0"/>
        <v>101200340003</v>
      </c>
      <c r="E6" s="29">
        <v>10120034</v>
      </c>
      <c r="F6" s="3" t="s">
        <v>9</v>
      </c>
      <c r="G6" s="3" t="e">
        <v>#REF!</v>
      </c>
      <c r="H6" s="3" t="s">
        <v>13</v>
      </c>
      <c r="I6" s="4" t="s">
        <v>14</v>
      </c>
      <c r="J6" s="3">
        <v>2</v>
      </c>
      <c r="K6" s="3">
        <v>680</v>
      </c>
      <c r="L6" s="2">
        <v>1360</v>
      </c>
      <c r="M6" s="2"/>
    </row>
    <row r="7" spans="2:13" x14ac:dyDescent="0.25">
      <c r="B7" s="2" t="s">
        <v>76</v>
      </c>
      <c r="C7" s="2" t="s">
        <v>8</v>
      </c>
      <c r="D7" s="2" t="str">
        <f t="shared" si="0"/>
        <v>101200150033</v>
      </c>
      <c r="E7" s="29">
        <v>10120015</v>
      </c>
      <c r="F7" s="3" t="s">
        <v>9</v>
      </c>
      <c r="G7" s="3" t="s">
        <v>35</v>
      </c>
      <c r="H7" s="3" t="s">
        <v>15</v>
      </c>
      <c r="I7" s="4" t="s">
        <v>78</v>
      </c>
      <c r="J7" s="3">
        <v>4</v>
      </c>
      <c r="K7" s="3">
        <v>235</v>
      </c>
      <c r="L7" s="2">
        <f>J7*K7</f>
        <v>940</v>
      </c>
      <c r="M7" s="2"/>
    </row>
    <row r="8" spans="2:13" x14ac:dyDescent="0.25">
      <c r="B8" s="2" t="s">
        <v>76</v>
      </c>
      <c r="C8" s="2" t="s">
        <v>8</v>
      </c>
      <c r="D8" s="2" t="str">
        <f t="shared" si="0"/>
        <v>101200150002</v>
      </c>
      <c r="E8" s="29">
        <v>10120015</v>
      </c>
      <c r="F8" s="3" t="s">
        <v>9</v>
      </c>
      <c r="G8" s="3" t="e">
        <v>#REF!</v>
      </c>
      <c r="H8" s="3" t="s">
        <v>15</v>
      </c>
      <c r="I8" s="3" t="s">
        <v>11</v>
      </c>
      <c r="J8" s="3">
        <v>4</v>
      </c>
      <c r="K8" s="3">
        <v>235</v>
      </c>
      <c r="L8" s="2">
        <f>J8*K8</f>
        <v>940</v>
      </c>
      <c r="M8" s="2"/>
    </row>
    <row r="9" spans="2:13" x14ac:dyDescent="0.25">
      <c r="B9" s="2" t="s">
        <v>76</v>
      </c>
      <c r="C9" s="2" t="s">
        <v>8</v>
      </c>
      <c r="D9" s="2" t="str">
        <f t="shared" si="0"/>
        <v>101200250002</v>
      </c>
      <c r="E9" s="29">
        <v>10120025</v>
      </c>
      <c r="F9" s="3" t="s">
        <v>9</v>
      </c>
      <c r="G9" s="3" t="e">
        <v>#REF!</v>
      </c>
      <c r="H9" s="3" t="s">
        <v>16</v>
      </c>
      <c r="I9" s="4" t="s">
        <v>11</v>
      </c>
      <c r="J9" s="3">
        <v>20</v>
      </c>
      <c r="K9" s="3">
        <v>235</v>
      </c>
      <c r="L9" s="2">
        <v>4700</v>
      </c>
      <c r="M9" s="2"/>
    </row>
    <row r="10" spans="2:13" x14ac:dyDescent="0.25">
      <c r="B10" s="2" t="s">
        <v>76</v>
      </c>
      <c r="C10" s="2" t="s">
        <v>17</v>
      </c>
      <c r="D10" s="2" t="str">
        <f t="shared" si="0"/>
        <v>101300060016</v>
      </c>
      <c r="E10" s="29">
        <v>10130006</v>
      </c>
      <c r="F10" s="3" t="s">
        <v>9</v>
      </c>
      <c r="G10" s="3" t="e">
        <v>#REF!</v>
      </c>
      <c r="H10" s="3" t="s">
        <v>18</v>
      </c>
      <c r="I10" s="4" t="s">
        <v>19</v>
      </c>
      <c r="J10" s="3">
        <v>2</v>
      </c>
      <c r="K10" s="2">
        <v>235</v>
      </c>
      <c r="L10" s="5">
        <v>470</v>
      </c>
      <c r="M10" s="2"/>
    </row>
    <row r="11" spans="2:13" x14ac:dyDescent="0.25">
      <c r="B11" s="2" t="s">
        <v>76</v>
      </c>
      <c r="C11" s="2" t="s">
        <v>17</v>
      </c>
      <c r="D11" s="2" t="str">
        <f t="shared" si="0"/>
        <v>101300970002</v>
      </c>
      <c r="E11" s="29">
        <v>10130097</v>
      </c>
      <c r="F11" s="3" t="s">
        <v>9</v>
      </c>
      <c r="G11" s="3" t="e">
        <v>#REF!</v>
      </c>
      <c r="H11" s="3" t="s">
        <v>20</v>
      </c>
      <c r="I11" s="4" t="s">
        <v>11</v>
      </c>
      <c r="J11" s="3">
        <v>2</v>
      </c>
      <c r="K11" s="2">
        <v>235</v>
      </c>
      <c r="L11" s="5">
        <v>470</v>
      </c>
      <c r="M11" s="2"/>
    </row>
    <row r="12" spans="2:13" x14ac:dyDescent="0.25">
      <c r="B12" s="2" t="s">
        <v>76</v>
      </c>
      <c r="C12" s="2" t="s">
        <v>17</v>
      </c>
      <c r="D12" s="2" t="str">
        <f t="shared" si="0"/>
        <v>101300540019</v>
      </c>
      <c r="E12" s="29">
        <v>10130054</v>
      </c>
      <c r="F12" s="3" t="s">
        <v>9</v>
      </c>
      <c r="G12" s="3" t="e">
        <v>#REF!</v>
      </c>
      <c r="H12" s="3" t="s">
        <v>22</v>
      </c>
      <c r="I12" s="4" t="s">
        <v>23</v>
      </c>
      <c r="J12" s="3">
        <v>4</v>
      </c>
      <c r="K12" s="2">
        <v>235</v>
      </c>
      <c r="L12" s="5">
        <v>940</v>
      </c>
      <c r="M12" s="2"/>
    </row>
    <row r="13" spans="2:13" x14ac:dyDescent="0.25">
      <c r="B13" s="2" t="s">
        <v>76</v>
      </c>
      <c r="C13" s="2" t="s">
        <v>17</v>
      </c>
      <c r="D13" s="2" t="str">
        <f t="shared" si="0"/>
        <v>101300540017</v>
      </c>
      <c r="E13" s="29">
        <v>10130054</v>
      </c>
      <c r="F13" s="3" t="s">
        <v>9</v>
      </c>
      <c r="G13" s="3" t="e">
        <v>#REF!</v>
      </c>
      <c r="H13" s="3" t="s">
        <v>22</v>
      </c>
      <c r="I13" s="4" t="s">
        <v>24</v>
      </c>
      <c r="J13" s="3">
        <v>2</v>
      </c>
      <c r="K13" s="2">
        <v>235</v>
      </c>
      <c r="L13" s="5">
        <v>470</v>
      </c>
      <c r="M13" s="2"/>
    </row>
    <row r="14" spans="2:13" x14ac:dyDescent="0.25">
      <c r="B14" s="2" t="s">
        <v>76</v>
      </c>
      <c r="C14" s="2" t="s">
        <v>17</v>
      </c>
      <c r="D14" s="2" t="str">
        <f t="shared" si="0"/>
        <v>101300930002</v>
      </c>
      <c r="E14" s="29">
        <v>10130093</v>
      </c>
      <c r="F14" s="3" t="s">
        <v>9</v>
      </c>
      <c r="G14" s="3" t="e">
        <v>#REF!</v>
      </c>
      <c r="H14" s="3" t="s">
        <v>27</v>
      </c>
      <c r="I14" s="4" t="s">
        <v>11</v>
      </c>
      <c r="J14" s="3">
        <v>4</v>
      </c>
      <c r="K14" s="2">
        <v>235</v>
      </c>
      <c r="L14" s="5">
        <v>940</v>
      </c>
      <c r="M14" s="2"/>
    </row>
    <row r="15" spans="2:13" x14ac:dyDescent="0.25">
      <c r="B15" s="2" t="s">
        <v>76</v>
      </c>
      <c r="C15" s="2" t="s">
        <v>17</v>
      </c>
      <c r="D15" s="2" t="str">
        <f t="shared" si="0"/>
        <v>101300770002</v>
      </c>
      <c r="E15" s="29">
        <v>10130077</v>
      </c>
      <c r="F15" s="3" t="s">
        <v>9</v>
      </c>
      <c r="G15" s="3" t="e">
        <v>#REF!</v>
      </c>
      <c r="H15" s="3" t="s">
        <v>28</v>
      </c>
      <c r="I15" s="4" t="s">
        <v>11</v>
      </c>
      <c r="J15" s="3">
        <v>4</v>
      </c>
      <c r="K15" s="2">
        <v>235</v>
      </c>
      <c r="L15" s="5">
        <v>940</v>
      </c>
      <c r="M15" s="2"/>
    </row>
    <row r="16" spans="2:13" x14ac:dyDescent="0.25">
      <c r="B16" s="2" t="s">
        <v>76</v>
      </c>
      <c r="C16" s="2" t="s">
        <v>44</v>
      </c>
      <c r="D16" s="2" t="str">
        <f t="shared" si="0"/>
        <v>105300550026</v>
      </c>
      <c r="E16" s="29">
        <v>10530055</v>
      </c>
      <c r="F16" s="3" t="s">
        <v>9</v>
      </c>
      <c r="G16" s="3" t="e">
        <v>#REF!</v>
      </c>
      <c r="H16" s="3" t="s">
        <v>61</v>
      </c>
      <c r="I16" s="4" t="s">
        <v>79</v>
      </c>
      <c r="J16" s="3">
        <v>2</v>
      </c>
      <c r="K16" s="2">
        <v>235</v>
      </c>
      <c r="L16" s="2">
        <f t="shared" ref="L16:L30" si="1">J16*K16</f>
        <v>470</v>
      </c>
      <c r="M16" s="2"/>
    </row>
    <row r="17" spans="2:13" x14ac:dyDescent="0.25">
      <c r="B17" s="2" t="s">
        <v>76</v>
      </c>
      <c r="C17" s="2" t="s">
        <v>44</v>
      </c>
      <c r="D17" s="2" t="str">
        <f t="shared" si="0"/>
        <v>105300550027</v>
      </c>
      <c r="E17" s="29">
        <v>10530055</v>
      </c>
      <c r="F17" s="3" t="s">
        <v>9</v>
      </c>
      <c r="G17" s="3" t="e">
        <v>#REF!</v>
      </c>
      <c r="H17" s="3" t="s">
        <v>61</v>
      </c>
      <c r="I17" s="4" t="s">
        <v>80</v>
      </c>
      <c r="J17" s="3">
        <v>2</v>
      </c>
      <c r="K17" s="2">
        <v>235</v>
      </c>
      <c r="L17" s="2">
        <f t="shared" si="1"/>
        <v>470</v>
      </c>
      <c r="M17" s="2"/>
    </row>
    <row r="18" spans="2:13" x14ac:dyDescent="0.25">
      <c r="B18" s="2" t="s">
        <v>76</v>
      </c>
      <c r="C18" s="2" t="s">
        <v>44</v>
      </c>
      <c r="D18" s="2" t="str">
        <f t="shared" si="0"/>
        <v>105300550013</v>
      </c>
      <c r="E18" s="29">
        <v>10530055</v>
      </c>
      <c r="F18" s="3" t="s">
        <v>9</v>
      </c>
      <c r="G18" s="3" t="e">
        <v>#REF!</v>
      </c>
      <c r="H18" s="3" t="s">
        <v>61</v>
      </c>
      <c r="I18" s="4" t="s">
        <v>81</v>
      </c>
      <c r="J18" s="3">
        <v>2</v>
      </c>
      <c r="K18" s="2">
        <v>235</v>
      </c>
      <c r="L18" s="2">
        <f t="shared" si="1"/>
        <v>470</v>
      </c>
      <c r="M18" s="2"/>
    </row>
    <row r="19" spans="2:13" x14ac:dyDescent="0.25">
      <c r="B19" s="2" t="s">
        <v>76</v>
      </c>
      <c r="C19" s="2" t="s">
        <v>44</v>
      </c>
      <c r="D19" s="2" t="str">
        <f t="shared" si="0"/>
        <v>105300550076</v>
      </c>
      <c r="E19" s="29">
        <v>10530055</v>
      </c>
      <c r="F19" s="3" t="s">
        <v>9</v>
      </c>
      <c r="G19" s="3" t="e">
        <v>#REF!</v>
      </c>
      <c r="H19" s="3" t="s">
        <v>61</v>
      </c>
      <c r="I19" s="4" t="s">
        <v>82</v>
      </c>
      <c r="J19" s="3">
        <v>2</v>
      </c>
      <c r="K19" s="2">
        <v>235</v>
      </c>
      <c r="L19" s="2">
        <f t="shared" si="1"/>
        <v>470</v>
      </c>
      <c r="M19" s="2"/>
    </row>
    <row r="20" spans="2:13" x14ac:dyDescent="0.25">
      <c r="B20" s="2" t="s">
        <v>76</v>
      </c>
      <c r="C20" s="2" t="s">
        <v>44</v>
      </c>
      <c r="D20" s="2" t="str">
        <f t="shared" si="0"/>
        <v>105300550019</v>
      </c>
      <c r="E20" s="29">
        <v>10530055</v>
      </c>
      <c r="F20" s="3" t="s">
        <v>9</v>
      </c>
      <c r="G20" s="3" t="e">
        <v>#REF!</v>
      </c>
      <c r="H20" s="3" t="s">
        <v>61</v>
      </c>
      <c r="I20" s="4" t="s">
        <v>23</v>
      </c>
      <c r="J20" s="3">
        <v>2</v>
      </c>
      <c r="K20" s="2">
        <v>235</v>
      </c>
      <c r="L20" s="2">
        <f t="shared" si="1"/>
        <v>470</v>
      </c>
      <c r="M20" s="2"/>
    </row>
    <row r="21" spans="2:13" x14ac:dyDescent="0.25">
      <c r="B21" s="2" t="s">
        <v>76</v>
      </c>
      <c r="C21" s="2" t="s">
        <v>44</v>
      </c>
      <c r="D21" s="2" t="str">
        <f t="shared" si="0"/>
        <v>105300550009</v>
      </c>
      <c r="E21" s="29">
        <v>10530055</v>
      </c>
      <c r="F21" s="3" t="s">
        <v>9</v>
      </c>
      <c r="G21" s="3" t="e">
        <v>#REF!</v>
      </c>
      <c r="H21" s="3" t="s">
        <v>61</v>
      </c>
      <c r="I21" s="4" t="s">
        <v>83</v>
      </c>
      <c r="J21" s="3">
        <v>2</v>
      </c>
      <c r="K21" s="2">
        <v>235</v>
      </c>
      <c r="L21" s="2">
        <f t="shared" si="1"/>
        <v>470</v>
      </c>
      <c r="M21" s="2"/>
    </row>
    <row r="22" spans="2:13" x14ac:dyDescent="0.25">
      <c r="B22" s="2" t="s">
        <v>76</v>
      </c>
      <c r="C22" s="2" t="s">
        <v>44</v>
      </c>
      <c r="D22" s="2" t="str">
        <f t="shared" si="0"/>
        <v>105300350003</v>
      </c>
      <c r="E22" s="29">
        <v>10530035</v>
      </c>
      <c r="F22" s="3" t="s">
        <v>9</v>
      </c>
      <c r="G22" s="3" t="e">
        <v>#REF!</v>
      </c>
      <c r="H22" s="3" t="s">
        <v>62</v>
      </c>
      <c r="I22" s="4" t="s">
        <v>14</v>
      </c>
      <c r="J22" s="3">
        <v>2</v>
      </c>
      <c r="K22" s="2">
        <v>235</v>
      </c>
      <c r="L22" s="2">
        <f t="shared" si="1"/>
        <v>470</v>
      </c>
      <c r="M22" s="2"/>
    </row>
    <row r="23" spans="2:13" x14ac:dyDescent="0.25">
      <c r="B23" s="2" t="s">
        <v>76</v>
      </c>
      <c r="C23" s="2" t="s">
        <v>44</v>
      </c>
      <c r="D23" s="2" t="str">
        <f t="shared" si="0"/>
        <v>105300350022</v>
      </c>
      <c r="E23" s="29">
        <v>10530035</v>
      </c>
      <c r="F23" s="3" t="s">
        <v>9</v>
      </c>
      <c r="G23" s="3" t="e">
        <v>#REF!</v>
      </c>
      <c r="H23" s="3" t="s">
        <v>62</v>
      </c>
      <c r="I23" s="4" t="s">
        <v>84</v>
      </c>
      <c r="J23" s="3">
        <v>2</v>
      </c>
      <c r="K23" s="2">
        <v>235</v>
      </c>
      <c r="L23" s="2">
        <f t="shared" si="1"/>
        <v>470</v>
      </c>
      <c r="M23" s="2"/>
    </row>
    <row r="24" spans="2:13" x14ac:dyDescent="0.25">
      <c r="B24" s="2" t="s">
        <v>76</v>
      </c>
      <c r="C24" s="2" t="s">
        <v>44</v>
      </c>
      <c r="D24" s="2" t="str">
        <f t="shared" si="0"/>
        <v>105300350017</v>
      </c>
      <c r="E24" s="29">
        <v>10530035</v>
      </c>
      <c r="F24" s="3" t="s">
        <v>9</v>
      </c>
      <c r="G24" s="3" t="e">
        <v>#REF!</v>
      </c>
      <c r="H24" s="3" t="s">
        <v>62</v>
      </c>
      <c r="I24" s="4" t="s">
        <v>24</v>
      </c>
      <c r="J24" s="3">
        <v>1.5</v>
      </c>
      <c r="K24" s="2">
        <v>235</v>
      </c>
      <c r="L24" s="2">
        <f t="shared" si="1"/>
        <v>352.5</v>
      </c>
      <c r="M24" s="2"/>
    </row>
    <row r="25" spans="2:13" x14ac:dyDescent="0.25">
      <c r="B25" s="2" t="s">
        <v>76</v>
      </c>
      <c r="C25" s="2" t="s">
        <v>44</v>
      </c>
      <c r="D25" s="2" t="str">
        <f t="shared" si="0"/>
        <v>105300350006</v>
      </c>
      <c r="E25" s="29">
        <v>10530035</v>
      </c>
      <c r="F25" s="3" t="s">
        <v>9</v>
      </c>
      <c r="G25" s="3" t="e">
        <v>#REF!</v>
      </c>
      <c r="H25" s="3" t="s">
        <v>62</v>
      </c>
      <c r="I25" s="4" t="s">
        <v>85</v>
      </c>
      <c r="J25" s="3">
        <v>2</v>
      </c>
      <c r="K25" s="2">
        <v>235</v>
      </c>
      <c r="L25" s="2">
        <f t="shared" si="1"/>
        <v>470</v>
      </c>
      <c r="M25" s="2"/>
    </row>
    <row r="26" spans="2:13" x14ac:dyDescent="0.25">
      <c r="B26" s="2" t="s">
        <v>76</v>
      </c>
      <c r="C26" s="2" t="s">
        <v>44</v>
      </c>
      <c r="D26" s="2" t="str">
        <f t="shared" si="0"/>
        <v>105300760023</v>
      </c>
      <c r="E26" s="29">
        <v>10530076</v>
      </c>
      <c r="F26" s="3" t="s">
        <v>9</v>
      </c>
      <c r="G26" s="3" t="e">
        <v>#REF!</v>
      </c>
      <c r="H26" s="3" t="s">
        <v>63</v>
      </c>
      <c r="I26" s="4" t="s">
        <v>86</v>
      </c>
      <c r="J26" s="3">
        <v>2</v>
      </c>
      <c r="K26" s="2">
        <v>235</v>
      </c>
      <c r="L26" s="2">
        <f t="shared" si="1"/>
        <v>470</v>
      </c>
      <c r="M26" s="2"/>
    </row>
    <row r="27" spans="2:13" x14ac:dyDescent="0.25">
      <c r="B27" s="2" t="s">
        <v>76</v>
      </c>
      <c r="C27" s="2" t="s">
        <v>44</v>
      </c>
      <c r="D27" s="2" t="str">
        <f t="shared" si="0"/>
        <v>105300760018</v>
      </c>
      <c r="E27" s="29">
        <v>10530076</v>
      </c>
      <c r="F27" s="3" t="s">
        <v>9</v>
      </c>
      <c r="G27" s="3" t="e">
        <v>#REF!</v>
      </c>
      <c r="H27" s="3" t="s">
        <v>63</v>
      </c>
      <c r="I27" s="4" t="s">
        <v>87</v>
      </c>
      <c r="J27" s="3">
        <v>2</v>
      </c>
      <c r="K27" s="2">
        <v>235</v>
      </c>
      <c r="L27" s="2">
        <f t="shared" si="1"/>
        <v>470</v>
      </c>
      <c r="M27" s="2"/>
    </row>
    <row r="28" spans="2:13" x14ac:dyDescent="0.25">
      <c r="B28" s="2" t="s">
        <v>76</v>
      </c>
      <c r="C28" s="2" t="s">
        <v>44</v>
      </c>
      <c r="D28" s="2" t="str">
        <f t="shared" si="0"/>
        <v>105300760004</v>
      </c>
      <c r="E28" s="29">
        <v>10530076</v>
      </c>
      <c r="F28" s="3" t="s">
        <v>9</v>
      </c>
      <c r="G28" s="3" t="e">
        <v>#REF!</v>
      </c>
      <c r="H28" s="3" t="s">
        <v>63</v>
      </c>
      <c r="I28" s="4" t="s">
        <v>88</v>
      </c>
      <c r="J28" s="3">
        <v>2</v>
      </c>
      <c r="K28" s="2">
        <v>235</v>
      </c>
      <c r="L28" s="2">
        <f t="shared" si="1"/>
        <v>470</v>
      </c>
      <c r="M28" s="2"/>
    </row>
    <row r="29" spans="2:13" x14ac:dyDescent="0.25">
      <c r="B29" s="2" t="s">
        <v>76</v>
      </c>
      <c r="C29" s="2" t="s">
        <v>44</v>
      </c>
      <c r="D29" s="2" t="str">
        <f t="shared" si="0"/>
        <v>105300760003</v>
      </c>
      <c r="E29" s="29">
        <v>10530076</v>
      </c>
      <c r="F29" s="3" t="s">
        <v>9</v>
      </c>
      <c r="G29" s="3" t="e">
        <v>#REF!</v>
      </c>
      <c r="H29" s="3" t="s">
        <v>63</v>
      </c>
      <c r="I29" s="4" t="s">
        <v>14</v>
      </c>
      <c r="J29" s="3">
        <v>6</v>
      </c>
      <c r="K29" s="2">
        <v>235</v>
      </c>
      <c r="L29" s="2">
        <f t="shared" si="1"/>
        <v>1410</v>
      </c>
      <c r="M29" s="2"/>
    </row>
    <row r="30" spans="2:13" x14ac:dyDescent="0.25">
      <c r="B30" s="2" t="s">
        <v>76</v>
      </c>
      <c r="C30" s="2" t="s">
        <v>64</v>
      </c>
      <c r="D30" s="2" t="str">
        <f t="shared" si="0"/>
        <v>100600260002</v>
      </c>
      <c r="E30" s="29">
        <v>10060026</v>
      </c>
      <c r="F30" s="3" t="s">
        <v>9</v>
      </c>
      <c r="G30" s="3" t="e">
        <v>#REF!</v>
      </c>
      <c r="H30" s="3" t="s">
        <v>68</v>
      </c>
      <c r="I30" s="4" t="s">
        <v>11</v>
      </c>
      <c r="J30" s="3">
        <v>40</v>
      </c>
      <c r="K30" s="2">
        <v>14</v>
      </c>
      <c r="L30" s="2">
        <f t="shared" si="1"/>
        <v>560</v>
      </c>
      <c r="M30" s="2"/>
    </row>
    <row r="31" spans="2:13" x14ac:dyDescent="0.25">
      <c r="B31" s="2" t="s">
        <v>76</v>
      </c>
      <c r="C31" s="2" t="s">
        <v>64</v>
      </c>
      <c r="D31" s="2" t="str">
        <f t="shared" si="0"/>
        <v>100600260002</v>
      </c>
      <c r="E31" s="29">
        <v>10060026</v>
      </c>
      <c r="F31" s="3" t="s">
        <v>9</v>
      </c>
      <c r="G31" s="3" t="e">
        <v>#REF!</v>
      </c>
      <c r="H31" s="3" t="s">
        <v>68</v>
      </c>
      <c r="I31" s="4" t="s">
        <v>11</v>
      </c>
      <c r="J31" s="3">
        <v>20</v>
      </c>
      <c r="K31" s="2">
        <v>20</v>
      </c>
      <c r="L31" s="2">
        <v>235</v>
      </c>
      <c r="M31" s="2"/>
    </row>
    <row r="32" spans="2:13" x14ac:dyDescent="0.25">
      <c r="B32" s="2" t="s">
        <v>76</v>
      </c>
      <c r="C32" s="2" t="s">
        <v>64</v>
      </c>
      <c r="D32" s="2" t="str">
        <f t="shared" si="0"/>
        <v>100600270163</v>
      </c>
      <c r="E32" s="29">
        <v>10060027</v>
      </c>
      <c r="F32" s="3" t="s">
        <v>9</v>
      </c>
      <c r="G32" s="3" t="e">
        <v>#REF!</v>
      </c>
      <c r="H32" s="3" t="s">
        <v>69</v>
      </c>
      <c r="I32" s="4" t="s">
        <v>70</v>
      </c>
      <c r="J32" s="3"/>
      <c r="K32" s="2"/>
      <c r="L32" s="2">
        <v>359</v>
      </c>
      <c r="M32" s="2"/>
    </row>
    <row r="33" spans="2:13" x14ac:dyDescent="0.25">
      <c r="B33" s="2" t="s">
        <v>76</v>
      </c>
      <c r="C33" s="2" t="s">
        <v>64</v>
      </c>
      <c r="D33" s="2" t="str">
        <f t="shared" si="0"/>
        <v>100600270012</v>
      </c>
      <c r="E33" s="29">
        <v>10060027</v>
      </c>
      <c r="F33" s="3" t="s">
        <v>9</v>
      </c>
      <c r="G33" s="3" t="e">
        <v>#REF!</v>
      </c>
      <c r="H33" s="3" t="s">
        <v>69</v>
      </c>
      <c r="I33" s="4" t="s">
        <v>57</v>
      </c>
      <c r="J33" s="3"/>
      <c r="K33" s="2"/>
      <c r="L33" s="2">
        <v>500</v>
      </c>
      <c r="M33" s="2"/>
    </row>
    <row r="34" spans="2:13" x14ac:dyDescent="0.25">
      <c r="B34" s="2" t="s">
        <v>76</v>
      </c>
      <c r="C34" s="2" t="s">
        <v>64</v>
      </c>
      <c r="D34" s="2" t="str">
        <f t="shared" si="0"/>
        <v>100600270301</v>
      </c>
      <c r="E34" s="29">
        <v>10060027</v>
      </c>
      <c r="F34" s="3" t="s">
        <v>9</v>
      </c>
      <c r="G34" s="3" t="e">
        <v>#REF!</v>
      </c>
      <c r="H34" s="3" t="s">
        <v>69</v>
      </c>
      <c r="I34" s="4" t="s">
        <v>89</v>
      </c>
      <c r="J34" s="3"/>
      <c r="K34" s="2"/>
      <c r="L34" s="2">
        <v>200</v>
      </c>
      <c r="M34" s="2"/>
    </row>
    <row r="35" spans="2:13" x14ac:dyDescent="0.25">
      <c r="B35" s="2" t="s">
        <v>76</v>
      </c>
      <c r="C35" s="2" t="s">
        <v>64</v>
      </c>
      <c r="D35" s="2" t="str">
        <f t="shared" si="0"/>
        <v>100600270165</v>
      </c>
      <c r="E35" s="29">
        <v>10060027</v>
      </c>
      <c r="F35" s="3" t="s">
        <v>9</v>
      </c>
      <c r="G35" s="3" t="e">
        <v>#REF!</v>
      </c>
      <c r="H35" s="3" t="s">
        <v>69</v>
      </c>
      <c r="I35" s="4" t="s">
        <v>90</v>
      </c>
      <c r="J35" s="3"/>
      <c r="K35" s="2"/>
      <c r="L35" s="2">
        <v>853</v>
      </c>
      <c r="M35" s="2"/>
    </row>
    <row r="36" spans="2:13" x14ac:dyDescent="0.25">
      <c r="B36" s="2" t="s">
        <v>76</v>
      </c>
      <c r="C36" s="2" t="s">
        <v>64</v>
      </c>
      <c r="D36" s="2" t="str">
        <f t="shared" si="0"/>
        <v>100600270227</v>
      </c>
      <c r="E36" s="29">
        <v>10060027</v>
      </c>
      <c r="F36" s="3" t="s">
        <v>9</v>
      </c>
      <c r="G36" s="3" t="e">
        <v>#REF!</v>
      </c>
      <c r="H36" s="3" t="s">
        <v>69</v>
      </c>
      <c r="I36" s="4" t="s">
        <v>71</v>
      </c>
      <c r="J36" s="3"/>
      <c r="K36" s="2"/>
      <c r="L36" s="2">
        <v>188</v>
      </c>
      <c r="M36" s="2"/>
    </row>
    <row r="37" spans="2:13" x14ac:dyDescent="0.25">
      <c r="B37" s="2" t="s">
        <v>76</v>
      </c>
      <c r="C37" s="2" t="s">
        <v>17</v>
      </c>
      <c r="D37" s="2" t="str">
        <f t="shared" si="0"/>
        <v>101300200002</v>
      </c>
      <c r="E37" s="29">
        <v>10130020</v>
      </c>
      <c r="F37" s="3" t="s">
        <v>54</v>
      </c>
      <c r="G37" s="3" t="e">
        <v>#REF!</v>
      </c>
      <c r="H37" s="3" t="s">
        <v>25</v>
      </c>
      <c r="I37" s="4" t="s">
        <v>11</v>
      </c>
      <c r="J37" s="3">
        <v>2</v>
      </c>
      <c r="K37" s="2">
        <v>235</v>
      </c>
      <c r="L37" s="5">
        <v>470</v>
      </c>
      <c r="M37" s="2"/>
    </row>
    <row r="38" spans="2:13" x14ac:dyDescent="0.25">
      <c r="B38" s="2" t="s">
        <v>76</v>
      </c>
      <c r="C38" s="2" t="s">
        <v>17</v>
      </c>
      <c r="D38" s="2" t="str">
        <f t="shared" si="0"/>
        <v>101300580002</v>
      </c>
      <c r="E38" s="29">
        <v>10130058</v>
      </c>
      <c r="F38" s="3" t="s">
        <v>54</v>
      </c>
      <c r="G38" s="3" t="e">
        <v>#REF!</v>
      </c>
      <c r="H38" s="3" t="s">
        <v>26</v>
      </c>
      <c r="I38" s="4" t="s">
        <v>11</v>
      </c>
      <c r="J38" s="3">
        <v>2</v>
      </c>
      <c r="K38" s="2">
        <v>235</v>
      </c>
      <c r="L38" s="5">
        <v>470</v>
      </c>
      <c r="M38" s="2"/>
    </row>
    <row r="39" spans="2:13" x14ac:dyDescent="0.25">
      <c r="B39" s="2" t="s">
        <v>76</v>
      </c>
      <c r="C39" s="2" t="s">
        <v>64</v>
      </c>
      <c r="D39" s="2" t="str">
        <f t="shared" si="0"/>
        <v>100600210002</v>
      </c>
      <c r="E39" s="29">
        <v>10060021</v>
      </c>
      <c r="F39" s="3" t="s">
        <v>54</v>
      </c>
      <c r="G39" s="3" t="e">
        <v>#REF!</v>
      </c>
      <c r="H39" s="3" t="s">
        <v>65</v>
      </c>
      <c r="I39" s="4" t="s">
        <v>11</v>
      </c>
      <c r="J39" s="3">
        <v>30</v>
      </c>
      <c r="K39" s="2">
        <v>140</v>
      </c>
      <c r="L39" s="2">
        <f t="shared" ref="L39:L44" si="2">J39*K39</f>
        <v>4200</v>
      </c>
      <c r="M39" s="2"/>
    </row>
    <row r="40" spans="2:13" x14ac:dyDescent="0.25">
      <c r="B40" s="2" t="s">
        <v>76</v>
      </c>
      <c r="C40" s="2" t="s">
        <v>64</v>
      </c>
      <c r="D40" s="2" t="str">
        <f t="shared" si="0"/>
        <v>100600210002</v>
      </c>
      <c r="E40" s="29">
        <v>10060021</v>
      </c>
      <c r="F40" s="3" t="s">
        <v>54</v>
      </c>
      <c r="G40" s="3" t="e">
        <v>#REF!</v>
      </c>
      <c r="H40" s="3" t="s">
        <v>65</v>
      </c>
      <c r="I40" s="4" t="s">
        <v>11</v>
      </c>
      <c r="J40" s="3">
        <v>30</v>
      </c>
      <c r="K40" s="2">
        <v>235</v>
      </c>
      <c r="L40" s="2">
        <f t="shared" si="2"/>
        <v>7050</v>
      </c>
      <c r="M40" s="2"/>
    </row>
    <row r="41" spans="2:13" x14ac:dyDescent="0.25">
      <c r="B41" s="2" t="s">
        <v>76</v>
      </c>
      <c r="C41" s="2" t="s">
        <v>64</v>
      </c>
      <c r="D41" s="2" t="str">
        <f t="shared" si="0"/>
        <v>100600620002</v>
      </c>
      <c r="E41" s="29">
        <v>10060062</v>
      </c>
      <c r="F41" s="3" t="s">
        <v>54</v>
      </c>
      <c r="G41" s="3" t="e">
        <v>#REF!</v>
      </c>
      <c r="H41" s="3" t="s">
        <v>66</v>
      </c>
      <c r="I41" s="4" t="s">
        <v>11</v>
      </c>
      <c r="J41" s="3">
        <v>30</v>
      </c>
      <c r="K41" s="2">
        <v>140</v>
      </c>
      <c r="L41" s="2">
        <f t="shared" si="2"/>
        <v>4200</v>
      </c>
      <c r="M41" s="2"/>
    </row>
    <row r="42" spans="2:13" x14ac:dyDescent="0.25">
      <c r="B42" s="2" t="s">
        <v>76</v>
      </c>
      <c r="C42" s="2" t="s">
        <v>64</v>
      </c>
      <c r="D42" s="2" t="str">
        <f t="shared" si="0"/>
        <v>100600050002</v>
      </c>
      <c r="E42" s="29">
        <v>10060005</v>
      </c>
      <c r="F42" s="3" t="s">
        <v>54</v>
      </c>
      <c r="G42" s="3" t="e">
        <v>#REF!</v>
      </c>
      <c r="H42" s="3" t="s">
        <v>67</v>
      </c>
      <c r="I42" s="4" t="s">
        <v>11</v>
      </c>
      <c r="J42" s="3">
        <v>35</v>
      </c>
      <c r="K42" s="2">
        <v>140</v>
      </c>
      <c r="L42" s="2">
        <f t="shared" si="2"/>
        <v>4900</v>
      </c>
      <c r="M42" s="2"/>
    </row>
    <row r="43" spans="2:13" x14ac:dyDescent="0.25">
      <c r="B43" s="2" t="s">
        <v>76</v>
      </c>
      <c r="C43" s="2" t="s">
        <v>64</v>
      </c>
      <c r="D43" s="2" t="str">
        <f t="shared" si="0"/>
        <v>100600050002</v>
      </c>
      <c r="E43" s="29">
        <v>10060005</v>
      </c>
      <c r="F43" s="3" t="s">
        <v>54</v>
      </c>
      <c r="G43" s="3" t="e">
        <v>#REF!</v>
      </c>
      <c r="H43" s="3" t="s">
        <v>67</v>
      </c>
      <c r="I43" s="4" t="s">
        <v>11</v>
      </c>
      <c r="J43" s="3">
        <v>12</v>
      </c>
      <c r="K43" s="2">
        <v>235</v>
      </c>
      <c r="L43" s="2">
        <f t="shared" si="2"/>
        <v>2820</v>
      </c>
      <c r="M43" s="2"/>
    </row>
    <row r="44" spans="2:13" x14ac:dyDescent="0.25">
      <c r="B44" s="2" t="s">
        <v>76</v>
      </c>
      <c r="C44" s="2" t="s">
        <v>64</v>
      </c>
      <c r="D44" s="2" t="str">
        <f t="shared" si="0"/>
        <v>100600050002</v>
      </c>
      <c r="E44" s="29">
        <v>10060005</v>
      </c>
      <c r="F44" s="3" t="s">
        <v>54</v>
      </c>
      <c r="G44" s="3" t="e">
        <v>#REF!</v>
      </c>
      <c r="H44" s="3" t="s">
        <v>67</v>
      </c>
      <c r="I44" s="4" t="s">
        <v>11</v>
      </c>
      <c r="J44" s="3">
        <v>20</v>
      </c>
      <c r="K44" s="2">
        <v>460</v>
      </c>
      <c r="L44" s="2">
        <f t="shared" si="2"/>
        <v>9200</v>
      </c>
      <c r="M44" s="2"/>
    </row>
    <row r="45" spans="2:13" x14ac:dyDescent="0.25">
      <c r="B45" s="2" t="s">
        <v>76</v>
      </c>
      <c r="C45" s="2" t="s">
        <v>17</v>
      </c>
      <c r="D45" s="2" t="str">
        <f t="shared" si="0"/>
        <v>101300900002</v>
      </c>
      <c r="E45" s="29">
        <v>10130090</v>
      </c>
      <c r="F45" s="3" t="e">
        <v>#N/A</v>
      </c>
      <c r="G45" s="3" t="e">
        <v>#REF!</v>
      </c>
      <c r="H45" s="3" t="s">
        <v>21</v>
      </c>
      <c r="I45" s="4" t="s">
        <v>11</v>
      </c>
      <c r="J45" s="3">
        <v>2</v>
      </c>
      <c r="K45" s="2">
        <v>235</v>
      </c>
      <c r="L45" s="5">
        <v>470</v>
      </c>
      <c r="M45" s="2"/>
    </row>
    <row r="46" spans="2:13" x14ac:dyDescent="0.25">
      <c r="C46" s="2"/>
      <c r="D46" s="28"/>
      <c r="E46" s="25" t="s">
        <v>60</v>
      </c>
      <c r="F46" s="26"/>
      <c r="G46" s="26"/>
      <c r="H46" s="26"/>
      <c r="I46" s="26"/>
      <c r="J46" s="26"/>
      <c r="K46" s="27"/>
      <c r="L46" s="2">
        <f>SUM(L4:L45)</f>
        <v>61417.5</v>
      </c>
      <c r="M46" s="2"/>
    </row>
  </sheetData>
  <autoFilter ref="C3:M3" xr:uid="{00000000-0001-0000-0000-000000000000}">
    <sortState xmlns:xlrd2="http://schemas.microsoft.com/office/spreadsheetml/2017/richdata2" ref="C4:M46">
      <sortCondition ref="F3"/>
    </sortState>
  </autoFilter>
  <conditionalFormatting sqref="E3:G3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L24"/>
  <sheetViews>
    <sheetView workbookViewId="0">
      <selection activeCell="L17" sqref="L17"/>
    </sheetView>
  </sheetViews>
  <sheetFormatPr defaultRowHeight="15" x14ac:dyDescent="0.25"/>
  <cols>
    <col min="2" max="3" width="16.7109375" customWidth="1"/>
    <col min="4" max="4" width="11.7109375" customWidth="1"/>
    <col min="5" max="5" width="6.140625" bestFit="1" customWidth="1"/>
    <col min="6" max="6" width="16.28515625" bestFit="1" customWidth="1"/>
    <col min="7" max="7" width="15.5703125" bestFit="1" customWidth="1"/>
    <col min="8" max="8" width="18.28515625" bestFit="1" customWidth="1"/>
    <col min="9" max="9" width="16.7109375" bestFit="1" customWidth="1"/>
    <col min="10" max="10" width="8.7109375" bestFit="1" customWidth="1"/>
    <col min="11" max="11" width="9.5703125" bestFit="1" customWidth="1"/>
    <col min="12" max="12" width="12" bestFit="1" customWidth="1"/>
  </cols>
  <sheetData>
    <row r="3" spans="2:12" ht="37.5" x14ac:dyDescent="0.3">
      <c r="B3" s="22" t="s">
        <v>75</v>
      </c>
      <c r="C3" s="36" t="s">
        <v>91</v>
      </c>
      <c r="D3" s="19" t="s">
        <v>29</v>
      </c>
      <c r="E3" s="20" t="s">
        <v>2</v>
      </c>
      <c r="F3" s="20" t="s">
        <v>30</v>
      </c>
      <c r="G3" s="20" t="s">
        <v>31</v>
      </c>
      <c r="H3" s="6" t="s">
        <v>32</v>
      </c>
      <c r="I3" s="6" t="s">
        <v>33</v>
      </c>
      <c r="J3" s="6" t="s">
        <v>34</v>
      </c>
      <c r="K3" s="6" t="s">
        <v>6</v>
      </c>
      <c r="L3" s="6" t="s">
        <v>7</v>
      </c>
    </row>
    <row r="4" spans="2:12" x14ac:dyDescent="0.25">
      <c r="B4" s="2" t="s">
        <v>76</v>
      </c>
      <c r="C4" s="2" t="str">
        <f t="shared" ref="C4:C16" si="0">CONCATENATE(D4,H4)</f>
        <v>101400070020</v>
      </c>
      <c r="D4" s="7">
        <v>10140007</v>
      </c>
      <c r="E4" s="8" t="s">
        <v>35</v>
      </c>
      <c r="F4" s="8" t="s">
        <v>9</v>
      </c>
      <c r="G4" s="9" t="s">
        <v>36</v>
      </c>
      <c r="H4" s="10" t="s">
        <v>37</v>
      </c>
      <c r="I4" s="11" t="s">
        <v>38</v>
      </c>
      <c r="J4" s="11" t="s">
        <v>39</v>
      </c>
      <c r="K4" s="11">
        <v>2000</v>
      </c>
      <c r="L4" s="12">
        <v>0</v>
      </c>
    </row>
    <row r="5" spans="2:12" x14ac:dyDescent="0.25">
      <c r="B5" s="2" t="s">
        <v>76</v>
      </c>
      <c r="C5" s="2" t="str">
        <f t="shared" si="0"/>
        <v>100600500002</v>
      </c>
      <c r="D5" s="7">
        <v>10060050</v>
      </c>
      <c r="E5" s="8" t="s">
        <v>35</v>
      </c>
      <c r="F5" s="8" t="s">
        <v>9</v>
      </c>
      <c r="G5" s="9" t="s">
        <v>40</v>
      </c>
      <c r="H5" s="10" t="s">
        <v>11</v>
      </c>
      <c r="I5" s="11" t="s">
        <v>41</v>
      </c>
      <c r="J5" s="11" t="s">
        <v>39</v>
      </c>
      <c r="K5" s="11">
        <v>2000</v>
      </c>
      <c r="L5" s="12">
        <v>0</v>
      </c>
    </row>
    <row r="6" spans="2:12" x14ac:dyDescent="0.25">
      <c r="B6" s="2" t="s">
        <v>76</v>
      </c>
      <c r="C6" s="2" t="str">
        <f t="shared" si="0"/>
        <v>100600110002</v>
      </c>
      <c r="D6" s="7">
        <v>10060011</v>
      </c>
      <c r="E6" s="8" t="s">
        <v>35</v>
      </c>
      <c r="F6" s="8" t="s">
        <v>9</v>
      </c>
      <c r="G6" s="9" t="s">
        <v>42</v>
      </c>
      <c r="H6" s="10" t="s">
        <v>11</v>
      </c>
      <c r="I6" s="11" t="s">
        <v>41</v>
      </c>
      <c r="J6" s="11" t="s">
        <v>39</v>
      </c>
      <c r="K6" s="11">
        <v>2000</v>
      </c>
      <c r="L6" s="13">
        <v>0</v>
      </c>
    </row>
    <row r="7" spans="2:12" x14ac:dyDescent="0.25">
      <c r="B7" s="2" t="s">
        <v>76</v>
      </c>
      <c r="C7" s="2" t="str">
        <f t="shared" si="0"/>
        <v>105300740002</v>
      </c>
      <c r="D7" s="14">
        <v>10530074</v>
      </c>
      <c r="E7" s="15" t="s">
        <v>35</v>
      </c>
      <c r="F7" s="8" t="s">
        <v>9</v>
      </c>
      <c r="G7" s="9" t="s">
        <v>43</v>
      </c>
      <c r="H7" s="10" t="s">
        <v>11</v>
      </c>
      <c r="I7" s="11" t="s">
        <v>44</v>
      </c>
      <c r="J7" s="11" t="s">
        <v>39</v>
      </c>
      <c r="K7" s="11">
        <v>2000</v>
      </c>
      <c r="L7" s="13">
        <v>318</v>
      </c>
    </row>
    <row r="8" spans="2:12" x14ac:dyDescent="0.25">
      <c r="B8" s="2" t="s">
        <v>76</v>
      </c>
      <c r="C8" s="2" t="str">
        <f t="shared" si="0"/>
        <v>105300760002</v>
      </c>
      <c r="D8" s="14">
        <v>10530076</v>
      </c>
      <c r="E8" s="11" t="s">
        <v>35</v>
      </c>
      <c r="F8" s="8" t="s">
        <v>9</v>
      </c>
      <c r="G8" s="9" t="s">
        <v>45</v>
      </c>
      <c r="H8" s="10" t="s">
        <v>11</v>
      </c>
      <c r="I8" s="11" t="s">
        <v>44</v>
      </c>
      <c r="J8" s="11" t="s">
        <v>46</v>
      </c>
      <c r="K8" s="11">
        <v>1700</v>
      </c>
      <c r="L8" s="13">
        <v>359</v>
      </c>
    </row>
    <row r="9" spans="2:12" x14ac:dyDescent="0.25">
      <c r="B9" s="2" t="s">
        <v>76</v>
      </c>
      <c r="C9" s="2" t="str">
        <f t="shared" si="0"/>
        <v>105300650003</v>
      </c>
      <c r="D9" s="14">
        <v>10530065</v>
      </c>
      <c r="E9" s="11" t="s">
        <v>35</v>
      </c>
      <c r="F9" s="8" t="s">
        <v>9</v>
      </c>
      <c r="G9" s="9" t="s">
        <v>47</v>
      </c>
      <c r="H9" s="10" t="s">
        <v>14</v>
      </c>
      <c r="I9" s="11" t="s">
        <v>48</v>
      </c>
      <c r="J9" s="11" t="s">
        <v>39</v>
      </c>
      <c r="K9" s="11">
        <v>2000</v>
      </c>
      <c r="L9" s="13">
        <v>1689</v>
      </c>
    </row>
    <row r="10" spans="2:12" x14ac:dyDescent="0.25">
      <c r="B10" s="2" t="s">
        <v>76</v>
      </c>
      <c r="C10" s="2" t="str">
        <f t="shared" si="0"/>
        <v>101200340002</v>
      </c>
      <c r="D10" s="14">
        <v>10120034</v>
      </c>
      <c r="E10" s="11" t="s">
        <v>35</v>
      </c>
      <c r="F10" s="8" t="s">
        <v>9</v>
      </c>
      <c r="G10" s="9" t="s">
        <v>49</v>
      </c>
      <c r="H10" s="10" t="s">
        <v>11</v>
      </c>
      <c r="I10" s="11" t="s">
        <v>50</v>
      </c>
      <c r="J10" s="11" t="s">
        <v>39</v>
      </c>
      <c r="K10" s="11">
        <v>4350</v>
      </c>
      <c r="L10" s="13">
        <v>1171</v>
      </c>
    </row>
    <row r="11" spans="2:12" x14ac:dyDescent="0.25">
      <c r="B11" s="2" t="s">
        <v>76</v>
      </c>
      <c r="C11" s="2" t="str">
        <f t="shared" si="0"/>
        <v>101200300002</v>
      </c>
      <c r="D11" s="14">
        <v>10120030</v>
      </c>
      <c r="E11" s="11" t="s">
        <v>35</v>
      </c>
      <c r="F11" s="8" t="s">
        <v>9</v>
      </c>
      <c r="G11" s="9" t="s">
        <v>51</v>
      </c>
      <c r="H11" s="10" t="s">
        <v>11</v>
      </c>
      <c r="I11" s="11" t="s">
        <v>50</v>
      </c>
      <c r="J11" s="11" t="s">
        <v>39</v>
      </c>
      <c r="K11" s="11">
        <v>2000</v>
      </c>
      <c r="L11" s="13">
        <v>280</v>
      </c>
    </row>
    <row r="12" spans="2:12" x14ac:dyDescent="0.25">
      <c r="B12" s="2" t="s">
        <v>76</v>
      </c>
      <c r="C12" s="2" t="str">
        <f t="shared" si="0"/>
        <v>101300790002</v>
      </c>
      <c r="D12" s="14">
        <v>10130079</v>
      </c>
      <c r="E12" s="11" t="s">
        <v>35</v>
      </c>
      <c r="F12" s="8" t="e">
        <v>#N/A</v>
      </c>
      <c r="G12" s="9" t="s">
        <v>52</v>
      </c>
      <c r="H12" s="10" t="s">
        <v>11</v>
      </c>
      <c r="I12" s="11" t="s">
        <v>44</v>
      </c>
      <c r="J12" s="11" t="s">
        <v>39</v>
      </c>
      <c r="K12" s="11">
        <v>8370</v>
      </c>
      <c r="L12" s="13">
        <v>0</v>
      </c>
    </row>
    <row r="13" spans="2:12" x14ac:dyDescent="0.25">
      <c r="B13" s="2" t="s">
        <v>76</v>
      </c>
      <c r="C13" s="2" t="str">
        <f t="shared" si="0"/>
        <v>101300070002</v>
      </c>
      <c r="D13" s="14">
        <v>10130007</v>
      </c>
      <c r="E13" s="11" t="s">
        <v>35</v>
      </c>
      <c r="F13" s="8" t="e">
        <v>#N/A</v>
      </c>
      <c r="G13" s="9" t="s">
        <v>53</v>
      </c>
      <c r="H13" s="10" t="s">
        <v>11</v>
      </c>
      <c r="I13" s="11" t="s">
        <v>17</v>
      </c>
      <c r="J13" s="11" t="s">
        <v>39</v>
      </c>
      <c r="K13" s="11">
        <v>4350</v>
      </c>
      <c r="L13" s="13">
        <v>0</v>
      </c>
    </row>
    <row r="14" spans="2:12" x14ac:dyDescent="0.25">
      <c r="B14" s="2" t="s">
        <v>76</v>
      </c>
      <c r="C14" s="2" t="str">
        <f t="shared" si="0"/>
        <v>101300160002</v>
      </c>
      <c r="D14" s="14">
        <v>10130016</v>
      </c>
      <c r="E14" s="11" t="s">
        <v>35</v>
      </c>
      <c r="F14" s="8" t="s">
        <v>54</v>
      </c>
      <c r="G14" s="9" t="s">
        <v>55</v>
      </c>
      <c r="H14" s="10" t="s">
        <v>11</v>
      </c>
      <c r="I14" s="11" t="s">
        <v>17</v>
      </c>
      <c r="J14" s="11" t="s">
        <v>39</v>
      </c>
      <c r="K14" s="11">
        <v>2000</v>
      </c>
      <c r="L14" s="13">
        <v>1343</v>
      </c>
    </row>
    <row r="15" spans="2:12" x14ac:dyDescent="0.25">
      <c r="B15" s="2" t="s">
        <v>76</v>
      </c>
      <c r="C15" s="2" t="str">
        <f t="shared" si="0"/>
        <v>105300120012</v>
      </c>
      <c r="D15" s="16">
        <v>10530012</v>
      </c>
      <c r="E15" s="11" t="s">
        <v>35</v>
      </c>
      <c r="F15" s="8" t="e">
        <v>#N/A</v>
      </c>
      <c r="G15" s="9" t="s">
        <v>56</v>
      </c>
      <c r="H15" s="10" t="s">
        <v>57</v>
      </c>
      <c r="I15" s="11" t="s">
        <v>58</v>
      </c>
      <c r="J15" s="11" t="s">
        <v>39</v>
      </c>
      <c r="K15" s="11">
        <v>5000</v>
      </c>
      <c r="L15" s="13">
        <v>0</v>
      </c>
    </row>
    <row r="16" spans="2:12" x14ac:dyDescent="0.25">
      <c r="B16" s="2" t="s">
        <v>76</v>
      </c>
      <c r="C16" s="2" t="str">
        <f t="shared" si="0"/>
        <v>101200120007</v>
      </c>
      <c r="D16" s="14">
        <v>10120012</v>
      </c>
      <c r="E16" s="11" t="s">
        <v>35</v>
      </c>
      <c r="F16" s="8" t="s">
        <v>9</v>
      </c>
      <c r="G16" s="9" t="s">
        <v>59</v>
      </c>
      <c r="H16" s="10" t="s">
        <v>99</v>
      </c>
      <c r="I16" s="11" t="s">
        <v>8</v>
      </c>
      <c r="J16" s="11" t="s">
        <v>39</v>
      </c>
      <c r="K16" s="11">
        <v>2000</v>
      </c>
      <c r="L16" s="2">
        <v>425</v>
      </c>
    </row>
    <row r="17" spans="2:12" x14ac:dyDescent="0.25">
      <c r="D17" s="21"/>
      <c r="E17" s="37" t="s">
        <v>60</v>
      </c>
      <c r="F17" s="38"/>
      <c r="G17" s="38"/>
      <c r="H17" s="26"/>
      <c r="I17" s="26"/>
      <c r="J17" s="27"/>
      <c r="K17" s="17">
        <f>SUM(K4:K16)</f>
        <v>39770</v>
      </c>
      <c r="L17" s="39">
        <f>SUM(L4:L16)</f>
        <v>5585</v>
      </c>
    </row>
    <row r="20" spans="2:12" x14ac:dyDescent="0.25">
      <c r="B20" t="s">
        <v>72</v>
      </c>
    </row>
    <row r="21" spans="2:12" x14ac:dyDescent="0.25">
      <c r="D21" t="s">
        <v>72</v>
      </c>
    </row>
    <row r="24" spans="2:12" x14ac:dyDescent="0.25">
      <c r="E24" t="s">
        <v>72</v>
      </c>
      <c r="H24" t="s">
        <v>72</v>
      </c>
    </row>
  </sheetData>
  <autoFilter ref="B3:L3" xr:uid="{00000000-0001-0000-0100-000000000000}"/>
  <conditionalFormatting sqref="E4:E7 F4:F16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Summry fooder</vt:lpstr>
      <vt:lpstr>fooder cy 27-3-26 to 2-4-26</vt:lpstr>
      <vt:lpstr>Biogas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RAHUL PANDIT</cp:lastModifiedBy>
  <dcterms:created xsi:type="dcterms:W3CDTF">2026-04-03T14:21:44Z</dcterms:created>
  <dcterms:modified xsi:type="dcterms:W3CDTF">2026-04-13T07:02:12Z</dcterms:modified>
</cp:coreProperties>
</file>