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"/>
    </mc:Choice>
  </mc:AlternateContent>
  <xr:revisionPtr revIDLastSave="0" documentId="13_ncr:1_{0CD629BD-D0A1-4E86-AFD6-B106ED69652B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umarry" sheetId="1" r:id="rId1"/>
    <sheet name="Manjhaul" sheetId="2" r:id="rId2"/>
    <sheet name="Hasanpur" sheetId="22" r:id="rId3"/>
    <sheet name="Singhia " sheetId="28" r:id="rId4"/>
    <sheet name="Sahibpur Kamal" sheetId="3" r:id="rId5"/>
    <sheet name="Matihani" sheetId="20" r:id="rId6"/>
    <sheet name="Daily Losses" sheetId="16" state="veryHidden" r:id="rId7"/>
    <sheet name="Bachhwara" sheetId="30" r:id="rId8"/>
    <sheet name="Alauli" sheetId="18" r:id="rId9"/>
    <sheet name="Dalsingsarai" sheetId="5" r:id="rId10"/>
    <sheet name="Musrigharari" sheetId="4" r:id="rId11"/>
    <sheet name="Mahua" sheetId="29" r:id="rId12"/>
    <sheet name="Warisnagar" sheetId="21" r:id="rId13"/>
    <sheet name="Rosera" sheetId="32" r:id="rId14"/>
    <sheet name="Kalyanpur" sheetId="17" r:id="rId15"/>
    <sheet name="Gaighat" sheetId="31" r:id="rId16"/>
    <sheet name="Buxar" sheetId="7" r:id="rId17"/>
    <sheet name="Asarganj" sheetId="9" r:id="rId18"/>
    <sheet name="Laldiyara" sheetId="8" r:id="rId19"/>
    <sheet name="Parbatta" sheetId="27" r:id="rId20"/>
    <sheet name="Gopalpur" sheetId="26" r:id="rId21"/>
    <sheet name="Sonvarsha" sheetId="11" r:id="rId22"/>
    <sheet name="Madhatpur" sheetId="10" r:id="rId23"/>
    <sheet name="Araiya" sheetId="12" r:id="rId24"/>
    <sheet name="Chautham" sheetId="19" r:id="rId25"/>
    <sheet name="Teghra" sheetId="13" r:id="rId26"/>
    <sheet name="Halsi" sheetId="14" r:id="rId27"/>
  </sheets>
  <definedNames>
    <definedName name="_xlnm._FilterDatabase" localSheetId="14" hidden="1">Kalyanpur!$A$1:$AR$66</definedName>
    <definedName name="_xlnm._FilterDatabase" localSheetId="1" hidden="1">Manjhaul!$D$3:$AQ$66</definedName>
    <definedName name="_xlnm._FilterDatabase" localSheetId="4" hidden="1">'Sahibpur Kamal'!$D$3:$AQ$66</definedName>
    <definedName name="_xlnm.Print_Area" localSheetId="0">Sumarry!$C$2:$P$60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" i="2" l="1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AS49" i="11" l="1"/>
  <c r="AS35" i="11"/>
  <c r="AS21" i="11"/>
  <c r="AS63" i="13" l="1"/>
  <c r="AS63" i="19" l="1"/>
  <c r="AA50" i="12" l="1"/>
  <c r="AB50" i="12"/>
  <c r="AA51" i="12"/>
  <c r="AB51" i="12"/>
  <c r="AS49" i="19" l="1"/>
  <c r="AS49" i="13" l="1"/>
  <c r="AS35" i="19" l="1"/>
  <c r="AS35" i="13"/>
  <c r="M53" i="1" l="1"/>
  <c r="N53" i="1" s="1"/>
  <c r="AS21" i="19"/>
  <c r="AS21" i="13"/>
  <c r="R54" i="19" l="1"/>
  <c r="R55" i="19"/>
  <c r="R56" i="19"/>
  <c r="R57" i="19"/>
  <c r="R58" i="19"/>
  <c r="R59" i="19"/>
  <c r="R60" i="19"/>
  <c r="R61" i="19"/>
  <c r="R62" i="19"/>
  <c r="R63" i="19"/>
  <c r="AS39" i="14" l="1"/>
  <c r="AS39" i="13" l="1"/>
  <c r="V71" i="32" l="1"/>
  <c r="Z70" i="32"/>
  <c r="Y70" i="32"/>
  <c r="Z69" i="32"/>
  <c r="Y69" i="32"/>
  <c r="J66" i="32"/>
  <c r="G15" i="1" s="1"/>
  <c r="AR65" i="32"/>
  <c r="AM65" i="32"/>
  <c r="AL65" i="32"/>
  <c r="AK65" i="32"/>
  <c r="AG65" i="32"/>
  <c r="AF65" i="32"/>
  <c r="AB65" i="32"/>
  <c r="AA65" i="32"/>
  <c r="T65" i="32"/>
  <c r="S65" i="32"/>
  <c r="R65" i="32"/>
  <c r="H65" i="32"/>
  <c r="G65" i="32"/>
  <c r="AR64" i="32"/>
  <c r="AL64" i="32"/>
  <c r="AK64" i="32"/>
  <c r="AG64" i="32"/>
  <c r="AF64" i="32"/>
  <c r="AB64" i="32"/>
  <c r="AA64" i="32"/>
  <c r="T64" i="32"/>
  <c r="S64" i="32"/>
  <c r="R64" i="32"/>
  <c r="AM64" i="32" s="1"/>
  <c r="H64" i="32"/>
  <c r="G64" i="32"/>
  <c r="AL63" i="32"/>
  <c r="AK63" i="32"/>
  <c r="AG63" i="32"/>
  <c r="AF63" i="32"/>
  <c r="AB63" i="32"/>
  <c r="AA63" i="32"/>
  <c r="T63" i="32"/>
  <c r="S63" i="32"/>
  <c r="R63" i="32"/>
  <c r="AM63" i="32" s="1"/>
  <c r="H63" i="32"/>
  <c r="G63" i="32"/>
  <c r="AR62" i="32"/>
  <c r="AL62" i="32"/>
  <c r="AK62" i="32"/>
  <c r="AG62" i="32"/>
  <c r="AF62" i="32"/>
  <c r="AB62" i="32"/>
  <c r="AA62" i="32"/>
  <c r="T62" i="32"/>
  <c r="S62" i="32"/>
  <c r="R62" i="32"/>
  <c r="AM62" i="32" s="1"/>
  <c r="H62" i="32"/>
  <c r="G62" i="32"/>
  <c r="AR61" i="32"/>
  <c r="AL61" i="32"/>
  <c r="AK61" i="32"/>
  <c r="AG61" i="32"/>
  <c r="AF61" i="32"/>
  <c r="AB61" i="32"/>
  <c r="AA61" i="32"/>
  <c r="T61" i="32"/>
  <c r="S61" i="32"/>
  <c r="R61" i="32"/>
  <c r="AM61" i="32" s="1"/>
  <c r="H61" i="32"/>
  <c r="G61" i="32"/>
  <c r="AR60" i="32"/>
  <c r="AL60" i="32"/>
  <c r="AK60" i="32"/>
  <c r="AG60" i="32"/>
  <c r="AF60" i="32"/>
  <c r="AB60" i="32"/>
  <c r="AA60" i="32"/>
  <c r="T60" i="32"/>
  <c r="S60" i="32"/>
  <c r="R60" i="32"/>
  <c r="AM60" i="32" s="1"/>
  <c r="H60" i="32"/>
  <c r="G60" i="32"/>
  <c r="AR59" i="32"/>
  <c r="AL59" i="32"/>
  <c r="AK59" i="32"/>
  <c r="AG59" i="32"/>
  <c r="AF59" i="32"/>
  <c r="AB59" i="32"/>
  <c r="AA59" i="32"/>
  <c r="T59" i="32"/>
  <c r="S59" i="32"/>
  <c r="R59" i="32"/>
  <c r="AM59" i="32" s="1"/>
  <c r="H59" i="32"/>
  <c r="G59" i="32"/>
  <c r="AR58" i="32"/>
  <c r="AL58" i="32"/>
  <c r="AK58" i="32"/>
  <c r="AG58" i="32"/>
  <c r="AF58" i="32"/>
  <c r="AB58" i="32"/>
  <c r="AA58" i="32"/>
  <c r="T58" i="32"/>
  <c r="S58" i="32"/>
  <c r="R58" i="32"/>
  <c r="AM58" i="32" s="1"/>
  <c r="H58" i="32"/>
  <c r="G58" i="32"/>
  <c r="AR57" i="32"/>
  <c r="AL57" i="32"/>
  <c r="AK57" i="32"/>
  <c r="AG57" i="32"/>
  <c r="AF57" i="32"/>
  <c r="AB57" i="32"/>
  <c r="AA57" i="32"/>
  <c r="T57" i="32"/>
  <c r="S57" i="32"/>
  <c r="R57" i="32"/>
  <c r="AM57" i="32" s="1"/>
  <c r="H57" i="32"/>
  <c r="G57" i="32"/>
  <c r="AR56" i="32"/>
  <c r="AL56" i="32"/>
  <c r="AK56" i="32"/>
  <c r="AG56" i="32"/>
  <c r="AF56" i="32"/>
  <c r="AB56" i="32"/>
  <c r="AA56" i="32"/>
  <c r="T56" i="32"/>
  <c r="S56" i="32"/>
  <c r="R56" i="32"/>
  <c r="AM56" i="32" s="1"/>
  <c r="H56" i="32"/>
  <c r="G56" i="32"/>
  <c r="AR55" i="32"/>
  <c r="AL55" i="32"/>
  <c r="AK55" i="32"/>
  <c r="AG55" i="32"/>
  <c r="AF55" i="32"/>
  <c r="AB55" i="32"/>
  <c r="AA55" i="32"/>
  <c r="T55" i="32"/>
  <c r="S55" i="32"/>
  <c r="R55" i="32"/>
  <c r="AM55" i="32" s="1"/>
  <c r="H55" i="32"/>
  <c r="G55" i="32"/>
  <c r="AR54" i="32"/>
  <c r="AL54" i="32"/>
  <c r="AK54" i="32"/>
  <c r="AG54" i="32"/>
  <c r="AF54" i="32"/>
  <c r="AB54" i="32"/>
  <c r="AA54" i="32"/>
  <c r="T54" i="32"/>
  <c r="S54" i="32"/>
  <c r="R54" i="32"/>
  <c r="AM54" i="32" s="1"/>
  <c r="H54" i="32"/>
  <c r="G54" i="32"/>
  <c r="AR53" i="32"/>
  <c r="AL53" i="32"/>
  <c r="AK53" i="32"/>
  <c r="AG53" i="32"/>
  <c r="AF53" i="32"/>
  <c r="AB53" i="32"/>
  <c r="AA53" i="32"/>
  <c r="T53" i="32"/>
  <c r="S53" i="32"/>
  <c r="R53" i="32"/>
  <c r="AM53" i="32" s="1"/>
  <c r="H53" i="32"/>
  <c r="G53" i="32"/>
  <c r="AR52" i="32"/>
  <c r="AL52" i="32"/>
  <c r="AK52" i="32"/>
  <c r="AG52" i="32"/>
  <c r="AF52" i="32"/>
  <c r="AB52" i="32"/>
  <c r="AA52" i="32"/>
  <c r="T52" i="32"/>
  <c r="S52" i="32"/>
  <c r="R52" i="32"/>
  <c r="AM52" i="32" s="1"/>
  <c r="H52" i="32"/>
  <c r="G52" i="32"/>
  <c r="AR51" i="32"/>
  <c r="AL51" i="32"/>
  <c r="AK51" i="32"/>
  <c r="AG51" i="32"/>
  <c r="AF51" i="32"/>
  <c r="AB51" i="32"/>
  <c r="AA51" i="32"/>
  <c r="T51" i="32"/>
  <c r="S51" i="32"/>
  <c r="R51" i="32"/>
  <c r="AM51" i="32" s="1"/>
  <c r="H51" i="32"/>
  <c r="G51" i="32"/>
  <c r="AR50" i="32"/>
  <c r="AL50" i="32"/>
  <c r="AK50" i="32"/>
  <c r="AG50" i="32"/>
  <c r="AF50" i="32"/>
  <c r="AB50" i="32"/>
  <c r="AA50" i="32"/>
  <c r="T50" i="32"/>
  <c r="S50" i="32"/>
  <c r="R50" i="32"/>
  <c r="AM50" i="32" s="1"/>
  <c r="H50" i="32"/>
  <c r="G50" i="32"/>
  <c r="AR49" i="32"/>
  <c r="AL49" i="32"/>
  <c r="AK49" i="32"/>
  <c r="AG49" i="32"/>
  <c r="AF49" i="32"/>
  <c r="AB49" i="32"/>
  <c r="AA49" i="32"/>
  <c r="T49" i="32"/>
  <c r="S49" i="32"/>
  <c r="R49" i="32"/>
  <c r="AM49" i="32" s="1"/>
  <c r="H49" i="32"/>
  <c r="G49" i="32"/>
  <c r="AR48" i="32"/>
  <c r="AL48" i="32"/>
  <c r="AK48" i="32"/>
  <c r="AG48" i="32"/>
  <c r="AF48" i="32"/>
  <c r="AB48" i="32"/>
  <c r="AA48" i="32"/>
  <c r="T48" i="32"/>
  <c r="S48" i="32"/>
  <c r="R48" i="32"/>
  <c r="AM48" i="32" s="1"/>
  <c r="H48" i="32"/>
  <c r="G48" i="32"/>
  <c r="AR47" i="32"/>
  <c r="AL47" i="32"/>
  <c r="AK47" i="32"/>
  <c r="AG47" i="32"/>
  <c r="AF47" i="32"/>
  <c r="AB47" i="32"/>
  <c r="AA47" i="32"/>
  <c r="T47" i="32"/>
  <c r="S47" i="32"/>
  <c r="R47" i="32"/>
  <c r="AM47" i="32" s="1"/>
  <c r="H47" i="32"/>
  <c r="G47" i="32"/>
  <c r="AR46" i="32"/>
  <c r="AL46" i="32"/>
  <c r="AK46" i="32"/>
  <c r="AG46" i="32"/>
  <c r="AF46" i="32"/>
  <c r="AB46" i="32"/>
  <c r="AA46" i="32"/>
  <c r="T46" i="32"/>
  <c r="S46" i="32"/>
  <c r="R46" i="32"/>
  <c r="AM46" i="32" s="1"/>
  <c r="H46" i="32"/>
  <c r="G46" i="32"/>
  <c r="AR45" i="32"/>
  <c r="AL45" i="32"/>
  <c r="AK45" i="32"/>
  <c r="AG45" i="32"/>
  <c r="AF45" i="32"/>
  <c r="AB45" i="32"/>
  <c r="AA45" i="32"/>
  <c r="T45" i="32"/>
  <c r="S45" i="32"/>
  <c r="R45" i="32"/>
  <c r="AM45" i="32" s="1"/>
  <c r="H45" i="32"/>
  <c r="G45" i="32"/>
  <c r="AR44" i="32"/>
  <c r="AL44" i="32"/>
  <c r="AK44" i="32"/>
  <c r="AG44" i="32"/>
  <c r="AF44" i="32"/>
  <c r="AB44" i="32"/>
  <c r="AA44" i="32"/>
  <c r="T44" i="32"/>
  <c r="S44" i="32"/>
  <c r="R44" i="32"/>
  <c r="AM44" i="32" s="1"/>
  <c r="H44" i="32"/>
  <c r="G44" i="32"/>
  <c r="AR43" i="32"/>
  <c r="AL43" i="32"/>
  <c r="AK43" i="32"/>
  <c r="AG43" i="32"/>
  <c r="AF43" i="32"/>
  <c r="AB43" i="32"/>
  <c r="AA43" i="32"/>
  <c r="T43" i="32"/>
  <c r="S43" i="32"/>
  <c r="R43" i="32"/>
  <c r="AM43" i="32" s="1"/>
  <c r="H43" i="32"/>
  <c r="G43" i="32"/>
  <c r="AR42" i="32"/>
  <c r="AL42" i="32"/>
  <c r="AK42" i="32"/>
  <c r="AG42" i="32"/>
  <c r="AF42" i="32"/>
  <c r="AB42" i="32"/>
  <c r="AA42" i="32"/>
  <c r="T42" i="32"/>
  <c r="S42" i="32"/>
  <c r="R42" i="32"/>
  <c r="AM42" i="32" s="1"/>
  <c r="H42" i="32"/>
  <c r="G42" i="32"/>
  <c r="AR41" i="32"/>
  <c r="AL41" i="32"/>
  <c r="AK41" i="32"/>
  <c r="AG41" i="32"/>
  <c r="AF41" i="32"/>
  <c r="AB41" i="32"/>
  <c r="AA41" i="32"/>
  <c r="T41" i="32"/>
  <c r="S41" i="32"/>
  <c r="R41" i="32"/>
  <c r="AM41" i="32" s="1"/>
  <c r="H41" i="32"/>
  <c r="G41" i="32"/>
  <c r="AR40" i="32"/>
  <c r="AL40" i="32"/>
  <c r="AK40" i="32"/>
  <c r="AG40" i="32"/>
  <c r="AF40" i="32"/>
  <c r="AB40" i="32"/>
  <c r="AA40" i="32"/>
  <c r="T40" i="32"/>
  <c r="S40" i="32"/>
  <c r="R40" i="32"/>
  <c r="AM40" i="32" s="1"/>
  <c r="H40" i="32"/>
  <c r="G40" i="32"/>
  <c r="AR39" i="32"/>
  <c r="AL39" i="32"/>
  <c r="AK39" i="32"/>
  <c r="AG39" i="32"/>
  <c r="AF39" i="32"/>
  <c r="AB39" i="32"/>
  <c r="AA39" i="32"/>
  <c r="T39" i="32"/>
  <c r="S39" i="32"/>
  <c r="R39" i="32"/>
  <c r="AM39" i="32" s="1"/>
  <c r="H39" i="32"/>
  <c r="G39" i="32"/>
  <c r="AR38" i="32"/>
  <c r="AL38" i="32"/>
  <c r="AK38" i="32"/>
  <c r="AG38" i="32"/>
  <c r="AF38" i="32"/>
  <c r="AB38" i="32"/>
  <c r="AA38" i="32"/>
  <c r="T38" i="32"/>
  <c r="S38" i="32"/>
  <c r="R38" i="32"/>
  <c r="AM38" i="32" s="1"/>
  <c r="H38" i="32"/>
  <c r="G38" i="32"/>
  <c r="AR37" i="32"/>
  <c r="AL37" i="32"/>
  <c r="AK37" i="32"/>
  <c r="AG37" i="32"/>
  <c r="AF37" i="32"/>
  <c r="AB37" i="32"/>
  <c r="AA37" i="32"/>
  <c r="T37" i="32"/>
  <c r="S37" i="32"/>
  <c r="R37" i="32"/>
  <c r="AM37" i="32" s="1"/>
  <c r="H37" i="32"/>
  <c r="G37" i="32"/>
  <c r="AR36" i="32"/>
  <c r="AL36" i="32"/>
  <c r="AK36" i="32"/>
  <c r="AG36" i="32"/>
  <c r="AF36" i="32"/>
  <c r="AB36" i="32"/>
  <c r="AA36" i="32"/>
  <c r="T36" i="32"/>
  <c r="S36" i="32"/>
  <c r="R36" i="32"/>
  <c r="AM36" i="32" s="1"/>
  <c r="H36" i="32"/>
  <c r="G36" i="32"/>
  <c r="AR35" i="32"/>
  <c r="AL35" i="32"/>
  <c r="AK35" i="32"/>
  <c r="AG35" i="32"/>
  <c r="AF35" i="32"/>
  <c r="AB35" i="32"/>
  <c r="AA35" i="32"/>
  <c r="T35" i="32"/>
  <c r="S35" i="32"/>
  <c r="R35" i="32"/>
  <c r="AM35" i="32" s="1"/>
  <c r="H35" i="32"/>
  <c r="G35" i="32"/>
  <c r="AR34" i="32"/>
  <c r="AL34" i="32"/>
  <c r="AK34" i="32"/>
  <c r="AG34" i="32"/>
  <c r="AF34" i="32"/>
  <c r="AB34" i="32"/>
  <c r="AA34" i="32"/>
  <c r="T34" i="32"/>
  <c r="S34" i="32"/>
  <c r="R34" i="32"/>
  <c r="AM34" i="32" s="1"/>
  <c r="H34" i="32"/>
  <c r="G34" i="32"/>
  <c r="AR33" i="32"/>
  <c r="AL33" i="32"/>
  <c r="AK33" i="32"/>
  <c r="AG33" i="32"/>
  <c r="AF33" i="32"/>
  <c r="AB33" i="32"/>
  <c r="AA33" i="32"/>
  <c r="T33" i="32"/>
  <c r="S33" i="32"/>
  <c r="R33" i="32"/>
  <c r="AM33" i="32" s="1"/>
  <c r="H33" i="32"/>
  <c r="G33" i="32"/>
  <c r="AR32" i="32"/>
  <c r="AL32" i="32"/>
  <c r="AK32" i="32"/>
  <c r="AG32" i="32"/>
  <c r="AF32" i="32"/>
  <c r="AB32" i="32"/>
  <c r="AA32" i="32"/>
  <c r="T32" i="32"/>
  <c r="S32" i="32"/>
  <c r="R32" i="32"/>
  <c r="AM32" i="32" s="1"/>
  <c r="H32" i="32"/>
  <c r="G32" i="32"/>
  <c r="AR31" i="32"/>
  <c r="AL31" i="32"/>
  <c r="AK31" i="32"/>
  <c r="AG31" i="32"/>
  <c r="AF31" i="32"/>
  <c r="AB31" i="32"/>
  <c r="AA31" i="32"/>
  <c r="T31" i="32"/>
  <c r="S31" i="32"/>
  <c r="R31" i="32"/>
  <c r="AM31" i="32" s="1"/>
  <c r="H31" i="32"/>
  <c r="G31" i="32"/>
  <c r="AR30" i="32"/>
  <c r="AL30" i="32"/>
  <c r="AK30" i="32"/>
  <c r="AG30" i="32"/>
  <c r="AF30" i="32"/>
  <c r="AB30" i="32"/>
  <c r="AA30" i="32"/>
  <c r="T30" i="32"/>
  <c r="S30" i="32"/>
  <c r="R30" i="32"/>
  <c r="AM30" i="32" s="1"/>
  <c r="H30" i="32"/>
  <c r="G30" i="32"/>
  <c r="AR29" i="32"/>
  <c r="AL29" i="32"/>
  <c r="AK29" i="32"/>
  <c r="AG29" i="32"/>
  <c r="AF29" i="32"/>
  <c r="AB29" i="32"/>
  <c r="AA29" i="32"/>
  <c r="T29" i="32"/>
  <c r="S29" i="32"/>
  <c r="R29" i="32"/>
  <c r="AM29" i="32" s="1"/>
  <c r="H29" i="32"/>
  <c r="G29" i="32"/>
  <c r="AR28" i="32"/>
  <c r="AL28" i="32"/>
  <c r="AK28" i="32"/>
  <c r="AG28" i="32"/>
  <c r="AF28" i="32"/>
  <c r="AB28" i="32"/>
  <c r="AA28" i="32"/>
  <c r="T28" i="32"/>
  <c r="S28" i="32"/>
  <c r="R28" i="32"/>
  <c r="AM28" i="32" s="1"/>
  <c r="H28" i="32"/>
  <c r="G28" i="32"/>
  <c r="AR27" i="32"/>
  <c r="AL27" i="32"/>
  <c r="AK27" i="32"/>
  <c r="AG27" i="32"/>
  <c r="AF27" i="32"/>
  <c r="AB27" i="32"/>
  <c r="AA27" i="32"/>
  <c r="T27" i="32"/>
  <c r="S27" i="32"/>
  <c r="R27" i="32"/>
  <c r="AM27" i="32" s="1"/>
  <c r="H27" i="32"/>
  <c r="G27" i="32"/>
  <c r="AR26" i="32"/>
  <c r="AL26" i="32"/>
  <c r="AK26" i="32"/>
  <c r="AG26" i="32"/>
  <c r="AF26" i="32"/>
  <c r="AB26" i="32"/>
  <c r="AA26" i="32"/>
  <c r="T26" i="32"/>
  <c r="S26" i="32"/>
  <c r="R26" i="32"/>
  <c r="AM26" i="32" s="1"/>
  <c r="H26" i="32"/>
  <c r="G26" i="32"/>
  <c r="AR25" i="32"/>
  <c r="AL25" i="32"/>
  <c r="AK25" i="32"/>
  <c r="AG25" i="32"/>
  <c r="AF25" i="32"/>
  <c r="AB25" i="32"/>
  <c r="AA25" i="32"/>
  <c r="T25" i="32"/>
  <c r="S25" i="32"/>
  <c r="R25" i="32"/>
  <c r="AM25" i="32" s="1"/>
  <c r="H25" i="32"/>
  <c r="G25" i="32"/>
  <c r="AR24" i="32"/>
  <c r="AL24" i="32"/>
  <c r="AK24" i="32"/>
  <c r="AG24" i="32"/>
  <c r="AF24" i="32"/>
  <c r="AB24" i="32"/>
  <c r="AA24" i="32"/>
  <c r="T24" i="32"/>
  <c r="S24" i="32"/>
  <c r="R24" i="32"/>
  <c r="AM24" i="32" s="1"/>
  <c r="H24" i="32"/>
  <c r="G24" i="32"/>
  <c r="AR23" i="32"/>
  <c r="AL23" i="32"/>
  <c r="AK23" i="32"/>
  <c r="AG23" i="32"/>
  <c r="AF23" i="32"/>
  <c r="AB23" i="32"/>
  <c r="AA23" i="32"/>
  <c r="T23" i="32"/>
  <c r="S23" i="32"/>
  <c r="R23" i="32"/>
  <c r="AM23" i="32" s="1"/>
  <c r="H23" i="32"/>
  <c r="G23" i="32"/>
  <c r="AR22" i="32"/>
  <c r="AL22" i="32"/>
  <c r="AK22" i="32"/>
  <c r="AG22" i="32"/>
  <c r="AF22" i="32"/>
  <c r="AB22" i="32"/>
  <c r="AA22" i="32"/>
  <c r="T22" i="32"/>
  <c r="S22" i="32"/>
  <c r="R22" i="32"/>
  <c r="AM22" i="32" s="1"/>
  <c r="H22" i="32"/>
  <c r="G22" i="32"/>
  <c r="AR21" i="32"/>
  <c r="AL21" i="32"/>
  <c r="AK21" i="32"/>
  <c r="AG21" i="32"/>
  <c r="AF21" i="32"/>
  <c r="AB21" i="32"/>
  <c r="AA21" i="32"/>
  <c r="T21" i="32"/>
  <c r="S21" i="32"/>
  <c r="R21" i="32"/>
  <c r="AM21" i="32" s="1"/>
  <c r="H21" i="32"/>
  <c r="G21" i="32"/>
  <c r="AR20" i="32"/>
  <c r="AL20" i="32"/>
  <c r="AK20" i="32"/>
  <c r="AG20" i="32"/>
  <c r="AF20" i="32"/>
  <c r="AB20" i="32"/>
  <c r="AA20" i="32"/>
  <c r="T20" i="32"/>
  <c r="S20" i="32"/>
  <c r="R20" i="32"/>
  <c r="AM20" i="32" s="1"/>
  <c r="H20" i="32"/>
  <c r="G20" i="32"/>
  <c r="AR19" i="32"/>
  <c r="AL19" i="32"/>
  <c r="AK19" i="32"/>
  <c r="AG19" i="32"/>
  <c r="AF19" i="32"/>
  <c r="AB19" i="32"/>
  <c r="AA19" i="32"/>
  <c r="T19" i="32"/>
  <c r="S19" i="32"/>
  <c r="R19" i="32"/>
  <c r="AM19" i="32" s="1"/>
  <c r="H19" i="32"/>
  <c r="G19" i="32"/>
  <c r="AR18" i="32"/>
  <c r="AL18" i="32"/>
  <c r="AK18" i="32"/>
  <c r="AG18" i="32"/>
  <c r="AF18" i="32"/>
  <c r="AB18" i="32"/>
  <c r="AA18" i="32"/>
  <c r="T18" i="32"/>
  <c r="S18" i="32"/>
  <c r="R18" i="32"/>
  <c r="AM18" i="32" s="1"/>
  <c r="H18" i="32"/>
  <c r="G18" i="32"/>
  <c r="AR17" i="32"/>
  <c r="AL17" i="32"/>
  <c r="AK17" i="32"/>
  <c r="AG17" i="32"/>
  <c r="AF17" i="32"/>
  <c r="AB17" i="32"/>
  <c r="AA17" i="32"/>
  <c r="T17" i="32"/>
  <c r="S17" i="32"/>
  <c r="R17" i="32"/>
  <c r="AM17" i="32" s="1"/>
  <c r="H17" i="32"/>
  <c r="G17" i="32"/>
  <c r="AR16" i="32"/>
  <c r="AL16" i="32"/>
  <c r="AK16" i="32"/>
  <c r="AG16" i="32"/>
  <c r="AF16" i="32"/>
  <c r="AB16" i="32"/>
  <c r="AA16" i="32"/>
  <c r="T16" i="32"/>
  <c r="S16" i="32"/>
  <c r="R16" i="32"/>
  <c r="AM16" i="32" s="1"/>
  <c r="H16" i="32"/>
  <c r="G16" i="32"/>
  <c r="AR15" i="32"/>
  <c r="AL15" i="32"/>
  <c r="AK15" i="32"/>
  <c r="AG15" i="32"/>
  <c r="AF15" i="32"/>
  <c r="AB15" i="32"/>
  <c r="AA15" i="32"/>
  <c r="T15" i="32"/>
  <c r="S15" i="32"/>
  <c r="R15" i="32"/>
  <c r="AM15" i="32" s="1"/>
  <c r="H15" i="32"/>
  <c r="G15" i="32"/>
  <c r="AR14" i="32"/>
  <c r="AL14" i="32"/>
  <c r="AK14" i="32"/>
  <c r="AG14" i="32"/>
  <c r="AF14" i="32"/>
  <c r="AB14" i="32"/>
  <c r="AA14" i="32"/>
  <c r="T14" i="32"/>
  <c r="S14" i="32"/>
  <c r="R14" i="32"/>
  <c r="AM14" i="32" s="1"/>
  <c r="H14" i="32"/>
  <c r="G14" i="32"/>
  <c r="AR13" i="32"/>
  <c r="AL13" i="32"/>
  <c r="AK13" i="32"/>
  <c r="AG13" i="32"/>
  <c r="AF13" i="32"/>
  <c r="AB13" i="32"/>
  <c r="AA13" i="32"/>
  <c r="T13" i="32"/>
  <c r="S13" i="32"/>
  <c r="R13" i="32"/>
  <c r="AM13" i="32" s="1"/>
  <c r="H13" i="32"/>
  <c r="G13" i="32"/>
  <c r="AR12" i="32"/>
  <c r="AL12" i="32"/>
  <c r="AK12" i="32"/>
  <c r="AG12" i="32"/>
  <c r="AF12" i="32"/>
  <c r="AB12" i="32"/>
  <c r="AA12" i="32"/>
  <c r="T12" i="32"/>
  <c r="S12" i="32"/>
  <c r="R12" i="32"/>
  <c r="AM12" i="32" s="1"/>
  <c r="H12" i="32"/>
  <c r="G12" i="32"/>
  <c r="AR11" i="32"/>
  <c r="AL11" i="32"/>
  <c r="AK11" i="32"/>
  <c r="AG11" i="32"/>
  <c r="AF11" i="32"/>
  <c r="AB11" i="32"/>
  <c r="AA11" i="32"/>
  <c r="T11" i="32"/>
  <c r="S11" i="32"/>
  <c r="R11" i="32"/>
  <c r="AM11" i="32" s="1"/>
  <c r="H11" i="32"/>
  <c r="G11" i="32"/>
  <c r="AR10" i="32"/>
  <c r="AL10" i="32"/>
  <c r="AK10" i="32"/>
  <c r="AG10" i="32"/>
  <c r="AF10" i="32"/>
  <c r="AB10" i="32"/>
  <c r="AA10" i="32"/>
  <c r="T10" i="32"/>
  <c r="S10" i="32"/>
  <c r="R10" i="32"/>
  <c r="AM10" i="32" s="1"/>
  <c r="H10" i="32"/>
  <c r="G10" i="32"/>
  <c r="AR9" i="32"/>
  <c r="AL9" i="32"/>
  <c r="AK9" i="32"/>
  <c r="AG9" i="32"/>
  <c r="AF9" i="32"/>
  <c r="AB9" i="32"/>
  <c r="AA9" i="32"/>
  <c r="T9" i="32"/>
  <c r="S9" i="32"/>
  <c r="R9" i="32"/>
  <c r="AM9" i="32" s="1"/>
  <c r="H9" i="32"/>
  <c r="G9" i="32"/>
  <c r="AR8" i="32"/>
  <c r="AL8" i="32"/>
  <c r="AK8" i="32"/>
  <c r="AG8" i="32"/>
  <c r="AF8" i="32"/>
  <c r="AB8" i="32"/>
  <c r="AA8" i="32"/>
  <c r="T8" i="32"/>
  <c r="S8" i="32"/>
  <c r="R8" i="32"/>
  <c r="AM8" i="32" s="1"/>
  <c r="H8" i="32"/>
  <c r="G8" i="32"/>
  <c r="AR7" i="32"/>
  <c r="AL7" i="32"/>
  <c r="AK7" i="32"/>
  <c r="AG7" i="32"/>
  <c r="AF7" i="32"/>
  <c r="AB7" i="32"/>
  <c r="AA7" i="32"/>
  <c r="T7" i="32"/>
  <c r="S7" i="32"/>
  <c r="R7" i="32"/>
  <c r="AM7" i="32" s="1"/>
  <c r="H7" i="32"/>
  <c r="G7" i="32"/>
  <c r="AR6" i="32"/>
  <c r="AL6" i="32"/>
  <c r="AK6" i="32"/>
  <c r="AG6" i="32"/>
  <c r="AF6" i="32"/>
  <c r="AB6" i="32"/>
  <c r="AA6" i="32"/>
  <c r="T6" i="32"/>
  <c r="S6" i="32"/>
  <c r="R6" i="32"/>
  <c r="AM6" i="32" s="1"/>
  <c r="H6" i="32"/>
  <c r="G6" i="32"/>
  <c r="B6" i="32"/>
  <c r="B8" i="32" s="1"/>
  <c r="AR5" i="32"/>
  <c r="AL5" i="32"/>
  <c r="AK5" i="32"/>
  <c r="AG5" i="32"/>
  <c r="AF5" i="32"/>
  <c r="AB5" i="32"/>
  <c r="AA5" i="32"/>
  <c r="T5" i="32"/>
  <c r="S5" i="32"/>
  <c r="R5" i="32"/>
  <c r="AM5" i="32" s="1"/>
  <c r="H5" i="32"/>
  <c r="G5" i="32"/>
  <c r="B5" i="32"/>
  <c r="B7" i="32" s="1"/>
  <c r="A5" i="32"/>
  <c r="AR4" i="32"/>
  <c r="AL4" i="32"/>
  <c r="AK4" i="32"/>
  <c r="AG4" i="32"/>
  <c r="AF4" i="32"/>
  <c r="AB4" i="32"/>
  <c r="AA4" i="32"/>
  <c r="T4" i="32"/>
  <c r="S4" i="32"/>
  <c r="R4" i="32"/>
  <c r="H4" i="32"/>
  <c r="G4" i="32"/>
  <c r="A4" i="32"/>
  <c r="AP1" i="32"/>
  <c r="Z71" i="32" l="1"/>
  <c r="X71" i="32" s="1"/>
  <c r="AN15" i="32"/>
  <c r="AO13" i="32"/>
  <c r="AN36" i="32"/>
  <c r="AN39" i="32"/>
  <c r="AO64" i="32"/>
  <c r="AN38" i="32"/>
  <c r="AO25" i="32"/>
  <c r="AO33" i="32"/>
  <c r="AN57" i="32"/>
  <c r="AN56" i="32"/>
  <c r="AN58" i="32"/>
  <c r="AO56" i="32"/>
  <c r="AO57" i="32"/>
  <c r="AN59" i="32"/>
  <c r="AN54" i="32"/>
  <c r="AN55" i="32"/>
  <c r="AN62" i="32"/>
  <c r="AN63" i="32"/>
  <c r="AO55" i="32"/>
  <c r="AO60" i="32"/>
  <c r="AO61" i="32"/>
  <c r="AO63" i="32"/>
  <c r="AN52" i="32"/>
  <c r="AO52" i="32"/>
  <c r="AN51" i="32"/>
  <c r="AO47" i="32"/>
  <c r="AO49" i="32"/>
  <c r="AN50" i="32"/>
  <c r="AO48" i="32"/>
  <c r="AN40" i="32"/>
  <c r="AN48" i="32"/>
  <c r="AN42" i="32"/>
  <c r="AN44" i="32"/>
  <c r="AN47" i="32"/>
  <c r="AP47" i="32" s="1"/>
  <c r="AN49" i="32"/>
  <c r="AP49" i="32" s="1"/>
  <c r="AN46" i="32"/>
  <c r="AO44" i="32"/>
  <c r="AO45" i="32"/>
  <c r="AO40" i="32"/>
  <c r="AN41" i="32"/>
  <c r="AO41" i="32"/>
  <c r="AN43" i="32"/>
  <c r="AO39" i="32"/>
  <c r="AN13" i="32"/>
  <c r="AP13" i="32" s="1"/>
  <c r="AN19" i="32"/>
  <c r="AN20" i="32"/>
  <c r="AN22" i="32"/>
  <c r="AN23" i="32"/>
  <c r="AO18" i="32"/>
  <c r="AO5" i="32"/>
  <c r="AN27" i="32"/>
  <c r="AN30" i="32"/>
  <c r="AN31" i="32"/>
  <c r="AN4" i="32"/>
  <c r="AN7" i="32"/>
  <c r="AN8" i="32"/>
  <c r="AO14" i="32"/>
  <c r="AN16" i="32"/>
  <c r="AO20" i="32"/>
  <c r="AO23" i="32"/>
  <c r="AN24" i="32"/>
  <c r="AN25" i="32"/>
  <c r="AO28" i="32"/>
  <c r="AO29" i="32"/>
  <c r="AO31" i="32"/>
  <c r="AN32" i="32"/>
  <c r="AN33" i="32"/>
  <c r="AO36" i="32"/>
  <c r="AO37" i="32"/>
  <c r="AO4" i="32"/>
  <c r="AO7" i="32"/>
  <c r="AO8" i="32"/>
  <c r="AN9" i="32"/>
  <c r="AN11" i="32"/>
  <c r="AN12" i="32"/>
  <c r="AO16" i="32"/>
  <c r="AN17" i="32"/>
  <c r="AO24" i="32"/>
  <c r="AN26" i="32"/>
  <c r="AO32" i="32"/>
  <c r="AN34" i="32"/>
  <c r="AN5" i="32"/>
  <c r="AO12" i="32"/>
  <c r="AO17" i="32"/>
  <c r="AN35" i="32"/>
  <c r="AO6" i="32"/>
  <c r="AO10" i="32"/>
  <c r="AO9" i="32"/>
  <c r="A8" i="32"/>
  <c r="B10" i="32"/>
  <c r="B9" i="32"/>
  <c r="A7" i="32"/>
  <c r="AO11" i="32"/>
  <c r="R66" i="32"/>
  <c r="AN6" i="32"/>
  <c r="S66" i="32"/>
  <c r="AM4" i="32"/>
  <c r="AM66" i="32" s="1"/>
  <c r="H15" i="1" s="1"/>
  <c r="AN10" i="32"/>
  <c r="AO15" i="32"/>
  <c r="AN18" i="32"/>
  <c r="T66" i="32"/>
  <c r="A6" i="32"/>
  <c r="AN14" i="32"/>
  <c r="AO21" i="32"/>
  <c r="AN28" i="32"/>
  <c r="AO53" i="32"/>
  <c r="AN60" i="32"/>
  <c r="AO19" i="32"/>
  <c r="AO26" i="32"/>
  <c r="AO27" i="32"/>
  <c r="AO34" i="32"/>
  <c r="AO35" i="32"/>
  <c r="AO42" i="32"/>
  <c r="AO43" i="32"/>
  <c r="AO50" i="32"/>
  <c r="AO51" i="32"/>
  <c r="AO58" i="32"/>
  <c r="AO59" i="32"/>
  <c r="AN64" i="32"/>
  <c r="AP64" i="32" s="1"/>
  <c r="AN65" i="32"/>
  <c r="Y71" i="32"/>
  <c r="W71" i="32" s="1"/>
  <c r="AN21" i="32"/>
  <c r="AN29" i="32"/>
  <c r="AN37" i="32"/>
  <c r="AN45" i="32"/>
  <c r="AN53" i="32"/>
  <c r="AN61" i="32"/>
  <c r="AO65" i="32"/>
  <c r="AO22" i="32"/>
  <c r="AO30" i="32"/>
  <c r="AO38" i="32"/>
  <c r="AO46" i="32"/>
  <c r="AO54" i="32"/>
  <c r="AO62" i="32"/>
  <c r="AP44" i="32" l="1"/>
  <c r="AP8" i="32"/>
  <c r="AP57" i="32"/>
  <c r="AP51" i="32"/>
  <c r="AP56" i="32"/>
  <c r="AP58" i="32"/>
  <c r="AP36" i="32"/>
  <c r="AP33" i="32"/>
  <c r="AP30" i="32"/>
  <c r="AP25" i="32"/>
  <c r="AP15" i="32"/>
  <c r="AP18" i="32"/>
  <c r="AP19" i="32"/>
  <c r="AP11" i="32"/>
  <c r="AP23" i="32"/>
  <c r="AP31" i="32"/>
  <c r="AP38" i="32"/>
  <c r="AP39" i="32"/>
  <c r="AP21" i="32"/>
  <c r="AP59" i="32"/>
  <c r="AP4" i="32"/>
  <c r="AP61" i="32"/>
  <c r="AP62" i="32"/>
  <c r="AP55" i="32"/>
  <c r="AP60" i="32"/>
  <c r="AP63" i="32"/>
  <c r="AP52" i="32"/>
  <c r="AP53" i="32"/>
  <c r="AP40" i="32"/>
  <c r="AP48" i="32"/>
  <c r="AP50" i="32"/>
  <c r="AP46" i="32"/>
  <c r="AP45" i="32"/>
  <c r="AP41" i="32"/>
  <c r="AP43" i="32"/>
  <c r="AP37" i="32"/>
  <c r="AP29" i="32"/>
  <c r="AP5" i="32"/>
  <c r="AP7" i="32"/>
  <c r="AP20" i="32"/>
  <c r="AP16" i="32"/>
  <c r="AP35" i="32"/>
  <c r="AP28" i="32"/>
  <c r="AP34" i="32"/>
  <c r="AP9" i="32"/>
  <c r="AP24" i="32"/>
  <c r="AP6" i="32"/>
  <c r="AP12" i="32"/>
  <c r="AP14" i="32"/>
  <c r="AP17" i="32"/>
  <c r="AP32" i="32"/>
  <c r="AP10" i="32"/>
  <c r="AP26" i="32"/>
  <c r="B12" i="32"/>
  <c r="A10" i="32"/>
  <c r="AP54" i="32"/>
  <c r="AP22" i="32"/>
  <c r="AP42" i="32"/>
  <c r="B11" i="32"/>
  <c r="A9" i="32"/>
  <c r="AP27" i="32"/>
  <c r="AP65" i="32"/>
  <c r="AO66" i="32"/>
  <c r="J15" i="1" s="1"/>
  <c r="AN66" i="32"/>
  <c r="I15" i="1" s="1"/>
  <c r="J69" i="13"/>
  <c r="I67" i="13"/>
  <c r="O68" i="13"/>
  <c r="M15" i="1" l="1"/>
  <c r="N15" i="1" s="1"/>
  <c r="A12" i="32"/>
  <c r="B14" i="32"/>
  <c r="B13" i="32"/>
  <c r="A11" i="32"/>
  <c r="Q68" i="2"/>
  <c r="Q67" i="2"/>
  <c r="A13" i="32" l="1"/>
  <c r="B15" i="32"/>
  <c r="B16" i="32"/>
  <c r="A14" i="32"/>
  <c r="A16" i="32" l="1"/>
  <c r="B18" i="32"/>
  <c r="B17" i="32"/>
  <c r="A15" i="32"/>
  <c r="B19" i="32" l="1"/>
  <c r="A17" i="32"/>
  <c r="B20" i="32"/>
  <c r="A18" i="32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A20" i="32" l="1"/>
  <c r="B22" i="32"/>
  <c r="B21" i="32"/>
  <c r="A19" i="32"/>
  <c r="B23" i="32" l="1"/>
  <c r="A21" i="32"/>
  <c r="B24" i="32"/>
  <c r="A22" i="32"/>
  <c r="AS31" i="12"/>
  <c r="A24" i="32" l="1"/>
  <c r="B26" i="32"/>
  <c r="A23" i="32"/>
  <c r="B25" i="32"/>
  <c r="M57" i="1"/>
  <c r="N57" i="1" s="1"/>
  <c r="B27" i="32" l="1"/>
  <c r="A25" i="32"/>
  <c r="B28" i="32"/>
  <c r="A26" i="32"/>
  <c r="A28" i="32" l="1"/>
  <c r="B30" i="32"/>
  <c r="A27" i="32"/>
  <c r="B29" i="32"/>
  <c r="AS17" i="14"/>
  <c r="AS17" i="9"/>
  <c r="B31" i="32" l="1"/>
  <c r="A29" i="32"/>
  <c r="B32" i="32"/>
  <c r="A30" i="32"/>
  <c r="A31" i="32" l="1"/>
  <c r="B33" i="32"/>
  <c r="A32" i="32"/>
  <c r="B34" i="32"/>
  <c r="AS17" i="8"/>
  <c r="B35" i="32" l="1"/>
  <c r="A33" i="32"/>
  <c r="B36" i="32"/>
  <c r="A34" i="32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36" i="32" l="1"/>
  <c r="B38" i="32"/>
  <c r="A35" i="32"/>
  <c r="B37" i="32"/>
  <c r="AK5" i="19"/>
  <c r="AL5" i="19"/>
  <c r="AK6" i="19"/>
  <c r="AL6" i="19"/>
  <c r="AK7" i="19"/>
  <c r="AL7" i="19"/>
  <c r="AK8" i="19"/>
  <c r="AL8" i="19"/>
  <c r="AK9" i="19"/>
  <c r="AL9" i="19"/>
  <c r="AK10" i="19"/>
  <c r="AL10" i="19"/>
  <c r="AK11" i="19"/>
  <c r="AL11" i="19"/>
  <c r="AK12" i="19"/>
  <c r="AL12" i="19"/>
  <c r="AK13" i="19"/>
  <c r="AL13" i="19"/>
  <c r="AK14" i="19"/>
  <c r="AL14" i="19"/>
  <c r="AK15" i="19"/>
  <c r="AL15" i="19"/>
  <c r="AK16" i="19"/>
  <c r="AL16" i="19"/>
  <c r="AK17" i="19"/>
  <c r="AL17" i="19"/>
  <c r="AK18" i="19"/>
  <c r="AL18" i="19"/>
  <c r="AK19" i="19"/>
  <c r="AL19" i="19"/>
  <c r="AK20" i="19"/>
  <c r="AL20" i="19"/>
  <c r="AK21" i="19"/>
  <c r="AL21" i="19"/>
  <c r="AK22" i="19"/>
  <c r="AL22" i="19"/>
  <c r="AK23" i="19"/>
  <c r="AL23" i="19"/>
  <c r="AK24" i="19"/>
  <c r="AL24" i="19"/>
  <c r="AK25" i="19"/>
  <c r="AL25" i="19"/>
  <c r="AK26" i="19"/>
  <c r="AL26" i="19"/>
  <c r="AK27" i="19"/>
  <c r="AL27" i="19"/>
  <c r="AK28" i="19"/>
  <c r="AL28" i="19"/>
  <c r="AK29" i="19"/>
  <c r="AL29" i="19"/>
  <c r="AK30" i="19"/>
  <c r="AL30" i="19"/>
  <c r="AK31" i="19"/>
  <c r="AL31" i="19"/>
  <c r="AK32" i="19"/>
  <c r="AL32" i="19"/>
  <c r="AK33" i="19"/>
  <c r="AL33" i="19"/>
  <c r="AK34" i="19"/>
  <c r="AL34" i="19"/>
  <c r="AK35" i="19"/>
  <c r="AL35" i="19"/>
  <c r="AK36" i="19"/>
  <c r="AL36" i="19"/>
  <c r="AK37" i="19"/>
  <c r="AL37" i="19"/>
  <c r="AK38" i="19"/>
  <c r="AL38" i="19"/>
  <c r="AK39" i="19"/>
  <c r="AL39" i="19"/>
  <c r="AK40" i="19"/>
  <c r="AL40" i="19"/>
  <c r="AK41" i="19"/>
  <c r="AL41" i="19"/>
  <c r="AK42" i="19"/>
  <c r="AL42" i="19"/>
  <c r="AK43" i="19"/>
  <c r="AL43" i="19"/>
  <c r="AK44" i="19"/>
  <c r="AL44" i="19"/>
  <c r="AK45" i="19"/>
  <c r="AL45" i="19"/>
  <c r="AK46" i="19"/>
  <c r="AL46" i="19"/>
  <c r="AK47" i="19"/>
  <c r="AL47" i="19"/>
  <c r="AK48" i="19"/>
  <c r="AL48" i="19"/>
  <c r="AK49" i="19"/>
  <c r="AL49" i="19"/>
  <c r="AK50" i="19"/>
  <c r="AL50" i="19"/>
  <c r="AK51" i="19"/>
  <c r="AL51" i="19"/>
  <c r="AK52" i="19"/>
  <c r="AL52" i="19"/>
  <c r="AK53" i="19"/>
  <c r="AL53" i="19"/>
  <c r="AK54" i="19"/>
  <c r="AL54" i="19"/>
  <c r="AK55" i="19"/>
  <c r="AL55" i="19"/>
  <c r="AK56" i="19"/>
  <c r="AL56" i="19"/>
  <c r="AK57" i="19"/>
  <c r="AL57" i="19"/>
  <c r="AK58" i="19"/>
  <c r="AL58" i="19"/>
  <c r="AK59" i="19"/>
  <c r="AL59" i="19"/>
  <c r="AK60" i="19"/>
  <c r="AL60" i="19"/>
  <c r="AK61" i="19"/>
  <c r="AL61" i="19"/>
  <c r="AK62" i="19"/>
  <c r="AL62" i="19"/>
  <c r="AK63" i="19"/>
  <c r="AL63" i="19"/>
  <c r="AK64" i="19"/>
  <c r="AL64" i="19"/>
  <c r="AK65" i="19"/>
  <c r="AL65" i="19"/>
  <c r="AF5" i="19"/>
  <c r="AG5" i="19"/>
  <c r="AF6" i="19"/>
  <c r="AG6" i="19"/>
  <c r="AF7" i="19"/>
  <c r="AG7" i="19"/>
  <c r="AF8" i="19"/>
  <c r="AG8" i="19"/>
  <c r="AF9" i="19"/>
  <c r="AG9" i="19"/>
  <c r="AF10" i="19"/>
  <c r="AG10" i="19"/>
  <c r="AF11" i="19"/>
  <c r="AG11" i="19"/>
  <c r="AF12" i="19"/>
  <c r="AG12" i="19"/>
  <c r="AF13" i="19"/>
  <c r="AG13" i="19"/>
  <c r="AF14" i="19"/>
  <c r="AG14" i="19"/>
  <c r="AF15" i="19"/>
  <c r="AG15" i="19"/>
  <c r="AF16" i="19"/>
  <c r="AG16" i="19"/>
  <c r="AF17" i="19"/>
  <c r="AG17" i="19"/>
  <c r="AF18" i="19"/>
  <c r="AG18" i="19"/>
  <c r="AF19" i="19"/>
  <c r="AG19" i="19"/>
  <c r="AF20" i="19"/>
  <c r="AG20" i="19"/>
  <c r="AF21" i="19"/>
  <c r="AG21" i="19"/>
  <c r="AF22" i="19"/>
  <c r="AG22" i="19"/>
  <c r="AF23" i="19"/>
  <c r="AG23" i="19"/>
  <c r="AF24" i="19"/>
  <c r="AG24" i="19"/>
  <c r="AF25" i="19"/>
  <c r="AG25" i="19"/>
  <c r="AF26" i="19"/>
  <c r="AG26" i="19"/>
  <c r="AF27" i="19"/>
  <c r="AG27" i="19"/>
  <c r="AF28" i="19"/>
  <c r="AG28" i="19"/>
  <c r="AF29" i="19"/>
  <c r="AG29" i="19"/>
  <c r="AF30" i="19"/>
  <c r="AG30" i="19"/>
  <c r="AF31" i="19"/>
  <c r="AG31" i="19"/>
  <c r="AF32" i="19"/>
  <c r="AG32" i="19"/>
  <c r="AF33" i="19"/>
  <c r="AG33" i="19"/>
  <c r="AF34" i="19"/>
  <c r="AG34" i="19"/>
  <c r="AF35" i="19"/>
  <c r="AG35" i="19"/>
  <c r="AF36" i="19"/>
  <c r="AG36" i="19"/>
  <c r="AF37" i="19"/>
  <c r="AG37" i="19"/>
  <c r="AF38" i="19"/>
  <c r="AG38" i="19"/>
  <c r="AF39" i="19"/>
  <c r="AG39" i="19"/>
  <c r="AF40" i="19"/>
  <c r="AG40" i="19"/>
  <c r="AF41" i="19"/>
  <c r="AG41" i="19"/>
  <c r="AF42" i="19"/>
  <c r="AG42" i="19"/>
  <c r="AF43" i="19"/>
  <c r="AG43" i="19"/>
  <c r="AF44" i="19"/>
  <c r="AG44" i="19"/>
  <c r="AF45" i="19"/>
  <c r="AG45" i="19"/>
  <c r="AF46" i="19"/>
  <c r="AG46" i="19"/>
  <c r="AF47" i="19"/>
  <c r="AG47" i="19"/>
  <c r="AF48" i="19"/>
  <c r="AG48" i="19"/>
  <c r="AF49" i="19"/>
  <c r="AG49" i="19"/>
  <c r="AF50" i="19"/>
  <c r="AG50" i="19"/>
  <c r="AF51" i="19"/>
  <c r="AG51" i="19"/>
  <c r="AF52" i="19"/>
  <c r="AG52" i="19"/>
  <c r="AF53" i="19"/>
  <c r="AG53" i="19"/>
  <c r="AF54" i="19"/>
  <c r="AG54" i="19"/>
  <c r="AF55" i="19"/>
  <c r="AG55" i="19"/>
  <c r="AF56" i="19"/>
  <c r="AG56" i="19"/>
  <c r="AF57" i="19"/>
  <c r="AG57" i="19"/>
  <c r="AF58" i="19"/>
  <c r="AG58" i="19"/>
  <c r="AF59" i="19"/>
  <c r="AG59" i="19"/>
  <c r="AF60" i="19"/>
  <c r="AG60" i="19"/>
  <c r="AF61" i="19"/>
  <c r="AG61" i="19"/>
  <c r="AF62" i="19"/>
  <c r="AG62" i="19"/>
  <c r="AF63" i="19"/>
  <c r="AG63" i="19"/>
  <c r="AF64" i="19"/>
  <c r="AG64" i="19"/>
  <c r="AF65" i="19"/>
  <c r="AG65" i="19"/>
  <c r="AA5" i="19"/>
  <c r="AB5" i="19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12" i="19"/>
  <c r="AB12" i="19"/>
  <c r="AA13" i="19"/>
  <c r="AB13" i="19"/>
  <c r="AA14" i="19"/>
  <c r="AB14" i="19"/>
  <c r="AA15" i="19"/>
  <c r="AB15" i="19"/>
  <c r="AA16" i="19"/>
  <c r="AB16" i="19"/>
  <c r="AA17" i="19"/>
  <c r="AB17" i="19"/>
  <c r="AA18" i="19"/>
  <c r="AB18" i="19"/>
  <c r="AA19" i="19"/>
  <c r="AB19" i="19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R5" i="19"/>
  <c r="S5" i="19"/>
  <c r="T5" i="19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19"/>
  <c r="S18" i="19"/>
  <c r="T18" i="19"/>
  <c r="R19" i="19"/>
  <c r="S19" i="19"/>
  <c r="T19" i="19"/>
  <c r="R20" i="19"/>
  <c r="S20" i="19"/>
  <c r="T20" i="19"/>
  <c r="R21" i="19"/>
  <c r="S21" i="19"/>
  <c r="T21" i="19"/>
  <c r="R22" i="19"/>
  <c r="S22" i="19"/>
  <c r="T22" i="19"/>
  <c r="R23" i="19"/>
  <c r="S23" i="19"/>
  <c r="T23" i="19"/>
  <c r="R24" i="19"/>
  <c r="S24" i="19"/>
  <c r="T24" i="19"/>
  <c r="R25" i="19"/>
  <c r="S25" i="19"/>
  <c r="T25" i="19"/>
  <c r="R26" i="19"/>
  <c r="S26" i="19"/>
  <c r="T26" i="19"/>
  <c r="R27" i="19"/>
  <c r="S27" i="19"/>
  <c r="T27" i="19"/>
  <c r="R28" i="19"/>
  <c r="S28" i="19"/>
  <c r="T28" i="19"/>
  <c r="R29" i="19"/>
  <c r="S29" i="19"/>
  <c r="T29" i="19"/>
  <c r="R30" i="19"/>
  <c r="S30" i="19"/>
  <c r="T30" i="19"/>
  <c r="R31" i="19"/>
  <c r="S31" i="19"/>
  <c r="T31" i="19"/>
  <c r="R32" i="19"/>
  <c r="S32" i="19"/>
  <c r="T32" i="19"/>
  <c r="R33" i="19"/>
  <c r="S33" i="19"/>
  <c r="T33" i="19"/>
  <c r="R34" i="19"/>
  <c r="S34" i="19"/>
  <c r="T34" i="19"/>
  <c r="R35" i="19"/>
  <c r="S35" i="19"/>
  <c r="T35" i="19"/>
  <c r="R36" i="19"/>
  <c r="S36" i="19"/>
  <c r="T36" i="19"/>
  <c r="R37" i="19"/>
  <c r="S37" i="19"/>
  <c r="T37" i="19"/>
  <c r="R38" i="19"/>
  <c r="S38" i="19"/>
  <c r="T38" i="19"/>
  <c r="R39" i="19"/>
  <c r="S39" i="19"/>
  <c r="T39" i="19"/>
  <c r="R40" i="19"/>
  <c r="S40" i="19"/>
  <c r="T40" i="19"/>
  <c r="R41" i="19"/>
  <c r="S41" i="19"/>
  <c r="T41" i="19"/>
  <c r="R42" i="19"/>
  <c r="S42" i="19"/>
  <c r="T42" i="19"/>
  <c r="R43" i="19"/>
  <c r="S43" i="19"/>
  <c r="T43" i="19"/>
  <c r="R44" i="19"/>
  <c r="S44" i="19"/>
  <c r="T44" i="19"/>
  <c r="R45" i="19"/>
  <c r="S45" i="19"/>
  <c r="T45" i="19"/>
  <c r="R46" i="19"/>
  <c r="S46" i="19"/>
  <c r="T46" i="19"/>
  <c r="R47" i="19"/>
  <c r="S47" i="19"/>
  <c r="T47" i="19"/>
  <c r="R48" i="19"/>
  <c r="S48" i="19"/>
  <c r="T48" i="19"/>
  <c r="R49" i="19"/>
  <c r="S49" i="19"/>
  <c r="T49" i="19"/>
  <c r="R50" i="19"/>
  <c r="S50" i="19"/>
  <c r="T50" i="19"/>
  <c r="R51" i="19"/>
  <c r="S51" i="19"/>
  <c r="T51" i="19"/>
  <c r="R52" i="19"/>
  <c r="S52" i="19"/>
  <c r="T52" i="19"/>
  <c r="R53" i="19"/>
  <c r="S53" i="19"/>
  <c r="T53" i="19"/>
  <c r="S54" i="19"/>
  <c r="T54" i="19"/>
  <c r="S55" i="19"/>
  <c r="T55" i="19"/>
  <c r="S56" i="19"/>
  <c r="T56" i="19"/>
  <c r="S57" i="19"/>
  <c r="T57" i="19"/>
  <c r="S58" i="19"/>
  <c r="T58" i="19"/>
  <c r="S59" i="19"/>
  <c r="T59" i="19"/>
  <c r="S60" i="19"/>
  <c r="T60" i="19"/>
  <c r="S61" i="19"/>
  <c r="T61" i="19"/>
  <c r="S62" i="19"/>
  <c r="T62" i="19"/>
  <c r="S63" i="19"/>
  <c r="T63" i="19"/>
  <c r="R64" i="19"/>
  <c r="S64" i="19"/>
  <c r="T64" i="19"/>
  <c r="R65" i="19"/>
  <c r="S65" i="19"/>
  <c r="T65" i="19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H42" i="19"/>
  <c r="G43" i="19"/>
  <c r="H43" i="19"/>
  <c r="G44" i="19"/>
  <c r="H44" i="19"/>
  <c r="G45" i="19"/>
  <c r="H45" i="19"/>
  <c r="G46" i="19"/>
  <c r="H46" i="19"/>
  <c r="G47" i="19"/>
  <c r="H47" i="19"/>
  <c r="G48" i="19"/>
  <c r="H48" i="19"/>
  <c r="G49" i="19"/>
  <c r="H49" i="19"/>
  <c r="G50" i="19"/>
  <c r="H50" i="19"/>
  <c r="G51" i="19"/>
  <c r="H51" i="19"/>
  <c r="G52" i="19"/>
  <c r="H52" i="19"/>
  <c r="G53" i="19"/>
  <c r="H53" i="19"/>
  <c r="G54" i="19"/>
  <c r="H54" i="19"/>
  <c r="G55" i="19"/>
  <c r="H55" i="19"/>
  <c r="G56" i="19"/>
  <c r="H56" i="19"/>
  <c r="G57" i="19"/>
  <c r="H57" i="19"/>
  <c r="G58" i="19"/>
  <c r="H58" i="19"/>
  <c r="G59" i="19"/>
  <c r="H59" i="19"/>
  <c r="G60" i="19"/>
  <c r="H60" i="19"/>
  <c r="G61" i="19"/>
  <c r="H61" i="19"/>
  <c r="G62" i="19"/>
  <c r="H62" i="19"/>
  <c r="G63" i="19"/>
  <c r="H63" i="19"/>
  <c r="G64" i="19"/>
  <c r="H64" i="19"/>
  <c r="G65" i="19"/>
  <c r="H65" i="19"/>
  <c r="B39" i="32" l="1"/>
  <c r="A37" i="32"/>
  <c r="B40" i="32"/>
  <c r="A38" i="32"/>
  <c r="AS63" i="11"/>
  <c r="A40" i="32" l="1"/>
  <c r="B42" i="32"/>
  <c r="A39" i="32"/>
  <c r="B41" i="32"/>
  <c r="AP1" i="17"/>
  <c r="T65" i="17"/>
  <c r="S65" i="17"/>
  <c r="R65" i="17"/>
  <c r="AM65" i="17" s="1"/>
  <c r="T64" i="17"/>
  <c r="S64" i="17"/>
  <c r="R64" i="17"/>
  <c r="AM64" i="17" s="1"/>
  <c r="T63" i="17"/>
  <c r="S63" i="17"/>
  <c r="R63" i="17"/>
  <c r="T62" i="17"/>
  <c r="S62" i="17"/>
  <c r="R62" i="17"/>
  <c r="AM62" i="17" s="1"/>
  <c r="T61" i="17"/>
  <c r="S61" i="17"/>
  <c r="R61" i="17"/>
  <c r="AM61" i="17" s="1"/>
  <c r="T60" i="17"/>
  <c r="S60" i="17"/>
  <c r="R60" i="17"/>
  <c r="AM60" i="17" s="1"/>
  <c r="T59" i="17"/>
  <c r="S59" i="17"/>
  <c r="R59" i="17"/>
  <c r="AM59" i="17" s="1"/>
  <c r="T58" i="17"/>
  <c r="S58" i="17"/>
  <c r="R58" i="17"/>
  <c r="AM58" i="17" s="1"/>
  <c r="T57" i="17"/>
  <c r="S57" i="17"/>
  <c r="R57" i="17"/>
  <c r="AM57" i="17" s="1"/>
  <c r="T56" i="17"/>
  <c r="S56" i="17"/>
  <c r="R56" i="17"/>
  <c r="AM56" i="17" s="1"/>
  <c r="T55" i="17"/>
  <c r="S55" i="17"/>
  <c r="R55" i="17"/>
  <c r="AM55" i="17" s="1"/>
  <c r="T54" i="17"/>
  <c r="S54" i="17"/>
  <c r="R54" i="17"/>
  <c r="AM54" i="17" s="1"/>
  <c r="T53" i="17"/>
  <c r="S53" i="17"/>
  <c r="R53" i="17"/>
  <c r="AM53" i="17" s="1"/>
  <c r="T52" i="17"/>
  <c r="S52" i="17"/>
  <c r="R52" i="17"/>
  <c r="AM52" i="17" s="1"/>
  <c r="T51" i="17"/>
  <c r="S51" i="17"/>
  <c r="R51" i="17"/>
  <c r="AM51" i="17" s="1"/>
  <c r="T50" i="17"/>
  <c r="S50" i="17"/>
  <c r="R50" i="17"/>
  <c r="AM50" i="17" s="1"/>
  <c r="T49" i="17"/>
  <c r="S49" i="17"/>
  <c r="R49" i="17"/>
  <c r="AM49" i="17" s="1"/>
  <c r="T48" i="17"/>
  <c r="S48" i="17"/>
  <c r="R48" i="17"/>
  <c r="AM48" i="17" s="1"/>
  <c r="T47" i="17"/>
  <c r="S47" i="17"/>
  <c r="R47" i="17"/>
  <c r="AM47" i="17" s="1"/>
  <c r="T46" i="17"/>
  <c r="S46" i="17"/>
  <c r="R46" i="17"/>
  <c r="AM46" i="17" s="1"/>
  <c r="T45" i="17"/>
  <c r="S45" i="17"/>
  <c r="R45" i="17"/>
  <c r="AM45" i="17" s="1"/>
  <c r="T44" i="17"/>
  <c r="S44" i="17"/>
  <c r="R44" i="17"/>
  <c r="AM44" i="17" s="1"/>
  <c r="T43" i="17"/>
  <c r="S43" i="17"/>
  <c r="R43" i="17"/>
  <c r="AM43" i="17" s="1"/>
  <c r="T42" i="17"/>
  <c r="S42" i="17"/>
  <c r="R42" i="17"/>
  <c r="AM42" i="17" s="1"/>
  <c r="T41" i="17"/>
  <c r="S41" i="17"/>
  <c r="R41" i="17"/>
  <c r="AM41" i="17" s="1"/>
  <c r="T40" i="17"/>
  <c r="S40" i="17"/>
  <c r="R40" i="17"/>
  <c r="AM40" i="17" s="1"/>
  <c r="T39" i="17"/>
  <c r="S39" i="17"/>
  <c r="R39" i="17"/>
  <c r="AM39" i="17" s="1"/>
  <c r="T38" i="17"/>
  <c r="S38" i="17"/>
  <c r="R38" i="17"/>
  <c r="AM38" i="17" s="1"/>
  <c r="T37" i="17"/>
  <c r="S37" i="17"/>
  <c r="R37" i="17"/>
  <c r="AM37" i="17" s="1"/>
  <c r="T36" i="17"/>
  <c r="S36" i="17"/>
  <c r="R36" i="17"/>
  <c r="AM36" i="17" s="1"/>
  <c r="T35" i="17"/>
  <c r="S35" i="17"/>
  <c r="R35" i="17"/>
  <c r="AM35" i="17" s="1"/>
  <c r="T34" i="17"/>
  <c r="S34" i="17"/>
  <c r="R34" i="17"/>
  <c r="AM34" i="17" s="1"/>
  <c r="T33" i="17"/>
  <c r="S33" i="17"/>
  <c r="R33" i="17"/>
  <c r="AM33" i="17" s="1"/>
  <c r="T32" i="17"/>
  <c r="S32" i="17"/>
  <c r="R32" i="17"/>
  <c r="AM32" i="17" s="1"/>
  <c r="T31" i="17"/>
  <c r="S31" i="17"/>
  <c r="R31" i="17"/>
  <c r="AM31" i="17" s="1"/>
  <c r="T30" i="17"/>
  <c r="S30" i="17"/>
  <c r="R30" i="17"/>
  <c r="AM30" i="17" s="1"/>
  <c r="T29" i="17"/>
  <c r="S29" i="17"/>
  <c r="R29" i="17"/>
  <c r="AM29" i="17" s="1"/>
  <c r="T28" i="17"/>
  <c r="S28" i="17"/>
  <c r="R28" i="17"/>
  <c r="AM28" i="17" s="1"/>
  <c r="T27" i="17"/>
  <c r="S27" i="17"/>
  <c r="R27" i="17"/>
  <c r="AM27" i="17" s="1"/>
  <c r="T26" i="17"/>
  <c r="S26" i="17"/>
  <c r="R26" i="17"/>
  <c r="AM26" i="17" s="1"/>
  <c r="T25" i="17"/>
  <c r="S25" i="17"/>
  <c r="R25" i="17"/>
  <c r="AM25" i="17" s="1"/>
  <c r="T24" i="17"/>
  <c r="S24" i="17"/>
  <c r="R24" i="17"/>
  <c r="AM24" i="17" s="1"/>
  <c r="T23" i="17"/>
  <c r="S23" i="17"/>
  <c r="R23" i="17"/>
  <c r="T22" i="17"/>
  <c r="S22" i="17"/>
  <c r="R22" i="17"/>
  <c r="AM22" i="17" s="1"/>
  <c r="T21" i="17"/>
  <c r="S21" i="17"/>
  <c r="R21" i="17"/>
  <c r="AM21" i="17" s="1"/>
  <c r="T20" i="17"/>
  <c r="S20" i="17"/>
  <c r="R20" i="17"/>
  <c r="AM20" i="17" s="1"/>
  <c r="T19" i="17"/>
  <c r="S19" i="17"/>
  <c r="R19" i="17"/>
  <c r="AM19" i="17" s="1"/>
  <c r="T18" i="17"/>
  <c r="S18" i="17"/>
  <c r="R18" i="17"/>
  <c r="AM18" i="17" s="1"/>
  <c r="T17" i="17"/>
  <c r="S17" i="17"/>
  <c r="R17" i="17"/>
  <c r="AM17" i="17" s="1"/>
  <c r="T16" i="17"/>
  <c r="S16" i="17"/>
  <c r="R16" i="17"/>
  <c r="T15" i="17"/>
  <c r="S15" i="17"/>
  <c r="R15" i="17"/>
  <c r="AM15" i="17" s="1"/>
  <c r="T14" i="17"/>
  <c r="S14" i="17"/>
  <c r="R14" i="17"/>
  <c r="AM14" i="17" s="1"/>
  <c r="T13" i="17"/>
  <c r="S13" i="17"/>
  <c r="R13" i="17"/>
  <c r="AM13" i="17" s="1"/>
  <c r="T12" i="17"/>
  <c r="S12" i="17"/>
  <c r="R12" i="17"/>
  <c r="AM12" i="17" s="1"/>
  <c r="T11" i="17"/>
  <c r="S11" i="17"/>
  <c r="R11" i="17"/>
  <c r="AM11" i="17" s="1"/>
  <c r="T10" i="17"/>
  <c r="S10" i="17"/>
  <c r="R10" i="17"/>
  <c r="AM10" i="17" s="1"/>
  <c r="T9" i="17"/>
  <c r="S9" i="17"/>
  <c r="R9" i="17"/>
  <c r="T8" i="17"/>
  <c r="S8" i="17"/>
  <c r="R8" i="17"/>
  <c r="AM8" i="17" s="1"/>
  <c r="T7" i="17"/>
  <c r="S7" i="17"/>
  <c r="R7" i="17"/>
  <c r="AM7" i="17" s="1"/>
  <c r="T6" i="17"/>
  <c r="S6" i="17"/>
  <c r="R6" i="17"/>
  <c r="AM6" i="17" s="1"/>
  <c r="T5" i="17"/>
  <c r="S5" i="17"/>
  <c r="R5" i="17"/>
  <c r="AM63" i="17"/>
  <c r="AM23" i="17"/>
  <c r="AM16" i="17"/>
  <c r="AM9" i="17"/>
  <c r="AL65" i="17"/>
  <c r="AK65" i="17"/>
  <c r="AL64" i="17"/>
  <c r="AK64" i="17"/>
  <c r="AL63" i="17"/>
  <c r="AK63" i="17"/>
  <c r="AL62" i="17"/>
  <c r="AK62" i="17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G65" i="17"/>
  <c r="AF65" i="17"/>
  <c r="AG64" i="17"/>
  <c r="AF64" i="17"/>
  <c r="AG63" i="17"/>
  <c r="AF63" i="17"/>
  <c r="AG62" i="17"/>
  <c r="AF62" i="17"/>
  <c r="AG61" i="17"/>
  <c r="AF61" i="17"/>
  <c r="AG60" i="17"/>
  <c r="AF60" i="17"/>
  <c r="AG59" i="17"/>
  <c r="AF59" i="17"/>
  <c r="AG58" i="17"/>
  <c r="AF58" i="17"/>
  <c r="AG57" i="17"/>
  <c r="AF57" i="17"/>
  <c r="AG56" i="17"/>
  <c r="AF56" i="17"/>
  <c r="AG55" i="17"/>
  <c r="AF55" i="17"/>
  <c r="AG54" i="17"/>
  <c r="AF54" i="17"/>
  <c r="AG53" i="17"/>
  <c r="AF53" i="17"/>
  <c r="AG52" i="17"/>
  <c r="AF52" i="17"/>
  <c r="AG51" i="17"/>
  <c r="AF51" i="17"/>
  <c r="AG50" i="17"/>
  <c r="AF50" i="17"/>
  <c r="AG49" i="17"/>
  <c r="AF49" i="17"/>
  <c r="AG48" i="17"/>
  <c r="AF48" i="17"/>
  <c r="AG47" i="17"/>
  <c r="AF47" i="17"/>
  <c r="AG46" i="17"/>
  <c r="AF46" i="17"/>
  <c r="AG45" i="17"/>
  <c r="AF45" i="17"/>
  <c r="AG44" i="17"/>
  <c r="AF44" i="17"/>
  <c r="AG43" i="17"/>
  <c r="AF43" i="17"/>
  <c r="AG42" i="17"/>
  <c r="AF42" i="17"/>
  <c r="AG41" i="17"/>
  <c r="AF41" i="17"/>
  <c r="AG40" i="17"/>
  <c r="AF40" i="17"/>
  <c r="AG39" i="17"/>
  <c r="AF39" i="17"/>
  <c r="AG38" i="17"/>
  <c r="AF38" i="17"/>
  <c r="AG37" i="17"/>
  <c r="AF37" i="17"/>
  <c r="AG36" i="17"/>
  <c r="AF36" i="17"/>
  <c r="AG35" i="17"/>
  <c r="AF35" i="17"/>
  <c r="AG34" i="17"/>
  <c r="AF34" i="17"/>
  <c r="AG33" i="17"/>
  <c r="AF33" i="17"/>
  <c r="AG32" i="17"/>
  <c r="AF32" i="17"/>
  <c r="AG31" i="17"/>
  <c r="AF31" i="17"/>
  <c r="AG30" i="17"/>
  <c r="AF30" i="17"/>
  <c r="AG29" i="17"/>
  <c r="AF29" i="17"/>
  <c r="AG28" i="17"/>
  <c r="AF28" i="17"/>
  <c r="AG27" i="17"/>
  <c r="AF27" i="17"/>
  <c r="AG26" i="17"/>
  <c r="AF26" i="17"/>
  <c r="AG25" i="17"/>
  <c r="AF25" i="17"/>
  <c r="AG24" i="17"/>
  <c r="AF24" i="17"/>
  <c r="AG23" i="17"/>
  <c r="AF23" i="17"/>
  <c r="AG22" i="17"/>
  <c r="AF22" i="17"/>
  <c r="AG21" i="17"/>
  <c r="AF21" i="17"/>
  <c r="AG20" i="17"/>
  <c r="AF20" i="17"/>
  <c r="AG19" i="17"/>
  <c r="AF19" i="17"/>
  <c r="AG18" i="17"/>
  <c r="AF18" i="17"/>
  <c r="AG17" i="17"/>
  <c r="AF17" i="17"/>
  <c r="AG16" i="17"/>
  <c r="AF16" i="17"/>
  <c r="AG15" i="17"/>
  <c r="AF15" i="17"/>
  <c r="AG14" i="17"/>
  <c r="AF14" i="17"/>
  <c r="AG13" i="17"/>
  <c r="AF13" i="17"/>
  <c r="AG12" i="17"/>
  <c r="AF12" i="17"/>
  <c r="AG11" i="17"/>
  <c r="AF11" i="17"/>
  <c r="AG10" i="17"/>
  <c r="AF10" i="17"/>
  <c r="AG9" i="17"/>
  <c r="AF9" i="17"/>
  <c r="AG8" i="17"/>
  <c r="AF8" i="17"/>
  <c r="AG7" i="17"/>
  <c r="AF7" i="17"/>
  <c r="AG6" i="17"/>
  <c r="AF6" i="17"/>
  <c r="AG5" i="17"/>
  <c r="AF5" i="17"/>
  <c r="AS21" i="27"/>
  <c r="B43" i="32" l="1"/>
  <c r="A41" i="32"/>
  <c r="B44" i="32"/>
  <c r="A42" i="32"/>
  <c r="AS35" i="27"/>
  <c r="A44" i="32" l="1"/>
  <c r="B46" i="32"/>
  <c r="A43" i="32"/>
  <c r="B45" i="32"/>
  <c r="AS35" i="9"/>
  <c r="B47" i="32" l="1"/>
  <c r="A45" i="32"/>
  <c r="B48" i="32"/>
  <c r="A46" i="32"/>
  <c r="AS21" i="8"/>
  <c r="A47" i="32" l="1"/>
  <c r="B49" i="32"/>
  <c r="A48" i="32"/>
  <c r="B50" i="32"/>
  <c r="AF20" i="13"/>
  <c r="B52" i="32" l="1"/>
  <c r="A50" i="32"/>
  <c r="B51" i="32"/>
  <c r="A49" i="32"/>
  <c r="AA4" i="22"/>
  <c r="AB4" i="22"/>
  <c r="AA5" i="22"/>
  <c r="AB5" i="22"/>
  <c r="AA6" i="22"/>
  <c r="AB6" i="22"/>
  <c r="AA7" i="22"/>
  <c r="AB7" i="22"/>
  <c r="AA8" i="22"/>
  <c r="AB8" i="22"/>
  <c r="AA9" i="22"/>
  <c r="AB9" i="22"/>
  <c r="AA10" i="22"/>
  <c r="AB10" i="22"/>
  <c r="AA11" i="22"/>
  <c r="AB11" i="22"/>
  <c r="AA12" i="22"/>
  <c r="AB12" i="22"/>
  <c r="AA13" i="22"/>
  <c r="AB13" i="22"/>
  <c r="AA14" i="22"/>
  <c r="AB14" i="22"/>
  <c r="AA15" i="22"/>
  <c r="AB15" i="22"/>
  <c r="AA16" i="22"/>
  <c r="AB16" i="22"/>
  <c r="AA17" i="22"/>
  <c r="AB17" i="22"/>
  <c r="AA18" i="22"/>
  <c r="AB18" i="22"/>
  <c r="AA19" i="22"/>
  <c r="AB19" i="22"/>
  <c r="AA20" i="22"/>
  <c r="AB20" i="22"/>
  <c r="AA21" i="22"/>
  <c r="AB21" i="22"/>
  <c r="AA22" i="22"/>
  <c r="AB22" i="22"/>
  <c r="AA23" i="22"/>
  <c r="AB23" i="22"/>
  <c r="AA24" i="22"/>
  <c r="AB24" i="22"/>
  <c r="AA25" i="22"/>
  <c r="AB25" i="22"/>
  <c r="AA26" i="22"/>
  <c r="AB26" i="22"/>
  <c r="AA27" i="22"/>
  <c r="AB27" i="22"/>
  <c r="AA28" i="22"/>
  <c r="AB28" i="22"/>
  <c r="AA29" i="22"/>
  <c r="AB29" i="22"/>
  <c r="AA30" i="22"/>
  <c r="AB30" i="22"/>
  <c r="AA31" i="22"/>
  <c r="AB31" i="22"/>
  <c r="AA32" i="22"/>
  <c r="AB32" i="22"/>
  <c r="AA33" i="22"/>
  <c r="AB33" i="22"/>
  <c r="AA34" i="22"/>
  <c r="AB34" i="22"/>
  <c r="AA35" i="22"/>
  <c r="AB35" i="22"/>
  <c r="AA36" i="22"/>
  <c r="AB36" i="22"/>
  <c r="AA37" i="22"/>
  <c r="AB37" i="22"/>
  <c r="AA38" i="22"/>
  <c r="AB38" i="22"/>
  <c r="AA39" i="22"/>
  <c r="AB39" i="22"/>
  <c r="AA40" i="22"/>
  <c r="AB40" i="22"/>
  <c r="AA41" i="22"/>
  <c r="AB41" i="22"/>
  <c r="AA42" i="22"/>
  <c r="AB42" i="22"/>
  <c r="AA43" i="22"/>
  <c r="AB43" i="22"/>
  <c r="AA44" i="22"/>
  <c r="AB44" i="22"/>
  <c r="AA45" i="22"/>
  <c r="AB45" i="22"/>
  <c r="AA46" i="22"/>
  <c r="AB46" i="22"/>
  <c r="AA47" i="22"/>
  <c r="AB47" i="22"/>
  <c r="AA48" i="22"/>
  <c r="AB48" i="22"/>
  <c r="AA49" i="22"/>
  <c r="AB49" i="22"/>
  <c r="AA50" i="22"/>
  <c r="AB50" i="22"/>
  <c r="AA51" i="22"/>
  <c r="AB51" i="22"/>
  <c r="AA52" i="22"/>
  <c r="AB52" i="22"/>
  <c r="AA53" i="22"/>
  <c r="AB53" i="22"/>
  <c r="AA54" i="22"/>
  <c r="AB54" i="22"/>
  <c r="AA55" i="22"/>
  <c r="AB55" i="22"/>
  <c r="AA56" i="22"/>
  <c r="AB56" i="22"/>
  <c r="AA57" i="22"/>
  <c r="AB57" i="22"/>
  <c r="AA58" i="22"/>
  <c r="AB58" i="22"/>
  <c r="AA59" i="22"/>
  <c r="AB59" i="22"/>
  <c r="AA60" i="22"/>
  <c r="AB60" i="22"/>
  <c r="AA61" i="22"/>
  <c r="AB61" i="22"/>
  <c r="AA62" i="22"/>
  <c r="AB62" i="22"/>
  <c r="AA63" i="22"/>
  <c r="AB63" i="22"/>
  <c r="AA64" i="22"/>
  <c r="AB64" i="22"/>
  <c r="AA65" i="22"/>
  <c r="AB65" i="22"/>
  <c r="A51" i="32" l="1"/>
  <c r="B53" i="32"/>
  <c r="A52" i="32"/>
  <c r="B54" i="32"/>
  <c r="J66" i="31"/>
  <c r="G14" i="1" s="1"/>
  <c r="AR65" i="31"/>
  <c r="AL65" i="31"/>
  <c r="AK65" i="31"/>
  <c r="AG65" i="31"/>
  <c r="AF65" i="31"/>
  <c r="AB65" i="31"/>
  <c r="AA65" i="31"/>
  <c r="T65" i="31"/>
  <c r="S65" i="31"/>
  <c r="R65" i="31"/>
  <c r="AM65" i="31" s="1"/>
  <c r="H65" i="31"/>
  <c r="G65" i="31"/>
  <c r="AR64" i="31"/>
  <c r="AL64" i="31"/>
  <c r="AK64" i="31"/>
  <c r="AG64" i="31"/>
  <c r="AF64" i="31"/>
  <c r="AB64" i="31"/>
  <c r="AA64" i="31"/>
  <c r="T64" i="31"/>
  <c r="S64" i="31"/>
  <c r="R64" i="31"/>
  <c r="AM64" i="31" s="1"/>
  <c r="H64" i="31"/>
  <c r="G64" i="31"/>
  <c r="AR63" i="31"/>
  <c r="AL63" i="31"/>
  <c r="AK63" i="31"/>
  <c r="AG63" i="31"/>
  <c r="AF63" i="31"/>
  <c r="AB63" i="31"/>
  <c r="AA63" i="31"/>
  <c r="T63" i="31"/>
  <c r="S63" i="31"/>
  <c r="R63" i="31"/>
  <c r="AM63" i="31" s="1"/>
  <c r="H63" i="31"/>
  <c r="G63" i="31"/>
  <c r="AR62" i="31"/>
  <c r="AL62" i="31"/>
  <c r="AK62" i="31"/>
  <c r="AG62" i="31"/>
  <c r="AF62" i="31"/>
  <c r="AB62" i="31"/>
  <c r="AA62" i="31"/>
  <c r="T62" i="31"/>
  <c r="S62" i="31"/>
  <c r="R62" i="31"/>
  <c r="AM62" i="31" s="1"/>
  <c r="H62" i="31"/>
  <c r="G62" i="31"/>
  <c r="AR61" i="31"/>
  <c r="AL61" i="31"/>
  <c r="AK61" i="31"/>
  <c r="AG61" i="31"/>
  <c r="AF61" i="31"/>
  <c r="AB61" i="31"/>
  <c r="AA61" i="31"/>
  <c r="T61" i="31"/>
  <c r="S61" i="31"/>
  <c r="R61" i="31"/>
  <c r="AM61" i="31" s="1"/>
  <c r="H61" i="31"/>
  <c r="G61" i="31"/>
  <c r="AR60" i="31"/>
  <c r="AL60" i="31"/>
  <c r="AK60" i="31"/>
  <c r="AG60" i="31"/>
  <c r="AF60" i="31"/>
  <c r="AB60" i="31"/>
  <c r="AA60" i="31"/>
  <c r="T60" i="31"/>
  <c r="S60" i="31"/>
  <c r="R60" i="31"/>
  <c r="AM60" i="31" s="1"/>
  <c r="H60" i="31"/>
  <c r="G60" i="31"/>
  <c r="AR59" i="31"/>
  <c r="AL59" i="31"/>
  <c r="AK59" i="31"/>
  <c r="AG59" i="31"/>
  <c r="AF59" i="31"/>
  <c r="AB59" i="31"/>
  <c r="AA59" i="31"/>
  <c r="T59" i="31"/>
  <c r="S59" i="31"/>
  <c r="R59" i="31"/>
  <c r="AM59" i="31" s="1"/>
  <c r="H59" i="31"/>
  <c r="G59" i="31"/>
  <c r="AR58" i="31"/>
  <c r="AL58" i="31"/>
  <c r="AK58" i="31"/>
  <c r="AG58" i="31"/>
  <c r="AF58" i="31"/>
  <c r="AB58" i="31"/>
  <c r="AA58" i="31"/>
  <c r="T58" i="31"/>
  <c r="S58" i="31"/>
  <c r="R58" i="31"/>
  <c r="AM58" i="31" s="1"/>
  <c r="H58" i="31"/>
  <c r="G58" i="31"/>
  <c r="AR57" i="31"/>
  <c r="AL57" i="31"/>
  <c r="AK57" i="31"/>
  <c r="AG57" i="31"/>
  <c r="AF57" i="31"/>
  <c r="T57" i="31"/>
  <c r="S57" i="31"/>
  <c r="R57" i="31"/>
  <c r="AM57" i="31" s="1"/>
  <c r="H57" i="31"/>
  <c r="G57" i="31"/>
  <c r="AR56" i="31"/>
  <c r="AL56" i="31"/>
  <c r="AK56" i="31"/>
  <c r="AG56" i="31"/>
  <c r="AF56" i="31"/>
  <c r="AB56" i="31"/>
  <c r="AA56" i="31"/>
  <c r="T56" i="31"/>
  <c r="S56" i="31"/>
  <c r="R56" i="31"/>
  <c r="AM56" i="31" s="1"/>
  <c r="H56" i="31"/>
  <c r="G56" i="31"/>
  <c r="AR55" i="31"/>
  <c r="AL55" i="31"/>
  <c r="AK55" i="31"/>
  <c r="AG55" i="31"/>
  <c r="AF55" i="31"/>
  <c r="AB55" i="31"/>
  <c r="AA55" i="31"/>
  <c r="T55" i="31"/>
  <c r="S55" i="31"/>
  <c r="R55" i="31"/>
  <c r="AM55" i="31" s="1"/>
  <c r="H55" i="31"/>
  <c r="G55" i="31"/>
  <c r="AR54" i="31"/>
  <c r="AL54" i="31"/>
  <c r="AK54" i="31"/>
  <c r="AG54" i="31"/>
  <c r="AF54" i="31"/>
  <c r="AB54" i="31"/>
  <c r="AA54" i="31"/>
  <c r="T54" i="31"/>
  <c r="S54" i="31"/>
  <c r="R54" i="31"/>
  <c r="AM54" i="31" s="1"/>
  <c r="H54" i="31"/>
  <c r="G54" i="31"/>
  <c r="AR53" i="31"/>
  <c r="AL53" i="31"/>
  <c r="AK53" i="31"/>
  <c r="AG53" i="31"/>
  <c r="AF53" i="31"/>
  <c r="AB53" i="31"/>
  <c r="AA53" i="31"/>
  <c r="T53" i="31"/>
  <c r="S53" i="31"/>
  <c r="R53" i="31"/>
  <c r="AM53" i="31" s="1"/>
  <c r="H53" i="31"/>
  <c r="G53" i="31"/>
  <c r="AR52" i="31"/>
  <c r="AL52" i="31"/>
  <c r="AK52" i="31"/>
  <c r="AG52" i="31"/>
  <c r="AF52" i="31"/>
  <c r="AB52" i="31"/>
  <c r="AA52" i="31"/>
  <c r="T52" i="31"/>
  <c r="S52" i="31"/>
  <c r="R52" i="31"/>
  <c r="AM52" i="31" s="1"/>
  <c r="H52" i="31"/>
  <c r="G52" i="31"/>
  <c r="AR51" i="31"/>
  <c r="AL51" i="31"/>
  <c r="AK51" i="31"/>
  <c r="AG51" i="31"/>
  <c r="AF51" i="31"/>
  <c r="AB51" i="31"/>
  <c r="AA51" i="31"/>
  <c r="T51" i="31"/>
  <c r="S51" i="31"/>
  <c r="R51" i="31"/>
  <c r="AM51" i="31" s="1"/>
  <c r="H51" i="31"/>
  <c r="G51" i="31"/>
  <c r="AR50" i="31"/>
  <c r="AL50" i="31"/>
  <c r="AK50" i="31"/>
  <c r="AG50" i="31"/>
  <c r="AF50" i="31"/>
  <c r="AB50" i="31"/>
  <c r="AA50" i="31"/>
  <c r="T50" i="31"/>
  <c r="S50" i="31"/>
  <c r="R50" i="31"/>
  <c r="AM50" i="31" s="1"/>
  <c r="H50" i="31"/>
  <c r="G50" i="31"/>
  <c r="AR49" i="31"/>
  <c r="AL49" i="31"/>
  <c r="AK49" i="31"/>
  <c r="AG49" i="31"/>
  <c r="AF49" i="31"/>
  <c r="AB49" i="31"/>
  <c r="AA49" i="31"/>
  <c r="T49" i="31"/>
  <c r="S49" i="31"/>
  <c r="R49" i="31"/>
  <c r="AM49" i="31" s="1"/>
  <c r="H49" i="31"/>
  <c r="G49" i="31"/>
  <c r="AR48" i="31"/>
  <c r="AL48" i="31"/>
  <c r="AK48" i="31"/>
  <c r="AG48" i="31"/>
  <c r="AF48" i="31"/>
  <c r="AB48" i="31"/>
  <c r="AA48" i="31"/>
  <c r="T48" i="31"/>
  <c r="S48" i="31"/>
  <c r="R48" i="31"/>
  <c r="AM48" i="31" s="1"/>
  <c r="H48" i="31"/>
  <c r="G48" i="31"/>
  <c r="AR47" i="31"/>
  <c r="AL47" i="31"/>
  <c r="AK47" i="31"/>
  <c r="AG47" i="31"/>
  <c r="AF47" i="31"/>
  <c r="AB47" i="31"/>
  <c r="AA47" i="31"/>
  <c r="T47" i="31"/>
  <c r="S47" i="31"/>
  <c r="R47" i="31"/>
  <c r="AM47" i="31" s="1"/>
  <c r="H47" i="31"/>
  <c r="G47" i="31"/>
  <c r="AR46" i="31"/>
  <c r="AL46" i="31"/>
  <c r="AK46" i="31"/>
  <c r="AG46" i="31"/>
  <c r="AF46" i="31"/>
  <c r="AB46" i="31"/>
  <c r="AA46" i="31"/>
  <c r="T46" i="31"/>
  <c r="S46" i="31"/>
  <c r="R46" i="31"/>
  <c r="AM46" i="31" s="1"/>
  <c r="H46" i="31"/>
  <c r="G46" i="31"/>
  <c r="AR45" i="31"/>
  <c r="AL45" i="31"/>
  <c r="AK45" i="31"/>
  <c r="AG45" i="31"/>
  <c r="AF45" i="31"/>
  <c r="AB45" i="31"/>
  <c r="AA45" i="31"/>
  <c r="T45" i="31"/>
  <c r="S45" i="31"/>
  <c r="R45" i="31"/>
  <c r="AM45" i="31" s="1"/>
  <c r="H45" i="31"/>
  <c r="G45" i="31"/>
  <c r="AR44" i="31"/>
  <c r="AL44" i="31"/>
  <c r="AK44" i="31"/>
  <c r="AG44" i="31"/>
  <c r="AF44" i="31"/>
  <c r="AB44" i="31"/>
  <c r="AA44" i="31"/>
  <c r="T44" i="31"/>
  <c r="S44" i="31"/>
  <c r="R44" i="31"/>
  <c r="AM44" i="31" s="1"/>
  <c r="H44" i="31"/>
  <c r="G44" i="31"/>
  <c r="AR43" i="31"/>
  <c r="AL43" i="31"/>
  <c r="AK43" i="31"/>
  <c r="AG43" i="31"/>
  <c r="AF43" i="31"/>
  <c r="AB43" i="31"/>
  <c r="AA43" i="31"/>
  <c r="T43" i="31"/>
  <c r="S43" i="31"/>
  <c r="R43" i="31"/>
  <c r="AM43" i="31" s="1"/>
  <c r="H43" i="31"/>
  <c r="G43" i="31"/>
  <c r="AR42" i="31"/>
  <c r="AL42" i="31"/>
  <c r="AK42" i="31"/>
  <c r="AG42" i="31"/>
  <c r="AF42" i="31"/>
  <c r="AB42" i="31"/>
  <c r="AA42" i="31"/>
  <c r="T42" i="31"/>
  <c r="S42" i="31"/>
  <c r="R42" i="31"/>
  <c r="AM42" i="31" s="1"/>
  <c r="H42" i="31"/>
  <c r="G42" i="31"/>
  <c r="AR41" i="31"/>
  <c r="AL41" i="31"/>
  <c r="AK41" i="31"/>
  <c r="AG41" i="31"/>
  <c r="AF41" i="31"/>
  <c r="AB41" i="31"/>
  <c r="AA41" i="31"/>
  <c r="T41" i="31"/>
  <c r="S41" i="31"/>
  <c r="R41" i="31"/>
  <c r="AM41" i="31" s="1"/>
  <c r="H41" i="31"/>
  <c r="G41" i="31"/>
  <c r="AR40" i="31"/>
  <c r="AL40" i="31"/>
  <c r="AK40" i="31"/>
  <c r="AG40" i="31"/>
  <c r="AF40" i="31"/>
  <c r="AB40" i="31"/>
  <c r="AA40" i="31"/>
  <c r="T40" i="31"/>
  <c r="S40" i="31"/>
  <c r="R40" i="31"/>
  <c r="AM40" i="31" s="1"/>
  <c r="H40" i="31"/>
  <c r="G40" i="31"/>
  <c r="AR39" i="31"/>
  <c r="AL39" i="31"/>
  <c r="AK39" i="31"/>
  <c r="AG39" i="31"/>
  <c r="AF39" i="31"/>
  <c r="AB39" i="31"/>
  <c r="AA39" i="31"/>
  <c r="T39" i="31"/>
  <c r="S39" i="31"/>
  <c r="R39" i="31"/>
  <c r="AM39" i="31" s="1"/>
  <c r="H39" i="31"/>
  <c r="G39" i="31"/>
  <c r="AR38" i="31"/>
  <c r="AL38" i="31"/>
  <c r="AK38" i="31"/>
  <c r="AG38" i="31"/>
  <c r="AF38" i="31"/>
  <c r="AB38" i="31"/>
  <c r="AA38" i="31"/>
  <c r="T38" i="31"/>
  <c r="S38" i="31"/>
  <c r="R38" i="31"/>
  <c r="AM38" i="31" s="1"/>
  <c r="H38" i="31"/>
  <c r="G38" i="31"/>
  <c r="AR37" i="31"/>
  <c r="AL37" i="31"/>
  <c r="AK37" i="31"/>
  <c r="AG37" i="31"/>
  <c r="AF37" i="31"/>
  <c r="AB37" i="31"/>
  <c r="AA37" i="31"/>
  <c r="T37" i="31"/>
  <c r="S37" i="31"/>
  <c r="R37" i="31"/>
  <c r="AM37" i="31" s="1"/>
  <c r="H37" i="31"/>
  <c r="G37" i="31"/>
  <c r="AR36" i="31"/>
  <c r="AL36" i="31"/>
  <c r="AK36" i="31"/>
  <c r="AG36" i="31"/>
  <c r="AF36" i="31"/>
  <c r="AB36" i="31"/>
  <c r="AA36" i="31"/>
  <c r="T36" i="31"/>
  <c r="S36" i="31"/>
  <c r="R36" i="31"/>
  <c r="AM36" i="31" s="1"/>
  <c r="H36" i="31"/>
  <c r="G36" i="31"/>
  <c r="AR35" i="31"/>
  <c r="AL35" i="31"/>
  <c r="AK35" i="31"/>
  <c r="AG35" i="31"/>
  <c r="AF35" i="31"/>
  <c r="AB35" i="31"/>
  <c r="AA35" i="31"/>
  <c r="T35" i="31"/>
  <c r="S35" i="31"/>
  <c r="R35" i="31"/>
  <c r="AM35" i="31" s="1"/>
  <c r="H35" i="31"/>
  <c r="G35" i="31"/>
  <c r="AR34" i="31"/>
  <c r="AL34" i="31"/>
  <c r="AK34" i="31"/>
  <c r="AG34" i="31"/>
  <c r="AF34" i="31"/>
  <c r="AB34" i="31"/>
  <c r="AA34" i="31"/>
  <c r="T34" i="31"/>
  <c r="S34" i="31"/>
  <c r="R34" i="31"/>
  <c r="AM34" i="31" s="1"/>
  <c r="H34" i="31"/>
  <c r="G34" i="31"/>
  <c r="AR33" i="31"/>
  <c r="AL33" i="31"/>
  <c r="AK33" i="31"/>
  <c r="AG33" i="31"/>
  <c r="AF33" i="31"/>
  <c r="AB33" i="31"/>
  <c r="AA33" i="31"/>
  <c r="T33" i="31"/>
  <c r="S33" i="31"/>
  <c r="R33" i="31"/>
  <c r="AM33" i="31" s="1"/>
  <c r="H33" i="31"/>
  <c r="G33" i="31"/>
  <c r="AR32" i="31"/>
  <c r="AL32" i="31"/>
  <c r="AK32" i="31"/>
  <c r="AG32" i="31"/>
  <c r="AF32" i="31"/>
  <c r="AB32" i="31"/>
  <c r="AA32" i="31"/>
  <c r="T32" i="31"/>
  <c r="S32" i="31"/>
  <c r="R32" i="31"/>
  <c r="AM32" i="31" s="1"/>
  <c r="H32" i="31"/>
  <c r="G32" i="31"/>
  <c r="AR31" i="31"/>
  <c r="AL31" i="31"/>
  <c r="AK31" i="31"/>
  <c r="AG31" i="31"/>
  <c r="AF31" i="31"/>
  <c r="AB31" i="31"/>
  <c r="AA31" i="31"/>
  <c r="T31" i="31"/>
  <c r="S31" i="31"/>
  <c r="R31" i="31"/>
  <c r="AM31" i="31" s="1"/>
  <c r="H31" i="31"/>
  <c r="G31" i="31"/>
  <c r="AR30" i="31"/>
  <c r="AL30" i="31"/>
  <c r="AK30" i="31"/>
  <c r="AG30" i="31"/>
  <c r="AF30" i="31"/>
  <c r="AB30" i="31"/>
  <c r="AA30" i="31"/>
  <c r="T30" i="31"/>
  <c r="S30" i="31"/>
  <c r="R30" i="31"/>
  <c r="AM30" i="31" s="1"/>
  <c r="H30" i="31"/>
  <c r="G30" i="31"/>
  <c r="AR29" i="31"/>
  <c r="AL29" i="31"/>
  <c r="AK29" i="31"/>
  <c r="AG29" i="31"/>
  <c r="AF29" i="31"/>
  <c r="AB29" i="31"/>
  <c r="AA29" i="31"/>
  <c r="T29" i="31"/>
  <c r="S29" i="31"/>
  <c r="R29" i="31"/>
  <c r="AM29" i="31" s="1"/>
  <c r="H29" i="31"/>
  <c r="G29" i="31"/>
  <c r="AR28" i="31"/>
  <c r="AL28" i="31"/>
  <c r="AK28" i="31"/>
  <c r="AG28" i="31"/>
  <c r="AF28" i="31"/>
  <c r="AB28" i="31"/>
  <c r="AA28" i="31"/>
  <c r="T28" i="31"/>
  <c r="S28" i="31"/>
  <c r="R28" i="31"/>
  <c r="AM28" i="31" s="1"/>
  <c r="H28" i="31"/>
  <c r="G28" i="31"/>
  <c r="AR27" i="31"/>
  <c r="AL27" i="31"/>
  <c r="AK27" i="31"/>
  <c r="AG27" i="31"/>
  <c r="AF27" i="31"/>
  <c r="AB27" i="31"/>
  <c r="AA27" i="31"/>
  <c r="T27" i="31"/>
  <c r="S27" i="31"/>
  <c r="R27" i="31"/>
  <c r="AM27" i="31" s="1"/>
  <c r="H27" i="31"/>
  <c r="G27" i="31"/>
  <c r="AR26" i="31"/>
  <c r="AL26" i="31"/>
  <c r="AK26" i="31"/>
  <c r="AG26" i="31"/>
  <c r="AF26" i="31"/>
  <c r="AB26" i="31"/>
  <c r="AA26" i="31"/>
  <c r="T26" i="31"/>
  <c r="S26" i="31"/>
  <c r="R26" i="31"/>
  <c r="AM26" i="31" s="1"/>
  <c r="H26" i="31"/>
  <c r="G26" i="31"/>
  <c r="AR25" i="31"/>
  <c r="AL25" i="31"/>
  <c r="AK25" i="31"/>
  <c r="AG25" i="31"/>
  <c r="AF25" i="31"/>
  <c r="AB25" i="31"/>
  <c r="AA25" i="31"/>
  <c r="T25" i="31"/>
  <c r="S25" i="31"/>
  <c r="R25" i="31"/>
  <c r="AM25" i="31" s="1"/>
  <c r="H25" i="31"/>
  <c r="G25" i="31"/>
  <c r="AR24" i="31"/>
  <c r="AL24" i="31"/>
  <c r="AK24" i="31"/>
  <c r="AG24" i="31"/>
  <c r="AF24" i="31"/>
  <c r="AB24" i="31"/>
  <c r="AA24" i="31"/>
  <c r="T24" i="31"/>
  <c r="S24" i="31"/>
  <c r="R24" i="31"/>
  <c r="AM24" i="31" s="1"/>
  <c r="H24" i="31"/>
  <c r="G24" i="31"/>
  <c r="AR23" i="31"/>
  <c r="AL23" i="31"/>
  <c r="AK23" i="31"/>
  <c r="AG23" i="31"/>
  <c r="AF23" i="31"/>
  <c r="AB23" i="31"/>
  <c r="AA23" i="31"/>
  <c r="T23" i="31"/>
  <c r="S23" i="31"/>
  <c r="R23" i="31"/>
  <c r="AM23" i="31" s="1"/>
  <c r="H23" i="31"/>
  <c r="G23" i="31"/>
  <c r="AR22" i="31"/>
  <c r="AL22" i="31"/>
  <c r="AK22" i="31"/>
  <c r="AG22" i="31"/>
  <c r="AF22" i="31"/>
  <c r="AB22" i="31"/>
  <c r="AA22" i="31"/>
  <c r="T22" i="31"/>
  <c r="S22" i="31"/>
  <c r="R22" i="31"/>
  <c r="AM22" i="31" s="1"/>
  <c r="H22" i="31"/>
  <c r="G22" i="31"/>
  <c r="AR21" i="31"/>
  <c r="AL21" i="31"/>
  <c r="AK21" i="31"/>
  <c r="AG21" i="31"/>
  <c r="AF21" i="31"/>
  <c r="AB21" i="31"/>
  <c r="AA21" i="31"/>
  <c r="T21" i="31"/>
  <c r="S21" i="31"/>
  <c r="R21" i="31"/>
  <c r="AM21" i="31" s="1"/>
  <c r="H21" i="31"/>
  <c r="G21" i="31"/>
  <c r="AR20" i="31"/>
  <c r="AL20" i="31"/>
  <c r="AK20" i="31"/>
  <c r="AG20" i="31"/>
  <c r="AF20" i="31"/>
  <c r="AB20" i="31"/>
  <c r="AA20" i="31"/>
  <c r="T20" i="31"/>
  <c r="S20" i="31"/>
  <c r="R20" i="31"/>
  <c r="AM20" i="31" s="1"/>
  <c r="H20" i="31"/>
  <c r="G20" i="31"/>
  <c r="AR19" i="31"/>
  <c r="AL19" i="31"/>
  <c r="AK19" i="31"/>
  <c r="AG19" i="31"/>
  <c r="AF19" i="31"/>
  <c r="AB19" i="31"/>
  <c r="AA19" i="31"/>
  <c r="T19" i="31"/>
  <c r="S19" i="31"/>
  <c r="R19" i="31"/>
  <c r="AM19" i="31" s="1"/>
  <c r="H19" i="31"/>
  <c r="G19" i="31"/>
  <c r="AR18" i="31"/>
  <c r="AL18" i="31"/>
  <c r="AK18" i="31"/>
  <c r="AG18" i="31"/>
  <c r="AF18" i="31"/>
  <c r="AB18" i="31"/>
  <c r="AA18" i="31"/>
  <c r="T18" i="31"/>
  <c r="S18" i="31"/>
  <c r="R18" i="31"/>
  <c r="AM18" i="31" s="1"/>
  <c r="H18" i="31"/>
  <c r="G18" i="31"/>
  <c r="AR17" i="31"/>
  <c r="AL17" i="31"/>
  <c r="AK17" i="31"/>
  <c r="AG17" i="31"/>
  <c r="AF17" i="31"/>
  <c r="AB17" i="31"/>
  <c r="AA17" i="31"/>
  <c r="T17" i="31"/>
  <c r="S17" i="31"/>
  <c r="R17" i="31"/>
  <c r="AM17" i="31" s="1"/>
  <c r="H17" i="31"/>
  <c r="G17" i="31"/>
  <c r="AR16" i="31"/>
  <c r="AL16" i="31"/>
  <c r="AK16" i="31"/>
  <c r="AG16" i="31"/>
  <c r="AF16" i="31"/>
  <c r="AB16" i="31"/>
  <c r="AA16" i="31"/>
  <c r="T16" i="31"/>
  <c r="S16" i="31"/>
  <c r="R16" i="31"/>
  <c r="AM16" i="31" s="1"/>
  <c r="H16" i="31"/>
  <c r="G16" i="31"/>
  <c r="AR15" i="31"/>
  <c r="AL15" i="31"/>
  <c r="AK15" i="31"/>
  <c r="AG15" i="31"/>
  <c r="AF15" i="31"/>
  <c r="AB15" i="31"/>
  <c r="AA15" i="31"/>
  <c r="T15" i="31"/>
  <c r="S15" i="31"/>
  <c r="R15" i="31"/>
  <c r="AM15" i="31" s="1"/>
  <c r="H15" i="31"/>
  <c r="G15" i="31"/>
  <c r="AR14" i="31"/>
  <c r="AL14" i="31"/>
  <c r="AK14" i="31"/>
  <c r="AG14" i="31"/>
  <c r="AF14" i="31"/>
  <c r="AB14" i="31"/>
  <c r="AA14" i="31"/>
  <c r="T14" i="31"/>
  <c r="S14" i="31"/>
  <c r="R14" i="31"/>
  <c r="AM14" i="31" s="1"/>
  <c r="H14" i="31"/>
  <c r="G14" i="31"/>
  <c r="AR13" i="31"/>
  <c r="AL13" i="31"/>
  <c r="AK13" i="31"/>
  <c r="AG13" i="31"/>
  <c r="AF13" i="31"/>
  <c r="AB13" i="31"/>
  <c r="AA13" i="31"/>
  <c r="T13" i="31"/>
  <c r="S13" i="31"/>
  <c r="R13" i="31"/>
  <c r="AM13" i="31" s="1"/>
  <c r="H13" i="31"/>
  <c r="G13" i="31"/>
  <c r="AR12" i="31"/>
  <c r="AL12" i="31"/>
  <c r="AK12" i="31"/>
  <c r="AG12" i="31"/>
  <c r="AF12" i="31"/>
  <c r="AB12" i="31"/>
  <c r="AA12" i="31"/>
  <c r="T12" i="31"/>
  <c r="S12" i="31"/>
  <c r="R12" i="31"/>
  <c r="AM12" i="31" s="1"/>
  <c r="H12" i="31"/>
  <c r="G12" i="31"/>
  <c r="AR11" i="31"/>
  <c r="AL11" i="31"/>
  <c r="AK11" i="31"/>
  <c r="AG11" i="31"/>
  <c r="AF11" i="31"/>
  <c r="AB11" i="31"/>
  <c r="AA11" i="31"/>
  <c r="T11" i="31"/>
  <c r="S11" i="31"/>
  <c r="R11" i="31"/>
  <c r="AM11" i="31" s="1"/>
  <c r="H11" i="31"/>
  <c r="G11" i="31"/>
  <c r="AR10" i="31"/>
  <c r="AL10" i="31"/>
  <c r="AK10" i="31"/>
  <c r="AG10" i="31"/>
  <c r="AF10" i="31"/>
  <c r="AB10" i="31"/>
  <c r="AA10" i="31"/>
  <c r="T10" i="31"/>
  <c r="S10" i="31"/>
  <c r="R10" i="31"/>
  <c r="AM10" i="31" s="1"/>
  <c r="H10" i="31"/>
  <c r="G10" i="31"/>
  <c r="AR9" i="31"/>
  <c r="AL9" i="31"/>
  <c r="AK9" i="31"/>
  <c r="AG9" i="31"/>
  <c r="AF9" i="31"/>
  <c r="AB9" i="31"/>
  <c r="AA9" i="31"/>
  <c r="T9" i="31"/>
  <c r="S9" i="31"/>
  <c r="R9" i="31"/>
  <c r="AM9" i="31" s="1"/>
  <c r="H9" i="31"/>
  <c r="G9" i="31"/>
  <c r="AR8" i="31"/>
  <c r="AL8" i="31"/>
  <c r="AK8" i="31"/>
  <c r="AG8" i="31"/>
  <c r="AF8" i="31"/>
  <c r="AB8" i="31"/>
  <c r="AA8" i="31"/>
  <c r="T8" i="31"/>
  <c r="S8" i="31"/>
  <c r="R8" i="31"/>
  <c r="AM8" i="31" s="1"/>
  <c r="H8" i="31"/>
  <c r="G8" i="31"/>
  <c r="AR7" i="31"/>
  <c r="AL7" i="31"/>
  <c r="AK7" i="31"/>
  <c r="AG7" i="31"/>
  <c r="AF7" i="31"/>
  <c r="AB7" i="31"/>
  <c r="AA7" i="31"/>
  <c r="T7" i="31"/>
  <c r="S7" i="31"/>
  <c r="R7" i="31"/>
  <c r="AM7" i="31" s="1"/>
  <c r="H7" i="31"/>
  <c r="G7" i="31"/>
  <c r="AR6" i="31"/>
  <c r="AL6" i="31"/>
  <c r="AK6" i="31"/>
  <c r="AG6" i="31"/>
  <c r="AF6" i="31"/>
  <c r="AB6" i="31"/>
  <c r="AA6" i="31"/>
  <c r="T6" i="31"/>
  <c r="S6" i="31"/>
  <c r="R6" i="31"/>
  <c r="AM6" i="31" s="1"/>
  <c r="H6" i="31"/>
  <c r="G6" i="31"/>
  <c r="B6" i="31"/>
  <c r="A6" i="31" s="1"/>
  <c r="AR5" i="31"/>
  <c r="AL5" i="31"/>
  <c r="AK5" i="31"/>
  <c r="AG5" i="31"/>
  <c r="AF5" i="31"/>
  <c r="AB5" i="31"/>
  <c r="AA5" i="31"/>
  <c r="T5" i="31"/>
  <c r="S5" i="31"/>
  <c r="R5" i="31"/>
  <c r="AM5" i="31" s="1"/>
  <c r="H5" i="31"/>
  <c r="G5" i="31"/>
  <c r="B5" i="31"/>
  <c r="B7" i="31" s="1"/>
  <c r="AR4" i="31"/>
  <c r="AL4" i="31"/>
  <c r="AK4" i="31"/>
  <c r="AG4" i="31"/>
  <c r="AF4" i="31"/>
  <c r="AB4" i="31"/>
  <c r="AA4" i="31"/>
  <c r="T4" i="31"/>
  <c r="S4" i="31"/>
  <c r="R4" i="31"/>
  <c r="AM4" i="31" s="1"/>
  <c r="H4" i="31"/>
  <c r="G4" i="31"/>
  <c r="A4" i="31"/>
  <c r="AP1" i="31"/>
  <c r="B56" i="32" l="1"/>
  <c r="A54" i="32"/>
  <c r="B55" i="32"/>
  <c r="A53" i="32"/>
  <c r="AO64" i="31"/>
  <c r="AO65" i="31"/>
  <c r="AN64" i="31"/>
  <c r="AN65" i="31"/>
  <c r="AP65" i="31" s="1"/>
  <c r="AO56" i="31"/>
  <c r="AO57" i="31"/>
  <c r="AO12" i="31"/>
  <c r="A5" i="31"/>
  <c r="AN17" i="31"/>
  <c r="AN19" i="31"/>
  <c r="AN28" i="31"/>
  <c r="AN35" i="31"/>
  <c r="AN29" i="31"/>
  <c r="AN30" i="31"/>
  <c r="AN31" i="31"/>
  <c r="AN32" i="31"/>
  <c r="AN33" i="31"/>
  <c r="AN34" i="31"/>
  <c r="AO63" i="31"/>
  <c r="AO5" i="31"/>
  <c r="AN6" i="31"/>
  <c r="AN7" i="31"/>
  <c r="AN8" i="31"/>
  <c r="AN9" i="31"/>
  <c r="AN10" i="31"/>
  <c r="AO28" i="31"/>
  <c r="AO29" i="31"/>
  <c r="AO30" i="31"/>
  <c r="AO31" i="31"/>
  <c r="AN44" i="31"/>
  <c r="AN45" i="31"/>
  <c r="AN46" i="31"/>
  <c r="AN47" i="31"/>
  <c r="AN48" i="31"/>
  <c r="AN49" i="31"/>
  <c r="AN50" i="31"/>
  <c r="AN51" i="31"/>
  <c r="AN4" i="31"/>
  <c r="AO6" i="31"/>
  <c r="AO44" i="31"/>
  <c r="AO45" i="31"/>
  <c r="AO46" i="31"/>
  <c r="AO47" i="31"/>
  <c r="AO16" i="31"/>
  <c r="AO4" i="31"/>
  <c r="AO7" i="31"/>
  <c r="AO8" i="31"/>
  <c r="AP8" i="31" s="1"/>
  <c r="AO9" i="31"/>
  <c r="AO10" i="31"/>
  <c r="AN11" i="31"/>
  <c r="AN12" i="31"/>
  <c r="AO17" i="31"/>
  <c r="AO18" i="31"/>
  <c r="AO19" i="31"/>
  <c r="AN20" i="31"/>
  <c r="AN21" i="31"/>
  <c r="AN22" i="31"/>
  <c r="AN23" i="31"/>
  <c r="AO32" i="31"/>
  <c r="AO33" i="31"/>
  <c r="AO34" i="31"/>
  <c r="AO35" i="31"/>
  <c r="AN36" i="31"/>
  <c r="AN37" i="31"/>
  <c r="AN38" i="31"/>
  <c r="AN39" i="31"/>
  <c r="AO48" i="31"/>
  <c r="AO49" i="31"/>
  <c r="AO50" i="31"/>
  <c r="AO51" i="31"/>
  <c r="AN52" i="31"/>
  <c r="AN53" i="31"/>
  <c r="AN54" i="31"/>
  <c r="AN55" i="31"/>
  <c r="AN58" i="31"/>
  <c r="AN59" i="31"/>
  <c r="AN60" i="31"/>
  <c r="AN61" i="31"/>
  <c r="AN5" i="31"/>
  <c r="AO11" i="31"/>
  <c r="AN13" i="31"/>
  <c r="AN14" i="31"/>
  <c r="AO20" i="31"/>
  <c r="AO21" i="31"/>
  <c r="AO22" i="31"/>
  <c r="AO23" i="31"/>
  <c r="AN24" i="31"/>
  <c r="AN25" i="31"/>
  <c r="AN26" i="31"/>
  <c r="AN27" i="31"/>
  <c r="AO36" i="31"/>
  <c r="AP36" i="31" s="1"/>
  <c r="AO37" i="31"/>
  <c r="AO38" i="31"/>
  <c r="AO39" i="31"/>
  <c r="AN40" i="31"/>
  <c r="AN41" i="31"/>
  <c r="AN42" i="31"/>
  <c r="AN43" i="31"/>
  <c r="AO52" i="31"/>
  <c r="AO53" i="31"/>
  <c r="AO54" i="31"/>
  <c r="AO55" i="31"/>
  <c r="AN56" i="31"/>
  <c r="AO58" i="31"/>
  <c r="AO59" i="31"/>
  <c r="AO60" i="31"/>
  <c r="AO61" i="31"/>
  <c r="AN62" i="31"/>
  <c r="AN63" i="31"/>
  <c r="AO14" i="31"/>
  <c r="AP14" i="31" s="1"/>
  <c r="AN15" i="31"/>
  <c r="AO24" i="31"/>
  <c r="AO25" i="31"/>
  <c r="AO26" i="31"/>
  <c r="AO27" i="31"/>
  <c r="AO40" i="31"/>
  <c r="AO41" i="31"/>
  <c r="AO42" i="31"/>
  <c r="AO43" i="31"/>
  <c r="AO62" i="31"/>
  <c r="AM66" i="31"/>
  <c r="H14" i="1" s="1"/>
  <c r="AO15" i="31"/>
  <c r="AN57" i="31"/>
  <c r="B9" i="31"/>
  <c r="A7" i="31"/>
  <c r="B8" i="31"/>
  <c r="AN18" i="31"/>
  <c r="AO13" i="31"/>
  <c r="AN16" i="31"/>
  <c r="AP12" i="31" l="1"/>
  <c r="AP20" i="31"/>
  <c r="AP63" i="31"/>
  <c r="AP52" i="31"/>
  <c r="AP18" i="31"/>
  <c r="A55" i="32"/>
  <c r="B57" i="32"/>
  <c r="A56" i="32"/>
  <c r="B58" i="32"/>
  <c r="AP6" i="31"/>
  <c r="AP31" i="31"/>
  <c r="AP64" i="31"/>
  <c r="AP26" i="31"/>
  <c r="AP60" i="31"/>
  <c r="AP28" i="31"/>
  <c r="AP56" i="31"/>
  <c r="AP51" i="31"/>
  <c r="AP54" i="31"/>
  <c r="AP34" i="31"/>
  <c r="AP19" i="31"/>
  <c r="AP22" i="31"/>
  <c r="AP48" i="31"/>
  <c r="AP47" i="31"/>
  <c r="AP44" i="31"/>
  <c r="AP46" i="31"/>
  <c r="AP38" i="31"/>
  <c r="AP41" i="31"/>
  <c r="AP42" i="31"/>
  <c r="AP29" i="31"/>
  <c r="AP30" i="31"/>
  <c r="AP32" i="31"/>
  <c r="AP10" i="31"/>
  <c r="AP25" i="31"/>
  <c r="AP13" i="31"/>
  <c r="AP7" i="31"/>
  <c r="AP53" i="31"/>
  <c r="AP21" i="31"/>
  <c r="AP37" i="31"/>
  <c r="AP49" i="31"/>
  <c r="AP45" i="31"/>
  <c r="AP4" i="31"/>
  <c r="AP57" i="31"/>
  <c r="AP59" i="31"/>
  <c r="AP35" i="31"/>
  <c r="AP40" i="31"/>
  <c r="AP24" i="31"/>
  <c r="AP16" i="31"/>
  <c r="AP58" i="31"/>
  <c r="AP50" i="31"/>
  <c r="AP33" i="31"/>
  <c r="AP43" i="31"/>
  <c r="AP27" i="31"/>
  <c r="AP9" i="31"/>
  <c r="AP5" i="31"/>
  <c r="AP17" i="31"/>
  <c r="AP61" i="31"/>
  <c r="AP55" i="31"/>
  <c r="AP39" i="31"/>
  <c r="AP23" i="31"/>
  <c r="AP15" i="31"/>
  <c r="AP11" i="31"/>
  <c r="AP62" i="31"/>
  <c r="B11" i="31"/>
  <c r="A9" i="31"/>
  <c r="AN66" i="31"/>
  <c r="I14" i="1" s="1"/>
  <c r="AO66" i="31"/>
  <c r="J14" i="1" s="1"/>
  <c r="A8" i="31"/>
  <c r="B10" i="31"/>
  <c r="B60" i="32" l="1"/>
  <c r="A58" i="32"/>
  <c r="B59" i="32"/>
  <c r="A57" i="32"/>
  <c r="M14" i="1"/>
  <c r="N14" i="1" s="1"/>
  <c r="B12" i="31"/>
  <c r="A10" i="31"/>
  <c r="B13" i="31"/>
  <c r="A11" i="31"/>
  <c r="A59" i="32" l="1"/>
  <c r="B61" i="32"/>
  <c r="A60" i="32"/>
  <c r="B62" i="32"/>
  <c r="B15" i="31"/>
  <c r="A13" i="31"/>
  <c r="B14" i="31"/>
  <c r="A12" i="31"/>
  <c r="B64" i="32" l="1"/>
  <c r="A64" i="32" s="1"/>
  <c r="A62" i="32"/>
  <c r="B63" i="32"/>
  <c r="A61" i="32"/>
  <c r="A14" i="31"/>
  <c r="B16" i="31"/>
  <c r="A15" i="31"/>
  <c r="B17" i="31"/>
  <c r="A63" i="32" l="1"/>
  <c r="B65" i="32"/>
  <c r="A65" i="32" s="1"/>
  <c r="B19" i="31"/>
  <c r="A17" i="31"/>
  <c r="B18" i="31"/>
  <c r="A16" i="31"/>
  <c r="A18" i="31" l="1"/>
  <c r="B20" i="31"/>
  <c r="B21" i="31"/>
  <c r="A19" i="31"/>
  <c r="A21" i="31" l="1"/>
  <c r="B23" i="31"/>
  <c r="A20" i="31"/>
  <c r="B22" i="31"/>
  <c r="A22" i="31" l="1"/>
  <c r="B24" i="31"/>
  <c r="B25" i="31"/>
  <c r="A23" i="31"/>
  <c r="A25" i="31" l="1"/>
  <c r="B27" i="31"/>
  <c r="A24" i="31"/>
  <c r="B26" i="31"/>
  <c r="A26" i="31" l="1"/>
  <c r="B28" i="31"/>
  <c r="B29" i="31"/>
  <c r="A27" i="31"/>
  <c r="A29" i="31" l="1"/>
  <c r="B31" i="31"/>
  <c r="A28" i="31"/>
  <c r="B30" i="31"/>
  <c r="A30" i="31" l="1"/>
  <c r="B32" i="31"/>
  <c r="B33" i="31"/>
  <c r="A31" i="31"/>
  <c r="A33" i="31" l="1"/>
  <c r="B35" i="31"/>
  <c r="A32" i="31"/>
  <c r="B34" i="31"/>
  <c r="A34" i="31" l="1"/>
  <c r="B36" i="31"/>
  <c r="B37" i="31"/>
  <c r="A35" i="31"/>
  <c r="A37" i="31" l="1"/>
  <c r="B39" i="31"/>
  <c r="A36" i="31"/>
  <c r="B38" i="31"/>
  <c r="B41" i="31" l="1"/>
  <c r="A39" i="31"/>
  <c r="A38" i="31"/>
  <c r="B40" i="31"/>
  <c r="A40" i="31" l="1"/>
  <c r="B42" i="31"/>
  <c r="A41" i="31"/>
  <c r="B43" i="31"/>
  <c r="B45" i="31" l="1"/>
  <c r="A43" i="31"/>
  <c r="A42" i="31"/>
  <c r="B44" i="31"/>
  <c r="A44" i="31" l="1"/>
  <c r="B46" i="31"/>
  <c r="A45" i="31"/>
  <c r="B47" i="31"/>
  <c r="A46" i="31" l="1"/>
  <c r="B48" i="31"/>
  <c r="B49" i="31"/>
  <c r="A47" i="31"/>
  <c r="A49" i="31" l="1"/>
  <c r="B51" i="31"/>
  <c r="A48" i="31"/>
  <c r="B50" i="31"/>
  <c r="A50" i="31" l="1"/>
  <c r="B52" i="31"/>
  <c r="B53" i="31"/>
  <c r="A51" i="31"/>
  <c r="A53" i="31" l="1"/>
  <c r="B55" i="31"/>
  <c r="A52" i="31"/>
  <c r="B54" i="31"/>
  <c r="A54" i="31" l="1"/>
  <c r="B56" i="31"/>
  <c r="B57" i="31"/>
  <c r="A55" i="31"/>
  <c r="B59" i="31" l="1"/>
  <c r="A57" i="31"/>
  <c r="A56" i="31"/>
  <c r="B58" i="31"/>
  <c r="A58" i="31" l="1"/>
  <c r="B60" i="31"/>
  <c r="A59" i="31"/>
  <c r="B61" i="31"/>
  <c r="A60" i="31" l="1"/>
  <c r="B62" i="31"/>
  <c r="B63" i="31"/>
  <c r="A61" i="31"/>
  <c r="A63" i="31" l="1"/>
  <c r="B65" i="31"/>
  <c r="A65" i="31" s="1"/>
  <c r="A62" i="31"/>
  <c r="B64" i="31"/>
  <c r="A64" i="31" s="1"/>
  <c r="AS55" i="12" l="1"/>
  <c r="AS41" i="8" l="1"/>
  <c r="J66" i="22" l="1"/>
  <c r="AL40" i="22"/>
  <c r="J66" i="30" l="1"/>
  <c r="G7" i="1" s="1"/>
  <c r="AR65" i="30"/>
  <c r="AL65" i="30"/>
  <c r="AK65" i="30"/>
  <c r="AG65" i="30"/>
  <c r="AF65" i="30"/>
  <c r="AB65" i="30"/>
  <c r="AA65" i="30"/>
  <c r="T65" i="30"/>
  <c r="S65" i="30"/>
  <c r="R65" i="30"/>
  <c r="AM65" i="30" s="1"/>
  <c r="H65" i="30"/>
  <c r="G65" i="30"/>
  <c r="AR64" i="30"/>
  <c r="AL64" i="30"/>
  <c r="AK64" i="30"/>
  <c r="AG64" i="30"/>
  <c r="AF64" i="30"/>
  <c r="AB64" i="30"/>
  <c r="AA64" i="30"/>
  <c r="T64" i="30"/>
  <c r="S64" i="30"/>
  <c r="R64" i="30"/>
  <c r="AM64" i="30" s="1"/>
  <c r="H64" i="30"/>
  <c r="G64" i="30"/>
  <c r="AR63" i="30"/>
  <c r="AL63" i="30"/>
  <c r="AK63" i="30"/>
  <c r="AG63" i="30"/>
  <c r="AF63" i="30"/>
  <c r="AB63" i="30"/>
  <c r="AA63" i="30"/>
  <c r="T63" i="30"/>
  <c r="S63" i="30"/>
  <c r="R63" i="30"/>
  <c r="AM63" i="30" s="1"/>
  <c r="H63" i="30"/>
  <c r="G63" i="30"/>
  <c r="AR62" i="30"/>
  <c r="AL62" i="30"/>
  <c r="AK62" i="30"/>
  <c r="AG62" i="30"/>
  <c r="AF62" i="30"/>
  <c r="AB62" i="30"/>
  <c r="AA62" i="30"/>
  <c r="T62" i="30"/>
  <c r="S62" i="30"/>
  <c r="R62" i="30"/>
  <c r="AM62" i="30" s="1"/>
  <c r="H62" i="30"/>
  <c r="G62" i="30"/>
  <c r="AR61" i="30"/>
  <c r="AL61" i="30"/>
  <c r="AK61" i="30"/>
  <c r="AG61" i="30"/>
  <c r="AF61" i="30"/>
  <c r="AB61" i="30"/>
  <c r="AA61" i="30"/>
  <c r="T61" i="30"/>
  <c r="S61" i="30"/>
  <c r="R61" i="30"/>
  <c r="AM61" i="30" s="1"/>
  <c r="H61" i="30"/>
  <c r="G61" i="30"/>
  <c r="AR60" i="30"/>
  <c r="AL60" i="30"/>
  <c r="AK60" i="30"/>
  <c r="AG60" i="30"/>
  <c r="AF60" i="30"/>
  <c r="AB60" i="30"/>
  <c r="AA60" i="30"/>
  <c r="T60" i="30"/>
  <c r="S60" i="30"/>
  <c r="R60" i="30"/>
  <c r="AM60" i="30" s="1"/>
  <c r="H60" i="30"/>
  <c r="G60" i="30"/>
  <c r="AR59" i="30"/>
  <c r="AL59" i="30"/>
  <c r="AK59" i="30"/>
  <c r="AG59" i="30"/>
  <c r="AF59" i="30"/>
  <c r="AB59" i="30"/>
  <c r="AA59" i="30"/>
  <c r="T59" i="30"/>
  <c r="S59" i="30"/>
  <c r="R59" i="30"/>
  <c r="AM59" i="30" s="1"/>
  <c r="H59" i="30"/>
  <c r="G59" i="30"/>
  <c r="AR58" i="30"/>
  <c r="AL58" i="30"/>
  <c r="AK58" i="30"/>
  <c r="AG58" i="30"/>
  <c r="AF58" i="30"/>
  <c r="AB58" i="30"/>
  <c r="AA58" i="30"/>
  <c r="T58" i="30"/>
  <c r="S58" i="30"/>
  <c r="R58" i="30"/>
  <c r="AM58" i="30" s="1"/>
  <c r="H58" i="30"/>
  <c r="G58" i="30"/>
  <c r="AR57" i="30"/>
  <c r="AL57" i="30"/>
  <c r="AK57" i="30"/>
  <c r="AG57" i="30"/>
  <c r="AF57" i="30"/>
  <c r="AB57" i="30"/>
  <c r="AA57" i="30"/>
  <c r="T57" i="30"/>
  <c r="S57" i="30"/>
  <c r="R57" i="30"/>
  <c r="AM57" i="30" s="1"/>
  <c r="H57" i="30"/>
  <c r="G57" i="30"/>
  <c r="AR56" i="30"/>
  <c r="AL56" i="30"/>
  <c r="AK56" i="30"/>
  <c r="AG56" i="30"/>
  <c r="AF56" i="30"/>
  <c r="AB56" i="30"/>
  <c r="AA56" i="30"/>
  <c r="T56" i="30"/>
  <c r="S56" i="30"/>
  <c r="R56" i="30"/>
  <c r="AM56" i="30" s="1"/>
  <c r="H56" i="30"/>
  <c r="G56" i="30"/>
  <c r="AR55" i="30"/>
  <c r="AL55" i="30"/>
  <c r="AK55" i="30"/>
  <c r="AG55" i="30"/>
  <c r="AF55" i="30"/>
  <c r="AB55" i="30"/>
  <c r="AA55" i="30"/>
  <c r="T55" i="30"/>
  <c r="S55" i="30"/>
  <c r="R55" i="30"/>
  <c r="AM55" i="30" s="1"/>
  <c r="H55" i="30"/>
  <c r="G55" i="30"/>
  <c r="AR54" i="30"/>
  <c r="AL54" i="30"/>
  <c r="AK54" i="30"/>
  <c r="AG54" i="30"/>
  <c r="AF54" i="30"/>
  <c r="AB54" i="30"/>
  <c r="AA54" i="30"/>
  <c r="T54" i="30"/>
  <c r="S54" i="30"/>
  <c r="R54" i="30"/>
  <c r="AM54" i="30" s="1"/>
  <c r="H54" i="30"/>
  <c r="G54" i="30"/>
  <c r="AR53" i="30"/>
  <c r="AL53" i="30"/>
  <c r="AK53" i="30"/>
  <c r="AG53" i="30"/>
  <c r="AF53" i="30"/>
  <c r="AB53" i="30"/>
  <c r="AA53" i="30"/>
  <c r="T53" i="30"/>
  <c r="S53" i="30"/>
  <c r="R53" i="30"/>
  <c r="AM53" i="30" s="1"/>
  <c r="H53" i="30"/>
  <c r="G53" i="30"/>
  <c r="AR52" i="30"/>
  <c r="AL52" i="30"/>
  <c r="AK52" i="30"/>
  <c r="AG52" i="30"/>
  <c r="AF52" i="30"/>
  <c r="AB52" i="30"/>
  <c r="AA52" i="30"/>
  <c r="T52" i="30"/>
  <c r="S52" i="30"/>
  <c r="R52" i="30"/>
  <c r="AM52" i="30" s="1"/>
  <c r="H52" i="30"/>
  <c r="G52" i="30"/>
  <c r="AR51" i="30"/>
  <c r="AL51" i="30"/>
  <c r="AK51" i="30"/>
  <c r="AG51" i="30"/>
  <c r="AF51" i="30"/>
  <c r="AB51" i="30"/>
  <c r="AA51" i="30"/>
  <c r="T51" i="30"/>
  <c r="S51" i="30"/>
  <c r="R51" i="30"/>
  <c r="AM51" i="30" s="1"/>
  <c r="H51" i="30"/>
  <c r="G51" i="30"/>
  <c r="AR50" i="30"/>
  <c r="AL50" i="30"/>
  <c r="AK50" i="30"/>
  <c r="AG50" i="30"/>
  <c r="AF50" i="30"/>
  <c r="AB50" i="30"/>
  <c r="AA50" i="30"/>
  <c r="T50" i="30"/>
  <c r="S50" i="30"/>
  <c r="R50" i="30"/>
  <c r="AM50" i="30" s="1"/>
  <c r="H50" i="30"/>
  <c r="G50" i="30"/>
  <c r="AR49" i="30"/>
  <c r="AL49" i="30"/>
  <c r="AK49" i="30"/>
  <c r="AG49" i="30"/>
  <c r="AF49" i="30"/>
  <c r="AB49" i="30"/>
  <c r="AA49" i="30"/>
  <c r="T49" i="30"/>
  <c r="S49" i="30"/>
  <c r="R49" i="30"/>
  <c r="AM49" i="30" s="1"/>
  <c r="H49" i="30"/>
  <c r="G49" i="30"/>
  <c r="AR48" i="30"/>
  <c r="AL48" i="30"/>
  <c r="AK48" i="30"/>
  <c r="AG48" i="30"/>
  <c r="AF48" i="30"/>
  <c r="AB48" i="30"/>
  <c r="AA48" i="30"/>
  <c r="T48" i="30"/>
  <c r="S48" i="30"/>
  <c r="R48" i="30"/>
  <c r="AM48" i="30" s="1"/>
  <c r="H48" i="30"/>
  <c r="G48" i="30"/>
  <c r="AR47" i="30"/>
  <c r="AL47" i="30"/>
  <c r="AK47" i="30"/>
  <c r="AG47" i="30"/>
  <c r="AF47" i="30"/>
  <c r="AB47" i="30"/>
  <c r="AA47" i="30"/>
  <c r="T47" i="30"/>
  <c r="S47" i="30"/>
  <c r="R47" i="30"/>
  <c r="AM47" i="30" s="1"/>
  <c r="H47" i="30"/>
  <c r="G47" i="30"/>
  <c r="AR46" i="30"/>
  <c r="AL46" i="30"/>
  <c r="AK46" i="30"/>
  <c r="AG46" i="30"/>
  <c r="AF46" i="30"/>
  <c r="AB46" i="30"/>
  <c r="AA46" i="30"/>
  <c r="T46" i="30"/>
  <c r="S46" i="30"/>
  <c r="R46" i="30"/>
  <c r="AM46" i="30" s="1"/>
  <c r="H46" i="30"/>
  <c r="G46" i="30"/>
  <c r="AR45" i="30"/>
  <c r="AL45" i="30"/>
  <c r="AK45" i="30"/>
  <c r="AG45" i="30"/>
  <c r="AF45" i="30"/>
  <c r="AB45" i="30"/>
  <c r="AA45" i="30"/>
  <c r="T45" i="30"/>
  <c r="S45" i="30"/>
  <c r="R45" i="30"/>
  <c r="AM45" i="30" s="1"/>
  <c r="H45" i="30"/>
  <c r="G45" i="30"/>
  <c r="AR44" i="30"/>
  <c r="AL44" i="30"/>
  <c r="AK44" i="30"/>
  <c r="AG44" i="30"/>
  <c r="AF44" i="30"/>
  <c r="AB44" i="30"/>
  <c r="AA44" i="30"/>
  <c r="T44" i="30"/>
  <c r="S44" i="30"/>
  <c r="R44" i="30"/>
  <c r="AM44" i="30" s="1"/>
  <c r="H44" i="30"/>
  <c r="G44" i="30"/>
  <c r="AR43" i="30"/>
  <c r="AL43" i="30"/>
  <c r="AK43" i="30"/>
  <c r="AG43" i="30"/>
  <c r="AF43" i="30"/>
  <c r="AB43" i="30"/>
  <c r="AA43" i="30"/>
  <c r="T43" i="30"/>
  <c r="S43" i="30"/>
  <c r="R43" i="30"/>
  <c r="AM43" i="30" s="1"/>
  <c r="H43" i="30"/>
  <c r="G43" i="30"/>
  <c r="AR42" i="30"/>
  <c r="AL42" i="30"/>
  <c r="AK42" i="30"/>
  <c r="AG42" i="30"/>
  <c r="AF42" i="30"/>
  <c r="AB42" i="30"/>
  <c r="AA42" i="30"/>
  <c r="T42" i="30"/>
  <c r="S42" i="30"/>
  <c r="R42" i="30"/>
  <c r="AM42" i="30" s="1"/>
  <c r="H42" i="30"/>
  <c r="G42" i="30"/>
  <c r="AR41" i="30"/>
  <c r="AL41" i="30"/>
  <c r="AK41" i="30"/>
  <c r="AG41" i="30"/>
  <c r="AF41" i="30"/>
  <c r="AB41" i="30"/>
  <c r="AA41" i="30"/>
  <c r="T41" i="30"/>
  <c r="S41" i="30"/>
  <c r="R41" i="30"/>
  <c r="AM41" i="30" s="1"/>
  <c r="H41" i="30"/>
  <c r="G41" i="30"/>
  <c r="AR40" i="30"/>
  <c r="AL40" i="30"/>
  <c r="AK40" i="30"/>
  <c r="AG40" i="30"/>
  <c r="AF40" i="30"/>
  <c r="AB40" i="30"/>
  <c r="AA40" i="30"/>
  <c r="T40" i="30"/>
  <c r="S40" i="30"/>
  <c r="R40" i="30"/>
  <c r="AM40" i="30" s="1"/>
  <c r="H40" i="30"/>
  <c r="G40" i="30"/>
  <c r="AR39" i="30"/>
  <c r="AL39" i="30"/>
  <c r="AK39" i="30"/>
  <c r="AG39" i="30"/>
  <c r="AF39" i="30"/>
  <c r="AB39" i="30"/>
  <c r="AA39" i="30"/>
  <c r="T39" i="30"/>
  <c r="S39" i="30"/>
  <c r="R39" i="30"/>
  <c r="AM39" i="30" s="1"/>
  <c r="H39" i="30"/>
  <c r="G39" i="30"/>
  <c r="AR38" i="30"/>
  <c r="AL38" i="30"/>
  <c r="AK38" i="30"/>
  <c r="AG38" i="30"/>
  <c r="AF38" i="30"/>
  <c r="AB38" i="30"/>
  <c r="AA38" i="30"/>
  <c r="T38" i="30"/>
  <c r="S38" i="30"/>
  <c r="R38" i="30"/>
  <c r="AM38" i="30" s="1"/>
  <c r="H38" i="30"/>
  <c r="G38" i="30"/>
  <c r="AR37" i="30"/>
  <c r="AL37" i="30"/>
  <c r="AK37" i="30"/>
  <c r="AG37" i="30"/>
  <c r="AF37" i="30"/>
  <c r="AB37" i="30"/>
  <c r="AA37" i="30"/>
  <c r="T37" i="30"/>
  <c r="S37" i="30"/>
  <c r="R37" i="30"/>
  <c r="AM37" i="30" s="1"/>
  <c r="H37" i="30"/>
  <c r="G37" i="30"/>
  <c r="AR36" i="30"/>
  <c r="AL36" i="30"/>
  <c r="AK36" i="30"/>
  <c r="AG36" i="30"/>
  <c r="AF36" i="30"/>
  <c r="AB36" i="30"/>
  <c r="AA36" i="30"/>
  <c r="T36" i="30"/>
  <c r="S36" i="30"/>
  <c r="R36" i="30"/>
  <c r="AM36" i="30" s="1"/>
  <c r="H36" i="30"/>
  <c r="G36" i="30"/>
  <c r="AR35" i="30"/>
  <c r="AL35" i="30"/>
  <c r="AK35" i="30"/>
  <c r="AG35" i="30"/>
  <c r="AF35" i="30"/>
  <c r="AB35" i="30"/>
  <c r="AA35" i="30"/>
  <c r="T35" i="30"/>
  <c r="S35" i="30"/>
  <c r="R35" i="30"/>
  <c r="AM35" i="30" s="1"/>
  <c r="H35" i="30"/>
  <c r="G35" i="30"/>
  <c r="AR34" i="30"/>
  <c r="AL34" i="30"/>
  <c r="AK34" i="30"/>
  <c r="AG34" i="30"/>
  <c r="AF34" i="30"/>
  <c r="AB34" i="30"/>
  <c r="AA34" i="30"/>
  <c r="T34" i="30"/>
  <c r="S34" i="30"/>
  <c r="R34" i="30"/>
  <c r="AM34" i="30" s="1"/>
  <c r="H34" i="30"/>
  <c r="G34" i="30"/>
  <c r="AR33" i="30"/>
  <c r="AL33" i="30"/>
  <c r="AK33" i="30"/>
  <c r="AG33" i="30"/>
  <c r="AF33" i="30"/>
  <c r="AB33" i="30"/>
  <c r="AA33" i="30"/>
  <c r="T33" i="30"/>
  <c r="S33" i="30"/>
  <c r="R33" i="30"/>
  <c r="AM33" i="30" s="1"/>
  <c r="H33" i="30"/>
  <c r="G33" i="30"/>
  <c r="AR32" i="30"/>
  <c r="AL32" i="30"/>
  <c r="AK32" i="30"/>
  <c r="AG32" i="30"/>
  <c r="AF32" i="30"/>
  <c r="AB32" i="30"/>
  <c r="AA32" i="30"/>
  <c r="T32" i="30"/>
  <c r="S32" i="30"/>
  <c r="R32" i="30"/>
  <c r="AM32" i="30" s="1"/>
  <c r="H32" i="30"/>
  <c r="G32" i="30"/>
  <c r="AR31" i="30"/>
  <c r="AL31" i="30"/>
  <c r="AK31" i="30"/>
  <c r="AG31" i="30"/>
  <c r="AF31" i="30"/>
  <c r="AB31" i="30"/>
  <c r="AA31" i="30"/>
  <c r="T31" i="30"/>
  <c r="S31" i="30"/>
  <c r="R31" i="30"/>
  <c r="AM31" i="30" s="1"/>
  <c r="H31" i="30"/>
  <c r="G31" i="30"/>
  <c r="AR30" i="30"/>
  <c r="AL30" i="30"/>
  <c r="AK30" i="30"/>
  <c r="AG30" i="30"/>
  <c r="AF30" i="30"/>
  <c r="AB30" i="30"/>
  <c r="AA30" i="30"/>
  <c r="T30" i="30"/>
  <c r="S30" i="30"/>
  <c r="R30" i="30"/>
  <c r="AM30" i="30" s="1"/>
  <c r="H30" i="30"/>
  <c r="G30" i="30"/>
  <c r="AR29" i="30"/>
  <c r="AL29" i="30"/>
  <c r="AK29" i="30"/>
  <c r="AG29" i="30"/>
  <c r="AF29" i="30"/>
  <c r="AB29" i="30"/>
  <c r="AA29" i="30"/>
  <c r="T29" i="30"/>
  <c r="S29" i="30"/>
  <c r="R29" i="30"/>
  <c r="AM29" i="30" s="1"/>
  <c r="H29" i="30"/>
  <c r="G29" i="30"/>
  <c r="AR28" i="30"/>
  <c r="AL28" i="30"/>
  <c r="AK28" i="30"/>
  <c r="AG28" i="30"/>
  <c r="AF28" i="30"/>
  <c r="AB28" i="30"/>
  <c r="AA28" i="30"/>
  <c r="T28" i="30"/>
  <c r="S28" i="30"/>
  <c r="R28" i="30"/>
  <c r="AM28" i="30" s="1"/>
  <c r="H28" i="30"/>
  <c r="G28" i="30"/>
  <c r="AR27" i="30"/>
  <c r="AL27" i="30"/>
  <c r="AK27" i="30"/>
  <c r="AG27" i="30"/>
  <c r="AF27" i="30"/>
  <c r="AB27" i="30"/>
  <c r="AA27" i="30"/>
  <c r="T27" i="30"/>
  <c r="S27" i="30"/>
  <c r="R27" i="30"/>
  <c r="AM27" i="30" s="1"/>
  <c r="H27" i="30"/>
  <c r="G27" i="30"/>
  <c r="AR26" i="30"/>
  <c r="AL26" i="30"/>
  <c r="AK26" i="30"/>
  <c r="AG26" i="30"/>
  <c r="AF26" i="30"/>
  <c r="AB26" i="30"/>
  <c r="AA26" i="30"/>
  <c r="T26" i="30"/>
  <c r="S26" i="30"/>
  <c r="R26" i="30"/>
  <c r="AM26" i="30" s="1"/>
  <c r="H26" i="30"/>
  <c r="G26" i="30"/>
  <c r="AR25" i="30"/>
  <c r="AL25" i="30"/>
  <c r="AK25" i="30"/>
  <c r="AG25" i="30"/>
  <c r="AF25" i="30"/>
  <c r="AB25" i="30"/>
  <c r="AA25" i="30"/>
  <c r="T25" i="30"/>
  <c r="S25" i="30"/>
  <c r="R25" i="30"/>
  <c r="AM25" i="30" s="1"/>
  <c r="H25" i="30"/>
  <c r="G25" i="30"/>
  <c r="AR24" i="30"/>
  <c r="AL24" i="30"/>
  <c r="AK24" i="30"/>
  <c r="AG24" i="30"/>
  <c r="AF24" i="30"/>
  <c r="AB24" i="30"/>
  <c r="AA24" i="30"/>
  <c r="T24" i="30"/>
  <c r="S24" i="30"/>
  <c r="R24" i="30"/>
  <c r="AM24" i="30" s="1"/>
  <c r="H24" i="30"/>
  <c r="G24" i="30"/>
  <c r="AR23" i="30"/>
  <c r="AL23" i="30"/>
  <c r="AK23" i="30"/>
  <c r="AG23" i="30"/>
  <c r="AF23" i="30"/>
  <c r="AB23" i="30"/>
  <c r="AA23" i="30"/>
  <c r="T23" i="30"/>
  <c r="S23" i="30"/>
  <c r="R23" i="30"/>
  <c r="AM23" i="30" s="1"/>
  <c r="H23" i="30"/>
  <c r="G23" i="30"/>
  <c r="AR22" i="30"/>
  <c r="AL22" i="30"/>
  <c r="AK22" i="30"/>
  <c r="AG22" i="30"/>
  <c r="AF22" i="30"/>
  <c r="AB22" i="30"/>
  <c r="AA22" i="30"/>
  <c r="T22" i="30"/>
  <c r="S22" i="30"/>
  <c r="R22" i="30"/>
  <c r="AM22" i="30" s="1"/>
  <c r="H22" i="30"/>
  <c r="G22" i="30"/>
  <c r="AR21" i="30"/>
  <c r="AL21" i="30"/>
  <c r="AK21" i="30"/>
  <c r="AG21" i="30"/>
  <c r="AF21" i="30"/>
  <c r="AB21" i="30"/>
  <c r="AA21" i="30"/>
  <c r="T21" i="30"/>
  <c r="S21" i="30"/>
  <c r="R21" i="30"/>
  <c r="AM21" i="30" s="1"/>
  <c r="H21" i="30"/>
  <c r="G21" i="30"/>
  <c r="AR20" i="30"/>
  <c r="AL20" i="30"/>
  <c r="AK20" i="30"/>
  <c r="AG20" i="30"/>
  <c r="AF20" i="30"/>
  <c r="AB20" i="30"/>
  <c r="AA20" i="30"/>
  <c r="T20" i="30"/>
  <c r="S20" i="30"/>
  <c r="R20" i="30"/>
  <c r="AM20" i="30" s="1"/>
  <c r="H20" i="30"/>
  <c r="G20" i="30"/>
  <c r="AR19" i="30"/>
  <c r="AL19" i="30"/>
  <c r="AK19" i="30"/>
  <c r="AG19" i="30"/>
  <c r="AF19" i="30"/>
  <c r="AB19" i="30"/>
  <c r="AA19" i="30"/>
  <c r="T19" i="30"/>
  <c r="S19" i="30"/>
  <c r="R19" i="30"/>
  <c r="AM19" i="30" s="1"/>
  <c r="H19" i="30"/>
  <c r="G19" i="30"/>
  <c r="AR18" i="30"/>
  <c r="AL18" i="30"/>
  <c r="AK18" i="30"/>
  <c r="AG18" i="30"/>
  <c r="AF18" i="30"/>
  <c r="AB18" i="30"/>
  <c r="AA18" i="30"/>
  <c r="T18" i="30"/>
  <c r="S18" i="30"/>
  <c r="R18" i="30"/>
  <c r="AM18" i="30" s="1"/>
  <c r="H18" i="30"/>
  <c r="G18" i="30"/>
  <c r="AR17" i="30"/>
  <c r="AL17" i="30"/>
  <c r="AK17" i="30"/>
  <c r="AG17" i="30"/>
  <c r="AF17" i="30"/>
  <c r="AB17" i="30"/>
  <c r="AA17" i="30"/>
  <c r="T17" i="30"/>
  <c r="S17" i="30"/>
  <c r="R17" i="30"/>
  <c r="AM17" i="30" s="1"/>
  <c r="H17" i="30"/>
  <c r="G17" i="30"/>
  <c r="AR16" i="30"/>
  <c r="AL16" i="30"/>
  <c r="AK16" i="30"/>
  <c r="AG16" i="30"/>
  <c r="AF16" i="30"/>
  <c r="AB16" i="30"/>
  <c r="AA16" i="30"/>
  <c r="T16" i="30"/>
  <c r="S16" i="30"/>
  <c r="R16" i="30"/>
  <c r="AM16" i="30" s="1"/>
  <c r="H16" i="30"/>
  <c r="G16" i="30"/>
  <c r="AR15" i="30"/>
  <c r="AL15" i="30"/>
  <c r="AK15" i="30"/>
  <c r="AG15" i="30"/>
  <c r="AF15" i="30"/>
  <c r="AB15" i="30"/>
  <c r="AA15" i="30"/>
  <c r="T15" i="30"/>
  <c r="S15" i="30"/>
  <c r="R15" i="30"/>
  <c r="AM15" i="30" s="1"/>
  <c r="H15" i="30"/>
  <c r="G15" i="30"/>
  <c r="AR14" i="30"/>
  <c r="AL14" i="30"/>
  <c r="AK14" i="30"/>
  <c r="AG14" i="30"/>
  <c r="AF14" i="30"/>
  <c r="AB14" i="30"/>
  <c r="AA14" i="30"/>
  <c r="T14" i="30"/>
  <c r="S14" i="30"/>
  <c r="R14" i="30"/>
  <c r="AM14" i="30" s="1"/>
  <c r="H14" i="30"/>
  <c r="G14" i="30"/>
  <c r="AR13" i="30"/>
  <c r="AL13" i="30"/>
  <c r="AK13" i="30"/>
  <c r="AG13" i="30"/>
  <c r="AF13" i="30"/>
  <c r="AB13" i="30"/>
  <c r="AA13" i="30"/>
  <c r="T13" i="30"/>
  <c r="S13" i="30"/>
  <c r="R13" i="30"/>
  <c r="AM13" i="30" s="1"/>
  <c r="H13" i="30"/>
  <c r="G13" i="30"/>
  <c r="AR12" i="30"/>
  <c r="AL12" i="30"/>
  <c r="AK12" i="30"/>
  <c r="AG12" i="30"/>
  <c r="AF12" i="30"/>
  <c r="AB12" i="30"/>
  <c r="AA12" i="30"/>
  <c r="T12" i="30"/>
  <c r="S12" i="30"/>
  <c r="R12" i="30"/>
  <c r="AM12" i="30" s="1"/>
  <c r="H12" i="30"/>
  <c r="G12" i="30"/>
  <c r="AR11" i="30"/>
  <c r="AL11" i="30"/>
  <c r="AK11" i="30"/>
  <c r="AG11" i="30"/>
  <c r="AF11" i="30"/>
  <c r="AB11" i="30"/>
  <c r="AA11" i="30"/>
  <c r="T11" i="30"/>
  <c r="S11" i="30"/>
  <c r="R11" i="30"/>
  <c r="AM11" i="30" s="1"/>
  <c r="H11" i="30"/>
  <c r="G11" i="30"/>
  <c r="AR10" i="30"/>
  <c r="AL10" i="30"/>
  <c r="AK10" i="30"/>
  <c r="AG10" i="30"/>
  <c r="AF10" i="30"/>
  <c r="AB10" i="30"/>
  <c r="AA10" i="30"/>
  <c r="T10" i="30"/>
  <c r="S10" i="30"/>
  <c r="R10" i="30"/>
  <c r="AM10" i="30" s="1"/>
  <c r="H10" i="30"/>
  <c r="G10" i="30"/>
  <c r="AR9" i="30"/>
  <c r="AL9" i="30"/>
  <c r="AK9" i="30"/>
  <c r="AG9" i="30"/>
  <c r="AF9" i="30"/>
  <c r="AB9" i="30"/>
  <c r="AA9" i="30"/>
  <c r="T9" i="30"/>
  <c r="S9" i="30"/>
  <c r="R9" i="30"/>
  <c r="AM9" i="30" s="1"/>
  <c r="H9" i="30"/>
  <c r="G9" i="30"/>
  <c r="AR8" i="30"/>
  <c r="AL8" i="30"/>
  <c r="AK8" i="30"/>
  <c r="AG8" i="30"/>
  <c r="AF8" i="30"/>
  <c r="AB8" i="30"/>
  <c r="AA8" i="30"/>
  <c r="T8" i="30"/>
  <c r="S8" i="30"/>
  <c r="R8" i="30"/>
  <c r="AM8" i="30" s="1"/>
  <c r="H8" i="30"/>
  <c r="G8" i="30"/>
  <c r="AR7" i="30"/>
  <c r="AL7" i="30"/>
  <c r="AK7" i="30"/>
  <c r="AG7" i="30"/>
  <c r="AF7" i="30"/>
  <c r="AB7" i="30"/>
  <c r="AA7" i="30"/>
  <c r="T7" i="30"/>
  <c r="S7" i="30"/>
  <c r="R7" i="30"/>
  <c r="AM7" i="30" s="1"/>
  <c r="H7" i="30"/>
  <c r="G7" i="30"/>
  <c r="AR6" i="30"/>
  <c r="AL6" i="30"/>
  <c r="AK6" i="30"/>
  <c r="AG6" i="30"/>
  <c r="AF6" i="30"/>
  <c r="AB6" i="30"/>
  <c r="AA6" i="30"/>
  <c r="T6" i="30"/>
  <c r="S6" i="30"/>
  <c r="R6" i="30"/>
  <c r="AM6" i="30" s="1"/>
  <c r="H6" i="30"/>
  <c r="G6" i="30"/>
  <c r="B6" i="30"/>
  <c r="A6" i="30" s="1"/>
  <c r="AR5" i="30"/>
  <c r="AL5" i="30"/>
  <c r="AK5" i="30"/>
  <c r="AG5" i="30"/>
  <c r="AF5" i="30"/>
  <c r="AB5" i="30"/>
  <c r="AA5" i="30"/>
  <c r="T5" i="30"/>
  <c r="S5" i="30"/>
  <c r="R5" i="30"/>
  <c r="AM5" i="30" s="1"/>
  <c r="H5" i="30"/>
  <c r="G5" i="30"/>
  <c r="B5" i="30"/>
  <c r="B7" i="30" s="1"/>
  <c r="A7" i="30" s="1"/>
  <c r="AR4" i="30"/>
  <c r="AL4" i="30"/>
  <c r="AK4" i="30"/>
  <c r="AG4" i="30"/>
  <c r="AF4" i="30"/>
  <c r="AB4" i="30"/>
  <c r="AA4" i="30"/>
  <c r="T4" i="30"/>
  <c r="S4" i="30"/>
  <c r="R4" i="30"/>
  <c r="AM4" i="30" s="1"/>
  <c r="H4" i="30"/>
  <c r="G4" i="30"/>
  <c r="A4" i="30"/>
  <c r="AP1" i="30"/>
  <c r="AB33" i="29"/>
  <c r="AA33" i="29"/>
  <c r="AB32" i="29"/>
  <c r="AA32" i="29"/>
  <c r="AB31" i="29"/>
  <c r="AA31" i="29"/>
  <c r="AB30" i="29"/>
  <c r="AA30" i="29"/>
  <c r="AB29" i="29"/>
  <c r="AA29" i="29"/>
  <c r="AB28" i="29"/>
  <c r="AA28" i="29"/>
  <c r="AB27" i="29"/>
  <c r="AA27" i="29"/>
  <c r="AB26" i="29"/>
  <c r="AA26" i="29"/>
  <c r="AB25" i="29"/>
  <c r="AA25" i="29"/>
  <c r="AB24" i="29"/>
  <c r="AA24" i="29"/>
  <c r="AB23" i="29"/>
  <c r="AA23" i="29"/>
  <c r="AB22" i="29"/>
  <c r="AA22" i="29"/>
  <c r="AB21" i="29"/>
  <c r="AA21" i="29"/>
  <c r="AB20" i="29"/>
  <c r="AA20" i="29"/>
  <c r="AB19" i="29"/>
  <c r="AA19" i="29"/>
  <c r="AB18" i="29"/>
  <c r="AA18" i="29"/>
  <c r="AB17" i="29"/>
  <c r="AA17" i="29"/>
  <c r="AB16" i="29"/>
  <c r="AA16" i="29"/>
  <c r="AB15" i="29"/>
  <c r="AA15" i="29"/>
  <c r="AB14" i="29"/>
  <c r="AA14" i="29"/>
  <c r="AB13" i="29"/>
  <c r="AA13" i="29"/>
  <c r="AB12" i="29"/>
  <c r="AA12" i="29"/>
  <c r="AB11" i="29"/>
  <c r="AA11" i="29"/>
  <c r="AB10" i="29"/>
  <c r="AA10" i="29"/>
  <c r="AB9" i="29"/>
  <c r="AA9" i="29"/>
  <c r="AB8" i="29"/>
  <c r="AA8" i="29"/>
  <c r="AB7" i="29"/>
  <c r="AA7" i="29"/>
  <c r="AB6" i="29"/>
  <c r="AA6" i="29"/>
  <c r="AB5" i="29"/>
  <c r="AA5" i="29"/>
  <c r="AB4" i="29"/>
  <c r="AA4" i="29"/>
  <c r="AG66" i="29"/>
  <c r="AF66" i="29"/>
  <c r="AB66" i="29"/>
  <c r="AA66" i="29"/>
  <c r="J66" i="29"/>
  <c r="AR65" i="29"/>
  <c r="AL65" i="29"/>
  <c r="AK65" i="29"/>
  <c r="AG65" i="29"/>
  <c r="AF65" i="29"/>
  <c r="AB65" i="29"/>
  <c r="AA65" i="29"/>
  <c r="T65" i="29"/>
  <c r="S65" i="29"/>
  <c r="R65" i="29"/>
  <c r="AM65" i="29" s="1"/>
  <c r="H65" i="29"/>
  <c r="G65" i="29"/>
  <c r="AR64" i="29"/>
  <c r="AL64" i="29"/>
  <c r="AK64" i="29"/>
  <c r="AG64" i="29"/>
  <c r="AF64" i="29"/>
  <c r="AB64" i="29"/>
  <c r="AA64" i="29"/>
  <c r="T64" i="29"/>
  <c r="S64" i="29"/>
  <c r="R64" i="29"/>
  <c r="AM64" i="29" s="1"/>
  <c r="H64" i="29"/>
  <c r="G64" i="29"/>
  <c r="AR63" i="29"/>
  <c r="AL63" i="29"/>
  <c r="AK63" i="29"/>
  <c r="AG63" i="29"/>
  <c r="AF63" i="29"/>
  <c r="AB63" i="29"/>
  <c r="AA63" i="29"/>
  <c r="T63" i="29"/>
  <c r="S63" i="29"/>
  <c r="R63" i="29"/>
  <c r="AM63" i="29" s="1"/>
  <c r="H63" i="29"/>
  <c r="G63" i="29"/>
  <c r="AR62" i="29"/>
  <c r="AL62" i="29"/>
  <c r="AK62" i="29"/>
  <c r="AG62" i="29"/>
  <c r="AF62" i="29"/>
  <c r="AB62" i="29"/>
  <c r="AA62" i="29"/>
  <c r="T62" i="29"/>
  <c r="S62" i="29"/>
  <c r="R62" i="29"/>
  <c r="AM62" i="29" s="1"/>
  <c r="H62" i="29"/>
  <c r="G62" i="29"/>
  <c r="AR61" i="29"/>
  <c r="AL61" i="29"/>
  <c r="AK61" i="29"/>
  <c r="AG61" i="29"/>
  <c r="AF61" i="29"/>
  <c r="AB61" i="29"/>
  <c r="AA61" i="29"/>
  <c r="T61" i="29"/>
  <c r="S61" i="29"/>
  <c r="R61" i="29"/>
  <c r="AM61" i="29" s="1"/>
  <c r="H61" i="29"/>
  <c r="G61" i="29"/>
  <c r="AR60" i="29"/>
  <c r="AL60" i="29"/>
  <c r="AK60" i="29"/>
  <c r="AG60" i="29"/>
  <c r="AF60" i="29"/>
  <c r="AB60" i="29"/>
  <c r="AA60" i="29"/>
  <c r="T60" i="29"/>
  <c r="S60" i="29"/>
  <c r="R60" i="29"/>
  <c r="AM60" i="29" s="1"/>
  <c r="H60" i="29"/>
  <c r="G60" i="29"/>
  <c r="AR59" i="29"/>
  <c r="AL59" i="29"/>
  <c r="AK59" i="29"/>
  <c r="AG59" i="29"/>
  <c r="AF59" i="29"/>
  <c r="AB59" i="29"/>
  <c r="AA59" i="29"/>
  <c r="T59" i="29"/>
  <c r="S59" i="29"/>
  <c r="R59" i="29"/>
  <c r="AM59" i="29" s="1"/>
  <c r="H59" i="29"/>
  <c r="G59" i="29"/>
  <c r="AR58" i="29"/>
  <c r="AL58" i="29"/>
  <c r="AK58" i="29"/>
  <c r="AG58" i="29"/>
  <c r="AF58" i="29"/>
  <c r="AB58" i="29"/>
  <c r="AA58" i="29"/>
  <c r="T58" i="29"/>
  <c r="S58" i="29"/>
  <c r="R58" i="29"/>
  <c r="AM58" i="29" s="1"/>
  <c r="H58" i="29"/>
  <c r="G58" i="29"/>
  <c r="AR57" i="29"/>
  <c r="AL57" i="29"/>
  <c r="AK57" i="29"/>
  <c r="AG57" i="29"/>
  <c r="AF57" i="29"/>
  <c r="AB57" i="29"/>
  <c r="AA57" i="29"/>
  <c r="T57" i="29"/>
  <c r="S57" i="29"/>
  <c r="R57" i="29"/>
  <c r="AM57" i="29" s="1"/>
  <c r="H57" i="29"/>
  <c r="G57" i="29"/>
  <c r="AR56" i="29"/>
  <c r="AL56" i="29"/>
  <c r="AK56" i="29"/>
  <c r="AG56" i="29"/>
  <c r="AF56" i="29"/>
  <c r="AB56" i="29"/>
  <c r="AA56" i="29"/>
  <c r="T56" i="29"/>
  <c r="S56" i="29"/>
  <c r="R56" i="29"/>
  <c r="AM56" i="29" s="1"/>
  <c r="H56" i="29"/>
  <c r="G56" i="29"/>
  <c r="AR55" i="29"/>
  <c r="AL55" i="29"/>
  <c r="AK55" i="29"/>
  <c r="AG55" i="29"/>
  <c r="AF55" i="29"/>
  <c r="AB55" i="29"/>
  <c r="AA55" i="29"/>
  <c r="T55" i="29"/>
  <c r="S55" i="29"/>
  <c r="R55" i="29"/>
  <c r="AM55" i="29" s="1"/>
  <c r="H55" i="29"/>
  <c r="G55" i="29"/>
  <c r="AR54" i="29"/>
  <c r="AL54" i="29"/>
  <c r="AK54" i="29"/>
  <c r="AG54" i="29"/>
  <c r="AF54" i="29"/>
  <c r="AB54" i="29"/>
  <c r="AA54" i="29"/>
  <c r="T54" i="29"/>
  <c r="S54" i="29"/>
  <c r="R54" i="29"/>
  <c r="AM54" i="29" s="1"/>
  <c r="H54" i="29"/>
  <c r="G54" i="29"/>
  <c r="AR53" i="29"/>
  <c r="AL53" i="29"/>
  <c r="AK53" i="29"/>
  <c r="AG53" i="29"/>
  <c r="AF53" i="29"/>
  <c r="AB53" i="29"/>
  <c r="AA53" i="29"/>
  <c r="T53" i="29"/>
  <c r="S53" i="29"/>
  <c r="R53" i="29"/>
  <c r="AM53" i="29" s="1"/>
  <c r="H53" i="29"/>
  <c r="G53" i="29"/>
  <c r="AR52" i="29"/>
  <c r="AL52" i="29"/>
  <c r="AK52" i="29"/>
  <c r="AG52" i="29"/>
  <c r="AF52" i="29"/>
  <c r="AB52" i="29"/>
  <c r="AA52" i="29"/>
  <c r="T52" i="29"/>
  <c r="S52" i="29"/>
  <c r="R52" i="29"/>
  <c r="AM52" i="29" s="1"/>
  <c r="H52" i="29"/>
  <c r="G52" i="29"/>
  <c r="AR51" i="29"/>
  <c r="AL51" i="29"/>
  <c r="AK51" i="29"/>
  <c r="AG51" i="29"/>
  <c r="AF51" i="29"/>
  <c r="AB51" i="29"/>
  <c r="AA51" i="29"/>
  <c r="T51" i="29"/>
  <c r="S51" i="29"/>
  <c r="R51" i="29"/>
  <c r="AM51" i="29" s="1"/>
  <c r="H51" i="29"/>
  <c r="G51" i="29"/>
  <c r="AR50" i="29"/>
  <c r="AL50" i="29"/>
  <c r="AK50" i="29"/>
  <c r="AG50" i="29"/>
  <c r="AF50" i="29"/>
  <c r="AB50" i="29"/>
  <c r="AA50" i="29"/>
  <c r="T50" i="29"/>
  <c r="S50" i="29"/>
  <c r="R50" i="29"/>
  <c r="AM50" i="29" s="1"/>
  <c r="H50" i="29"/>
  <c r="G50" i="29"/>
  <c r="AR49" i="29"/>
  <c r="AL49" i="29"/>
  <c r="AK49" i="29"/>
  <c r="AG49" i="29"/>
  <c r="AF49" i="29"/>
  <c r="AB49" i="29"/>
  <c r="AA49" i="29"/>
  <c r="T49" i="29"/>
  <c r="S49" i="29"/>
  <c r="R49" i="29"/>
  <c r="AM49" i="29" s="1"/>
  <c r="H49" i="29"/>
  <c r="G49" i="29"/>
  <c r="AR48" i="29"/>
  <c r="AL48" i="29"/>
  <c r="AK48" i="29"/>
  <c r="AG48" i="29"/>
  <c r="AF48" i="29"/>
  <c r="AB48" i="29"/>
  <c r="AA48" i="29"/>
  <c r="T48" i="29"/>
  <c r="S48" i="29"/>
  <c r="R48" i="29"/>
  <c r="AM48" i="29" s="1"/>
  <c r="H48" i="29"/>
  <c r="G48" i="29"/>
  <c r="AR47" i="29"/>
  <c r="AL47" i="29"/>
  <c r="AK47" i="29"/>
  <c r="AG47" i="29"/>
  <c r="AF47" i="29"/>
  <c r="AB47" i="29"/>
  <c r="AA47" i="29"/>
  <c r="T47" i="29"/>
  <c r="S47" i="29"/>
  <c r="R47" i="29"/>
  <c r="AM47" i="29" s="1"/>
  <c r="H47" i="29"/>
  <c r="G47" i="29"/>
  <c r="AR46" i="29"/>
  <c r="AL46" i="29"/>
  <c r="AK46" i="29"/>
  <c r="AG46" i="29"/>
  <c r="AF46" i="29"/>
  <c r="AB46" i="29"/>
  <c r="AA46" i="29"/>
  <c r="T46" i="29"/>
  <c r="S46" i="29"/>
  <c r="R46" i="29"/>
  <c r="AM46" i="29" s="1"/>
  <c r="H46" i="29"/>
  <c r="G46" i="29"/>
  <c r="AR45" i="29"/>
  <c r="AL45" i="29"/>
  <c r="AK45" i="29"/>
  <c r="AG45" i="29"/>
  <c r="AF45" i="29"/>
  <c r="AB45" i="29"/>
  <c r="AA45" i="29"/>
  <c r="T45" i="29"/>
  <c r="S45" i="29"/>
  <c r="R45" i="29"/>
  <c r="AM45" i="29" s="1"/>
  <c r="H45" i="29"/>
  <c r="G45" i="29"/>
  <c r="AR44" i="29"/>
  <c r="AL44" i="29"/>
  <c r="AK44" i="29"/>
  <c r="AG44" i="29"/>
  <c r="AF44" i="29"/>
  <c r="AB44" i="29"/>
  <c r="AA44" i="29"/>
  <c r="T44" i="29"/>
  <c r="S44" i="29"/>
  <c r="R44" i="29"/>
  <c r="AM44" i="29" s="1"/>
  <c r="H44" i="29"/>
  <c r="G44" i="29"/>
  <c r="AR43" i="29"/>
  <c r="AL43" i="29"/>
  <c r="AK43" i="29"/>
  <c r="AG43" i="29"/>
  <c r="AF43" i="29"/>
  <c r="AB43" i="29"/>
  <c r="AA43" i="29"/>
  <c r="T43" i="29"/>
  <c r="S43" i="29"/>
  <c r="R43" i="29"/>
  <c r="AM43" i="29" s="1"/>
  <c r="H43" i="29"/>
  <c r="G43" i="29"/>
  <c r="AR42" i="29"/>
  <c r="AL42" i="29"/>
  <c r="AK42" i="29"/>
  <c r="AG42" i="29"/>
  <c r="AF42" i="29"/>
  <c r="AB42" i="29"/>
  <c r="AA42" i="29"/>
  <c r="T42" i="29"/>
  <c r="S42" i="29"/>
  <c r="R42" i="29"/>
  <c r="AM42" i="29" s="1"/>
  <c r="H42" i="29"/>
  <c r="G42" i="29"/>
  <c r="AR41" i="29"/>
  <c r="AL41" i="29"/>
  <c r="AK41" i="29"/>
  <c r="AG41" i="29"/>
  <c r="AF41" i="29"/>
  <c r="AB41" i="29"/>
  <c r="AA41" i="29"/>
  <c r="T41" i="29"/>
  <c r="S41" i="29"/>
  <c r="R41" i="29"/>
  <c r="AM41" i="29" s="1"/>
  <c r="H41" i="29"/>
  <c r="G41" i="29"/>
  <c r="AR40" i="29"/>
  <c r="AL40" i="29"/>
  <c r="AK40" i="29"/>
  <c r="AG40" i="29"/>
  <c r="AF40" i="29"/>
  <c r="AB40" i="29"/>
  <c r="AA40" i="29"/>
  <c r="T40" i="29"/>
  <c r="S40" i="29"/>
  <c r="R40" i="29"/>
  <c r="AM40" i="29" s="1"/>
  <c r="H40" i="29"/>
  <c r="G40" i="29"/>
  <c r="AR39" i="29"/>
  <c r="AL39" i="29"/>
  <c r="AK39" i="29"/>
  <c r="AG39" i="29"/>
  <c r="AF39" i="29"/>
  <c r="AB39" i="29"/>
  <c r="AA39" i="29"/>
  <c r="T39" i="29"/>
  <c r="S39" i="29"/>
  <c r="R39" i="29"/>
  <c r="AM39" i="29" s="1"/>
  <c r="H39" i="29"/>
  <c r="G39" i="29"/>
  <c r="AR38" i="29"/>
  <c r="AL38" i="29"/>
  <c r="AK38" i="29"/>
  <c r="AG38" i="29"/>
  <c r="AF38" i="29"/>
  <c r="AB38" i="29"/>
  <c r="AA38" i="29"/>
  <c r="T38" i="29"/>
  <c r="S38" i="29"/>
  <c r="R38" i="29"/>
  <c r="AM38" i="29" s="1"/>
  <c r="H38" i="29"/>
  <c r="G38" i="29"/>
  <c r="AR37" i="29"/>
  <c r="AL37" i="29"/>
  <c r="AK37" i="29"/>
  <c r="AG37" i="29"/>
  <c r="AF37" i="29"/>
  <c r="AB37" i="29"/>
  <c r="AA37" i="29"/>
  <c r="T37" i="29"/>
  <c r="S37" i="29"/>
  <c r="R37" i="29"/>
  <c r="AM37" i="29" s="1"/>
  <c r="H37" i="29"/>
  <c r="G37" i="29"/>
  <c r="AR36" i="29"/>
  <c r="AL36" i="29"/>
  <c r="AK36" i="29"/>
  <c r="AG36" i="29"/>
  <c r="AF36" i="29"/>
  <c r="AB36" i="29"/>
  <c r="AA36" i="29"/>
  <c r="T36" i="29"/>
  <c r="S36" i="29"/>
  <c r="R36" i="29"/>
  <c r="AM36" i="29" s="1"/>
  <c r="H36" i="29"/>
  <c r="G36" i="29"/>
  <c r="AR35" i="29"/>
  <c r="AL35" i="29"/>
  <c r="AK35" i="29"/>
  <c r="AG35" i="29"/>
  <c r="AF35" i="29"/>
  <c r="AB35" i="29"/>
  <c r="AA35" i="29"/>
  <c r="T35" i="29"/>
  <c r="S35" i="29"/>
  <c r="R35" i="29"/>
  <c r="AM35" i="29" s="1"/>
  <c r="H35" i="29"/>
  <c r="G35" i="29"/>
  <c r="AR34" i="29"/>
  <c r="AL34" i="29"/>
  <c r="AK34" i="29"/>
  <c r="AG34" i="29"/>
  <c r="AF34" i="29"/>
  <c r="AB34" i="29"/>
  <c r="AA34" i="29"/>
  <c r="T34" i="29"/>
  <c r="S34" i="29"/>
  <c r="R34" i="29"/>
  <c r="AM34" i="29" s="1"/>
  <c r="H34" i="29"/>
  <c r="G34" i="29"/>
  <c r="AR33" i="29"/>
  <c r="AL33" i="29"/>
  <c r="AK33" i="29"/>
  <c r="AG33" i="29"/>
  <c r="AF33" i="29"/>
  <c r="T33" i="29"/>
  <c r="S33" i="29"/>
  <c r="R33" i="29"/>
  <c r="AM33" i="29" s="1"/>
  <c r="H33" i="29"/>
  <c r="G33" i="29"/>
  <c r="AR32" i="29"/>
  <c r="AL32" i="29"/>
  <c r="AK32" i="29"/>
  <c r="AG32" i="29"/>
  <c r="AF32" i="29"/>
  <c r="T32" i="29"/>
  <c r="S32" i="29"/>
  <c r="R32" i="29"/>
  <c r="AM32" i="29" s="1"/>
  <c r="H32" i="29"/>
  <c r="G32" i="29"/>
  <c r="AR31" i="29"/>
  <c r="AL31" i="29"/>
  <c r="AK31" i="29"/>
  <c r="AG31" i="29"/>
  <c r="AF31" i="29"/>
  <c r="T31" i="29"/>
  <c r="S31" i="29"/>
  <c r="R31" i="29"/>
  <c r="AM31" i="29" s="1"/>
  <c r="H31" i="29"/>
  <c r="G31" i="29"/>
  <c r="AR30" i="29"/>
  <c r="AL30" i="29"/>
  <c r="AK30" i="29"/>
  <c r="AG30" i="29"/>
  <c r="AF30" i="29"/>
  <c r="T30" i="29"/>
  <c r="S30" i="29"/>
  <c r="R30" i="29"/>
  <c r="AM30" i="29" s="1"/>
  <c r="H30" i="29"/>
  <c r="G30" i="29"/>
  <c r="AR29" i="29"/>
  <c r="AL29" i="29"/>
  <c r="AK29" i="29"/>
  <c r="AG29" i="29"/>
  <c r="AF29" i="29"/>
  <c r="T29" i="29"/>
  <c r="S29" i="29"/>
  <c r="R29" i="29"/>
  <c r="AM29" i="29" s="1"/>
  <c r="H29" i="29"/>
  <c r="G29" i="29"/>
  <c r="AR28" i="29"/>
  <c r="AL28" i="29"/>
  <c r="AK28" i="29"/>
  <c r="AG28" i="29"/>
  <c r="AF28" i="29"/>
  <c r="T28" i="29"/>
  <c r="S28" i="29"/>
  <c r="R28" i="29"/>
  <c r="AM28" i="29" s="1"/>
  <c r="H28" i="29"/>
  <c r="G28" i="29"/>
  <c r="AR27" i="29"/>
  <c r="AL27" i="29"/>
  <c r="AK27" i="29"/>
  <c r="AG27" i="29"/>
  <c r="AF27" i="29"/>
  <c r="T27" i="29"/>
  <c r="S27" i="29"/>
  <c r="R27" i="29"/>
  <c r="AM27" i="29" s="1"/>
  <c r="H27" i="29"/>
  <c r="G27" i="29"/>
  <c r="AR26" i="29"/>
  <c r="AL26" i="29"/>
  <c r="AK26" i="29"/>
  <c r="AG26" i="29"/>
  <c r="AF26" i="29"/>
  <c r="T26" i="29"/>
  <c r="S26" i="29"/>
  <c r="R26" i="29"/>
  <c r="AM26" i="29" s="1"/>
  <c r="H26" i="29"/>
  <c r="G26" i="29"/>
  <c r="AR25" i="29"/>
  <c r="AL25" i="29"/>
  <c r="AK25" i="29"/>
  <c r="AG25" i="29"/>
  <c r="AF25" i="29"/>
  <c r="T25" i="29"/>
  <c r="S25" i="29"/>
  <c r="R25" i="29"/>
  <c r="AM25" i="29" s="1"/>
  <c r="H25" i="29"/>
  <c r="G25" i="29"/>
  <c r="AR24" i="29"/>
  <c r="AL24" i="29"/>
  <c r="AK24" i="29"/>
  <c r="AG24" i="29"/>
  <c r="AF24" i="29"/>
  <c r="T24" i="29"/>
  <c r="S24" i="29"/>
  <c r="R24" i="29"/>
  <c r="AM24" i="29" s="1"/>
  <c r="H24" i="29"/>
  <c r="G24" i="29"/>
  <c r="AW23" i="29"/>
  <c r="AR23" i="29"/>
  <c r="AL23" i="29"/>
  <c r="AK23" i="29"/>
  <c r="AG23" i="29"/>
  <c r="AF23" i="29"/>
  <c r="T23" i="29"/>
  <c r="S23" i="29"/>
  <c r="R23" i="29"/>
  <c r="AM23" i="29" s="1"/>
  <c r="H23" i="29"/>
  <c r="G23" i="29"/>
  <c r="AW22" i="29"/>
  <c r="AR22" i="29"/>
  <c r="AL22" i="29"/>
  <c r="AK22" i="29"/>
  <c r="AG22" i="29"/>
  <c r="AF22" i="29"/>
  <c r="T22" i="29"/>
  <c r="S22" i="29"/>
  <c r="R22" i="29"/>
  <c r="AM22" i="29" s="1"/>
  <c r="H22" i="29"/>
  <c r="G22" i="29"/>
  <c r="AR21" i="29"/>
  <c r="AL21" i="29"/>
  <c r="AK21" i="29"/>
  <c r="AG21" i="29"/>
  <c r="AF21" i="29"/>
  <c r="T21" i="29"/>
  <c r="S21" i="29"/>
  <c r="R21" i="29"/>
  <c r="AM21" i="29" s="1"/>
  <c r="H21" i="29"/>
  <c r="G21" i="29"/>
  <c r="AR20" i="29"/>
  <c r="AL20" i="29"/>
  <c r="AK20" i="29"/>
  <c r="AG20" i="29"/>
  <c r="AF20" i="29"/>
  <c r="T20" i="29"/>
  <c r="S20" i="29"/>
  <c r="R20" i="29"/>
  <c r="AM20" i="29" s="1"/>
  <c r="H20" i="29"/>
  <c r="G20" i="29"/>
  <c r="AR19" i="29"/>
  <c r="AL19" i="29"/>
  <c r="AK19" i="29"/>
  <c r="AG19" i="29"/>
  <c r="AF19" i="29"/>
  <c r="T19" i="29"/>
  <c r="S19" i="29"/>
  <c r="R19" i="29"/>
  <c r="AM19" i="29" s="1"/>
  <c r="H19" i="29"/>
  <c r="G19" i="29"/>
  <c r="AR18" i="29"/>
  <c r="AL18" i="29"/>
  <c r="AK18" i="29"/>
  <c r="AG18" i="29"/>
  <c r="AF18" i="29"/>
  <c r="T18" i="29"/>
  <c r="S18" i="29"/>
  <c r="R18" i="29"/>
  <c r="AM18" i="29" s="1"/>
  <c r="H18" i="29"/>
  <c r="G18" i="29"/>
  <c r="AR17" i="29"/>
  <c r="AL17" i="29"/>
  <c r="AK17" i="29"/>
  <c r="AG17" i="29"/>
  <c r="AF17" i="29"/>
  <c r="T17" i="29"/>
  <c r="S17" i="29"/>
  <c r="R17" i="29"/>
  <c r="AM17" i="29" s="1"/>
  <c r="H17" i="29"/>
  <c r="G17" i="29"/>
  <c r="AR16" i="29"/>
  <c r="AL16" i="29"/>
  <c r="AK16" i="29"/>
  <c r="AG16" i="29"/>
  <c r="AF16" i="29"/>
  <c r="T16" i="29"/>
  <c r="S16" i="29"/>
  <c r="R16" i="29"/>
  <c r="AM16" i="29" s="1"/>
  <c r="H16" i="29"/>
  <c r="G16" i="29"/>
  <c r="AR15" i="29"/>
  <c r="AL15" i="29"/>
  <c r="AK15" i="29"/>
  <c r="AG15" i="29"/>
  <c r="AF15" i="29"/>
  <c r="T15" i="29"/>
  <c r="S15" i="29"/>
  <c r="R15" i="29"/>
  <c r="AM15" i="29" s="1"/>
  <c r="H15" i="29"/>
  <c r="G15" i="29"/>
  <c r="AR14" i="29"/>
  <c r="AL14" i="29"/>
  <c r="AK14" i="29"/>
  <c r="AG14" i="29"/>
  <c r="AF14" i="29"/>
  <c r="T14" i="29"/>
  <c r="S14" i="29"/>
  <c r="R14" i="29"/>
  <c r="AM14" i="29" s="1"/>
  <c r="H14" i="29"/>
  <c r="G14" i="29"/>
  <c r="AR13" i="29"/>
  <c r="AL13" i="29"/>
  <c r="AK13" i="29"/>
  <c r="AG13" i="29"/>
  <c r="AF13" i="29"/>
  <c r="T13" i="29"/>
  <c r="S13" i="29"/>
  <c r="R13" i="29"/>
  <c r="AM13" i="29" s="1"/>
  <c r="H13" i="29"/>
  <c r="G13" i="29"/>
  <c r="AR12" i="29"/>
  <c r="AL12" i="29"/>
  <c r="AK12" i="29"/>
  <c r="AG12" i="29"/>
  <c r="AF12" i="29"/>
  <c r="T12" i="29"/>
  <c r="S12" i="29"/>
  <c r="R12" i="29"/>
  <c r="AM12" i="29" s="1"/>
  <c r="H12" i="29"/>
  <c r="G12" i="29"/>
  <c r="AR11" i="29"/>
  <c r="AL11" i="29"/>
  <c r="AK11" i="29"/>
  <c r="AG11" i="29"/>
  <c r="AF11" i="29"/>
  <c r="T11" i="29"/>
  <c r="S11" i="29"/>
  <c r="R11" i="29"/>
  <c r="AM11" i="29" s="1"/>
  <c r="H11" i="29"/>
  <c r="G11" i="29"/>
  <c r="AR10" i="29"/>
  <c r="AL10" i="29"/>
  <c r="AK10" i="29"/>
  <c r="AG10" i="29"/>
  <c r="AF10" i="29"/>
  <c r="T10" i="29"/>
  <c r="S10" i="29"/>
  <c r="R10" i="29"/>
  <c r="AM10" i="29" s="1"/>
  <c r="H10" i="29"/>
  <c r="G10" i="29"/>
  <c r="AR9" i="29"/>
  <c r="AL9" i="29"/>
  <c r="AK9" i="29"/>
  <c r="AG9" i="29"/>
  <c r="AF9" i="29"/>
  <c r="T9" i="29"/>
  <c r="S9" i="29"/>
  <c r="R9" i="29"/>
  <c r="AM9" i="29" s="1"/>
  <c r="H9" i="29"/>
  <c r="G9" i="29"/>
  <c r="AR8" i="29"/>
  <c r="AL8" i="29"/>
  <c r="AK8" i="29"/>
  <c r="AG8" i="29"/>
  <c r="AF8" i="29"/>
  <c r="T8" i="29"/>
  <c r="S8" i="29"/>
  <c r="R8" i="29"/>
  <c r="AM8" i="29" s="1"/>
  <c r="H8" i="29"/>
  <c r="G8" i="29"/>
  <c r="AR7" i="29"/>
  <c r="AL7" i="29"/>
  <c r="AK7" i="29"/>
  <c r="AG7" i="29"/>
  <c r="AF7" i="29"/>
  <c r="T7" i="29"/>
  <c r="S7" i="29"/>
  <c r="R7" i="29"/>
  <c r="AM7" i="29" s="1"/>
  <c r="H7" i="29"/>
  <c r="G7" i="29"/>
  <c r="AR6" i="29"/>
  <c r="AL6" i="29"/>
  <c r="AK6" i="29"/>
  <c r="AG6" i="29"/>
  <c r="AF6" i="29"/>
  <c r="T6" i="29"/>
  <c r="S6" i="29"/>
  <c r="R6" i="29"/>
  <c r="AM6" i="29" s="1"/>
  <c r="H6" i="29"/>
  <c r="G6" i="29"/>
  <c r="B6" i="29"/>
  <c r="B8" i="29" s="1"/>
  <c r="AR5" i="29"/>
  <c r="AL5" i="29"/>
  <c r="AK5" i="29"/>
  <c r="AG5" i="29"/>
  <c r="AF5" i="29"/>
  <c r="T5" i="29"/>
  <c r="S5" i="29"/>
  <c r="R5" i="29"/>
  <c r="AM5" i="29" s="1"/>
  <c r="H5" i="29"/>
  <c r="G5" i="29"/>
  <c r="B5" i="29"/>
  <c r="B7" i="29" s="1"/>
  <c r="A7" i="29" s="1"/>
  <c r="AR4" i="29"/>
  <c r="AL4" i="29"/>
  <c r="AK4" i="29"/>
  <c r="AG4" i="29"/>
  <c r="AF4" i="29"/>
  <c r="T4" i="29"/>
  <c r="S4" i="29"/>
  <c r="R4" i="29"/>
  <c r="AM4" i="29" s="1"/>
  <c r="H4" i="29"/>
  <c r="G4" i="29"/>
  <c r="A4" i="29"/>
  <c r="AP1" i="29"/>
  <c r="AW24" i="29" l="1"/>
  <c r="A5" i="29"/>
  <c r="A6" i="29"/>
  <c r="B8" i="30"/>
  <c r="A8" i="30" s="1"/>
  <c r="AN64" i="30"/>
  <c r="AO62" i="30"/>
  <c r="AO63" i="30"/>
  <c r="AN62" i="30"/>
  <c r="AN63" i="30"/>
  <c r="AN14" i="30"/>
  <c r="AN15" i="30"/>
  <c r="AO13" i="29"/>
  <c r="AO15" i="29"/>
  <c r="AO5" i="30"/>
  <c r="AO8" i="30"/>
  <c r="AO22" i="29"/>
  <c r="AO57" i="29"/>
  <c r="AN25" i="29"/>
  <c r="AN27" i="29"/>
  <c r="AO54" i="29"/>
  <c r="AO55" i="29"/>
  <c r="AN57" i="29"/>
  <c r="AN58" i="29"/>
  <c r="AN60" i="29"/>
  <c r="AO58" i="29"/>
  <c r="AO64" i="30"/>
  <c r="AO65" i="30"/>
  <c r="AO19" i="30"/>
  <c r="AN32" i="30"/>
  <c r="AN33" i="30"/>
  <c r="AO13" i="30"/>
  <c r="AN9" i="30"/>
  <c r="AO30" i="30"/>
  <c r="AO31" i="30"/>
  <c r="AN4" i="30"/>
  <c r="AN6" i="30"/>
  <c r="AO9" i="30"/>
  <c r="AN11" i="30"/>
  <c r="AO14" i="30"/>
  <c r="AO15" i="30"/>
  <c r="AN56" i="30"/>
  <c r="AO4" i="30"/>
  <c r="AO6" i="30"/>
  <c r="AO7" i="30"/>
  <c r="AO10" i="30"/>
  <c r="AO11" i="30"/>
  <c r="AN12" i="30"/>
  <c r="AO16" i="30"/>
  <c r="AN17" i="30"/>
  <c r="AO26" i="30"/>
  <c r="AO27" i="30"/>
  <c r="AN28" i="30"/>
  <c r="AN29" i="30"/>
  <c r="AN7" i="30"/>
  <c r="AN10" i="30"/>
  <c r="AN16" i="30"/>
  <c r="AO33" i="30"/>
  <c r="AN5" i="30"/>
  <c r="AP5" i="30" s="1"/>
  <c r="AN8" i="30"/>
  <c r="AO12" i="30"/>
  <c r="AN13" i="30"/>
  <c r="AO17" i="30"/>
  <c r="AN18" i="30"/>
  <c r="AO29" i="30"/>
  <c r="AN30" i="30"/>
  <c r="AN20" i="30"/>
  <c r="A5" i="30"/>
  <c r="AO65" i="29"/>
  <c r="AN64" i="29"/>
  <c r="AO64" i="29"/>
  <c r="AN65" i="29"/>
  <c r="AO59" i="29"/>
  <c r="AN56" i="29"/>
  <c r="AO60" i="29"/>
  <c r="AN61" i="29"/>
  <c r="AN62" i="29"/>
  <c r="AO56" i="29"/>
  <c r="AO61" i="29"/>
  <c r="AO62" i="29"/>
  <c r="AO63" i="29"/>
  <c r="AO58" i="30"/>
  <c r="AO59" i="30"/>
  <c r="AN60" i="30"/>
  <c r="AO56" i="30"/>
  <c r="AO57" i="30"/>
  <c r="AN58" i="30"/>
  <c r="AN59" i="30"/>
  <c r="AO60" i="30"/>
  <c r="AO61" i="30"/>
  <c r="AN54" i="30"/>
  <c r="AO53" i="29"/>
  <c r="AN52" i="29"/>
  <c r="AO51" i="29"/>
  <c r="AO52" i="29"/>
  <c r="AN53" i="29"/>
  <c r="AN50" i="29"/>
  <c r="AN51" i="29"/>
  <c r="AN54" i="29"/>
  <c r="AN55" i="30"/>
  <c r="AO46" i="30"/>
  <c r="AO47" i="30"/>
  <c r="AO54" i="30"/>
  <c r="AO55" i="30"/>
  <c r="AN47" i="30"/>
  <c r="AN48" i="30"/>
  <c r="AO48" i="30"/>
  <c r="AO49" i="30"/>
  <c r="AN50" i="30"/>
  <c r="AN51" i="30"/>
  <c r="AO50" i="30"/>
  <c r="AO51" i="30"/>
  <c r="AN52" i="30"/>
  <c r="AN46" i="30"/>
  <c r="AO52" i="30"/>
  <c r="AO53" i="30"/>
  <c r="AN44" i="29"/>
  <c r="AO42" i="29"/>
  <c r="AO43" i="29"/>
  <c r="AO49" i="29"/>
  <c r="AO45" i="29"/>
  <c r="AN46" i="29"/>
  <c r="AN47" i="29"/>
  <c r="AN42" i="29"/>
  <c r="AO47" i="29"/>
  <c r="AN48" i="29"/>
  <c r="AN34" i="30"/>
  <c r="AN42" i="30"/>
  <c r="AO42" i="30"/>
  <c r="AO43" i="30"/>
  <c r="AN44" i="30"/>
  <c r="AO44" i="30"/>
  <c r="AO45" i="30"/>
  <c r="AN37" i="29"/>
  <c r="AN40" i="29"/>
  <c r="AN41" i="29"/>
  <c r="AO40" i="29"/>
  <c r="AO41" i="29"/>
  <c r="AO40" i="30"/>
  <c r="AO37" i="30"/>
  <c r="AN38" i="30"/>
  <c r="AO41" i="30"/>
  <c r="AO34" i="30"/>
  <c r="AO35" i="30"/>
  <c r="AN36" i="30"/>
  <c r="AN37" i="30"/>
  <c r="AO38" i="30"/>
  <c r="AO39" i="30"/>
  <c r="AN40" i="30"/>
  <c r="AN38" i="29"/>
  <c r="AO36" i="29"/>
  <c r="AO37" i="29"/>
  <c r="AN35" i="29"/>
  <c r="AO38" i="29"/>
  <c r="AO39" i="29"/>
  <c r="AO35" i="29"/>
  <c r="AN36" i="29"/>
  <c r="AN21" i="30"/>
  <c r="AO23" i="30"/>
  <c r="AN24" i="30"/>
  <c r="AN25" i="30"/>
  <c r="AO21" i="30"/>
  <c r="AN22" i="30"/>
  <c r="AO25" i="30"/>
  <c r="AN26" i="30"/>
  <c r="AN41" i="30"/>
  <c r="AN45" i="30"/>
  <c r="AN49" i="30"/>
  <c r="AN53" i="30"/>
  <c r="AN57" i="30"/>
  <c r="AN61" i="30"/>
  <c r="AN65" i="30"/>
  <c r="AP65" i="30" s="1"/>
  <c r="B10" i="30"/>
  <c r="AN19" i="30"/>
  <c r="AO22" i="30"/>
  <c r="B9" i="30"/>
  <c r="AO20" i="30"/>
  <c r="AM66" i="30"/>
  <c r="H7" i="1" s="1"/>
  <c r="AO18" i="30"/>
  <c r="AN23" i="30"/>
  <c r="AO24" i="30"/>
  <c r="AN27" i="30"/>
  <c r="AO28" i="30"/>
  <c r="AN31" i="30"/>
  <c r="AO32" i="30"/>
  <c r="AN35" i="30"/>
  <c r="AO36" i="30"/>
  <c r="AN39" i="30"/>
  <c r="AN43" i="30"/>
  <c r="AN7" i="29"/>
  <c r="AN14" i="29"/>
  <c r="AN16" i="29"/>
  <c r="AO25" i="29"/>
  <c r="AO30" i="29"/>
  <c r="AO32" i="29"/>
  <c r="AN5" i="29"/>
  <c r="AO7" i="29"/>
  <c r="AO12" i="29"/>
  <c r="AO14" i="29"/>
  <c r="AO21" i="29"/>
  <c r="AN23" i="29"/>
  <c r="AN26" i="29"/>
  <c r="AN33" i="29"/>
  <c r="AO6" i="29"/>
  <c r="AN8" i="29"/>
  <c r="AN13" i="29"/>
  <c r="AN15" i="29"/>
  <c r="AO24" i="29"/>
  <c r="AO31" i="29"/>
  <c r="AO33" i="29"/>
  <c r="AN4" i="29"/>
  <c r="AO4" i="29"/>
  <c r="AN6" i="29"/>
  <c r="AO9" i="29"/>
  <c r="AO10" i="29"/>
  <c r="AO11" i="29"/>
  <c r="AN12" i="29"/>
  <c r="AO17" i="29"/>
  <c r="AO18" i="29"/>
  <c r="AO20" i="29"/>
  <c r="AN21" i="29"/>
  <c r="AN22" i="29"/>
  <c r="AN24" i="29"/>
  <c r="AO29" i="29"/>
  <c r="AN31" i="29"/>
  <c r="AP31" i="29" s="1"/>
  <c r="AN32" i="29"/>
  <c r="AO5" i="29"/>
  <c r="AO8" i="29"/>
  <c r="AN9" i="29"/>
  <c r="AN10" i="29"/>
  <c r="AN11" i="29"/>
  <c r="AO16" i="29"/>
  <c r="AN17" i="29"/>
  <c r="AN18" i="29"/>
  <c r="AN19" i="29"/>
  <c r="AO23" i="29"/>
  <c r="AO26" i="29"/>
  <c r="AO27" i="29"/>
  <c r="AN28" i="29"/>
  <c r="AN29" i="29"/>
  <c r="AO19" i="29"/>
  <c r="AM66" i="29"/>
  <c r="H12" i="1" s="1"/>
  <c r="A8" i="29"/>
  <c r="B10" i="29"/>
  <c r="AN20" i="29"/>
  <c r="AN39" i="29"/>
  <c r="AO44" i="29"/>
  <c r="AN55" i="29"/>
  <c r="AN59" i="29"/>
  <c r="AN63" i="29"/>
  <c r="B9" i="29"/>
  <c r="AN34" i="29"/>
  <c r="AN43" i="29"/>
  <c r="AN45" i="29"/>
  <c r="AO46" i="29"/>
  <c r="AO48" i="29"/>
  <c r="T66" i="29"/>
  <c r="S66" i="29"/>
  <c r="R66" i="29"/>
  <c r="G12" i="1" s="1"/>
  <c r="AO28" i="29"/>
  <c r="AN30" i="29"/>
  <c r="AO34" i="29"/>
  <c r="AN49" i="29"/>
  <c r="AO50" i="29"/>
  <c r="AP51" i="29" l="1"/>
  <c r="AP63" i="30"/>
  <c r="AP16" i="30"/>
  <c r="AP64" i="29"/>
  <c r="AP14" i="30"/>
  <c r="AP33" i="30"/>
  <c r="AP61" i="30"/>
  <c r="AP64" i="30"/>
  <c r="AP15" i="30"/>
  <c r="AP62" i="30"/>
  <c r="AP65" i="29"/>
  <c r="AP58" i="29"/>
  <c r="AP21" i="30"/>
  <c r="AP53" i="29"/>
  <c r="AP54" i="29"/>
  <c r="AP57" i="29"/>
  <c r="AP18" i="30"/>
  <c r="AP4" i="30"/>
  <c r="AP56" i="30"/>
  <c r="AP25" i="29"/>
  <c r="AP29" i="29"/>
  <c r="AP26" i="29"/>
  <c r="AP27" i="29"/>
  <c r="AP31" i="30"/>
  <c r="AP26" i="30"/>
  <c r="AP23" i="30"/>
  <c r="AP17" i="29"/>
  <c r="AP14" i="29"/>
  <c r="AP13" i="29"/>
  <c r="AP12" i="30"/>
  <c r="AP15" i="29"/>
  <c r="AP7" i="29"/>
  <c r="AP8" i="30"/>
  <c r="AP6" i="30"/>
  <c r="AP7" i="30"/>
  <c r="AP11" i="30"/>
  <c r="AP61" i="29"/>
  <c r="AP60" i="29"/>
  <c r="AP30" i="29"/>
  <c r="AP43" i="29"/>
  <c r="AP23" i="29"/>
  <c r="AP16" i="29"/>
  <c r="AP50" i="29"/>
  <c r="AP20" i="29"/>
  <c r="AP55" i="29"/>
  <c r="AP59" i="29"/>
  <c r="AP4" i="29"/>
  <c r="AP33" i="29"/>
  <c r="AP37" i="29"/>
  <c r="AP22" i="30"/>
  <c r="AP27" i="30"/>
  <c r="AP57" i="30"/>
  <c r="AP54" i="30"/>
  <c r="AP28" i="30"/>
  <c r="AP19" i="30"/>
  <c r="AP47" i="30"/>
  <c r="AP32" i="30"/>
  <c r="AP13" i="30"/>
  <c r="AP9" i="30"/>
  <c r="AP55" i="30"/>
  <c r="AP30" i="30"/>
  <c r="AP29" i="30"/>
  <c r="AP17" i="30"/>
  <c r="AP10" i="30"/>
  <c r="AP59" i="30"/>
  <c r="AP24" i="30"/>
  <c r="AP46" i="30"/>
  <c r="AP58" i="30"/>
  <c r="AP62" i="29"/>
  <c r="AP63" i="29"/>
  <c r="AP56" i="29"/>
  <c r="AP60" i="30"/>
  <c r="AP51" i="30"/>
  <c r="AP50" i="30"/>
  <c r="AP52" i="29"/>
  <c r="AP46" i="29"/>
  <c r="AP45" i="29"/>
  <c r="AP48" i="30"/>
  <c r="AP52" i="30"/>
  <c r="AP53" i="30"/>
  <c r="AP49" i="30"/>
  <c r="AP44" i="30"/>
  <c r="AP42" i="29"/>
  <c r="AP38" i="29"/>
  <c r="AP49" i="29"/>
  <c r="AP48" i="29"/>
  <c r="AP44" i="29"/>
  <c r="AP47" i="29"/>
  <c r="AP41" i="29"/>
  <c r="AP35" i="29"/>
  <c r="AP40" i="29"/>
  <c r="AP43" i="30"/>
  <c r="AP34" i="30"/>
  <c r="AP45" i="30"/>
  <c r="AP42" i="30"/>
  <c r="AP40" i="30"/>
  <c r="AP38" i="30"/>
  <c r="AP36" i="30"/>
  <c r="AP41" i="30"/>
  <c r="AP35" i="30"/>
  <c r="AP37" i="30"/>
  <c r="AP39" i="29"/>
  <c r="AP36" i="29"/>
  <c r="AP39" i="30"/>
  <c r="AP25" i="30"/>
  <c r="B12" i="30"/>
  <c r="A10" i="30"/>
  <c r="AP20" i="30"/>
  <c r="A9" i="30"/>
  <c r="B11" i="30"/>
  <c r="AO66" i="30"/>
  <c r="J7" i="1" s="1"/>
  <c r="AN66" i="30"/>
  <c r="I7" i="1" s="1"/>
  <c r="AP8" i="29"/>
  <c r="AP5" i="29"/>
  <c r="AP24" i="29"/>
  <c r="AP32" i="29"/>
  <c r="AP11" i="29"/>
  <c r="AP21" i="29"/>
  <c r="AP12" i="29"/>
  <c r="AP6" i="29"/>
  <c r="AP18" i="29"/>
  <c r="AP19" i="29"/>
  <c r="AP9" i="29"/>
  <c r="AO66" i="29"/>
  <c r="J12" i="1" s="1"/>
  <c r="AP10" i="29"/>
  <c r="AP22" i="29"/>
  <c r="A9" i="29"/>
  <c r="B11" i="29"/>
  <c r="AP34" i="29"/>
  <c r="AN66" i="29"/>
  <c r="I12" i="1" s="1"/>
  <c r="B12" i="29"/>
  <c r="A10" i="29"/>
  <c r="AP28" i="29"/>
  <c r="J66" i="28"/>
  <c r="G20" i="1" s="1"/>
  <c r="AR65" i="28"/>
  <c r="AL65" i="28"/>
  <c r="AK65" i="28"/>
  <c r="AG65" i="28"/>
  <c r="AF65" i="28"/>
  <c r="AB65" i="28"/>
  <c r="AA65" i="28"/>
  <c r="T65" i="28"/>
  <c r="S65" i="28"/>
  <c r="R65" i="28"/>
  <c r="AM65" i="28" s="1"/>
  <c r="H65" i="28"/>
  <c r="G65" i="28"/>
  <c r="AR64" i="28"/>
  <c r="AL64" i="28"/>
  <c r="AK64" i="28"/>
  <c r="AG64" i="28"/>
  <c r="AF64" i="28"/>
  <c r="AB64" i="28"/>
  <c r="AA64" i="28"/>
  <c r="T64" i="28"/>
  <c r="S64" i="28"/>
  <c r="R64" i="28"/>
  <c r="AM64" i="28" s="1"/>
  <c r="H64" i="28"/>
  <c r="G64" i="28"/>
  <c r="AR63" i="28"/>
  <c r="AL63" i="28"/>
  <c r="AK63" i="28"/>
  <c r="AG63" i="28"/>
  <c r="AF63" i="28"/>
  <c r="AB63" i="28"/>
  <c r="AA63" i="28"/>
  <c r="T63" i="28"/>
  <c r="S63" i="28"/>
  <c r="R63" i="28"/>
  <c r="AM63" i="28" s="1"/>
  <c r="H63" i="28"/>
  <c r="G63" i="28"/>
  <c r="AR62" i="28"/>
  <c r="AL62" i="28"/>
  <c r="AK62" i="28"/>
  <c r="AG62" i="28"/>
  <c r="AF62" i="28"/>
  <c r="AB62" i="28"/>
  <c r="AA62" i="28"/>
  <c r="T62" i="28"/>
  <c r="S62" i="28"/>
  <c r="R62" i="28"/>
  <c r="AM62" i="28" s="1"/>
  <c r="H62" i="28"/>
  <c r="G62" i="28"/>
  <c r="AR61" i="28"/>
  <c r="AL61" i="28"/>
  <c r="AK61" i="28"/>
  <c r="AG61" i="28"/>
  <c r="AF61" i="28"/>
  <c r="AB61" i="28"/>
  <c r="AA61" i="28"/>
  <c r="T61" i="28"/>
  <c r="S61" i="28"/>
  <c r="R61" i="28"/>
  <c r="AM61" i="28" s="1"/>
  <c r="H61" i="28"/>
  <c r="G61" i="28"/>
  <c r="AR60" i="28"/>
  <c r="AL60" i="28"/>
  <c r="AK60" i="28"/>
  <c r="AG60" i="28"/>
  <c r="AF60" i="28"/>
  <c r="AB60" i="28"/>
  <c r="AA60" i="28"/>
  <c r="T60" i="28"/>
  <c r="S60" i="28"/>
  <c r="R60" i="28"/>
  <c r="AM60" i="28" s="1"/>
  <c r="H60" i="28"/>
  <c r="G60" i="28"/>
  <c r="AR59" i="28"/>
  <c r="AL59" i="28"/>
  <c r="AK59" i="28"/>
  <c r="AG59" i="28"/>
  <c r="AF59" i="28"/>
  <c r="AB59" i="28"/>
  <c r="AA59" i="28"/>
  <c r="T59" i="28"/>
  <c r="S59" i="28"/>
  <c r="R59" i="28"/>
  <c r="AM59" i="28" s="1"/>
  <c r="H59" i="28"/>
  <c r="G59" i="28"/>
  <c r="AR58" i="28"/>
  <c r="AL58" i="28"/>
  <c r="AK58" i="28"/>
  <c r="AG58" i="28"/>
  <c r="AF58" i="28"/>
  <c r="AB58" i="28"/>
  <c r="AA58" i="28"/>
  <c r="T58" i="28"/>
  <c r="S58" i="28"/>
  <c r="R58" i="28"/>
  <c r="AM58" i="28" s="1"/>
  <c r="H58" i="28"/>
  <c r="G58" i="28"/>
  <c r="AR57" i="28"/>
  <c r="AL57" i="28"/>
  <c r="AK57" i="28"/>
  <c r="AG57" i="28"/>
  <c r="AF57" i="28"/>
  <c r="AB57" i="28"/>
  <c r="AA57" i="28"/>
  <c r="T57" i="28"/>
  <c r="S57" i="28"/>
  <c r="R57" i="28"/>
  <c r="AM57" i="28" s="1"/>
  <c r="H57" i="28"/>
  <c r="G57" i="28"/>
  <c r="AR56" i="28"/>
  <c r="AL56" i="28"/>
  <c r="AK56" i="28"/>
  <c r="AG56" i="28"/>
  <c r="AF56" i="28"/>
  <c r="AB56" i="28"/>
  <c r="AA56" i="28"/>
  <c r="T56" i="28"/>
  <c r="S56" i="28"/>
  <c r="R56" i="28"/>
  <c r="AM56" i="28" s="1"/>
  <c r="H56" i="28"/>
  <c r="G56" i="28"/>
  <c r="AR55" i="28"/>
  <c r="AL55" i="28"/>
  <c r="AK55" i="28"/>
  <c r="AG55" i="28"/>
  <c r="AF55" i="28"/>
  <c r="AB55" i="28"/>
  <c r="AA55" i="28"/>
  <c r="T55" i="28"/>
  <c r="S55" i="28"/>
  <c r="R55" i="28"/>
  <c r="AM55" i="28" s="1"/>
  <c r="H55" i="28"/>
  <c r="G55" i="28"/>
  <c r="AR54" i="28"/>
  <c r="AL54" i="28"/>
  <c r="AK54" i="28"/>
  <c r="AG54" i="28"/>
  <c r="AF54" i="28"/>
  <c r="AB54" i="28"/>
  <c r="AA54" i="28"/>
  <c r="T54" i="28"/>
  <c r="S54" i="28"/>
  <c r="R54" i="28"/>
  <c r="AM54" i="28" s="1"/>
  <c r="H54" i="28"/>
  <c r="G54" i="28"/>
  <c r="AR53" i="28"/>
  <c r="AL53" i="28"/>
  <c r="AK53" i="28"/>
  <c r="AG53" i="28"/>
  <c r="AF53" i="28"/>
  <c r="AB53" i="28"/>
  <c r="AA53" i="28"/>
  <c r="T53" i="28"/>
  <c r="S53" i="28"/>
  <c r="R53" i="28"/>
  <c r="AM53" i="28" s="1"/>
  <c r="H53" i="28"/>
  <c r="G53" i="28"/>
  <c r="AR52" i="28"/>
  <c r="AL52" i="28"/>
  <c r="AK52" i="28"/>
  <c r="AG52" i="28"/>
  <c r="AF52" i="28"/>
  <c r="AB52" i="28"/>
  <c r="AA52" i="28"/>
  <c r="T52" i="28"/>
  <c r="S52" i="28"/>
  <c r="R52" i="28"/>
  <c r="AM52" i="28" s="1"/>
  <c r="H52" i="28"/>
  <c r="G52" i="28"/>
  <c r="AR51" i="28"/>
  <c r="AL51" i="28"/>
  <c r="AK51" i="28"/>
  <c r="AG51" i="28"/>
  <c r="AF51" i="28"/>
  <c r="AB51" i="28"/>
  <c r="AA51" i="28"/>
  <c r="T51" i="28"/>
  <c r="S51" i="28"/>
  <c r="R51" i="28"/>
  <c r="AM51" i="28" s="1"/>
  <c r="H51" i="28"/>
  <c r="G51" i="28"/>
  <c r="AR50" i="28"/>
  <c r="AL50" i="28"/>
  <c r="AK50" i="28"/>
  <c r="AG50" i="28"/>
  <c r="AF50" i="28"/>
  <c r="AB50" i="28"/>
  <c r="AA50" i="28"/>
  <c r="T50" i="28"/>
  <c r="S50" i="28"/>
  <c r="R50" i="28"/>
  <c r="AM50" i="28" s="1"/>
  <c r="H50" i="28"/>
  <c r="G50" i="28"/>
  <c r="AR49" i="28"/>
  <c r="AL49" i="28"/>
  <c r="AK49" i="28"/>
  <c r="AG49" i="28"/>
  <c r="AF49" i="28"/>
  <c r="AB49" i="28"/>
  <c r="AA49" i="28"/>
  <c r="T49" i="28"/>
  <c r="S49" i="28"/>
  <c r="R49" i="28"/>
  <c r="AM49" i="28" s="1"/>
  <c r="H49" i="28"/>
  <c r="G49" i="28"/>
  <c r="AR48" i="28"/>
  <c r="AL48" i="28"/>
  <c r="AK48" i="28"/>
  <c r="AG48" i="28"/>
  <c r="AF48" i="28"/>
  <c r="AB48" i="28"/>
  <c r="AA48" i="28"/>
  <c r="T48" i="28"/>
  <c r="S48" i="28"/>
  <c r="R48" i="28"/>
  <c r="AM48" i="28" s="1"/>
  <c r="H48" i="28"/>
  <c r="G48" i="28"/>
  <c r="AR47" i="28"/>
  <c r="AL47" i="28"/>
  <c r="AK47" i="28"/>
  <c r="AG47" i="28"/>
  <c r="AF47" i="28"/>
  <c r="AB47" i="28"/>
  <c r="AA47" i="28"/>
  <c r="T47" i="28"/>
  <c r="S47" i="28"/>
  <c r="R47" i="28"/>
  <c r="AM47" i="28" s="1"/>
  <c r="H47" i="28"/>
  <c r="G47" i="28"/>
  <c r="AR46" i="28"/>
  <c r="AL46" i="28"/>
  <c r="AK46" i="28"/>
  <c r="AG46" i="28"/>
  <c r="AF46" i="28"/>
  <c r="AB46" i="28"/>
  <c r="AA46" i="28"/>
  <c r="T46" i="28"/>
  <c r="S46" i="28"/>
  <c r="R46" i="28"/>
  <c r="AM46" i="28" s="1"/>
  <c r="H46" i="28"/>
  <c r="G46" i="28"/>
  <c r="AR45" i="28"/>
  <c r="AL45" i="28"/>
  <c r="AK45" i="28"/>
  <c r="AG45" i="28"/>
  <c r="AF45" i="28"/>
  <c r="AB45" i="28"/>
  <c r="AA45" i="28"/>
  <c r="T45" i="28"/>
  <c r="S45" i="28"/>
  <c r="R45" i="28"/>
  <c r="AM45" i="28" s="1"/>
  <c r="H45" i="28"/>
  <c r="G45" i="28"/>
  <c r="AR44" i="28"/>
  <c r="AL44" i="28"/>
  <c r="AK44" i="28"/>
  <c r="AG44" i="28"/>
  <c r="AF44" i="28"/>
  <c r="AB44" i="28"/>
  <c r="AA44" i="28"/>
  <c r="T44" i="28"/>
  <c r="S44" i="28"/>
  <c r="R44" i="28"/>
  <c r="AM44" i="28" s="1"/>
  <c r="H44" i="28"/>
  <c r="G44" i="28"/>
  <c r="AR43" i="28"/>
  <c r="AL43" i="28"/>
  <c r="AK43" i="28"/>
  <c r="AG43" i="28"/>
  <c r="AF43" i="28"/>
  <c r="AB43" i="28"/>
  <c r="AA43" i="28"/>
  <c r="T43" i="28"/>
  <c r="S43" i="28"/>
  <c r="R43" i="28"/>
  <c r="AM43" i="28" s="1"/>
  <c r="H43" i="28"/>
  <c r="G43" i="28"/>
  <c r="AR42" i="28"/>
  <c r="AL42" i="28"/>
  <c r="AK42" i="28"/>
  <c r="AG42" i="28"/>
  <c r="AF42" i="28"/>
  <c r="AB42" i="28"/>
  <c r="AA42" i="28"/>
  <c r="T42" i="28"/>
  <c r="S42" i="28"/>
  <c r="R42" i="28"/>
  <c r="AM42" i="28" s="1"/>
  <c r="H42" i="28"/>
  <c r="G42" i="28"/>
  <c r="AR41" i="28"/>
  <c r="AL41" i="28"/>
  <c r="AK41" i="28"/>
  <c r="AG41" i="28"/>
  <c r="AF41" i="28"/>
  <c r="AB41" i="28"/>
  <c r="AA41" i="28"/>
  <c r="T41" i="28"/>
  <c r="S41" i="28"/>
  <c r="R41" i="28"/>
  <c r="AM41" i="28" s="1"/>
  <c r="H41" i="28"/>
  <c r="G41" i="28"/>
  <c r="AR40" i="28"/>
  <c r="AL40" i="28"/>
  <c r="AK40" i="28"/>
  <c r="AG40" i="28"/>
  <c r="AF40" i="28"/>
  <c r="AB40" i="28"/>
  <c r="AA40" i="28"/>
  <c r="T40" i="28"/>
  <c r="S40" i="28"/>
  <c r="R40" i="28"/>
  <c r="AM40" i="28" s="1"/>
  <c r="H40" i="28"/>
  <c r="G40" i="28"/>
  <c r="AR39" i="28"/>
  <c r="AL39" i="28"/>
  <c r="AK39" i="28"/>
  <c r="AG39" i="28"/>
  <c r="AF39" i="28"/>
  <c r="AB39" i="28"/>
  <c r="AA39" i="28"/>
  <c r="T39" i="28"/>
  <c r="S39" i="28"/>
  <c r="R39" i="28"/>
  <c r="AM39" i="28" s="1"/>
  <c r="H39" i="28"/>
  <c r="G39" i="28"/>
  <c r="AR38" i="28"/>
  <c r="AL38" i="28"/>
  <c r="AK38" i="28"/>
  <c r="AG38" i="28"/>
  <c r="AF38" i="28"/>
  <c r="AB38" i="28"/>
  <c r="AA38" i="28"/>
  <c r="T38" i="28"/>
  <c r="S38" i="28"/>
  <c r="R38" i="28"/>
  <c r="AM38" i="28" s="1"/>
  <c r="H38" i="28"/>
  <c r="G38" i="28"/>
  <c r="AR37" i="28"/>
  <c r="AL37" i="28"/>
  <c r="AK37" i="28"/>
  <c r="AG37" i="28"/>
  <c r="AF37" i="28"/>
  <c r="AB37" i="28"/>
  <c r="AA37" i="28"/>
  <c r="T37" i="28"/>
  <c r="S37" i="28"/>
  <c r="R37" i="28"/>
  <c r="AM37" i="28" s="1"/>
  <c r="H37" i="28"/>
  <c r="G37" i="28"/>
  <c r="AR36" i="28"/>
  <c r="AL36" i="28"/>
  <c r="AK36" i="28"/>
  <c r="AG36" i="28"/>
  <c r="AF36" i="28"/>
  <c r="AB36" i="28"/>
  <c r="AA36" i="28"/>
  <c r="T36" i="28"/>
  <c r="S36" i="28"/>
  <c r="R36" i="28"/>
  <c r="AM36" i="28" s="1"/>
  <c r="H36" i="28"/>
  <c r="G36" i="28"/>
  <c r="AR35" i="28"/>
  <c r="AL35" i="28"/>
  <c r="AK35" i="28"/>
  <c r="AG35" i="28"/>
  <c r="AF35" i="28"/>
  <c r="AB35" i="28"/>
  <c r="AA35" i="28"/>
  <c r="T35" i="28"/>
  <c r="S35" i="28"/>
  <c r="R35" i="28"/>
  <c r="AM35" i="28" s="1"/>
  <c r="H35" i="28"/>
  <c r="G35" i="28"/>
  <c r="AR34" i="28"/>
  <c r="AL34" i="28"/>
  <c r="AK34" i="28"/>
  <c r="AG34" i="28"/>
  <c r="AF34" i="28"/>
  <c r="AB34" i="28"/>
  <c r="AA34" i="28"/>
  <c r="T34" i="28"/>
  <c r="S34" i="28"/>
  <c r="R34" i="28"/>
  <c r="AM34" i="28" s="1"/>
  <c r="H34" i="28"/>
  <c r="G34" i="28"/>
  <c r="AR33" i="28"/>
  <c r="AL33" i="28"/>
  <c r="AK33" i="28"/>
  <c r="AG33" i="28"/>
  <c r="AF33" i="28"/>
  <c r="AB33" i="28"/>
  <c r="AA33" i="28"/>
  <c r="T33" i="28"/>
  <c r="S33" i="28"/>
  <c r="R33" i="28"/>
  <c r="AM33" i="28" s="1"/>
  <c r="H33" i="28"/>
  <c r="G33" i="28"/>
  <c r="AR32" i="28"/>
  <c r="AL32" i="28"/>
  <c r="AK32" i="28"/>
  <c r="AG32" i="28"/>
  <c r="AF32" i="28"/>
  <c r="AB32" i="28"/>
  <c r="AA32" i="28"/>
  <c r="T32" i="28"/>
  <c r="S32" i="28"/>
  <c r="R32" i="28"/>
  <c r="AM32" i="28" s="1"/>
  <c r="H32" i="28"/>
  <c r="G32" i="28"/>
  <c r="AR31" i="28"/>
  <c r="AL31" i="28"/>
  <c r="AK31" i="28"/>
  <c r="AG31" i="28"/>
  <c r="AF31" i="28"/>
  <c r="AB31" i="28"/>
  <c r="AA31" i="28"/>
  <c r="T31" i="28"/>
  <c r="S31" i="28"/>
  <c r="R31" i="28"/>
  <c r="AM31" i="28" s="1"/>
  <c r="H31" i="28"/>
  <c r="G31" i="28"/>
  <c r="AR30" i="28"/>
  <c r="AL30" i="28"/>
  <c r="AK30" i="28"/>
  <c r="AG30" i="28"/>
  <c r="AF30" i="28"/>
  <c r="AB30" i="28"/>
  <c r="AA30" i="28"/>
  <c r="T30" i="28"/>
  <c r="S30" i="28"/>
  <c r="R30" i="28"/>
  <c r="AM30" i="28" s="1"/>
  <c r="H30" i="28"/>
  <c r="G30" i="28"/>
  <c r="AR29" i="28"/>
  <c r="AL29" i="28"/>
  <c r="AK29" i="28"/>
  <c r="AG29" i="28"/>
  <c r="AF29" i="28"/>
  <c r="AB29" i="28"/>
  <c r="AA29" i="28"/>
  <c r="T29" i="28"/>
  <c r="S29" i="28"/>
  <c r="R29" i="28"/>
  <c r="AM29" i="28" s="1"/>
  <c r="H29" i="28"/>
  <c r="G29" i="28"/>
  <c r="AR28" i="28"/>
  <c r="AL28" i="28"/>
  <c r="AK28" i="28"/>
  <c r="AG28" i="28"/>
  <c r="AF28" i="28"/>
  <c r="AB28" i="28"/>
  <c r="AA28" i="28"/>
  <c r="T28" i="28"/>
  <c r="S28" i="28"/>
  <c r="R28" i="28"/>
  <c r="AM28" i="28" s="1"/>
  <c r="H28" i="28"/>
  <c r="G28" i="28"/>
  <c r="AR27" i="28"/>
  <c r="AL27" i="28"/>
  <c r="AK27" i="28"/>
  <c r="AG27" i="28"/>
  <c r="AF27" i="28"/>
  <c r="AB27" i="28"/>
  <c r="AA27" i="28"/>
  <c r="T27" i="28"/>
  <c r="S27" i="28"/>
  <c r="R27" i="28"/>
  <c r="AM27" i="28" s="1"/>
  <c r="H27" i="28"/>
  <c r="G27" i="28"/>
  <c r="AR26" i="28"/>
  <c r="AL26" i="28"/>
  <c r="AK26" i="28"/>
  <c r="AG26" i="28"/>
  <c r="AF26" i="28"/>
  <c r="AB26" i="28"/>
  <c r="AA26" i="28"/>
  <c r="T26" i="28"/>
  <c r="S26" i="28"/>
  <c r="R26" i="28"/>
  <c r="AM26" i="28" s="1"/>
  <c r="H26" i="28"/>
  <c r="G26" i="28"/>
  <c r="AR25" i="28"/>
  <c r="AL25" i="28"/>
  <c r="AK25" i="28"/>
  <c r="AG25" i="28"/>
  <c r="AF25" i="28"/>
  <c r="AB25" i="28"/>
  <c r="AA25" i="28"/>
  <c r="T25" i="28"/>
  <c r="S25" i="28"/>
  <c r="R25" i="28"/>
  <c r="AM25" i="28" s="1"/>
  <c r="H25" i="28"/>
  <c r="G25" i="28"/>
  <c r="AR24" i="28"/>
  <c r="AL24" i="28"/>
  <c r="AK24" i="28"/>
  <c r="AG24" i="28"/>
  <c r="AF24" i="28"/>
  <c r="AB24" i="28"/>
  <c r="AA24" i="28"/>
  <c r="T24" i="28"/>
  <c r="S24" i="28"/>
  <c r="R24" i="28"/>
  <c r="AM24" i="28" s="1"/>
  <c r="H24" i="28"/>
  <c r="G24" i="28"/>
  <c r="AR23" i="28"/>
  <c r="AL23" i="28"/>
  <c r="AK23" i="28"/>
  <c r="AG23" i="28"/>
  <c r="AF23" i="28"/>
  <c r="AB23" i="28"/>
  <c r="AA23" i="28"/>
  <c r="T23" i="28"/>
  <c r="S23" i="28"/>
  <c r="R23" i="28"/>
  <c r="AM23" i="28" s="1"/>
  <c r="H23" i="28"/>
  <c r="G23" i="28"/>
  <c r="AR22" i="28"/>
  <c r="AL22" i="28"/>
  <c r="AK22" i="28"/>
  <c r="AG22" i="28"/>
  <c r="AF22" i="28"/>
  <c r="AB22" i="28"/>
  <c r="AA22" i="28"/>
  <c r="T22" i="28"/>
  <c r="S22" i="28"/>
  <c r="R22" i="28"/>
  <c r="AM22" i="28" s="1"/>
  <c r="H22" i="28"/>
  <c r="G22" i="28"/>
  <c r="AR21" i="28"/>
  <c r="AL21" i="28"/>
  <c r="AK21" i="28"/>
  <c r="AG21" i="28"/>
  <c r="AF21" i="28"/>
  <c r="AB21" i="28"/>
  <c r="AA21" i="28"/>
  <c r="T21" i="28"/>
  <c r="S21" i="28"/>
  <c r="R21" i="28"/>
  <c r="AM21" i="28" s="1"/>
  <c r="H21" i="28"/>
  <c r="G21" i="28"/>
  <c r="AR20" i="28"/>
  <c r="AL20" i="28"/>
  <c r="AK20" i="28"/>
  <c r="AG20" i="28"/>
  <c r="AF20" i="28"/>
  <c r="AB20" i="28"/>
  <c r="AA20" i="28"/>
  <c r="T20" i="28"/>
  <c r="S20" i="28"/>
  <c r="R20" i="28"/>
  <c r="AM20" i="28" s="1"/>
  <c r="H20" i="28"/>
  <c r="G20" i="28"/>
  <c r="AR19" i="28"/>
  <c r="AL19" i="28"/>
  <c r="AK19" i="28"/>
  <c r="AG19" i="28"/>
  <c r="AF19" i="28"/>
  <c r="AB19" i="28"/>
  <c r="AA19" i="28"/>
  <c r="T19" i="28"/>
  <c r="S19" i="28"/>
  <c r="R19" i="28"/>
  <c r="AM19" i="28" s="1"/>
  <c r="H19" i="28"/>
  <c r="G19" i="28"/>
  <c r="AR18" i="28"/>
  <c r="AL18" i="28"/>
  <c r="AK18" i="28"/>
  <c r="AG18" i="28"/>
  <c r="AF18" i="28"/>
  <c r="AB18" i="28"/>
  <c r="AA18" i="28"/>
  <c r="T18" i="28"/>
  <c r="S18" i="28"/>
  <c r="R18" i="28"/>
  <c r="AM18" i="28" s="1"/>
  <c r="H18" i="28"/>
  <c r="G18" i="28"/>
  <c r="AR17" i="28"/>
  <c r="AL17" i="28"/>
  <c r="AK17" i="28"/>
  <c r="AG17" i="28"/>
  <c r="AF17" i="28"/>
  <c r="AB17" i="28"/>
  <c r="AA17" i="28"/>
  <c r="T17" i="28"/>
  <c r="S17" i="28"/>
  <c r="R17" i="28"/>
  <c r="AM17" i="28" s="1"/>
  <c r="H17" i="28"/>
  <c r="G17" i="28"/>
  <c r="AR16" i="28"/>
  <c r="AL16" i="28"/>
  <c r="AK16" i="28"/>
  <c r="AG16" i="28"/>
  <c r="AF16" i="28"/>
  <c r="AB16" i="28"/>
  <c r="AA16" i="28"/>
  <c r="T16" i="28"/>
  <c r="S16" i="28"/>
  <c r="R16" i="28"/>
  <c r="AM16" i="28" s="1"/>
  <c r="H16" i="28"/>
  <c r="G16" i="28"/>
  <c r="AR15" i="28"/>
  <c r="AL15" i="28"/>
  <c r="AK15" i="28"/>
  <c r="AG15" i="28"/>
  <c r="AF15" i="28"/>
  <c r="AB15" i="28"/>
  <c r="AA15" i="28"/>
  <c r="T15" i="28"/>
  <c r="S15" i="28"/>
  <c r="R15" i="28"/>
  <c r="AM15" i="28" s="1"/>
  <c r="H15" i="28"/>
  <c r="G15" i="28"/>
  <c r="AR14" i="28"/>
  <c r="AL14" i="28"/>
  <c r="AK14" i="28"/>
  <c r="AG14" i="28"/>
  <c r="AF14" i="28"/>
  <c r="AB14" i="28"/>
  <c r="AA14" i="28"/>
  <c r="T14" i="28"/>
  <c r="S14" i="28"/>
  <c r="R14" i="28"/>
  <c r="AM14" i="28" s="1"/>
  <c r="H14" i="28"/>
  <c r="G14" i="28"/>
  <c r="AR13" i="28"/>
  <c r="AL13" i="28"/>
  <c r="AK13" i="28"/>
  <c r="AG13" i="28"/>
  <c r="AF13" i="28"/>
  <c r="AB13" i="28"/>
  <c r="AA13" i="28"/>
  <c r="T13" i="28"/>
  <c r="S13" i="28"/>
  <c r="R13" i="28"/>
  <c r="AM13" i="28" s="1"/>
  <c r="H13" i="28"/>
  <c r="G13" i="28"/>
  <c r="AR12" i="28"/>
  <c r="AL12" i="28"/>
  <c r="AK12" i="28"/>
  <c r="AG12" i="28"/>
  <c r="AF12" i="28"/>
  <c r="AB12" i="28"/>
  <c r="AA12" i="28"/>
  <c r="T12" i="28"/>
  <c r="S12" i="28"/>
  <c r="R12" i="28"/>
  <c r="AM12" i="28" s="1"/>
  <c r="H12" i="28"/>
  <c r="G12" i="28"/>
  <c r="AR11" i="28"/>
  <c r="AL11" i="28"/>
  <c r="AK11" i="28"/>
  <c r="AG11" i="28"/>
  <c r="AF11" i="28"/>
  <c r="AB11" i="28"/>
  <c r="AA11" i="28"/>
  <c r="T11" i="28"/>
  <c r="S11" i="28"/>
  <c r="R11" i="28"/>
  <c r="AM11" i="28" s="1"/>
  <c r="H11" i="28"/>
  <c r="G11" i="28"/>
  <c r="AR10" i="28"/>
  <c r="AL10" i="28"/>
  <c r="AK10" i="28"/>
  <c r="AG10" i="28"/>
  <c r="AF10" i="28"/>
  <c r="AB10" i="28"/>
  <c r="AA10" i="28"/>
  <c r="T10" i="28"/>
  <c r="S10" i="28"/>
  <c r="R10" i="28"/>
  <c r="AM10" i="28" s="1"/>
  <c r="H10" i="28"/>
  <c r="G10" i="28"/>
  <c r="AR9" i="28"/>
  <c r="AL9" i="28"/>
  <c r="AK9" i="28"/>
  <c r="AG9" i="28"/>
  <c r="AF9" i="28"/>
  <c r="AB9" i="28"/>
  <c r="AA9" i="28"/>
  <c r="T9" i="28"/>
  <c r="S9" i="28"/>
  <c r="R9" i="28"/>
  <c r="AM9" i="28" s="1"/>
  <c r="H9" i="28"/>
  <c r="G9" i="28"/>
  <c r="AR8" i="28"/>
  <c r="AL8" i="28"/>
  <c r="AK8" i="28"/>
  <c r="AG8" i="28"/>
  <c r="AF8" i="28"/>
  <c r="AB8" i="28"/>
  <c r="AA8" i="28"/>
  <c r="T8" i="28"/>
  <c r="S8" i="28"/>
  <c r="R8" i="28"/>
  <c r="AM8" i="28" s="1"/>
  <c r="H8" i="28"/>
  <c r="G8" i="28"/>
  <c r="AR7" i="28"/>
  <c r="AL7" i="28"/>
  <c r="AK7" i="28"/>
  <c r="AG7" i="28"/>
  <c r="AF7" i="28"/>
  <c r="AB7" i="28"/>
  <c r="AA7" i="28"/>
  <c r="T7" i="28"/>
  <c r="S7" i="28"/>
  <c r="R7" i="28"/>
  <c r="AM7" i="28" s="1"/>
  <c r="H7" i="28"/>
  <c r="G7" i="28"/>
  <c r="AR6" i="28"/>
  <c r="AL6" i="28"/>
  <c r="AK6" i="28"/>
  <c r="AG6" i="28"/>
  <c r="AF6" i="28"/>
  <c r="AB6" i="28"/>
  <c r="AA6" i="28"/>
  <c r="T6" i="28"/>
  <c r="S6" i="28"/>
  <c r="R6" i="28"/>
  <c r="AM6" i="28" s="1"/>
  <c r="H6" i="28"/>
  <c r="G6" i="28"/>
  <c r="B6" i="28"/>
  <c r="B8" i="28" s="1"/>
  <c r="AR5" i="28"/>
  <c r="AL5" i="28"/>
  <c r="AK5" i="28"/>
  <c r="AG5" i="28"/>
  <c r="AF5" i="28"/>
  <c r="AB5" i="28"/>
  <c r="AA5" i="28"/>
  <c r="T5" i="28"/>
  <c r="S5" i="28"/>
  <c r="R5" i="28"/>
  <c r="AM5" i="28" s="1"/>
  <c r="H5" i="28"/>
  <c r="G5" i="28"/>
  <c r="B5" i="28"/>
  <c r="A5" i="28" s="1"/>
  <c r="AR4" i="28"/>
  <c r="AL4" i="28"/>
  <c r="AK4" i="28"/>
  <c r="AG4" i="28"/>
  <c r="AF4" i="28"/>
  <c r="AB4" i="28"/>
  <c r="AA4" i="28"/>
  <c r="T4" i="28"/>
  <c r="S4" i="28"/>
  <c r="R4" i="28"/>
  <c r="AM4" i="28" s="1"/>
  <c r="H4" i="28"/>
  <c r="G4" i="28"/>
  <c r="A4" i="28"/>
  <c r="AP1" i="28"/>
  <c r="A6" i="28" l="1"/>
  <c r="AN64" i="28"/>
  <c r="M12" i="1"/>
  <c r="N12" i="1" s="1"/>
  <c r="M7" i="1"/>
  <c r="N7" i="1" s="1"/>
  <c r="AN8" i="28"/>
  <c r="AN9" i="28"/>
  <c r="AP66" i="30"/>
  <c r="AO5" i="28"/>
  <c r="AN5" i="28"/>
  <c r="B10" i="28"/>
  <c r="B12" i="28" s="1"/>
  <c r="A8" i="28"/>
  <c r="AO56" i="28"/>
  <c r="AO57" i="28"/>
  <c r="AO59" i="28"/>
  <c r="AN60" i="28"/>
  <c r="AN62" i="28"/>
  <c r="AN63" i="28"/>
  <c r="AO64" i="28"/>
  <c r="AP64" i="28" s="1"/>
  <c r="AO60" i="28"/>
  <c r="AO61" i="28"/>
  <c r="AO63" i="28"/>
  <c r="AN56" i="28"/>
  <c r="AN57" i="28"/>
  <c r="AN58" i="28"/>
  <c r="AN59" i="28"/>
  <c r="AO65" i="28"/>
  <c r="AN42" i="28"/>
  <c r="AO53" i="28"/>
  <c r="AO54" i="28"/>
  <c r="AO55" i="28"/>
  <c r="AN43" i="28"/>
  <c r="AO43" i="28"/>
  <c r="AN44" i="28"/>
  <c r="AN46" i="28"/>
  <c r="AO45" i="28"/>
  <c r="AO46" i="28"/>
  <c r="AO47" i="28"/>
  <c r="AN48" i="28"/>
  <c r="AN50" i="28"/>
  <c r="AN51" i="28"/>
  <c r="AO48" i="28"/>
  <c r="AO49" i="28"/>
  <c r="AO51" i="28"/>
  <c r="AN52" i="28"/>
  <c r="AN54" i="28"/>
  <c r="AP54" i="28" s="1"/>
  <c r="AO41" i="28"/>
  <c r="AO35" i="28"/>
  <c r="AN40" i="28"/>
  <c r="AN36" i="28"/>
  <c r="AN38" i="28"/>
  <c r="AO28" i="28"/>
  <c r="AO29" i="28"/>
  <c r="AO40" i="28"/>
  <c r="AN41" i="28"/>
  <c r="AO33" i="28"/>
  <c r="AN32" i="28"/>
  <c r="AN29" i="28"/>
  <c r="AN30" i="28"/>
  <c r="AN31" i="28"/>
  <c r="AO37" i="28"/>
  <c r="AO38" i="28"/>
  <c r="AO39" i="28"/>
  <c r="AO32" i="28"/>
  <c r="AN33" i="28"/>
  <c r="AN34" i="28"/>
  <c r="AN35" i="28"/>
  <c r="AN28" i="28"/>
  <c r="A11" i="30"/>
  <c r="B13" i="30"/>
  <c r="A12" i="30"/>
  <c r="B14" i="30"/>
  <c r="A12" i="29"/>
  <c r="B14" i="29"/>
  <c r="A11" i="29"/>
  <c r="B13" i="29"/>
  <c r="AO22" i="28"/>
  <c r="AN23" i="28"/>
  <c r="AO21" i="28"/>
  <c r="AN25" i="28"/>
  <c r="AN26" i="28"/>
  <c r="AN27" i="28"/>
  <c r="AN4" i="28"/>
  <c r="AO10" i="28"/>
  <c r="AN12" i="28"/>
  <c r="AN13" i="28"/>
  <c r="AN6" i="28"/>
  <c r="AN7" i="28"/>
  <c r="AO14" i="28"/>
  <c r="AO15" i="28"/>
  <c r="AN16" i="28"/>
  <c r="AN17" i="28"/>
  <c r="AO11" i="28"/>
  <c r="AO24" i="28"/>
  <c r="AO20" i="28"/>
  <c r="AO12" i="28"/>
  <c r="AO13" i="28"/>
  <c r="AN14" i="28"/>
  <c r="AN15" i="28"/>
  <c r="AO7" i="28"/>
  <c r="AO9" i="28"/>
  <c r="AN10" i="28"/>
  <c r="AN11" i="28"/>
  <c r="AO16" i="28"/>
  <c r="AO17" i="28"/>
  <c r="AN18" i="28"/>
  <c r="AN19" i="28"/>
  <c r="AN20" i="28"/>
  <c r="AO23" i="28"/>
  <c r="AN24" i="28"/>
  <c r="AO25" i="28"/>
  <c r="AO18" i="28"/>
  <c r="AO4" i="28"/>
  <c r="AO6" i="28"/>
  <c r="AO8" i="28"/>
  <c r="AM66" i="28"/>
  <c r="H20" i="1" s="1"/>
  <c r="B7" i="28"/>
  <c r="AO19" i="28"/>
  <c r="AN21" i="28"/>
  <c r="AN22" i="28"/>
  <c r="AO26" i="28"/>
  <c r="AO27" i="28"/>
  <c r="AO34" i="28"/>
  <c r="AO36" i="28"/>
  <c r="AN37" i="28"/>
  <c r="AN39" i="28"/>
  <c r="AO50" i="28"/>
  <c r="AO52" i="28"/>
  <c r="AN53" i="28"/>
  <c r="AN55" i="28"/>
  <c r="AN49" i="28"/>
  <c r="AO62" i="28"/>
  <c r="AN65" i="28"/>
  <c r="AO30" i="28"/>
  <c r="AO31" i="28"/>
  <c r="AO42" i="28"/>
  <c r="AP42" i="28" s="1"/>
  <c r="AO44" i="28"/>
  <c r="AN45" i="28"/>
  <c r="AN47" i="28"/>
  <c r="AO58" i="28"/>
  <c r="AN61" i="28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R64" i="2"/>
  <c r="S64" i="2"/>
  <c r="T64" i="2"/>
  <c r="R65" i="2"/>
  <c r="S65" i="2"/>
  <c r="T65" i="2"/>
  <c r="AS55" i="14"/>
  <c r="AP19" i="28" l="1"/>
  <c r="AP35" i="28"/>
  <c r="A10" i="28"/>
  <c r="AP59" i="28"/>
  <c r="AP38" i="28"/>
  <c r="AP5" i="28"/>
  <c r="AP23" i="28"/>
  <c r="AP8" i="28"/>
  <c r="AP12" i="28"/>
  <c r="AP50" i="28"/>
  <c r="AP45" i="28"/>
  <c r="AP57" i="28"/>
  <c r="AP51" i="28"/>
  <c r="AP43" i="28"/>
  <c r="AP58" i="28"/>
  <c r="AP62" i="28"/>
  <c r="AP63" i="28"/>
  <c r="AP10" i="28"/>
  <c r="AP60" i="28"/>
  <c r="AP7" i="28"/>
  <c r="AP21" i="28"/>
  <c r="AP18" i="28"/>
  <c r="AP56" i="28"/>
  <c r="AP61" i="28"/>
  <c r="AP37" i="28"/>
  <c r="AP4" i="28"/>
  <c r="AP65" i="28"/>
  <c r="AP55" i="28"/>
  <c r="AP44" i="28"/>
  <c r="AP53" i="28"/>
  <c r="AP47" i="28"/>
  <c r="AP48" i="28"/>
  <c r="AP46" i="28"/>
  <c r="AP49" i="28"/>
  <c r="AP41" i="28"/>
  <c r="AP33" i="28"/>
  <c r="AP40" i="28"/>
  <c r="AP36" i="28"/>
  <c r="AP28" i="28"/>
  <c r="AP29" i="28"/>
  <c r="AP32" i="28"/>
  <c r="AP39" i="28"/>
  <c r="AP30" i="28"/>
  <c r="AP31" i="28"/>
  <c r="B16" i="30"/>
  <c r="A14" i="30"/>
  <c r="A13" i="30"/>
  <c r="B15" i="30"/>
  <c r="A13" i="29"/>
  <c r="B15" i="29"/>
  <c r="B16" i="29"/>
  <c r="A14" i="29"/>
  <c r="AP25" i="28"/>
  <c r="AP14" i="28"/>
  <c r="AP20" i="28"/>
  <c r="AP16" i="28"/>
  <c r="AP15" i="28"/>
  <c r="AP13" i="28"/>
  <c r="AP6" i="28"/>
  <c r="AP11" i="28"/>
  <c r="AP9" i="28"/>
  <c r="AP17" i="28"/>
  <c r="AP24" i="28"/>
  <c r="AP27" i="28"/>
  <c r="AP22" i="28"/>
  <c r="AP34" i="28"/>
  <c r="A7" i="28"/>
  <c r="B9" i="28"/>
  <c r="AP52" i="28"/>
  <c r="AP26" i="28"/>
  <c r="A12" i="28"/>
  <c r="B14" i="28"/>
  <c r="AO66" i="28"/>
  <c r="J20" i="1" s="1"/>
  <c r="AN66" i="28"/>
  <c r="I20" i="1" s="1"/>
  <c r="M20" i="1" l="1"/>
  <c r="N20" i="1" s="1"/>
  <c r="A16" i="30"/>
  <c r="B18" i="30"/>
  <c r="A15" i="30"/>
  <c r="B17" i="30"/>
  <c r="A15" i="29"/>
  <c r="B17" i="29"/>
  <c r="A16" i="29"/>
  <c r="B18" i="29"/>
  <c r="AP66" i="28"/>
  <c r="B16" i="28"/>
  <c r="A14" i="28"/>
  <c r="A9" i="28"/>
  <c r="B11" i="28"/>
  <c r="A17" i="30" l="1"/>
  <c r="B19" i="30"/>
  <c r="B20" i="30"/>
  <c r="A18" i="30"/>
  <c r="B20" i="29"/>
  <c r="A18" i="29"/>
  <c r="B19" i="29"/>
  <c r="A17" i="29"/>
  <c r="A11" i="28"/>
  <c r="B13" i="28"/>
  <c r="A16" i="28"/>
  <c r="B18" i="28"/>
  <c r="AS27" i="14"/>
  <c r="B22" i="30" l="1"/>
  <c r="A20" i="30"/>
  <c r="A19" i="30"/>
  <c r="B21" i="30"/>
  <c r="B22" i="29"/>
  <c r="A20" i="29"/>
  <c r="A19" i="29"/>
  <c r="B21" i="29"/>
  <c r="A18" i="28"/>
  <c r="B20" i="28"/>
  <c r="A13" i="28"/>
  <c r="B15" i="28"/>
  <c r="AS41" i="12"/>
  <c r="A21" i="30" l="1"/>
  <c r="B23" i="30"/>
  <c r="B24" i="30"/>
  <c r="A22" i="30"/>
  <c r="A22" i="29"/>
  <c r="B24" i="29"/>
  <c r="B23" i="29"/>
  <c r="A21" i="29"/>
  <c r="A20" i="28"/>
  <c r="B22" i="28"/>
  <c r="A15" i="28"/>
  <c r="B17" i="28"/>
  <c r="B26" i="30" l="1"/>
  <c r="A24" i="30"/>
  <c r="A23" i="30"/>
  <c r="B25" i="30"/>
  <c r="A23" i="29"/>
  <c r="B25" i="29"/>
  <c r="B26" i="29"/>
  <c r="A24" i="29"/>
  <c r="B19" i="28"/>
  <c r="A17" i="28"/>
  <c r="B24" i="28"/>
  <c r="A22" i="28"/>
  <c r="A25" i="30" l="1"/>
  <c r="B27" i="30"/>
  <c r="A26" i="30"/>
  <c r="B28" i="30"/>
  <c r="A25" i="29"/>
  <c r="B27" i="29"/>
  <c r="A26" i="29"/>
  <c r="B28" i="29"/>
  <c r="A24" i="28"/>
  <c r="B26" i="28"/>
  <c r="B21" i="28"/>
  <c r="A19" i="28"/>
  <c r="G28" i="21"/>
  <c r="H28" i="21"/>
  <c r="G29" i="21"/>
  <c r="H29" i="21"/>
  <c r="G30" i="21"/>
  <c r="H30" i="21"/>
  <c r="G31" i="21"/>
  <c r="H31" i="21"/>
  <c r="G32" i="21"/>
  <c r="H32" i="21"/>
  <c r="G33" i="21"/>
  <c r="H33" i="21"/>
  <c r="G34" i="21"/>
  <c r="H34" i="21"/>
  <c r="G35" i="21"/>
  <c r="H35" i="21"/>
  <c r="G36" i="21"/>
  <c r="H36" i="21"/>
  <c r="G37" i="21"/>
  <c r="H37" i="21"/>
  <c r="B30" i="30" l="1"/>
  <c r="A28" i="30"/>
  <c r="A27" i="30"/>
  <c r="B29" i="30"/>
  <c r="B30" i="29"/>
  <c r="A28" i="29"/>
  <c r="B29" i="29"/>
  <c r="A27" i="29"/>
  <c r="B23" i="28"/>
  <c r="A21" i="28"/>
  <c r="B28" i="28"/>
  <c r="A26" i="28"/>
  <c r="A29" i="30" l="1"/>
  <c r="B31" i="30"/>
  <c r="A30" i="30"/>
  <c r="B32" i="30"/>
  <c r="A29" i="29"/>
  <c r="B31" i="29"/>
  <c r="B32" i="29"/>
  <c r="A30" i="29"/>
  <c r="A23" i="28"/>
  <c r="B25" i="28"/>
  <c r="A28" i="28"/>
  <c r="B30" i="28"/>
  <c r="B34" i="30" l="1"/>
  <c r="A32" i="30"/>
  <c r="A31" i="30"/>
  <c r="B33" i="30"/>
  <c r="B33" i="29"/>
  <c r="A31" i="29"/>
  <c r="A32" i="29"/>
  <c r="B34" i="29"/>
  <c r="B32" i="28"/>
  <c r="A30" i="28"/>
  <c r="B27" i="28"/>
  <c r="A25" i="28"/>
  <c r="A33" i="30" l="1"/>
  <c r="B35" i="30"/>
  <c r="A34" i="30"/>
  <c r="B36" i="30"/>
  <c r="A33" i="29"/>
  <c r="B35" i="29"/>
  <c r="B36" i="29"/>
  <c r="A34" i="29"/>
  <c r="A27" i="28"/>
  <c r="B29" i="28"/>
  <c r="B34" i="28"/>
  <c r="A32" i="28"/>
  <c r="R4" i="13"/>
  <c r="R5" i="13"/>
  <c r="R6" i="13"/>
  <c r="R7" i="13"/>
  <c r="R8" i="13"/>
  <c r="R9" i="13"/>
  <c r="R10" i="13"/>
  <c r="R11" i="13"/>
  <c r="R12" i="13"/>
  <c r="R13" i="13"/>
  <c r="B38" i="30" l="1"/>
  <c r="A36" i="30"/>
  <c r="A35" i="30"/>
  <c r="B37" i="30"/>
  <c r="A36" i="29"/>
  <c r="B38" i="29"/>
  <c r="A35" i="29"/>
  <c r="B37" i="29"/>
  <c r="B31" i="28"/>
  <c r="A29" i="28"/>
  <c r="B36" i="28"/>
  <c r="A34" i="28"/>
  <c r="M49" i="1"/>
  <c r="N49" i="1" s="1"/>
  <c r="A37" i="30" l="1"/>
  <c r="B39" i="30"/>
  <c r="A38" i="30"/>
  <c r="B40" i="30"/>
  <c r="A37" i="29"/>
  <c r="B39" i="29"/>
  <c r="B40" i="29"/>
  <c r="A38" i="29"/>
  <c r="B38" i="28"/>
  <c r="A36" i="28"/>
  <c r="A31" i="28"/>
  <c r="B33" i="28"/>
  <c r="R5" i="26"/>
  <c r="S5" i="26"/>
  <c r="T5" i="26"/>
  <c r="AA5" i="26"/>
  <c r="AB5" i="26"/>
  <c r="AF5" i="26"/>
  <c r="AG5" i="26"/>
  <c r="R6" i="26"/>
  <c r="S6" i="26"/>
  <c r="T6" i="26"/>
  <c r="AA6" i="26"/>
  <c r="AB6" i="26"/>
  <c r="AF6" i="26"/>
  <c r="AG6" i="26"/>
  <c r="R7" i="26"/>
  <c r="S7" i="26"/>
  <c r="T7" i="26"/>
  <c r="AA7" i="26"/>
  <c r="AB7" i="26"/>
  <c r="AF7" i="26"/>
  <c r="AG7" i="26"/>
  <c r="R8" i="26"/>
  <c r="S8" i="26"/>
  <c r="T8" i="26"/>
  <c r="AA8" i="26"/>
  <c r="AB8" i="26"/>
  <c r="AF8" i="26"/>
  <c r="AG8" i="26"/>
  <c r="R9" i="26"/>
  <c r="S9" i="26"/>
  <c r="T9" i="26"/>
  <c r="AA9" i="26"/>
  <c r="AB9" i="26"/>
  <c r="AF9" i="26"/>
  <c r="AG9" i="26"/>
  <c r="R10" i="26"/>
  <c r="S10" i="26"/>
  <c r="T10" i="26"/>
  <c r="AA10" i="26"/>
  <c r="AB10" i="26"/>
  <c r="AF10" i="26"/>
  <c r="AG10" i="26"/>
  <c r="R11" i="26"/>
  <c r="S11" i="26"/>
  <c r="T11" i="26"/>
  <c r="AA11" i="26"/>
  <c r="AB11" i="26"/>
  <c r="AF11" i="26"/>
  <c r="AG11" i="26"/>
  <c r="R12" i="26"/>
  <c r="S12" i="26"/>
  <c r="T12" i="26"/>
  <c r="AA12" i="26"/>
  <c r="AB12" i="26"/>
  <c r="AF12" i="26"/>
  <c r="AG12" i="26"/>
  <c r="R13" i="26"/>
  <c r="S13" i="26"/>
  <c r="T13" i="26"/>
  <c r="AA13" i="26"/>
  <c r="AB13" i="26"/>
  <c r="AF13" i="26"/>
  <c r="AG13" i="26"/>
  <c r="R14" i="26"/>
  <c r="S14" i="26"/>
  <c r="T14" i="26"/>
  <c r="AA14" i="26"/>
  <c r="AB14" i="26"/>
  <c r="AF14" i="26"/>
  <c r="AG14" i="26"/>
  <c r="R15" i="26"/>
  <c r="S15" i="26"/>
  <c r="T15" i="26"/>
  <c r="AA15" i="26"/>
  <c r="AB15" i="26"/>
  <c r="AF15" i="26"/>
  <c r="AG15" i="26"/>
  <c r="R16" i="26"/>
  <c r="S16" i="26"/>
  <c r="T16" i="26"/>
  <c r="AA16" i="26"/>
  <c r="AB16" i="26"/>
  <c r="AF16" i="26"/>
  <c r="AG16" i="26"/>
  <c r="R17" i="26"/>
  <c r="S17" i="26"/>
  <c r="T17" i="26"/>
  <c r="AA17" i="26"/>
  <c r="AB17" i="26"/>
  <c r="AF17" i="26"/>
  <c r="AG17" i="26"/>
  <c r="R18" i="26"/>
  <c r="S18" i="26"/>
  <c r="T18" i="26"/>
  <c r="AA18" i="26"/>
  <c r="AB18" i="26"/>
  <c r="AF18" i="26"/>
  <c r="AG18" i="26"/>
  <c r="R19" i="26"/>
  <c r="S19" i="26"/>
  <c r="T19" i="26"/>
  <c r="AA19" i="26"/>
  <c r="AB19" i="26"/>
  <c r="AF19" i="26"/>
  <c r="AG19" i="26"/>
  <c r="R20" i="26"/>
  <c r="S20" i="26"/>
  <c r="T20" i="26"/>
  <c r="AA20" i="26"/>
  <c r="AB20" i="26"/>
  <c r="AF20" i="26"/>
  <c r="AG20" i="26"/>
  <c r="R21" i="26"/>
  <c r="S21" i="26"/>
  <c r="T21" i="26"/>
  <c r="AA21" i="26"/>
  <c r="AB21" i="26"/>
  <c r="AF21" i="26"/>
  <c r="AG21" i="26"/>
  <c r="R22" i="26"/>
  <c r="S22" i="26"/>
  <c r="T22" i="26"/>
  <c r="AA22" i="26"/>
  <c r="AB22" i="26"/>
  <c r="AF22" i="26"/>
  <c r="AG22" i="26"/>
  <c r="R23" i="26"/>
  <c r="S23" i="26"/>
  <c r="T23" i="26"/>
  <c r="AA23" i="26"/>
  <c r="AB23" i="26"/>
  <c r="AF23" i="26"/>
  <c r="AG23" i="26"/>
  <c r="R24" i="26"/>
  <c r="S24" i="26"/>
  <c r="T24" i="26"/>
  <c r="AA24" i="26"/>
  <c r="AB24" i="26"/>
  <c r="AF24" i="26"/>
  <c r="AG24" i="26"/>
  <c r="R25" i="26"/>
  <c r="S25" i="26"/>
  <c r="T25" i="26"/>
  <c r="AA25" i="26"/>
  <c r="AB25" i="26"/>
  <c r="AF25" i="26"/>
  <c r="AG25" i="26"/>
  <c r="R26" i="26"/>
  <c r="S26" i="26"/>
  <c r="T26" i="26"/>
  <c r="AA26" i="26"/>
  <c r="AB26" i="26"/>
  <c r="AF26" i="26"/>
  <c r="AG26" i="26"/>
  <c r="R27" i="26"/>
  <c r="S27" i="26"/>
  <c r="T27" i="26"/>
  <c r="AA27" i="26"/>
  <c r="AB27" i="26"/>
  <c r="AF27" i="26"/>
  <c r="AG27" i="26"/>
  <c r="R28" i="26"/>
  <c r="S28" i="26"/>
  <c r="T28" i="26"/>
  <c r="AA28" i="26"/>
  <c r="AB28" i="26"/>
  <c r="AF28" i="26"/>
  <c r="AG28" i="26"/>
  <c r="R29" i="26"/>
  <c r="S29" i="26"/>
  <c r="T29" i="26"/>
  <c r="AA29" i="26"/>
  <c r="AB29" i="26"/>
  <c r="AF29" i="26"/>
  <c r="AG29" i="26"/>
  <c r="R30" i="26"/>
  <c r="S30" i="26"/>
  <c r="T30" i="26"/>
  <c r="AA30" i="26"/>
  <c r="AB30" i="26"/>
  <c r="AF30" i="26"/>
  <c r="AG30" i="26"/>
  <c r="R31" i="26"/>
  <c r="S31" i="26"/>
  <c r="T31" i="26"/>
  <c r="AA31" i="26"/>
  <c r="AB31" i="26"/>
  <c r="AF31" i="26"/>
  <c r="AG31" i="26"/>
  <c r="R32" i="26"/>
  <c r="S32" i="26"/>
  <c r="T32" i="26"/>
  <c r="AA32" i="26"/>
  <c r="AB32" i="26"/>
  <c r="AF32" i="26"/>
  <c r="AG32" i="26"/>
  <c r="R33" i="26"/>
  <c r="S33" i="26"/>
  <c r="T33" i="26"/>
  <c r="AA33" i="26"/>
  <c r="AB33" i="26"/>
  <c r="AF33" i="26"/>
  <c r="AG33" i="26"/>
  <c r="R34" i="26"/>
  <c r="S34" i="26"/>
  <c r="T34" i="26"/>
  <c r="AA34" i="26"/>
  <c r="AB34" i="26"/>
  <c r="AF34" i="26"/>
  <c r="AG34" i="26"/>
  <c r="R35" i="26"/>
  <c r="S35" i="26"/>
  <c r="T35" i="26"/>
  <c r="AA35" i="26"/>
  <c r="AB35" i="26"/>
  <c r="AF35" i="26"/>
  <c r="AG35" i="26"/>
  <c r="R36" i="26"/>
  <c r="S36" i="26"/>
  <c r="T36" i="26"/>
  <c r="AA36" i="26"/>
  <c r="AB36" i="26"/>
  <c r="AF36" i="26"/>
  <c r="AG36" i="26"/>
  <c r="R37" i="26"/>
  <c r="S37" i="26"/>
  <c r="T37" i="26"/>
  <c r="AA37" i="26"/>
  <c r="AB37" i="26"/>
  <c r="AF37" i="26"/>
  <c r="AG37" i="26"/>
  <c r="R38" i="26"/>
  <c r="S38" i="26"/>
  <c r="T38" i="26"/>
  <c r="AA38" i="26"/>
  <c r="AB38" i="26"/>
  <c r="AF38" i="26"/>
  <c r="AG38" i="26"/>
  <c r="R39" i="26"/>
  <c r="S39" i="26"/>
  <c r="T39" i="26"/>
  <c r="AA39" i="26"/>
  <c r="AB39" i="26"/>
  <c r="AF39" i="26"/>
  <c r="AG39" i="26"/>
  <c r="R40" i="26"/>
  <c r="S40" i="26"/>
  <c r="T40" i="26"/>
  <c r="AA40" i="26"/>
  <c r="AB40" i="26"/>
  <c r="AF40" i="26"/>
  <c r="AG40" i="26"/>
  <c r="R41" i="26"/>
  <c r="S41" i="26"/>
  <c r="T41" i="26"/>
  <c r="AA41" i="26"/>
  <c r="AB41" i="26"/>
  <c r="AF41" i="26"/>
  <c r="AG41" i="26"/>
  <c r="R42" i="26"/>
  <c r="S42" i="26"/>
  <c r="T42" i="26"/>
  <c r="AA42" i="26"/>
  <c r="AB42" i="26"/>
  <c r="AF42" i="26"/>
  <c r="AG42" i="26"/>
  <c r="R43" i="26"/>
  <c r="S43" i="26"/>
  <c r="T43" i="26"/>
  <c r="AA43" i="26"/>
  <c r="AB43" i="26"/>
  <c r="AF43" i="26"/>
  <c r="AG43" i="26"/>
  <c r="R44" i="26"/>
  <c r="S44" i="26"/>
  <c r="T44" i="26"/>
  <c r="AA44" i="26"/>
  <c r="AB44" i="26"/>
  <c r="AF44" i="26"/>
  <c r="AG44" i="26"/>
  <c r="R45" i="26"/>
  <c r="S45" i="26"/>
  <c r="T45" i="26"/>
  <c r="AA45" i="26"/>
  <c r="AB45" i="26"/>
  <c r="AF45" i="26"/>
  <c r="AG45" i="26"/>
  <c r="R46" i="26"/>
  <c r="S46" i="26"/>
  <c r="T46" i="26"/>
  <c r="AA46" i="26"/>
  <c r="AB46" i="26"/>
  <c r="AF46" i="26"/>
  <c r="AG46" i="26"/>
  <c r="R47" i="26"/>
  <c r="S47" i="26"/>
  <c r="T47" i="26"/>
  <c r="AA47" i="26"/>
  <c r="AB47" i="26"/>
  <c r="AF47" i="26"/>
  <c r="AG47" i="26"/>
  <c r="R48" i="26"/>
  <c r="S48" i="26"/>
  <c r="T48" i="26"/>
  <c r="AA48" i="26"/>
  <c r="AB48" i="26"/>
  <c r="AF48" i="26"/>
  <c r="AG48" i="26"/>
  <c r="R49" i="26"/>
  <c r="S49" i="26"/>
  <c r="T49" i="26"/>
  <c r="AA49" i="26"/>
  <c r="AB49" i="26"/>
  <c r="AF49" i="26"/>
  <c r="AG49" i="26"/>
  <c r="R50" i="26"/>
  <c r="S50" i="26"/>
  <c r="T50" i="26"/>
  <c r="AA50" i="26"/>
  <c r="AB50" i="26"/>
  <c r="AF50" i="26"/>
  <c r="AG50" i="26"/>
  <c r="R51" i="26"/>
  <c r="S51" i="26"/>
  <c r="T51" i="26"/>
  <c r="AA51" i="26"/>
  <c r="AB51" i="26"/>
  <c r="AF51" i="26"/>
  <c r="AG51" i="26"/>
  <c r="R52" i="26"/>
  <c r="S52" i="26"/>
  <c r="T52" i="26"/>
  <c r="AA52" i="26"/>
  <c r="AB52" i="26"/>
  <c r="AF52" i="26"/>
  <c r="AG52" i="26"/>
  <c r="R53" i="26"/>
  <c r="S53" i="26"/>
  <c r="T53" i="26"/>
  <c r="AA53" i="26"/>
  <c r="AB53" i="26"/>
  <c r="AF53" i="26"/>
  <c r="AG53" i="26"/>
  <c r="R54" i="26"/>
  <c r="S54" i="26"/>
  <c r="T54" i="26"/>
  <c r="AA54" i="26"/>
  <c r="AB54" i="26"/>
  <c r="AF54" i="26"/>
  <c r="AG54" i="26"/>
  <c r="R55" i="26"/>
  <c r="S55" i="26"/>
  <c r="T55" i="26"/>
  <c r="AA55" i="26"/>
  <c r="AB55" i="26"/>
  <c r="AF55" i="26"/>
  <c r="AG55" i="26"/>
  <c r="R56" i="26"/>
  <c r="S56" i="26"/>
  <c r="T56" i="26"/>
  <c r="AA56" i="26"/>
  <c r="AB56" i="26"/>
  <c r="AF56" i="26"/>
  <c r="AG56" i="26"/>
  <c r="R57" i="26"/>
  <c r="S57" i="26"/>
  <c r="T57" i="26"/>
  <c r="AA57" i="26"/>
  <c r="AB57" i="26"/>
  <c r="AF57" i="26"/>
  <c r="AG57" i="26"/>
  <c r="R58" i="26"/>
  <c r="S58" i="26"/>
  <c r="T58" i="26"/>
  <c r="AA58" i="26"/>
  <c r="AB58" i="26"/>
  <c r="AF58" i="26"/>
  <c r="AG58" i="26"/>
  <c r="R59" i="26"/>
  <c r="S59" i="26"/>
  <c r="T59" i="26"/>
  <c r="AA59" i="26"/>
  <c r="AB59" i="26"/>
  <c r="AF59" i="26"/>
  <c r="AG59" i="26"/>
  <c r="R60" i="26"/>
  <c r="S60" i="26"/>
  <c r="T60" i="26"/>
  <c r="AA60" i="26"/>
  <c r="AB60" i="26"/>
  <c r="AF60" i="26"/>
  <c r="AG60" i="26"/>
  <c r="R61" i="26"/>
  <c r="S61" i="26"/>
  <c r="T61" i="26"/>
  <c r="AA61" i="26"/>
  <c r="AB61" i="26"/>
  <c r="AF61" i="26"/>
  <c r="AG61" i="26"/>
  <c r="R62" i="26"/>
  <c r="S62" i="26"/>
  <c r="T62" i="26"/>
  <c r="AA62" i="26"/>
  <c r="AB62" i="26"/>
  <c r="AF62" i="26"/>
  <c r="AG62" i="26"/>
  <c r="R63" i="26"/>
  <c r="S63" i="26"/>
  <c r="T63" i="26"/>
  <c r="AA63" i="26"/>
  <c r="AB63" i="26"/>
  <c r="AF63" i="26"/>
  <c r="AG63" i="26"/>
  <c r="R64" i="26"/>
  <c r="S64" i="26"/>
  <c r="T64" i="26"/>
  <c r="AA64" i="26"/>
  <c r="AB64" i="26"/>
  <c r="AF64" i="26"/>
  <c r="AG64" i="26"/>
  <c r="R65" i="26"/>
  <c r="S65" i="26"/>
  <c r="T65" i="26"/>
  <c r="AA65" i="26"/>
  <c r="AB65" i="26"/>
  <c r="AF65" i="26"/>
  <c r="AG65" i="26"/>
  <c r="AS65" i="26"/>
  <c r="A39" i="30" l="1"/>
  <c r="B41" i="30"/>
  <c r="B42" i="30"/>
  <c r="A40" i="30"/>
  <c r="A40" i="29"/>
  <c r="B42" i="29"/>
  <c r="A39" i="29"/>
  <c r="B41" i="29"/>
  <c r="A33" i="28"/>
  <c r="B35" i="28"/>
  <c r="B40" i="28"/>
  <c r="A38" i="28"/>
  <c r="AS61" i="14"/>
  <c r="A42" i="30" l="1"/>
  <c r="B44" i="30"/>
  <c r="A41" i="30"/>
  <c r="B43" i="30"/>
  <c r="A41" i="29"/>
  <c r="B43" i="29"/>
  <c r="B44" i="29"/>
  <c r="A42" i="29"/>
  <c r="B42" i="28"/>
  <c r="A40" i="28"/>
  <c r="A35" i="28"/>
  <c r="B37" i="28"/>
  <c r="A43" i="30" l="1"/>
  <c r="B45" i="30"/>
  <c r="B46" i="30"/>
  <c r="A44" i="30"/>
  <c r="A44" i="29"/>
  <c r="B46" i="29"/>
  <c r="A43" i="29"/>
  <c r="B45" i="29"/>
  <c r="B44" i="28"/>
  <c r="A42" i="28"/>
  <c r="A37" i="28"/>
  <c r="B39" i="28"/>
  <c r="A46" i="30" l="1"/>
  <c r="B48" i="30"/>
  <c r="A45" i="30"/>
  <c r="B47" i="30"/>
  <c r="B48" i="29"/>
  <c r="A46" i="29"/>
  <c r="A45" i="29"/>
  <c r="B47" i="29"/>
  <c r="B46" i="28"/>
  <c r="A44" i="28"/>
  <c r="A39" i="28"/>
  <c r="B41" i="28"/>
  <c r="AS47" i="26"/>
  <c r="B50" i="30" l="1"/>
  <c r="A48" i="30"/>
  <c r="A47" i="30"/>
  <c r="B49" i="30"/>
  <c r="A47" i="29"/>
  <c r="B49" i="29"/>
  <c r="A48" i="29"/>
  <c r="B50" i="29"/>
  <c r="A41" i="28"/>
  <c r="B43" i="28"/>
  <c r="B48" i="28"/>
  <c r="A46" i="28"/>
  <c r="J66" i="26"/>
  <c r="G27" i="1" s="1"/>
  <c r="AR65" i="26"/>
  <c r="AL65" i="26"/>
  <c r="AK65" i="26"/>
  <c r="AM65" i="26"/>
  <c r="H65" i="26"/>
  <c r="G65" i="26"/>
  <c r="AR64" i="26"/>
  <c r="AL64" i="26"/>
  <c r="AK64" i="26"/>
  <c r="AM64" i="26"/>
  <c r="H64" i="26"/>
  <c r="G64" i="26"/>
  <c r="AR63" i="26"/>
  <c r="AL63" i="26"/>
  <c r="AK63" i="26"/>
  <c r="AM63" i="26"/>
  <c r="H63" i="26"/>
  <c r="G63" i="26"/>
  <c r="AR62" i="26"/>
  <c r="AM62" i="26"/>
  <c r="AL62" i="26"/>
  <c r="AK62" i="26"/>
  <c r="H62" i="26"/>
  <c r="G62" i="26"/>
  <c r="AS61" i="26"/>
  <c r="AR61" i="26"/>
  <c r="AL61" i="26"/>
  <c r="AK61" i="26"/>
  <c r="AM61" i="26"/>
  <c r="H61" i="26"/>
  <c r="G61" i="26"/>
  <c r="AR60" i="26"/>
  <c r="AL60" i="26"/>
  <c r="AK60" i="26"/>
  <c r="AM60" i="26"/>
  <c r="H60" i="26"/>
  <c r="G60" i="26"/>
  <c r="AR59" i="26"/>
  <c r="AL59" i="26"/>
  <c r="AK59" i="26"/>
  <c r="AM59" i="26"/>
  <c r="H59" i="26"/>
  <c r="G59" i="26"/>
  <c r="AR58" i="26"/>
  <c r="AL58" i="26"/>
  <c r="AK58" i="26"/>
  <c r="AM58" i="26"/>
  <c r="H58" i="26"/>
  <c r="G58" i="26"/>
  <c r="AR57" i="26"/>
  <c r="AL57" i="26"/>
  <c r="AK57" i="26"/>
  <c r="AM57" i="26"/>
  <c r="H57" i="26"/>
  <c r="G57" i="26"/>
  <c r="AR56" i="26"/>
  <c r="AL56" i="26"/>
  <c r="AK56" i="26"/>
  <c r="AM56" i="26"/>
  <c r="H56" i="26"/>
  <c r="G56" i="26"/>
  <c r="AR55" i="26"/>
  <c r="AL55" i="26"/>
  <c r="AK55" i="26"/>
  <c r="AM55" i="26"/>
  <c r="H55" i="26"/>
  <c r="G55" i="26"/>
  <c r="AR54" i="26"/>
  <c r="AL54" i="26"/>
  <c r="AK54" i="26"/>
  <c r="AM54" i="26"/>
  <c r="H54" i="26"/>
  <c r="G54" i="26"/>
  <c r="AS53" i="26"/>
  <c r="AR53" i="26"/>
  <c r="AL53" i="26"/>
  <c r="AK53" i="26"/>
  <c r="AM53" i="26"/>
  <c r="H53" i="26"/>
  <c r="G53" i="26"/>
  <c r="AR52" i="26"/>
  <c r="AL52" i="26"/>
  <c r="AK52" i="26"/>
  <c r="AM52" i="26"/>
  <c r="H52" i="26"/>
  <c r="G52" i="26"/>
  <c r="AR51" i="26"/>
  <c r="AL51" i="26"/>
  <c r="AK51" i="26"/>
  <c r="AM51" i="26"/>
  <c r="H51" i="26"/>
  <c r="G51" i="26"/>
  <c r="AR50" i="26"/>
  <c r="AL50" i="26"/>
  <c r="AK50" i="26"/>
  <c r="AM50" i="26"/>
  <c r="H50" i="26"/>
  <c r="G50" i="26"/>
  <c r="AS49" i="26"/>
  <c r="AR49" i="26"/>
  <c r="AL49" i="26"/>
  <c r="AK49" i="26"/>
  <c r="AM49" i="26"/>
  <c r="H49" i="26"/>
  <c r="G49" i="26"/>
  <c r="AR48" i="26"/>
  <c r="AL48" i="26"/>
  <c r="AK48" i="26"/>
  <c r="AM48" i="26"/>
  <c r="H48" i="26"/>
  <c r="G48" i="26"/>
  <c r="AR47" i="26"/>
  <c r="AL47" i="26"/>
  <c r="AK47" i="26"/>
  <c r="AM47" i="26"/>
  <c r="H47" i="26"/>
  <c r="G47" i="26"/>
  <c r="AR46" i="26"/>
  <c r="AL46" i="26"/>
  <c r="AK46" i="26"/>
  <c r="AM46" i="26"/>
  <c r="H46" i="26"/>
  <c r="G46" i="26"/>
  <c r="AR45" i="26"/>
  <c r="AL45" i="26"/>
  <c r="AK45" i="26"/>
  <c r="AM45" i="26"/>
  <c r="H45" i="26"/>
  <c r="G45" i="26"/>
  <c r="AR44" i="26"/>
  <c r="AL44" i="26"/>
  <c r="AK44" i="26"/>
  <c r="AM44" i="26"/>
  <c r="H44" i="26"/>
  <c r="G44" i="26"/>
  <c r="AR43" i="26"/>
  <c r="AL43" i="26"/>
  <c r="AK43" i="26"/>
  <c r="AM43" i="26"/>
  <c r="H43" i="26"/>
  <c r="G43" i="26"/>
  <c r="AR42" i="26"/>
  <c r="AL42" i="26"/>
  <c r="AK42" i="26"/>
  <c r="AM42" i="26"/>
  <c r="H42" i="26"/>
  <c r="G42" i="26"/>
  <c r="AR41" i="26"/>
  <c r="AL41" i="26"/>
  <c r="AK41" i="26"/>
  <c r="AM41" i="26"/>
  <c r="H41" i="26"/>
  <c r="G41" i="26"/>
  <c r="AR40" i="26"/>
  <c r="AL40" i="26"/>
  <c r="AK40" i="26"/>
  <c r="AM40" i="26"/>
  <c r="H40" i="26"/>
  <c r="G40" i="26"/>
  <c r="AS39" i="26"/>
  <c r="AR39" i="26"/>
  <c r="AL39" i="26"/>
  <c r="AK39" i="26"/>
  <c r="AM39" i="26"/>
  <c r="H39" i="26"/>
  <c r="G39" i="26"/>
  <c r="AR38" i="26"/>
  <c r="AL38" i="26"/>
  <c r="AK38" i="26"/>
  <c r="AM38" i="26"/>
  <c r="H38" i="26"/>
  <c r="G38" i="26"/>
  <c r="AR37" i="26"/>
  <c r="AM37" i="26"/>
  <c r="AL37" i="26"/>
  <c r="AK37" i="26"/>
  <c r="H37" i="26"/>
  <c r="G37" i="26"/>
  <c r="AR36" i="26"/>
  <c r="AL36" i="26"/>
  <c r="AK36" i="26"/>
  <c r="AM36" i="26"/>
  <c r="H36" i="26"/>
  <c r="G36" i="26"/>
  <c r="AR35" i="26"/>
  <c r="AL35" i="26"/>
  <c r="AK35" i="26"/>
  <c r="AM35" i="26"/>
  <c r="H35" i="26"/>
  <c r="G35" i="26"/>
  <c r="AR34" i="26"/>
  <c r="AL34" i="26"/>
  <c r="AK34" i="26"/>
  <c r="AM34" i="26"/>
  <c r="H34" i="26"/>
  <c r="G34" i="26"/>
  <c r="AS33" i="26"/>
  <c r="AR33" i="26"/>
  <c r="AL33" i="26"/>
  <c r="AK33" i="26"/>
  <c r="AM33" i="26"/>
  <c r="H33" i="26"/>
  <c r="G33" i="26"/>
  <c r="AR32" i="26"/>
  <c r="AL32" i="26"/>
  <c r="AK32" i="26"/>
  <c r="AM32" i="26"/>
  <c r="H32" i="26"/>
  <c r="G32" i="26"/>
  <c r="AR31" i="26"/>
  <c r="AM31" i="26"/>
  <c r="AL31" i="26"/>
  <c r="AK31" i="26"/>
  <c r="H31" i="26"/>
  <c r="G31" i="26"/>
  <c r="AR30" i="26"/>
  <c r="AL30" i="26"/>
  <c r="AK30" i="26"/>
  <c r="AM30" i="26"/>
  <c r="H30" i="26"/>
  <c r="G30" i="26"/>
  <c r="AR29" i="26"/>
  <c r="AM29" i="26"/>
  <c r="AL29" i="26"/>
  <c r="AK29" i="26"/>
  <c r="H29" i="26"/>
  <c r="G29" i="26"/>
  <c r="AR28" i="26"/>
  <c r="AL28" i="26"/>
  <c r="AK28" i="26"/>
  <c r="AM28" i="26"/>
  <c r="H28" i="26"/>
  <c r="G28" i="26"/>
  <c r="AR27" i="26"/>
  <c r="AL27" i="26"/>
  <c r="AK27" i="26"/>
  <c r="AM27" i="26"/>
  <c r="H27" i="26"/>
  <c r="G27" i="26"/>
  <c r="AR26" i="26"/>
  <c r="AL26" i="26"/>
  <c r="AK26" i="26"/>
  <c r="AM26" i="26"/>
  <c r="H26" i="26"/>
  <c r="G26" i="26"/>
  <c r="AR25" i="26"/>
  <c r="AL25" i="26"/>
  <c r="AK25" i="26"/>
  <c r="AM25" i="26"/>
  <c r="H25" i="26"/>
  <c r="G25" i="26"/>
  <c r="AR24" i="26"/>
  <c r="AL24" i="26"/>
  <c r="AK24" i="26"/>
  <c r="AM24" i="26"/>
  <c r="H24" i="26"/>
  <c r="G24" i="26"/>
  <c r="AR23" i="26"/>
  <c r="AL23" i="26"/>
  <c r="AK23" i="26"/>
  <c r="AM23" i="26"/>
  <c r="H23" i="26"/>
  <c r="G23" i="26"/>
  <c r="AR22" i="26"/>
  <c r="AL22" i="26"/>
  <c r="AK22" i="26"/>
  <c r="AM22" i="26"/>
  <c r="H22" i="26"/>
  <c r="G22" i="26"/>
  <c r="AR21" i="26"/>
  <c r="AL21" i="26"/>
  <c r="AK21" i="26"/>
  <c r="AM21" i="26"/>
  <c r="H21" i="26"/>
  <c r="G21" i="26"/>
  <c r="AR20" i="26"/>
  <c r="AM20" i="26"/>
  <c r="AL20" i="26"/>
  <c r="AK20" i="26"/>
  <c r="H20" i="26"/>
  <c r="G20" i="26"/>
  <c r="AS19" i="26"/>
  <c r="AR19" i="26"/>
  <c r="AL19" i="26"/>
  <c r="AK19" i="26"/>
  <c r="AM19" i="26"/>
  <c r="H19" i="26"/>
  <c r="G19" i="26"/>
  <c r="AR18" i="26"/>
  <c r="AL18" i="26"/>
  <c r="AK18" i="26"/>
  <c r="AM18" i="26"/>
  <c r="H18" i="26"/>
  <c r="G18" i="26"/>
  <c r="AR17" i="26"/>
  <c r="AL17" i="26"/>
  <c r="AK17" i="26"/>
  <c r="AM17" i="26"/>
  <c r="H17" i="26"/>
  <c r="G17" i="26"/>
  <c r="AR16" i="26"/>
  <c r="AL16" i="26"/>
  <c r="AK16" i="26"/>
  <c r="AM16" i="26"/>
  <c r="H16" i="26"/>
  <c r="G16" i="26"/>
  <c r="AR15" i="26"/>
  <c r="AM15" i="26"/>
  <c r="AL15" i="26"/>
  <c r="AK15" i="26"/>
  <c r="H15" i="26"/>
  <c r="G15" i="26"/>
  <c r="AR14" i="26"/>
  <c r="AM14" i="26"/>
  <c r="AL14" i="26"/>
  <c r="AK14" i="26"/>
  <c r="H14" i="26"/>
  <c r="G14" i="26"/>
  <c r="AR13" i="26"/>
  <c r="AL13" i="26"/>
  <c r="AK13" i="26"/>
  <c r="AM13" i="26"/>
  <c r="H13" i="26"/>
  <c r="G13" i="26"/>
  <c r="AR12" i="26"/>
  <c r="AL12" i="26"/>
  <c r="AK12" i="26"/>
  <c r="AM12" i="26"/>
  <c r="H12" i="26"/>
  <c r="G12" i="26"/>
  <c r="AR11" i="26"/>
  <c r="AL11" i="26"/>
  <c r="AK11" i="26"/>
  <c r="AM11" i="26"/>
  <c r="H11" i="26"/>
  <c r="G11" i="26"/>
  <c r="AR10" i="26"/>
  <c r="AL10" i="26"/>
  <c r="AK10" i="26"/>
  <c r="AM10" i="26"/>
  <c r="H10" i="26"/>
  <c r="G10" i="26"/>
  <c r="AR9" i="26"/>
  <c r="AL9" i="26"/>
  <c r="AK9" i="26"/>
  <c r="AM9" i="26"/>
  <c r="H9" i="26"/>
  <c r="G9" i="26"/>
  <c r="AR8" i="26"/>
  <c r="AL8" i="26"/>
  <c r="AK8" i="26"/>
  <c r="AM8" i="26"/>
  <c r="H8" i="26"/>
  <c r="G8" i="26"/>
  <c r="AR7" i="26"/>
  <c r="AL7" i="26"/>
  <c r="AK7" i="26"/>
  <c r="AM7" i="26"/>
  <c r="H7" i="26"/>
  <c r="G7" i="26"/>
  <c r="AR6" i="26"/>
  <c r="AM6" i="26"/>
  <c r="AL6" i="26"/>
  <c r="AK6" i="26"/>
  <c r="H6" i="26"/>
  <c r="G6" i="26"/>
  <c r="B6" i="26"/>
  <c r="B8" i="26" s="1"/>
  <c r="A8" i="26" s="1"/>
  <c r="AR5" i="26"/>
  <c r="AL5" i="26"/>
  <c r="AK5" i="26"/>
  <c r="AM5" i="26"/>
  <c r="H5" i="26"/>
  <c r="G5" i="26"/>
  <c r="B5" i="26"/>
  <c r="A5" i="26" s="1"/>
  <c r="AR4" i="26"/>
  <c r="AL4" i="26"/>
  <c r="AK4" i="26"/>
  <c r="AG4" i="26"/>
  <c r="AF4" i="26"/>
  <c r="AB4" i="26"/>
  <c r="AA4" i="26"/>
  <c r="T4" i="26"/>
  <c r="S4" i="26"/>
  <c r="R4" i="26"/>
  <c r="AM4" i="26" s="1"/>
  <c r="H4" i="26"/>
  <c r="G4" i="26"/>
  <c r="A4" i="26"/>
  <c r="AP1" i="26"/>
  <c r="J66" i="27"/>
  <c r="G23" i="1" s="1"/>
  <c r="AL65" i="27"/>
  <c r="AK65" i="27"/>
  <c r="AG65" i="27"/>
  <c r="AF65" i="27"/>
  <c r="AB65" i="27"/>
  <c r="AA65" i="27"/>
  <c r="T65" i="27"/>
  <c r="S65" i="27"/>
  <c r="R65" i="27"/>
  <c r="AM65" i="27" s="1"/>
  <c r="H65" i="27"/>
  <c r="G65" i="27"/>
  <c r="AL64" i="27"/>
  <c r="AK64" i="27"/>
  <c r="AG64" i="27"/>
  <c r="AF64" i="27"/>
  <c r="AB64" i="27"/>
  <c r="AA64" i="27"/>
  <c r="T64" i="27"/>
  <c r="S64" i="27"/>
  <c r="R64" i="27"/>
  <c r="AM64" i="27" s="1"/>
  <c r="H64" i="27"/>
  <c r="G64" i="27"/>
  <c r="AR63" i="27"/>
  <c r="AL63" i="27"/>
  <c r="AK63" i="27"/>
  <c r="AG63" i="27"/>
  <c r="AF63" i="27"/>
  <c r="AB63" i="27"/>
  <c r="AA63" i="27"/>
  <c r="T63" i="27"/>
  <c r="S63" i="27"/>
  <c r="R63" i="27"/>
  <c r="AM63" i="27" s="1"/>
  <c r="H63" i="27"/>
  <c r="G63" i="27"/>
  <c r="AR62" i="27"/>
  <c r="AL62" i="27"/>
  <c r="AK62" i="27"/>
  <c r="AG62" i="27"/>
  <c r="AF62" i="27"/>
  <c r="AB62" i="27"/>
  <c r="AA62" i="27"/>
  <c r="T62" i="27"/>
  <c r="S62" i="27"/>
  <c r="R62" i="27"/>
  <c r="AM62" i="27" s="1"/>
  <c r="H62" i="27"/>
  <c r="G62" i="27"/>
  <c r="AS61" i="27"/>
  <c r="AR61" i="27"/>
  <c r="AL61" i="27"/>
  <c r="AK61" i="27"/>
  <c r="AG61" i="27"/>
  <c r="AF61" i="27"/>
  <c r="AB61" i="27"/>
  <c r="AA61" i="27"/>
  <c r="T61" i="27"/>
  <c r="S61" i="27"/>
  <c r="R61" i="27"/>
  <c r="AM61" i="27" s="1"/>
  <c r="H61" i="27"/>
  <c r="G61" i="27"/>
  <c r="AR60" i="27"/>
  <c r="AL60" i="27"/>
  <c r="AK60" i="27"/>
  <c r="AG60" i="27"/>
  <c r="AF60" i="27"/>
  <c r="AB60" i="27"/>
  <c r="AA60" i="27"/>
  <c r="T60" i="27"/>
  <c r="S60" i="27"/>
  <c r="R60" i="27"/>
  <c r="AM60" i="27" s="1"/>
  <c r="H60" i="27"/>
  <c r="G60" i="27"/>
  <c r="AR59" i="27"/>
  <c r="AL59" i="27"/>
  <c r="AK59" i="27"/>
  <c r="AG59" i="27"/>
  <c r="AF59" i="27"/>
  <c r="AB59" i="27"/>
  <c r="AA59" i="27"/>
  <c r="T59" i="27"/>
  <c r="S59" i="27"/>
  <c r="R59" i="27"/>
  <c r="AM59" i="27" s="1"/>
  <c r="H59" i="27"/>
  <c r="G59" i="27"/>
  <c r="AR58" i="27"/>
  <c r="AL58" i="27"/>
  <c r="AK58" i="27"/>
  <c r="AG58" i="27"/>
  <c r="AF58" i="27"/>
  <c r="AB58" i="27"/>
  <c r="AA58" i="27"/>
  <c r="T58" i="27"/>
  <c r="S58" i="27"/>
  <c r="R58" i="27"/>
  <c r="AM58" i="27" s="1"/>
  <c r="H58" i="27"/>
  <c r="G58" i="27"/>
  <c r="AR57" i="27"/>
  <c r="AL57" i="27"/>
  <c r="AK57" i="27"/>
  <c r="AG57" i="27"/>
  <c r="AF57" i="27"/>
  <c r="AB57" i="27"/>
  <c r="AA57" i="27"/>
  <c r="T57" i="27"/>
  <c r="S57" i="27"/>
  <c r="R57" i="27"/>
  <c r="AM57" i="27" s="1"/>
  <c r="H57" i="27"/>
  <c r="G57" i="27"/>
  <c r="AR56" i="27"/>
  <c r="AL56" i="27"/>
  <c r="AK56" i="27"/>
  <c r="AG56" i="27"/>
  <c r="AF56" i="27"/>
  <c r="AB56" i="27"/>
  <c r="AA56" i="27"/>
  <c r="T56" i="27"/>
  <c r="S56" i="27"/>
  <c r="R56" i="27"/>
  <c r="AM56" i="27" s="1"/>
  <c r="H56" i="27"/>
  <c r="G56" i="27"/>
  <c r="AS55" i="27"/>
  <c r="AR55" i="27"/>
  <c r="AL55" i="27"/>
  <c r="AK55" i="27"/>
  <c r="AG55" i="27"/>
  <c r="AF55" i="27"/>
  <c r="AB55" i="27"/>
  <c r="AA55" i="27"/>
  <c r="T55" i="27"/>
  <c r="S55" i="27"/>
  <c r="R55" i="27"/>
  <c r="AM55" i="27" s="1"/>
  <c r="H55" i="27"/>
  <c r="G55" i="27"/>
  <c r="AR54" i="27"/>
  <c r="AL54" i="27"/>
  <c r="AK54" i="27"/>
  <c r="AG54" i="27"/>
  <c r="AF54" i="27"/>
  <c r="AB54" i="27"/>
  <c r="AA54" i="27"/>
  <c r="T54" i="27"/>
  <c r="S54" i="27"/>
  <c r="R54" i="27"/>
  <c r="AM54" i="27" s="1"/>
  <c r="H54" i="27"/>
  <c r="G54" i="27"/>
  <c r="AS53" i="27"/>
  <c r="AR53" i="27"/>
  <c r="AL53" i="27"/>
  <c r="AK53" i="27"/>
  <c r="AG53" i="27"/>
  <c r="AF53" i="27"/>
  <c r="AB53" i="27"/>
  <c r="AA53" i="27"/>
  <c r="T53" i="27"/>
  <c r="S53" i="27"/>
  <c r="R53" i="27"/>
  <c r="AM53" i="27" s="1"/>
  <c r="H53" i="27"/>
  <c r="G53" i="27"/>
  <c r="AR52" i="27"/>
  <c r="AL52" i="27"/>
  <c r="AK52" i="27"/>
  <c r="AG52" i="27"/>
  <c r="AF52" i="27"/>
  <c r="AB52" i="27"/>
  <c r="AA52" i="27"/>
  <c r="T52" i="27"/>
  <c r="S52" i="27"/>
  <c r="R52" i="27"/>
  <c r="AM52" i="27" s="1"/>
  <c r="H52" i="27"/>
  <c r="G52" i="27"/>
  <c r="AR51" i="27"/>
  <c r="AL51" i="27"/>
  <c r="AK51" i="27"/>
  <c r="AG51" i="27"/>
  <c r="AF51" i="27"/>
  <c r="AB51" i="27"/>
  <c r="AA51" i="27"/>
  <c r="T51" i="27"/>
  <c r="S51" i="27"/>
  <c r="R51" i="27"/>
  <c r="AM51" i="27" s="1"/>
  <c r="H51" i="27"/>
  <c r="G51" i="27"/>
  <c r="AR50" i="27"/>
  <c r="AL50" i="27"/>
  <c r="AK50" i="27"/>
  <c r="AG50" i="27"/>
  <c r="AF50" i="27"/>
  <c r="AB50" i="27"/>
  <c r="AA50" i="27"/>
  <c r="T50" i="27"/>
  <c r="S50" i="27"/>
  <c r="R50" i="27"/>
  <c r="AM50" i="27" s="1"/>
  <c r="H50" i="27"/>
  <c r="G50" i="27"/>
  <c r="AR49" i="27"/>
  <c r="AL49" i="27"/>
  <c r="AK49" i="27"/>
  <c r="AG49" i="27"/>
  <c r="AF49" i="27"/>
  <c r="AB49" i="27"/>
  <c r="AA49" i="27"/>
  <c r="T49" i="27"/>
  <c r="S49" i="27"/>
  <c r="R49" i="27"/>
  <c r="AM49" i="27" s="1"/>
  <c r="H49" i="27"/>
  <c r="G49" i="27"/>
  <c r="AR48" i="27"/>
  <c r="AL48" i="27"/>
  <c r="AK48" i="27"/>
  <c r="AG48" i="27"/>
  <c r="AF48" i="27"/>
  <c r="AB48" i="27"/>
  <c r="AA48" i="27"/>
  <c r="T48" i="27"/>
  <c r="S48" i="27"/>
  <c r="R48" i="27"/>
  <c r="AM48" i="27" s="1"/>
  <c r="H48" i="27"/>
  <c r="G48" i="27"/>
  <c r="AR47" i="27"/>
  <c r="AL47" i="27"/>
  <c r="AK47" i="27"/>
  <c r="AG47" i="27"/>
  <c r="AF47" i="27"/>
  <c r="AB47" i="27"/>
  <c r="AA47" i="27"/>
  <c r="T47" i="27"/>
  <c r="S47" i="27"/>
  <c r="R47" i="27"/>
  <c r="AM47" i="27" s="1"/>
  <c r="H47" i="27"/>
  <c r="G47" i="27"/>
  <c r="AR46" i="27"/>
  <c r="AL46" i="27"/>
  <c r="AK46" i="27"/>
  <c r="AG46" i="27"/>
  <c r="AF46" i="27"/>
  <c r="AB46" i="27"/>
  <c r="AA46" i="27"/>
  <c r="T46" i="27"/>
  <c r="S46" i="27"/>
  <c r="R46" i="27"/>
  <c r="AM46" i="27" s="1"/>
  <c r="H46" i="27"/>
  <c r="G46" i="27"/>
  <c r="AR45" i="27"/>
  <c r="AL45" i="27"/>
  <c r="AK45" i="27"/>
  <c r="AG45" i="27"/>
  <c r="AF45" i="27"/>
  <c r="AB45" i="27"/>
  <c r="AA45" i="27"/>
  <c r="T45" i="27"/>
  <c r="S45" i="27"/>
  <c r="R45" i="27"/>
  <c r="AM45" i="27" s="1"/>
  <c r="H45" i="27"/>
  <c r="G45" i="27"/>
  <c r="AR44" i="27"/>
  <c r="AL44" i="27"/>
  <c r="AK44" i="27"/>
  <c r="AG44" i="27"/>
  <c r="AF44" i="27"/>
  <c r="AB44" i="27"/>
  <c r="AA44" i="27"/>
  <c r="T44" i="27"/>
  <c r="S44" i="27"/>
  <c r="R44" i="27"/>
  <c r="AM44" i="27" s="1"/>
  <c r="H44" i="27"/>
  <c r="G44" i="27"/>
  <c r="AR43" i="27"/>
  <c r="AL43" i="27"/>
  <c r="AK43" i="27"/>
  <c r="AG43" i="27"/>
  <c r="AF43" i="27"/>
  <c r="AB43" i="27"/>
  <c r="AA43" i="27"/>
  <c r="T43" i="27"/>
  <c r="S43" i="27"/>
  <c r="R43" i="27"/>
  <c r="AM43" i="27" s="1"/>
  <c r="H43" i="27"/>
  <c r="G43" i="27"/>
  <c r="AR42" i="27"/>
  <c r="AL42" i="27"/>
  <c r="AK42" i="27"/>
  <c r="AG42" i="27"/>
  <c r="AF42" i="27"/>
  <c r="AB42" i="27"/>
  <c r="AA42" i="27"/>
  <c r="T42" i="27"/>
  <c r="S42" i="27"/>
  <c r="R42" i="27"/>
  <c r="AM42" i="27" s="1"/>
  <c r="H42" i="27"/>
  <c r="G42" i="27"/>
  <c r="AS41" i="27"/>
  <c r="AR41" i="27"/>
  <c r="AL41" i="27"/>
  <c r="AK41" i="27"/>
  <c r="AG41" i="27"/>
  <c r="AF41" i="27"/>
  <c r="AB41" i="27"/>
  <c r="AA41" i="27"/>
  <c r="T41" i="27"/>
  <c r="S41" i="27"/>
  <c r="R41" i="27"/>
  <c r="AM41" i="27" s="1"/>
  <c r="H41" i="27"/>
  <c r="G41" i="27"/>
  <c r="AR40" i="27"/>
  <c r="AL40" i="27"/>
  <c r="AK40" i="27"/>
  <c r="AG40" i="27"/>
  <c r="AF40" i="27"/>
  <c r="AB40" i="27"/>
  <c r="AA40" i="27"/>
  <c r="T40" i="27"/>
  <c r="S40" i="27"/>
  <c r="R40" i="27"/>
  <c r="AM40" i="27" s="1"/>
  <c r="H40" i="27"/>
  <c r="G40" i="27"/>
  <c r="AS39" i="27"/>
  <c r="AR39" i="27"/>
  <c r="AL39" i="27"/>
  <c r="AK39" i="27"/>
  <c r="AG39" i="27"/>
  <c r="AF39" i="27"/>
  <c r="AB39" i="27"/>
  <c r="AA39" i="27"/>
  <c r="T39" i="27"/>
  <c r="S39" i="27"/>
  <c r="R39" i="27"/>
  <c r="AM39" i="27" s="1"/>
  <c r="H39" i="27"/>
  <c r="G39" i="27"/>
  <c r="AR38" i="27"/>
  <c r="AL38" i="27"/>
  <c r="AK38" i="27"/>
  <c r="AG38" i="27"/>
  <c r="AF38" i="27"/>
  <c r="AB38" i="27"/>
  <c r="AA38" i="27"/>
  <c r="T38" i="27"/>
  <c r="S38" i="27"/>
  <c r="R38" i="27"/>
  <c r="AM38" i="27" s="1"/>
  <c r="H38" i="27"/>
  <c r="G38" i="27"/>
  <c r="AR37" i="27"/>
  <c r="AL37" i="27"/>
  <c r="AK37" i="27"/>
  <c r="AG37" i="27"/>
  <c r="AF37" i="27"/>
  <c r="AB37" i="27"/>
  <c r="AA37" i="27"/>
  <c r="T37" i="27"/>
  <c r="S37" i="27"/>
  <c r="R37" i="27"/>
  <c r="AM37" i="27" s="1"/>
  <c r="H37" i="27"/>
  <c r="G37" i="27"/>
  <c r="AR36" i="27"/>
  <c r="AL36" i="27"/>
  <c r="AK36" i="27"/>
  <c r="AG36" i="27"/>
  <c r="AF36" i="27"/>
  <c r="AB36" i="27"/>
  <c r="AA36" i="27"/>
  <c r="T36" i="27"/>
  <c r="S36" i="27"/>
  <c r="R36" i="27"/>
  <c r="AM36" i="27" s="1"/>
  <c r="H36" i="27"/>
  <c r="G36" i="27"/>
  <c r="AR35" i="27"/>
  <c r="AL35" i="27"/>
  <c r="AK35" i="27"/>
  <c r="AG35" i="27"/>
  <c r="AF35" i="27"/>
  <c r="AB35" i="27"/>
  <c r="AA35" i="27"/>
  <c r="T35" i="27"/>
  <c r="S35" i="27"/>
  <c r="R35" i="27"/>
  <c r="AM35" i="27" s="1"/>
  <c r="H35" i="27"/>
  <c r="G35" i="27"/>
  <c r="AR34" i="27"/>
  <c r="AL34" i="27"/>
  <c r="AK34" i="27"/>
  <c r="AG34" i="27"/>
  <c r="AF34" i="27"/>
  <c r="AB34" i="27"/>
  <c r="AA34" i="27"/>
  <c r="T34" i="27"/>
  <c r="S34" i="27"/>
  <c r="R34" i="27"/>
  <c r="AM34" i="27" s="1"/>
  <c r="H34" i="27"/>
  <c r="G34" i="27"/>
  <c r="AR33" i="27"/>
  <c r="AL33" i="27"/>
  <c r="AK33" i="27"/>
  <c r="AG33" i="27"/>
  <c r="AF33" i="27"/>
  <c r="AB33" i="27"/>
  <c r="AA33" i="27"/>
  <c r="T33" i="27"/>
  <c r="S33" i="27"/>
  <c r="R33" i="27"/>
  <c r="AM33" i="27" s="1"/>
  <c r="H33" i="27"/>
  <c r="G33" i="27"/>
  <c r="AR32" i="27"/>
  <c r="AL32" i="27"/>
  <c r="AK32" i="27"/>
  <c r="AG32" i="27"/>
  <c r="AF32" i="27"/>
  <c r="AB32" i="27"/>
  <c r="AA32" i="27"/>
  <c r="T32" i="27"/>
  <c r="S32" i="27"/>
  <c r="R32" i="27"/>
  <c r="AM32" i="27" s="1"/>
  <c r="H32" i="27"/>
  <c r="G32" i="27"/>
  <c r="AR31" i="27"/>
  <c r="AL31" i="27"/>
  <c r="AK31" i="27"/>
  <c r="AG31" i="27"/>
  <c r="AF31" i="27"/>
  <c r="AB31" i="27"/>
  <c r="AA31" i="27"/>
  <c r="T31" i="27"/>
  <c r="S31" i="27"/>
  <c r="R31" i="27"/>
  <c r="AM31" i="27" s="1"/>
  <c r="H31" i="27"/>
  <c r="G31" i="27"/>
  <c r="AR30" i="27"/>
  <c r="AL30" i="27"/>
  <c r="AK30" i="27"/>
  <c r="AG30" i="27"/>
  <c r="AF30" i="27"/>
  <c r="AB30" i="27"/>
  <c r="AA30" i="27"/>
  <c r="T30" i="27"/>
  <c r="S30" i="27"/>
  <c r="R30" i="27"/>
  <c r="AM30" i="27" s="1"/>
  <c r="H30" i="27"/>
  <c r="G30" i="27"/>
  <c r="AR29" i="27"/>
  <c r="AL29" i="27"/>
  <c r="AK29" i="27"/>
  <c r="AG29" i="27"/>
  <c r="AF29" i="27"/>
  <c r="AB29" i="27"/>
  <c r="AA29" i="27"/>
  <c r="T29" i="27"/>
  <c r="S29" i="27"/>
  <c r="R29" i="27"/>
  <c r="AM29" i="27" s="1"/>
  <c r="H29" i="27"/>
  <c r="G29" i="27"/>
  <c r="AR28" i="27"/>
  <c r="AL28" i="27"/>
  <c r="AK28" i="27"/>
  <c r="AG28" i="27"/>
  <c r="AF28" i="27"/>
  <c r="AB28" i="27"/>
  <c r="AA28" i="27"/>
  <c r="T28" i="27"/>
  <c r="S28" i="27"/>
  <c r="R28" i="27"/>
  <c r="AM28" i="27" s="1"/>
  <c r="H28" i="27"/>
  <c r="G28" i="27"/>
  <c r="AR27" i="27"/>
  <c r="AL27" i="27"/>
  <c r="AK27" i="27"/>
  <c r="AG27" i="27"/>
  <c r="AF27" i="27"/>
  <c r="AB27" i="27"/>
  <c r="AA27" i="27"/>
  <c r="T27" i="27"/>
  <c r="S27" i="27"/>
  <c r="R27" i="27"/>
  <c r="AM27" i="27" s="1"/>
  <c r="G27" i="27"/>
  <c r="AR26" i="27"/>
  <c r="AL26" i="27"/>
  <c r="AK26" i="27"/>
  <c r="AG26" i="27"/>
  <c r="AF26" i="27"/>
  <c r="AB26" i="27"/>
  <c r="AA26" i="27"/>
  <c r="T26" i="27"/>
  <c r="S26" i="27"/>
  <c r="R26" i="27"/>
  <c r="AM26" i="27" s="1"/>
  <c r="G26" i="27"/>
  <c r="AR25" i="27"/>
  <c r="AL25" i="27"/>
  <c r="AK25" i="27"/>
  <c r="AG25" i="27"/>
  <c r="AF25" i="27"/>
  <c r="AB25" i="27"/>
  <c r="AA25" i="27"/>
  <c r="T25" i="27"/>
  <c r="S25" i="27"/>
  <c r="R25" i="27"/>
  <c r="AM25" i="27" s="1"/>
  <c r="AR24" i="27"/>
  <c r="AL24" i="27"/>
  <c r="AK24" i="27"/>
  <c r="AG24" i="27"/>
  <c r="AF24" i="27"/>
  <c r="AB24" i="27"/>
  <c r="AA24" i="27"/>
  <c r="T24" i="27"/>
  <c r="S24" i="27"/>
  <c r="R24" i="27"/>
  <c r="AM24" i="27" s="1"/>
  <c r="G25" i="27" s="1"/>
  <c r="AR23" i="27"/>
  <c r="AL23" i="27"/>
  <c r="AK23" i="27"/>
  <c r="AG23" i="27"/>
  <c r="AF23" i="27"/>
  <c r="AB23" i="27"/>
  <c r="AA23" i="27"/>
  <c r="T23" i="27"/>
  <c r="S23" i="27"/>
  <c r="R23" i="27"/>
  <c r="AM23" i="27" s="1"/>
  <c r="G24" i="27" s="1"/>
  <c r="AR22" i="27"/>
  <c r="AL22" i="27"/>
  <c r="AK22" i="27"/>
  <c r="AG22" i="27"/>
  <c r="AF22" i="27"/>
  <c r="AB22" i="27"/>
  <c r="AA22" i="27"/>
  <c r="T22" i="27"/>
  <c r="S22" i="27"/>
  <c r="R22" i="27"/>
  <c r="AM22" i="27" s="1"/>
  <c r="G23" i="27" s="1"/>
  <c r="AR21" i="27"/>
  <c r="AL21" i="27"/>
  <c r="AK21" i="27"/>
  <c r="AG21" i="27"/>
  <c r="AF21" i="27"/>
  <c r="AB21" i="27"/>
  <c r="AA21" i="27"/>
  <c r="T21" i="27"/>
  <c r="S21" i="27"/>
  <c r="R21" i="27"/>
  <c r="AM21" i="27" s="1"/>
  <c r="G22" i="27" s="1"/>
  <c r="AR20" i="27"/>
  <c r="AL20" i="27"/>
  <c r="AK20" i="27"/>
  <c r="AG20" i="27"/>
  <c r="AF20" i="27"/>
  <c r="AB20" i="27"/>
  <c r="AA20" i="27"/>
  <c r="T20" i="27"/>
  <c r="S20" i="27"/>
  <c r="R20" i="27"/>
  <c r="AM20" i="27" s="1"/>
  <c r="G21" i="27" s="1"/>
  <c r="AR19" i="27"/>
  <c r="AL19" i="27"/>
  <c r="AK19" i="27"/>
  <c r="AG19" i="27"/>
  <c r="AF19" i="27"/>
  <c r="AB19" i="27"/>
  <c r="AA19" i="27"/>
  <c r="T19" i="27"/>
  <c r="S19" i="27"/>
  <c r="R19" i="27"/>
  <c r="AM19" i="27" s="1"/>
  <c r="G20" i="27" s="1"/>
  <c r="AR18" i="27"/>
  <c r="AL18" i="27"/>
  <c r="AK18" i="27"/>
  <c r="AG18" i="27"/>
  <c r="AF18" i="27"/>
  <c r="AB18" i="27"/>
  <c r="AA18" i="27"/>
  <c r="T18" i="27"/>
  <c r="S18" i="27"/>
  <c r="R18" i="27"/>
  <c r="AM18" i="27" s="1"/>
  <c r="G19" i="27" s="1"/>
  <c r="AR17" i="27"/>
  <c r="AL17" i="27"/>
  <c r="AK17" i="27"/>
  <c r="AG17" i="27"/>
  <c r="AF17" i="27"/>
  <c r="AB17" i="27"/>
  <c r="AA17" i="27"/>
  <c r="T17" i="27"/>
  <c r="S17" i="27"/>
  <c r="R17" i="27"/>
  <c r="AM17" i="27" s="1"/>
  <c r="G18" i="27" s="1"/>
  <c r="AR16" i="27"/>
  <c r="AL16" i="27"/>
  <c r="AK16" i="27"/>
  <c r="AG16" i="27"/>
  <c r="AF16" i="27"/>
  <c r="AB16" i="27"/>
  <c r="AA16" i="27"/>
  <c r="T16" i="27"/>
  <c r="S16" i="27"/>
  <c r="R16" i="27"/>
  <c r="AM16" i="27" s="1"/>
  <c r="G17" i="27" s="1"/>
  <c r="AR15" i="27"/>
  <c r="AL15" i="27"/>
  <c r="AK15" i="27"/>
  <c r="AG15" i="27"/>
  <c r="AF15" i="27"/>
  <c r="AB15" i="27"/>
  <c r="AA15" i="27"/>
  <c r="T15" i="27"/>
  <c r="S15" i="27"/>
  <c r="R15" i="27"/>
  <c r="AM15" i="27" s="1"/>
  <c r="G16" i="27" s="1"/>
  <c r="AR14" i="27"/>
  <c r="AL14" i="27"/>
  <c r="AK14" i="27"/>
  <c r="AG14" i="27"/>
  <c r="AF14" i="27"/>
  <c r="AB14" i="27"/>
  <c r="AA14" i="27"/>
  <c r="T14" i="27"/>
  <c r="S14" i="27"/>
  <c r="R14" i="27"/>
  <c r="AM14" i="27" s="1"/>
  <c r="G15" i="27" s="1"/>
  <c r="H14" i="27"/>
  <c r="G14" i="27"/>
  <c r="AR13" i="27"/>
  <c r="AL13" i="27"/>
  <c r="AK13" i="27"/>
  <c r="AG13" i="27"/>
  <c r="AF13" i="27"/>
  <c r="AB13" i="27"/>
  <c r="AA13" i="27"/>
  <c r="T13" i="27"/>
  <c r="S13" i="27"/>
  <c r="R13" i="27"/>
  <c r="AM13" i="27" s="1"/>
  <c r="H13" i="27"/>
  <c r="G13" i="27"/>
  <c r="AR12" i="27"/>
  <c r="AL12" i="27"/>
  <c r="AK12" i="27"/>
  <c r="AG12" i="27"/>
  <c r="AF12" i="27"/>
  <c r="AB12" i="27"/>
  <c r="AA12" i="27"/>
  <c r="T12" i="27"/>
  <c r="S12" i="27"/>
  <c r="R12" i="27"/>
  <c r="AM12" i="27" s="1"/>
  <c r="H12" i="27"/>
  <c r="G12" i="27"/>
  <c r="AR11" i="27"/>
  <c r="AL11" i="27"/>
  <c r="AK11" i="27"/>
  <c r="AG11" i="27"/>
  <c r="AF11" i="27"/>
  <c r="AB11" i="27"/>
  <c r="AA11" i="27"/>
  <c r="T11" i="27"/>
  <c r="S11" i="27"/>
  <c r="R11" i="27"/>
  <c r="AM11" i="27" s="1"/>
  <c r="AR10" i="27"/>
  <c r="AL10" i="27"/>
  <c r="AK10" i="27"/>
  <c r="AG10" i="27"/>
  <c r="AF10" i="27"/>
  <c r="AB10" i="27"/>
  <c r="AA10" i="27"/>
  <c r="T10" i="27"/>
  <c r="S10" i="27"/>
  <c r="R10" i="27"/>
  <c r="AM10" i="27" s="1"/>
  <c r="G11" i="27" s="1"/>
  <c r="AR9" i="27"/>
  <c r="AL9" i="27"/>
  <c r="AK9" i="27"/>
  <c r="AG9" i="27"/>
  <c r="AF9" i="27"/>
  <c r="AB9" i="27"/>
  <c r="AA9" i="27"/>
  <c r="T9" i="27"/>
  <c r="S9" i="27"/>
  <c r="R9" i="27"/>
  <c r="AM9" i="27" s="1"/>
  <c r="G10" i="27" s="1"/>
  <c r="AR8" i="27"/>
  <c r="AL8" i="27"/>
  <c r="AK8" i="27"/>
  <c r="AG8" i="27"/>
  <c r="AF8" i="27"/>
  <c r="AB8" i="27"/>
  <c r="AA8" i="27"/>
  <c r="T8" i="27"/>
  <c r="S8" i="27"/>
  <c r="R8" i="27"/>
  <c r="AM8" i="27" s="1"/>
  <c r="G9" i="27" s="1"/>
  <c r="AR7" i="27"/>
  <c r="AL7" i="27"/>
  <c r="AK7" i="27"/>
  <c r="AG7" i="27"/>
  <c r="AF7" i="27"/>
  <c r="AB7" i="27"/>
  <c r="AA7" i="27"/>
  <c r="T7" i="27"/>
  <c r="S7" i="27"/>
  <c r="R7" i="27"/>
  <c r="AM7" i="27" s="1"/>
  <c r="G8" i="27" s="1"/>
  <c r="AR6" i="27"/>
  <c r="AL6" i="27"/>
  <c r="AK6" i="27"/>
  <c r="AG6" i="27"/>
  <c r="AF6" i="27"/>
  <c r="AB6" i="27"/>
  <c r="AA6" i="27"/>
  <c r="T6" i="27"/>
  <c r="S6" i="27"/>
  <c r="R6" i="27"/>
  <c r="AM6" i="27" s="1"/>
  <c r="G7" i="27" s="1"/>
  <c r="B6" i="27"/>
  <c r="B8" i="27" s="1"/>
  <c r="AR5" i="27"/>
  <c r="AL5" i="27"/>
  <c r="AK5" i="27"/>
  <c r="AG5" i="27"/>
  <c r="AF5" i="27"/>
  <c r="AB5" i="27"/>
  <c r="AA5" i="27"/>
  <c r="T5" i="27"/>
  <c r="S5" i="27"/>
  <c r="R5" i="27"/>
  <c r="AM5" i="27" s="1"/>
  <c r="G6" i="27" s="1"/>
  <c r="G5" i="27"/>
  <c r="B5" i="27"/>
  <c r="A5" i="27" s="1"/>
  <c r="AR4" i="27"/>
  <c r="AL4" i="27"/>
  <c r="AK4" i="27"/>
  <c r="AG4" i="27"/>
  <c r="AF4" i="27"/>
  <c r="AB4" i="27"/>
  <c r="AA4" i="27"/>
  <c r="T4" i="27"/>
  <c r="S4" i="27"/>
  <c r="R4" i="27"/>
  <c r="AM4" i="27" s="1"/>
  <c r="H4" i="27"/>
  <c r="G4" i="27"/>
  <c r="A4" i="27"/>
  <c r="AP1" i="27"/>
  <c r="G5" i="1"/>
  <c r="AR65" i="22"/>
  <c r="AL65" i="22"/>
  <c r="AK65" i="22"/>
  <c r="AG65" i="22"/>
  <c r="AF65" i="22"/>
  <c r="T65" i="22"/>
  <c r="S65" i="22"/>
  <c r="R65" i="22"/>
  <c r="AM65" i="22" s="1"/>
  <c r="H65" i="22"/>
  <c r="G65" i="22"/>
  <c r="AR64" i="22"/>
  <c r="AL64" i="22"/>
  <c r="AK64" i="22"/>
  <c r="AG64" i="22"/>
  <c r="AF64" i="22"/>
  <c r="T64" i="22"/>
  <c r="S64" i="22"/>
  <c r="R64" i="22"/>
  <c r="AM64" i="22" s="1"/>
  <c r="H64" i="22"/>
  <c r="G64" i="22"/>
  <c r="AR63" i="22"/>
  <c r="AL63" i="22"/>
  <c r="AK63" i="22"/>
  <c r="AG63" i="22"/>
  <c r="AF63" i="22"/>
  <c r="T63" i="22"/>
  <c r="S63" i="22"/>
  <c r="R63" i="22"/>
  <c r="AM63" i="22" s="1"/>
  <c r="H63" i="22"/>
  <c r="G63" i="22"/>
  <c r="AR62" i="22"/>
  <c r="AL62" i="22"/>
  <c r="AK62" i="22"/>
  <c r="AG62" i="22"/>
  <c r="AF62" i="22"/>
  <c r="T62" i="22"/>
  <c r="S62" i="22"/>
  <c r="R62" i="22"/>
  <c r="AM62" i="22" s="1"/>
  <c r="H62" i="22"/>
  <c r="G62" i="22"/>
  <c r="AR61" i="22"/>
  <c r="AL61" i="22"/>
  <c r="AK61" i="22"/>
  <c r="AG61" i="22"/>
  <c r="AF61" i="22"/>
  <c r="T61" i="22"/>
  <c r="S61" i="22"/>
  <c r="R61" i="22"/>
  <c r="AM61" i="22" s="1"/>
  <c r="H61" i="22"/>
  <c r="G61" i="22"/>
  <c r="AR60" i="22"/>
  <c r="AL60" i="22"/>
  <c r="AK60" i="22"/>
  <c r="AG60" i="22"/>
  <c r="AF60" i="22"/>
  <c r="T60" i="22"/>
  <c r="S60" i="22"/>
  <c r="R60" i="22"/>
  <c r="AM60" i="22" s="1"/>
  <c r="H60" i="22"/>
  <c r="G60" i="22"/>
  <c r="AR59" i="22"/>
  <c r="AL59" i="22"/>
  <c r="AK59" i="22"/>
  <c r="AG59" i="22"/>
  <c r="AF59" i="22"/>
  <c r="T59" i="22"/>
  <c r="S59" i="22"/>
  <c r="R59" i="22"/>
  <c r="AM59" i="22" s="1"/>
  <c r="H59" i="22"/>
  <c r="G59" i="22"/>
  <c r="AR58" i="22"/>
  <c r="AL58" i="22"/>
  <c r="AK58" i="22"/>
  <c r="AG58" i="22"/>
  <c r="AF58" i="22"/>
  <c r="T58" i="22"/>
  <c r="S58" i="22"/>
  <c r="R58" i="22"/>
  <c r="AM58" i="22" s="1"/>
  <c r="H58" i="22"/>
  <c r="G58" i="22"/>
  <c r="AR57" i="22"/>
  <c r="AL57" i="22"/>
  <c r="AK57" i="22"/>
  <c r="AG57" i="22"/>
  <c r="AF57" i="22"/>
  <c r="T57" i="22"/>
  <c r="S57" i="22"/>
  <c r="R57" i="22"/>
  <c r="AM57" i="22" s="1"/>
  <c r="H57" i="22"/>
  <c r="G57" i="22"/>
  <c r="AR56" i="22"/>
  <c r="AL56" i="22"/>
  <c r="AK56" i="22"/>
  <c r="AG56" i="22"/>
  <c r="AF56" i="22"/>
  <c r="T56" i="22"/>
  <c r="S56" i="22"/>
  <c r="R56" i="22"/>
  <c r="AM56" i="22" s="1"/>
  <c r="H56" i="22"/>
  <c r="G56" i="22"/>
  <c r="AR55" i="22"/>
  <c r="AL55" i="22"/>
  <c r="AK55" i="22"/>
  <c r="AG55" i="22"/>
  <c r="AF55" i="22"/>
  <c r="T55" i="22"/>
  <c r="S55" i="22"/>
  <c r="R55" i="22"/>
  <c r="AM55" i="22" s="1"/>
  <c r="H55" i="22"/>
  <c r="G55" i="22"/>
  <c r="AR54" i="22"/>
  <c r="AL54" i="22"/>
  <c r="AK54" i="22"/>
  <c r="AG54" i="22"/>
  <c r="AF54" i="22"/>
  <c r="T54" i="22"/>
  <c r="S54" i="22"/>
  <c r="R54" i="22"/>
  <c r="AM54" i="22" s="1"/>
  <c r="H54" i="22"/>
  <c r="G54" i="22"/>
  <c r="AR53" i="22"/>
  <c r="AL53" i="22"/>
  <c r="AK53" i="22"/>
  <c r="AG53" i="22"/>
  <c r="AF53" i="22"/>
  <c r="T53" i="22"/>
  <c r="S53" i="22"/>
  <c r="R53" i="22"/>
  <c r="AM53" i="22" s="1"/>
  <c r="H53" i="22"/>
  <c r="G53" i="22"/>
  <c r="AR52" i="22"/>
  <c r="AL52" i="22"/>
  <c r="AK52" i="22"/>
  <c r="AG52" i="22"/>
  <c r="AF52" i="22"/>
  <c r="T52" i="22"/>
  <c r="S52" i="22"/>
  <c r="R52" i="22"/>
  <c r="AM52" i="22" s="1"/>
  <c r="H52" i="22"/>
  <c r="G52" i="22"/>
  <c r="AR51" i="22"/>
  <c r="AL51" i="22"/>
  <c r="AK51" i="22"/>
  <c r="AG51" i="22"/>
  <c r="AF51" i="22"/>
  <c r="T51" i="22"/>
  <c r="S51" i="22"/>
  <c r="R51" i="22"/>
  <c r="AM51" i="22" s="1"/>
  <c r="H51" i="22"/>
  <c r="G51" i="22"/>
  <c r="AR50" i="22"/>
  <c r="AL50" i="22"/>
  <c r="AK50" i="22"/>
  <c r="AG50" i="22"/>
  <c r="AF50" i="22"/>
  <c r="T50" i="22"/>
  <c r="S50" i="22"/>
  <c r="R50" i="22"/>
  <c r="AM50" i="22" s="1"/>
  <c r="H50" i="22"/>
  <c r="G50" i="22"/>
  <c r="AR49" i="22"/>
  <c r="AL49" i="22"/>
  <c r="AK49" i="22"/>
  <c r="AG49" i="22"/>
  <c r="AF49" i="22"/>
  <c r="T49" i="22"/>
  <c r="S49" i="22"/>
  <c r="R49" i="22"/>
  <c r="AM49" i="22" s="1"/>
  <c r="H49" i="22"/>
  <c r="G49" i="22"/>
  <c r="AR48" i="22"/>
  <c r="AL48" i="22"/>
  <c r="AK48" i="22"/>
  <c r="AG48" i="22"/>
  <c r="AF48" i="22"/>
  <c r="T48" i="22"/>
  <c r="S48" i="22"/>
  <c r="R48" i="22"/>
  <c r="AM48" i="22" s="1"/>
  <c r="H48" i="22"/>
  <c r="G48" i="22"/>
  <c r="AR47" i="22"/>
  <c r="AL47" i="22"/>
  <c r="AK47" i="22"/>
  <c r="AG47" i="22"/>
  <c r="AF47" i="22"/>
  <c r="T47" i="22"/>
  <c r="S47" i="22"/>
  <c r="R47" i="22"/>
  <c r="AM47" i="22" s="1"/>
  <c r="H47" i="22"/>
  <c r="G47" i="22"/>
  <c r="AR46" i="22"/>
  <c r="AL46" i="22"/>
  <c r="AK46" i="22"/>
  <c r="AG46" i="22"/>
  <c r="AF46" i="22"/>
  <c r="T46" i="22"/>
  <c r="S46" i="22"/>
  <c r="R46" i="22"/>
  <c r="AM46" i="22" s="1"/>
  <c r="H46" i="22"/>
  <c r="G46" i="22"/>
  <c r="AR45" i="22"/>
  <c r="AL45" i="22"/>
  <c r="AK45" i="22"/>
  <c r="AG45" i="22"/>
  <c r="AF45" i="22"/>
  <c r="T45" i="22"/>
  <c r="S45" i="22"/>
  <c r="R45" i="22"/>
  <c r="AM45" i="22" s="1"/>
  <c r="H45" i="22"/>
  <c r="G45" i="22"/>
  <c r="AR44" i="22"/>
  <c r="AL44" i="22"/>
  <c r="AK44" i="22"/>
  <c r="AG44" i="22"/>
  <c r="AF44" i="22"/>
  <c r="T44" i="22"/>
  <c r="S44" i="22"/>
  <c r="R44" i="22"/>
  <c r="AM44" i="22" s="1"/>
  <c r="H44" i="22"/>
  <c r="G44" i="22"/>
  <c r="AR43" i="22"/>
  <c r="AL43" i="22"/>
  <c r="AK43" i="22"/>
  <c r="AG43" i="22"/>
  <c r="AF43" i="22"/>
  <c r="T43" i="22"/>
  <c r="S43" i="22"/>
  <c r="R43" i="22"/>
  <c r="AM43" i="22" s="1"/>
  <c r="H43" i="22"/>
  <c r="G43" i="22"/>
  <c r="AR42" i="22"/>
  <c r="AL42" i="22"/>
  <c r="AK42" i="22"/>
  <c r="AG42" i="22"/>
  <c r="AF42" i="22"/>
  <c r="T42" i="22"/>
  <c r="S42" i="22"/>
  <c r="R42" i="22"/>
  <c r="AM42" i="22" s="1"/>
  <c r="H42" i="22"/>
  <c r="G42" i="22"/>
  <c r="AR41" i="22"/>
  <c r="AL41" i="22"/>
  <c r="AK41" i="22"/>
  <c r="AG41" i="22"/>
  <c r="AF41" i="22"/>
  <c r="T41" i="22"/>
  <c r="S41" i="22"/>
  <c r="R41" i="22"/>
  <c r="AM41" i="22" s="1"/>
  <c r="H41" i="22"/>
  <c r="G41" i="22"/>
  <c r="AR40" i="22"/>
  <c r="AK40" i="22"/>
  <c r="AG40" i="22"/>
  <c r="AF40" i="22"/>
  <c r="T40" i="22"/>
  <c r="S40" i="22"/>
  <c r="R40" i="22"/>
  <c r="AM40" i="22" s="1"/>
  <c r="H40" i="22"/>
  <c r="G40" i="22"/>
  <c r="AR39" i="22"/>
  <c r="AL39" i="22"/>
  <c r="AK39" i="22"/>
  <c r="AG39" i="22"/>
  <c r="AF39" i="22"/>
  <c r="T39" i="22"/>
  <c r="S39" i="22"/>
  <c r="R39" i="22"/>
  <c r="AM39" i="22" s="1"/>
  <c r="H39" i="22"/>
  <c r="G39" i="22"/>
  <c r="AR38" i="22"/>
  <c r="AL38" i="22"/>
  <c r="AK38" i="22"/>
  <c r="AG38" i="22"/>
  <c r="AF38" i="22"/>
  <c r="T38" i="22"/>
  <c r="S38" i="22"/>
  <c r="R38" i="22"/>
  <c r="AM38" i="22" s="1"/>
  <c r="H38" i="22"/>
  <c r="G38" i="22"/>
  <c r="AR37" i="22"/>
  <c r="AL37" i="22"/>
  <c r="AK37" i="22"/>
  <c r="AG37" i="22"/>
  <c r="AF37" i="22"/>
  <c r="T37" i="22"/>
  <c r="S37" i="22"/>
  <c r="R37" i="22"/>
  <c r="AM37" i="22" s="1"/>
  <c r="H37" i="22"/>
  <c r="G37" i="22"/>
  <c r="AR36" i="22"/>
  <c r="AL36" i="22"/>
  <c r="AK36" i="22"/>
  <c r="AG36" i="22"/>
  <c r="AF36" i="22"/>
  <c r="T36" i="22"/>
  <c r="S36" i="22"/>
  <c r="R36" i="22"/>
  <c r="AM36" i="22" s="1"/>
  <c r="H36" i="22"/>
  <c r="G36" i="22"/>
  <c r="AR35" i="22"/>
  <c r="AL35" i="22"/>
  <c r="AK35" i="22"/>
  <c r="AG35" i="22"/>
  <c r="AF35" i="22"/>
  <c r="T35" i="22"/>
  <c r="S35" i="22"/>
  <c r="R35" i="22"/>
  <c r="AM35" i="22" s="1"/>
  <c r="H35" i="22"/>
  <c r="G35" i="22"/>
  <c r="AR34" i="22"/>
  <c r="AL34" i="22"/>
  <c r="AK34" i="22"/>
  <c r="AG34" i="22"/>
  <c r="AF34" i="22"/>
  <c r="T34" i="22"/>
  <c r="S34" i="22"/>
  <c r="R34" i="22"/>
  <c r="AM34" i="22" s="1"/>
  <c r="H34" i="22"/>
  <c r="G34" i="22"/>
  <c r="AR33" i="22"/>
  <c r="AL33" i="22"/>
  <c r="AK33" i="22"/>
  <c r="AG33" i="22"/>
  <c r="AF33" i="22"/>
  <c r="T33" i="22"/>
  <c r="S33" i="22"/>
  <c r="R33" i="22"/>
  <c r="AM33" i="22" s="1"/>
  <c r="H33" i="22"/>
  <c r="G33" i="22"/>
  <c r="AR32" i="22"/>
  <c r="AL32" i="22"/>
  <c r="AK32" i="22"/>
  <c r="AG32" i="22"/>
  <c r="AF32" i="22"/>
  <c r="T32" i="22"/>
  <c r="S32" i="22"/>
  <c r="R32" i="22"/>
  <c r="AM32" i="22" s="1"/>
  <c r="H32" i="22"/>
  <c r="G32" i="22"/>
  <c r="AR31" i="22"/>
  <c r="AL31" i="22"/>
  <c r="AK31" i="22"/>
  <c r="AG31" i="22"/>
  <c r="AF31" i="22"/>
  <c r="T31" i="22"/>
  <c r="S31" i="22"/>
  <c r="R31" i="22"/>
  <c r="AM31" i="22" s="1"/>
  <c r="H31" i="22"/>
  <c r="G31" i="22"/>
  <c r="AR30" i="22"/>
  <c r="AL30" i="22"/>
  <c r="AK30" i="22"/>
  <c r="AG30" i="22"/>
  <c r="AF30" i="22"/>
  <c r="T30" i="22"/>
  <c r="S30" i="22"/>
  <c r="R30" i="22"/>
  <c r="AM30" i="22" s="1"/>
  <c r="H30" i="22"/>
  <c r="G30" i="22"/>
  <c r="AR29" i="22"/>
  <c r="AL29" i="22"/>
  <c r="AK29" i="22"/>
  <c r="AG29" i="22"/>
  <c r="AF29" i="22"/>
  <c r="T29" i="22"/>
  <c r="S29" i="22"/>
  <c r="R29" i="22"/>
  <c r="AM29" i="22" s="1"/>
  <c r="H29" i="22"/>
  <c r="G29" i="22"/>
  <c r="AR28" i="22"/>
  <c r="AL28" i="22"/>
  <c r="AK28" i="22"/>
  <c r="AG28" i="22"/>
  <c r="AF28" i="22"/>
  <c r="T28" i="22"/>
  <c r="S28" i="22"/>
  <c r="R28" i="22"/>
  <c r="AM28" i="22" s="1"/>
  <c r="H28" i="22"/>
  <c r="G28" i="22"/>
  <c r="AR27" i="22"/>
  <c r="AL27" i="22"/>
  <c r="AK27" i="22"/>
  <c r="AG27" i="22"/>
  <c r="AF27" i="22"/>
  <c r="T27" i="22"/>
  <c r="S27" i="22"/>
  <c r="R27" i="22"/>
  <c r="AM27" i="22" s="1"/>
  <c r="H27" i="22"/>
  <c r="G27" i="22"/>
  <c r="AR26" i="22"/>
  <c r="AL26" i="22"/>
  <c r="AK26" i="22"/>
  <c r="AG26" i="22"/>
  <c r="AF26" i="22"/>
  <c r="T26" i="22"/>
  <c r="S26" i="22"/>
  <c r="R26" i="22"/>
  <c r="AM26" i="22" s="1"/>
  <c r="H26" i="22"/>
  <c r="G26" i="22"/>
  <c r="AR25" i="22"/>
  <c r="AL25" i="22"/>
  <c r="AK25" i="22"/>
  <c r="AG25" i="22"/>
  <c r="AF25" i="22"/>
  <c r="T25" i="22"/>
  <c r="S25" i="22"/>
  <c r="R25" i="22"/>
  <c r="AM25" i="22" s="1"/>
  <c r="H25" i="22"/>
  <c r="G25" i="22"/>
  <c r="AR24" i="22"/>
  <c r="AL24" i="22"/>
  <c r="AK24" i="22"/>
  <c r="AG24" i="22"/>
  <c r="AF24" i="22"/>
  <c r="T24" i="22"/>
  <c r="S24" i="22"/>
  <c r="R24" i="22"/>
  <c r="AM24" i="22" s="1"/>
  <c r="H24" i="22"/>
  <c r="G24" i="22"/>
  <c r="AR23" i="22"/>
  <c r="AL23" i="22"/>
  <c r="AK23" i="22"/>
  <c r="AG23" i="22"/>
  <c r="AF23" i="22"/>
  <c r="T23" i="22"/>
  <c r="S23" i="22"/>
  <c r="R23" i="22"/>
  <c r="AM23" i="22" s="1"/>
  <c r="H23" i="22"/>
  <c r="G23" i="22"/>
  <c r="AR22" i="22"/>
  <c r="AL22" i="22"/>
  <c r="AK22" i="22"/>
  <c r="AG22" i="22"/>
  <c r="AF22" i="22"/>
  <c r="T22" i="22"/>
  <c r="S22" i="22"/>
  <c r="R22" i="22"/>
  <c r="AM22" i="22" s="1"/>
  <c r="H22" i="22"/>
  <c r="G22" i="22"/>
  <c r="AR21" i="22"/>
  <c r="AL21" i="22"/>
  <c r="AK21" i="22"/>
  <c r="AG21" i="22"/>
  <c r="AF21" i="22"/>
  <c r="T21" i="22"/>
  <c r="S21" i="22"/>
  <c r="R21" i="22"/>
  <c r="AM21" i="22" s="1"/>
  <c r="H21" i="22"/>
  <c r="G21" i="22"/>
  <c r="AR20" i="22"/>
  <c r="AL20" i="22"/>
  <c r="AK20" i="22"/>
  <c r="AG20" i="22"/>
  <c r="AF20" i="22"/>
  <c r="T20" i="22"/>
  <c r="S20" i="22"/>
  <c r="R20" i="22"/>
  <c r="AM20" i="22" s="1"/>
  <c r="H20" i="22"/>
  <c r="G20" i="22"/>
  <c r="AR19" i="22"/>
  <c r="AL19" i="22"/>
  <c r="AK19" i="22"/>
  <c r="AG19" i="22"/>
  <c r="AF19" i="22"/>
  <c r="T19" i="22"/>
  <c r="S19" i="22"/>
  <c r="R19" i="22"/>
  <c r="AM19" i="22" s="1"/>
  <c r="H19" i="22"/>
  <c r="G19" i="22"/>
  <c r="AR18" i="22"/>
  <c r="AL18" i="22"/>
  <c r="AK18" i="22"/>
  <c r="AG18" i="22"/>
  <c r="AF18" i="22"/>
  <c r="T18" i="22"/>
  <c r="S18" i="22"/>
  <c r="R18" i="22"/>
  <c r="AM18" i="22" s="1"/>
  <c r="H18" i="22"/>
  <c r="G18" i="22"/>
  <c r="AR17" i="22"/>
  <c r="AL17" i="22"/>
  <c r="AK17" i="22"/>
  <c r="AG17" i="22"/>
  <c r="AF17" i="22"/>
  <c r="T17" i="22"/>
  <c r="S17" i="22"/>
  <c r="R17" i="22"/>
  <c r="AM17" i="22" s="1"/>
  <c r="H17" i="22"/>
  <c r="G17" i="22"/>
  <c r="AR16" i="22"/>
  <c r="AL16" i="22"/>
  <c r="AK16" i="22"/>
  <c r="AG16" i="22"/>
  <c r="AF16" i="22"/>
  <c r="T16" i="22"/>
  <c r="S16" i="22"/>
  <c r="R16" i="22"/>
  <c r="AM16" i="22" s="1"/>
  <c r="H16" i="22"/>
  <c r="G16" i="22"/>
  <c r="AR15" i="22"/>
  <c r="AL15" i="22"/>
  <c r="AK15" i="22"/>
  <c r="AG15" i="22"/>
  <c r="AF15" i="22"/>
  <c r="T15" i="22"/>
  <c r="S15" i="22"/>
  <c r="R15" i="22"/>
  <c r="AM15" i="22" s="1"/>
  <c r="H15" i="22"/>
  <c r="G15" i="22"/>
  <c r="AR14" i="22"/>
  <c r="AL14" i="22"/>
  <c r="AK14" i="22"/>
  <c r="AG14" i="22"/>
  <c r="AF14" i="22"/>
  <c r="T14" i="22"/>
  <c r="S14" i="22"/>
  <c r="R14" i="22"/>
  <c r="AM14" i="22" s="1"/>
  <c r="H14" i="22"/>
  <c r="G14" i="22"/>
  <c r="AR13" i="22"/>
  <c r="AL13" i="22"/>
  <c r="AK13" i="22"/>
  <c r="AG13" i="22"/>
  <c r="AF13" i="22"/>
  <c r="T13" i="22"/>
  <c r="S13" i="22"/>
  <c r="R13" i="22"/>
  <c r="AM13" i="22" s="1"/>
  <c r="H13" i="22"/>
  <c r="G13" i="22"/>
  <c r="AR12" i="22"/>
  <c r="AL12" i="22"/>
  <c r="AK12" i="22"/>
  <c r="AG12" i="22"/>
  <c r="AF12" i="22"/>
  <c r="T12" i="22"/>
  <c r="S12" i="22"/>
  <c r="R12" i="22"/>
  <c r="AM12" i="22" s="1"/>
  <c r="H12" i="22"/>
  <c r="G12" i="22"/>
  <c r="AR11" i="22"/>
  <c r="AL11" i="22"/>
  <c r="AK11" i="22"/>
  <c r="AG11" i="22"/>
  <c r="AF11" i="22"/>
  <c r="T11" i="22"/>
  <c r="S11" i="22"/>
  <c r="R11" i="22"/>
  <c r="AM11" i="22" s="1"/>
  <c r="H11" i="22"/>
  <c r="G11" i="22"/>
  <c r="AR10" i="22"/>
  <c r="AL10" i="22"/>
  <c r="AK10" i="22"/>
  <c r="AG10" i="22"/>
  <c r="AF10" i="22"/>
  <c r="T10" i="22"/>
  <c r="S10" i="22"/>
  <c r="R10" i="22"/>
  <c r="AM10" i="22" s="1"/>
  <c r="H10" i="22"/>
  <c r="G10" i="22"/>
  <c r="AR9" i="22"/>
  <c r="AL9" i="22"/>
  <c r="AK9" i="22"/>
  <c r="AG9" i="22"/>
  <c r="AF9" i="22"/>
  <c r="T9" i="22"/>
  <c r="S9" i="22"/>
  <c r="R9" i="22"/>
  <c r="AM9" i="22" s="1"/>
  <c r="H9" i="22"/>
  <c r="G9" i="22"/>
  <c r="AR8" i="22"/>
  <c r="AL8" i="22"/>
  <c r="AK8" i="22"/>
  <c r="AG8" i="22"/>
  <c r="AF8" i="22"/>
  <c r="T8" i="22"/>
  <c r="S8" i="22"/>
  <c r="R8" i="22"/>
  <c r="AM8" i="22" s="1"/>
  <c r="H8" i="22"/>
  <c r="G8" i="22"/>
  <c r="AR7" i="22"/>
  <c r="AL7" i="22"/>
  <c r="AK7" i="22"/>
  <c r="AG7" i="22"/>
  <c r="AF7" i="22"/>
  <c r="T7" i="22"/>
  <c r="S7" i="22"/>
  <c r="R7" i="22"/>
  <c r="AM7" i="22" s="1"/>
  <c r="H7" i="22"/>
  <c r="G7" i="22"/>
  <c r="AR6" i="22"/>
  <c r="AL6" i="22"/>
  <c r="AK6" i="22"/>
  <c r="AG6" i="22"/>
  <c r="AF6" i="22"/>
  <c r="T6" i="22"/>
  <c r="S6" i="22"/>
  <c r="R6" i="22"/>
  <c r="AM6" i="22" s="1"/>
  <c r="H6" i="22"/>
  <c r="G6" i="22"/>
  <c r="B6" i="22"/>
  <c r="B8" i="22" s="1"/>
  <c r="AR5" i="22"/>
  <c r="AL5" i="22"/>
  <c r="AK5" i="22"/>
  <c r="AG5" i="22"/>
  <c r="AF5" i="22"/>
  <c r="T5" i="22"/>
  <c r="S5" i="22"/>
  <c r="R5" i="22"/>
  <c r="AM5" i="22" s="1"/>
  <c r="H5" i="22"/>
  <c r="G5" i="22"/>
  <c r="B5" i="22"/>
  <c r="A5" i="22" s="1"/>
  <c r="AR4" i="22"/>
  <c r="AL4" i="22"/>
  <c r="AK4" i="22"/>
  <c r="AG4" i="22"/>
  <c r="AF4" i="22"/>
  <c r="T4" i="22"/>
  <c r="S4" i="22"/>
  <c r="R4" i="22"/>
  <c r="AM4" i="22" s="1"/>
  <c r="H4" i="22"/>
  <c r="G4" i="22"/>
  <c r="A4" i="22"/>
  <c r="AP1" i="22"/>
  <c r="B7" i="26" l="1"/>
  <c r="AO64" i="26"/>
  <c r="AT21" i="27"/>
  <c r="AT35" i="27"/>
  <c r="B7" i="27"/>
  <c r="B9" i="27" s="1"/>
  <c r="AO5" i="26"/>
  <c r="AM66" i="22"/>
  <c r="H5" i="1" s="1"/>
  <c r="A49" i="30"/>
  <c r="B51" i="30"/>
  <c r="A50" i="30"/>
  <c r="B52" i="30"/>
  <c r="B52" i="29"/>
  <c r="A50" i="29"/>
  <c r="A49" i="29"/>
  <c r="B51" i="29"/>
  <c r="B50" i="28"/>
  <c r="A48" i="28"/>
  <c r="A43" i="28"/>
  <c r="B45" i="28"/>
  <c r="AN21" i="26"/>
  <c r="AN34" i="27"/>
  <c r="AN36" i="27"/>
  <c r="AO40" i="27"/>
  <c r="AN41" i="27"/>
  <c r="AN62" i="27"/>
  <c r="AN63" i="27"/>
  <c r="AN65" i="27"/>
  <c r="AO33" i="26"/>
  <c r="AN4" i="26"/>
  <c r="AO4" i="26"/>
  <c r="AN9" i="22"/>
  <c r="AO10" i="22"/>
  <c r="AO45" i="26"/>
  <c r="AT65" i="26"/>
  <c r="AT47" i="26"/>
  <c r="AO59" i="26"/>
  <c r="AO16" i="26"/>
  <c r="AO34" i="27"/>
  <c r="AO33" i="27"/>
  <c r="AO35" i="27"/>
  <c r="AO13" i="27"/>
  <c r="AO38" i="27"/>
  <c r="AO39" i="27"/>
  <c r="AO45" i="27"/>
  <c r="AO47" i="27"/>
  <c r="AO52" i="27"/>
  <c r="AO53" i="27"/>
  <c r="AN10" i="27"/>
  <c r="H11" i="27" s="1"/>
  <c r="AO11" i="27" s="1"/>
  <c r="AO36" i="27"/>
  <c r="AN37" i="27"/>
  <c r="AN38" i="27"/>
  <c r="AN42" i="27"/>
  <c r="AN43" i="27"/>
  <c r="AO62" i="27"/>
  <c r="AN16" i="27"/>
  <c r="H17" i="27" s="1"/>
  <c r="AO17" i="27" s="1"/>
  <c r="AN20" i="27"/>
  <c r="H21" i="27" s="1"/>
  <c r="AO21" i="27" s="1"/>
  <c r="AO37" i="27"/>
  <c r="AO42" i="27"/>
  <c r="AO43" i="27"/>
  <c r="AO29" i="27"/>
  <c r="A6" i="27"/>
  <c r="AO11" i="22"/>
  <c r="AN58" i="22"/>
  <c r="AN59" i="22"/>
  <c r="AN5" i="22"/>
  <c r="AN17" i="22"/>
  <c r="AO21" i="22"/>
  <c r="AN26" i="22"/>
  <c r="B7" i="22"/>
  <c r="A6" i="22"/>
  <c r="AO62" i="26"/>
  <c r="AN64" i="26"/>
  <c r="AO63" i="26"/>
  <c r="AN62" i="26"/>
  <c r="AN63" i="26"/>
  <c r="AO63" i="27"/>
  <c r="AO64" i="27"/>
  <c r="AO65" i="27"/>
  <c r="AN62" i="22"/>
  <c r="AN65" i="22"/>
  <c r="AO62" i="22"/>
  <c r="AO63" i="22"/>
  <c r="AO64" i="22"/>
  <c r="AO65" i="22"/>
  <c r="AN60" i="26"/>
  <c r="AO60" i="26"/>
  <c r="AN61" i="26"/>
  <c r="AO51" i="27"/>
  <c r="AN60" i="27"/>
  <c r="AN61" i="27"/>
  <c r="AO57" i="27"/>
  <c r="AO59" i="22"/>
  <c r="AO60" i="22"/>
  <c r="AO51" i="22"/>
  <c r="AN61" i="22"/>
  <c r="AO58" i="22"/>
  <c r="AO50" i="26"/>
  <c r="AO51" i="26"/>
  <c r="AO58" i="26"/>
  <c r="AN49" i="26"/>
  <c r="AO54" i="26"/>
  <c r="AO55" i="26"/>
  <c r="AO56" i="26"/>
  <c r="AO57" i="26"/>
  <c r="AN58" i="26"/>
  <c r="AN59" i="26"/>
  <c r="AO61" i="27"/>
  <c r="AO58" i="27"/>
  <c r="AO59" i="27"/>
  <c r="AO60" i="27"/>
  <c r="AN56" i="27"/>
  <c r="AN57" i="27"/>
  <c r="AN48" i="27"/>
  <c r="AN58" i="27"/>
  <c r="AO53" i="22"/>
  <c r="AO48" i="26"/>
  <c r="AN48" i="26"/>
  <c r="AN51" i="26"/>
  <c r="AP51" i="26" s="1"/>
  <c r="AN52" i="26"/>
  <c r="AO53" i="26"/>
  <c r="AN54" i="26"/>
  <c r="AN57" i="26"/>
  <c r="AT61" i="26"/>
  <c r="AO49" i="26"/>
  <c r="AN53" i="26"/>
  <c r="AN55" i="27"/>
  <c r="AN50" i="27"/>
  <c r="AO48" i="27"/>
  <c r="AN51" i="27"/>
  <c r="AO54" i="27"/>
  <c r="AO49" i="27"/>
  <c r="AN52" i="27"/>
  <c r="AO55" i="22"/>
  <c r="AN48" i="22"/>
  <c r="AO54" i="22"/>
  <c r="AO49" i="22"/>
  <c r="AN51" i="22"/>
  <c r="AN56" i="22"/>
  <c r="AN57" i="22"/>
  <c r="AO50" i="22"/>
  <c r="AN53" i="22"/>
  <c r="AO56" i="22"/>
  <c r="AO57" i="22"/>
  <c r="AN50" i="22"/>
  <c r="AO47" i="22"/>
  <c r="AN34" i="26"/>
  <c r="AO39" i="26"/>
  <c r="AN39" i="26"/>
  <c r="AO46" i="26"/>
  <c r="AO36" i="26"/>
  <c r="AN41" i="26"/>
  <c r="AN47" i="26"/>
  <c r="AN35" i="26"/>
  <c r="AN37" i="26"/>
  <c r="AO40" i="26"/>
  <c r="AN40" i="26"/>
  <c r="AO41" i="26"/>
  <c r="AN44" i="26"/>
  <c r="AN45" i="26"/>
  <c r="AN46" i="26"/>
  <c r="AO38" i="26"/>
  <c r="AO35" i="26"/>
  <c r="AO44" i="26"/>
  <c r="AN46" i="27"/>
  <c r="AN44" i="27"/>
  <c r="AN45" i="27"/>
  <c r="AO37" i="22"/>
  <c r="AO42" i="22"/>
  <c r="AN46" i="22"/>
  <c r="AN41" i="22"/>
  <c r="AO41" i="22"/>
  <c r="AN42" i="22"/>
  <c r="AN44" i="22"/>
  <c r="AN45" i="22"/>
  <c r="AO43" i="22"/>
  <c r="AO34" i="22"/>
  <c r="AO35" i="22"/>
  <c r="AO38" i="22"/>
  <c r="AO39" i="22"/>
  <c r="AN40" i="22"/>
  <c r="AN35" i="22"/>
  <c r="AN37" i="22"/>
  <c r="AO40" i="22"/>
  <c r="AN34" i="22"/>
  <c r="AO12" i="26"/>
  <c r="AO22" i="26"/>
  <c r="AO17" i="26"/>
  <c r="AO19" i="26"/>
  <c r="AN20" i="26"/>
  <c r="AN7" i="26"/>
  <c r="AN8" i="26"/>
  <c r="AN11" i="26"/>
  <c r="AN12" i="26"/>
  <c r="AN13" i="26"/>
  <c r="AN25" i="26"/>
  <c r="AN29" i="26"/>
  <c r="AO18" i="26"/>
  <c r="AN5" i="26"/>
  <c r="AP5" i="26" s="1"/>
  <c r="AO9" i="26"/>
  <c r="AO10" i="26"/>
  <c r="AO11" i="26"/>
  <c r="AO25" i="26"/>
  <c r="AO6" i="26"/>
  <c r="AO13" i="26"/>
  <c r="AO14" i="26"/>
  <c r="AN15" i="26"/>
  <c r="AO27" i="26"/>
  <c r="AO29" i="26"/>
  <c r="AN30" i="26"/>
  <c r="AN16" i="26"/>
  <c r="AN19" i="26"/>
  <c r="AN22" i="26"/>
  <c r="AN24" i="26"/>
  <c r="AO30" i="26"/>
  <c r="AO31" i="26"/>
  <c r="AN32" i="26"/>
  <c r="AN33" i="26"/>
  <c r="AO8" i="26"/>
  <c r="AO21" i="26"/>
  <c r="AN26" i="26"/>
  <c r="AT49" i="26"/>
  <c r="AT19" i="26"/>
  <c r="AT39" i="26"/>
  <c r="AN6" i="26"/>
  <c r="AN14" i="26"/>
  <c r="AT33" i="26"/>
  <c r="AN38" i="26"/>
  <c r="AT53" i="26"/>
  <c r="AO47" i="26"/>
  <c r="A7" i="26"/>
  <c r="B9" i="26"/>
  <c r="B10" i="26"/>
  <c r="AO15" i="26"/>
  <c r="AN43" i="26"/>
  <c r="AO7" i="26"/>
  <c r="AM66" i="26"/>
  <c r="H27" i="1" s="1"/>
  <c r="A6" i="26"/>
  <c r="AN9" i="26"/>
  <c r="AN10" i="26"/>
  <c r="AN17" i="26"/>
  <c r="AN18" i="26"/>
  <c r="AO20" i="26"/>
  <c r="AO23" i="26"/>
  <c r="AO26" i="26"/>
  <c r="AN27" i="26"/>
  <c r="AN28" i="26"/>
  <c r="AN31" i="26"/>
  <c r="AO32" i="26"/>
  <c r="AO34" i="26"/>
  <c r="AN50" i="26"/>
  <c r="AO52" i="26"/>
  <c r="AO24" i="26"/>
  <c r="AO37" i="26"/>
  <c r="AN42" i="26"/>
  <c r="AO61" i="26"/>
  <c r="AN65" i="26"/>
  <c r="AN23" i="26"/>
  <c r="AO28" i="26"/>
  <c r="AN36" i="26"/>
  <c r="AO42" i="26"/>
  <c r="AO43" i="26"/>
  <c r="AN55" i="26"/>
  <c r="AN56" i="26"/>
  <c r="AO65" i="26"/>
  <c r="AN8" i="27"/>
  <c r="H9" i="27" s="1"/>
  <c r="AO9" i="27" s="1"/>
  <c r="AN24" i="27"/>
  <c r="H25" i="27" s="1"/>
  <c r="AO25" i="27" s="1"/>
  <c r="AN29" i="27"/>
  <c r="AN30" i="27"/>
  <c r="AO28" i="27"/>
  <c r="AN4" i="27"/>
  <c r="H5" i="27" s="1"/>
  <c r="AO5" i="27" s="1"/>
  <c r="AN25" i="27"/>
  <c r="H26" i="27" s="1"/>
  <c r="AO26" i="27" s="1"/>
  <c r="AN12" i="27"/>
  <c r="AO31" i="27"/>
  <c r="AN14" i="27"/>
  <c r="H15" i="27" s="1"/>
  <c r="AO15" i="27" s="1"/>
  <c r="AN22" i="27"/>
  <c r="H23" i="27" s="1"/>
  <c r="AO23" i="27" s="1"/>
  <c r="AN23" i="27"/>
  <c r="H24" i="27" s="1"/>
  <c r="AO24" i="27" s="1"/>
  <c r="AN28" i="27"/>
  <c r="AO32" i="27"/>
  <c r="AN33" i="27"/>
  <c r="AO4" i="27"/>
  <c r="AN7" i="27"/>
  <c r="H8" i="27" s="1"/>
  <c r="AN13" i="27"/>
  <c r="AN26" i="27"/>
  <c r="H27" i="27" s="1"/>
  <c r="AO27" i="27" s="1"/>
  <c r="AO30" i="27"/>
  <c r="AN32" i="27"/>
  <c r="AO14" i="27"/>
  <c r="AN17" i="27"/>
  <c r="H18" i="27" s="1"/>
  <c r="AO18" i="27" s="1"/>
  <c r="AN18" i="27"/>
  <c r="AM66" i="27"/>
  <c r="H23" i="1" s="1"/>
  <c r="AN19" i="27"/>
  <c r="H20" i="27" s="1"/>
  <c r="AO20" i="27" s="1"/>
  <c r="A7" i="27"/>
  <c r="AO12" i="27"/>
  <c r="AN15" i="27"/>
  <c r="H16" i="27" s="1"/>
  <c r="AO16" i="27" s="1"/>
  <c r="A8" i="27"/>
  <c r="B10" i="27"/>
  <c r="AN5" i="27"/>
  <c r="H6" i="27" s="1"/>
  <c r="AO6" i="27" s="1"/>
  <c r="AN6" i="27"/>
  <c r="H7" i="27" s="1"/>
  <c r="AO7" i="27" s="1"/>
  <c r="AO8" i="27"/>
  <c r="AN9" i="27"/>
  <c r="H10" i="27" s="1"/>
  <c r="AO10" i="27" s="1"/>
  <c r="AN11" i="27"/>
  <c r="AO56" i="27"/>
  <c r="AN59" i="27"/>
  <c r="AN64" i="27"/>
  <c r="AN21" i="27"/>
  <c r="H22" i="27" s="1"/>
  <c r="AO22" i="27" s="1"/>
  <c r="AN27" i="27"/>
  <c r="AN39" i="27"/>
  <c r="AT53" i="27"/>
  <c r="AO41" i="27"/>
  <c r="AT41" i="27"/>
  <c r="AN40" i="27"/>
  <c r="AO50" i="27"/>
  <c r="AN53" i="27"/>
  <c r="AO55" i="27"/>
  <c r="AT39" i="27"/>
  <c r="AN31" i="27"/>
  <c r="AN35" i="27"/>
  <c r="AT55" i="27"/>
  <c r="AO44" i="27"/>
  <c r="AO46" i="27"/>
  <c r="AN47" i="27"/>
  <c r="AT61" i="27"/>
  <c r="AN49" i="27"/>
  <c r="AN54" i="27"/>
  <c r="AN30" i="22"/>
  <c r="AO13" i="22"/>
  <c r="AO9" i="22"/>
  <c r="AN12" i="22"/>
  <c r="AO7" i="22"/>
  <c r="AN8" i="22"/>
  <c r="AO18" i="22"/>
  <c r="AO19" i="22"/>
  <c r="AO8" i="22"/>
  <c r="AO25" i="22"/>
  <c r="AO5" i="22"/>
  <c r="AO31" i="22"/>
  <c r="AN4" i="22"/>
  <c r="AO6" i="22"/>
  <c r="AN10" i="22"/>
  <c r="AN13" i="22"/>
  <c r="AN16" i="22"/>
  <c r="AN28" i="22"/>
  <c r="AN29" i="22"/>
  <c r="AO33" i="22"/>
  <c r="AO4" i="22"/>
  <c r="AO14" i="22"/>
  <c r="AO15" i="22"/>
  <c r="AO16" i="22"/>
  <c r="AO22" i="22"/>
  <c r="AO23" i="22"/>
  <c r="AN24" i="22"/>
  <c r="AN19" i="22"/>
  <c r="AN21" i="22"/>
  <c r="AO24" i="22"/>
  <c r="AN25" i="22"/>
  <c r="AN32" i="22"/>
  <c r="AO27" i="22"/>
  <c r="AO17" i="22"/>
  <c r="AN18" i="22"/>
  <c r="AP18" i="22" s="1"/>
  <c r="AO26" i="22"/>
  <c r="AN11" i="22"/>
  <c r="A8" i="22"/>
  <c r="B10" i="22"/>
  <c r="AO12" i="22"/>
  <c r="AN20" i="22"/>
  <c r="AN23" i="22"/>
  <c r="AO28" i="22"/>
  <c r="AN36" i="22"/>
  <c r="AN39" i="22"/>
  <c r="AO44" i="22"/>
  <c r="AN52" i="22"/>
  <c r="AN55" i="22"/>
  <c r="AO29" i="22"/>
  <c r="AO45" i="22"/>
  <c r="AN60" i="22"/>
  <c r="AN6" i="22"/>
  <c r="AN7" i="22"/>
  <c r="AN14" i="22"/>
  <c r="AN15" i="22"/>
  <c r="AN22" i="22"/>
  <c r="AO30" i="22"/>
  <c r="AN33" i="22"/>
  <c r="AN38" i="22"/>
  <c r="AO46" i="22"/>
  <c r="AN49" i="22"/>
  <c r="AN54" i="22"/>
  <c r="AN27" i="22"/>
  <c r="AO32" i="22"/>
  <c r="AN43" i="22"/>
  <c r="AO48" i="22"/>
  <c r="AO61" i="22"/>
  <c r="AO20" i="22"/>
  <c r="AN31" i="22"/>
  <c r="AO36" i="22"/>
  <c r="AN47" i="22"/>
  <c r="AO52" i="22"/>
  <c r="AN63" i="22"/>
  <c r="AN64" i="22"/>
  <c r="AP55" i="26" l="1"/>
  <c r="AP4" i="22"/>
  <c r="AP34" i="22"/>
  <c r="AP64" i="22"/>
  <c r="AP62" i="27"/>
  <c r="AP65" i="27"/>
  <c r="AU35" i="27"/>
  <c r="AU21" i="27"/>
  <c r="AV35" i="27"/>
  <c r="AP19" i="22"/>
  <c r="AP21" i="26"/>
  <c r="AP35" i="22"/>
  <c r="AP63" i="22"/>
  <c r="AP60" i="22"/>
  <c r="AP63" i="27"/>
  <c r="AP47" i="27"/>
  <c r="AO66" i="22"/>
  <c r="J5" i="1" s="1"/>
  <c r="AN66" i="22"/>
  <c r="I5" i="1" s="1"/>
  <c r="AP37" i="27"/>
  <c r="A51" i="30"/>
  <c r="B53" i="30"/>
  <c r="B54" i="30"/>
  <c r="A52" i="30"/>
  <c r="A51" i="29"/>
  <c r="B53" i="29"/>
  <c r="A52" i="29"/>
  <c r="B54" i="29"/>
  <c r="A45" i="28"/>
  <c r="B47" i="28"/>
  <c r="B52" i="28"/>
  <c r="A50" i="28"/>
  <c r="AP16" i="26"/>
  <c r="AP9" i="22"/>
  <c r="AP4" i="26"/>
  <c r="AP36" i="27"/>
  <c r="AP26" i="22"/>
  <c r="AP50" i="26"/>
  <c r="AP42" i="22"/>
  <c r="AP45" i="26"/>
  <c r="AP45" i="27"/>
  <c r="AP54" i="27"/>
  <c r="AP53" i="27"/>
  <c r="AP38" i="27"/>
  <c r="AP34" i="27"/>
  <c r="AP10" i="22"/>
  <c r="AP29" i="27"/>
  <c r="AP39" i="27"/>
  <c r="AP30" i="27"/>
  <c r="AP35" i="27"/>
  <c r="AP22" i="26"/>
  <c r="AP22" i="27"/>
  <c r="AP18" i="27"/>
  <c r="H19" i="27"/>
  <c r="AO19" i="27" s="1"/>
  <c r="AV21" i="27" s="1"/>
  <c r="AP21" i="22"/>
  <c r="AP11" i="27"/>
  <c r="AP5" i="27"/>
  <c r="AP6" i="27"/>
  <c r="AP8" i="27"/>
  <c r="AP10" i="27"/>
  <c r="AP25" i="26"/>
  <c r="AP40" i="26"/>
  <c r="AP57" i="26"/>
  <c r="AP8" i="26"/>
  <c r="AU47" i="26"/>
  <c r="AP63" i="26"/>
  <c r="AV65" i="26"/>
  <c r="AV47" i="26"/>
  <c r="AP27" i="26"/>
  <c r="AP9" i="26"/>
  <c r="AP19" i="26"/>
  <c r="AP64" i="26"/>
  <c r="AP12" i="26"/>
  <c r="AP33" i="26"/>
  <c r="AP29" i="26"/>
  <c r="AP11" i="26"/>
  <c r="AP59" i="26"/>
  <c r="AU65" i="26"/>
  <c r="AP31" i="27"/>
  <c r="AP17" i="27"/>
  <c r="AP20" i="27"/>
  <c r="AP42" i="27"/>
  <c r="AP52" i="27"/>
  <c r="AP28" i="27"/>
  <c r="AP9" i="27"/>
  <c r="AP14" i="27"/>
  <c r="AP43" i="27"/>
  <c r="AP64" i="27"/>
  <c r="AP16" i="27"/>
  <c r="AP25" i="27"/>
  <c r="AP24" i="27"/>
  <c r="AP51" i="27"/>
  <c r="AP12" i="27"/>
  <c r="AP56" i="22"/>
  <c r="AP65" i="22"/>
  <c r="AP59" i="22"/>
  <c r="AP58" i="22"/>
  <c r="AP13" i="22"/>
  <c r="AP30" i="22"/>
  <c r="AP6" i="22"/>
  <c r="AP5" i="22"/>
  <c r="AP62" i="22"/>
  <c r="AP17" i="22"/>
  <c r="B9" i="22"/>
  <c r="A7" i="22"/>
  <c r="AP62" i="26"/>
  <c r="AP58" i="26"/>
  <c r="AP60" i="26"/>
  <c r="AP49" i="26"/>
  <c r="AP61" i="26"/>
  <c r="AP56" i="27"/>
  <c r="AP61" i="27"/>
  <c r="AP57" i="27"/>
  <c r="AP60" i="27"/>
  <c r="AP59" i="27"/>
  <c r="AP51" i="22"/>
  <c r="AP61" i="22"/>
  <c r="AP48" i="22"/>
  <c r="AP58" i="27"/>
  <c r="AP56" i="26"/>
  <c r="AP48" i="26"/>
  <c r="AV61" i="26"/>
  <c r="AP53" i="26"/>
  <c r="AP49" i="27"/>
  <c r="AP55" i="27"/>
  <c r="AP48" i="27"/>
  <c r="AP50" i="22"/>
  <c r="AP55" i="22"/>
  <c r="AP54" i="26"/>
  <c r="AP52" i="26"/>
  <c r="AU61" i="27"/>
  <c r="AP46" i="22"/>
  <c r="AP54" i="22"/>
  <c r="AP53" i="22"/>
  <c r="AP49" i="22"/>
  <c r="AP57" i="22"/>
  <c r="AP43" i="22"/>
  <c r="AP37" i="22"/>
  <c r="AP41" i="22"/>
  <c r="AP44" i="27"/>
  <c r="AP38" i="26"/>
  <c r="AP41" i="26"/>
  <c r="AP46" i="26"/>
  <c r="AP39" i="26"/>
  <c r="AP47" i="26"/>
  <c r="AP42" i="26"/>
  <c r="AV53" i="26"/>
  <c r="AP43" i="26"/>
  <c r="AP35" i="26"/>
  <c r="AP44" i="26"/>
  <c r="AP34" i="26"/>
  <c r="AV55" i="27"/>
  <c r="AP45" i="22"/>
  <c r="AP44" i="22"/>
  <c r="AP38" i="22"/>
  <c r="AP39" i="22"/>
  <c r="AP40" i="22"/>
  <c r="AP36" i="22"/>
  <c r="AP32" i="26"/>
  <c r="AP15" i="26"/>
  <c r="AP13" i="26"/>
  <c r="AP31" i="26"/>
  <c r="AP17" i="26"/>
  <c r="AP24" i="26"/>
  <c r="AP14" i="26"/>
  <c r="AP30" i="26"/>
  <c r="AV19" i="26"/>
  <c r="AP23" i="26"/>
  <c r="AP7" i="26"/>
  <c r="AU53" i="26"/>
  <c r="AV33" i="26"/>
  <c r="AO66" i="26"/>
  <c r="J27" i="1" s="1"/>
  <c r="AU19" i="26"/>
  <c r="AP6" i="26"/>
  <c r="AV49" i="26"/>
  <c r="AP37" i="26"/>
  <c r="AU61" i="26"/>
  <c r="AP65" i="26"/>
  <c r="AP28" i="26"/>
  <c r="AP18" i="26"/>
  <c r="AU33" i="26"/>
  <c r="AU39" i="26"/>
  <c r="AP10" i="26"/>
  <c r="AV39" i="26"/>
  <c r="AP26" i="26"/>
  <c r="AU49" i="26"/>
  <c r="AP36" i="26"/>
  <c r="AN66" i="26"/>
  <c r="I27" i="1" s="1"/>
  <c r="B12" i="26"/>
  <c r="A10" i="26"/>
  <c r="B11" i="26"/>
  <c r="A9" i="26"/>
  <c r="AP20" i="26"/>
  <c r="AP4" i="27"/>
  <c r="AV41" i="27"/>
  <c r="AV39" i="27"/>
  <c r="AP26" i="27"/>
  <c r="AP21" i="27"/>
  <c r="AP33" i="27"/>
  <c r="AP15" i="27"/>
  <c r="AP32" i="27"/>
  <c r="AP13" i="27"/>
  <c r="AP7" i="27"/>
  <c r="AP23" i="27"/>
  <c r="AP27" i="27"/>
  <c r="AU39" i="27"/>
  <c r="AP41" i="27"/>
  <c r="AN66" i="27"/>
  <c r="I23" i="1" s="1"/>
  <c r="AP46" i="27"/>
  <c r="AU55" i="27"/>
  <c r="AU41" i="27"/>
  <c r="AP40" i="27"/>
  <c r="AU53" i="27"/>
  <c r="AP50" i="27"/>
  <c r="A9" i="27"/>
  <c r="B11" i="27"/>
  <c r="AV53" i="27"/>
  <c r="AV61" i="27"/>
  <c r="B12" i="27"/>
  <c r="A10" i="27"/>
  <c r="AP23" i="22"/>
  <c r="AP12" i="22"/>
  <c r="AP8" i="22"/>
  <c r="AP14" i="22"/>
  <c r="AP16" i="22"/>
  <c r="AP27" i="22"/>
  <c r="AP22" i="22"/>
  <c r="AP28" i="22"/>
  <c r="AP25" i="22"/>
  <c r="AP29" i="22"/>
  <c r="AP24" i="22"/>
  <c r="AP33" i="22"/>
  <c r="AP31" i="22"/>
  <c r="B12" i="22"/>
  <c r="A10" i="22"/>
  <c r="AP47" i="22"/>
  <c r="AP7" i="22"/>
  <c r="AP52" i="22"/>
  <c r="AP20" i="22"/>
  <c r="AP11" i="22"/>
  <c r="AP32" i="22"/>
  <c r="AP15" i="22"/>
  <c r="M5" i="1" l="1"/>
  <c r="N5" i="1" s="1"/>
  <c r="AP66" i="22"/>
  <c r="A54" i="30"/>
  <c r="B56" i="30"/>
  <c r="A53" i="30"/>
  <c r="B55" i="30"/>
  <c r="B56" i="29"/>
  <c r="A54" i="29"/>
  <c r="A53" i="29"/>
  <c r="B55" i="29"/>
  <c r="B54" i="28"/>
  <c r="A52" i="28"/>
  <c r="A47" i="28"/>
  <c r="B49" i="28"/>
  <c r="AO66" i="27"/>
  <c r="J23" i="1" s="1"/>
  <c r="M23" i="1" s="1"/>
  <c r="N23" i="1" s="1"/>
  <c r="AP19" i="27"/>
  <c r="A9" i="22"/>
  <c r="B11" i="22"/>
  <c r="M27" i="1"/>
  <c r="N27" i="1" s="1"/>
  <c r="A11" i="26"/>
  <c r="B13" i="26"/>
  <c r="A12" i="26"/>
  <c r="B14" i="26"/>
  <c r="A11" i="27"/>
  <c r="B13" i="27"/>
  <c r="A12" i="27"/>
  <c r="B14" i="27"/>
  <c r="A12" i="22"/>
  <c r="B14" i="22"/>
  <c r="A55" i="30" l="1"/>
  <c r="B57" i="30"/>
  <c r="B58" i="30"/>
  <c r="A56" i="30"/>
  <c r="A55" i="29"/>
  <c r="B57" i="29"/>
  <c r="A56" i="29"/>
  <c r="B58" i="29"/>
  <c r="A49" i="28"/>
  <c r="B51" i="28"/>
  <c r="B56" i="28"/>
  <c r="A54" i="28"/>
  <c r="B13" i="22"/>
  <c r="A11" i="22"/>
  <c r="A13" i="26"/>
  <c r="B15" i="26"/>
  <c r="B16" i="26"/>
  <c r="A14" i="26"/>
  <c r="B16" i="27"/>
  <c r="A14" i="27"/>
  <c r="A13" i="27"/>
  <c r="B15" i="27"/>
  <c r="B16" i="22"/>
  <c r="A14" i="22"/>
  <c r="A58" i="30" l="1"/>
  <c r="B60" i="30"/>
  <c r="A57" i="30"/>
  <c r="B59" i="30"/>
  <c r="B60" i="29"/>
  <c r="A58" i="29"/>
  <c r="A57" i="29"/>
  <c r="B59" i="29"/>
  <c r="B58" i="28"/>
  <c r="A56" i="28"/>
  <c r="A51" i="28"/>
  <c r="B53" i="28"/>
  <c r="A13" i="22"/>
  <c r="B15" i="22"/>
  <c r="A16" i="26"/>
  <c r="B18" i="26"/>
  <c r="A15" i="26"/>
  <c r="B17" i="26"/>
  <c r="A15" i="27"/>
  <c r="B17" i="27"/>
  <c r="A16" i="27"/>
  <c r="B18" i="27"/>
  <c r="A16" i="22"/>
  <c r="B18" i="22"/>
  <c r="B62" i="30" l="1"/>
  <c r="A60" i="30"/>
  <c r="A59" i="30"/>
  <c r="B61" i="30"/>
  <c r="A59" i="29"/>
  <c r="B61" i="29"/>
  <c r="A60" i="29"/>
  <c r="B62" i="29"/>
  <c r="A53" i="28"/>
  <c r="B55" i="28"/>
  <c r="B60" i="28"/>
  <c r="A58" i="28"/>
  <c r="B17" i="22"/>
  <c r="A15" i="22"/>
  <c r="B20" i="26"/>
  <c r="A18" i="26"/>
  <c r="B19" i="26"/>
  <c r="A17" i="26"/>
  <c r="B20" i="27"/>
  <c r="A18" i="27"/>
  <c r="A17" i="27"/>
  <c r="B19" i="27"/>
  <c r="B20" i="22"/>
  <c r="A18" i="22"/>
  <c r="A62" i="30" l="1"/>
  <c r="B64" i="30"/>
  <c r="A64" i="30" s="1"/>
  <c r="A61" i="30"/>
  <c r="B63" i="30"/>
  <c r="A61" i="29"/>
  <c r="B63" i="29"/>
  <c r="B64" i="29"/>
  <c r="A64" i="29" s="1"/>
  <c r="A62" i="29"/>
  <c r="B62" i="28"/>
  <c r="A60" i="28"/>
  <c r="A55" i="28"/>
  <c r="B57" i="28"/>
  <c r="B19" i="22"/>
  <c r="A17" i="22"/>
  <c r="B21" i="26"/>
  <c r="A19" i="26"/>
  <c r="B22" i="26"/>
  <c r="A20" i="26"/>
  <c r="B22" i="27"/>
  <c r="A20" i="27"/>
  <c r="A19" i="27"/>
  <c r="B21" i="27"/>
  <c r="B22" i="22"/>
  <c r="A20" i="22"/>
  <c r="A63" i="30" l="1"/>
  <c r="B65" i="30"/>
  <c r="A65" i="30" s="1"/>
  <c r="A63" i="29"/>
  <c r="B65" i="29"/>
  <c r="A65" i="29" s="1"/>
  <c r="B64" i="28"/>
  <c r="A64" i="28" s="1"/>
  <c r="A62" i="28"/>
  <c r="A57" i="28"/>
  <c r="B59" i="28"/>
  <c r="B21" i="22"/>
  <c r="A19" i="22"/>
  <c r="A22" i="26"/>
  <c r="B24" i="26"/>
  <c r="B23" i="26"/>
  <c r="A21" i="26"/>
  <c r="B23" i="27"/>
  <c r="A21" i="27"/>
  <c r="B24" i="27"/>
  <c r="A22" i="27"/>
  <c r="A22" i="22"/>
  <c r="B24" i="22"/>
  <c r="M34" i="1"/>
  <c r="M35" i="1"/>
  <c r="M36" i="1"/>
  <c r="M37" i="1"/>
  <c r="M38" i="1"/>
  <c r="M39" i="1"/>
  <c r="M40" i="1"/>
  <c r="M41" i="1"/>
  <c r="M42" i="1"/>
  <c r="A59" i="28" l="1"/>
  <c r="B61" i="28"/>
  <c r="A21" i="22"/>
  <c r="B23" i="22"/>
  <c r="B25" i="26"/>
  <c r="A23" i="26"/>
  <c r="B26" i="26"/>
  <c r="A24" i="26"/>
  <c r="B26" i="27"/>
  <c r="A24" i="27"/>
  <c r="A23" i="27"/>
  <c r="B25" i="27"/>
  <c r="B26" i="22"/>
  <c r="A24" i="22"/>
  <c r="A61" i="28" l="1"/>
  <c r="B63" i="28"/>
  <c r="B25" i="22"/>
  <c r="A23" i="22"/>
  <c r="A26" i="26"/>
  <c r="B28" i="26"/>
  <c r="A25" i="26"/>
  <c r="B27" i="26"/>
  <c r="B28" i="27"/>
  <c r="A26" i="27"/>
  <c r="A25" i="27"/>
  <c r="B27" i="27"/>
  <c r="B28" i="22"/>
  <c r="A26" i="22"/>
  <c r="AB34" i="14"/>
  <c r="A63" i="28" l="1"/>
  <c r="B65" i="28"/>
  <c r="A65" i="28" s="1"/>
  <c r="A25" i="22"/>
  <c r="B27" i="22"/>
  <c r="B30" i="26"/>
  <c r="A28" i="26"/>
  <c r="B29" i="26"/>
  <c r="A27" i="26"/>
  <c r="A27" i="27"/>
  <c r="B29" i="27"/>
  <c r="A28" i="27"/>
  <c r="B30" i="27"/>
  <c r="B30" i="22"/>
  <c r="A28" i="22"/>
  <c r="R26" i="12"/>
  <c r="S26" i="12"/>
  <c r="T26" i="12"/>
  <c r="R27" i="12"/>
  <c r="S27" i="12"/>
  <c r="T27" i="12"/>
  <c r="R28" i="12"/>
  <c r="S28" i="12"/>
  <c r="T28" i="12"/>
  <c r="R29" i="12"/>
  <c r="S29" i="12"/>
  <c r="T29" i="12"/>
  <c r="R30" i="12"/>
  <c r="S30" i="12"/>
  <c r="T30" i="12"/>
  <c r="R31" i="12"/>
  <c r="S31" i="12"/>
  <c r="T31" i="12"/>
  <c r="R32" i="12"/>
  <c r="S32" i="12"/>
  <c r="T32" i="12"/>
  <c r="R33" i="12"/>
  <c r="S33" i="12"/>
  <c r="T33" i="12"/>
  <c r="R34" i="12"/>
  <c r="S34" i="12"/>
  <c r="T34" i="12"/>
  <c r="R35" i="12"/>
  <c r="S35" i="12"/>
  <c r="T35" i="12"/>
  <c r="B29" i="22" l="1"/>
  <c r="A27" i="22"/>
  <c r="A29" i="26"/>
  <c r="B31" i="26"/>
  <c r="A30" i="26"/>
  <c r="B32" i="26"/>
  <c r="B32" i="27"/>
  <c r="A30" i="27"/>
  <c r="A29" i="27"/>
  <c r="B31" i="27"/>
  <c r="B32" i="22"/>
  <c r="A30" i="22"/>
  <c r="AQ1" i="17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29" i="22" l="1"/>
  <c r="B31" i="22"/>
  <c r="B34" i="26"/>
  <c r="A32" i="26"/>
  <c r="B33" i="26"/>
  <c r="A31" i="26"/>
  <c r="A31" i="27"/>
  <c r="B33" i="27"/>
  <c r="A32" i="27"/>
  <c r="B34" i="27"/>
  <c r="B34" i="22"/>
  <c r="A32" i="22"/>
  <c r="B33" i="22" l="1"/>
  <c r="A31" i="22"/>
  <c r="B35" i="26"/>
  <c r="A33" i="26"/>
  <c r="A34" i="26"/>
  <c r="B36" i="26"/>
  <c r="B36" i="27"/>
  <c r="A34" i="27"/>
  <c r="A33" i="27"/>
  <c r="B35" i="27"/>
  <c r="A34" i="22"/>
  <c r="B36" i="22"/>
  <c r="B35" i="22" l="1"/>
  <c r="A33" i="22"/>
  <c r="A36" i="26"/>
  <c r="B38" i="26"/>
  <c r="A35" i="26"/>
  <c r="B37" i="26"/>
  <c r="A35" i="27"/>
  <c r="B37" i="27"/>
  <c r="A36" i="27"/>
  <c r="B38" i="27"/>
  <c r="B38" i="22"/>
  <c r="A36" i="22"/>
  <c r="AK44" i="18"/>
  <c r="AL44" i="18"/>
  <c r="AK45" i="18"/>
  <c r="AL45" i="18"/>
  <c r="AK46" i="18"/>
  <c r="AL46" i="18"/>
  <c r="AK47" i="18"/>
  <c r="AL47" i="18"/>
  <c r="AK48" i="18"/>
  <c r="AL48" i="18"/>
  <c r="AK49" i="18"/>
  <c r="AL49" i="18"/>
  <c r="AK50" i="18"/>
  <c r="AL50" i="18"/>
  <c r="AK51" i="18"/>
  <c r="AL51" i="18"/>
  <c r="B37" i="22" l="1"/>
  <c r="A35" i="22"/>
  <c r="B39" i="26"/>
  <c r="A37" i="26"/>
  <c r="B40" i="26"/>
  <c r="A38" i="26"/>
  <c r="A38" i="27"/>
  <c r="B40" i="27"/>
  <c r="A37" i="27"/>
  <c r="B39" i="27"/>
  <c r="A38" i="22"/>
  <c r="B40" i="22"/>
  <c r="A37" i="22" l="1"/>
  <c r="B39" i="22"/>
  <c r="A40" i="26"/>
  <c r="B42" i="26"/>
  <c r="B41" i="26"/>
  <c r="A39" i="26"/>
  <c r="B41" i="27"/>
  <c r="A39" i="27"/>
  <c r="B42" i="27"/>
  <c r="A40" i="27"/>
  <c r="B42" i="22"/>
  <c r="A40" i="22"/>
  <c r="AS29" i="8"/>
  <c r="B41" i="22" l="1"/>
  <c r="A39" i="22"/>
  <c r="A41" i="26"/>
  <c r="B43" i="26"/>
  <c r="B44" i="26"/>
  <c r="A42" i="26"/>
  <c r="A42" i="27"/>
  <c r="B44" i="27"/>
  <c r="B43" i="27"/>
  <c r="A41" i="27"/>
  <c r="B44" i="22"/>
  <c r="A42" i="22"/>
  <c r="AG16" i="5"/>
  <c r="AG17" i="5"/>
  <c r="AG18" i="5"/>
  <c r="AG19" i="5"/>
  <c r="AG20" i="5"/>
  <c r="AG21" i="5"/>
  <c r="AG22" i="5"/>
  <c r="AG23" i="5"/>
  <c r="AG24" i="5"/>
  <c r="AG25" i="5"/>
  <c r="A41" i="22" l="1"/>
  <c r="B43" i="22"/>
  <c r="A44" i="26"/>
  <c r="B46" i="26"/>
  <c r="A43" i="26"/>
  <c r="B45" i="26"/>
  <c r="A43" i="27"/>
  <c r="B45" i="27"/>
  <c r="B46" i="27"/>
  <c r="A44" i="27"/>
  <c r="B46" i="22"/>
  <c r="A44" i="22"/>
  <c r="M47" i="1"/>
  <c r="M48" i="1"/>
  <c r="M50" i="1"/>
  <c r="M51" i="1"/>
  <c r="M52" i="1"/>
  <c r="M54" i="1"/>
  <c r="M55" i="1"/>
  <c r="M56" i="1"/>
  <c r="M58" i="1"/>
  <c r="M59" i="1"/>
  <c r="M46" i="1"/>
  <c r="B45" i="22" l="1"/>
  <c r="A43" i="22"/>
  <c r="B47" i="26"/>
  <c r="A45" i="26"/>
  <c r="B48" i="26"/>
  <c r="A46" i="26"/>
  <c r="A46" i="27"/>
  <c r="B48" i="27"/>
  <c r="A45" i="27"/>
  <c r="B47" i="27"/>
  <c r="B48" i="22"/>
  <c r="A46" i="22"/>
  <c r="K18" i="1"/>
  <c r="A45" i="22" l="1"/>
  <c r="B47" i="22"/>
  <c r="B50" i="26"/>
  <c r="A48" i="26"/>
  <c r="A47" i="26"/>
  <c r="B49" i="26"/>
  <c r="B50" i="27"/>
  <c r="A48" i="27"/>
  <c r="A47" i="27"/>
  <c r="B49" i="27"/>
  <c r="B50" i="22"/>
  <c r="A48" i="22"/>
  <c r="G4" i="12"/>
  <c r="G5" i="12"/>
  <c r="G6" i="12"/>
  <c r="G7" i="12"/>
  <c r="B49" i="22" l="1"/>
  <c r="A47" i="22"/>
  <c r="B51" i="26"/>
  <c r="A49" i="26"/>
  <c r="B52" i="26"/>
  <c r="A50" i="26"/>
  <c r="A49" i="27"/>
  <c r="B51" i="27"/>
  <c r="A50" i="27"/>
  <c r="B52" i="27"/>
  <c r="A50" i="22"/>
  <c r="B52" i="22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AF5" i="3"/>
  <c r="AG5" i="3"/>
  <c r="AF6" i="3"/>
  <c r="AG6" i="3"/>
  <c r="AF7" i="3"/>
  <c r="AG7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20" i="3"/>
  <c r="AG20" i="3"/>
  <c r="AF21" i="3"/>
  <c r="AG21" i="3"/>
  <c r="AF22" i="3"/>
  <c r="AG22" i="3"/>
  <c r="AF23" i="3"/>
  <c r="AG23" i="3"/>
  <c r="AF24" i="3"/>
  <c r="AG24" i="3"/>
  <c r="AF25" i="3"/>
  <c r="AG25" i="3"/>
  <c r="AF26" i="3"/>
  <c r="AG26" i="3"/>
  <c r="AF27" i="3"/>
  <c r="AG27" i="3"/>
  <c r="AF28" i="3"/>
  <c r="AG28" i="3"/>
  <c r="AF29" i="3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F45" i="3"/>
  <c r="AG45" i="3"/>
  <c r="AF46" i="3"/>
  <c r="AG46" i="3"/>
  <c r="AF47" i="3"/>
  <c r="AG47" i="3"/>
  <c r="AF48" i="3"/>
  <c r="AG48" i="3"/>
  <c r="AF49" i="3"/>
  <c r="AG49" i="3"/>
  <c r="AF50" i="3"/>
  <c r="AG50" i="3"/>
  <c r="AF51" i="3"/>
  <c r="AG51" i="3"/>
  <c r="AF52" i="3"/>
  <c r="AG52" i="3"/>
  <c r="AF53" i="3"/>
  <c r="AG53" i="3"/>
  <c r="AF54" i="3"/>
  <c r="AG54" i="3"/>
  <c r="AF55" i="3"/>
  <c r="AG55" i="3"/>
  <c r="AF56" i="3"/>
  <c r="AG56" i="3"/>
  <c r="AF57" i="3"/>
  <c r="AG57" i="3"/>
  <c r="AF58" i="3"/>
  <c r="AG58" i="3"/>
  <c r="AF59" i="3"/>
  <c r="AG59" i="3"/>
  <c r="AF60" i="3"/>
  <c r="AG60" i="3"/>
  <c r="AF61" i="3"/>
  <c r="AG61" i="3"/>
  <c r="AF62" i="3"/>
  <c r="AG62" i="3"/>
  <c r="AF63" i="3"/>
  <c r="AG63" i="3"/>
  <c r="AF64" i="3"/>
  <c r="AG64" i="3"/>
  <c r="AF65" i="3"/>
  <c r="AG65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R46" i="3"/>
  <c r="S46" i="3"/>
  <c r="T46" i="3"/>
  <c r="R47" i="3"/>
  <c r="S47" i="3"/>
  <c r="T47" i="3"/>
  <c r="R48" i="3"/>
  <c r="S48" i="3"/>
  <c r="T48" i="3"/>
  <c r="R49" i="3"/>
  <c r="S49" i="3"/>
  <c r="T49" i="3"/>
  <c r="R50" i="3"/>
  <c r="S50" i="3"/>
  <c r="T50" i="3"/>
  <c r="R51" i="3"/>
  <c r="S51" i="3"/>
  <c r="T51" i="3"/>
  <c r="R52" i="3"/>
  <c r="S52" i="3"/>
  <c r="T52" i="3"/>
  <c r="R53" i="3"/>
  <c r="S53" i="3"/>
  <c r="T53" i="3"/>
  <c r="R54" i="3"/>
  <c r="S54" i="3"/>
  <c r="T54" i="3"/>
  <c r="R55" i="3"/>
  <c r="S55" i="3"/>
  <c r="T55" i="3"/>
  <c r="R56" i="3"/>
  <c r="S56" i="3"/>
  <c r="T56" i="3"/>
  <c r="R57" i="3"/>
  <c r="S57" i="3"/>
  <c r="T57" i="3"/>
  <c r="R58" i="3"/>
  <c r="S58" i="3"/>
  <c r="T58" i="3"/>
  <c r="R59" i="3"/>
  <c r="S59" i="3"/>
  <c r="T5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5" i="3"/>
  <c r="S65" i="3"/>
  <c r="T65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A49" i="22" l="1"/>
  <c r="B51" i="22"/>
  <c r="B54" i="26"/>
  <c r="A52" i="26"/>
  <c r="B53" i="26"/>
  <c r="A51" i="26"/>
  <c r="A52" i="27"/>
  <c r="B54" i="27"/>
  <c r="A51" i="27"/>
  <c r="B53" i="27"/>
  <c r="B54" i="22"/>
  <c r="A52" i="22"/>
  <c r="G43" i="1"/>
  <c r="H43" i="1"/>
  <c r="I43" i="1"/>
  <c r="J43" i="1"/>
  <c r="B53" i="22" l="1"/>
  <c r="A51" i="22"/>
  <c r="B55" i="26"/>
  <c r="A53" i="26"/>
  <c r="A54" i="26"/>
  <c r="B56" i="26"/>
  <c r="B55" i="27"/>
  <c r="A53" i="27"/>
  <c r="B56" i="27"/>
  <c r="A54" i="27"/>
  <c r="A54" i="22"/>
  <c r="B56" i="22"/>
  <c r="AS49" i="8"/>
  <c r="A53" i="22" l="1"/>
  <c r="B55" i="22"/>
  <c r="B58" i="26"/>
  <c r="A56" i="26"/>
  <c r="B57" i="26"/>
  <c r="A55" i="26"/>
  <c r="A56" i="27"/>
  <c r="B58" i="27"/>
  <c r="B57" i="27"/>
  <c r="A55" i="27"/>
  <c r="B58" i="22"/>
  <c r="A56" i="22"/>
  <c r="B57" i="22" l="1"/>
  <c r="A55" i="22"/>
  <c r="A57" i="26"/>
  <c r="B59" i="26"/>
  <c r="A58" i="26"/>
  <c r="B60" i="26"/>
  <c r="A57" i="27"/>
  <c r="B59" i="27"/>
  <c r="B60" i="27"/>
  <c r="A58" i="27"/>
  <c r="B60" i="22"/>
  <c r="A58" i="22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A57" i="22" l="1"/>
  <c r="B59" i="22"/>
  <c r="B62" i="26"/>
  <c r="A60" i="26"/>
  <c r="B61" i="26"/>
  <c r="A59" i="26"/>
  <c r="B62" i="27"/>
  <c r="A60" i="27"/>
  <c r="A59" i="27"/>
  <c r="B61" i="27"/>
  <c r="B62" i="22"/>
  <c r="A60" i="22"/>
  <c r="AA4" i="21"/>
  <c r="AB4" i="21"/>
  <c r="AA5" i="21"/>
  <c r="AB5" i="21"/>
  <c r="AA6" i="21"/>
  <c r="AB6" i="21"/>
  <c r="AA7" i="21"/>
  <c r="AB7" i="21"/>
  <c r="AA8" i="21"/>
  <c r="AB8" i="21"/>
  <c r="AA9" i="21"/>
  <c r="AB9" i="21"/>
  <c r="AA10" i="21"/>
  <c r="AB10" i="21"/>
  <c r="AA11" i="21"/>
  <c r="AB11" i="21"/>
  <c r="AA12" i="21"/>
  <c r="AB12" i="21"/>
  <c r="AA13" i="21"/>
  <c r="AB13" i="21"/>
  <c r="AA14" i="21"/>
  <c r="AB14" i="21"/>
  <c r="AA15" i="21"/>
  <c r="AB15" i="21"/>
  <c r="AA16" i="21"/>
  <c r="AB16" i="21"/>
  <c r="AA17" i="21"/>
  <c r="AB17" i="21"/>
  <c r="AA18" i="21"/>
  <c r="AB18" i="21"/>
  <c r="AA19" i="21"/>
  <c r="AB19" i="21"/>
  <c r="AA20" i="21"/>
  <c r="AB20" i="21"/>
  <c r="AA21" i="21"/>
  <c r="AB21" i="21"/>
  <c r="AA22" i="21"/>
  <c r="AB22" i="21"/>
  <c r="AA23" i="21"/>
  <c r="AB23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4" i="21"/>
  <c r="AB34" i="21"/>
  <c r="AA35" i="21"/>
  <c r="AB35" i="21"/>
  <c r="AA36" i="21"/>
  <c r="AB36" i="21"/>
  <c r="AA37" i="21"/>
  <c r="AB37" i="21"/>
  <c r="AA38" i="21"/>
  <c r="AB38" i="21"/>
  <c r="AA39" i="21"/>
  <c r="AB39" i="21"/>
  <c r="AA40" i="21"/>
  <c r="AB40" i="21"/>
  <c r="AA41" i="21"/>
  <c r="AB41" i="21"/>
  <c r="AA42" i="21"/>
  <c r="AB42" i="21"/>
  <c r="AA43" i="21"/>
  <c r="AB43" i="21"/>
  <c r="AA44" i="21"/>
  <c r="AB44" i="21"/>
  <c r="AA45" i="21"/>
  <c r="AB45" i="21"/>
  <c r="AA46" i="21"/>
  <c r="AB46" i="21"/>
  <c r="AA47" i="21"/>
  <c r="AB47" i="21"/>
  <c r="AA48" i="21"/>
  <c r="AB48" i="21"/>
  <c r="AA49" i="21"/>
  <c r="AB49" i="21"/>
  <c r="AA50" i="21"/>
  <c r="AB50" i="21"/>
  <c r="AA51" i="21"/>
  <c r="AB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B61" i="22" l="1"/>
  <c r="A59" i="22"/>
  <c r="B63" i="26"/>
  <c r="A61" i="26"/>
  <c r="A62" i="26"/>
  <c r="B64" i="26"/>
  <c r="A64" i="26" s="1"/>
  <c r="B63" i="27"/>
  <c r="A61" i="27"/>
  <c r="A62" i="27"/>
  <c r="B64" i="27"/>
  <c r="A64" i="27" s="1"/>
  <c r="A62" i="22"/>
  <c r="B64" i="22"/>
  <c r="A64" i="22" s="1"/>
  <c r="A61" i="22" l="1"/>
  <c r="B63" i="22"/>
  <c r="A63" i="26"/>
  <c r="B65" i="26"/>
  <c r="A65" i="26" s="1"/>
  <c r="B65" i="27"/>
  <c r="A65" i="27" s="1"/>
  <c r="A63" i="27"/>
  <c r="AS53" i="8"/>
  <c r="B65" i="22" l="1"/>
  <c r="A65" i="22" s="1"/>
  <c r="A63" i="22"/>
  <c r="R6" i="21"/>
  <c r="AM6" i="21" s="1"/>
  <c r="S6" i="21"/>
  <c r="T6" i="21"/>
  <c r="AF6" i="21"/>
  <c r="AG6" i="21"/>
  <c r="AK6" i="21"/>
  <c r="AL6" i="21"/>
  <c r="R7" i="21"/>
  <c r="AM7" i="21" s="1"/>
  <c r="S7" i="21"/>
  <c r="T7" i="21"/>
  <c r="AF7" i="21"/>
  <c r="AG7" i="21"/>
  <c r="AK7" i="21"/>
  <c r="AL7" i="21"/>
  <c r="R8" i="21"/>
  <c r="S8" i="21"/>
  <c r="T8" i="21"/>
  <c r="AF8" i="21"/>
  <c r="AG8" i="21"/>
  <c r="AK8" i="21"/>
  <c r="AL8" i="21"/>
  <c r="R9" i="21"/>
  <c r="AM9" i="21" s="1"/>
  <c r="S9" i="21"/>
  <c r="T9" i="21"/>
  <c r="AF9" i="21"/>
  <c r="AG9" i="21"/>
  <c r="AK9" i="21"/>
  <c r="AL9" i="21"/>
  <c r="R10" i="21"/>
  <c r="AM10" i="21" s="1"/>
  <c r="S10" i="21"/>
  <c r="T10" i="21"/>
  <c r="AF10" i="21"/>
  <c r="AG10" i="21"/>
  <c r="AK10" i="21"/>
  <c r="AL10" i="21"/>
  <c r="R11" i="21"/>
  <c r="AM11" i="21" s="1"/>
  <c r="S11" i="21"/>
  <c r="T11" i="21"/>
  <c r="AF11" i="21"/>
  <c r="AG11" i="21"/>
  <c r="AK11" i="21"/>
  <c r="AL11" i="21"/>
  <c r="R12" i="21"/>
  <c r="AM12" i="21" s="1"/>
  <c r="S12" i="21"/>
  <c r="T12" i="21"/>
  <c r="AF12" i="21"/>
  <c r="AG12" i="21"/>
  <c r="AK12" i="21"/>
  <c r="AL12" i="21"/>
  <c r="R13" i="21"/>
  <c r="AM13" i="21" s="1"/>
  <c r="S13" i="21"/>
  <c r="T13" i="21"/>
  <c r="AF13" i="21"/>
  <c r="AG13" i="21"/>
  <c r="AK13" i="21"/>
  <c r="AL13" i="21"/>
  <c r="R14" i="21"/>
  <c r="AM14" i="21" s="1"/>
  <c r="S14" i="21"/>
  <c r="T14" i="21"/>
  <c r="AF14" i="21"/>
  <c r="AG14" i="21"/>
  <c r="AK14" i="21"/>
  <c r="AL14" i="21"/>
  <c r="R15" i="21"/>
  <c r="AM15" i="21" s="1"/>
  <c r="S15" i="21"/>
  <c r="T15" i="21"/>
  <c r="AF15" i="21"/>
  <c r="AG15" i="21"/>
  <c r="AK15" i="21"/>
  <c r="AL15" i="21"/>
  <c r="R16" i="21"/>
  <c r="AM16" i="21" s="1"/>
  <c r="S16" i="21"/>
  <c r="T16" i="21"/>
  <c r="AF16" i="21"/>
  <c r="AG16" i="21"/>
  <c r="AK16" i="21"/>
  <c r="AL16" i="21"/>
  <c r="R17" i="21"/>
  <c r="AM17" i="21" s="1"/>
  <c r="S17" i="21"/>
  <c r="T17" i="21"/>
  <c r="AF17" i="21"/>
  <c r="AG17" i="21"/>
  <c r="AK17" i="21"/>
  <c r="AL17" i="21"/>
  <c r="R18" i="21"/>
  <c r="AM18" i="21" s="1"/>
  <c r="S18" i="21"/>
  <c r="T18" i="21"/>
  <c r="AF18" i="21"/>
  <c r="AG18" i="21"/>
  <c r="AK18" i="21"/>
  <c r="AL18" i="21"/>
  <c r="R19" i="21"/>
  <c r="AM19" i="21" s="1"/>
  <c r="S19" i="21"/>
  <c r="T19" i="21"/>
  <c r="AF19" i="21"/>
  <c r="AG19" i="21"/>
  <c r="AK19" i="21"/>
  <c r="AL19" i="21"/>
  <c r="R20" i="21"/>
  <c r="AM20" i="21" s="1"/>
  <c r="S20" i="21"/>
  <c r="T20" i="21"/>
  <c r="AF20" i="21"/>
  <c r="AG20" i="21"/>
  <c r="AK20" i="21"/>
  <c r="AL20" i="21"/>
  <c r="R21" i="21"/>
  <c r="AM21" i="21" s="1"/>
  <c r="S21" i="21"/>
  <c r="T21" i="21"/>
  <c r="AF21" i="21"/>
  <c r="AG21" i="21"/>
  <c r="AK21" i="21"/>
  <c r="AL21" i="21"/>
  <c r="R22" i="21"/>
  <c r="AM22" i="21" s="1"/>
  <c r="S22" i="21"/>
  <c r="T22" i="21"/>
  <c r="AF22" i="21"/>
  <c r="AG22" i="21"/>
  <c r="AK22" i="21"/>
  <c r="AL22" i="21"/>
  <c r="R23" i="21"/>
  <c r="AM23" i="21" s="1"/>
  <c r="S23" i="21"/>
  <c r="T23" i="21"/>
  <c r="AF23" i="21"/>
  <c r="AG23" i="21"/>
  <c r="AK23" i="21"/>
  <c r="AL23" i="21"/>
  <c r="R24" i="21"/>
  <c r="AM24" i="21" s="1"/>
  <c r="S24" i="21"/>
  <c r="T24" i="21"/>
  <c r="AF24" i="21"/>
  <c r="AG24" i="21"/>
  <c r="AK24" i="21"/>
  <c r="AL24" i="21"/>
  <c r="R25" i="21"/>
  <c r="AM25" i="21" s="1"/>
  <c r="S25" i="21"/>
  <c r="T25" i="21"/>
  <c r="AF25" i="21"/>
  <c r="AG25" i="21"/>
  <c r="AK25" i="21"/>
  <c r="AL25" i="21"/>
  <c r="R26" i="21"/>
  <c r="AM26" i="21" s="1"/>
  <c r="S26" i="21"/>
  <c r="T26" i="21"/>
  <c r="AF26" i="21"/>
  <c r="AG26" i="21"/>
  <c r="AK26" i="21"/>
  <c r="AL26" i="21"/>
  <c r="R27" i="21"/>
  <c r="AM27" i="21" s="1"/>
  <c r="S27" i="21"/>
  <c r="T27" i="21"/>
  <c r="AF27" i="21"/>
  <c r="AG27" i="21"/>
  <c r="AK27" i="21"/>
  <c r="AL27" i="21"/>
  <c r="R28" i="21"/>
  <c r="AM28" i="21" s="1"/>
  <c r="S28" i="21"/>
  <c r="T28" i="21"/>
  <c r="AF28" i="21"/>
  <c r="AG28" i="21"/>
  <c r="AK28" i="21"/>
  <c r="AL28" i="21"/>
  <c r="R29" i="21"/>
  <c r="AM29" i="21" s="1"/>
  <c r="S29" i="21"/>
  <c r="T29" i="21"/>
  <c r="AF29" i="21"/>
  <c r="AG29" i="21"/>
  <c r="AK29" i="21"/>
  <c r="AL29" i="21"/>
  <c r="R30" i="21"/>
  <c r="AM30" i="21" s="1"/>
  <c r="S30" i="21"/>
  <c r="T30" i="21"/>
  <c r="AF30" i="21"/>
  <c r="AG30" i="21"/>
  <c r="AK30" i="21"/>
  <c r="AL30" i="21"/>
  <c r="R31" i="21"/>
  <c r="AM31" i="21" s="1"/>
  <c r="S31" i="21"/>
  <c r="T31" i="21"/>
  <c r="AF31" i="21"/>
  <c r="AG31" i="21"/>
  <c r="AK31" i="21"/>
  <c r="AL31" i="21"/>
  <c r="R32" i="21"/>
  <c r="AM32" i="21" s="1"/>
  <c r="S32" i="21"/>
  <c r="T32" i="21"/>
  <c r="AF32" i="21"/>
  <c r="AG32" i="21"/>
  <c r="AK32" i="21"/>
  <c r="AL32" i="21"/>
  <c r="R33" i="21"/>
  <c r="AM33" i="21" s="1"/>
  <c r="S33" i="21"/>
  <c r="T33" i="21"/>
  <c r="AF33" i="21"/>
  <c r="AG33" i="21"/>
  <c r="AK33" i="21"/>
  <c r="AL33" i="21"/>
  <c r="R34" i="21"/>
  <c r="AM34" i="21" s="1"/>
  <c r="S34" i="21"/>
  <c r="T34" i="21"/>
  <c r="AF34" i="21"/>
  <c r="AG34" i="21"/>
  <c r="AK34" i="21"/>
  <c r="AL34" i="21"/>
  <c r="R35" i="21"/>
  <c r="AM35" i="21" s="1"/>
  <c r="S35" i="21"/>
  <c r="T35" i="21"/>
  <c r="AF35" i="21"/>
  <c r="AG35" i="21"/>
  <c r="AK35" i="21"/>
  <c r="AL35" i="21"/>
  <c r="R36" i="21"/>
  <c r="AM36" i="21" s="1"/>
  <c r="S36" i="21"/>
  <c r="T36" i="21"/>
  <c r="AF36" i="21"/>
  <c r="AG36" i="21"/>
  <c r="AK36" i="21"/>
  <c r="AL36" i="21"/>
  <c r="R37" i="21"/>
  <c r="AM37" i="21" s="1"/>
  <c r="S37" i="21"/>
  <c r="T37" i="21"/>
  <c r="AF37" i="21"/>
  <c r="AG37" i="21"/>
  <c r="AK37" i="21"/>
  <c r="AL37" i="21"/>
  <c r="R38" i="21"/>
  <c r="S38" i="21"/>
  <c r="T38" i="21"/>
  <c r="AF38" i="21"/>
  <c r="AG38" i="21"/>
  <c r="AK38" i="21"/>
  <c r="AL38" i="21"/>
  <c r="R39" i="21"/>
  <c r="AM39" i="21" s="1"/>
  <c r="S39" i="21"/>
  <c r="T39" i="21"/>
  <c r="AF39" i="21"/>
  <c r="AG39" i="21"/>
  <c r="AK39" i="21"/>
  <c r="AL39" i="21"/>
  <c r="R40" i="21"/>
  <c r="AM40" i="21" s="1"/>
  <c r="S40" i="21"/>
  <c r="T40" i="21"/>
  <c r="AF40" i="21"/>
  <c r="AG40" i="21"/>
  <c r="AK40" i="21"/>
  <c r="AL40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38" i="21"/>
  <c r="H38" i="21"/>
  <c r="G39" i="21"/>
  <c r="H39" i="21"/>
  <c r="G5" i="21"/>
  <c r="H5" i="21"/>
  <c r="V71" i="21"/>
  <c r="W71" i="21" s="1"/>
  <c r="Z70" i="21"/>
  <c r="Y70" i="21"/>
  <c r="Z69" i="21"/>
  <c r="Y69" i="21"/>
  <c r="Y71" i="21" s="1"/>
  <c r="J66" i="21"/>
  <c r="G16" i="1" s="1"/>
  <c r="AR65" i="21"/>
  <c r="AL65" i="21"/>
  <c r="AK65" i="21"/>
  <c r="AG65" i="21"/>
  <c r="AF65" i="21"/>
  <c r="AB65" i="21"/>
  <c r="AA65" i="21"/>
  <c r="T65" i="21"/>
  <c r="S65" i="21"/>
  <c r="R65" i="21"/>
  <c r="AM65" i="21" s="1"/>
  <c r="H65" i="21"/>
  <c r="G65" i="21"/>
  <c r="AR64" i="21"/>
  <c r="AL64" i="21"/>
  <c r="AK64" i="21"/>
  <c r="AG64" i="21"/>
  <c r="AF64" i="21"/>
  <c r="AB64" i="21"/>
  <c r="AA64" i="21"/>
  <c r="T64" i="21"/>
  <c r="S64" i="21"/>
  <c r="R64" i="21"/>
  <c r="AM64" i="21" s="1"/>
  <c r="H64" i="21"/>
  <c r="G64" i="21"/>
  <c r="AL63" i="21"/>
  <c r="AK63" i="21"/>
  <c r="AG63" i="21"/>
  <c r="AF63" i="21"/>
  <c r="T63" i="21"/>
  <c r="S63" i="21"/>
  <c r="R63" i="21"/>
  <c r="AM63" i="21" s="1"/>
  <c r="H63" i="21"/>
  <c r="G63" i="21"/>
  <c r="AR62" i="21"/>
  <c r="AL62" i="21"/>
  <c r="AK62" i="21"/>
  <c r="AG62" i="21"/>
  <c r="AF62" i="21"/>
  <c r="T62" i="21"/>
  <c r="S62" i="21"/>
  <c r="R62" i="21"/>
  <c r="AM62" i="21" s="1"/>
  <c r="H62" i="21"/>
  <c r="G62" i="21"/>
  <c r="AR61" i="21"/>
  <c r="AL61" i="21"/>
  <c r="AK61" i="21"/>
  <c r="AG61" i="21"/>
  <c r="AF61" i="21"/>
  <c r="T61" i="21"/>
  <c r="S61" i="21"/>
  <c r="R61" i="21"/>
  <c r="AM61" i="21" s="1"/>
  <c r="H61" i="21"/>
  <c r="G61" i="21"/>
  <c r="AR60" i="21"/>
  <c r="AL60" i="21"/>
  <c r="AK60" i="21"/>
  <c r="AG60" i="21"/>
  <c r="AF60" i="21"/>
  <c r="T60" i="21"/>
  <c r="S60" i="21"/>
  <c r="R60" i="21"/>
  <c r="AM60" i="21" s="1"/>
  <c r="H60" i="21"/>
  <c r="G60" i="21"/>
  <c r="AR59" i="21"/>
  <c r="AL59" i="21"/>
  <c r="AK59" i="21"/>
  <c r="AG59" i="21"/>
  <c r="AF59" i="21"/>
  <c r="T59" i="21"/>
  <c r="S59" i="21"/>
  <c r="R59" i="21"/>
  <c r="AM59" i="21" s="1"/>
  <c r="H59" i="21"/>
  <c r="G59" i="21"/>
  <c r="AR58" i="21"/>
  <c r="AL58" i="21"/>
  <c r="AK58" i="21"/>
  <c r="AG58" i="21"/>
  <c r="AF58" i="21"/>
  <c r="T58" i="21"/>
  <c r="S58" i="21"/>
  <c r="R58" i="21"/>
  <c r="AM58" i="21" s="1"/>
  <c r="H58" i="21"/>
  <c r="G58" i="21"/>
  <c r="AR57" i="21"/>
  <c r="AL57" i="21"/>
  <c r="AK57" i="21"/>
  <c r="AG57" i="21"/>
  <c r="AF57" i="21"/>
  <c r="T57" i="21"/>
  <c r="S57" i="21"/>
  <c r="R57" i="21"/>
  <c r="AM57" i="21" s="1"/>
  <c r="H57" i="21"/>
  <c r="G57" i="21"/>
  <c r="AR56" i="21"/>
  <c r="AL56" i="21"/>
  <c r="AK56" i="21"/>
  <c r="AG56" i="21"/>
  <c r="AF56" i="21"/>
  <c r="T56" i="21"/>
  <c r="S56" i="21"/>
  <c r="R56" i="21"/>
  <c r="AM56" i="21" s="1"/>
  <c r="H56" i="21"/>
  <c r="G56" i="21"/>
  <c r="AR55" i="21"/>
  <c r="AL55" i="21"/>
  <c r="AK55" i="21"/>
  <c r="AG55" i="21"/>
  <c r="AF55" i="21"/>
  <c r="T55" i="21"/>
  <c r="S55" i="21"/>
  <c r="R55" i="21"/>
  <c r="AM55" i="21" s="1"/>
  <c r="H55" i="21"/>
  <c r="G55" i="21"/>
  <c r="AR54" i="21"/>
  <c r="AL54" i="21"/>
  <c r="AK54" i="21"/>
  <c r="AG54" i="21"/>
  <c r="AF54" i="21"/>
  <c r="T54" i="21"/>
  <c r="S54" i="21"/>
  <c r="R54" i="21"/>
  <c r="AM54" i="21" s="1"/>
  <c r="H54" i="21"/>
  <c r="G54" i="21"/>
  <c r="AR53" i="21"/>
  <c r="AL53" i="21"/>
  <c r="AK53" i="21"/>
  <c r="AG53" i="21"/>
  <c r="AF53" i="21"/>
  <c r="T53" i="21"/>
  <c r="S53" i="21"/>
  <c r="R53" i="21"/>
  <c r="AM53" i="21" s="1"/>
  <c r="H53" i="21"/>
  <c r="G53" i="21"/>
  <c r="AR52" i="21"/>
  <c r="AL52" i="21"/>
  <c r="AK52" i="21"/>
  <c r="AG52" i="21"/>
  <c r="AF52" i="21"/>
  <c r="T52" i="21"/>
  <c r="S52" i="21"/>
  <c r="R52" i="21"/>
  <c r="AM52" i="21" s="1"/>
  <c r="H52" i="21"/>
  <c r="G52" i="21"/>
  <c r="AR51" i="21"/>
  <c r="AL51" i="21"/>
  <c r="AK51" i="21"/>
  <c r="AG51" i="21"/>
  <c r="AF51" i="21"/>
  <c r="T51" i="21"/>
  <c r="S51" i="21"/>
  <c r="R51" i="21"/>
  <c r="AM51" i="21" s="1"/>
  <c r="H51" i="21"/>
  <c r="G51" i="21"/>
  <c r="AR50" i="21"/>
  <c r="AL50" i="21"/>
  <c r="AK50" i="21"/>
  <c r="AG50" i="21"/>
  <c r="AF50" i="21"/>
  <c r="T50" i="21"/>
  <c r="S50" i="21"/>
  <c r="R50" i="21"/>
  <c r="AM50" i="21" s="1"/>
  <c r="H50" i="21"/>
  <c r="G50" i="21"/>
  <c r="AR49" i="21"/>
  <c r="AL49" i="21"/>
  <c r="AK49" i="21"/>
  <c r="AG49" i="21"/>
  <c r="AF49" i="21"/>
  <c r="T49" i="21"/>
  <c r="S49" i="21"/>
  <c r="R49" i="21"/>
  <c r="AM49" i="21" s="1"/>
  <c r="H49" i="21"/>
  <c r="G49" i="21"/>
  <c r="AR48" i="21"/>
  <c r="AL48" i="21"/>
  <c r="AK48" i="21"/>
  <c r="AG48" i="21"/>
  <c r="AF48" i="21"/>
  <c r="T48" i="21"/>
  <c r="S48" i="21"/>
  <c r="R48" i="21"/>
  <c r="AM48" i="21" s="1"/>
  <c r="H48" i="21"/>
  <c r="G48" i="21"/>
  <c r="AR47" i="21"/>
  <c r="AL47" i="21"/>
  <c r="AK47" i="21"/>
  <c r="AG47" i="21"/>
  <c r="AF47" i="21"/>
  <c r="T47" i="21"/>
  <c r="S47" i="21"/>
  <c r="R47" i="21"/>
  <c r="AM47" i="21" s="1"/>
  <c r="H47" i="21"/>
  <c r="G47" i="21"/>
  <c r="AR46" i="21"/>
  <c r="AL46" i="21"/>
  <c r="AK46" i="21"/>
  <c r="AG46" i="21"/>
  <c r="AF46" i="21"/>
  <c r="T46" i="21"/>
  <c r="S46" i="21"/>
  <c r="R46" i="21"/>
  <c r="AM46" i="21" s="1"/>
  <c r="H46" i="21"/>
  <c r="G46" i="21"/>
  <c r="AR45" i="21"/>
  <c r="AL45" i="21"/>
  <c r="AK45" i="21"/>
  <c r="AG45" i="21"/>
  <c r="AF45" i="21"/>
  <c r="T45" i="21"/>
  <c r="S45" i="21"/>
  <c r="R45" i="21"/>
  <c r="AM45" i="21" s="1"/>
  <c r="H45" i="21"/>
  <c r="G45" i="21"/>
  <c r="AR44" i="21"/>
  <c r="AL44" i="21"/>
  <c r="AK44" i="21"/>
  <c r="AG44" i="21"/>
  <c r="AF44" i="21"/>
  <c r="T44" i="21"/>
  <c r="S44" i="21"/>
  <c r="R44" i="21"/>
  <c r="AM44" i="21" s="1"/>
  <c r="H44" i="21"/>
  <c r="G44" i="21"/>
  <c r="AR43" i="21"/>
  <c r="AL43" i="21"/>
  <c r="AK43" i="21"/>
  <c r="AG43" i="21"/>
  <c r="AF43" i="21"/>
  <c r="T43" i="21"/>
  <c r="S43" i="21"/>
  <c r="R43" i="21"/>
  <c r="AM43" i="21" s="1"/>
  <c r="H43" i="21"/>
  <c r="G43" i="21"/>
  <c r="AR42" i="21"/>
  <c r="AL42" i="21"/>
  <c r="AK42" i="21"/>
  <c r="AG42" i="21"/>
  <c r="AF42" i="21"/>
  <c r="T42" i="21"/>
  <c r="S42" i="21"/>
  <c r="R42" i="21"/>
  <c r="AM42" i="21" s="1"/>
  <c r="H42" i="21"/>
  <c r="G42" i="21"/>
  <c r="AR41" i="21"/>
  <c r="AL41" i="21"/>
  <c r="AK41" i="21"/>
  <c r="AG41" i="21"/>
  <c r="AF41" i="21"/>
  <c r="T41" i="21"/>
  <c r="S41" i="21"/>
  <c r="R41" i="21"/>
  <c r="AM41" i="21" s="1"/>
  <c r="H41" i="21"/>
  <c r="G41" i="21"/>
  <c r="AR40" i="21"/>
  <c r="H40" i="21"/>
  <c r="G40" i="21"/>
  <c r="AR39" i="21"/>
  <c r="AR38" i="21"/>
  <c r="AM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M8" i="21"/>
  <c r="AR7" i="21"/>
  <c r="AR6" i="21"/>
  <c r="B6" i="21"/>
  <c r="A6" i="21" s="1"/>
  <c r="AR5" i="21"/>
  <c r="AL5" i="21"/>
  <c r="AK5" i="21"/>
  <c r="AG5" i="21"/>
  <c r="AF5" i="21"/>
  <c r="T5" i="21"/>
  <c r="S5" i="21"/>
  <c r="R5" i="21"/>
  <c r="AM5" i="21" s="1"/>
  <c r="B5" i="21"/>
  <c r="A5" i="21" s="1"/>
  <c r="AR4" i="21"/>
  <c r="AL4" i="21"/>
  <c r="AK4" i="21"/>
  <c r="AG4" i="21"/>
  <c r="AF4" i="21"/>
  <c r="T4" i="21"/>
  <c r="S4" i="21"/>
  <c r="R4" i="21"/>
  <c r="H4" i="21"/>
  <c r="G4" i="21"/>
  <c r="A4" i="21"/>
  <c r="AP1" i="21"/>
  <c r="Z71" i="21" l="1"/>
  <c r="X71" i="21" s="1"/>
  <c r="AN15" i="21"/>
  <c r="AN23" i="21"/>
  <c r="AO20" i="21"/>
  <c r="AO12" i="21"/>
  <c r="AN64" i="21"/>
  <c r="AN65" i="21"/>
  <c r="AO64" i="21"/>
  <c r="AN31" i="21"/>
  <c r="AN27" i="21"/>
  <c r="AO10" i="21"/>
  <c r="AO8" i="21"/>
  <c r="AO40" i="21"/>
  <c r="AO37" i="21"/>
  <c r="AN28" i="21"/>
  <c r="AO33" i="21"/>
  <c r="AO28" i="21"/>
  <c r="AO21" i="21"/>
  <c r="AO11" i="21"/>
  <c r="AO16" i="21"/>
  <c r="AO9" i="21"/>
  <c r="AN37" i="21"/>
  <c r="AP37" i="21" s="1"/>
  <c r="AO26" i="21"/>
  <c r="AN21" i="21"/>
  <c r="AN17" i="21"/>
  <c r="AN13" i="21"/>
  <c r="AN9" i="21"/>
  <c r="AN29" i="21"/>
  <c r="AO36" i="21"/>
  <c r="AO49" i="21"/>
  <c r="AN6" i="21"/>
  <c r="AN44" i="21"/>
  <c r="AO18" i="21"/>
  <c r="AO14" i="21"/>
  <c r="AO6" i="21"/>
  <c r="AO4" i="21"/>
  <c r="AN5" i="21"/>
  <c r="AN39" i="21"/>
  <c r="AN35" i="21"/>
  <c r="AN19" i="21"/>
  <c r="AN11" i="21"/>
  <c r="AN7" i="21"/>
  <c r="AN4" i="21"/>
  <c r="AO5" i="21"/>
  <c r="AN24" i="21"/>
  <c r="AN18" i="21"/>
  <c r="AN16" i="21"/>
  <c r="AN10" i="21"/>
  <c r="AN8" i="21"/>
  <c r="AN26" i="21"/>
  <c r="AN20" i="21"/>
  <c r="AN14" i="21"/>
  <c r="AN12" i="21"/>
  <c r="AP12" i="21" s="1"/>
  <c r="AN34" i="21"/>
  <c r="AN60" i="21"/>
  <c r="AN62" i="21"/>
  <c r="AN63" i="21"/>
  <c r="AO63" i="21"/>
  <c r="AO60" i="21"/>
  <c r="AO61" i="21"/>
  <c r="AN54" i="21"/>
  <c r="AO54" i="21"/>
  <c r="AO55" i="21"/>
  <c r="AN56" i="21"/>
  <c r="AN57" i="21"/>
  <c r="AN58" i="21"/>
  <c r="AN59" i="21"/>
  <c r="AO56" i="21"/>
  <c r="AO57" i="21"/>
  <c r="AO59" i="21"/>
  <c r="AO41" i="21"/>
  <c r="AO42" i="21"/>
  <c r="AO43" i="21"/>
  <c r="AN48" i="21"/>
  <c r="AN50" i="21"/>
  <c r="AN53" i="21"/>
  <c r="AO44" i="21"/>
  <c r="AN46" i="21"/>
  <c r="AN47" i="21"/>
  <c r="AO50" i="21"/>
  <c r="AO51" i="21"/>
  <c r="AN52" i="21"/>
  <c r="AO45" i="21"/>
  <c r="AO47" i="21"/>
  <c r="AO53" i="21"/>
  <c r="AN42" i="21"/>
  <c r="AN43" i="21"/>
  <c r="AO34" i="21"/>
  <c r="R66" i="21"/>
  <c r="AN32" i="21"/>
  <c r="AN40" i="21"/>
  <c r="AO35" i="21"/>
  <c r="AO29" i="21"/>
  <c r="AO27" i="21"/>
  <c r="AO25" i="21"/>
  <c r="AO19" i="21"/>
  <c r="AO17" i="21"/>
  <c r="AO15" i="21"/>
  <c r="AP15" i="21" s="1"/>
  <c r="AO13" i="21"/>
  <c r="AO7" i="21"/>
  <c r="AO24" i="21"/>
  <c r="AO32" i="21"/>
  <c r="AN36" i="21"/>
  <c r="S66" i="21"/>
  <c r="AM4" i="21"/>
  <c r="AM66" i="21" s="1"/>
  <c r="H16" i="1" s="1"/>
  <c r="B8" i="21"/>
  <c r="AN22" i="21"/>
  <c r="AN30" i="21"/>
  <c r="AN38" i="21"/>
  <c r="AO52" i="21"/>
  <c r="AN55" i="21"/>
  <c r="T66" i="21"/>
  <c r="B7" i="21"/>
  <c r="AO22" i="21"/>
  <c r="AO23" i="21"/>
  <c r="AP23" i="21" s="1"/>
  <c r="AO30" i="21"/>
  <c r="AO31" i="21"/>
  <c r="AO38" i="21"/>
  <c r="AO39" i="21"/>
  <c r="AO46" i="21"/>
  <c r="AO48" i="21"/>
  <c r="AN49" i="21"/>
  <c r="AN51" i="21"/>
  <c r="AO62" i="21"/>
  <c r="AN25" i="21"/>
  <c r="AN33" i="21"/>
  <c r="AN41" i="21"/>
  <c r="AN45" i="21"/>
  <c r="AO58" i="21"/>
  <c r="AN61" i="21"/>
  <c r="AO65" i="21"/>
  <c r="AP65" i="21" s="1"/>
  <c r="AP64" i="21" l="1"/>
  <c r="AP31" i="21"/>
  <c r="AP10" i="21"/>
  <c r="AP8" i="21"/>
  <c r="AP40" i="21"/>
  <c r="AP60" i="21"/>
  <c r="AP33" i="21"/>
  <c r="AP49" i="21"/>
  <c r="AP27" i="21"/>
  <c r="AP28" i="21"/>
  <c r="AP21" i="21"/>
  <c r="AP48" i="21"/>
  <c r="AP29" i="21"/>
  <c r="AP9" i="21"/>
  <c r="AP11" i="21"/>
  <c r="AP17" i="21"/>
  <c r="AP16" i="21"/>
  <c r="AP50" i="21"/>
  <c r="AP6" i="21"/>
  <c r="AP26" i="21"/>
  <c r="AP44" i="21"/>
  <c r="AP32" i="21"/>
  <c r="AP5" i="21"/>
  <c r="AP18" i="21"/>
  <c r="AP13" i="21"/>
  <c r="AP4" i="21"/>
  <c r="AP39" i="21"/>
  <c r="AP20" i="21"/>
  <c r="AP7" i="21"/>
  <c r="AP19" i="21"/>
  <c r="AP34" i="21"/>
  <c r="AP24" i="21"/>
  <c r="AP58" i="21"/>
  <c r="AP14" i="21"/>
  <c r="AP42" i="21"/>
  <c r="AP63" i="21"/>
  <c r="AP25" i="21"/>
  <c r="AP55" i="21"/>
  <c r="AP41" i="21"/>
  <c r="AP57" i="21"/>
  <c r="AP62" i="21"/>
  <c r="AP61" i="21"/>
  <c r="AP59" i="21"/>
  <c r="AP56" i="21"/>
  <c r="AP54" i="21"/>
  <c r="AP43" i="21"/>
  <c r="AP53" i="21"/>
  <c r="AP52" i="21"/>
  <c r="AP47" i="21"/>
  <c r="AP45" i="21"/>
  <c r="AP46" i="21"/>
  <c r="AP51" i="21"/>
  <c r="AP35" i="21"/>
  <c r="AP36" i="21"/>
  <c r="AO66" i="21"/>
  <c r="J16" i="1" s="1"/>
  <c r="AN66" i="21"/>
  <c r="I16" i="1" s="1"/>
  <c r="AP38" i="21"/>
  <c r="B9" i="21"/>
  <c r="A7" i="21"/>
  <c r="AP30" i="21"/>
  <c r="B10" i="21"/>
  <c r="A8" i="21"/>
  <c r="AP22" i="21"/>
  <c r="M16" i="1" l="1"/>
  <c r="N16" i="1" s="1"/>
  <c r="A10" i="21"/>
  <c r="B12" i="21"/>
  <c r="A9" i="21"/>
  <c r="B11" i="21"/>
  <c r="B14" i="21" l="1"/>
  <c r="A12" i="21"/>
  <c r="B13" i="21"/>
  <c r="A11" i="21"/>
  <c r="A13" i="21" l="1"/>
  <c r="B15" i="21"/>
  <c r="A14" i="21"/>
  <c r="B16" i="21"/>
  <c r="B18" i="21" l="1"/>
  <c r="A16" i="21"/>
  <c r="A15" i="21"/>
  <c r="B17" i="21"/>
  <c r="B20" i="21" l="1"/>
  <c r="A18" i="21"/>
  <c r="A17" i="21"/>
  <c r="B19" i="21"/>
  <c r="B21" i="21" l="1"/>
  <c r="A19" i="21"/>
  <c r="A20" i="21"/>
  <c r="B22" i="21"/>
  <c r="B23" i="21" l="1"/>
  <c r="A21" i="21"/>
  <c r="B24" i="21"/>
  <c r="A22" i="21"/>
  <c r="A24" i="21" l="1"/>
  <c r="B26" i="21"/>
  <c r="A23" i="21"/>
  <c r="B25" i="21"/>
  <c r="B27" i="21" l="1"/>
  <c r="A25" i="21"/>
  <c r="B28" i="21"/>
  <c r="A26" i="21"/>
  <c r="A28" i="21" l="1"/>
  <c r="B30" i="21"/>
  <c r="A27" i="21"/>
  <c r="B29" i="21"/>
  <c r="B32" i="21" l="1"/>
  <c r="A30" i="21"/>
  <c r="B31" i="21"/>
  <c r="A29" i="21"/>
  <c r="A32" i="21" l="1"/>
  <c r="B34" i="21"/>
  <c r="A31" i="21"/>
  <c r="B33" i="21"/>
  <c r="B36" i="21" l="1"/>
  <c r="A34" i="21"/>
  <c r="B35" i="21"/>
  <c r="A33" i="21"/>
  <c r="A35" i="21" l="1"/>
  <c r="B37" i="21"/>
  <c r="A36" i="21"/>
  <c r="B38" i="21"/>
  <c r="B40" i="21" l="1"/>
  <c r="A38" i="21"/>
  <c r="A37" i="21"/>
  <c r="B39" i="21"/>
  <c r="A39" i="21" l="1"/>
  <c r="B41" i="21"/>
  <c r="A40" i="21"/>
  <c r="B42" i="21"/>
  <c r="B43" i="21" l="1"/>
  <c r="A41" i="21"/>
  <c r="B44" i="21"/>
  <c r="A42" i="21"/>
  <c r="A44" i="21" l="1"/>
  <c r="B46" i="21"/>
  <c r="A43" i="21"/>
  <c r="B45" i="21"/>
  <c r="B48" i="21" l="1"/>
  <c r="A46" i="21"/>
  <c r="A45" i="21"/>
  <c r="B47" i="21"/>
  <c r="A47" i="21" l="1"/>
  <c r="B49" i="21"/>
  <c r="A48" i="21"/>
  <c r="B50" i="21"/>
  <c r="B52" i="21" l="1"/>
  <c r="A50" i="21"/>
  <c r="A49" i="21"/>
  <c r="B51" i="21"/>
  <c r="A51" i="21" l="1"/>
  <c r="B53" i="21"/>
  <c r="A52" i="21"/>
  <c r="B54" i="21"/>
  <c r="B56" i="21" l="1"/>
  <c r="A54" i="21"/>
  <c r="A53" i="21"/>
  <c r="B55" i="21"/>
  <c r="A55" i="21" l="1"/>
  <c r="B57" i="21"/>
  <c r="A56" i="21"/>
  <c r="B58" i="21"/>
  <c r="B60" i="21" l="1"/>
  <c r="A58" i="21"/>
  <c r="A57" i="21"/>
  <c r="B59" i="21"/>
  <c r="A59" i="21" l="1"/>
  <c r="B61" i="21"/>
  <c r="A60" i="21"/>
  <c r="B62" i="21"/>
  <c r="A61" i="21" l="1"/>
  <c r="B63" i="21"/>
  <c r="B64" i="21"/>
  <c r="A64" i="21" s="1"/>
  <c r="A62" i="21"/>
  <c r="A63" i="21" l="1"/>
  <c r="B65" i="21"/>
  <c r="A65" i="21" s="1"/>
  <c r="AS39" i="9" l="1"/>
  <c r="G26" i="20" l="1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N56" i="1" l="1"/>
  <c r="AA18" i="10" l="1"/>
  <c r="AB18" i="10"/>
  <c r="AF18" i="10"/>
  <c r="AG18" i="10"/>
  <c r="AA19" i="10"/>
  <c r="AB19" i="10"/>
  <c r="AF19" i="10"/>
  <c r="AG19" i="10"/>
  <c r="AA20" i="10"/>
  <c r="AB20" i="10"/>
  <c r="AF20" i="10"/>
  <c r="AG20" i="10"/>
  <c r="AA21" i="10"/>
  <c r="AB21" i="10"/>
  <c r="AF21" i="10"/>
  <c r="AG21" i="10"/>
  <c r="AA22" i="10"/>
  <c r="AB22" i="10"/>
  <c r="AF22" i="10"/>
  <c r="AG22" i="10"/>
  <c r="AA23" i="10"/>
  <c r="AB23" i="10"/>
  <c r="AF23" i="10"/>
  <c r="AG23" i="10"/>
  <c r="AA24" i="10"/>
  <c r="AB24" i="10"/>
  <c r="AF24" i="10"/>
  <c r="AG24" i="10"/>
  <c r="AA25" i="10"/>
  <c r="AB25" i="10"/>
  <c r="AF25" i="10"/>
  <c r="AG25" i="10"/>
  <c r="AS25" i="9" l="1"/>
  <c r="AS25" i="8" l="1"/>
  <c r="AA12" i="11" l="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A58" i="11"/>
  <c r="AB58" i="11"/>
  <c r="AA59" i="11"/>
  <c r="AB59" i="11"/>
  <c r="AA60" i="11"/>
  <c r="AB60" i="11"/>
  <c r="AA61" i="11"/>
  <c r="AB61" i="11"/>
  <c r="AA62" i="11"/>
  <c r="AB62" i="11"/>
  <c r="AA63" i="11"/>
  <c r="AB63" i="11"/>
  <c r="AA64" i="11"/>
  <c r="AB64" i="11"/>
  <c r="AA65" i="11"/>
  <c r="AB65" i="11"/>
  <c r="AA12" i="5" l="1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4" i="11" l="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B4" i="11"/>
  <c r="AA5" i="5" l="1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B4" i="5"/>
  <c r="AA4" i="5"/>
  <c r="R4" i="3" l="1"/>
  <c r="T4" i="3"/>
  <c r="S4" i="3"/>
  <c r="N52" i="1" l="1"/>
  <c r="AR31" i="14"/>
  <c r="AS59" i="12" l="1"/>
  <c r="AA32" i="7" l="1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N58" i="1" l="1"/>
  <c r="AF52" i="14" l="1"/>
  <c r="AG52" i="14"/>
  <c r="AF53" i="14"/>
  <c r="AG53" i="14"/>
  <c r="AF54" i="14"/>
  <c r="AG54" i="14"/>
  <c r="AF55" i="14"/>
  <c r="AG55" i="14"/>
  <c r="AF56" i="14"/>
  <c r="AG56" i="14"/>
  <c r="AF57" i="14"/>
  <c r="AG57" i="14"/>
  <c r="AF58" i="14"/>
  <c r="AG58" i="14"/>
  <c r="AF59" i="14"/>
  <c r="AG59" i="14"/>
  <c r="AF60" i="14"/>
  <c r="AG60" i="14"/>
  <c r="AF61" i="14"/>
  <c r="AG61" i="14"/>
  <c r="R60" i="5" l="1"/>
  <c r="AM60" i="5" s="1"/>
  <c r="S60" i="5"/>
  <c r="T60" i="5"/>
  <c r="R61" i="5"/>
  <c r="AM61" i="5" s="1"/>
  <c r="S61" i="5"/>
  <c r="T61" i="5"/>
  <c r="R62" i="5"/>
  <c r="AM62" i="5" s="1"/>
  <c r="S62" i="5"/>
  <c r="T62" i="5"/>
  <c r="R63" i="5"/>
  <c r="AM63" i="5" s="1"/>
  <c r="S63" i="5"/>
  <c r="T63" i="5"/>
  <c r="R64" i="5"/>
  <c r="AM64" i="5" s="1"/>
  <c r="S64" i="5"/>
  <c r="T64" i="5"/>
  <c r="R65" i="5"/>
  <c r="AM65" i="5" s="1"/>
  <c r="S65" i="5"/>
  <c r="T65" i="5"/>
  <c r="G60" i="5"/>
  <c r="H60" i="5"/>
  <c r="AF60" i="5"/>
  <c r="AG60" i="5"/>
  <c r="AK60" i="5"/>
  <c r="AL60" i="5"/>
  <c r="G61" i="5"/>
  <c r="H61" i="5"/>
  <c r="AF61" i="5"/>
  <c r="AG61" i="5"/>
  <c r="AK61" i="5"/>
  <c r="AL61" i="5"/>
  <c r="G62" i="5"/>
  <c r="H62" i="5"/>
  <c r="AF62" i="5"/>
  <c r="AG62" i="5"/>
  <c r="AK62" i="5"/>
  <c r="AL62" i="5"/>
  <c r="G63" i="5"/>
  <c r="H63" i="5"/>
  <c r="AF63" i="5"/>
  <c r="AG63" i="5"/>
  <c r="AK63" i="5"/>
  <c r="AL63" i="5"/>
  <c r="G64" i="5"/>
  <c r="H64" i="5"/>
  <c r="AF64" i="5"/>
  <c r="AG64" i="5"/>
  <c r="AK64" i="5"/>
  <c r="AL64" i="5"/>
  <c r="G65" i="5"/>
  <c r="H65" i="5"/>
  <c r="AF65" i="5"/>
  <c r="AG65" i="5"/>
  <c r="AK65" i="5"/>
  <c r="AL65" i="5"/>
  <c r="AO64" i="5" l="1"/>
  <c r="AN64" i="5"/>
  <c r="AO65" i="5"/>
  <c r="AN65" i="5"/>
  <c r="AN60" i="5"/>
  <c r="AN62" i="5"/>
  <c r="AN63" i="5"/>
  <c r="AN61" i="5"/>
  <c r="AS65" i="12" l="1"/>
  <c r="N46" i="1" l="1"/>
  <c r="N47" i="1"/>
  <c r="N48" i="1"/>
  <c r="N50" i="1"/>
  <c r="N51" i="1"/>
  <c r="N54" i="1"/>
  <c r="N55" i="1"/>
  <c r="N59" i="1"/>
  <c r="V71" i="20" l="1"/>
  <c r="Z70" i="20"/>
  <c r="Y70" i="20"/>
  <c r="Z69" i="20"/>
  <c r="Z71" i="20" s="1"/>
  <c r="X71" i="20" s="1"/>
  <c r="Y69" i="20"/>
  <c r="J66" i="20"/>
  <c r="G10" i="1" s="1"/>
  <c r="AR65" i="20"/>
  <c r="AL65" i="20"/>
  <c r="AK65" i="20"/>
  <c r="AG65" i="20"/>
  <c r="AF65" i="20"/>
  <c r="AB65" i="20"/>
  <c r="AA65" i="20"/>
  <c r="T65" i="20"/>
  <c r="S65" i="20"/>
  <c r="R65" i="20"/>
  <c r="AM65" i="20" s="1"/>
  <c r="H65" i="20"/>
  <c r="G65" i="20"/>
  <c r="AR64" i="20"/>
  <c r="AL64" i="20"/>
  <c r="AK64" i="20"/>
  <c r="AG64" i="20"/>
  <c r="AF64" i="20"/>
  <c r="AB64" i="20"/>
  <c r="AA64" i="20"/>
  <c r="T64" i="20"/>
  <c r="S64" i="20"/>
  <c r="R64" i="20"/>
  <c r="AM64" i="20" s="1"/>
  <c r="H64" i="20"/>
  <c r="G64" i="20"/>
  <c r="AL63" i="20"/>
  <c r="AK63" i="20"/>
  <c r="AG63" i="20"/>
  <c r="AF63" i="20"/>
  <c r="AB63" i="20"/>
  <c r="T63" i="20"/>
  <c r="S63" i="20"/>
  <c r="R63" i="20"/>
  <c r="AM63" i="20" s="1"/>
  <c r="H63" i="20"/>
  <c r="G63" i="20"/>
  <c r="AR62" i="20"/>
  <c r="AL62" i="20"/>
  <c r="AK62" i="20"/>
  <c r="AG62" i="20"/>
  <c r="AF62" i="20"/>
  <c r="AB62" i="20"/>
  <c r="T62" i="20"/>
  <c r="S62" i="20"/>
  <c r="R62" i="20"/>
  <c r="AM62" i="20" s="1"/>
  <c r="H62" i="20"/>
  <c r="G62" i="20"/>
  <c r="AR61" i="20"/>
  <c r="AL61" i="20"/>
  <c r="AK61" i="20"/>
  <c r="AG61" i="20"/>
  <c r="AF61" i="20"/>
  <c r="AB61" i="20"/>
  <c r="T61" i="20"/>
  <c r="S61" i="20"/>
  <c r="R61" i="20"/>
  <c r="AM61" i="20" s="1"/>
  <c r="H61" i="20"/>
  <c r="G61" i="20"/>
  <c r="AR60" i="20"/>
  <c r="AL60" i="20"/>
  <c r="AK60" i="20"/>
  <c r="AG60" i="20"/>
  <c r="AF60" i="20"/>
  <c r="AB60" i="20"/>
  <c r="T60" i="20"/>
  <c r="S60" i="20"/>
  <c r="R60" i="20"/>
  <c r="AM60" i="20" s="1"/>
  <c r="H60" i="20"/>
  <c r="G60" i="20"/>
  <c r="AR59" i="20"/>
  <c r="AL59" i="20"/>
  <c r="AK59" i="20"/>
  <c r="AG59" i="20"/>
  <c r="AF59" i="20"/>
  <c r="AB59" i="20"/>
  <c r="T59" i="20"/>
  <c r="S59" i="20"/>
  <c r="R59" i="20"/>
  <c r="AM59" i="20" s="1"/>
  <c r="H59" i="20"/>
  <c r="G59" i="20"/>
  <c r="AR58" i="20"/>
  <c r="AL58" i="20"/>
  <c r="AK58" i="20"/>
  <c r="AG58" i="20"/>
  <c r="AF58" i="20"/>
  <c r="AB58" i="20"/>
  <c r="T58" i="20"/>
  <c r="S58" i="20"/>
  <c r="R58" i="20"/>
  <c r="AM58" i="20" s="1"/>
  <c r="H58" i="20"/>
  <c r="G58" i="20"/>
  <c r="AR57" i="20"/>
  <c r="AL57" i="20"/>
  <c r="AK57" i="20"/>
  <c r="AG57" i="20"/>
  <c r="AF57" i="20"/>
  <c r="AB57" i="20"/>
  <c r="T57" i="20"/>
  <c r="S57" i="20"/>
  <c r="R57" i="20"/>
  <c r="AM57" i="20" s="1"/>
  <c r="H57" i="20"/>
  <c r="G57" i="20"/>
  <c r="AR56" i="20"/>
  <c r="AL56" i="20"/>
  <c r="AK56" i="20"/>
  <c r="AG56" i="20"/>
  <c r="AF56" i="20"/>
  <c r="AB56" i="20"/>
  <c r="T56" i="20"/>
  <c r="S56" i="20"/>
  <c r="R56" i="20"/>
  <c r="AM56" i="20" s="1"/>
  <c r="H56" i="20"/>
  <c r="G56" i="20"/>
  <c r="AR55" i="20"/>
  <c r="AL55" i="20"/>
  <c r="AK55" i="20"/>
  <c r="AG55" i="20"/>
  <c r="AF55" i="20"/>
  <c r="AB55" i="20"/>
  <c r="T55" i="20"/>
  <c r="S55" i="20"/>
  <c r="R55" i="20"/>
  <c r="AM55" i="20" s="1"/>
  <c r="H55" i="20"/>
  <c r="G55" i="20"/>
  <c r="AR54" i="20"/>
  <c r="AL54" i="20"/>
  <c r="AK54" i="20"/>
  <c r="AG54" i="20"/>
  <c r="AF54" i="20"/>
  <c r="AB54" i="20"/>
  <c r="T54" i="20"/>
  <c r="S54" i="20"/>
  <c r="R54" i="20"/>
  <c r="AM54" i="20" s="1"/>
  <c r="H54" i="20"/>
  <c r="G54" i="20"/>
  <c r="AR53" i="20"/>
  <c r="AL53" i="20"/>
  <c r="AK53" i="20"/>
  <c r="AG53" i="20"/>
  <c r="AF53" i="20"/>
  <c r="AB53" i="20"/>
  <c r="T53" i="20"/>
  <c r="S53" i="20"/>
  <c r="R53" i="20"/>
  <c r="AM53" i="20" s="1"/>
  <c r="H53" i="20"/>
  <c r="G53" i="20"/>
  <c r="AR52" i="20"/>
  <c r="AL52" i="20"/>
  <c r="AK52" i="20"/>
  <c r="AG52" i="20"/>
  <c r="AF52" i="20"/>
  <c r="AB52" i="20"/>
  <c r="T52" i="20"/>
  <c r="S52" i="20"/>
  <c r="R52" i="20"/>
  <c r="AM52" i="20" s="1"/>
  <c r="H52" i="20"/>
  <c r="G52" i="20"/>
  <c r="AR51" i="20"/>
  <c r="AL51" i="20"/>
  <c r="AK51" i="20"/>
  <c r="AG51" i="20"/>
  <c r="AF51" i="20"/>
  <c r="AB51" i="20"/>
  <c r="T51" i="20"/>
  <c r="S51" i="20"/>
  <c r="R51" i="20"/>
  <c r="AM51" i="20" s="1"/>
  <c r="H51" i="20"/>
  <c r="G51" i="20"/>
  <c r="AR50" i="20"/>
  <c r="AL50" i="20"/>
  <c r="AK50" i="20"/>
  <c r="AG50" i="20"/>
  <c r="AF50" i="20"/>
  <c r="AB50" i="20"/>
  <c r="T50" i="20"/>
  <c r="S50" i="20"/>
  <c r="R50" i="20"/>
  <c r="AM50" i="20" s="1"/>
  <c r="H50" i="20"/>
  <c r="G50" i="20"/>
  <c r="AR49" i="20"/>
  <c r="AL49" i="20"/>
  <c r="AK49" i="20"/>
  <c r="AG49" i="20"/>
  <c r="AF49" i="20"/>
  <c r="AB49" i="20"/>
  <c r="T49" i="20"/>
  <c r="S49" i="20"/>
  <c r="R49" i="20"/>
  <c r="AM49" i="20" s="1"/>
  <c r="H49" i="20"/>
  <c r="G49" i="20"/>
  <c r="AR48" i="20"/>
  <c r="AL48" i="20"/>
  <c r="AK48" i="20"/>
  <c r="AG48" i="20"/>
  <c r="AF48" i="20"/>
  <c r="AB48" i="20"/>
  <c r="T48" i="20"/>
  <c r="S48" i="20"/>
  <c r="R48" i="20"/>
  <c r="AM48" i="20" s="1"/>
  <c r="H48" i="20"/>
  <c r="G48" i="20"/>
  <c r="AR47" i="20"/>
  <c r="AL47" i="20"/>
  <c r="AK47" i="20"/>
  <c r="AG47" i="20"/>
  <c r="AF47" i="20"/>
  <c r="AB47" i="20"/>
  <c r="T47" i="20"/>
  <c r="S47" i="20"/>
  <c r="R47" i="20"/>
  <c r="AM47" i="20" s="1"/>
  <c r="H47" i="20"/>
  <c r="G47" i="20"/>
  <c r="AR46" i="20"/>
  <c r="AL46" i="20"/>
  <c r="AK46" i="20"/>
  <c r="AG46" i="20"/>
  <c r="AF46" i="20"/>
  <c r="AB46" i="20"/>
  <c r="T46" i="20"/>
  <c r="S46" i="20"/>
  <c r="R46" i="20"/>
  <c r="AM46" i="20" s="1"/>
  <c r="H46" i="20"/>
  <c r="G46" i="20"/>
  <c r="AR45" i="20"/>
  <c r="AL45" i="20"/>
  <c r="AK45" i="20"/>
  <c r="AG45" i="20"/>
  <c r="AF45" i="20"/>
  <c r="AB45" i="20"/>
  <c r="T45" i="20"/>
  <c r="S45" i="20"/>
  <c r="R45" i="20"/>
  <c r="AM45" i="20" s="1"/>
  <c r="H45" i="20"/>
  <c r="G45" i="20"/>
  <c r="AR44" i="20"/>
  <c r="AL44" i="20"/>
  <c r="AK44" i="20"/>
  <c r="AG44" i="20"/>
  <c r="AF44" i="20"/>
  <c r="AB44" i="20"/>
  <c r="T44" i="20"/>
  <c r="S44" i="20"/>
  <c r="R44" i="20"/>
  <c r="AM44" i="20" s="1"/>
  <c r="H44" i="20"/>
  <c r="G44" i="20"/>
  <c r="AR43" i="20"/>
  <c r="AL43" i="20"/>
  <c r="AK43" i="20"/>
  <c r="AG43" i="20"/>
  <c r="AF43" i="20"/>
  <c r="AB43" i="20"/>
  <c r="AA43" i="20"/>
  <c r="T43" i="20"/>
  <c r="S43" i="20"/>
  <c r="R43" i="20"/>
  <c r="AM43" i="20" s="1"/>
  <c r="H43" i="20"/>
  <c r="G43" i="20"/>
  <c r="AR42" i="20"/>
  <c r="AL42" i="20"/>
  <c r="AK42" i="20"/>
  <c r="AG42" i="20"/>
  <c r="AF42" i="20"/>
  <c r="AB42" i="20"/>
  <c r="AA42" i="20"/>
  <c r="T42" i="20"/>
  <c r="S42" i="20"/>
  <c r="R42" i="20"/>
  <c r="AM42" i="20" s="1"/>
  <c r="H42" i="20"/>
  <c r="G42" i="20"/>
  <c r="AR41" i="20"/>
  <c r="AL41" i="20"/>
  <c r="AK41" i="20"/>
  <c r="AG41" i="20"/>
  <c r="AF41" i="20"/>
  <c r="AB41" i="20"/>
  <c r="AA41" i="20"/>
  <c r="T41" i="20"/>
  <c r="S41" i="20"/>
  <c r="R41" i="20"/>
  <c r="AM41" i="20" s="1"/>
  <c r="H41" i="20"/>
  <c r="G41" i="20"/>
  <c r="AR40" i="20"/>
  <c r="AL40" i="20"/>
  <c r="AK40" i="20"/>
  <c r="AG40" i="20"/>
  <c r="AF40" i="20"/>
  <c r="AB40" i="20"/>
  <c r="AA40" i="20"/>
  <c r="T40" i="20"/>
  <c r="S40" i="20"/>
  <c r="R40" i="20"/>
  <c r="AM40" i="20" s="1"/>
  <c r="H40" i="20"/>
  <c r="G40" i="20"/>
  <c r="AR39" i="20"/>
  <c r="AL39" i="20"/>
  <c r="AK39" i="20"/>
  <c r="AG39" i="20"/>
  <c r="AF39" i="20"/>
  <c r="AB39" i="20"/>
  <c r="AA39" i="20"/>
  <c r="T39" i="20"/>
  <c r="S39" i="20"/>
  <c r="R39" i="20"/>
  <c r="AM39" i="20" s="1"/>
  <c r="AR38" i="20"/>
  <c r="AL38" i="20"/>
  <c r="AK38" i="20"/>
  <c r="AG38" i="20"/>
  <c r="AF38" i="20"/>
  <c r="AB38" i="20"/>
  <c r="AA38" i="20"/>
  <c r="T38" i="20"/>
  <c r="S38" i="20"/>
  <c r="R38" i="20"/>
  <c r="AM38" i="20" s="1"/>
  <c r="AR37" i="20"/>
  <c r="AL37" i="20"/>
  <c r="AK37" i="20"/>
  <c r="AG37" i="20"/>
  <c r="AF37" i="20"/>
  <c r="AB37" i="20"/>
  <c r="AA37" i="20"/>
  <c r="T37" i="20"/>
  <c r="S37" i="20"/>
  <c r="R37" i="20"/>
  <c r="AM37" i="20" s="1"/>
  <c r="AR36" i="20"/>
  <c r="AL36" i="20"/>
  <c r="AK36" i="20"/>
  <c r="AG36" i="20"/>
  <c r="AF36" i="20"/>
  <c r="AB36" i="20"/>
  <c r="AA36" i="20"/>
  <c r="T36" i="20"/>
  <c r="S36" i="20"/>
  <c r="R36" i="20"/>
  <c r="AM36" i="20" s="1"/>
  <c r="AR35" i="20"/>
  <c r="AL35" i="20"/>
  <c r="AK35" i="20"/>
  <c r="AG35" i="20"/>
  <c r="AF35" i="20"/>
  <c r="AB35" i="20"/>
  <c r="AA35" i="20"/>
  <c r="T35" i="20"/>
  <c r="S35" i="20"/>
  <c r="R35" i="20"/>
  <c r="AM35" i="20" s="1"/>
  <c r="AR34" i="20"/>
  <c r="AL34" i="20"/>
  <c r="AK34" i="20"/>
  <c r="AG34" i="20"/>
  <c r="AF34" i="20"/>
  <c r="AB34" i="20"/>
  <c r="AA34" i="20"/>
  <c r="T34" i="20"/>
  <c r="S34" i="20"/>
  <c r="R34" i="20"/>
  <c r="AM34" i="20" s="1"/>
  <c r="AR33" i="20"/>
  <c r="AL33" i="20"/>
  <c r="AK33" i="20"/>
  <c r="AG33" i="20"/>
  <c r="AF33" i="20"/>
  <c r="AB33" i="20"/>
  <c r="AA33" i="20"/>
  <c r="T33" i="20"/>
  <c r="S33" i="20"/>
  <c r="R33" i="20"/>
  <c r="AM33" i="20" s="1"/>
  <c r="AR32" i="20"/>
  <c r="AL32" i="20"/>
  <c r="AK32" i="20"/>
  <c r="AG32" i="20"/>
  <c r="AF32" i="20"/>
  <c r="AB32" i="20"/>
  <c r="AA32" i="20"/>
  <c r="T32" i="20"/>
  <c r="S32" i="20"/>
  <c r="R32" i="20"/>
  <c r="AM32" i="20" s="1"/>
  <c r="AR31" i="20"/>
  <c r="AL31" i="20"/>
  <c r="AK31" i="20"/>
  <c r="AG31" i="20"/>
  <c r="AF31" i="20"/>
  <c r="AB31" i="20"/>
  <c r="AA31" i="20"/>
  <c r="T31" i="20"/>
  <c r="S31" i="20"/>
  <c r="R31" i="20"/>
  <c r="AM31" i="20" s="1"/>
  <c r="AR30" i="20"/>
  <c r="AL30" i="20"/>
  <c r="AK30" i="20"/>
  <c r="AG30" i="20"/>
  <c r="AF30" i="20"/>
  <c r="AB30" i="20"/>
  <c r="AA30" i="20"/>
  <c r="T30" i="20"/>
  <c r="S30" i="20"/>
  <c r="R30" i="20"/>
  <c r="AM30" i="20" s="1"/>
  <c r="AR29" i="20"/>
  <c r="AL29" i="20"/>
  <c r="AK29" i="20"/>
  <c r="AG29" i="20"/>
  <c r="AF29" i="20"/>
  <c r="AB29" i="20"/>
  <c r="AA29" i="20"/>
  <c r="T29" i="20"/>
  <c r="S29" i="20"/>
  <c r="R29" i="20"/>
  <c r="AM29" i="20" s="1"/>
  <c r="AR28" i="20"/>
  <c r="AL28" i="20"/>
  <c r="AK28" i="20"/>
  <c r="AG28" i="20"/>
  <c r="AF28" i="20"/>
  <c r="AB28" i="20"/>
  <c r="AA28" i="20"/>
  <c r="T28" i="20"/>
  <c r="S28" i="20"/>
  <c r="R28" i="20"/>
  <c r="AM28" i="20" s="1"/>
  <c r="AR27" i="20"/>
  <c r="AL27" i="20"/>
  <c r="AK27" i="20"/>
  <c r="AG27" i="20"/>
  <c r="AF27" i="20"/>
  <c r="AB27" i="20"/>
  <c r="AA27" i="20"/>
  <c r="T27" i="20"/>
  <c r="S27" i="20"/>
  <c r="R27" i="20"/>
  <c r="AM27" i="20" s="1"/>
  <c r="AR26" i="20"/>
  <c r="AL26" i="20"/>
  <c r="AK26" i="20"/>
  <c r="AG26" i="20"/>
  <c r="AF26" i="20"/>
  <c r="AB26" i="20"/>
  <c r="AA26" i="20"/>
  <c r="T26" i="20"/>
  <c r="S26" i="20"/>
  <c r="R26" i="20"/>
  <c r="AM26" i="20" s="1"/>
  <c r="AR25" i="20"/>
  <c r="AL25" i="20"/>
  <c r="AK25" i="20"/>
  <c r="AG25" i="20"/>
  <c r="AF25" i="20"/>
  <c r="AB25" i="20"/>
  <c r="AA25" i="20"/>
  <c r="T25" i="20"/>
  <c r="S25" i="20"/>
  <c r="R25" i="20"/>
  <c r="AM25" i="20" s="1"/>
  <c r="H25" i="20"/>
  <c r="G25" i="20"/>
  <c r="AR24" i="20"/>
  <c r="AL24" i="20"/>
  <c r="AK24" i="20"/>
  <c r="AG24" i="20"/>
  <c r="AF24" i="20"/>
  <c r="AB24" i="20"/>
  <c r="AA24" i="20"/>
  <c r="T24" i="20"/>
  <c r="S24" i="20"/>
  <c r="R24" i="20"/>
  <c r="AM24" i="20" s="1"/>
  <c r="H24" i="20"/>
  <c r="G24" i="20"/>
  <c r="AR23" i="20"/>
  <c r="AL23" i="20"/>
  <c r="AK23" i="20"/>
  <c r="AG23" i="20"/>
  <c r="AF23" i="20"/>
  <c r="AB23" i="20"/>
  <c r="AA23" i="20"/>
  <c r="T23" i="20"/>
  <c r="S23" i="20"/>
  <c r="R23" i="20"/>
  <c r="AM23" i="20" s="1"/>
  <c r="H23" i="20"/>
  <c r="G23" i="20"/>
  <c r="AR22" i="20"/>
  <c r="AL22" i="20"/>
  <c r="AK22" i="20"/>
  <c r="AG22" i="20"/>
  <c r="AF22" i="20"/>
  <c r="AB22" i="20"/>
  <c r="AA22" i="20"/>
  <c r="T22" i="20"/>
  <c r="S22" i="20"/>
  <c r="R22" i="20"/>
  <c r="AM22" i="20" s="1"/>
  <c r="H22" i="20"/>
  <c r="G22" i="20"/>
  <c r="AR21" i="20"/>
  <c r="AL21" i="20"/>
  <c r="AK21" i="20"/>
  <c r="AG21" i="20"/>
  <c r="AF21" i="20"/>
  <c r="AB21" i="20"/>
  <c r="AA21" i="20"/>
  <c r="T21" i="20"/>
  <c r="S21" i="20"/>
  <c r="R21" i="20"/>
  <c r="AM21" i="20" s="1"/>
  <c r="H21" i="20"/>
  <c r="G21" i="20"/>
  <c r="AR20" i="20"/>
  <c r="AL20" i="20"/>
  <c r="AK20" i="20"/>
  <c r="AG20" i="20"/>
  <c r="AF20" i="20"/>
  <c r="AB20" i="20"/>
  <c r="AA20" i="20"/>
  <c r="T20" i="20"/>
  <c r="S20" i="20"/>
  <c r="R20" i="20"/>
  <c r="AM20" i="20" s="1"/>
  <c r="H20" i="20"/>
  <c r="G20" i="20"/>
  <c r="AR19" i="20"/>
  <c r="AL19" i="20"/>
  <c r="AK19" i="20"/>
  <c r="AG19" i="20"/>
  <c r="AF19" i="20"/>
  <c r="AB19" i="20"/>
  <c r="AA19" i="20"/>
  <c r="T19" i="20"/>
  <c r="S19" i="20"/>
  <c r="R19" i="20"/>
  <c r="AM19" i="20" s="1"/>
  <c r="H19" i="20"/>
  <c r="G19" i="20"/>
  <c r="AR18" i="20"/>
  <c r="AL18" i="20"/>
  <c r="AK18" i="20"/>
  <c r="AG18" i="20"/>
  <c r="AF18" i="20"/>
  <c r="AB18" i="20"/>
  <c r="AA18" i="20"/>
  <c r="T18" i="20"/>
  <c r="S18" i="20"/>
  <c r="R18" i="20"/>
  <c r="AM18" i="20" s="1"/>
  <c r="H18" i="20"/>
  <c r="G18" i="20"/>
  <c r="AR17" i="20"/>
  <c r="AL17" i="20"/>
  <c r="AK17" i="20"/>
  <c r="AG17" i="20"/>
  <c r="AF17" i="20"/>
  <c r="AB17" i="20"/>
  <c r="AA17" i="20"/>
  <c r="T17" i="20"/>
  <c r="S17" i="20"/>
  <c r="R17" i="20"/>
  <c r="AM17" i="20" s="1"/>
  <c r="H17" i="20"/>
  <c r="G17" i="20"/>
  <c r="AR16" i="20"/>
  <c r="AL16" i="20"/>
  <c r="AK16" i="20"/>
  <c r="AG16" i="20"/>
  <c r="AF16" i="20"/>
  <c r="AB16" i="20"/>
  <c r="AA16" i="20"/>
  <c r="T16" i="20"/>
  <c r="S16" i="20"/>
  <c r="R16" i="20"/>
  <c r="AM16" i="20" s="1"/>
  <c r="H16" i="20"/>
  <c r="G16" i="20"/>
  <c r="AR15" i="20"/>
  <c r="AL15" i="20"/>
  <c r="AK15" i="20"/>
  <c r="AG15" i="20"/>
  <c r="AF15" i="20"/>
  <c r="AB15" i="20"/>
  <c r="AA15" i="20"/>
  <c r="T15" i="20"/>
  <c r="S15" i="20"/>
  <c r="R15" i="20"/>
  <c r="AM15" i="20" s="1"/>
  <c r="H15" i="20"/>
  <c r="G15" i="20"/>
  <c r="AR14" i="20"/>
  <c r="AL14" i="20"/>
  <c r="AK14" i="20"/>
  <c r="AG14" i="20"/>
  <c r="AF14" i="20"/>
  <c r="AB14" i="20"/>
  <c r="AA14" i="20"/>
  <c r="T14" i="20"/>
  <c r="S14" i="20"/>
  <c r="R14" i="20"/>
  <c r="AM14" i="20" s="1"/>
  <c r="H14" i="20"/>
  <c r="G14" i="20"/>
  <c r="AR13" i="20"/>
  <c r="AL13" i="20"/>
  <c r="AK13" i="20"/>
  <c r="AG13" i="20"/>
  <c r="AF13" i="20"/>
  <c r="AB13" i="20"/>
  <c r="AA13" i="20"/>
  <c r="T13" i="20"/>
  <c r="S13" i="20"/>
  <c r="R13" i="20"/>
  <c r="AM13" i="20" s="1"/>
  <c r="H13" i="20"/>
  <c r="G13" i="20"/>
  <c r="AR12" i="20"/>
  <c r="AL12" i="20"/>
  <c r="AK12" i="20"/>
  <c r="AG12" i="20"/>
  <c r="AF12" i="20"/>
  <c r="AB12" i="20"/>
  <c r="AA12" i="20"/>
  <c r="T12" i="20"/>
  <c r="S12" i="20"/>
  <c r="R12" i="20"/>
  <c r="AM12" i="20" s="1"/>
  <c r="H12" i="20"/>
  <c r="G12" i="20"/>
  <c r="AR11" i="20"/>
  <c r="AL11" i="20"/>
  <c r="AK11" i="20"/>
  <c r="AG11" i="20"/>
  <c r="AF11" i="20"/>
  <c r="AB11" i="20"/>
  <c r="AA11" i="20"/>
  <c r="T11" i="20"/>
  <c r="S11" i="20"/>
  <c r="R11" i="20"/>
  <c r="AM11" i="20" s="1"/>
  <c r="H11" i="20"/>
  <c r="G11" i="20"/>
  <c r="AR10" i="20"/>
  <c r="AL10" i="20"/>
  <c r="AK10" i="20"/>
  <c r="AG10" i="20"/>
  <c r="AF10" i="20"/>
  <c r="AB10" i="20"/>
  <c r="AA10" i="20"/>
  <c r="T10" i="20"/>
  <c r="S10" i="20"/>
  <c r="R10" i="20"/>
  <c r="AM10" i="20" s="1"/>
  <c r="H10" i="20"/>
  <c r="G10" i="20"/>
  <c r="AR9" i="20"/>
  <c r="AL9" i="20"/>
  <c r="AK9" i="20"/>
  <c r="AG9" i="20"/>
  <c r="AF9" i="20"/>
  <c r="AB9" i="20"/>
  <c r="AA9" i="20"/>
  <c r="T9" i="20"/>
  <c r="S9" i="20"/>
  <c r="R9" i="20"/>
  <c r="AM9" i="20" s="1"/>
  <c r="H9" i="20"/>
  <c r="G9" i="20"/>
  <c r="AR8" i="20"/>
  <c r="AL8" i="20"/>
  <c r="AK8" i="20"/>
  <c r="AG8" i="20"/>
  <c r="AF8" i="20"/>
  <c r="AB8" i="20"/>
  <c r="AA8" i="20"/>
  <c r="T8" i="20"/>
  <c r="S8" i="20"/>
  <c r="R8" i="20"/>
  <c r="AM8" i="20" s="1"/>
  <c r="H8" i="20"/>
  <c r="G8" i="20"/>
  <c r="AR7" i="20"/>
  <c r="AL7" i="20"/>
  <c r="AK7" i="20"/>
  <c r="AG7" i="20"/>
  <c r="AF7" i="20"/>
  <c r="AB7" i="20"/>
  <c r="AA7" i="20"/>
  <c r="T7" i="20"/>
  <c r="S7" i="20"/>
  <c r="R7" i="20"/>
  <c r="AM7" i="20" s="1"/>
  <c r="H7" i="20"/>
  <c r="G7" i="20"/>
  <c r="AR6" i="20"/>
  <c r="AL6" i="20"/>
  <c r="AK6" i="20"/>
  <c r="AG6" i="20"/>
  <c r="AF6" i="20"/>
  <c r="AB6" i="20"/>
  <c r="AA6" i="20"/>
  <c r="T6" i="20"/>
  <c r="S6" i="20"/>
  <c r="R6" i="20"/>
  <c r="AM6" i="20" s="1"/>
  <c r="H6" i="20"/>
  <c r="G6" i="20"/>
  <c r="B6" i="20"/>
  <c r="B8" i="20" s="1"/>
  <c r="AR5" i="20"/>
  <c r="AL5" i="20"/>
  <c r="AK5" i="20"/>
  <c r="AG5" i="20"/>
  <c r="AF5" i="20"/>
  <c r="AB5" i="20"/>
  <c r="AA5" i="20"/>
  <c r="T5" i="20"/>
  <c r="S5" i="20"/>
  <c r="R5" i="20"/>
  <c r="AM5" i="20" s="1"/>
  <c r="H5" i="20"/>
  <c r="G5" i="20"/>
  <c r="B5" i="20"/>
  <c r="A5" i="20" s="1"/>
  <c r="AR4" i="20"/>
  <c r="AL4" i="20"/>
  <c r="AK4" i="20"/>
  <c r="AG4" i="20"/>
  <c r="AF4" i="20"/>
  <c r="AB4" i="20"/>
  <c r="AA4" i="20"/>
  <c r="T4" i="20"/>
  <c r="S4" i="20"/>
  <c r="R4" i="20"/>
  <c r="H4" i="20"/>
  <c r="G4" i="20"/>
  <c r="A4" i="20"/>
  <c r="AP1" i="20"/>
  <c r="AO59" i="20" l="1"/>
  <c r="AO60" i="20"/>
  <c r="AO52" i="20"/>
  <c r="AN51" i="20"/>
  <c r="AN19" i="20"/>
  <c r="AN61" i="20"/>
  <c r="AN62" i="20"/>
  <c r="AN64" i="20"/>
  <c r="AN53" i="20"/>
  <c r="AN54" i="20"/>
  <c r="AN65" i="20"/>
  <c r="AO20" i="20"/>
  <c r="AO24" i="20"/>
  <c r="AN25" i="20"/>
  <c r="AO28" i="20"/>
  <c r="AO50" i="20"/>
  <c r="AO54" i="20"/>
  <c r="AN55" i="20"/>
  <c r="AN56" i="20"/>
  <c r="AO61" i="20"/>
  <c r="AO62" i="20"/>
  <c r="AN63" i="20"/>
  <c r="AO64" i="20"/>
  <c r="AO65" i="20"/>
  <c r="AO32" i="20"/>
  <c r="AO51" i="20"/>
  <c r="AN52" i="20"/>
  <c r="AO55" i="20"/>
  <c r="AO56" i="20"/>
  <c r="AN57" i="20"/>
  <c r="AN58" i="20"/>
  <c r="AO63" i="20"/>
  <c r="Y71" i="20"/>
  <c r="W71" i="20" s="1"/>
  <c r="AO48" i="20"/>
  <c r="AO57" i="20"/>
  <c r="AO58" i="20"/>
  <c r="AN59" i="20"/>
  <c r="AP59" i="20" s="1"/>
  <c r="AN60" i="20"/>
  <c r="A6" i="20"/>
  <c r="AO36" i="20"/>
  <c r="AO40" i="20"/>
  <c r="AO44" i="20"/>
  <c r="AN8" i="20"/>
  <c r="AN9" i="20"/>
  <c r="AN10" i="20"/>
  <c r="AN11" i="20"/>
  <c r="AO39" i="20"/>
  <c r="AO23" i="20"/>
  <c r="AO6" i="20"/>
  <c r="AO9" i="20"/>
  <c r="AN29" i="20"/>
  <c r="AN31" i="20"/>
  <c r="AN48" i="20"/>
  <c r="AO4" i="20"/>
  <c r="AN5" i="20"/>
  <c r="AN16" i="20"/>
  <c r="AN17" i="20"/>
  <c r="AN18" i="20"/>
  <c r="AN20" i="20"/>
  <c r="AO30" i="20"/>
  <c r="AN35" i="20"/>
  <c r="AN36" i="20"/>
  <c r="AO46" i="20"/>
  <c r="AO7" i="20"/>
  <c r="AO8" i="20"/>
  <c r="AN32" i="20"/>
  <c r="AN45" i="20"/>
  <c r="AN47" i="20"/>
  <c r="R66" i="20"/>
  <c r="AO5" i="20"/>
  <c r="AO14" i="20"/>
  <c r="AO15" i="20"/>
  <c r="AO16" i="20"/>
  <c r="AO17" i="20"/>
  <c r="AO34" i="20"/>
  <c r="AO35" i="20"/>
  <c r="AN41" i="20"/>
  <c r="AO11" i="20"/>
  <c r="AN12" i="20"/>
  <c r="AN13" i="20"/>
  <c r="AO18" i="20"/>
  <c r="AN27" i="20"/>
  <c r="AN37" i="20"/>
  <c r="AO42" i="20"/>
  <c r="AO47" i="20"/>
  <c r="AN4" i="20"/>
  <c r="AN6" i="20"/>
  <c r="AN7" i="20"/>
  <c r="AO12" i="20"/>
  <c r="AO13" i="20"/>
  <c r="AN14" i="20"/>
  <c r="AN15" i="20"/>
  <c r="AO22" i="20"/>
  <c r="AN23" i="20"/>
  <c r="AN24" i="20"/>
  <c r="AO27" i="20"/>
  <c r="AN33" i="20"/>
  <c r="AO38" i="20"/>
  <c r="AN39" i="20"/>
  <c r="AN40" i="20"/>
  <c r="AO43" i="20"/>
  <c r="AN49" i="20"/>
  <c r="AO10" i="20"/>
  <c r="AO19" i="20"/>
  <c r="AN21" i="20"/>
  <c r="AO26" i="20"/>
  <c r="AN28" i="20"/>
  <c r="AP28" i="20" s="1"/>
  <c r="AO31" i="20"/>
  <c r="AN43" i="20"/>
  <c r="AN44" i="20"/>
  <c r="A8" i="20"/>
  <c r="B10" i="20"/>
  <c r="B7" i="20"/>
  <c r="AO21" i="20"/>
  <c r="AN26" i="20"/>
  <c r="AO29" i="20"/>
  <c r="AN34" i="20"/>
  <c r="AO37" i="20"/>
  <c r="AN42" i="20"/>
  <c r="AO45" i="20"/>
  <c r="AN50" i="20"/>
  <c r="AO53" i="20"/>
  <c r="S66" i="20"/>
  <c r="AM4" i="20"/>
  <c r="AM66" i="20" s="1"/>
  <c r="H10" i="1" s="1"/>
  <c r="AN22" i="20"/>
  <c r="AO25" i="20"/>
  <c r="AN30" i="20"/>
  <c r="AO33" i="20"/>
  <c r="AN38" i="20"/>
  <c r="AO41" i="20"/>
  <c r="AN46" i="20"/>
  <c r="AO49" i="20"/>
  <c r="T66" i="20"/>
  <c r="AP15" i="20" l="1"/>
  <c r="AP14" i="20"/>
  <c r="AP7" i="20"/>
  <c r="AP31" i="20"/>
  <c r="AP60" i="20"/>
  <c r="AP64" i="20"/>
  <c r="AP65" i="20"/>
  <c r="AP39" i="20"/>
  <c r="AP11" i="20"/>
  <c r="AP58" i="20"/>
  <c r="AP44" i="20"/>
  <c r="AP37" i="20"/>
  <c r="AP51" i="20"/>
  <c r="AP52" i="20"/>
  <c r="AP61" i="20"/>
  <c r="AP57" i="20"/>
  <c r="AP53" i="20"/>
  <c r="AP46" i="20"/>
  <c r="AP19" i="20"/>
  <c r="AP4" i="20"/>
  <c r="AP20" i="20"/>
  <c r="AP50" i="20"/>
  <c r="AP48" i="20"/>
  <c r="AP62" i="20"/>
  <c r="AP54" i="20"/>
  <c r="AP40" i="20"/>
  <c r="AP35" i="20"/>
  <c r="AP21" i="20"/>
  <c r="AP24" i="20"/>
  <c r="AP56" i="20"/>
  <c r="AP32" i="20"/>
  <c r="AP63" i="20"/>
  <c r="AP55" i="20"/>
  <c r="AP17" i="20"/>
  <c r="AP8" i="20"/>
  <c r="AP10" i="20"/>
  <c r="AP6" i="20"/>
  <c r="AP49" i="20"/>
  <c r="AP36" i="20"/>
  <c r="AP29" i="20"/>
  <c r="AP23" i="20"/>
  <c r="AP9" i="20"/>
  <c r="AP16" i="20"/>
  <c r="AP5" i="20"/>
  <c r="AP12" i="20"/>
  <c r="AP47" i="20"/>
  <c r="AP18" i="20"/>
  <c r="AP33" i="20"/>
  <c r="AP13" i="20"/>
  <c r="AP43" i="20"/>
  <c r="AP42" i="20"/>
  <c r="AP27" i="20"/>
  <c r="AP34" i="20"/>
  <c r="AP45" i="20"/>
  <c r="AP38" i="20"/>
  <c r="AP22" i="20"/>
  <c r="AO66" i="20"/>
  <c r="J10" i="1" s="1"/>
  <c r="AP41" i="20"/>
  <c r="AP25" i="20"/>
  <c r="AP30" i="20"/>
  <c r="A10" i="20"/>
  <c r="B12" i="20"/>
  <c r="AP26" i="20"/>
  <c r="A7" i="20"/>
  <c r="B9" i="20"/>
  <c r="AN66" i="20"/>
  <c r="I10" i="1" s="1"/>
  <c r="M10" i="1" l="1"/>
  <c r="N10" i="1" s="1"/>
  <c r="B11" i="20"/>
  <c r="A9" i="20"/>
  <c r="A12" i="20"/>
  <c r="B14" i="20"/>
  <c r="A11" i="20" l="1"/>
  <c r="B13" i="20"/>
  <c r="B16" i="20"/>
  <c r="A14" i="20"/>
  <c r="B15" i="20" l="1"/>
  <c r="A13" i="20"/>
  <c r="A16" i="20"/>
  <c r="B18" i="20"/>
  <c r="A18" i="20" l="1"/>
  <c r="B20" i="20"/>
  <c r="A15" i="20"/>
  <c r="B17" i="20"/>
  <c r="B19" i="20" l="1"/>
  <c r="A17" i="20"/>
  <c r="A20" i="20"/>
  <c r="B22" i="20"/>
  <c r="B21" i="20" l="1"/>
  <c r="A19" i="20"/>
  <c r="A22" i="20"/>
  <c r="B24" i="20"/>
  <c r="B23" i="20" l="1"/>
  <c r="A21" i="20"/>
  <c r="A24" i="20"/>
  <c r="B26" i="20"/>
  <c r="A26" i="20" l="1"/>
  <c r="B28" i="20"/>
  <c r="B25" i="20"/>
  <c r="A23" i="20"/>
  <c r="B27" i="20" l="1"/>
  <c r="A25" i="20"/>
  <c r="A28" i="20"/>
  <c r="B30" i="20"/>
  <c r="B29" i="20" l="1"/>
  <c r="A27" i="20"/>
  <c r="A30" i="20"/>
  <c r="B32" i="20"/>
  <c r="A32" i="20" l="1"/>
  <c r="B34" i="20"/>
  <c r="B31" i="20"/>
  <c r="A29" i="20"/>
  <c r="B33" i="20" l="1"/>
  <c r="A31" i="20"/>
  <c r="A34" i="20"/>
  <c r="B36" i="20"/>
  <c r="A36" i="20" l="1"/>
  <c r="B38" i="20"/>
  <c r="B35" i="20"/>
  <c r="A33" i="20"/>
  <c r="B37" i="20" l="1"/>
  <c r="A35" i="20"/>
  <c r="A38" i="20"/>
  <c r="B40" i="20"/>
  <c r="A40" i="20" l="1"/>
  <c r="B42" i="20"/>
  <c r="B39" i="20"/>
  <c r="A37" i="20"/>
  <c r="B41" i="20" l="1"/>
  <c r="A39" i="20"/>
  <c r="A42" i="20"/>
  <c r="B44" i="20"/>
  <c r="A44" i="20" l="1"/>
  <c r="B46" i="20"/>
  <c r="B43" i="20"/>
  <c r="A41" i="20"/>
  <c r="B45" i="20" l="1"/>
  <c r="A43" i="20"/>
  <c r="A46" i="20"/>
  <c r="B48" i="20"/>
  <c r="A48" i="20" l="1"/>
  <c r="B50" i="20"/>
  <c r="B47" i="20"/>
  <c r="A45" i="20"/>
  <c r="B49" i="20" l="1"/>
  <c r="A47" i="20"/>
  <c r="A50" i="20"/>
  <c r="B52" i="20"/>
  <c r="A52" i="20" l="1"/>
  <c r="B54" i="20"/>
  <c r="B51" i="20"/>
  <c r="A49" i="20"/>
  <c r="B53" i="20" l="1"/>
  <c r="A51" i="20"/>
  <c r="B56" i="20"/>
  <c r="A54" i="20"/>
  <c r="A56" i="20" l="1"/>
  <c r="B58" i="20"/>
  <c r="B55" i="20"/>
  <c r="A53" i="20"/>
  <c r="A55" i="20" l="1"/>
  <c r="B57" i="20"/>
  <c r="B60" i="20"/>
  <c r="A58" i="20"/>
  <c r="A60" i="20" l="1"/>
  <c r="B62" i="20"/>
  <c r="A57" i="20"/>
  <c r="B59" i="20"/>
  <c r="A59" i="20" l="1"/>
  <c r="B61" i="20"/>
  <c r="B64" i="20"/>
  <c r="A64" i="20" s="1"/>
  <c r="A62" i="20"/>
  <c r="A61" i="20" l="1"/>
  <c r="B63" i="20"/>
  <c r="A63" i="20" l="1"/>
  <c r="B65" i="20"/>
  <c r="A65" i="20" s="1"/>
  <c r="AA26" i="10" l="1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S55" i="9" l="1"/>
  <c r="G42" i="10" l="1"/>
  <c r="H42" i="10"/>
  <c r="G43" i="10"/>
  <c r="H43" i="10"/>
  <c r="G44" i="10"/>
  <c r="H44" i="10"/>
  <c r="G45" i="10"/>
  <c r="H45" i="10"/>
  <c r="J66" i="19" l="1"/>
  <c r="G25" i="1" s="1"/>
  <c r="AR65" i="19"/>
  <c r="AM65" i="19"/>
  <c r="AR64" i="19"/>
  <c r="AM64" i="19"/>
  <c r="AR63" i="19"/>
  <c r="AM63" i="19"/>
  <c r="AR62" i="19"/>
  <c r="AM62" i="19"/>
  <c r="AR61" i="19"/>
  <c r="AM61" i="19"/>
  <c r="AR60" i="19"/>
  <c r="AM60" i="19"/>
  <c r="AR59" i="19"/>
  <c r="AM59" i="19"/>
  <c r="AR58" i="19"/>
  <c r="AM58" i="19"/>
  <c r="AR57" i="19"/>
  <c r="AM57" i="19"/>
  <c r="AR56" i="19"/>
  <c r="AM56" i="19"/>
  <c r="AR55" i="19"/>
  <c r="AM55" i="19"/>
  <c r="AR54" i="19"/>
  <c r="AM54" i="19"/>
  <c r="AR53" i="19"/>
  <c r="AM53" i="19"/>
  <c r="AR52" i="19"/>
  <c r="AM52" i="19"/>
  <c r="AR51" i="19"/>
  <c r="AM51" i="19"/>
  <c r="AR50" i="19"/>
  <c r="AM50" i="19"/>
  <c r="AR49" i="19"/>
  <c r="AM49" i="19"/>
  <c r="AR48" i="19"/>
  <c r="AM48" i="19"/>
  <c r="AR47" i="19"/>
  <c r="AM47" i="19"/>
  <c r="AR46" i="19"/>
  <c r="AM46" i="19"/>
  <c r="AR45" i="19"/>
  <c r="AM45" i="19"/>
  <c r="AR44" i="19"/>
  <c r="AM44" i="19"/>
  <c r="AR43" i="19"/>
  <c r="AM43" i="19"/>
  <c r="AR42" i="19"/>
  <c r="AM42" i="19"/>
  <c r="AR41" i="19"/>
  <c r="AM41" i="19"/>
  <c r="AR40" i="19"/>
  <c r="AM40" i="19"/>
  <c r="AR39" i="19"/>
  <c r="AM39" i="19"/>
  <c r="AR38" i="19"/>
  <c r="AM38" i="19"/>
  <c r="AR37" i="19"/>
  <c r="AM37" i="19"/>
  <c r="AR36" i="19"/>
  <c r="AM36" i="19"/>
  <c r="AR35" i="19"/>
  <c r="AM35" i="19"/>
  <c r="AR34" i="19"/>
  <c r="AM34" i="19"/>
  <c r="AR33" i="19"/>
  <c r="AM33" i="19"/>
  <c r="G34" i="19" s="1"/>
  <c r="AR32" i="19"/>
  <c r="AM32" i="19"/>
  <c r="G33" i="19" s="1"/>
  <c r="AR31" i="19"/>
  <c r="AM31" i="19"/>
  <c r="G32" i="19" s="1"/>
  <c r="AR30" i="19"/>
  <c r="AM30" i="19"/>
  <c r="G31" i="19" s="1"/>
  <c r="AR29" i="19"/>
  <c r="AM29" i="19"/>
  <c r="G30" i="19" s="1"/>
  <c r="AR28" i="19"/>
  <c r="AM28" i="19"/>
  <c r="G29" i="19" s="1"/>
  <c r="AR27" i="19"/>
  <c r="AM27" i="19"/>
  <c r="G28" i="19" s="1"/>
  <c r="AR26" i="19"/>
  <c r="AM26" i="19"/>
  <c r="G27" i="19" s="1"/>
  <c r="AR25" i="19"/>
  <c r="AM25" i="19"/>
  <c r="AR24" i="19"/>
  <c r="AM24" i="19"/>
  <c r="AR23" i="19"/>
  <c r="AM23" i="19"/>
  <c r="AR22" i="19"/>
  <c r="AM22" i="19"/>
  <c r="AR21" i="19"/>
  <c r="AM21" i="19"/>
  <c r="AR20" i="19"/>
  <c r="AM20" i="19"/>
  <c r="AR19" i="19"/>
  <c r="AM19" i="19"/>
  <c r="AR18" i="19"/>
  <c r="AM18" i="19"/>
  <c r="AR17" i="19"/>
  <c r="AM17" i="19"/>
  <c r="AR16" i="19"/>
  <c r="AM16" i="19"/>
  <c r="AR15" i="19"/>
  <c r="AM15" i="19"/>
  <c r="AR14" i="19"/>
  <c r="AM14" i="19"/>
  <c r="AR13" i="19"/>
  <c r="AM13" i="19"/>
  <c r="AR12" i="19"/>
  <c r="AM12" i="19"/>
  <c r="AR11" i="19"/>
  <c r="AM11" i="19"/>
  <c r="AR10" i="19"/>
  <c r="AM10" i="19"/>
  <c r="AR9" i="19"/>
  <c r="AM9" i="19"/>
  <c r="AR8" i="19"/>
  <c r="AM8" i="19"/>
  <c r="AR7" i="19"/>
  <c r="AM7" i="19"/>
  <c r="AR6" i="19"/>
  <c r="AM6" i="19"/>
  <c r="B6" i="19"/>
  <c r="B8" i="19" s="1"/>
  <c r="B10" i="19" s="1"/>
  <c r="AR5" i="19"/>
  <c r="AM5" i="19"/>
  <c r="B5" i="19"/>
  <c r="AR4" i="19"/>
  <c r="AL4" i="19"/>
  <c r="AK4" i="19"/>
  <c r="AG4" i="19"/>
  <c r="AF4" i="19"/>
  <c r="AB4" i="19"/>
  <c r="AA4" i="19"/>
  <c r="T4" i="19"/>
  <c r="S4" i="19"/>
  <c r="R4" i="19"/>
  <c r="AM4" i="19" s="1"/>
  <c r="H4" i="19"/>
  <c r="G4" i="19"/>
  <c r="A4" i="19"/>
  <c r="AP1" i="19"/>
  <c r="AT63" i="19" l="1"/>
  <c r="AT49" i="19"/>
  <c r="G35" i="19"/>
  <c r="AT35" i="19"/>
  <c r="AT21" i="19"/>
  <c r="AN60" i="19"/>
  <c r="AO58" i="19"/>
  <c r="AO59" i="19"/>
  <c r="AN61" i="19"/>
  <c r="AO52" i="19"/>
  <c r="AN54" i="19"/>
  <c r="AO55" i="19"/>
  <c r="AN56" i="19"/>
  <c r="AN57" i="19"/>
  <c r="AO62" i="19"/>
  <c r="AO63" i="19"/>
  <c r="AN64" i="19"/>
  <c r="AN65" i="19"/>
  <c r="AO53" i="19"/>
  <c r="AN55" i="19"/>
  <c r="AO60" i="19"/>
  <c r="AO61" i="19"/>
  <c r="AN62" i="19"/>
  <c r="AN63" i="19"/>
  <c r="AO49" i="19"/>
  <c r="AO56" i="19"/>
  <c r="AO57" i="19"/>
  <c r="AN58" i="19"/>
  <c r="AN59" i="19"/>
  <c r="AO64" i="19"/>
  <c r="AO65" i="19"/>
  <c r="AO50" i="19"/>
  <c r="AN51" i="19"/>
  <c r="AO46" i="19"/>
  <c r="AN47" i="19"/>
  <c r="AN48" i="19"/>
  <c r="AO44" i="19"/>
  <c r="AN45" i="19"/>
  <c r="AN37" i="19"/>
  <c r="AO38" i="19"/>
  <c r="AN43" i="19"/>
  <c r="AN26" i="19"/>
  <c r="H27" i="19" s="1"/>
  <c r="AO27" i="19" s="1"/>
  <c r="AO23" i="19"/>
  <c r="AN22" i="19"/>
  <c r="A6" i="19"/>
  <c r="AO9" i="19"/>
  <c r="AN10" i="19"/>
  <c r="AO42" i="19"/>
  <c r="AN46" i="19"/>
  <c r="AO51" i="19"/>
  <c r="AN52" i="19"/>
  <c r="AN53" i="19"/>
  <c r="AO47" i="19"/>
  <c r="AO48" i="19"/>
  <c r="AN49" i="19"/>
  <c r="AN50" i="19"/>
  <c r="AO54" i="19"/>
  <c r="AO12" i="19"/>
  <c r="AN14" i="19"/>
  <c r="AN15" i="19"/>
  <c r="AO25" i="19"/>
  <c r="AO16" i="19"/>
  <c r="AO17" i="19"/>
  <c r="AN18" i="19"/>
  <c r="AN19" i="19"/>
  <c r="AN33" i="19"/>
  <c r="H34" i="19" s="1"/>
  <c r="AO34" i="19" s="1"/>
  <c r="AN34" i="19"/>
  <c r="AO13" i="19"/>
  <c r="AO40" i="19"/>
  <c r="AN4" i="19"/>
  <c r="AN6" i="19"/>
  <c r="AO21" i="19"/>
  <c r="AO36" i="19"/>
  <c r="AO5" i="19"/>
  <c r="AN41" i="19"/>
  <c r="AO11" i="19"/>
  <c r="AN12" i="19"/>
  <c r="AN13" i="19"/>
  <c r="AO19" i="19"/>
  <c r="AN20" i="19"/>
  <c r="AN24" i="19"/>
  <c r="AN28" i="19"/>
  <c r="H29" i="19" s="1"/>
  <c r="AO29" i="19" s="1"/>
  <c r="AN31" i="19"/>
  <c r="H32" i="19" s="1"/>
  <c r="AO32" i="19" s="1"/>
  <c r="AN38" i="19"/>
  <c r="AO41" i="19"/>
  <c r="AN5" i="19"/>
  <c r="AO7" i="19"/>
  <c r="AN8" i="19"/>
  <c r="AN9" i="19"/>
  <c r="AO14" i="19"/>
  <c r="AO15" i="19"/>
  <c r="AN16" i="19"/>
  <c r="AN17" i="19"/>
  <c r="AO22" i="19"/>
  <c r="AN23" i="19"/>
  <c r="AO26" i="19"/>
  <c r="AN27" i="19"/>
  <c r="H28" i="19" s="1"/>
  <c r="AO28" i="19" s="1"/>
  <c r="AN30" i="19"/>
  <c r="H31" i="19" s="1"/>
  <c r="AO31" i="19" s="1"/>
  <c r="AN35" i="19"/>
  <c r="AN39" i="19"/>
  <c r="AM66" i="19"/>
  <c r="H25" i="1" s="1"/>
  <c r="AO4" i="19"/>
  <c r="A5" i="19"/>
  <c r="B7" i="19"/>
  <c r="A10" i="19"/>
  <c r="B12" i="19"/>
  <c r="A8" i="19"/>
  <c r="AO6" i="19"/>
  <c r="AN7" i="19"/>
  <c r="AO8" i="19"/>
  <c r="AO10" i="19"/>
  <c r="AN11" i="19"/>
  <c r="AO18" i="19"/>
  <c r="AN21" i="19"/>
  <c r="AO24" i="19"/>
  <c r="AN29" i="19"/>
  <c r="H30" i="19" s="1"/>
  <c r="AO30" i="19" s="1"/>
  <c r="AN36" i="19"/>
  <c r="AO39" i="19"/>
  <c r="AN44" i="19"/>
  <c r="AO37" i="19"/>
  <c r="AN42" i="19"/>
  <c r="AO45" i="19"/>
  <c r="AO20" i="19"/>
  <c r="AN25" i="19"/>
  <c r="AN32" i="19"/>
  <c r="H33" i="19" s="1"/>
  <c r="AO33" i="19" s="1"/>
  <c r="AN40" i="19"/>
  <c r="AO43" i="19"/>
  <c r="AS41" i="9"/>
  <c r="AU63" i="19" l="1"/>
  <c r="AV63" i="19"/>
  <c r="AP63" i="19"/>
  <c r="AU49" i="19"/>
  <c r="AV49" i="19"/>
  <c r="H35" i="19"/>
  <c r="AO35" i="19" s="1"/>
  <c r="AO66" i="19" s="1"/>
  <c r="J25" i="1" s="1"/>
  <c r="AU35" i="19"/>
  <c r="AV21" i="19"/>
  <c r="AU21" i="19"/>
  <c r="AP14" i="19"/>
  <c r="AP49" i="19"/>
  <c r="AP48" i="19"/>
  <c r="AP12" i="19"/>
  <c r="AP5" i="19"/>
  <c r="AP62" i="19"/>
  <c r="AP39" i="19"/>
  <c r="AP44" i="19"/>
  <c r="AP37" i="19"/>
  <c r="AP59" i="19"/>
  <c r="AP58" i="19"/>
  <c r="AP23" i="19"/>
  <c r="AP52" i="19"/>
  <c r="AP60" i="19"/>
  <c r="AP57" i="19"/>
  <c r="AP61" i="19"/>
  <c r="AP50" i="19"/>
  <c r="AP51" i="19"/>
  <c r="AP55" i="19"/>
  <c r="AP56" i="19"/>
  <c r="AP54" i="19"/>
  <c r="AP53" i="19"/>
  <c r="AP65" i="19"/>
  <c r="AP26" i="19"/>
  <c r="AP64" i="19"/>
  <c r="AP45" i="19"/>
  <c r="AP42" i="19"/>
  <c r="AP46" i="19"/>
  <c r="AP47" i="19"/>
  <c r="AP30" i="19"/>
  <c r="AP27" i="19"/>
  <c r="AP41" i="19"/>
  <c r="AP33" i="19"/>
  <c r="AP22" i="19"/>
  <c r="AP6" i="19"/>
  <c r="AP20" i="19"/>
  <c r="AP4" i="19"/>
  <c r="AP9" i="19"/>
  <c r="AP16" i="19"/>
  <c r="AP21" i="19"/>
  <c r="AP19" i="19"/>
  <c r="AP17" i="19"/>
  <c r="AP13" i="19"/>
  <c r="AP29" i="19"/>
  <c r="AP34" i="19"/>
  <c r="AP15" i="19"/>
  <c r="AP36" i="19"/>
  <c r="AP24" i="19"/>
  <c r="AP7" i="19"/>
  <c r="AP28" i="19"/>
  <c r="AP8" i="19"/>
  <c r="AP38" i="19"/>
  <c r="AP11" i="19"/>
  <c r="AP10" i="19"/>
  <c r="A7" i="19"/>
  <c r="B9" i="19"/>
  <c r="AP43" i="19"/>
  <c r="AN66" i="19"/>
  <c r="I25" i="1" s="1"/>
  <c r="AP40" i="19"/>
  <c r="AP32" i="19"/>
  <c r="AP31" i="19"/>
  <c r="AP18" i="19"/>
  <c r="AP25" i="19"/>
  <c r="B14" i="19"/>
  <c r="A12" i="19"/>
  <c r="AP35" i="19" l="1"/>
  <c r="AV35" i="19"/>
  <c r="M25" i="1"/>
  <c r="N25" i="1" s="1"/>
  <c r="A14" i="19"/>
  <c r="B16" i="19"/>
  <c r="A9" i="19"/>
  <c r="B11" i="19"/>
  <c r="B13" i="19" l="1"/>
  <c r="A11" i="19"/>
  <c r="B18" i="19"/>
  <c r="A16" i="19"/>
  <c r="A13" i="19" l="1"/>
  <c r="B15" i="19"/>
  <c r="B20" i="19"/>
  <c r="A18" i="19"/>
  <c r="AK5" i="12"/>
  <c r="AL5" i="12"/>
  <c r="AK6" i="12"/>
  <c r="AL6" i="12"/>
  <c r="AK7" i="12"/>
  <c r="AL7" i="12"/>
  <c r="AK8" i="12"/>
  <c r="AL8" i="12"/>
  <c r="AK9" i="12"/>
  <c r="AL9" i="12"/>
  <c r="AK10" i="12"/>
  <c r="AL10" i="12"/>
  <c r="AK11" i="12"/>
  <c r="AL11" i="12"/>
  <c r="AK12" i="12"/>
  <c r="AL12" i="12"/>
  <c r="AK13" i="12"/>
  <c r="AL13" i="12"/>
  <c r="AK14" i="12"/>
  <c r="AL14" i="12"/>
  <c r="AK15" i="12"/>
  <c r="AL15" i="12"/>
  <c r="AK16" i="12"/>
  <c r="AL16" i="12"/>
  <c r="AK17" i="12"/>
  <c r="AL17" i="12"/>
  <c r="AK18" i="12"/>
  <c r="AL18" i="12"/>
  <c r="AK19" i="12"/>
  <c r="AL19" i="12"/>
  <c r="AK20" i="12"/>
  <c r="AL20" i="12"/>
  <c r="AK21" i="12"/>
  <c r="AL21" i="12"/>
  <c r="AK22" i="12"/>
  <c r="AL22" i="12"/>
  <c r="AK23" i="12"/>
  <c r="AL23" i="12"/>
  <c r="AK24" i="12"/>
  <c r="AL24" i="12"/>
  <c r="AK25" i="12"/>
  <c r="AL25" i="12"/>
  <c r="AK26" i="12"/>
  <c r="AL26" i="12"/>
  <c r="AK27" i="12"/>
  <c r="AL27" i="12"/>
  <c r="AK28" i="12"/>
  <c r="AL28" i="12"/>
  <c r="AK29" i="12"/>
  <c r="AL29" i="12"/>
  <c r="AK30" i="12"/>
  <c r="AL30" i="12"/>
  <c r="AK31" i="12"/>
  <c r="AL31" i="12"/>
  <c r="AK32" i="12"/>
  <c r="AL32" i="12"/>
  <c r="AK33" i="12"/>
  <c r="AL33" i="12"/>
  <c r="AK34" i="12"/>
  <c r="AL34" i="12"/>
  <c r="AK35" i="12"/>
  <c r="AL35" i="12"/>
  <c r="AK36" i="12"/>
  <c r="AL36" i="12"/>
  <c r="AK37" i="12"/>
  <c r="AL37" i="12"/>
  <c r="AK38" i="12"/>
  <c r="AL38" i="12"/>
  <c r="AK39" i="12"/>
  <c r="AL39" i="12"/>
  <c r="AK40" i="12"/>
  <c r="AL40" i="12"/>
  <c r="AK41" i="12"/>
  <c r="AL41" i="12"/>
  <c r="AK42" i="12"/>
  <c r="AL42" i="12"/>
  <c r="AK43" i="12"/>
  <c r="AL43" i="12"/>
  <c r="AK44" i="12"/>
  <c r="AL44" i="12"/>
  <c r="AK45" i="12"/>
  <c r="AL45" i="12"/>
  <c r="AK46" i="12"/>
  <c r="AL46" i="12"/>
  <c r="AK47" i="12"/>
  <c r="AL47" i="12"/>
  <c r="AK48" i="12"/>
  <c r="AL48" i="12"/>
  <c r="AK49" i="12"/>
  <c r="AL49" i="12"/>
  <c r="AK50" i="12"/>
  <c r="AL50" i="12"/>
  <c r="AK51" i="12"/>
  <c r="AL51" i="12"/>
  <c r="AK52" i="12"/>
  <c r="AL52" i="12"/>
  <c r="AK53" i="12"/>
  <c r="AL53" i="12"/>
  <c r="AK54" i="12"/>
  <c r="AL54" i="12"/>
  <c r="AK55" i="12"/>
  <c r="AL55" i="12"/>
  <c r="AK56" i="12"/>
  <c r="AL56" i="12"/>
  <c r="AK57" i="12"/>
  <c r="AL57" i="12"/>
  <c r="AK58" i="12"/>
  <c r="AL58" i="12"/>
  <c r="AK59" i="12"/>
  <c r="AL59" i="12"/>
  <c r="AK60" i="12"/>
  <c r="AL60" i="12"/>
  <c r="AK61" i="12"/>
  <c r="AL61" i="12"/>
  <c r="AK62" i="12"/>
  <c r="AL62" i="12"/>
  <c r="AK63" i="12"/>
  <c r="AL63" i="12"/>
  <c r="AK64" i="12"/>
  <c r="AL64" i="12"/>
  <c r="AK65" i="12"/>
  <c r="AL65" i="12"/>
  <c r="AF5" i="12"/>
  <c r="AG5" i="12"/>
  <c r="AF6" i="12"/>
  <c r="AG6" i="12"/>
  <c r="AF7" i="12"/>
  <c r="AG7" i="12"/>
  <c r="AF8" i="12"/>
  <c r="AG8" i="12"/>
  <c r="AF9" i="12"/>
  <c r="AG9" i="12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B22" i="19" l="1"/>
  <c r="A20" i="19"/>
  <c r="B17" i="19"/>
  <c r="A15" i="19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B24" i="19" l="1"/>
  <c r="A22" i="19"/>
  <c r="A17" i="19"/>
  <c r="B19" i="19"/>
  <c r="B26" i="19" l="1"/>
  <c r="A24" i="19"/>
  <c r="A19" i="19"/>
  <c r="B21" i="19"/>
  <c r="B28" i="19" l="1"/>
  <c r="A26" i="19"/>
  <c r="A21" i="19"/>
  <c r="B23" i="19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B30" i="19" l="1"/>
  <c r="A28" i="19"/>
  <c r="A23" i="19"/>
  <c r="B25" i="19"/>
  <c r="R14" i="18"/>
  <c r="S14" i="18"/>
  <c r="T14" i="18"/>
  <c r="R15" i="18"/>
  <c r="S15" i="18"/>
  <c r="T15" i="18"/>
  <c r="R16" i="18"/>
  <c r="S16" i="18"/>
  <c r="T16" i="18"/>
  <c r="R17" i="18"/>
  <c r="S17" i="18"/>
  <c r="T17" i="18"/>
  <c r="R18" i="18"/>
  <c r="S18" i="18"/>
  <c r="T18" i="18"/>
  <c r="R19" i="18"/>
  <c r="S19" i="18"/>
  <c r="T19" i="18"/>
  <c r="R20" i="18"/>
  <c r="S20" i="18"/>
  <c r="T20" i="18"/>
  <c r="R21" i="18"/>
  <c r="S21" i="18"/>
  <c r="T21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R26" i="18"/>
  <c r="S26" i="18"/>
  <c r="T26" i="18"/>
  <c r="R27" i="18"/>
  <c r="S27" i="18"/>
  <c r="T27" i="18"/>
  <c r="A30" i="19" l="1"/>
  <c r="B32" i="19"/>
  <c r="A25" i="19"/>
  <c r="B27" i="19"/>
  <c r="A27" i="19" l="1"/>
  <c r="B29" i="19"/>
  <c r="A32" i="19"/>
  <c r="B34" i="19"/>
  <c r="A34" i="19" l="1"/>
  <c r="B36" i="19"/>
  <c r="B31" i="19"/>
  <c r="A29" i="19"/>
  <c r="B33" i="19" l="1"/>
  <c r="A31" i="19"/>
  <c r="A36" i="19"/>
  <c r="B38" i="19"/>
  <c r="A38" i="19" l="1"/>
  <c r="B40" i="19"/>
  <c r="B35" i="19"/>
  <c r="A33" i="19"/>
  <c r="S11" i="5"/>
  <c r="B37" i="19" l="1"/>
  <c r="A35" i="19"/>
  <c r="A40" i="19"/>
  <c r="B42" i="19"/>
  <c r="AA4" i="8"/>
  <c r="AB4" i="8"/>
  <c r="AF4" i="8"/>
  <c r="AG4" i="8"/>
  <c r="AA5" i="8"/>
  <c r="AB5" i="8"/>
  <c r="AF5" i="8"/>
  <c r="AG5" i="8"/>
  <c r="AA6" i="8"/>
  <c r="AB6" i="8"/>
  <c r="AF6" i="8"/>
  <c r="AG6" i="8"/>
  <c r="AA7" i="8"/>
  <c r="AB7" i="8"/>
  <c r="AA8" i="8"/>
  <c r="AB8" i="8"/>
  <c r="AF8" i="8"/>
  <c r="AG8" i="8"/>
  <c r="AA9" i="8"/>
  <c r="AB9" i="8"/>
  <c r="AF9" i="8"/>
  <c r="AG9" i="8"/>
  <c r="A42" i="19" l="1"/>
  <c r="B44" i="19"/>
  <c r="B39" i="19"/>
  <c r="A37" i="19"/>
  <c r="B41" i="19" l="1"/>
  <c r="A39" i="19"/>
  <c r="A44" i="19"/>
  <c r="B46" i="19"/>
  <c r="N42" i="1"/>
  <c r="B43" i="19" l="1"/>
  <c r="A41" i="19"/>
  <c r="A46" i="19"/>
  <c r="B48" i="19"/>
  <c r="B45" i="19" l="1"/>
  <c r="A43" i="19"/>
  <c r="B50" i="19"/>
  <c r="A48" i="19"/>
  <c r="B52" i="19" l="1"/>
  <c r="A50" i="19"/>
  <c r="B47" i="19"/>
  <c r="A45" i="19"/>
  <c r="AS61" i="8"/>
  <c r="AS61" i="12"/>
  <c r="A47" i="19" l="1"/>
  <c r="B49" i="19"/>
  <c r="A52" i="19"/>
  <c r="B54" i="19"/>
  <c r="A54" i="19" l="1"/>
  <c r="B56" i="19"/>
  <c r="A49" i="19"/>
  <c r="B51" i="19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B53" i="19" l="1"/>
  <c r="A51" i="19"/>
  <c r="A56" i="19"/>
  <c r="B58" i="19"/>
  <c r="AS61" i="9"/>
  <c r="A58" i="19" l="1"/>
  <c r="B60" i="19"/>
  <c r="B55" i="19"/>
  <c r="A53" i="19"/>
  <c r="A55" i="19" l="1"/>
  <c r="B57" i="19"/>
  <c r="A60" i="19"/>
  <c r="B62" i="19"/>
  <c r="A62" i="19" l="1"/>
  <c r="B64" i="19"/>
  <c r="A64" i="19" s="1"/>
  <c r="B59" i="19"/>
  <c r="A57" i="19"/>
  <c r="A59" i="19" l="1"/>
  <c r="B61" i="19"/>
  <c r="B63" i="19" l="1"/>
  <c r="A61" i="19"/>
  <c r="A63" i="19" l="1"/>
  <c r="B65" i="19"/>
  <c r="A65" i="19" s="1"/>
  <c r="G34" i="4" l="1"/>
  <c r="G35" i="4"/>
  <c r="G36" i="4"/>
  <c r="G37" i="4"/>
  <c r="G38" i="4"/>
  <c r="G39" i="4"/>
  <c r="G40" i="4"/>
  <c r="G41" i="4"/>
  <c r="G42" i="4"/>
  <c r="V71" i="18" l="1"/>
  <c r="Z70" i="18"/>
  <c r="Y70" i="18"/>
  <c r="Z69" i="18"/>
  <c r="Y69" i="18"/>
  <c r="J66" i="18"/>
  <c r="G9" i="1" s="1"/>
  <c r="AR65" i="18"/>
  <c r="AL65" i="18"/>
  <c r="AK65" i="18"/>
  <c r="AG65" i="18"/>
  <c r="AF65" i="18"/>
  <c r="AB65" i="18"/>
  <c r="AA65" i="18"/>
  <c r="T65" i="18"/>
  <c r="S65" i="18"/>
  <c r="R65" i="18"/>
  <c r="AM65" i="18" s="1"/>
  <c r="H65" i="18"/>
  <c r="G65" i="18"/>
  <c r="AR64" i="18"/>
  <c r="AL64" i="18"/>
  <c r="AK64" i="18"/>
  <c r="AG64" i="18"/>
  <c r="AF64" i="18"/>
  <c r="AB64" i="18"/>
  <c r="AA64" i="18"/>
  <c r="T64" i="18"/>
  <c r="S64" i="18"/>
  <c r="R64" i="18"/>
  <c r="AM64" i="18" s="1"/>
  <c r="H64" i="18"/>
  <c r="G64" i="18"/>
  <c r="AL63" i="18"/>
  <c r="AK63" i="18"/>
  <c r="AG63" i="18"/>
  <c r="AF63" i="18"/>
  <c r="AB63" i="18"/>
  <c r="AA63" i="18"/>
  <c r="T63" i="18"/>
  <c r="S63" i="18"/>
  <c r="R63" i="18"/>
  <c r="AM63" i="18" s="1"/>
  <c r="H63" i="18"/>
  <c r="G63" i="18"/>
  <c r="AR62" i="18"/>
  <c r="AL62" i="18"/>
  <c r="AK62" i="18"/>
  <c r="AG62" i="18"/>
  <c r="AF62" i="18"/>
  <c r="AB62" i="18"/>
  <c r="AA62" i="18"/>
  <c r="T62" i="18"/>
  <c r="S62" i="18"/>
  <c r="R62" i="18"/>
  <c r="AM62" i="18" s="1"/>
  <c r="H62" i="18"/>
  <c r="G62" i="18"/>
  <c r="AR61" i="18"/>
  <c r="AL61" i="18"/>
  <c r="AK61" i="18"/>
  <c r="AG61" i="18"/>
  <c r="AF61" i="18"/>
  <c r="AB61" i="18"/>
  <c r="AA61" i="18"/>
  <c r="T61" i="18"/>
  <c r="S61" i="18"/>
  <c r="R61" i="18"/>
  <c r="AM61" i="18" s="1"/>
  <c r="H61" i="18"/>
  <c r="G61" i="18"/>
  <c r="AR60" i="18"/>
  <c r="AL60" i="18"/>
  <c r="AK60" i="18"/>
  <c r="AG60" i="18"/>
  <c r="AF60" i="18"/>
  <c r="AB60" i="18"/>
  <c r="AA60" i="18"/>
  <c r="T60" i="18"/>
  <c r="S60" i="18"/>
  <c r="R60" i="18"/>
  <c r="AM60" i="18" s="1"/>
  <c r="H60" i="18"/>
  <c r="G60" i="18"/>
  <c r="AR59" i="18"/>
  <c r="AL59" i="18"/>
  <c r="AK59" i="18"/>
  <c r="AG59" i="18"/>
  <c r="AF59" i="18"/>
  <c r="AB59" i="18"/>
  <c r="AA59" i="18"/>
  <c r="T59" i="18"/>
  <c r="S59" i="18"/>
  <c r="R59" i="18"/>
  <c r="AM59" i="18" s="1"/>
  <c r="H59" i="18"/>
  <c r="G59" i="18"/>
  <c r="AR58" i="18"/>
  <c r="AL58" i="18"/>
  <c r="AK58" i="18"/>
  <c r="AG58" i="18"/>
  <c r="AF58" i="18"/>
  <c r="AB58" i="18"/>
  <c r="AA58" i="18"/>
  <c r="T58" i="18"/>
  <c r="S58" i="18"/>
  <c r="R58" i="18"/>
  <c r="AM58" i="18" s="1"/>
  <c r="H58" i="18"/>
  <c r="G58" i="18"/>
  <c r="AR57" i="18"/>
  <c r="AL57" i="18"/>
  <c r="AK57" i="18"/>
  <c r="AG57" i="18"/>
  <c r="AF57" i="18"/>
  <c r="AB57" i="18"/>
  <c r="AA57" i="18"/>
  <c r="T57" i="18"/>
  <c r="S57" i="18"/>
  <c r="R57" i="18"/>
  <c r="AM57" i="18" s="1"/>
  <c r="H57" i="18"/>
  <c r="G57" i="18"/>
  <c r="AR56" i="18"/>
  <c r="AL56" i="18"/>
  <c r="AK56" i="18"/>
  <c r="AG56" i="18"/>
  <c r="AF56" i="18"/>
  <c r="AB56" i="18"/>
  <c r="AA56" i="18"/>
  <c r="T56" i="18"/>
  <c r="S56" i="18"/>
  <c r="R56" i="18"/>
  <c r="AM56" i="18" s="1"/>
  <c r="H56" i="18"/>
  <c r="G56" i="18"/>
  <c r="AR55" i="18"/>
  <c r="AL55" i="18"/>
  <c r="AK55" i="18"/>
  <c r="AG55" i="18"/>
  <c r="AF55" i="18"/>
  <c r="AB55" i="18"/>
  <c r="AA55" i="18"/>
  <c r="T55" i="18"/>
  <c r="S55" i="18"/>
  <c r="R55" i="18"/>
  <c r="AM55" i="18" s="1"/>
  <c r="H55" i="18"/>
  <c r="G55" i="18"/>
  <c r="AR54" i="18"/>
  <c r="AL54" i="18"/>
  <c r="AK54" i="18"/>
  <c r="AG54" i="18"/>
  <c r="AF54" i="18"/>
  <c r="AB54" i="18"/>
  <c r="AA54" i="18"/>
  <c r="T54" i="18"/>
  <c r="S54" i="18"/>
  <c r="R54" i="18"/>
  <c r="AM54" i="18" s="1"/>
  <c r="H54" i="18"/>
  <c r="G54" i="18"/>
  <c r="AR53" i="18"/>
  <c r="AL53" i="18"/>
  <c r="AK53" i="18"/>
  <c r="AG53" i="18"/>
  <c r="AF53" i="18"/>
  <c r="AB53" i="18"/>
  <c r="AA53" i="18"/>
  <c r="T53" i="18"/>
  <c r="S53" i="18"/>
  <c r="R53" i="18"/>
  <c r="AM53" i="18" s="1"/>
  <c r="H53" i="18"/>
  <c r="G53" i="18"/>
  <c r="AR52" i="18"/>
  <c r="AL52" i="18"/>
  <c r="AK52" i="18"/>
  <c r="AG52" i="18"/>
  <c r="AF52" i="18"/>
  <c r="AB52" i="18"/>
  <c r="AA52" i="18"/>
  <c r="T52" i="18"/>
  <c r="S52" i="18"/>
  <c r="R52" i="18"/>
  <c r="AM52" i="18" s="1"/>
  <c r="H52" i="18"/>
  <c r="G52" i="18"/>
  <c r="AR51" i="18"/>
  <c r="AG51" i="18"/>
  <c r="AF51" i="18"/>
  <c r="AB51" i="18"/>
  <c r="AA51" i="18"/>
  <c r="T51" i="18"/>
  <c r="S51" i="18"/>
  <c r="R51" i="18"/>
  <c r="AM51" i="18" s="1"/>
  <c r="H51" i="18"/>
  <c r="G51" i="18"/>
  <c r="AR50" i="18"/>
  <c r="AG50" i="18"/>
  <c r="AF50" i="18"/>
  <c r="AB50" i="18"/>
  <c r="AA50" i="18"/>
  <c r="T50" i="18"/>
  <c r="S50" i="18"/>
  <c r="R50" i="18"/>
  <c r="AM50" i="18" s="1"/>
  <c r="H50" i="18"/>
  <c r="G50" i="18"/>
  <c r="AR49" i="18"/>
  <c r="AG49" i="18"/>
  <c r="AF49" i="18"/>
  <c r="AB49" i="18"/>
  <c r="AA49" i="18"/>
  <c r="T49" i="18"/>
  <c r="S49" i="18"/>
  <c r="R49" i="18"/>
  <c r="AM49" i="18" s="1"/>
  <c r="H49" i="18"/>
  <c r="G49" i="18"/>
  <c r="AR48" i="18"/>
  <c r="AG48" i="18"/>
  <c r="AF48" i="18"/>
  <c r="AB48" i="18"/>
  <c r="AA48" i="18"/>
  <c r="T48" i="18"/>
  <c r="S48" i="18"/>
  <c r="R48" i="18"/>
  <c r="AM48" i="18" s="1"/>
  <c r="H48" i="18"/>
  <c r="G48" i="18"/>
  <c r="AR47" i="18"/>
  <c r="AG47" i="18"/>
  <c r="AF47" i="18"/>
  <c r="AB47" i="18"/>
  <c r="AA47" i="18"/>
  <c r="T47" i="18"/>
  <c r="S47" i="18"/>
  <c r="R47" i="18"/>
  <c r="AM47" i="18" s="1"/>
  <c r="H47" i="18"/>
  <c r="G47" i="18"/>
  <c r="AR46" i="18"/>
  <c r="AG46" i="18"/>
  <c r="AF46" i="18"/>
  <c r="AB46" i="18"/>
  <c r="AA46" i="18"/>
  <c r="T46" i="18"/>
  <c r="S46" i="18"/>
  <c r="R46" i="18"/>
  <c r="AM46" i="18" s="1"/>
  <c r="H46" i="18"/>
  <c r="G46" i="18"/>
  <c r="AR45" i="18"/>
  <c r="AG45" i="18"/>
  <c r="AF45" i="18"/>
  <c r="AB45" i="18"/>
  <c r="AA45" i="18"/>
  <c r="T45" i="18"/>
  <c r="S45" i="18"/>
  <c r="R45" i="18"/>
  <c r="AM45" i="18" s="1"/>
  <c r="H45" i="18"/>
  <c r="G45" i="18"/>
  <c r="AR44" i="18"/>
  <c r="AG44" i="18"/>
  <c r="AF44" i="18"/>
  <c r="AB44" i="18"/>
  <c r="AA44" i="18"/>
  <c r="T44" i="18"/>
  <c r="S44" i="18"/>
  <c r="R44" i="18"/>
  <c r="AM44" i="18" s="1"/>
  <c r="H44" i="18"/>
  <c r="G44" i="18"/>
  <c r="AR43" i="18"/>
  <c r="AL43" i="18"/>
  <c r="AK43" i="18"/>
  <c r="AG43" i="18"/>
  <c r="AF43" i="18"/>
  <c r="AB43" i="18"/>
  <c r="AA43" i="18"/>
  <c r="T43" i="18"/>
  <c r="S43" i="18"/>
  <c r="R43" i="18"/>
  <c r="AM43" i="18" s="1"/>
  <c r="H43" i="18"/>
  <c r="G43" i="18"/>
  <c r="AR42" i="18"/>
  <c r="AL42" i="18"/>
  <c r="AK42" i="18"/>
  <c r="AG42" i="18"/>
  <c r="AF42" i="18"/>
  <c r="AB42" i="18"/>
  <c r="AA42" i="18"/>
  <c r="T42" i="18"/>
  <c r="S42" i="18"/>
  <c r="R42" i="18"/>
  <c r="AM42" i="18" s="1"/>
  <c r="H42" i="18"/>
  <c r="G42" i="18"/>
  <c r="AR41" i="18"/>
  <c r="AL41" i="18"/>
  <c r="AK41" i="18"/>
  <c r="AG41" i="18"/>
  <c r="AF41" i="18"/>
  <c r="AB41" i="18"/>
  <c r="AA41" i="18"/>
  <c r="T41" i="18"/>
  <c r="S41" i="18"/>
  <c r="R41" i="18"/>
  <c r="AM41" i="18" s="1"/>
  <c r="H41" i="18"/>
  <c r="G41" i="18"/>
  <c r="AR40" i="18"/>
  <c r="AL40" i="18"/>
  <c r="AK40" i="18"/>
  <c r="AG40" i="18"/>
  <c r="AF40" i="18"/>
  <c r="AB40" i="18"/>
  <c r="AA40" i="18"/>
  <c r="T40" i="18"/>
  <c r="S40" i="18"/>
  <c r="R40" i="18"/>
  <c r="AM40" i="18" s="1"/>
  <c r="H40" i="18"/>
  <c r="G40" i="18"/>
  <c r="AR39" i="18"/>
  <c r="AL39" i="18"/>
  <c r="AK39" i="18"/>
  <c r="AG39" i="18"/>
  <c r="AF39" i="18"/>
  <c r="AB39" i="18"/>
  <c r="AA39" i="18"/>
  <c r="T39" i="18"/>
  <c r="S39" i="18"/>
  <c r="R39" i="18"/>
  <c r="AM39" i="18" s="1"/>
  <c r="H39" i="18"/>
  <c r="G39" i="18"/>
  <c r="AR38" i="18"/>
  <c r="AL38" i="18"/>
  <c r="AK38" i="18"/>
  <c r="AG38" i="18"/>
  <c r="AF38" i="18"/>
  <c r="AB38" i="18"/>
  <c r="AA38" i="18"/>
  <c r="T38" i="18"/>
  <c r="S38" i="18"/>
  <c r="R38" i="18"/>
  <c r="AM38" i="18" s="1"/>
  <c r="H38" i="18"/>
  <c r="G38" i="18"/>
  <c r="AR37" i="18"/>
  <c r="AL37" i="18"/>
  <c r="AK37" i="18"/>
  <c r="AG37" i="18"/>
  <c r="AF37" i="18"/>
  <c r="AB37" i="18"/>
  <c r="AA37" i="18"/>
  <c r="T37" i="18"/>
  <c r="S37" i="18"/>
  <c r="R37" i="18"/>
  <c r="AM37" i="18" s="1"/>
  <c r="H37" i="18"/>
  <c r="G37" i="18"/>
  <c r="AR36" i="18"/>
  <c r="AL36" i="18"/>
  <c r="AK36" i="18"/>
  <c r="AG36" i="18"/>
  <c r="AF36" i="18"/>
  <c r="AB36" i="18"/>
  <c r="AA36" i="18"/>
  <c r="T36" i="18"/>
  <c r="S36" i="18"/>
  <c r="R36" i="18"/>
  <c r="AM36" i="18" s="1"/>
  <c r="H36" i="18"/>
  <c r="G36" i="18"/>
  <c r="AR35" i="18"/>
  <c r="AL35" i="18"/>
  <c r="AK35" i="18"/>
  <c r="AG35" i="18"/>
  <c r="AF35" i="18"/>
  <c r="AB35" i="18"/>
  <c r="AA35" i="18"/>
  <c r="T35" i="18"/>
  <c r="S35" i="18"/>
  <c r="R35" i="18"/>
  <c r="AM35" i="18" s="1"/>
  <c r="H35" i="18"/>
  <c r="G35" i="18"/>
  <c r="AR34" i="18"/>
  <c r="AL34" i="18"/>
  <c r="AK34" i="18"/>
  <c r="AG34" i="18"/>
  <c r="AF34" i="18"/>
  <c r="AB34" i="18"/>
  <c r="AA34" i="18"/>
  <c r="T34" i="18"/>
  <c r="S34" i="18"/>
  <c r="R34" i="18"/>
  <c r="AM34" i="18" s="1"/>
  <c r="H34" i="18"/>
  <c r="G34" i="18"/>
  <c r="AR33" i="18"/>
  <c r="AL33" i="18"/>
  <c r="AK33" i="18"/>
  <c r="AG33" i="18"/>
  <c r="AF33" i="18"/>
  <c r="AB33" i="18"/>
  <c r="AA33" i="18"/>
  <c r="T33" i="18"/>
  <c r="S33" i="18"/>
  <c r="R33" i="18"/>
  <c r="AM33" i="18" s="1"/>
  <c r="H33" i="18"/>
  <c r="G33" i="18"/>
  <c r="AR32" i="18"/>
  <c r="AL32" i="18"/>
  <c r="AK32" i="18"/>
  <c r="AG32" i="18"/>
  <c r="AF32" i="18"/>
  <c r="AB32" i="18"/>
  <c r="AA32" i="18"/>
  <c r="T32" i="18"/>
  <c r="S32" i="18"/>
  <c r="R32" i="18"/>
  <c r="AM32" i="18" s="1"/>
  <c r="H32" i="18"/>
  <c r="G32" i="18"/>
  <c r="AR31" i="18"/>
  <c r="AL31" i="18"/>
  <c r="AK31" i="18"/>
  <c r="AG31" i="18"/>
  <c r="AF31" i="18"/>
  <c r="AB31" i="18"/>
  <c r="AA31" i="18"/>
  <c r="T31" i="18"/>
  <c r="S31" i="18"/>
  <c r="R31" i="18"/>
  <c r="AM31" i="18" s="1"/>
  <c r="H31" i="18"/>
  <c r="G31" i="18"/>
  <c r="AR30" i="18"/>
  <c r="AL30" i="18"/>
  <c r="AK30" i="18"/>
  <c r="AG30" i="18"/>
  <c r="AF30" i="18"/>
  <c r="AB30" i="18"/>
  <c r="AA30" i="18"/>
  <c r="T30" i="18"/>
  <c r="S30" i="18"/>
  <c r="R30" i="18"/>
  <c r="AM30" i="18" s="1"/>
  <c r="H30" i="18"/>
  <c r="G30" i="18"/>
  <c r="AR29" i="18"/>
  <c r="AL29" i="18"/>
  <c r="AK29" i="18"/>
  <c r="AG29" i="18"/>
  <c r="AF29" i="18"/>
  <c r="AB29" i="18"/>
  <c r="AA29" i="18"/>
  <c r="T29" i="18"/>
  <c r="S29" i="18"/>
  <c r="R29" i="18"/>
  <c r="AM29" i="18" s="1"/>
  <c r="H29" i="18"/>
  <c r="G29" i="18"/>
  <c r="AR28" i="18"/>
  <c r="AL28" i="18"/>
  <c r="AK28" i="18"/>
  <c r="AG28" i="18"/>
  <c r="AF28" i="18"/>
  <c r="AB28" i="18"/>
  <c r="AA28" i="18"/>
  <c r="T28" i="18"/>
  <c r="S28" i="18"/>
  <c r="R28" i="18"/>
  <c r="AM28" i="18" s="1"/>
  <c r="H28" i="18"/>
  <c r="G28" i="18"/>
  <c r="AR27" i="18"/>
  <c r="AM27" i="18"/>
  <c r="AL27" i="18"/>
  <c r="AK27" i="18"/>
  <c r="AG27" i="18"/>
  <c r="AF27" i="18"/>
  <c r="AB27" i="18"/>
  <c r="AA27" i="18"/>
  <c r="H27" i="18"/>
  <c r="G27" i="18"/>
  <c r="AR26" i="18"/>
  <c r="AL26" i="18"/>
  <c r="AK26" i="18"/>
  <c r="AG26" i="18"/>
  <c r="AF26" i="18"/>
  <c r="AB26" i="18"/>
  <c r="AA26" i="18"/>
  <c r="AM26" i="18"/>
  <c r="H26" i="18"/>
  <c r="G26" i="18"/>
  <c r="AR25" i="18"/>
  <c r="AL25" i="18"/>
  <c r="AK25" i="18"/>
  <c r="AG25" i="18"/>
  <c r="AF25" i="18"/>
  <c r="AB25" i="18"/>
  <c r="AA25" i="18"/>
  <c r="AM25" i="18"/>
  <c r="H25" i="18"/>
  <c r="G25" i="18"/>
  <c r="AR24" i="18"/>
  <c r="AL24" i="18"/>
  <c r="AK24" i="18"/>
  <c r="AG24" i="18"/>
  <c r="AF24" i="18"/>
  <c r="AB24" i="18"/>
  <c r="AA24" i="18"/>
  <c r="AM24" i="18"/>
  <c r="H24" i="18"/>
  <c r="G24" i="18"/>
  <c r="AR23" i="18"/>
  <c r="AL23" i="18"/>
  <c r="AK23" i="18"/>
  <c r="AG23" i="18"/>
  <c r="AF23" i="18"/>
  <c r="AB23" i="18"/>
  <c r="AA23" i="18"/>
  <c r="AM23" i="18"/>
  <c r="H23" i="18"/>
  <c r="G23" i="18"/>
  <c r="AR22" i="18"/>
  <c r="AL22" i="18"/>
  <c r="AK22" i="18"/>
  <c r="AG22" i="18"/>
  <c r="AF22" i="18"/>
  <c r="AB22" i="18"/>
  <c r="AA22" i="18"/>
  <c r="AM22" i="18"/>
  <c r="H22" i="18"/>
  <c r="G22" i="18"/>
  <c r="AR21" i="18"/>
  <c r="AL21" i="18"/>
  <c r="AK21" i="18"/>
  <c r="AG21" i="18"/>
  <c r="AF21" i="18"/>
  <c r="AB21" i="18"/>
  <c r="AA21" i="18"/>
  <c r="AM21" i="18"/>
  <c r="H21" i="18"/>
  <c r="G21" i="18"/>
  <c r="AR20" i="18"/>
  <c r="AL20" i="18"/>
  <c r="AK20" i="18"/>
  <c r="AG20" i="18"/>
  <c r="AF20" i="18"/>
  <c r="AB20" i="18"/>
  <c r="AA20" i="18"/>
  <c r="AM20" i="18"/>
  <c r="H20" i="18"/>
  <c r="G20" i="18"/>
  <c r="AR19" i="18"/>
  <c r="AL19" i="18"/>
  <c r="AK19" i="18"/>
  <c r="AG19" i="18"/>
  <c r="AF19" i="18"/>
  <c r="AB19" i="18"/>
  <c r="AA19" i="18"/>
  <c r="AM19" i="18"/>
  <c r="H19" i="18"/>
  <c r="G19" i="18"/>
  <c r="AR18" i="18"/>
  <c r="AL18" i="18"/>
  <c r="AK18" i="18"/>
  <c r="AG18" i="18"/>
  <c r="AF18" i="18"/>
  <c r="AB18" i="18"/>
  <c r="AA18" i="18"/>
  <c r="AM18" i="18"/>
  <c r="H18" i="18"/>
  <c r="G18" i="18"/>
  <c r="AR17" i="18"/>
  <c r="AL17" i="18"/>
  <c r="AK17" i="18"/>
  <c r="AG17" i="18"/>
  <c r="AF17" i="18"/>
  <c r="AB17" i="18"/>
  <c r="AA17" i="18"/>
  <c r="AM17" i="18"/>
  <c r="H17" i="18"/>
  <c r="G17" i="18"/>
  <c r="AR16" i="18"/>
  <c r="AL16" i="18"/>
  <c r="AK16" i="18"/>
  <c r="AG16" i="18"/>
  <c r="AF16" i="18"/>
  <c r="AB16" i="18"/>
  <c r="AA16" i="18"/>
  <c r="AM16" i="18"/>
  <c r="H16" i="18"/>
  <c r="G16" i="18"/>
  <c r="AR15" i="18"/>
  <c r="AL15" i="18"/>
  <c r="AK15" i="18"/>
  <c r="AG15" i="18"/>
  <c r="AF15" i="18"/>
  <c r="AB15" i="18"/>
  <c r="AA15" i="18"/>
  <c r="AM15" i="18"/>
  <c r="H15" i="18"/>
  <c r="G15" i="18"/>
  <c r="AR14" i="18"/>
  <c r="AL14" i="18"/>
  <c r="AK14" i="18"/>
  <c r="AG14" i="18"/>
  <c r="AF14" i="18"/>
  <c r="AB14" i="18"/>
  <c r="AA14" i="18"/>
  <c r="AM14" i="18"/>
  <c r="H14" i="18"/>
  <c r="G14" i="18"/>
  <c r="AR13" i="18"/>
  <c r="AL13" i="18"/>
  <c r="AK13" i="18"/>
  <c r="AG13" i="18"/>
  <c r="AF13" i="18"/>
  <c r="AB13" i="18"/>
  <c r="AA13" i="18"/>
  <c r="T13" i="18"/>
  <c r="S13" i="18"/>
  <c r="R13" i="18"/>
  <c r="AM13" i="18" s="1"/>
  <c r="H13" i="18"/>
  <c r="G13" i="18"/>
  <c r="AR12" i="18"/>
  <c r="AL12" i="18"/>
  <c r="AK12" i="18"/>
  <c r="AG12" i="18"/>
  <c r="AF12" i="18"/>
  <c r="AB12" i="18"/>
  <c r="AA12" i="18"/>
  <c r="T12" i="18"/>
  <c r="S12" i="18"/>
  <c r="R12" i="18"/>
  <c r="AM12" i="18" s="1"/>
  <c r="H12" i="18"/>
  <c r="G12" i="18"/>
  <c r="AR11" i="18"/>
  <c r="AL11" i="18"/>
  <c r="AK11" i="18"/>
  <c r="AG11" i="18"/>
  <c r="AF11" i="18"/>
  <c r="AB11" i="18"/>
  <c r="AA11" i="18"/>
  <c r="T11" i="18"/>
  <c r="S11" i="18"/>
  <c r="R11" i="18"/>
  <c r="AM11" i="18" s="1"/>
  <c r="AR10" i="18"/>
  <c r="AL10" i="18"/>
  <c r="AK10" i="18"/>
  <c r="AG10" i="18"/>
  <c r="AF10" i="18"/>
  <c r="AB10" i="18"/>
  <c r="AA10" i="18"/>
  <c r="T10" i="18"/>
  <c r="S10" i="18"/>
  <c r="R10" i="18"/>
  <c r="AM10" i="18" s="1"/>
  <c r="AR9" i="18"/>
  <c r="AL9" i="18"/>
  <c r="AK9" i="18"/>
  <c r="AG9" i="18"/>
  <c r="AF9" i="18"/>
  <c r="AB9" i="18"/>
  <c r="AA9" i="18"/>
  <c r="T9" i="18"/>
  <c r="S9" i="18"/>
  <c r="R9" i="18"/>
  <c r="AM9" i="18" s="1"/>
  <c r="AR8" i="18"/>
  <c r="AL8" i="18"/>
  <c r="AK8" i="18"/>
  <c r="AG8" i="18"/>
  <c r="AF8" i="18"/>
  <c r="AB8" i="18"/>
  <c r="AA8" i="18"/>
  <c r="T8" i="18"/>
  <c r="S8" i="18"/>
  <c r="R8" i="18"/>
  <c r="AM8" i="18" s="1"/>
  <c r="AR7" i="18"/>
  <c r="AL7" i="18"/>
  <c r="AK7" i="18"/>
  <c r="AG7" i="18"/>
  <c r="AF7" i="18"/>
  <c r="AB7" i="18"/>
  <c r="AA7" i="18"/>
  <c r="T7" i="18"/>
  <c r="S7" i="18"/>
  <c r="R7" i="18"/>
  <c r="AM7" i="18" s="1"/>
  <c r="AR6" i="18"/>
  <c r="AL6" i="18"/>
  <c r="AK6" i="18"/>
  <c r="AG6" i="18"/>
  <c r="AF6" i="18"/>
  <c r="AB6" i="18"/>
  <c r="AA6" i="18"/>
  <c r="T6" i="18"/>
  <c r="S6" i="18"/>
  <c r="R6" i="18"/>
  <c r="AM6" i="18" s="1"/>
  <c r="B6" i="18"/>
  <c r="B8" i="18" s="1"/>
  <c r="AR5" i="18"/>
  <c r="AL5" i="18"/>
  <c r="AK5" i="18"/>
  <c r="AG5" i="18"/>
  <c r="AF5" i="18"/>
  <c r="AB5" i="18"/>
  <c r="AA5" i="18"/>
  <c r="T5" i="18"/>
  <c r="S5" i="18"/>
  <c r="R5" i="18"/>
  <c r="AM5" i="18" s="1"/>
  <c r="B5" i="18"/>
  <c r="B7" i="18" s="1"/>
  <c r="AR4" i="18"/>
  <c r="AL4" i="18"/>
  <c r="AK4" i="18"/>
  <c r="AG4" i="18"/>
  <c r="AF4" i="18"/>
  <c r="AB4" i="18"/>
  <c r="AA4" i="18"/>
  <c r="T4" i="18"/>
  <c r="S4" i="18"/>
  <c r="R4" i="18"/>
  <c r="AM4" i="18" s="1"/>
  <c r="A4" i="18"/>
  <c r="AP1" i="18"/>
  <c r="Y71" i="18" l="1"/>
  <c r="W71" i="18" s="1"/>
  <c r="Z71" i="18"/>
  <c r="X71" i="18" s="1"/>
  <c r="A5" i="18"/>
  <c r="AN6" i="18"/>
  <c r="AO62" i="18"/>
  <c r="AO63" i="18"/>
  <c r="AO5" i="18"/>
  <c r="AO19" i="18"/>
  <c r="AO64" i="18"/>
  <c r="AN65" i="18"/>
  <c r="AN63" i="18"/>
  <c r="AN64" i="18"/>
  <c r="AO65" i="18"/>
  <c r="AN62" i="18"/>
  <c r="AN56" i="18"/>
  <c r="AN57" i="18"/>
  <c r="AN60" i="18"/>
  <c r="AN61" i="18"/>
  <c r="AO55" i="18"/>
  <c r="AO56" i="18"/>
  <c r="AO57" i="18"/>
  <c r="AN58" i="18"/>
  <c r="AN59" i="18"/>
  <c r="AO58" i="18"/>
  <c r="AO59" i="18"/>
  <c r="AN48" i="18"/>
  <c r="AN49" i="18"/>
  <c r="AO60" i="18"/>
  <c r="AO61" i="18"/>
  <c r="AN52" i="18"/>
  <c r="AN53" i="18"/>
  <c r="AN55" i="18"/>
  <c r="AO54" i="18"/>
  <c r="AO48" i="18"/>
  <c r="AO49" i="18"/>
  <c r="AN50" i="18"/>
  <c r="AN51" i="18"/>
  <c r="AO50" i="18"/>
  <c r="AO51" i="18"/>
  <c r="AO52" i="18"/>
  <c r="AO53" i="18"/>
  <c r="AN54" i="18"/>
  <c r="AO47" i="18"/>
  <c r="AN44" i="18"/>
  <c r="AN45" i="18"/>
  <c r="AN47" i="18"/>
  <c r="AO46" i="18"/>
  <c r="AN40" i="18"/>
  <c r="AN41" i="18"/>
  <c r="AO37" i="18"/>
  <c r="AO44" i="18"/>
  <c r="AO45" i="18"/>
  <c r="AN46" i="18"/>
  <c r="AN38" i="18"/>
  <c r="AO39" i="18"/>
  <c r="AN34" i="18"/>
  <c r="AO41" i="18"/>
  <c r="AN42" i="18"/>
  <c r="AN43" i="18"/>
  <c r="AO35" i="18"/>
  <c r="AN36" i="18"/>
  <c r="AN37" i="18"/>
  <c r="AP37" i="18" s="1"/>
  <c r="AO42" i="18"/>
  <c r="AO43" i="18"/>
  <c r="AN32" i="18"/>
  <c r="AN33" i="18"/>
  <c r="AO31" i="18"/>
  <c r="AO33" i="18"/>
  <c r="AN31" i="18"/>
  <c r="AO20" i="18"/>
  <c r="AO30" i="18"/>
  <c r="AN26" i="18"/>
  <c r="AN27" i="18"/>
  <c r="AN30" i="18"/>
  <c r="AO23" i="18"/>
  <c r="AN24" i="18"/>
  <c r="AO25" i="18"/>
  <c r="AO21" i="18"/>
  <c r="AN22" i="18"/>
  <c r="AN23" i="18"/>
  <c r="AO26" i="18"/>
  <c r="AO27" i="18"/>
  <c r="AN28" i="18"/>
  <c r="AO22" i="18"/>
  <c r="AO29" i="18"/>
  <c r="AO11" i="18"/>
  <c r="AO12" i="18"/>
  <c r="AN13" i="18"/>
  <c r="AN14" i="18"/>
  <c r="AN20" i="18"/>
  <c r="AO15" i="18"/>
  <c r="AO16" i="18"/>
  <c r="AN17" i="18"/>
  <c r="AN18" i="18"/>
  <c r="AO7" i="18"/>
  <c r="AO8" i="18"/>
  <c r="AN9" i="18"/>
  <c r="AN10" i="18"/>
  <c r="AN4" i="18"/>
  <c r="AN5" i="18"/>
  <c r="AO9" i="18"/>
  <c r="AO10" i="18"/>
  <c r="AN11" i="18"/>
  <c r="AN12" i="18"/>
  <c r="AO17" i="18"/>
  <c r="AO18" i="18"/>
  <c r="AN19" i="18"/>
  <c r="AO4" i="18"/>
  <c r="AO6" i="18"/>
  <c r="AN7" i="18"/>
  <c r="AN8" i="18"/>
  <c r="AO13" i="18"/>
  <c r="AO14" i="18"/>
  <c r="AN15" i="18"/>
  <c r="AN16" i="18"/>
  <c r="A7" i="18"/>
  <c r="B9" i="18"/>
  <c r="A8" i="18"/>
  <c r="B10" i="18"/>
  <c r="AM66" i="18"/>
  <c r="H9" i="1" s="1"/>
  <c r="T66" i="18"/>
  <c r="A6" i="18"/>
  <c r="AN21" i="18"/>
  <c r="AO24" i="18"/>
  <c r="AN29" i="18"/>
  <c r="AO32" i="18"/>
  <c r="AO34" i="18"/>
  <c r="AN35" i="18"/>
  <c r="AO36" i="18"/>
  <c r="AO38" i="18"/>
  <c r="AN39" i="18"/>
  <c r="AO40" i="18"/>
  <c r="R66" i="18"/>
  <c r="AN25" i="18"/>
  <c r="AO28" i="18"/>
  <c r="S66" i="18"/>
  <c r="N37" i="1"/>
  <c r="AP35" i="18" l="1"/>
  <c r="AP17" i="18"/>
  <c r="AP48" i="18"/>
  <c r="AP13" i="18"/>
  <c r="AP40" i="18"/>
  <c r="AP20" i="18"/>
  <c r="AP10" i="18"/>
  <c r="AP59" i="18"/>
  <c r="AP58" i="18"/>
  <c r="AP24" i="18"/>
  <c r="AP46" i="18"/>
  <c r="AP25" i="18"/>
  <c r="AP9" i="18"/>
  <c r="AP36" i="18"/>
  <c r="AP62" i="18"/>
  <c r="AP12" i="18"/>
  <c r="AP51" i="18"/>
  <c r="AP18" i="18"/>
  <c r="AP14" i="18"/>
  <c r="AP11" i="18"/>
  <c r="AP19" i="18"/>
  <c r="AP6" i="18"/>
  <c r="AP31" i="18"/>
  <c r="AP63" i="18"/>
  <c r="AP65" i="18"/>
  <c r="AP33" i="18"/>
  <c r="AP52" i="18"/>
  <c r="AP64" i="18"/>
  <c r="AP61" i="18"/>
  <c r="AP57" i="18"/>
  <c r="AP56" i="18"/>
  <c r="AP50" i="18"/>
  <c r="AP55" i="18"/>
  <c r="AP60" i="18"/>
  <c r="AP54" i="18"/>
  <c r="AP49" i="18"/>
  <c r="AP53" i="18"/>
  <c r="AP38" i="18"/>
  <c r="AP42" i="18"/>
  <c r="AP45" i="18"/>
  <c r="AP43" i="18"/>
  <c r="AP44" i="18"/>
  <c r="AP47" i="18"/>
  <c r="AP39" i="18"/>
  <c r="AP41" i="18"/>
  <c r="AP34" i="18"/>
  <c r="AP29" i="18"/>
  <c r="AP26" i="18"/>
  <c r="AP23" i="18"/>
  <c r="AP30" i="18"/>
  <c r="AP27" i="18"/>
  <c r="AP21" i="18"/>
  <c r="AP22" i="18"/>
  <c r="AP28" i="18"/>
  <c r="AP4" i="18"/>
  <c r="AP8" i="18"/>
  <c r="AP16" i="18"/>
  <c r="AP15" i="18"/>
  <c r="AP7" i="18"/>
  <c r="AP5" i="18"/>
  <c r="AO66" i="18"/>
  <c r="J9" i="1" s="1"/>
  <c r="AP32" i="18"/>
  <c r="AN66" i="18"/>
  <c r="I9" i="1" s="1"/>
  <c r="B12" i="18"/>
  <c r="A10" i="18"/>
  <c r="A9" i="18"/>
  <c r="B11" i="18"/>
  <c r="AF5" i="11"/>
  <c r="AG5" i="11"/>
  <c r="AF6" i="11"/>
  <c r="AG6" i="11"/>
  <c r="AF7" i="11"/>
  <c r="AG7" i="11"/>
  <c r="AF8" i="11"/>
  <c r="AG8" i="11"/>
  <c r="AF9" i="11"/>
  <c r="AG9" i="11"/>
  <c r="AF10" i="11"/>
  <c r="AG10" i="11"/>
  <c r="AF11" i="11"/>
  <c r="AG11" i="11"/>
  <c r="AF12" i="11"/>
  <c r="AG12" i="11"/>
  <c r="AF13" i="11"/>
  <c r="AG13" i="11"/>
  <c r="AF14" i="11"/>
  <c r="AG14" i="11"/>
  <c r="AF15" i="11"/>
  <c r="AG15" i="11"/>
  <c r="AF16" i="11"/>
  <c r="AG16" i="11"/>
  <c r="AF17" i="11"/>
  <c r="AG17" i="11"/>
  <c r="AF18" i="11"/>
  <c r="AG18" i="11"/>
  <c r="AK5" i="11"/>
  <c r="AL5" i="11"/>
  <c r="AK6" i="11"/>
  <c r="AL6" i="11"/>
  <c r="AK7" i="11"/>
  <c r="AL7" i="11"/>
  <c r="AK8" i="11"/>
  <c r="AL8" i="11"/>
  <c r="AK9" i="11"/>
  <c r="AL9" i="11"/>
  <c r="AK10" i="11"/>
  <c r="AL10" i="11"/>
  <c r="AK11" i="11"/>
  <c r="AL11" i="11"/>
  <c r="AK12" i="11"/>
  <c r="AL12" i="11"/>
  <c r="AK13" i="11"/>
  <c r="AL13" i="11"/>
  <c r="AK14" i="11"/>
  <c r="AL14" i="11"/>
  <c r="AK15" i="11"/>
  <c r="AL15" i="11"/>
  <c r="AK16" i="11"/>
  <c r="AL16" i="11"/>
  <c r="AK17" i="11"/>
  <c r="AL17" i="11"/>
  <c r="AK18" i="11"/>
  <c r="AL18" i="11"/>
  <c r="AK19" i="11"/>
  <c r="AL19" i="11"/>
  <c r="M9" i="1" l="1"/>
  <c r="N9" i="1" s="1"/>
  <c r="A12" i="18"/>
  <c r="B14" i="18"/>
  <c r="B13" i="18"/>
  <c r="A11" i="18"/>
  <c r="A13" i="18" l="1"/>
  <c r="B15" i="18"/>
  <c r="A14" i="18"/>
  <c r="B16" i="18"/>
  <c r="AS19" i="12"/>
  <c r="A16" i="18" l="1"/>
  <c r="B18" i="18"/>
  <c r="A15" i="18"/>
  <c r="B17" i="18"/>
  <c r="A17" i="18" l="1"/>
  <c r="B19" i="18"/>
  <c r="B20" i="18"/>
  <c r="A18" i="18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B22" i="18" l="1"/>
  <c r="A20" i="18"/>
  <c r="B21" i="18"/>
  <c r="A19" i="18"/>
  <c r="AK5" i="5"/>
  <c r="AL5" i="5"/>
  <c r="AK6" i="5"/>
  <c r="AL6" i="5"/>
  <c r="AK7" i="5"/>
  <c r="AL7" i="5"/>
  <c r="AK8" i="5"/>
  <c r="AL8" i="5"/>
  <c r="AK9" i="5"/>
  <c r="AL9" i="5"/>
  <c r="AK10" i="5"/>
  <c r="AL10" i="5"/>
  <c r="AK11" i="5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K22" i="5"/>
  <c r="AL22" i="5"/>
  <c r="AK23" i="5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K57" i="5"/>
  <c r="AL57" i="5"/>
  <c r="AK58" i="5"/>
  <c r="AL58" i="5"/>
  <c r="AK59" i="5"/>
  <c r="AL59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B24" i="18" l="1"/>
  <c r="A22" i="18"/>
  <c r="A21" i="18"/>
  <c r="B23" i="18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A23" i="18" l="1"/>
  <c r="B25" i="18"/>
  <c r="B26" i="18"/>
  <c r="A24" i="18"/>
  <c r="H4" i="2"/>
  <c r="G4" i="2"/>
  <c r="AA4" i="4"/>
  <c r="AB4" i="4"/>
  <c r="AA5" i="4"/>
  <c r="AB5" i="4"/>
  <c r="AA6" i="4"/>
  <c r="AB6" i="4"/>
  <c r="AA7" i="4"/>
  <c r="AB7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21" i="4"/>
  <c r="AB21" i="4"/>
  <c r="AA22" i="4"/>
  <c r="AB22" i="4"/>
  <c r="AA23" i="4"/>
  <c r="AB23" i="4"/>
  <c r="AA24" i="4"/>
  <c r="AB24" i="4"/>
  <c r="AA25" i="4"/>
  <c r="AB25" i="4"/>
  <c r="AA26" i="4"/>
  <c r="AB26" i="4"/>
  <c r="AA27" i="4"/>
  <c r="AB27" i="4"/>
  <c r="AA28" i="4"/>
  <c r="AB28" i="4"/>
  <c r="AA29" i="4"/>
  <c r="AB29" i="4"/>
  <c r="AA30" i="4"/>
  <c r="AB30" i="4"/>
  <c r="AA31" i="4"/>
  <c r="AB31" i="4"/>
  <c r="AA32" i="4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45" i="4"/>
  <c r="AB45" i="4"/>
  <c r="AA46" i="4"/>
  <c r="AB46" i="4"/>
  <c r="AA47" i="4"/>
  <c r="AB47" i="4"/>
  <c r="AA48" i="4"/>
  <c r="AB48" i="4"/>
  <c r="AA49" i="4"/>
  <c r="AB49" i="4"/>
  <c r="AA50" i="4"/>
  <c r="AB50" i="4"/>
  <c r="AA51" i="4"/>
  <c r="AB51" i="4"/>
  <c r="AA52" i="4"/>
  <c r="AB52" i="4"/>
  <c r="AA53" i="4"/>
  <c r="AB53" i="4"/>
  <c r="AA54" i="4"/>
  <c r="AB54" i="4"/>
  <c r="AA55" i="4"/>
  <c r="AB55" i="4"/>
  <c r="AA56" i="4"/>
  <c r="AB56" i="4"/>
  <c r="AA57" i="4"/>
  <c r="AB57" i="4"/>
  <c r="AA58" i="4"/>
  <c r="AB58" i="4"/>
  <c r="AA59" i="4"/>
  <c r="AB59" i="4"/>
  <c r="AA60" i="4"/>
  <c r="AB60" i="4"/>
  <c r="AA61" i="4"/>
  <c r="AB61" i="4"/>
  <c r="AA62" i="4"/>
  <c r="AB62" i="4"/>
  <c r="AA63" i="4"/>
  <c r="AB63" i="4"/>
  <c r="B28" i="18" l="1"/>
  <c r="A26" i="18"/>
  <c r="A25" i="18"/>
  <c r="B27" i="18"/>
  <c r="AG46" i="14"/>
  <c r="AG47" i="14"/>
  <c r="AG48" i="14"/>
  <c r="AG49" i="14"/>
  <c r="AG50" i="14"/>
  <c r="AG51" i="14"/>
  <c r="AG62" i="14"/>
  <c r="AG63" i="14"/>
  <c r="AG64" i="14"/>
  <c r="AG65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58" i="14"/>
  <c r="AL59" i="14"/>
  <c r="AL60" i="14"/>
  <c r="AL61" i="14"/>
  <c r="AL62" i="14"/>
  <c r="AL63" i="14"/>
  <c r="AL64" i="14"/>
  <c r="AL65" i="14"/>
  <c r="A27" i="18" l="1"/>
  <c r="B29" i="18"/>
  <c r="B30" i="18"/>
  <c r="A28" i="18"/>
  <c r="AS65" i="14"/>
  <c r="B32" i="18" l="1"/>
  <c r="A30" i="18"/>
  <c r="A29" i="18"/>
  <c r="B31" i="18"/>
  <c r="A31" i="18" l="1"/>
  <c r="B33" i="18"/>
  <c r="B34" i="18"/>
  <c r="A32" i="18"/>
  <c r="M43" i="1" l="1"/>
  <c r="N43" i="1" s="1"/>
  <c r="B36" i="18"/>
  <c r="A34" i="18"/>
  <c r="A33" i="18"/>
  <c r="B35" i="18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4" i="4"/>
  <c r="AB65" i="4"/>
  <c r="A35" i="18" l="1"/>
  <c r="B37" i="18"/>
  <c r="B38" i="18"/>
  <c r="A36" i="18"/>
  <c r="B40" i="18" l="1"/>
  <c r="A38" i="18"/>
  <c r="A37" i="18"/>
  <c r="B39" i="18"/>
  <c r="AS51" i="10"/>
  <c r="A39" i="18" l="1"/>
  <c r="B41" i="18"/>
  <c r="B42" i="18"/>
  <c r="A40" i="18"/>
  <c r="B44" i="18" l="1"/>
  <c r="A42" i="18"/>
  <c r="A41" i="18"/>
  <c r="B43" i="18"/>
  <c r="A43" i="18" l="1"/>
  <c r="B45" i="18"/>
  <c r="A44" i="18"/>
  <c r="B46" i="18"/>
  <c r="B48" i="18" l="1"/>
  <c r="A46" i="18"/>
  <c r="A45" i="18"/>
  <c r="B47" i="18"/>
  <c r="AA48" i="9"/>
  <c r="AB48" i="9"/>
  <c r="AA49" i="9"/>
  <c r="AB49" i="9"/>
  <c r="AA50" i="9"/>
  <c r="AB50" i="9"/>
  <c r="AA51" i="9"/>
  <c r="AB51" i="9"/>
  <c r="A47" i="18" l="1"/>
  <c r="B49" i="18"/>
  <c r="A48" i="18"/>
  <c r="B50" i="18"/>
  <c r="B52" i="18" l="1"/>
  <c r="A50" i="18"/>
  <c r="A49" i="18"/>
  <c r="B51" i="18"/>
  <c r="A51" i="18" l="1"/>
  <c r="B53" i="18"/>
  <c r="A52" i="18"/>
  <c r="B54" i="18"/>
  <c r="A53" i="18" l="1"/>
  <c r="B55" i="18"/>
  <c r="B56" i="18"/>
  <c r="A54" i="18"/>
  <c r="A56" i="18" l="1"/>
  <c r="B58" i="18"/>
  <c r="A55" i="18"/>
  <c r="B57" i="18"/>
  <c r="A57" i="18" l="1"/>
  <c r="B59" i="18"/>
  <c r="B60" i="18"/>
  <c r="A58" i="18"/>
  <c r="AQ1" i="31" l="1"/>
  <c r="AQ1" i="32"/>
  <c r="AQ63" i="31"/>
  <c r="AQ54" i="31"/>
  <c r="AQ22" i="31"/>
  <c r="AQ31" i="31"/>
  <c r="AQ10" i="31"/>
  <c r="AQ38" i="31"/>
  <c r="AQ7" i="31"/>
  <c r="AQ26" i="31"/>
  <c r="AQ20" i="31"/>
  <c r="AQ6" i="31"/>
  <c r="AQ29" i="31"/>
  <c r="AQ42" i="31"/>
  <c r="AQ65" i="31"/>
  <c r="AQ52" i="31"/>
  <c r="AQ64" i="31"/>
  <c r="AQ51" i="31"/>
  <c r="AQ28" i="31"/>
  <c r="AQ8" i="31"/>
  <c r="AQ60" i="31"/>
  <c r="AQ47" i="31"/>
  <c r="AQ59" i="31"/>
  <c r="AQ27" i="31"/>
  <c r="AQ39" i="31"/>
  <c r="AQ11" i="31"/>
  <c r="AQ61" i="31"/>
  <c r="AQ43" i="31"/>
  <c r="AQ5" i="31"/>
  <c r="AQ30" i="31"/>
  <c r="AQ21" i="31"/>
  <c r="AQ56" i="31"/>
  <c r="AQ48" i="31"/>
  <c r="AQ49" i="31"/>
  <c r="AQ36" i="31"/>
  <c r="AQ15" i="31"/>
  <c r="AQ46" i="31"/>
  <c r="AQ40" i="31"/>
  <c r="AQ45" i="31"/>
  <c r="AQ16" i="31"/>
  <c r="AQ55" i="31"/>
  <c r="AQ50" i="31"/>
  <c r="AQ12" i="31"/>
  <c r="AQ33" i="31"/>
  <c r="AQ23" i="31"/>
  <c r="AQ14" i="31"/>
  <c r="AQ58" i="31"/>
  <c r="AQ25" i="31"/>
  <c r="AQ18" i="31"/>
  <c r="AQ13" i="31"/>
  <c r="AQ35" i="31"/>
  <c r="AQ62" i="31"/>
  <c r="AQ37" i="31"/>
  <c r="AQ9" i="31"/>
  <c r="AQ57" i="31"/>
  <c r="AQ19" i="31"/>
  <c r="AQ17" i="31"/>
  <c r="AQ44" i="31"/>
  <c r="AQ41" i="31"/>
  <c r="AQ32" i="31"/>
  <c r="AQ53" i="31"/>
  <c r="AQ4" i="31"/>
  <c r="AQ34" i="31"/>
  <c r="AQ24" i="31"/>
  <c r="AQ1" i="28"/>
  <c r="AQ54" i="28" s="1"/>
  <c r="AQ1" i="30"/>
  <c r="AQ1" i="29"/>
  <c r="AQ46" i="28"/>
  <c r="AQ41" i="28"/>
  <c r="AQ65" i="28"/>
  <c r="AQ33" i="28"/>
  <c r="AQ61" i="28"/>
  <c r="AQ53" i="28"/>
  <c r="AQ30" i="28"/>
  <c r="AQ52" i="28"/>
  <c r="AQ26" i="28"/>
  <c r="AQ42" i="28"/>
  <c r="AQ37" i="28"/>
  <c r="AQ1" i="26"/>
  <c r="AQ1" i="27"/>
  <c r="AQ1" i="22"/>
  <c r="AQ1" i="21"/>
  <c r="AQ13" i="21" s="1"/>
  <c r="L18" i="1"/>
  <c r="AQ1" i="18"/>
  <c r="AQ64" i="18" s="1"/>
  <c r="AQ1" i="20"/>
  <c r="AQ1" i="19"/>
  <c r="A60" i="18"/>
  <c r="B62" i="18"/>
  <c r="A59" i="18"/>
  <c r="B61" i="18"/>
  <c r="R14" i="13"/>
  <c r="R15" i="13"/>
  <c r="R16" i="13"/>
  <c r="R17" i="13"/>
  <c r="R18" i="13"/>
  <c r="R19" i="13"/>
  <c r="R20" i="13"/>
  <c r="R21" i="13"/>
  <c r="R22" i="13"/>
  <c r="AQ9" i="28" l="1"/>
  <c r="AQ60" i="32"/>
  <c r="AQ44" i="32"/>
  <c r="AQ57" i="32"/>
  <c r="AQ33" i="32"/>
  <c r="AQ46" i="32"/>
  <c r="AQ13" i="32"/>
  <c r="AQ12" i="32"/>
  <c r="AQ61" i="32"/>
  <c r="AQ56" i="32"/>
  <c r="AQ40" i="32"/>
  <c r="AQ49" i="32"/>
  <c r="AQ63" i="32"/>
  <c r="AQ39" i="32"/>
  <c r="AQ48" i="32"/>
  <c r="AQ41" i="32"/>
  <c r="AQ50" i="32"/>
  <c r="AQ52" i="32"/>
  <c r="AQ36" i="32"/>
  <c r="AQ45" i="32"/>
  <c r="AQ55" i="32"/>
  <c r="AQ31" i="32"/>
  <c r="AQ47" i="32"/>
  <c r="AQ65" i="32"/>
  <c r="AQ54" i="32"/>
  <c r="AQ4" i="32"/>
  <c r="AQ32" i="32"/>
  <c r="AQ25" i="32"/>
  <c r="AQ8" i="32"/>
  <c r="AQ16" i="32"/>
  <c r="AQ14" i="32"/>
  <c r="AQ6" i="32"/>
  <c r="AQ64" i="32"/>
  <c r="AQ58" i="32"/>
  <c r="AQ53" i="32"/>
  <c r="AQ27" i="32"/>
  <c r="AQ42" i="32"/>
  <c r="AQ20" i="32"/>
  <c r="AQ7" i="32"/>
  <c r="AQ29" i="32"/>
  <c r="AQ19" i="32"/>
  <c r="AQ38" i="32"/>
  <c r="AQ22" i="32"/>
  <c r="AQ5" i="32"/>
  <c r="AQ9" i="32"/>
  <c r="AQ62" i="32"/>
  <c r="AQ37" i="32"/>
  <c r="AQ59" i="32"/>
  <c r="AQ23" i="32"/>
  <c r="AQ26" i="32"/>
  <c r="AQ24" i="32"/>
  <c r="AQ34" i="32"/>
  <c r="AQ30" i="32"/>
  <c r="AQ35" i="32"/>
  <c r="AQ18" i="32"/>
  <c r="AQ21" i="32"/>
  <c r="AQ17" i="32"/>
  <c r="AQ11" i="32"/>
  <c r="AQ15" i="32"/>
  <c r="AQ28" i="32"/>
  <c r="AQ51" i="32"/>
  <c r="AQ10" i="32"/>
  <c r="AQ43" i="32"/>
  <c r="AQ24" i="28"/>
  <c r="AQ5" i="28"/>
  <c r="AQ44" i="28"/>
  <c r="AQ34" i="28"/>
  <c r="AQ45" i="28"/>
  <c r="AQ6" i="28"/>
  <c r="AQ13" i="28"/>
  <c r="AQ7" i="28"/>
  <c r="AQ32" i="28"/>
  <c r="AQ4" i="28"/>
  <c r="AQ22" i="28"/>
  <c r="AQ55" i="28"/>
  <c r="AQ19" i="28"/>
  <c r="AQ27" i="28"/>
  <c r="AQ63" i="28"/>
  <c r="AQ49" i="28"/>
  <c r="AQ38" i="28"/>
  <c r="AQ15" i="28"/>
  <c r="AQ21" i="28"/>
  <c r="AQ18" i="28"/>
  <c r="AQ20" i="28"/>
  <c r="AQ10" i="28"/>
  <c r="AQ31" i="28"/>
  <c r="AQ12" i="28"/>
  <c r="AQ17" i="28"/>
  <c r="AQ36" i="28"/>
  <c r="AQ64" i="28"/>
  <c r="AQ47" i="28"/>
  <c r="AQ48" i="28"/>
  <c r="AQ28" i="28"/>
  <c r="AQ51" i="28"/>
  <c r="AQ40" i="28"/>
  <c r="AQ16" i="28"/>
  <c r="AQ62" i="28"/>
  <c r="AQ23" i="28"/>
  <c r="AQ50" i="28"/>
  <c r="AQ11" i="28"/>
  <c r="AQ58" i="28"/>
  <c r="AQ25" i="28"/>
  <c r="AQ14" i="28"/>
  <c r="AQ8" i="28"/>
  <c r="AQ59" i="28"/>
  <c r="AQ39" i="28"/>
  <c r="AQ43" i="28"/>
  <c r="AQ56" i="28"/>
  <c r="AQ57" i="28"/>
  <c r="AQ66" i="31"/>
  <c r="AQ7" i="18"/>
  <c r="AQ37" i="21"/>
  <c r="AQ35" i="28"/>
  <c r="AQ60" i="28"/>
  <c r="AQ29" i="28"/>
  <c r="AQ33" i="18"/>
  <c r="AQ25" i="29"/>
  <c r="AQ56" i="29"/>
  <c r="AQ36" i="29"/>
  <c r="AQ53" i="29"/>
  <c r="AQ58" i="29"/>
  <c r="AQ42" i="29"/>
  <c r="AQ16" i="29"/>
  <c r="AQ60" i="29"/>
  <c r="AQ40" i="29"/>
  <c r="AQ46" i="29"/>
  <c r="AQ35" i="29"/>
  <c r="AQ63" i="29"/>
  <c r="AQ13" i="29"/>
  <c r="AQ52" i="29"/>
  <c r="AQ65" i="29"/>
  <c r="AQ41" i="29"/>
  <c r="AQ54" i="29"/>
  <c r="AQ38" i="29"/>
  <c r="AQ47" i="29"/>
  <c r="AQ14" i="29"/>
  <c r="AQ5" i="29"/>
  <c r="AQ57" i="29"/>
  <c r="AQ12" i="29"/>
  <c r="AQ51" i="29"/>
  <c r="AQ39" i="29"/>
  <c r="AQ64" i="29"/>
  <c r="AQ48" i="29"/>
  <c r="AQ61" i="29"/>
  <c r="AQ37" i="29"/>
  <c r="AQ50" i="29"/>
  <c r="AQ34" i="29"/>
  <c r="AQ7" i="29"/>
  <c r="AQ62" i="29"/>
  <c r="AQ24" i="29"/>
  <c r="AQ22" i="29"/>
  <c r="AQ23" i="29"/>
  <c r="AQ6" i="29"/>
  <c r="AQ32" i="29"/>
  <c r="AQ19" i="29"/>
  <c r="AQ55" i="29"/>
  <c r="AQ4" i="29"/>
  <c r="AQ29" i="29"/>
  <c r="AQ59" i="29"/>
  <c r="AQ9" i="29"/>
  <c r="AQ26" i="29"/>
  <c r="AQ17" i="29"/>
  <c r="AQ31" i="29"/>
  <c r="AQ27" i="29"/>
  <c r="AQ45" i="29"/>
  <c r="AQ28" i="29"/>
  <c r="AQ15" i="29"/>
  <c r="AQ8" i="29"/>
  <c r="AQ11" i="29"/>
  <c r="AQ33" i="29"/>
  <c r="AQ10" i="29"/>
  <c r="AQ18" i="29"/>
  <c r="AQ44" i="29"/>
  <c r="AQ49" i="29"/>
  <c r="AQ20" i="29"/>
  <c r="AQ43" i="29"/>
  <c r="AQ21" i="29"/>
  <c r="AQ30" i="29"/>
  <c r="AQ4" i="30"/>
  <c r="AQ15" i="30"/>
  <c r="AQ11" i="30"/>
  <c r="AQ58" i="30"/>
  <c r="AQ42" i="30"/>
  <c r="AQ63" i="30"/>
  <c r="AQ47" i="30"/>
  <c r="AQ56" i="30"/>
  <c r="AQ40" i="30"/>
  <c r="AQ10" i="30"/>
  <c r="AQ5" i="30"/>
  <c r="AQ17" i="30"/>
  <c r="AQ16" i="30"/>
  <c r="AQ51" i="30"/>
  <c r="AQ29" i="30"/>
  <c r="AQ54" i="30"/>
  <c r="AQ38" i="30"/>
  <c r="AQ59" i="30"/>
  <c r="AQ43" i="30"/>
  <c r="AQ52" i="30"/>
  <c r="AQ32" i="30"/>
  <c r="AQ14" i="30"/>
  <c r="AQ46" i="30"/>
  <c r="AQ60" i="30"/>
  <c r="AQ13" i="30"/>
  <c r="AQ8" i="30"/>
  <c r="AQ7" i="30"/>
  <c r="AQ33" i="30"/>
  <c r="AQ50" i="30"/>
  <c r="AQ34" i="30"/>
  <c r="AQ55" i="30"/>
  <c r="AQ64" i="30"/>
  <c r="AQ48" i="30"/>
  <c r="AQ6" i="30"/>
  <c r="AQ9" i="30"/>
  <c r="AQ37" i="30"/>
  <c r="AQ62" i="30"/>
  <c r="AQ30" i="30"/>
  <c r="AQ44" i="30"/>
  <c r="AQ12" i="30"/>
  <c r="AQ21" i="30"/>
  <c r="AQ57" i="30"/>
  <c r="AQ19" i="30"/>
  <c r="AQ18" i="30"/>
  <c r="AQ39" i="30"/>
  <c r="AQ45" i="30"/>
  <c r="AQ31" i="30"/>
  <c r="AQ25" i="30"/>
  <c r="AQ49" i="30"/>
  <c r="AQ22" i="30"/>
  <c r="AQ65" i="30"/>
  <c r="AQ24" i="30"/>
  <c r="AQ23" i="30"/>
  <c r="AQ20" i="30"/>
  <c r="AQ26" i="30"/>
  <c r="AQ28" i="30"/>
  <c r="AQ41" i="30"/>
  <c r="AQ36" i="30"/>
  <c r="AQ61" i="30"/>
  <c r="AQ35" i="30"/>
  <c r="AQ53" i="30"/>
  <c r="AQ27" i="30"/>
  <c r="AQ36" i="18"/>
  <c r="AQ61" i="21"/>
  <c r="AQ31" i="21"/>
  <c r="AQ33" i="21"/>
  <c r="AQ38" i="21"/>
  <c r="AQ7" i="21"/>
  <c r="AQ56" i="21"/>
  <c r="AQ34" i="21"/>
  <c r="AQ11" i="21"/>
  <c r="AQ15" i="21"/>
  <c r="AQ26" i="21"/>
  <c r="AQ50" i="18"/>
  <c r="AQ62" i="18"/>
  <c r="AQ6" i="21"/>
  <c r="AQ44" i="21"/>
  <c r="AQ12" i="18"/>
  <c r="AQ52" i="18"/>
  <c r="AQ54" i="21"/>
  <c r="AQ48" i="21"/>
  <c r="AQ39" i="21"/>
  <c r="AQ8" i="21"/>
  <c r="AQ9" i="21"/>
  <c r="AQ51" i="21"/>
  <c r="AQ23" i="21"/>
  <c r="AQ62" i="21"/>
  <c r="AQ5" i="21"/>
  <c r="AQ27" i="21"/>
  <c r="AQ40" i="21"/>
  <c r="AQ19" i="21"/>
  <c r="AQ4" i="21"/>
  <c r="AQ55" i="21"/>
  <c r="AQ42" i="21"/>
  <c r="AQ17" i="21"/>
  <c r="AQ49" i="21"/>
  <c r="AQ65" i="21"/>
  <c r="AQ52" i="21"/>
  <c r="AQ50" i="21"/>
  <c r="AQ29" i="21"/>
  <c r="AQ45" i="21"/>
  <c r="AQ24" i="21"/>
  <c r="AQ57" i="21"/>
  <c r="AQ18" i="21"/>
  <c r="AQ25" i="21"/>
  <c r="AQ43" i="21"/>
  <c r="AQ47" i="21"/>
  <c r="AQ36" i="21"/>
  <c r="AQ58" i="21"/>
  <c r="AQ59" i="21"/>
  <c r="AQ20" i="21"/>
  <c r="AQ32" i="21"/>
  <c r="AQ60" i="21"/>
  <c r="AQ12" i="21"/>
  <c r="AQ28" i="21"/>
  <c r="AQ41" i="21"/>
  <c r="AQ46" i="21"/>
  <c r="AQ63" i="21"/>
  <c r="AQ16" i="21"/>
  <c r="AQ22" i="21"/>
  <c r="AQ53" i="21"/>
  <c r="AQ35" i="21"/>
  <c r="AQ21" i="21"/>
  <c r="AQ30" i="21"/>
  <c r="AQ10" i="21"/>
  <c r="AQ64" i="21"/>
  <c r="AQ14" i="21"/>
  <c r="AQ59" i="22"/>
  <c r="AQ17" i="22"/>
  <c r="AQ9" i="22"/>
  <c r="AQ65" i="22"/>
  <c r="AQ62" i="22"/>
  <c r="AQ61" i="22"/>
  <c r="AQ48" i="22"/>
  <c r="AQ49" i="22"/>
  <c r="AQ42" i="22"/>
  <c r="AQ34" i="22"/>
  <c r="AQ10" i="22"/>
  <c r="AQ28" i="22"/>
  <c r="AQ18" i="22"/>
  <c r="AQ6" i="22"/>
  <c r="AQ24" i="22"/>
  <c r="AQ27" i="22"/>
  <c r="AQ43" i="22"/>
  <c r="AQ23" i="22"/>
  <c r="AQ47" i="22"/>
  <c r="AQ14" i="22"/>
  <c r="AQ15" i="22"/>
  <c r="AQ54" i="22"/>
  <c r="AQ55" i="22"/>
  <c r="AQ4" i="22"/>
  <c r="AQ30" i="22"/>
  <c r="AQ52" i="22"/>
  <c r="AQ58" i="22"/>
  <c r="AQ37" i="22"/>
  <c r="AQ53" i="22"/>
  <c r="AQ50" i="22"/>
  <c r="AQ57" i="22"/>
  <c r="AQ45" i="22"/>
  <c r="AQ44" i="22"/>
  <c r="AQ21" i="22"/>
  <c r="AQ5" i="22"/>
  <c r="AQ63" i="22"/>
  <c r="AQ36" i="22"/>
  <c r="AQ51" i="22"/>
  <c r="AQ35" i="22"/>
  <c r="AQ56" i="22"/>
  <c r="AQ41" i="22"/>
  <c r="AQ46" i="22"/>
  <c r="AQ39" i="22"/>
  <c r="AQ12" i="22"/>
  <c r="AQ13" i="22"/>
  <c r="AQ29" i="22"/>
  <c r="AQ64" i="22"/>
  <c r="AQ22" i="22"/>
  <c r="AQ38" i="22"/>
  <c r="AQ60" i="22"/>
  <c r="AQ40" i="22"/>
  <c r="AQ33" i="22"/>
  <c r="AQ8" i="22"/>
  <c r="AQ26" i="22"/>
  <c r="AQ19" i="22"/>
  <c r="AQ25" i="22"/>
  <c r="AQ16" i="22"/>
  <c r="AQ32" i="22"/>
  <c r="AQ31" i="22"/>
  <c r="AQ20" i="22"/>
  <c r="AQ7" i="22"/>
  <c r="AQ11" i="22"/>
  <c r="AQ22" i="27"/>
  <c r="AQ43" i="27"/>
  <c r="AQ38" i="27"/>
  <c r="AQ36" i="27"/>
  <c r="AQ34" i="27"/>
  <c r="AQ62" i="27"/>
  <c r="AQ48" i="27"/>
  <c r="AQ42" i="27"/>
  <c r="AQ45" i="27"/>
  <c r="AQ23" i="27"/>
  <c r="AQ58" i="27"/>
  <c r="AQ51" i="27"/>
  <c r="AQ55" i="27"/>
  <c r="AQ18" i="27"/>
  <c r="AQ21" i="27"/>
  <c r="AQ53" i="27"/>
  <c r="AQ31" i="27"/>
  <c r="AQ19" i="27"/>
  <c r="AQ16" i="27"/>
  <c r="AQ40" i="27"/>
  <c r="AQ28" i="27"/>
  <c r="AQ13" i="27"/>
  <c r="AQ37" i="27"/>
  <c r="AQ32" i="27"/>
  <c r="AQ57" i="27"/>
  <c r="AQ49" i="27"/>
  <c r="AQ17" i="27"/>
  <c r="AQ30" i="27"/>
  <c r="AQ15" i="27"/>
  <c r="AQ56" i="27"/>
  <c r="AQ12" i="27"/>
  <c r="AQ6" i="27"/>
  <c r="AQ41" i="27"/>
  <c r="AQ59" i="27"/>
  <c r="AQ47" i="27"/>
  <c r="AQ5" i="27"/>
  <c r="AQ26" i="27"/>
  <c r="AQ60" i="27"/>
  <c r="AQ4" i="27"/>
  <c r="AQ24" i="27"/>
  <c r="AQ7" i="27"/>
  <c r="AQ64" i="27"/>
  <c r="AQ50" i="27"/>
  <c r="AQ52" i="27"/>
  <c r="AQ44" i="27"/>
  <c r="AQ29" i="27"/>
  <c r="AQ9" i="27"/>
  <c r="AQ54" i="27"/>
  <c r="AQ27" i="27"/>
  <c r="AQ33" i="27"/>
  <c r="AQ65" i="27"/>
  <c r="AQ20" i="27"/>
  <c r="AQ10" i="27"/>
  <c r="AQ63" i="27"/>
  <c r="AQ35" i="27"/>
  <c r="AQ61" i="27"/>
  <c r="AQ14" i="27"/>
  <c r="AQ25" i="27"/>
  <c r="AQ11" i="27"/>
  <c r="AQ8" i="27"/>
  <c r="AQ46" i="27"/>
  <c r="AQ39" i="27"/>
  <c r="AQ29" i="26"/>
  <c r="AQ11" i="26"/>
  <c r="AQ4" i="26"/>
  <c r="AQ20" i="26"/>
  <c r="AQ33" i="26"/>
  <c r="AQ60" i="26"/>
  <c r="AQ21" i="26"/>
  <c r="AQ28" i="26"/>
  <c r="AQ63" i="26"/>
  <c r="AQ59" i="26"/>
  <c r="AQ53" i="26"/>
  <c r="AQ40" i="26"/>
  <c r="AQ35" i="26"/>
  <c r="AQ26" i="26"/>
  <c r="AQ30" i="26"/>
  <c r="AQ27" i="26"/>
  <c r="AQ44" i="26"/>
  <c r="AQ12" i="26"/>
  <c r="AQ54" i="26"/>
  <c r="AQ49" i="26"/>
  <c r="AQ19" i="26"/>
  <c r="AQ39" i="26"/>
  <c r="AQ62" i="26"/>
  <c r="AQ58" i="26"/>
  <c r="AQ51" i="26"/>
  <c r="AQ5" i="26"/>
  <c r="AQ14" i="26"/>
  <c r="AQ7" i="26"/>
  <c r="AQ65" i="26"/>
  <c r="AQ9" i="26"/>
  <c r="AQ37" i="26"/>
  <c r="AQ64" i="26"/>
  <c r="AQ41" i="26"/>
  <c r="AQ61" i="26"/>
  <c r="AQ48" i="26"/>
  <c r="AQ47" i="26"/>
  <c r="AQ46" i="26"/>
  <c r="AQ15" i="26"/>
  <c r="AQ23" i="26"/>
  <c r="AQ24" i="26"/>
  <c r="AQ18" i="26"/>
  <c r="AQ55" i="26"/>
  <c r="AQ10" i="26"/>
  <c r="AQ31" i="26"/>
  <c r="AQ6" i="26"/>
  <c r="AQ36" i="26"/>
  <c r="AQ8" i="26"/>
  <c r="AQ34" i="26"/>
  <c r="AQ25" i="26"/>
  <c r="AQ45" i="26"/>
  <c r="AQ22" i="26"/>
  <c r="AQ57" i="26"/>
  <c r="AQ56" i="26"/>
  <c r="AQ38" i="26"/>
  <c r="AQ13" i="26"/>
  <c r="AQ16" i="26"/>
  <c r="AQ17" i="26"/>
  <c r="AQ43" i="26"/>
  <c r="AQ52" i="26"/>
  <c r="AQ32" i="26"/>
  <c r="AQ42" i="26"/>
  <c r="AQ50" i="26"/>
  <c r="AQ11" i="18"/>
  <c r="AQ4" i="18"/>
  <c r="AQ65" i="18"/>
  <c r="AQ47" i="18"/>
  <c r="AQ17" i="18"/>
  <c r="AQ56" i="18"/>
  <c r="AQ44" i="18"/>
  <c r="AQ18" i="18"/>
  <c r="AQ13" i="18"/>
  <c r="AQ37" i="18"/>
  <c r="AQ48" i="18"/>
  <c r="AQ54" i="18"/>
  <c r="AQ51" i="18"/>
  <c r="AQ6" i="18"/>
  <c r="AQ10" i="18"/>
  <c r="AQ8" i="18"/>
  <c r="AQ43" i="18"/>
  <c r="AQ23" i="18"/>
  <c r="AQ41" i="18"/>
  <c r="AQ42" i="18"/>
  <c r="AQ39" i="18"/>
  <c r="AQ32" i="18"/>
  <c r="AQ40" i="18"/>
  <c r="AQ24" i="18"/>
  <c r="AQ5" i="18"/>
  <c r="AQ59" i="18"/>
  <c r="AQ53" i="18"/>
  <c r="AQ31" i="18"/>
  <c r="AQ63" i="18"/>
  <c r="AQ57" i="18"/>
  <c r="AQ21" i="18"/>
  <c r="AQ58" i="18"/>
  <c r="AQ19" i="18"/>
  <c r="AQ26" i="18"/>
  <c r="AQ60" i="18"/>
  <c r="AQ35" i="18"/>
  <c r="AQ15" i="18"/>
  <c r="AQ16" i="18"/>
  <c r="AQ38" i="18"/>
  <c r="AQ27" i="18"/>
  <c r="AQ30" i="18"/>
  <c r="AQ20" i="18"/>
  <c r="AQ29" i="18"/>
  <c r="AQ34" i="18"/>
  <c r="AQ28" i="18"/>
  <c r="AQ14" i="18"/>
  <c r="AQ45" i="18"/>
  <c r="AQ9" i="18"/>
  <c r="AQ46" i="18"/>
  <c r="AQ22" i="18"/>
  <c r="AQ61" i="18"/>
  <c r="AQ25" i="18"/>
  <c r="AQ55" i="18"/>
  <c r="AQ49" i="18"/>
  <c r="AQ63" i="19"/>
  <c r="AQ64" i="19"/>
  <c r="AQ65" i="19"/>
  <c r="AQ62" i="19"/>
  <c r="AQ59" i="19"/>
  <c r="AQ58" i="19"/>
  <c r="AQ54" i="19"/>
  <c r="AQ61" i="19"/>
  <c r="AQ57" i="19"/>
  <c r="AQ55" i="19"/>
  <c r="AQ50" i="19"/>
  <c r="AQ51" i="19"/>
  <c r="AQ53" i="19"/>
  <c r="AQ14" i="19"/>
  <c r="AQ60" i="19"/>
  <c r="AQ56" i="19"/>
  <c r="AQ31" i="19"/>
  <c r="AQ23" i="19"/>
  <c r="AQ26" i="19"/>
  <c r="AQ33" i="19"/>
  <c r="AQ49" i="19"/>
  <c r="AQ12" i="19"/>
  <c r="AQ15" i="19"/>
  <c r="AQ34" i="19"/>
  <c r="AQ39" i="19"/>
  <c r="AQ29" i="19"/>
  <c r="AQ35" i="19"/>
  <c r="AQ40" i="19"/>
  <c r="AQ43" i="19"/>
  <c r="AQ38" i="19"/>
  <c r="AQ17" i="19"/>
  <c r="AQ30" i="19"/>
  <c r="AQ52" i="19"/>
  <c r="AQ27" i="19"/>
  <c r="AQ41" i="19"/>
  <c r="AQ13" i="19"/>
  <c r="AQ36" i="19"/>
  <c r="AQ21" i="19"/>
  <c r="AQ20" i="19"/>
  <c r="AQ25" i="19"/>
  <c r="AQ28" i="19"/>
  <c r="AQ48" i="19"/>
  <c r="AQ18" i="19"/>
  <c r="AQ46" i="19"/>
  <c r="AQ10" i="19"/>
  <c r="AQ6" i="19"/>
  <c r="AQ4" i="19"/>
  <c r="AQ37" i="19"/>
  <c r="AQ5" i="19"/>
  <c r="AQ32" i="19"/>
  <c r="AQ47" i="19"/>
  <c r="AQ11" i="19"/>
  <c r="AQ8" i="19"/>
  <c r="AQ45" i="19"/>
  <c r="AQ19" i="19"/>
  <c r="AQ16" i="19"/>
  <c r="AQ9" i="19"/>
  <c r="AQ22" i="19"/>
  <c r="AQ24" i="19"/>
  <c r="AQ44" i="19"/>
  <c r="AQ42" i="19"/>
  <c r="AQ7" i="19"/>
  <c r="AQ64" i="20"/>
  <c r="AQ62" i="20"/>
  <c r="AQ59" i="20"/>
  <c r="AQ52" i="20"/>
  <c r="AQ61" i="20"/>
  <c r="AQ58" i="20"/>
  <c r="AQ55" i="20"/>
  <c r="AQ60" i="20"/>
  <c r="AQ57" i="20"/>
  <c r="AQ54" i="20"/>
  <c r="AQ51" i="20"/>
  <c r="AQ48" i="20"/>
  <c r="AQ63" i="20"/>
  <c r="AQ50" i="20"/>
  <c r="AQ56" i="20"/>
  <c r="AQ65" i="20"/>
  <c r="AQ14" i="20"/>
  <c r="AQ17" i="20"/>
  <c r="AQ20" i="20"/>
  <c r="AQ40" i="20"/>
  <c r="AQ27" i="20"/>
  <c r="AQ42" i="20"/>
  <c r="AQ18" i="20"/>
  <c r="AQ32" i="20"/>
  <c r="AQ10" i="20"/>
  <c r="AQ15" i="20"/>
  <c r="AQ33" i="20"/>
  <c r="AQ37" i="20"/>
  <c r="AQ53" i="20"/>
  <c r="AQ36" i="20"/>
  <c r="AQ23" i="20"/>
  <c r="AQ47" i="20"/>
  <c r="AQ45" i="20"/>
  <c r="AQ5" i="20"/>
  <c r="AQ39" i="20"/>
  <c r="AQ8" i="20"/>
  <c r="AQ28" i="20"/>
  <c r="AQ11" i="20"/>
  <c r="AQ4" i="20"/>
  <c r="AQ29" i="20"/>
  <c r="AQ26" i="20"/>
  <c r="AQ16" i="20"/>
  <c r="AQ9" i="20"/>
  <c r="AQ7" i="20"/>
  <c r="AQ43" i="20"/>
  <c r="AQ35" i="20"/>
  <c r="AQ31" i="20"/>
  <c r="AQ13" i="20"/>
  <c r="AQ19" i="20"/>
  <c r="AQ22" i="20"/>
  <c r="AQ25" i="20"/>
  <c r="AQ46" i="20"/>
  <c r="AQ24" i="20"/>
  <c r="AQ12" i="20"/>
  <c r="AQ6" i="20"/>
  <c r="AQ41" i="20"/>
  <c r="AQ44" i="20"/>
  <c r="AQ34" i="20"/>
  <c r="AQ21" i="20"/>
  <c r="AQ38" i="20"/>
  <c r="AQ49" i="20"/>
  <c r="AQ30" i="20"/>
  <c r="A61" i="18"/>
  <c r="B63" i="18"/>
  <c r="B64" i="18"/>
  <c r="A64" i="18" s="1"/>
  <c r="A62" i="18"/>
  <c r="G5" i="17"/>
  <c r="H5" i="17"/>
  <c r="G6" i="17"/>
  <c r="AN6" i="17" s="1"/>
  <c r="H6" i="17"/>
  <c r="AO6" i="17" s="1"/>
  <c r="G7" i="17"/>
  <c r="AN7" i="17" s="1"/>
  <c r="H7" i="17"/>
  <c r="AO7" i="17" s="1"/>
  <c r="G8" i="17"/>
  <c r="AN8" i="17" s="1"/>
  <c r="H8" i="17"/>
  <c r="AO8" i="17" s="1"/>
  <c r="G9" i="17"/>
  <c r="AN9" i="17" s="1"/>
  <c r="H9" i="17"/>
  <c r="AO9" i="17" s="1"/>
  <c r="G10" i="17"/>
  <c r="AN10" i="17" s="1"/>
  <c r="H10" i="17"/>
  <c r="AO10" i="17" s="1"/>
  <c r="G11" i="17"/>
  <c r="AN11" i="17" s="1"/>
  <c r="H11" i="17"/>
  <c r="AO11" i="17" s="1"/>
  <c r="G12" i="17"/>
  <c r="AN12" i="17" s="1"/>
  <c r="H12" i="17"/>
  <c r="AO12" i="17" s="1"/>
  <c r="G13" i="17"/>
  <c r="AN13" i="17" s="1"/>
  <c r="H13" i="17"/>
  <c r="AO13" i="17" s="1"/>
  <c r="G14" i="17"/>
  <c r="AN14" i="17" s="1"/>
  <c r="H14" i="17"/>
  <c r="AO14" i="17" s="1"/>
  <c r="G15" i="17"/>
  <c r="AN15" i="17" s="1"/>
  <c r="H15" i="17"/>
  <c r="AO15" i="17" s="1"/>
  <c r="G16" i="17"/>
  <c r="AN16" i="17" s="1"/>
  <c r="H16" i="17"/>
  <c r="AO16" i="17" s="1"/>
  <c r="G17" i="17"/>
  <c r="AN17" i="17" s="1"/>
  <c r="H17" i="17"/>
  <c r="AO17" i="17" s="1"/>
  <c r="G18" i="17"/>
  <c r="AN18" i="17" s="1"/>
  <c r="H18" i="17"/>
  <c r="AO18" i="17" s="1"/>
  <c r="G19" i="17"/>
  <c r="AN19" i="17" s="1"/>
  <c r="H19" i="17"/>
  <c r="AO19" i="17" s="1"/>
  <c r="G20" i="17"/>
  <c r="AN20" i="17" s="1"/>
  <c r="H20" i="17"/>
  <c r="AO20" i="17" s="1"/>
  <c r="G21" i="17"/>
  <c r="AN21" i="17" s="1"/>
  <c r="H21" i="17"/>
  <c r="AO21" i="17" s="1"/>
  <c r="G22" i="17"/>
  <c r="AN22" i="17" s="1"/>
  <c r="H22" i="17"/>
  <c r="AO22" i="17" s="1"/>
  <c r="G23" i="17"/>
  <c r="AN23" i="17" s="1"/>
  <c r="H23" i="17"/>
  <c r="AO23" i="17" s="1"/>
  <c r="G24" i="17"/>
  <c r="AN24" i="17" s="1"/>
  <c r="H24" i="17"/>
  <c r="AO24" i="17" s="1"/>
  <c r="G25" i="17"/>
  <c r="AN25" i="17" s="1"/>
  <c r="H25" i="17"/>
  <c r="AO25" i="17" s="1"/>
  <c r="G26" i="17"/>
  <c r="AN26" i="17" s="1"/>
  <c r="H26" i="17"/>
  <c r="AO26" i="17" s="1"/>
  <c r="G27" i="17"/>
  <c r="AN27" i="17" s="1"/>
  <c r="H27" i="17"/>
  <c r="AO27" i="17" s="1"/>
  <c r="G28" i="17"/>
  <c r="AN28" i="17" s="1"/>
  <c r="H28" i="17"/>
  <c r="AO28" i="17" s="1"/>
  <c r="G29" i="17"/>
  <c r="AN29" i="17" s="1"/>
  <c r="H29" i="17"/>
  <c r="AO29" i="17" s="1"/>
  <c r="G30" i="17"/>
  <c r="AN30" i="17" s="1"/>
  <c r="H30" i="17"/>
  <c r="AO30" i="17" s="1"/>
  <c r="G31" i="17"/>
  <c r="AN31" i="17" s="1"/>
  <c r="H31" i="17"/>
  <c r="AO31" i="17" s="1"/>
  <c r="G32" i="17"/>
  <c r="AN32" i="17" s="1"/>
  <c r="H32" i="17"/>
  <c r="AO32" i="17" s="1"/>
  <c r="G33" i="17"/>
  <c r="AN33" i="17" s="1"/>
  <c r="H33" i="17"/>
  <c r="AO33" i="17" s="1"/>
  <c r="G34" i="17"/>
  <c r="AN34" i="17" s="1"/>
  <c r="H34" i="17"/>
  <c r="AO34" i="17" s="1"/>
  <c r="G35" i="17"/>
  <c r="AN35" i="17" s="1"/>
  <c r="H35" i="17"/>
  <c r="AO35" i="17" s="1"/>
  <c r="G36" i="17"/>
  <c r="AN36" i="17" s="1"/>
  <c r="H36" i="17"/>
  <c r="AO36" i="17" s="1"/>
  <c r="G37" i="17"/>
  <c r="AN37" i="17" s="1"/>
  <c r="H37" i="17"/>
  <c r="AO37" i="17" s="1"/>
  <c r="G38" i="17"/>
  <c r="AN38" i="17" s="1"/>
  <c r="H38" i="17"/>
  <c r="AO38" i="17" s="1"/>
  <c r="G39" i="17"/>
  <c r="AN39" i="17" s="1"/>
  <c r="H39" i="17"/>
  <c r="AO39" i="17" s="1"/>
  <c r="G40" i="17"/>
  <c r="AN40" i="17" s="1"/>
  <c r="H40" i="17"/>
  <c r="AO40" i="17" s="1"/>
  <c r="G41" i="17"/>
  <c r="AN41" i="17" s="1"/>
  <c r="H41" i="17"/>
  <c r="AO41" i="17" s="1"/>
  <c r="G42" i="17"/>
  <c r="AN42" i="17" s="1"/>
  <c r="H42" i="17"/>
  <c r="AO42" i="17" s="1"/>
  <c r="G43" i="17"/>
  <c r="AN43" i="17" s="1"/>
  <c r="H43" i="17"/>
  <c r="AO43" i="17" s="1"/>
  <c r="G44" i="17"/>
  <c r="AN44" i="17" s="1"/>
  <c r="H44" i="17"/>
  <c r="AO44" i="17" s="1"/>
  <c r="G45" i="17"/>
  <c r="AN45" i="17" s="1"/>
  <c r="H45" i="17"/>
  <c r="AO45" i="17" s="1"/>
  <c r="G46" i="17"/>
  <c r="AN46" i="17" s="1"/>
  <c r="H46" i="17"/>
  <c r="AO46" i="17" s="1"/>
  <c r="G47" i="17"/>
  <c r="AN47" i="17" s="1"/>
  <c r="H47" i="17"/>
  <c r="AO47" i="17" s="1"/>
  <c r="G48" i="17"/>
  <c r="AN48" i="17" s="1"/>
  <c r="H48" i="17"/>
  <c r="AO48" i="17" s="1"/>
  <c r="G49" i="17"/>
  <c r="AN49" i="17" s="1"/>
  <c r="H49" i="17"/>
  <c r="AO49" i="17" s="1"/>
  <c r="G50" i="17"/>
  <c r="AN50" i="17" s="1"/>
  <c r="H50" i="17"/>
  <c r="AO50" i="17" s="1"/>
  <c r="G51" i="17"/>
  <c r="AN51" i="17" s="1"/>
  <c r="H51" i="17"/>
  <c r="AO51" i="17" s="1"/>
  <c r="G52" i="17"/>
  <c r="AN52" i="17" s="1"/>
  <c r="H52" i="17"/>
  <c r="AO52" i="17" s="1"/>
  <c r="G53" i="17"/>
  <c r="AN53" i="17" s="1"/>
  <c r="H53" i="17"/>
  <c r="AO53" i="17" s="1"/>
  <c r="G54" i="17"/>
  <c r="AN54" i="17" s="1"/>
  <c r="H54" i="17"/>
  <c r="AO54" i="17" s="1"/>
  <c r="G55" i="17"/>
  <c r="AN55" i="17" s="1"/>
  <c r="H55" i="17"/>
  <c r="AO55" i="17" s="1"/>
  <c r="G56" i="17"/>
  <c r="AN56" i="17" s="1"/>
  <c r="H56" i="17"/>
  <c r="AO56" i="17" s="1"/>
  <c r="G57" i="17"/>
  <c r="AN57" i="17" s="1"/>
  <c r="H57" i="17"/>
  <c r="AO57" i="17" s="1"/>
  <c r="G58" i="17"/>
  <c r="AN58" i="17" s="1"/>
  <c r="H58" i="17"/>
  <c r="AO58" i="17" s="1"/>
  <c r="G59" i="17"/>
  <c r="AN59" i="17" s="1"/>
  <c r="H59" i="17"/>
  <c r="AO59" i="17" s="1"/>
  <c r="G60" i="17"/>
  <c r="AN60" i="17" s="1"/>
  <c r="H60" i="17"/>
  <c r="AO60" i="17" s="1"/>
  <c r="G61" i="17"/>
  <c r="AN61" i="17" s="1"/>
  <c r="H61" i="17"/>
  <c r="AO61" i="17" s="1"/>
  <c r="G62" i="17"/>
  <c r="AN62" i="17" s="1"/>
  <c r="H62" i="17"/>
  <c r="AO62" i="17" s="1"/>
  <c r="G63" i="17"/>
  <c r="AN63" i="17" s="1"/>
  <c r="H63" i="17"/>
  <c r="AO63" i="17" s="1"/>
  <c r="G64" i="17"/>
  <c r="AN64" i="17" s="1"/>
  <c r="H64" i="17"/>
  <c r="AO64" i="17" s="1"/>
  <c r="G65" i="17"/>
  <c r="AN65" i="17" s="1"/>
  <c r="H65" i="17"/>
  <c r="AO65" i="17" s="1"/>
  <c r="AW63" i="19" l="1"/>
  <c r="AW49" i="19"/>
  <c r="AW35" i="19"/>
  <c r="AW21" i="19"/>
  <c r="AQ66" i="32"/>
  <c r="AW21" i="27"/>
  <c r="AW35" i="27"/>
  <c r="AQ66" i="28"/>
  <c r="AQ66" i="22"/>
  <c r="AQ66" i="29"/>
  <c r="AQ66" i="30"/>
  <c r="AQ66" i="21"/>
  <c r="AW65" i="26"/>
  <c r="AW47" i="26"/>
  <c r="AW53" i="26"/>
  <c r="AW33" i="26"/>
  <c r="AW61" i="26"/>
  <c r="AQ66" i="26"/>
  <c r="AW39" i="27"/>
  <c r="AW41" i="27"/>
  <c r="AW49" i="26"/>
  <c r="AW39" i="26"/>
  <c r="AW53" i="27"/>
  <c r="AW55" i="27"/>
  <c r="AW19" i="26"/>
  <c r="AQ66" i="27"/>
  <c r="AW61" i="27"/>
  <c r="AQ66" i="18"/>
  <c r="AQ66" i="19"/>
  <c r="AQ66" i="20"/>
  <c r="A63" i="18"/>
  <c r="B65" i="18"/>
  <c r="A65" i="18" s="1"/>
  <c r="AA10" i="10"/>
  <c r="AB10" i="10"/>
  <c r="AF10" i="10"/>
  <c r="AG10" i="10"/>
  <c r="AA11" i="10"/>
  <c r="AB11" i="10"/>
  <c r="AF11" i="10"/>
  <c r="AG11" i="10"/>
  <c r="AA12" i="10"/>
  <c r="AB12" i="10"/>
  <c r="AF12" i="10"/>
  <c r="AG12" i="10"/>
  <c r="AA13" i="10"/>
  <c r="AB13" i="10"/>
  <c r="AF13" i="10"/>
  <c r="AG13" i="10"/>
  <c r="AA14" i="10"/>
  <c r="AB14" i="10"/>
  <c r="AF14" i="10"/>
  <c r="AG14" i="10"/>
  <c r="AA15" i="10"/>
  <c r="AB15" i="10"/>
  <c r="AF15" i="10"/>
  <c r="AG15" i="10"/>
  <c r="AA16" i="10"/>
  <c r="AB16" i="10"/>
  <c r="AF16" i="10"/>
  <c r="AG16" i="10"/>
  <c r="AA17" i="10"/>
  <c r="AB17" i="10"/>
  <c r="AF17" i="10"/>
  <c r="AG17" i="10"/>
  <c r="N35" i="1" l="1"/>
  <c r="AA64" i="4" l="1"/>
  <c r="AA65" i="4"/>
  <c r="G4" i="3" l="1"/>
  <c r="H4" i="3"/>
  <c r="AK5" i="10" l="1"/>
  <c r="AL5" i="10"/>
  <c r="AK6" i="10"/>
  <c r="AL6" i="10"/>
  <c r="AK7" i="10"/>
  <c r="AL7" i="10"/>
  <c r="AK8" i="10"/>
  <c r="AL8" i="10"/>
  <c r="AK9" i="10"/>
  <c r="AL9" i="10"/>
  <c r="AK10" i="10"/>
  <c r="AL10" i="10"/>
  <c r="AK11" i="10"/>
  <c r="AL11" i="10"/>
  <c r="AK12" i="10"/>
  <c r="AL12" i="10"/>
  <c r="AK13" i="10"/>
  <c r="AL13" i="10"/>
  <c r="AK14" i="10"/>
  <c r="AL14" i="10"/>
  <c r="AK15" i="10"/>
  <c r="AL15" i="10"/>
  <c r="AK16" i="10"/>
  <c r="AL16" i="10"/>
  <c r="AK17" i="10"/>
  <c r="AL17" i="10"/>
  <c r="AK18" i="10"/>
  <c r="AL18" i="10"/>
  <c r="AK19" i="10"/>
  <c r="AL19" i="10"/>
  <c r="AK20" i="10"/>
  <c r="AL20" i="10"/>
  <c r="AK21" i="10"/>
  <c r="AL21" i="10"/>
  <c r="AK22" i="10"/>
  <c r="AL22" i="10"/>
  <c r="AK23" i="10"/>
  <c r="AL23" i="10"/>
  <c r="AK24" i="10"/>
  <c r="AL24" i="10"/>
  <c r="AK25" i="10"/>
  <c r="AL25" i="10"/>
  <c r="AK26" i="10"/>
  <c r="AL26" i="10"/>
  <c r="AK27" i="10"/>
  <c r="AL27" i="10"/>
  <c r="AK28" i="10"/>
  <c r="AL28" i="10"/>
  <c r="AK29" i="10"/>
  <c r="AL29" i="10"/>
  <c r="AK30" i="10"/>
  <c r="AL30" i="10"/>
  <c r="AK31" i="10"/>
  <c r="AL31" i="10"/>
  <c r="AK32" i="10"/>
  <c r="AL32" i="10"/>
  <c r="AK33" i="10"/>
  <c r="AL33" i="10"/>
  <c r="AK34" i="10"/>
  <c r="AL34" i="10"/>
  <c r="AK35" i="10"/>
  <c r="AL35" i="10"/>
  <c r="AK36" i="10"/>
  <c r="AL36" i="10"/>
  <c r="AK37" i="10"/>
  <c r="AL37" i="10"/>
  <c r="AK38" i="10"/>
  <c r="AL38" i="10"/>
  <c r="AK39" i="10"/>
  <c r="AL39" i="10"/>
  <c r="AK40" i="10"/>
  <c r="AL40" i="10"/>
  <c r="AK41" i="10"/>
  <c r="AL41" i="10"/>
  <c r="AK42" i="10"/>
  <c r="AL42" i="10"/>
  <c r="AK43" i="10"/>
  <c r="AL43" i="10"/>
  <c r="AK44" i="10"/>
  <c r="AL44" i="10"/>
  <c r="AK45" i="10"/>
  <c r="AL45" i="10"/>
  <c r="AK46" i="10"/>
  <c r="AL46" i="10"/>
  <c r="AK47" i="10"/>
  <c r="AL47" i="10"/>
  <c r="AK48" i="10"/>
  <c r="AL48" i="10"/>
  <c r="AK49" i="10"/>
  <c r="AL49" i="10"/>
  <c r="AK50" i="10"/>
  <c r="AL50" i="10"/>
  <c r="AK51" i="10"/>
  <c r="AL51" i="10"/>
  <c r="AK52" i="10"/>
  <c r="AL52" i="10"/>
  <c r="AK53" i="10"/>
  <c r="AL53" i="10"/>
  <c r="AK54" i="10"/>
  <c r="AL54" i="10"/>
  <c r="AK55" i="10"/>
  <c r="AL55" i="10"/>
  <c r="AK56" i="10"/>
  <c r="AL56" i="10"/>
  <c r="AK57" i="10"/>
  <c r="AL57" i="10"/>
  <c r="AK58" i="10"/>
  <c r="AL58" i="10"/>
  <c r="AK59" i="10"/>
  <c r="AL59" i="10"/>
  <c r="AK60" i="10"/>
  <c r="AL60" i="10"/>
  <c r="AK61" i="10"/>
  <c r="AL61" i="10"/>
  <c r="AK62" i="10"/>
  <c r="AL62" i="10"/>
  <c r="AK63" i="10"/>
  <c r="AL63" i="10"/>
  <c r="AK64" i="10"/>
  <c r="AL64" i="10"/>
  <c r="AK65" i="10"/>
  <c r="AL65" i="10"/>
  <c r="AF5" i="10"/>
  <c r="AG5" i="10"/>
  <c r="AF6" i="10"/>
  <c r="AG6" i="10"/>
  <c r="AF7" i="10"/>
  <c r="AG7" i="10"/>
  <c r="AF8" i="10"/>
  <c r="AG8" i="10"/>
  <c r="AF9" i="10"/>
  <c r="AG9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A5" i="10"/>
  <c r="AB5" i="10"/>
  <c r="AA6" i="10"/>
  <c r="AB6" i="10"/>
  <c r="AA7" i="10"/>
  <c r="AB7" i="10"/>
  <c r="AA8" i="10"/>
  <c r="AB8" i="10"/>
  <c r="AA9" i="10"/>
  <c r="AB9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A42" i="10"/>
  <c r="AB42" i="10"/>
  <c r="AA43" i="10"/>
  <c r="AB43" i="10"/>
  <c r="AA44" i="10"/>
  <c r="AB44" i="10"/>
  <c r="AA45" i="10"/>
  <c r="AB45" i="10"/>
  <c r="AA46" i="10"/>
  <c r="AB46" i="10"/>
  <c r="AA47" i="10"/>
  <c r="AB47" i="10"/>
  <c r="AA48" i="10"/>
  <c r="AB48" i="10"/>
  <c r="AA49" i="10"/>
  <c r="AB49" i="10"/>
  <c r="AA50" i="10"/>
  <c r="AB50" i="10"/>
  <c r="AA51" i="10"/>
  <c r="AB51" i="10"/>
  <c r="AA52" i="10"/>
  <c r="AB52" i="10"/>
  <c r="AA53" i="10"/>
  <c r="AB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AA63" i="10"/>
  <c r="AB63" i="10"/>
  <c r="AA64" i="10"/>
  <c r="AB64" i="10"/>
  <c r="AA65" i="10"/>
  <c r="AB65" i="10"/>
  <c r="R5" i="10"/>
  <c r="AM5" i="10" s="1"/>
  <c r="S5" i="10"/>
  <c r="T5" i="10"/>
  <c r="R6" i="10"/>
  <c r="AM6" i="10" s="1"/>
  <c r="S6" i="10"/>
  <c r="T6" i="10"/>
  <c r="R7" i="10"/>
  <c r="AM7" i="10" s="1"/>
  <c r="S7" i="10"/>
  <c r="T7" i="10"/>
  <c r="R8" i="10"/>
  <c r="AM8" i="10" s="1"/>
  <c r="S8" i="10"/>
  <c r="T8" i="10"/>
  <c r="R9" i="10"/>
  <c r="AM9" i="10" s="1"/>
  <c r="S9" i="10"/>
  <c r="T9" i="10"/>
  <c r="R10" i="10"/>
  <c r="AM10" i="10" s="1"/>
  <c r="S10" i="10"/>
  <c r="T10" i="10"/>
  <c r="R11" i="10"/>
  <c r="AM11" i="10" s="1"/>
  <c r="S11" i="10"/>
  <c r="T11" i="10"/>
  <c r="R12" i="10"/>
  <c r="AM12" i="10" s="1"/>
  <c r="S12" i="10"/>
  <c r="T12" i="10"/>
  <c r="R13" i="10"/>
  <c r="AM13" i="10" s="1"/>
  <c r="S13" i="10"/>
  <c r="T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R28" i="10"/>
  <c r="AM28" i="10" s="1"/>
  <c r="S28" i="10"/>
  <c r="T28" i="10"/>
  <c r="R29" i="10"/>
  <c r="AM29" i="10" s="1"/>
  <c r="S29" i="10"/>
  <c r="T29" i="10"/>
  <c r="R30" i="10"/>
  <c r="AM30" i="10" s="1"/>
  <c r="S30" i="10"/>
  <c r="T30" i="10"/>
  <c r="R31" i="10"/>
  <c r="AM31" i="10" s="1"/>
  <c r="S31" i="10"/>
  <c r="T31" i="10"/>
  <c r="R32" i="10"/>
  <c r="AM32" i="10" s="1"/>
  <c r="S32" i="10"/>
  <c r="T32" i="10"/>
  <c r="R33" i="10"/>
  <c r="AM33" i="10" s="1"/>
  <c r="S33" i="10"/>
  <c r="T33" i="10"/>
  <c r="R34" i="10"/>
  <c r="AM34" i="10" s="1"/>
  <c r="S34" i="10"/>
  <c r="T34" i="10"/>
  <c r="R35" i="10"/>
  <c r="AM35" i="10" s="1"/>
  <c r="S35" i="10"/>
  <c r="T35" i="10"/>
  <c r="R36" i="10"/>
  <c r="AM36" i="10" s="1"/>
  <c r="S36" i="10"/>
  <c r="T36" i="10"/>
  <c r="R37" i="10"/>
  <c r="AM37" i="10" s="1"/>
  <c r="S37" i="10"/>
  <c r="T37" i="10"/>
  <c r="R38" i="10"/>
  <c r="AM38" i="10" s="1"/>
  <c r="S38" i="10"/>
  <c r="T38" i="10"/>
  <c r="R39" i="10"/>
  <c r="AM39" i="10" s="1"/>
  <c r="S39" i="10"/>
  <c r="T39" i="10"/>
  <c r="R40" i="10"/>
  <c r="AM40" i="10" s="1"/>
  <c r="S40" i="10"/>
  <c r="T40" i="10"/>
  <c r="R41" i="10"/>
  <c r="AM41" i="10" s="1"/>
  <c r="S41" i="10"/>
  <c r="T41" i="10"/>
  <c r="R42" i="10"/>
  <c r="AM42" i="10" s="1"/>
  <c r="S42" i="10"/>
  <c r="T42" i="10"/>
  <c r="R43" i="10"/>
  <c r="AM43" i="10" s="1"/>
  <c r="S43" i="10"/>
  <c r="T43" i="10"/>
  <c r="R44" i="10"/>
  <c r="AM44" i="10" s="1"/>
  <c r="S44" i="10"/>
  <c r="T44" i="10"/>
  <c r="R45" i="10"/>
  <c r="AM45" i="10" s="1"/>
  <c r="S45" i="10"/>
  <c r="T45" i="10"/>
  <c r="R46" i="10"/>
  <c r="AM46" i="10" s="1"/>
  <c r="S46" i="10"/>
  <c r="T46" i="10"/>
  <c r="R47" i="10"/>
  <c r="AM47" i="10" s="1"/>
  <c r="S47" i="10"/>
  <c r="T47" i="10"/>
  <c r="R48" i="10"/>
  <c r="AM48" i="10" s="1"/>
  <c r="S48" i="10"/>
  <c r="T48" i="10"/>
  <c r="R49" i="10"/>
  <c r="AM49" i="10" s="1"/>
  <c r="S49" i="10"/>
  <c r="T49" i="10"/>
  <c r="R50" i="10"/>
  <c r="AM50" i="10" s="1"/>
  <c r="S50" i="10"/>
  <c r="T50" i="10"/>
  <c r="R51" i="10"/>
  <c r="AM51" i="10" s="1"/>
  <c r="S51" i="10"/>
  <c r="T51" i="10"/>
  <c r="R52" i="10"/>
  <c r="AM52" i="10" s="1"/>
  <c r="S52" i="10"/>
  <c r="T52" i="10"/>
  <c r="R53" i="10"/>
  <c r="AM53" i="10" s="1"/>
  <c r="S53" i="10"/>
  <c r="T53" i="10"/>
  <c r="R54" i="10"/>
  <c r="AM54" i="10" s="1"/>
  <c r="S54" i="10"/>
  <c r="T54" i="10"/>
  <c r="R55" i="10"/>
  <c r="AM55" i="10" s="1"/>
  <c r="S55" i="10"/>
  <c r="T55" i="10"/>
  <c r="R56" i="10"/>
  <c r="AM56" i="10" s="1"/>
  <c r="S56" i="10"/>
  <c r="T56" i="10"/>
  <c r="R57" i="10"/>
  <c r="AM57" i="10" s="1"/>
  <c r="S57" i="10"/>
  <c r="T57" i="10"/>
  <c r="R58" i="10"/>
  <c r="AM58" i="10" s="1"/>
  <c r="S58" i="10"/>
  <c r="T58" i="10"/>
  <c r="R59" i="10"/>
  <c r="AM59" i="10" s="1"/>
  <c r="S59" i="10"/>
  <c r="T59" i="10"/>
  <c r="R60" i="10"/>
  <c r="AM60" i="10" s="1"/>
  <c r="S60" i="10"/>
  <c r="T60" i="10"/>
  <c r="R61" i="10"/>
  <c r="AM61" i="10" s="1"/>
  <c r="S61" i="10"/>
  <c r="T61" i="10"/>
  <c r="R62" i="10"/>
  <c r="AM62" i="10" s="1"/>
  <c r="S62" i="10"/>
  <c r="T62" i="10"/>
  <c r="R63" i="10"/>
  <c r="AM63" i="10" s="1"/>
  <c r="S63" i="10"/>
  <c r="T63" i="10"/>
  <c r="R64" i="10"/>
  <c r="AM64" i="10" s="1"/>
  <c r="S64" i="10"/>
  <c r="T64" i="10"/>
  <c r="R65" i="10"/>
  <c r="AM65" i="10" s="1"/>
  <c r="S65" i="10"/>
  <c r="T65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AO21" i="10" s="1"/>
  <c r="G22" i="10"/>
  <c r="H22" i="10"/>
  <c r="G23" i="10"/>
  <c r="H23" i="10"/>
  <c r="AO23" i="10" s="1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AA54" i="7"/>
  <c r="AB54" i="7"/>
  <c r="AA55" i="7"/>
  <c r="AB55" i="7"/>
  <c r="AA56" i="7"/>
  <c r="AB56" i="7"/>
  <c r="AO19" i="10" l="1"/>
  <c r="AN62" i="10"/>
  <c r="AN64" i="10"/>
  <c r="AN60" i="10"/>
  <c r="AN58" i="10"/>
  <c r="AN22" i="10"/>
  <c r="AN20" i="10"/>
  <c r="AN18" i="10"/>
  <c r="AN14" i="10"/>
  <c r="AN12" i="10"/>
  <c r="AN10" i="10"/>
  <c r="AN8" i="10"/>
  <c r="AN6" i="10"/>
  <c r="AO17" i="10"/>
  <c r="AO15" i="10"/>
  <c r="AO13" i="10"/>
  <c r="AO11" i="10"/>
  <c r="AO65" i="10"/>
  <c r="AO63" i="10"/>
  <c r="AO61" i="10"/>
  <c r="AO57" i="10"/>
  <c r="AO9" i="10"/>
  <c r="AO7" i="10"/>
  <c r="AO5" i="10"/>
  <c r="AO64" i="10"/>
  <c r="AN65" i="10"/>
  <c r="AO59" i="10"/>
  <c r="AN56" i="10"/>
  <c r="AO53" i="10"/>
  <c r="AN52" i="10"/>
  <c r="AO62" i="10"/>
  <c r="AO60" i="10"/>
  <c r="AO58" i="10"/>
  <c r="AO55" i="10"/>
  <c r="AN54" i="10"/>
  <c r="AN63" i="10"/>
  <c r="AN61" i="10"/>
  <c r="AN59" i="10"/>
  <c r="AN57" i="10"/>
  <c r="AT51" i="10"/>
  <c r="AO49" i="10"/>
  <c r="AN48" i="10"/>
  <c r="AO45" i="10"/>
  <c r="AN44" i="10"/>
  <c r="AO51" i="10"/>
  <c r="AN50" i="10"/>
  <c r="AO47" i="10"/>
  <c r="AN46" i="10"/>
  <c r="AO43" i="10"/>
  <c r="AN42" i="10"/>
  <c r="AO41" i="10"/>
  <c r="AN40" i="10"/>
  <c r="AO39" i="10"/>
  <c r="AN38" i="10"/>
  <c r="AO37" i="10"/>
  <c r="AN36" i="10"/>
  <c r="AO35" i="10"/>
  <c r="AN34" i="10"/>
  <c r="AO33" i="10"/>
  <c r="AN32" i="10"/>
  <c r="AO29" i="10"/>
  <c r="AN28" i="10"/>
  <c r="AO25" i="10"/>
  <c r="AN24" i="10"/>
  <c r="AO31" i="10"/>
  <c r="AN30" i="10"/>
  <c r="AO27" i="10"/>
  <c r="AN26" i="10"/>
  <c r="AN16" i="10"/>
  <c r="AO56" i="10"/>
  <c r="AO54" i="10"/>
  <c r="AN55" i="10"/>
  <c r="AN53" i="10"/>
  <c r="AO52" i="10"/>
  <c r="AO50" i="10"/>
  <c r="AO48" i="10"/>
  <c r="AO46" i="10"/>
  <c r="AO44" i="10"/>
  <c r="AO42" i="10"/>
  <c r="AO40" i="10"/>
  <c r="AO38" i="10"/>
  <c r="AO36" i="10"/>
  <c r="AO34" i="10"/>
  <c r="AO32" i="10"/>
  <c r="AO30" i="10"/>
  <c r="AO28" i="10"/>
  <c r="AO26" i="10"/>
  <c r="AO24" i="10"/>
  <c r="AN51" i="10"/>
  <c r="AN49" i="10"/>
  <c r="AN47" i="10"/>
  <c r="AN45" i="10"/>
  <c r="AN43" i="10"/>
  <c r="AN41" i="10"/>
  <c r="AN39" i="10"/>
  <c r="AN37" i="10"/>
  <c r="AN35" i="10"/>
  <c r="AN33" i="10"/>
  <c r="AN31" i="10"/>
  <c r="AN29" i="10"/>
  <c r="AN27" i="10"/>
  <c r="AN25" i="10"/>
  <c r="AO22" i="10"/>
  <c r="AO20" i="10"/>
  <c r="AO18" i="10"/>
  <c r="AO16" i="10"/>
  <c r="AO14" i="10"/>
  <c r="AO12" i="10"/>
  <c r="AO10" i="10"/>
  <c r="AN23" i="10"/>
  <c r="AN21" i="10"/>
  <c r="AN19" i="10"/>
  <c r="AN17" i="10"/>
  <c r="AN15" i="10"/>
  <c r="AN13" i="10"/>
  <c r="AN11" i="10"/>
  <c r="AO8" i="10"/>
  <c r="AO6" i="10"/>
  <c r="AN9" i="10"/>
  <c r="AN7" i="10"/>
  <c r="AN5" i="10"/>
  <c r="AR60" i="12"/>
  <c r="AR61" i="12"/>
  <c r="AR62" i="12"/>
  <c r="AR63" i="12"/>
  <c r="AR64" i="12"/>
  <c r="AR65" i="12"/>
  <c r="AL62" i="13"/>
  <c r="AK62" i="13"/>
  <c r="J66" i="17"/>
  <c r="G17" i="1" s="1"/>
  <c r="AU51" i="10" l="1"/>
  <c r="AV51" i="10"/>
  <c r="AA62" i="17"/>
  <c r="AA63" i="17"/>
  <c r="AA64" i="17"/>
  <c r="AA65" i="17"/>
  <c r="AB65" i="17"/>
  <c r="G64" i="12" l="1"/>
  <c r="H64" i="12"/>
  <c r="G65" i="12"/>
  <c r="H65" i="12"/>
  <c r="AR60" i="14" l="1"/>
  <c r="AR61" i="14"/>
  <c r="AR62" i="14"/>
  <c r="AR63" i="14"/>
  <c r="AR64" i="14"/>
  <c r="AR65" i="14"/>
  <c r="G58" i="14" l="1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R60" i="14" l="1"/>
  <c r="AM60" i="14" s="1"/>
  <c r="S60" i="14"/>
  <c r="T60" i="14"/>
  <c r="AA60" i="14"/>
  <c r="AB60" i="14"/>
  <c r="AK60" i="14"/>
  <c r="R61" i="14"/>
  <c r="AM61" i="14" s="1"/>
  <c r="S61" i="14"/>
  <c r="T61" i="14"/>
  <c r="AA61" i="14"/>
  <c r="AB61" i="14"/>
  <c r="AK61" i="14"/>
  <c r="R62" i="14"/>
  <c r="AM62" i="14" s="1"/>
  <c r="S62" i="14"/>
  <c r="T62" i="14"/>
  <c r="AA62" i="14"/>
  <c r="AB62" i="14"/>
  <c r="AF62" i="14"/>
  <c r="AK62" i="14"/>
  <c r="R63" i="14"/>
  <c r="AM63" i="14" s="1"/>
  <c r="S63" i="14"/>
  <c r="T63" i="14"/>
  <c r="AA63" i="14"/>
  <c r="AB63" i="14"/>
  <c r="AF63" i="14"/>
  <c r="AK63" i="14"/>
  <c r="R64" i="14"/>
  <c r="AM64" i="14" s="1"/>
  <c r="S64" i="14"/>
  <c r="T64" i="14"/>
  <c r="AA64" i="14"/>
  <c r="AB64" i="14"/>
  <c r="AF64" i="14"/>
  <c r="AK64" i="14"/>
  <c r="R65" i="14"/>
  <c r="AM65" i="14" s="1"/>
  <c r="S65" i="14"/>
  <c r="T65" i="14"/>
  <c r="AA65" i="14"/>
  <c r="AB65" i="14"/>
  <c r="AF65" i="14"/>
  <c r="AK65" i="14"/>
  <c r="J66" i="14"/>
  <c r="G30" i="1" s="1"/>
  <c r="AN62" i="14" l="1"/>
  <c r="AO64" i="14"/>
  <c r="AN64" i="14"/>
  <c r="AN60" i="14"/>
  <c r="AN65" i="14"/>
  <c r="AN63" i="14"/>
  <c r="AN61" i="14"/>
  <c r="AO65" i="14"/>
  <c r="AO63" i="14"/>
  <c r="AO61" i="14"/>
  <c r="AO62" i="14"/>
  <c r="AO60" i="14"/>
  <c r="AP64" i="14" l="1"/>
  <c r="AP60" i="14"/>
  <c r="AP62" i="14"/>
  <c r="AP65" i="14"/>
  <c r="AP61" i="14"/>
  <c r="AP63" i="14"/>
  <c r="G58" i="12"/>
  <c r="H58" i="12"/>
  <c r="G59" i="12"/>
  <c r="H59" i="12"/>
  <c r="G60" i="12"/>
  <c r="H60" i="12"/>
  <c r="G61" i="12"/>
  <c r="H61" i="12"/>
  <c r="G62" i="12"/>
  <c r="H62" i="12"/>
  <c r="G63" i="12"/>
  <c r="H63" i="12"/>
  <c r="R60" i="12" l="1"/>
  <c r="AM60" i="12" s="1"/>
  <c r="S60" i="12"/>
  <c r="AN60" i="12" s="1"/>
  <c r="T60" i="12"/>
  <c r="AO60" i="12" s="1"/>
  <c r="AA60" i="12"/>
  <c r="AB60" i="12"/>
  <c r="R61" i="12"/>
  <c r="AM61" i="12" s="1"/>
  <c r="S61" i="12"/>
  <c r="AN61" i="12" s="1"/>
  <c r="T61" i="12"/>
  <c r="AO61" i="12" s="1"/>
  <c r="AA61" i="12"/>
  <c r="AB61" i="12"/>
  <c r="R62" i="12"/>
  <c r="AM62" i="12" s="1"/>
  <c r="S62" i="12"/>
  <c r="AN62" i="12" s="1"/>
  <c r="T62" i="12"/>
  <c r="AO62" i="12" s="1"/>
  <c r="AA62" i="12"/>
  <c r="AB62" i="12"/>
  <c r="R63" i="12"/>
  <c r="AM63" i="12" s="1"/>
  <c r="S63" i="12"/>
  <c r="AN63" i="12" s="1"/>
  <c r="T63" i="12"/>
  <c r="AO63" i="12" s="1"/>
  <c r="AA63" i="12"/>
  <c r="AB63" i="12"/>
  <c r="R64" i="12"/>
  <c r="AM64" i="12" s="1"/>
  <c r="S64" i="12"/>
  <c r="AN64" i="12" s="1"/>
  <c r="T64" i="12"/>
  <c r="AO64" i="12" s="1"/>
  <c r="AA64" i="12"/>
  <c r="AB64" i="12"/>
  <c r="R65" i="12"/>
  <c r="AM65" i="12" s="1"/>
  <c r="S65" i="12"/>
  <c r="AN65" i="12" s="1"/>
  <c r="T65" i="12"/>
  <c r="AO65" i="12" s="1"/>
  <c r="AA65" i="12"/>
  <c r="AB65" i="12"/>
  <c r="J66" i="12"/>
  <c r="G28" i="1" s="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AP65" i="12" l="1"/>
  <c r="AP64" i="12"/>
  <c r="AP63" i="12"/>
  <c r="AP62" i="12"/>
  <c r="AP61" i="12"/>
  <c r="AP60" i="12"/>
  <c r="AR62" i="17" l="1"/>
  <c r="AR63" i="17"/>
  <c r="AR64" i="17"/>
  <c r="AR65" i="17"/>
  <c r="AP64" i="17" l="1"/>
  <c r="AP65" i="17"/>
  <c r="AP63" i="17"/>
  <c r="AP62" i="17"/>
  <c r="G52" i="14" l="1"/>
  <c r="H52" i="14"/>
  <c r="G53" i="14"/>
  <c r="H53" i="14"/>
  <c r="G54" i="14"/>
  <c r="H54" i="14"/>
  <c r="G55" i="14"/>
  <c r="H55" i="14"/>
  <c r="G56" i="14"/>
  <c r="H56" i="14"/>
  <c r="G57" i="14"/>
  <c r="H57" i="14"/>
  <c r="G50" i="12" l="1"/>
  <c r="H50" i="12"/>
  <c r="G51" i="12"/>
  <c r="H51" i="12"/>
  <c r="G52" i="12"/>
  <c r="H52" i="12"/>
  <c r="G53" i="12"/>
  <c r="H53" i="12"/>
  <c r="G54" i="12"/>
  <c r="H54" i="12"/>
  <c r="G55" i="12"/>
  <c r="H55" i="12"/>
  <c r="G56" i="12"/>
  <c r="H56" i="12"/>
  <c r="G57" i="12"/>
  <c r="H57" i="12"/>
  <c r="G52" i="11" l="1"/>
  <c r="H52" i="11"/>
  <c r="G53" i="11"/>
  <c r="H53" i="11"/>
  <c r="G54" i="11"/>
  <c r="H54" i="11"/>
  <c r="G55" i="11"/>
  <c r="H55" i="11"/>
  <c r="G56" i="11"/>
  <c r="H56" i="11"/>
  <c r="G57" i="11"/>
  <c r="H57" i="11"/>
  <c r="G56" i="9" l="1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AA56" i="17" l="1"/>
  <c r="AA57" i="17"/>
  <c r="AA58" i="17"/>
  <c r="AA59" i="17"/>
  <c r="AA60" i="17"/>
  <c r="AA61" i="17"/>
  <c r="G54" i="4" l="1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44" i="13" l="1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46" i="12" l="1"/>
  <c r="H46" i="12"/>
  <c r="G47" i="12"/>
  <c r="H47" i="12"/>
  <c r="G48" i="12"/>
  <c r="H48" i="12"/>
  <c r="G49" i="12"/>
  <c r="H49" i="12"/>
  <c r="S38" i="8" l="1"/>
  <c r="AA30" i="13" l="1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P56" i="17" l="1"/>
  <c r="AP61" i="17"/>
  <c r="AP59" i="17"/>
  <c r="AP58" i="17"/>
  <c r="AP57" i="17"/>
  <c r="AP60" i="17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A4" i="17" l="1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B4" i="17"/>
  <c r="R4" i="4" l="1"/>
  <c r="S4" i="4"/>
  <c r="T4" i="4"/>
  <c r="AM5" i="4"/>
  <c r="AM6" i="4"/>
  <c r="AM7" i="4"/>
  <c r="AM8" i="4"/>
  <c r="AM9" i="4"/>
  <c r="B6" i="14" l="1"/>
  <c r="B8" i="14" s="1"/>
  <c r="B10" i="14" s="1"/>
  <c r="B12" i="14" s="1"/>
  <c r="B14" i="14" s="1"/>
  <c r="B16" i="14" s="1"/>
  <c r="B18" i="14" s="1"/>
  <c r="B20" i="14" s="1"/>
  <c r="B22" i="14" s="1"/>
  <c r="B24" i="14" s="1"/>
  <c r="B26" i="14" s="1"/>
  <c r="B28" i="14" s="1"/>
  <c r="B30" i="14" s="1"/>
  <c r="B32" i="14" s="1"/>
  <c r="B5" i="14"/>
  <c r="B7" i="14" s="1"/>
  <c r="B9" i="14" s="1"/>
  <c r="B11" i="14" s="1"/>
  <c r="B13" i="14" s="1"/>
  <c r="B15" i="14" s="1"/>
  <c r="B17" i="14" s="1"/>
  <c r="B19" i="14" s="1"/>
  <c r="B21" i="14" s="1"/>
  <c r="B23" i="14" s="1"/>
  <c r="B25" i="14" s="1"/>
  <c r="B27" i="14" s="1"/>
  <c r="B29" i="14" s="1"/>
  <c r="B31" i="14" s="1"/>
  <c r="B33" i="14" s="1"/>
  <c r="B35" i="14" s="1"/>
  <c r="B37" i="14" s="1"/>
  <c r="B39" i="14" s="1"/>
  <c r="B41" i="14" s="1"/>
  <c r="B43" i="14" s="1"/>
  <c r="B45" i="14" s="1"/>
  <c r="B47" i="14" s="1"/>
  <c r="B49" i="14" s="1"/>
  <c r="B51" i="14" s="1"/>
  <c r="B53" i="14" s="1"/>
  <c r="B55" i="14" s="1"/>
  <c r="B57" i="14" s="1"/>
  <c r="B6" i="13"/>
  <c r="B8" i="13" s="1"/>
  <c r="B10" i="13" s="1"/>
  <c r="B12" i="13" s="1"/>
  <c r="B14" i="13" s="1"/>
  <c r="B16" i="13" s="1"/>
  <c r="B18" i="13" s="1"/>
  <c r="B20" i="13" s="1"/>
  <c r="B22" i="13" s="1"/>
  <c r="B24" i="13" s="1"/>
  <c r="B26" i="13" s="1"/>
  <c r="B28" i="13" s="1"/>
  <c r="B30" i="13" s="1"/>
  <c r="B32" i="13" s="1"/>
  <c r="B34" i="13" s="1"/>
  <c r="B36" i="13" s="1"/>
  <c r="B38" i="13" s="1"/>
  <c r="B40" i="13" s="1"/>
  <c r="B42" i="13" s="1"/>
  <c r="B44" i="13" s="1"/>
  <c r="B46" i="13" s="1"/>
  <c r="B48" i="13" s="1"/>
  <c r="B50" i="13" s="1"/>
  <c r="B52" i="13" s="1"/>
  <c r="B54" i="13" s="1"/>
  <c r="B56" i="13" s="1"/>
  <c r="B58" i="13" s="1"/>
  <c r="B60" i="13" s="1"/>
  <c r="B62" i="13" s="1"/>
  <c r="B64" i="13" s="1"/>
  <c r="B5" i="13"/>
  <c r="B7" i="13" s="1"/>
  <c r="B9" i="13" s="1"/>
  <c r="B11" i="13" s="1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41" i="13" s="1"/>
  <c r="B43" i="13" s="1"/>
  <c r="B45" i="13" s="1"/>
  <c r="B47" i="13" s="1"/>
  <c r="B49" i="13" s="1"/>
  <c r="B51" i="13" s="1"/>
  <c r="B53" i="13" s="1"/>
  <c r="B55" i="13" s="1"/>
  <c r="B57" i="13" s="1"/>
  <c r="B59" i="13" s="1"/>
  <c r="B61" i="13" s="1"/>
  <c r="B63" i="13" s="1"/>
  <c r="B65" i="13" s="1"/>
  <c r="B6" i="12"/>
  <c r="B8" i="12" s="1"/>
  <c r="B10" i="12" s="1"/>
  <c r="B12" i="12" s="1"/>
  <c r="B14" i="12" s="1"/>
  <c r="B16" i="12" s="1"/>
  <c r="B18" i="12" s="1"/>
  <c r="B20" i="12" s="1"/>
  <c r="B22" i="12" s="1"/>
  <c r="B24" i="12" s="1"/>
  <c r="B26" i="12" s="1"/>
  <c r="B28" i="12" s="1"/>
  <c r="B30" i="12" s="1"/>
  <c r="B32" i="12" s="1"/>
  <c r="B34" i="12" s="1"/>
  <c r="B36" i="12" s="1"/>
  <c r="B38" i="12" s="1"/>
  <c r="B40" i="12" s="1"/>
  <c r="B42" i="12" s="1"/>
  <c r="B44" i="12" s="1"/>
  <c r="B46" i="12" s="1"/>
  <c r="B48" i="12" s="1"/>
  <c r="B50" i="12" s="1"/>
  <c r="B52" i="12" s="1"/>
  <c r="B54" i="12" s="1"/>
  <c r="B56" i="12" s="1"/>
  <c r="B58" i="12" s="1"/>
  <c r="B60" i="12" s="1"/>
  <c r="B5" i="12"/>
  <c r="B7" i="12" s="1"/>
  <c r="B9" i="12" s="1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41" i="12" s="1"/>
  <c r="B43" i="12" s="1"/>
  <c r="B45" i="12" s="1"/>
  <c r="B47" i="12" s="1"/>
  <c r="B49" i="12" s="1"/>
  <c r="B51" i="12" s="1"/>
  <c r="B53" i="12" s="1"/>
  <c r="B55" i="12" s="1"/>
  <c r="B57" i="12" s="1"/>
  <c r="B59" i="12" s="1"/>
  <c r="B61" i="12" s="1"/>
  <c r="B6" i="11"/>
  <c r="B8" i="11" s="1"/>
  <c r="B10" i="11" s="1"/>
  <c r="B12" i="11" s="1"/>
  <c r="B14" i="11" s="1"/>
  <c r="B16" i="11" s="1"/>
  <c r="B18" i="11" s="1"/>
  <c r="B20" i="11" s="1"/>
  <c r="B22" i="11" s="1"/>
  <c r="B24" i="11" s="1"/>
  <c r="B26" i="11" s="1"/>
  <c r="B28" i="11" s="1"/>
  <c r="B30" i="11" s="1"/>
  <c r="B32" i="11" s="1"/>
  <c r="B34" i="11" s="1"/>
  <c r="B36" i="11" s="1"/>
  <c r="B38" i="11" s="1"/>
  <c r="B40" i="11" s="1"/>
  <c r="B42" i="11" s="1"/>
  <c r="B44" i="11" s="1"/>
  <c r="B46" i="11" s="1"/>
  <c r="B48" i="11" s="1"/>
  <c r="B50" i="11" s="1"/>
  <c r="B52" i="11" s="1"/>
  <c r="B54" i="11" s="1"/>
  <c r="B56" i="11" s="1"/>
  <c r="B58" i="11" s="1"/>
  <c r="B60" i="11" s="1"/>
  <c r="B62" i="11" s="1"/>
  <c r="B64" i="11" s="1"/>
  <c r="B5" i="11"/>
  <c r="B7" i="11" s="1"/>
  <c r="B9" i="11" s="1"/>
  <c r="B11" i="11" s="1"/>
  <c r="B13" i="11" s="1"/>
  <c r="B15" i="11" s="1"/>
  <c r="B17" i="11" s="1"/>
  <c r="B19" i="11" s="1"/>
  <c r="B21" i="11" s="1"/>
  <c r="B23" i="11" s="1"/>
  <c r="B25" i="11" s="1"/>
  <c r="B27" i="11" s="1"/>
  <c r="B29" i="11" s="1"/>
  <c r="B31" i="11" s="1"/>
  <c r="B33" i="11" s="1"/>
  <c r="B35" i="11" s="1"/>
  <c r="B37" i="11" s="1"/>
  <c r="B39" i="11" s="1"/>
  <c r="B41" i="11" s="1"/>
  <c r="B43" i="11" s="1"/>
  <c r="B45" i="11" s="1"/>
  <c r="B47" i="11" s="1"/>
  <c r="B49" i="11" s="1"/>
  <c r="B51" i="11" s="1"/>
  <c r="B53" i="11" s="1"/>
  <c r="B55" i="11" s="1"/>
  <c r="B57" i="11" s="1"/>
  <c r="B59" i="11" s="1"/>
  <c r="B61" i="11" s="1"/>
  <c r="B63" i="11" s="1"/>
  <c r="B65" i="11" s="1"/>
  <c r="B6" i="10"/>
  <c r="B8" i="10" s="1"/>
  <c r="B10" i="10" s="1"/>
  <c r="B12" i="10" s="1"/>
  <c r="B14" i="10" s="1"/>
  <c r="B16" i="10" s="1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B40" i="10" s="1"/>
  <c r="B42" i="10" s="1"/>
  <c r="B44" i="10" s="1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5" i="10"/>
  <c r="B7" i="10" s="1"/>
  <c r="B9" i="10" s="1"/>
  <c r="B11" i="10" s="1"/>
  <c r="B13" i="10" s="1"/>
  <c r="B15" i="10" s="1"/>
  <c r="B17" i="10" s="1"/>
  <c r="B19" i="10" s="1"/>
  <c r="B21" i="10" s="1"/>
  <c r="B23" i="10" s="1"/>
  <c r="B25" i="10" s="1"/>
  <c r="B27" i="10" s="1"/>
  <c r="B29" i="10" s="1"/>
  <c r="B31" i="10" s="1"/>
  <c r="B33" i="10" s="1"/>
  <c r="B35" i="10" s="1"/>
  <c r="B37" i="10" s="1"/>
  <c r="B39" i="10" s="1"/>
  <c r="B41" i="10" s="1"/>
  <c r="B43" i="10" s="1"/>
  <c r="B45" i="10" s="1"/>
  <c r="B47" i="10" s="1"/>
  <c r="B49" i="10" s="1"/>
  <c r="B51" i="10" s="1"/>
  <c r="B53" i="10" s="1"/>
  <c r="B55" i="10" s="1"/>
  <c r="B57" i="10" s="1"/>
  <c r="B59" i="10" s="1"/>
  <c r="B61" i="10" s="1"/>
  <c r="B63" i="10" s="1"/>
  <c r="B65" i="10" s="1"/>
  <c r="B6" i="9"/>
  <c r="B8" i="9" s="1"/>
  <c r="B10" i="9" s="1"/>
  <c r="B12" i="9" s="1"/>
  <c r="B14" i="9" s="1"/>
  <c r="B16" i="9" s="1"/>
  <c r="B18" i="9" s="1"/>
  <c r="B20" i="9" s="1"/>
  <c r="B22" i="9" s="1"/>
  <c r="B24" i="9" s="1"/>
  <c r="B26" i="9" s="1"/>
  <c r="B28" i="9" s="1"/>
  <c r="B30" i="9" s="1"/>
  <c r="B32" i="9" s="1"/>
  <c r="B34" i="9" s="1"/>
  <c r="B36" i="9" s="1"/>
  <c r="B38" i="9" s="1"/>
  <c r="B40" i="9" s="1"/>
  <c r="B42" i="9" s="1"/>
  <c r="B44" i="9" s="1"/>
  <c r="B46" i="9" s="1"/>
  <c r="B48" i="9" s="1"/>
  <c r="B50" i="9" s="1"/>
  <c r="B52" i="9" s="1"/>
  <c r="B54" i="9" s="1"/>
  <c r="B56" i="9" s="1"/>
  <c r="B58" i="9" s="1"/>
  <c r="B60" i="9" s="1"/>
  <c r="B62" i="9" s="1"/>
  <c r="B64" i="9" s="1"/>
  <c r="B5" i="9"/>
  <c r="B7" i="9" s="1"/>
  <c r="B9" i="9" s="1"/>
  <c r="B11" i="9" s="1"/>
  <c r="B13" i="9" s="1"/>
  <c r="B15" i="9" s="1"/>
  <c r="B17" i="9" s="1"/>
  <c r="B19" i="9" s="1"/>
  <c r="B21" i="9" s="1"/>
  <c r="B23" i="9" s="1"/>
  <c r="B25" i="9" s="1"/>
  <c r="B27" i="9" s="1"/>
  <c r="B29" i="9" s="1"/>
  <c r="B31" i="9" s="1"/>
  <c r="B33" i="9" s="1"/>
  <c r="B35" i="9" s="1"/>
  <c r="B37" i="9" s="1"/>
  <c r="B39" i="9" s="1"/>
  <c r="B41" i="9" s="1"/>
  <c r="B43" i="9" s="1"/>
  <c r="B45" i="9" s="1"/>
  <c r="B47" i="9" s="1"/>
  <c r="B49" i="9" s="1"/>
  <c r="B51" i="9" s="1"/>
  <c r="B53" i="9" s="1"/>
  <c r="B55" i="9" s="1"/>
  <c r="B57" i="9" s="1"/>
  <c r="B59" i="9" s="1"/>
  <c r="B61" i="9" s="1"/>
  <c r="B63" i="9" s="1"/>
  <c r="B65" i="9" s="1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B6" i="17"/>
  <c r="B8" i="17" s="1"/>
  <c r="B10" i="17" s="1"/>
  <c r="B12" i="17" s="1"/>
  <c r="B14" i="17" s="1"/>
  <c r="B16" i="17" s="1"/>
  <c r="B18" i="17" s="1"/>
  <c r="B20" i="17" s="1"/>
  <c r="B22" i="17" s="1"/>
  <c r="B24" i="17" s="1"/>
  <c r="B26" i="17" s="1"/>
  <c r="B28" i="17" s="1"/>
  <c r="B30" i="17" s="1"/>
  <c r="B32" i="17" s="1"/>
  <c r="B34" i="17" s="1"/>
  <c r="B36" i="17" s="1"/>
  <c r="B38" i="17" s="1"/>
  <c r="B40" i="17" s="1"/>
  <c r="B42" i="17" s="1"/>
  <c r="B44" i="17" s="1"/>
  <c r="B46" i="17" s="1"/>
  <c r="B48" i="17" s="1"/>
  <c r="B50" i="17" s="1"/>
  <c r="B52" i="17" s="1"/>
  <c r="B54" i="17" s="1"/>
  <c r="B56" i="17" s="1"/>
  <c r="B58" i="17" s="1"/>
  <c r="B60" i="17" s="1"/>
  <c r="B62" i="17" s="1"/>
  <c r="B5" i="17"/>
  <c r="B7" i="17" s="1"/>
  <c r="B9" i="17" s="1"/>
  <c r="B11" i="17" s="1"/>
  <c r="B13" i="17" s="1"/>
  <c r="B15" i="17" s="1"/>
  <c r="B17" i="17" s="1"/>
  <c r="B19" i="17" s="1"/>
  <c r="B21" i="17" s="1"/>
  <c r="B23" i="17" s="1"/>
  <c r="B25" i="17" s="1"/>
  <c r="B27" i="17" s="1"/>
  <c r="B29" i="17" s="1"/>
  <c r="B31" i="17" s="1"/>
  <c r="B33" i="17" s="1"/>
  <c r="B35" i="17" s="1"/>
  <c r="B37" i="17" s="1"/>
  <c r="B39" i="17" s="1"/>
  <c r="B41" i="17" s="1"/>
  <c r="B43" i="17" s="1"/>
  <c r="B45" i="17" s="1"/>
  <c r="B47" i="17" s="1"/>
  <c r="B49" i="17" s="1"/>
  <c r="B51" i="17" s="1"/>
  <c r="B53" i="17" s="1"/>
  <c r="B55" i="17" s="1"/>
  <c r="B57" i="17" s="1"/>
  <c r="B59" i="17" s="1"/>
  <c r="B61" i="17" s="1"/>
  <c r="B63" i="17" s="1"/>
  <c r="B6" i="7"/>
  <c r="B8" i="7" s="1"/>
  <c r="B10" i="7" s="1"/>
  <c r="B12" i="7" s="1"/>
  <c r="B14" i="7" s="1"/>
  <c r="B16" i="7" s="1"/>
  <c r="B18" i="7" s="1"/>
  <c r="B5" i="7"/>
  <c r="B7" i="7" s="1"/>
  <c r="B9" i="7" s="1"/>
  <c r="B11" i="7" s="1"/>
  <c r="B13" i="7" s="1"/>
  <c r="B15" i="7" s="1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B6" i="4"/>
  <c r="B8" i="4" s="1"/>
  <c r="B10" i="4" s="1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5" i="4"/>
  <c r="B7" i="4" s="1"/>
  <c r="B9" i="4" s="1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B6" i="5"/>
  <c r="B8" i="5" s="1"/>
  <c r="B10" i="5" s="1"/>
  <c r="B12" i="5" s="1"/>
  <c r="B14" i="5" s="1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5" i="5"/>
  <c r="B7" i="5" s="1"/>
  <c r="B9" i="5" s="1"/>
  <c r="B11" i="5" s="1"/>
  <c r="B13" i="5" s="1"/>
  <c r="B15" i="5" s="1"/>
  <c r="B17" i="5" s="1"/>
  <c r="B19" i="5" s="1"/>
  <c r="B21" i="5" s="1"/>
  <c r="B23" i="5" s="1"/>
  <c r="B25" i="5" s="1"/>
  <c r="B27" i="5" s="1"/>
  <c r="B29" i="5" s="1"/>
  <c r="B31" i="5" s="1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B55" i="5" s="1"/>
  <c r="B57" i="5" s="1"/>
  <c r="B59" i="5" s="1"/>
  <c r="B61" i="5" s="1"/>
  <c r="B63" i="5" s="1"/>
  <c r="B65" i="5" s="1"/>
  <c r="B20" i="7" l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B34" i="14"/>
  <c r="B36" i="14" s="1"/>
  <c r="B38" i="14" s="1"/>
  <c r="B40" i="14" s="1"/>
  <c r="B42" i="14" s="1"/>
  <c r="B44" i="14" s="1"/>
  <c r="B46" i="14" s="1"/>
  <c r="B48" i="14" s="1"/>
  <c r="B50" i="14" s="1"/>
  <c r="B52" i="14" s="1"/>
  <c r="B54" i="14" s="1"/>
  <c r="B56" i="14" s="1"/>
  <c r="B58" i="14" s="1"/>
  <c r="B60" i="14" s="1"/>
  <c r="B63" i="12"/>
  <c r="A61" i="12"/>
  <c r="B62" i="12"/>
  <c r="A60" i="12"/>
  <c r="B64" i="17"/>
  <c r="A64" i="17" s="1"/>
  <c r="A62" i="17"/>
  <c r="B65" i="17"/>
  <c r="A65" i="17" s="1"/>
  <c r="A63" i="17"/>
  <c r="B59" i="14"/>
  <c r="B61" i="14" s="1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H6" i="12"/>
  <c r="H5" i="12"/>
  <c r="H4" i="12"/>
  <c r="H4" i="10"/>
  <c r="G4" i="10"/>
  <c r="AB47" i="9"/>
  <c r="AA47" i="9"/>
  <c r="AB46" i="9"/>
  <c r="AA46" i="9"/>
  <c r="AB45" i="9"/>
  <c r="AA45" i="9"/>
  <c r="AB44" i="9"/>
  <c r="AA44" i="9"/>
  <c r="AB43" i="9"/>
  <c r="AA43" i="9"/>
  <c r="AB42" i="9"/>
  <c r="AA42" i="9"/>
  <c r="AB41" i="9"/>
  <c r="AA41" i="9"/>
  <c r="AB40" i="9"/>
  <c r="AA40" i="9"/>
  <c r="AB39" i="9"/>
  <c r="AA39" i="9"/>
  <c r="AB38" i="9"/>
  <c r="AA38" i="9"/>
  <c r="AB37" i="9"/>
  <c r="AA37" i="9"/>
  <c r="AB36" i="9"/>
  <c r="AA36" i="9"/>
  <c r="AB35" i="9"/>
  <c r="AA35" i="9"/>
  <c r="AB34" i="9"/>
  <c r="AA34" i="9"/>
  <c r="AB33" i="9"/>
  <c r="AA33" i="9"/>
  <c r="AB32" i="9"/>
  <c r="AA32" i="9"/>
  <c r="AB31" i="9"/>
  <c r="AA31" i="9"/>
  <c r="AB30" i="9"/>
  <c r="AA30" i="9"/>
  <c r="AB29" i="9"/>
  <c r="AA29" i="9"/>
  <c r="AB28" i="9"/>
  <c r="AA28" i="9"/>
  <c r="AB27" i="9"/>
  <c r="AA27" i="9"/>
  <c r="AB26" i="9"/>
  <c r="AA26" i="9"/>
  <c r="AB25" i="9"/>
  <c r="AA25" i="9"/>
  <c r="AB24" i="9"/>
  <c r="AA24" i="9"/>
  <c r="AB23" i="9"/>
  <c r="AA23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B13" i="9"/>
  <c r="AA13" i="9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A5" i="9"/>
  <c r="AB4" i="9"/>
  <c r="AA4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AG4" i="17"/>
  <c r="AF4" i="17"/>
  <c r="H4" i="17"/>
  <c r="G4" i="17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AP1" i="2"/>
  <c r="A4" i="2"/>
  <c r="AM4" i="2"/>
  <c r="AA4" i="2"/>
  <c r="AB4" i="2"/>
  <c r="AF4" i="2"/>
  <c r="AG4" i="2"/>
  <c r="AK4" i="2"/>
  <c r="AL4" i="2"/>
  <c r="AR4" i="2"/>
  <c r="B5" i="2"/>
  <c r="A5" i="2" s="1"/>
  <c r="AM5" i="2"/>
  <c r="AK5" i="2"/>
  <c r="AL5" i="2"/>
  <c r="AR5" i="2"/>
  <c r="B6" i="2"/>
  <c r="A6" i="2" s="1"/>
  <c r="AM6" i="2"/>
  <c r="AK6" i="2"/>
  <c r="AL6" i="2"/>
  <c r="AR6" i="2"/>
  <c r="AM7" i="2"/>
  <c r="AK7" i="2"/>
  <c r="AL7" i="2"/>
  <c r="AR7" i="2"/>
  <c r="AM8" i="2"/>
  <c r="AK8" i="2"/>
  <c r="AL8" i="2"/>
  <c r="AR8" i="2"/>
  <c r="AM9" i="2"/>
  <c r="AK9" i="2"/>
  <c r="AL9" i="2"/>
  <c r="AR9" i="2"/>
  <c r="AM10" i="2"/>
  <c r="AK10" i="2"/>
  <c r="AL10" i="2"/>
  <c r="AR10" i="2"/>
  <c r="AM11" i="2"/>
  <c r="AK11" i="2"/>
  <c r="AL11" i="2"/>
  <c r="AR11" i="2"/>
  <c r="AM12" i="2"/>
  <c r="AK12" i="2"/>
  <c r="AL12" i="2"/>
  <c r="AR12" i="2"/>
  <c r="AM13" i="2"/>
  <c r="AK13" i="2"/>
  <c r="AL13" i="2"/>
  <c r="AR13" i="2"/>
  <c r="AM14" i="2"/>
  <c r="AK14" i="2"/>
  <c r="AL14" i="2"/>
  <c r="AR14" i="2"/>
  <c r="AM15" i="2"/>
  <c r="AK15" i="2"/>
  <c r="AL15" i="2"/>
  <c r="AR15" i="2"/>
  <c r="AM16" i="2"/>
  <c r="AK16" i="2"/>
  <c r="AL16" i="2"/>
  <c r="AR16" i="2"/>
  <c r="AM17" i="2"/>
  <c r="AK17" i="2"/>
  <c r="AL17" i="2"/>
  <c r="AR17" i="2"/>
  <c r="AM18" i="2"/>
  <c r="AK18" i="2"/>
  <c r="AL18" i="2"/>
  <c r="AR18" i="2"/>
  <c r="AM19" i="2"/>
  <c r="AK19" i="2"/>
  <c r="AL19" i="2"/>
  <c r="AR19" i="2"/>
  <c r="AM20" i="2"/>
  <c r="AK20" i="2"/>
  <c r="AL20" i="2"/>
  <c r="AR20" i="2"/>
  <c r="AM21" i="2"/>
  <c r="AK21" i="2"/>
  <c r="AL21" i="2"/>
  <c r="AR21" i="2"/>
  <c r="AM22" i="2"/>
  <c r="AK22" i="2"/>
  <c r="AL22" i="2"/>
  <c r="AR22" i="2"/>
  <c r="AM23" i="2"/>
  <c r="AK23" i="2"/>
  <c r="AL23" i="2"/>
  <c r="AR23" i="2"/>
  <c r="AM24" i="2"/>
  <c r="AK24" i="2"/>
  <c r="AL24" i="2"/>
  <c r="AM25" i="2"/>
  <c r="AK25" i="2"/>
  <c r="AL25" i="2"/>
  <c r="AM26" i="2"/>
  <c r="AK26" i="2"/>
  <c r="AL26" i="2"/>
  <c r="AM27" i="2"/>
  <c r="AK27" i="2"/>
  <c r="AL27" i="2"/>
  <c r="AM28" i="2"/>
  <c r="AK28" i="2"/>
  <c r="AL28" i="2"/>
  <c r="AM29" i="2"/>
  <c r="AK29" i="2"/>
  <c r="AL29" i="2"/>
  <c r="AR29" i="2"/>
  <c r="AM30" i="2"/>
  <c r="AK30" i="2"/>
  <c r="AL30" i="2"/>
  <c r="AM31" i="2"/>
  <c r="AK31" i="2"/>
  <c r="AL31" i="2"/>
  <c r="AR31" i="2"/>
  <c r="AM32" i="2"/>
  <c r="AK32" i="2"/>
  <c r="AL32" i="2"/>
  <c r="AR32" i="2"/>
  <c r="AM33" i="2"/>
  <c r="AK33" i="2"/>
  <c r="AL33" i="2"/>
  <c r="AR33" i="2"/>
  <c r="AM34" i="2"/>
  <c r="AK34" i="2"/>
  <c r="AL34" i="2"/>
  <c r="AR34" i="2"/>
  <c r="AM35" i="2"/>
  <c r="AK35" i="2"/>
  <c r="AL35" i="2"/>
  <c r="AR35" i="2"/>
  <c r="AM36" i="2"/>
  <c r="AK36" i="2"/>
  <c r="AL36" i="2"/>
  <c r="AR36" i="2"/>
  <c r="AM37" i="2"/>
  <c r="AK37" i="2"/>
  <c r="AL37" i="2"/>
  <c r="AR37" i="2"/>
  <c r="AM38" i="2"/>
  <c r="AK38" i="2"/>
  <c r="AL38" i="2"/>
  <c r="AR38" i="2"/>
  <c r="AM39" i="2"/>
  <c r="AK39" i="2"/>
  <c r="AL39" i="2"/>
  <c r="AR39" i="2"/>
  <c r="AM40" i="2"/>
  <c r="AK40" i="2"/>
  <c r="AL40" i="2"/>
  <c r="AR40" i="2"/>
  <c r="AM41" i="2"/>
  <c r="AK41" i="2"/>
  <c r="AL41" i="2"/>
  <c r="AR41" i="2"/>
  <c r="AM42" i="2"/>
  <c r="AK42" i="2"/>
  <c r="AL42" i="2"/>
  <c r="AR42" i="2"/>
  <c r="AM43" i="2"/>
  <c r="AK43" i="2"/>
  <c r="AL43" i="2"/>
  <c r="AM44" i="2"/>
  <c r="AK44" i="2"/>
  <c r="AL44" i="2"/>
  <c r="AR44" i="2"/>
  <c r="AM45" i="2"/>
  <c r="AK45" i="2"/>
  <c r="AL45" i="2"/>
  <c r="AR45" i="2"/>
  <c r="AM46" i="2"/>
  <c r="AK46" i="2"/>
  <c r="AL46" i="2"/>
  <c r="AR46" i="2"/>
  <c r="AM47" i="2"/>
  <c r="AK47" i="2"/>
  <c r="AL47" i="2"/>
  <c r="AR47" i="2"/>
  <c r="AM48" i="2"/>
  <c r="AK48" i="2"/>
  <c r="AL48" i="2"/>
  <c r="AR48" i="2"/>
  <c r="AM49" i="2"/>
  <c r="AK49" i="2"/>
  <c r="AL49" i="2"/>
  <c r="AR49" i="2"/>
  <c r="AM50" i="2"/>
  <c r="AK50" i="2"/>
  <c r="AL50" i="2"/>
  <c r="AR50" i="2"/>
  <c r="AM51" i="2"/>
  <c r="AK51" i="2"/>
  <c r="AL51" i="2"/>
  <c r="AR51" i="2"/>
  <c r="AM52" i="2"/>
  <c r="AK52" i="2"/>
  <c r="AL52" i="2"/>
  <c r="AR52" i="2"/>
  <c r="AM53" i="2"/>
  <c r="AK53" i="2"/>
  <c r="AL53" i="2"/>
  <c r="AR53" i="2"/>
  <c r="AM54" i="2"/>
  <c r="AK54" i="2"/>
  <c r="AL54" i="2"/>
  <c r="AR54" i="2"/>
  <c r="AM55" i="2"/>
  <c r="AK55" i="2"/>
  <c r="AL55" i="2"/>
  <c r="AR55" i="2"/>
  <c r="AM56" i="2"/>
  <c r="AK56" i="2"/>
  <c r="AL56" i="2"/>
  <c r="AR56" i="2"/>
  <c r="AM57" i="2"/>
  <c r="AK57" i="2"/>
  <c r="AL57" i="2"/>
  <c r="AR57" i="2"/>
  <c r="AM58" i="2"/>
  <c r="AK58" i="2"/>
  <c r="AL58" i="2"/>
  <c r="AR58" i="2"/>
  <c r="AM59" i="2"/>
  <c r="AK59" i="2"/>
  <c r="AL59" i="2"/>
  <c r="AR59" i="2"/>
  <c r="AM60" i="2"/>
  <c r="AK60" i="2"/>
  <c r="AL60" i="2"/>
  <c r="AR60" i="2"/>
  <c r="AM61" i="2"/>
  <c r="AK61" i="2"/>
  <c r="AL61" i="2"/>
  <c r="AR61" i="2"/>
  <c r="AM62" i="2"/>
  <c r="AK62" i="2"/>
  <c r="AL62" i="2"/>
  <c r="AR62" i="2"/>
  <c r="AM63" i="2"/>
  <c r="AK63" i="2"/>
  <c r="AL63" i="2"/>
  <c r="AR63" i="2"/>
  <c r="AM64" i="2"/>
  <c r="AK64" i="2"/>
  <c r="AL64" i="2"/>
  <c r="AR64" i="2"/>
  <c r="AM65" i="2"/>
  <c r="AK65" i="2"/>
  <c r="AL65" i="2"/>
  <c r="AR65" i="2"/>
  <c r="J66" i="2"/>
  <c r="B62" i="14" l="1"/>
  <c r="A60" i="14"/>
  <c r="B63" i="14"/>
  <c r="A61" i="14"/>
  <c r="B64" i="12"/>
  <c r="A64" i="12" s="1"/>
  <c r="A62" i="12"/>
  <c r="B65" i="12"/>
  <c r="A65" i="12" s="1"/>
  <c r="A63" i="12"/>
  <c r="B7" i="2"/>
  <c r="B8" i="2"/>
  <c r="A8" i="2" s="1"/>
  <c r="AO63" i="2"/>
  <c r="AO61" i="2"/>
  <c r="AN48" i="2"/>
  <c r="AN6" i="2"/>
  <c r="AN8" i="2"/>
  <c r="AN10" i="2"/>
  <c r="AN12" i="2"/>
  <c r="AN14" i="2"/>
  <c r="AN16" i="2"/>
  <c r="AN18" i="2"/>
  <c r="AN20" i="2"/>
  <c r="AN22" i="2"/>
  <c r="AN24" i="2"/>
  <c r="AN26" i="2"/>
  <c r="AN28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N64" i="2"/>
  <c r="AO65" i="2"/>
  <c r="AN62" i="2"/>
  <c r="AN60" i="2"/>
  <c r="AO64" i="2"/>
  <c r="AO62" i="2"/>
  <c r="AO60" i="2"/>
  <c r="AO58" i="2"/>
  <c r="AN58" i="2"/>
  <c r="AO59" i="2"/>
  <c r="AN65" i="2"/>
  <c r="AN63" i="2"/>
  <c r="AN61" i="2"/>
  <c r="AN59" i="2"/>
  <c r="AN56" i="2"/>
  <c r="AN54" i="2"/>
  <c r="AN52" i="2"/>
  <c r="AN50" i="2"/>
  <c r="AN57" i="2"/>
  <c r="AN55" i="2"/>
  <c r="AN53" i="2"/>
  <c r="AN51" i="2"/>
  <c r="AO56" i="2"/>
  <c r="AO54" i="2"/>
  <c r="AO52" i="2"/>
  <c r="AO50" i="2"/>
  <c r="AN46" i="2"/>
  <c r="AO57" i="2"/>
  <c r="AO55" i="2"/>
  <c r="AO53" i="2"/>
  <c r="AO51" i="2"/>
  <c r="AN49" i="2"/>
  <c r="AN47" i="2"/>
  <c r="AN45" i="2"/>
  <c r="AO48" i="2"/>
  <c r="AO46" i="2"/>
  <c r="AO44" i="2"/>
  <c r="AN44" i="2"/>
  <c r="AO49" i="2"/>
  <c r="AO47" i="2"/>
  <c r="AO45" i="2"/>
  <c r="AO29" i="2"/>
  <c r="AN29" i="2"/>
  <c r="AN36" i="2"/>
  <c r="AN38" i="2"/>
  <c r="AN40" i="2"/>
  <c r="AN42" i="2"/>
  <c r="AO36" i="2"/>
  <c r="AO38" i="2"/>
  <c r="AO40" i="2"/>
  <c r="AO42" i="2"/>
  <c r="AN37" i="2"/>
  <c r="AN39" i="2"/>
  <c r="AN41" i="2"/>
  <c r="AO37" i="2"/>
  <c r="AO39" i="2"/>
  <c r="AO41" i="2"/>
  <c r="AN30" i="2"/>
  <c r="AN32" i="2"/>
  <c r="AN34" i="2"/>
  <c r="AO30" i="2"/>
  <c r="AO32" i="2"/>
  <c r="AO34" i="2"/>
  <c r="AN31" i="2"/>
  <c r="AN33" i="2"/>
  <c r="AN35" i="2"/>
  <c r="AO31" i="2"/>
  <c r="AO33" i="2"/>
  <c r="AO35" i="2"/>
  <c r="AN4" i="2"/>
  <c r="AO4" i="2"/>
  <c r="AN43" i="2"/>
  <c r="AR43" i="2"/>
  <c r="AO43" i="2"/>
  <c r="AR28" i="2"/>
  <c r="AR30" i="2"/>
  <c r="AR26" i="2"/>
  <c r="AR25" i="2"/>
  <c r="AR24" i="2"/>
  <c r="AR27" i="2"/>
  <c r="G50" i="14"/>
  <c r="H50" i="14"/>
  <c r="G49" i="14"/>
  <c r="H49" i="14"/>
  <c r="G48" i="14"/>
  <c r="G46" i="14"/>
  <c r="G45" i="14"/>
  <c r="G44" i="14"/>
  <c r="G43" i="14"/>
  <c r="H42" i="14"/>
  <c r="H41" i="14"/>
  <c r="G40" i="14"/>
  <c r="H40" i="14"/>
  <c r="H38" i="14"/>
  <c r="G37" i="14"/>
  <c r="H37" i="14"/>
  <c r="G36" i="14"/>
  <c r="H36" i="14"/>
  <c r="H34" i="14"/>
  <c r="G33" i="14"/>
  <c r="H33" i="14"/>
  <c r="G32" i="14"/>
  <c r="G31" i="14"/>
  <c r="H30" i="14"/>
  <c r="AP50" i="2" l="1"/>
  <c r="AP64" i="2"/>
  <c r="B10" i="2"/>
  <c r="B12" i="2" s="1"/>
  <c r="AP59" i="2"/>
  <c r="AP61" i="2"/>
  <c r="AP31" i="2"/>
  <c r="B65" i="14"/>
  <c r="A65" i="14" s="1"/>
  <c r="A63" i="14"/>
  <c r="B64" i="14"/>
  <c r="A64" i="14" s="1"/>
  <c r="A62" i="14"/>
  <c r="AP63" i="2"/>
  <c r="AP27" i="2"/>
  <c r="AP15" i="2"/>
  <c r="AP7" i="2"/>
  <c r="B9" i="2"/>
  <c r="A7" i="2"/>
  <c r="AP48" i="2"/>
  <c r="AP11" i="2"/>
  <c r="AP60" i="2"/>
  <c r="AP4" i="2"/>
  <c r="AP57" i="2"/>
  <c r="AP55" i="2"/>
  <c r="AP53" i="2"/>
  <c r="AP21" i="2"/>
  <c r="AP13" i="2"/>
  <c r="AP5" i="2"/>
  <c r="AP22" i="2"/>
  <c r="AP14" i="2"/>
  <c r="AP6" i="2"/>
  <c r="AP44" i="2"/>
  <c r="AP51" i="2"/>
  <c r="AP19" i="2"/>
  <c r="AP28" i="2"/>
  <c r="AP20" i="2"/>
  <c r="AP12" i="2"/>
  <c r="AP25" i="2"/>
  <c r="AP17" i="2"/>
  <c r="AP9" i="2"/>
  <c r="AP26" i="2"/>
  <c r="AP18" i="2"/>
  <c r="AP10" i="2"/>
  <c r="AP42" i="2"/>
  <c r="AP23" i="2"/>
  <c r="AP24" i="2"/>
  <c r="AP16" i="2"/>
  <c r="AP8" i="2"/>
  <c r="AP46" i="2"/>
  <c r="AP39" i="2"/>
  <c r="AP37" i="2"/>
  <c r="AP52" i="2"/>
  <c r="AP29" i="2"/>
  <c r="AP62" i="2"/>
  <c r="AP65" i="2"/>
  <c r="AP58" i="2"/>
  <c r="AP56" i="2"/>
  <c r="AP54" i="2"/>
  <c r="AP45" i="2"/>
  <c r="AP47" i="2"/>
  <c r="AP49" i="2"/>
  <c r="AP36" i="2"/>
  <c r="AP43" i="2"/>
  <c r="AP38" i="2"/>
  <c r="AP40" i="2"/>
  <c r="AP41" i="2"/>
  <c r="AP33" i="2"/>
  <c r="AP34" i="2"/>
  <c r="AP32" i="2"/>
  <c r="AP30" i="2"/>
  <c r="AP35" i="2"/>
  <c r="AM66" i="2"/>
  <c r="AN66" i="2"/>
  <c r="A10" i="2"/>
  <c r="AO66" i="2"/>
  <c r="H51" i="14"/>
  <c r="H32" i="14"/>
  <c r="G35" i="14"/>
  <c r="G39" i="14"/>
  <c r="H45" i="14"/>
  <c r="H46" i="14"/>
  <c r="H47" i="14"/>
  <c r="H31" i="14"/>
  <c r="H43" i="14"/>
  <c r="G41" i="14"/>
  <c r="H44" i="14"/>
  <c r="H48" i="14"/>
  <c r="H35" i="14"/>
  <c r="H39" i="14"/>
  <c r="G30" i="14"/>
  <c r="G34" i="14"/>
  <c r="G38" i="14"/>
  <c r="G42" i="14"/>
  <c r="G47" i="14"/>
  <c r="G51" i="14"/>
  <c r="B11" i="2" l="1"/>
  <c r="A9" i="2"/>
  <c r="AP66" i="2"/>
  <c r="A12" i="2"/>
  <c r="B14" i="2"/>
  <c r="G43" i="13"/>
  <c r="G42" i="13"/>
  <c r="G41" i="13"/>
  <c r="H39" i="13"/>
  <c r="H38" i="13"/>
  <c r="H37" i="13"/>
  <c r="G36" i="13"/>
  <c r="G35" i="13"/>
  <c r="G34" i="13"/>
  <c r="G33" i="13"/>
  <c r="H31" i="13"/>
  <c r="G30" i="13"/>
  <c r="H30" i="13"/>
  <c r="B13" i="2" l="1"/>
  <c r="A11" i="2"/>
  <c r="A14" i="2"/>
  <c r="B16" i="2"/>
  <c r="G31" i="13"/>
  <c r="G39" i="13"/>
  <c r="H33" i="13"/>
  <c r="H34" i="13"/>
  <c r="H35" i="13"/>
  <c r="H41" i="13"/>
  <c r="H42" i="13"/>
  <c r="H43" i="13"/>
  <c r="G32" i="13"/>
  <c r="G37" i="13"/>
  <c r="G38" i="13"/>
  <c r="G40" i="13"/>
  <c r="H32" i="13"/>
  <c r="H36" i="13"/>
  <c r="H40" i="13"/>
  <c r="B15" i="2" l="1"/>
  <c r="A13" i="2"/>
  <c r="A16" i="2"/>
  <c r="B18" i="2"/>
  <c r="B17" i="2" l="1"/>
  <c r="A15" i="2"/>
  <c r="A18" i="2"/>
  <c r="B20" i="2"/>
  <c r="A17" i="2" l="1"/>
  <c r="B19" i="2"/>
  <c r="A20" i="2"/>
  <c r="B22" i="2"/>
  <c r="H42" i="11"/>
  <c r="H41" i="11"/>
  <c r="G40" i="11"/>
  <c r="G37" i="11"/>
  <c r="G36" i="11"/>
  <c r="H35" i="11"/>
  <c r="G33" i="11"/>
  <c r="H31" i="11"/>
  <c r="H30" i="11"/>
  <c r="A19" i="2" l="1"/>
  <c r="B21" i="2"/>
  <c r="A22" i="2"/>
  <c r="B24" i="2"/>
  <c r="H33" i="11"/>
  <c r="H34" i="11"/>
  <c r="H39" i="11"/>
  <c r="G32" i="11"/>
  <c r="H37" i="11"/>
  <c r="H38" i="11"/>
  <c r="G41" i="11"/>
  <c r="H32" i="11"/>
  <c r="G30" i="11"/>
  <c r="G34" i="11"/>
  <c r="G38" i="11"/>
  <c r="G42" i="11"/>
  <c r="H36" i="11"/>
  <c r="H40" i="11"/>
  <c r="G31" i="11"/>
  <c r="G35" i="11"/>
  <c r="G39" i="11"/>
  <c r="A21" i="2" l="1"/>
  <c r="B23" i="2"/>
  <c r="B26" i="2"/>
  <c r="A24" i="2"/>
  <c r="B25" i="2" l="1"/>
  <c r="A23" i="2"/>
  <c r="B28" i="2"/>
  <c r="B30" i="2" s="1"/>
  <c r="A26" i="2"/>
  <c r="A25" i="2" l="1"/>
  <c r="B27" i="2"/>
  <c r="A28" i="2"/>
  <c r="G41" i="9"/>
  <c r="G40" i="9"/>
  <c r="G37" i="9"/>
  <c r="G36" i="9"/>
  <c r="G33" i="9"/>
  <c r="G32" i="9"/>
  <c r="G31" i="9"/>
  <c r="H30" i="9"/>
  <c r="A27" i="2" l="1"/>
  <c r="B29" i="2"/>
  <c r="B32" i="2"/>
  <c r="A30" i="2"/>
  <c r="H35" i="9"/>
  <c r="H39" i="9"/>
  <c r="H42" i="9"/>
  <c r="H33" i="9"/>
  <c r="H34" i="9"/>
  <c r="H37" i="9"/>
  <c r="H38" i="9"/>
  <c r="H41" i="9"/>
  <c r="H31" i="9"/>
  <c r="G30" i="9"/>
  <c r="G34" i="9"/>
  <c r="G38" i="9"/>
  <c r="G42" i="9"/>
  <c r="H32" i="9"/>
  <c r="H36" i="9"/>
  <c r="H40" i="9"/>
  <c r="G35" i="9"/>
  <c r="G39" i="9"/>
  <c r="A29" i="2" l="1"/>
  <c r="B31" i="2"/>
  <c r="A32" i="2"/>
  <c r="B34" i="2"/>
  <c r="A31" i="2" l="1"/>
  <c r="B33" i="2"/>
  <c r="A34" i="2"/>
  <c r="B36" i="2"/>
  <c r="A33" i="2" l="1"/>
  <c r="B35" i="2"/>
  <c r="A36" i="2"/>
  <c r="B38" i="2"/>
  <c r="A35" i="2" l="1"/>
  <c r="B37" i="2"/>
  <c r="A38" i="2"/>
  <c r="B40" i="2"/>
  <c r="AP47" i="17" l="1"/>
  <c r="A37" i="2"/>
  <c r="B39" i="2"/>
  <c r="AP53" i="17"/>
  <c r="AP51" i="17"/>
  <c r="AP48" i="17"/>
  <c r="AP46" i="17"/>
  <c r="AP45" i="17"/>
  <c r="AP52" i="17"/>
  <c r="AP50" i="17"/>
  <c r="AP44" i="17"/>
  <c r="AP49" i="17"/>
  <c r="AP54" i="17"/>
  <c r="AP55" i="17"/>
  <c r="A40" i="2"/>
  <c r="B42" i="2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G48" i="7"/>
  <c r="G44" i="7"/>
  <c r="G40" i="7"/>
  <c r="G36" i="7"/>
  <c r="G32" i="7"/>
  <c r="H30" i="7"/>
  <c r="G30" i="7"/>
  <c r="H49" i="7"/>
  <c r="H48" i="7"/>
  <c r="G47" i="7"/>
  <c r="H47" i="7"/>
  <c r="H46" i="7"/>
  <c r="H45" i="7"/>
  <c r="H44" i="7"/>
  <c r="G43" i="7"/>
  <c r="H43" i="7"/>
  <c r="H42" i="7"/>
  <c r="H41" i="7"/>
  <c r="H40" i="7"/>
  <c r="G39" i="7"/>
  <c r="H39" i="7"/>
  <c r="H38" i="7"/>
  <c r="H37" i="7"/>
  <c r="H36" i="7"/>
  <c r="G35" i="7"/>
  <c r="H35" i="7"/>
  <c r="H34" i="7"/>
  <c r="H33" i="7"/>
  <c r="H32" i="7"/>
  <c r="G31" i="7"/>
  <c r="H31" i="7"/>
  <c r="A39" i="2" l="1"/>
  <c r="B41" i="2"/>
  <c r="A42" i="2"/>
  <c r="B44" i="2"/>
  <c r="G34" i="7"/>
  <c r="G38" i="7"/>
  <c r="G42" i="7"/>
  <c r="G33" i="7"/>
  <c r="G37" i="7"/>
  <c r="G41" i="7"/>
  <c r="G45" i="7"/>
  <c r="G49" i="7"/>
  <c r="G46" i="7"/>
  <c r="A41" i="2" l="1"/>
  <c r="B43" i="2"/>
  <c r="B46" i="2"/>
  <c r="A44" i="2"/>
  <c r="B45" i="2" l="1"/>
  <c r="A43" i="2"/>
  <c r="B48" i="2"/>
  <c r="A46" i="2"/>
  <c r="G53" i="4"/>
  <c r="G52" i="4"/>
  <c r="H50" i="4"/>
  <c r="H49" i="4"/>
  <c r="H48" i="4"/>
  <c r="H42" i="4"/>
  <c r="H41" i="4"/>
  <c r="H40" i="4"/>
  <c r="H34" i="4"/>
  <c r="H33" i="4"/>
  <c r="H32" i="4"/>
  <c r="G31" i="4"/>
  <c r="H30" i="4"/>
  <c r="A45" i="2" l="1"/>
  <c r="B47" i="2"/>
  <c r="B50" i="2"/>
  <c r="A48" i="2"/>
  <c r="H36" i="4"/>
  <c r="H37" i="4"/>
  <c r="H38" i="4"/>
  <c r="H52" i="4"/>
  <c r="H53" i="4"/>
  <c r="G32" i="4"/>
  <c r="G33" i="4"/>
  <c r="G48" i="4"/>
  <c r="G49" i="4"/>
  <c r="H51" i="4"/>
  <c r="H31" i="4"/>
  <c r="H39" i="4"/>
  <c r="G30" i="4"/>
  <c r="G50" i="4"/>
  <c r="H35" i="4"/>
  <c r="G51" i="4"/>
  <c r="A47" i="2" l="1"/>
  <c r="B49" i="2"/>
  <c r="B52" i="2"/>
  <c r="A50" i="2"/>
  <c r="A49" i="2" l="1"/>
  <c r="B51" i="2"/>
  <c r="B54" i="2"/>
  <c r="A52" i="2"/>
  <c r="A51" i="2" l="1"/>
  <c r="B53" i="2"/>
  <c r="B56" i="2"/>
  <c r="A54" i="2"/>
  <c r="Z70" i="3"/>
  <c r="Z71" i="3" s="1"/>
  <c r="Z69" i="3"/>
  <c r="Y70" i="3"/>
  <c r="Y69" i="3"/>
  <c r="V71" i="3"/>
  <c r="Y71" i="3" l="1"/>
  <c r="W71" i="3"/>
  <c r="X71" i="3"/>
  <c r="A53" i="2"/>
  <c r="B55" i="2"/>
  <c r="B58" i="2"/>
  <c r="A56" i="2"/>
  <c r="A55" i="2" l="1"/>
  <c r="B57" i="2"/>
  <c r="B60" i="2"/>
  <c r="A58" i="2"/>
  <c r="A57" i="2" l="1"/>
  <c r="B59" i="2"/>
  <c r="B62" i="2"/>
  <c r="A60" i="2"/>
  <c r="A59" i="2" l="1"/>
  <c r="B61" i="2"/>
  <c r="B64" i="2"/>
  <c r="A64" i="2" s="1"/>
  <c r="A62" i="2"/>
  <c r="A61" i="2" l="1"/>
  <c r="B63" i="2"/>
  <c r="AP42" i="17"/>
  <c r="AP43" i="17"/>
  <c r="A63" i="2" l="1"/>
  <c r="B65" i="2"/>
  <c r="A65" i="2" s="1"/>
  <c r="AP41" i="17"/>
  <c r="AP40" i="17"/>
  <c r="AP38" i="17"/>
  <c r="AP39" i="17"/>
  <c r="T65" i="9"/>
  <c r="S65" i="9"/>
  <c r="R65" i="9"/>
  <c r="AM65" i="9" s="1"/>
  <c r="T64" i="9"/>
  <c r="S64" i="9"/>
  <c r="R64" i="9"/>
  <c r="AM64" i="9" s="1"/>
  <c r="T63" i="9"/>
  <c r="S63" i="9"/>
  <c r="R63" i="9"/>
  <c r="AM63" i="9" s="1"/>
  <c r="T62" i="9"/>
  <c r="S62" i="9"/>
  <c r="R62" i="9"/>
  <c r="AM62" i="9" s="1"/>
  <c r="T61" i="9"/>
  <c r="S61" i="9"/>
  <c r="R61" i="9"/>
  <c r="AM61" i="9" s="1"/>
  <c r="T60" i="9"/>
  <c r="S60" i="9"/>
  <c r="R60" i="9"/>
  <c r="AM60" i="9" s="1"/>
  <c r="T59" i="9"/>
  <c r="S59" i="9"/>
  <c r="R59" i="9"/>
  <c r="AM59" i="9" s="1"/>
  <c r="T58" i="9"/>
  <c r="S58" i="9"/>
  <c r="R58" i="9"/>
  <c r="AM58" i="9" s="1"/>
  <c r="T57" i="9"/>
  <c r="S57" i="9"/>
  <c r="R57" i="9"/>
  <c r="AM57" i="9" s="1"/>
  <c r="T56" i="9"/>
  <c r="S56" i="9"/>
  <c r="R56" i="9"/>
  <c r="AM56" i="9" s="1"/>
  <c r="T55" i="9"/>
  <c r="S55" i="9"/>
  <c r="R55" i="9"/>
  <c r="AM55" i="9" s="1"/>
  <c r="T54" i="9"/>
  <c r="S54" i="9"/>
  <c r="R54" i="9"/>
  <c r="AM54" i="9" s="1"/>
  <c r="G55" i="9" s="1"/>
  <c r="T53" i="9"/>
  <c r="S53" i="9"/>
  <c r="R53" i="9"/>
  <c r="AM53" i="9" s="1"/>
  <c r="G54" i="9" s="1"/>
  <c r="T52" i="9"/>
  <c r="S52" i="9"/>
  <c r="R52" i="9"/>
  <c r="AM52" i="9" s="1"/>
  <c r="G53" i="9" s="1"/>
  <c r="T51" i="9"/>
  <c r="S51" i="9"/>
  <c r="R51" i="9"/>
  <c r="AM51" i="9" s="1"/>
  <c r="G52" i="9" s="1"/>
  <c r="T50" i="9"/>
  <c r="S50" i="9"/>
  <c r="R50" i="9"/>
  <c r="AM50" i="9" s="1"/>
  <c r="G51" i="9" s="1"/>
  <c r="T49" i="9"/>
  <c r="S49" i="9"/>
  <c r="R49" i="9"/>
  <c r="AM49" i="9" s="1"/>
  <c r="G50" i="9" s="1"/>
  <c r="T48" i="9"/>
  <c r="S48" i="9"/>
  <c r="R48" i="9"/>
  <c r="AM48" i="9" s="1"/>
  <c r="G49" i="9" s="1"/>
  <c r="T47" i="9"/>
  <c r="S47" i="9"/>
  <c r="R47" i="9"/>
  <c r="AM47" i="9" s="1"/>
  <c r="G48" i="9" s="1"/>
  <c r="T46" i="9"/>
  <c r="S46" i="9"/>
  <c r="R46" i="9"/>
  <c r="AM46" i="9" s="1"/>
  <c r="G47" i="9" s="1"/>
  <c r="T45" i="9"/>
  <c r="S45" i="9"/>
  <c r="R45" i="9"/>
  <c r="AM45" i="9" s="1"/>
  <c r="G46" i="9" s="1"/>
  <c r="T44" i="9"/>
  <c r="S44" i="9"/>
  <c r="R44" i="9"/>
  <c r="AM44" i="9" s="1"/>
  <c r="G45" i="9" s="1"/>
  <c r="T43" i="9"/>
  <c r="S43" i="9"/>
  <c r="R43" i="9"/>
  <c r="AM43" i="9" s="1"/>
  <c r="G44" i="9" s="1"/>
  <c r="T42" i="9"/>
  <c r="S42" i="9"/>
  <c r="R42" i="9"/>
  <c r="AM42" i="9" s="1"/>
  <c r="G43" i="9" s="1"/>
  <c r="T41" i="9"/>
  <c r="S41" i="9"/>
  <c r="R41" i="9"/>
  <c r="AM41" i="9" s="1"/>
  <c r="T40" i="9"/>
  <c r="S40" i="9"/>
  <c r="R40" i="9"/>
  <c r="AM40" i="9" s="1"/>
  <c r="T39" i="9"/>
  <c r="S39" i="9"/>
  <c r="R39" i="9"/>
  <c r="AM39" i="9" s="1"/>
  <c r="T38" i="9"/>
  <c r="S38" i="9"/>
  <c r="R38" i="9"/>
  <c r="AM38" i="9" s="1"/>
  <c r="T37" i="9"/>
  <c r="S37" i="9"/>
  <c r="R37" i="9"/>
  <c r="AM37" i="9" s="1"/>
  <c r="T36" i="9"/>
  <c r="S36" i="9"/>
  <c r="R36" i="9"/>
  <c r="AM36" i="9" s="1"/>
  <c r="T35" i="9"/>
  <c r="S35" i="9"/>
  <c r="R35" i="9"/>
  <c r="AM35" i="9" s="1"/>
  <c r="T34" i="9"/>
  <c r="S34" i="9"/>
  <c r="R34" i="9"/>
  <c r="AM34" i="9" s="1"/>
  <c r="T33" i="9"/>
  <c r="S33" i="9"/>
  <c r="R33" i="9"/>
  <c r="AM33" i="9" s="1"/>
  <c r="T32" i="9"/>
  <c r="S32" i="9"/>
  <c r="R32" i="9"/>
  <c r="AM32" i="9" s="1"/>
  <c r="T31" i="9"/>
  <c r="S31" i="9"/>
  <c r="R31" i="9"/>
  <c r="AM31" i="9" s="1"/>
  <c r="T30" i="9"/>
  <c r="S30" i="9"/>
  <c r="R30" i="9"/>
  <c r="AM30" i="9" s="1"/>
  <c r="T29" i="9"/>
  <c r="S29" i="9"/>
  <c r="R29" i="9"/>
  <c r="AM29" i="9" s="1"/>
  <c r="T28" i="9"/>
  <c r="S28" i="9"/>
  <c r="R28" i="9"/>
  <c r="AM28" i="9" s="1"/>
  <c r="T27" i="9"/>
  <c r="S27" i="9"/>
  <c r="R27" i="9"/>
  <c r="AM27" i="9" s="1"/>
  <c r="T26" i="9"/>
  <c r="S26" i="9"/>
  <c r="R26" i="9"/>
  <c r="AM26" i="9" s="1"/>
  <c r="T25" i="9"/>
  <c r="S25" i="9"/>
  <c r="R25" i="9"/>
  <c r="AM25" i="9" s="1"/>
  <c r="T24" i="9"/>
  <c r="S24" i="9"/>
  <c r="R24" i="9"/>
  <c r="AM24" i="9" s="1"/>
  <c r="T23" i="9"/>
  <c r="S23" i="9"/>
  <c r="R23" i="9"/>
  <c r="AM23" i="9" s="1"/>
  <c r="T22" i="9"/>
  <c r="S22" i="9"/>
  <c r="R22" i="9"/>
  <c r="AM22" i="9" s="1"/>
  <c r="T21" i="9"/>
  <c r="S21" i="9"/>
  <c r="R21" i="9"/>
  <c r="AM21" i="9" s="1"/>
  <c r="T20" i="9"/>
  <c r="S20" i="9"/>
  <c r="R20" i="9"/>
  <c r="AM20" i="9" s="1"/>
  <c r="T19" i="9"/>
  <c r="S19" i="9"/>
  <c r="R19" i="9"/>
  <c r="AM19" i="9" s="1"/>
  <c r="T18" i="9"/>
  <c r="S18" i="9"/>
  <c r="R18" i="9"/>
  <c r="AM18" i="9" s="1"/>
  <c r="T17" i="9"/>
  <c r="S17" i="9"/>
  <c r="R17" i="9"/>
  <c r="AM17" i="9" s="1"/>
  <c r="T16" i="9"/>
  <c r="S16" i="9"/>
  <c r="R16" i="9"/>
  <c r="AM16" i="9" s="1"/>
  <c r="T15" i="9"/>
  <c r="S15" i="9"/>
  <c r="R15" i="9"/>
  <c r="AM15" i="9" s="1"/>
  <c r="T14" i="9"/>
  <c r="S14" i="9"/>
  <c r="R14" i="9"/>
  <c r="AM14" i="9" s="1"/>
  <c r="T13" i="9"/>
  <c r="S13" i="9"/>
  <c r="R13" i="9"/>
  <c r="AM13" i="9" s="1"/>
  <c r="T12" i="9"/>
  <c r="S12" i="9"/>
  <c r="R12" i="9"/>
  <c r="AM12" i="9" s="1"/>
  <c r="T11" i="9"/>
  <c r="S11" i="9"/>
  <c r="R11" i="9"/>
  <c r="AM11" i="9" s="1"/>
  <c r="T10" i="9"/>
  <c r="S10" i="9"/>
  <c r="R10" i="9"/>
  <c r="AM10" i="9" s="1"/>
  <c r="T9" i="9"/>
  <c r="S9" i="9"/>
  <c r="R9" i="9"/>
  <c r="AM9" i="9" s="1"/>
  <c r="T8" i="9"/>
  <c r="S8" i="9"/>
  <c r="R8" i="9"/>
  <c r="AM8" i="9" s="1"/>
  <c r="T7" i="9"/>
  <c r="S7" i="9"/>
  <c r="R7" i="9"/>
  <c r="AM7" i="9" s="1"/>
  <c r="T6" i="9"/>
  <c r="S6" i="9"/>
  <c r="R6" i="9"/>
  <c r="AM6" i="9" s="1"/>
  <c r="T5" i="9"/>
  <c r="S5" i="9"/>
  <c r="R5" i="9"/>
  <c r="AM5" i="9" s="1"/>
  <c r="AB65" i="9"/>
  <c r="AA65" i="9"/>
  <c r="AB64" i="9"/>
  <c r="AA64" i="9"/>
  <c r="AB63" i="9"/>
  <c r="AA63" i="9"/>
  <c r="AB62" i="9"/>
  <c r="AA62" i="9"/>
  <c r="AB61" i="9"/>
  <c r="AA61" i="9"/>
  <c r="AB60" i="9"/>
  <c r="AA60" i="9"/>
  <c r="AB59" i="9"/>
  <c r="AA59" i="9"/>
  <c r="AB58" i="9"/>
  <c r="AA58" i="9"/>
  <c r="AB57" i="9"/>
  <c r="AA57" i="9"/>
  <c r="AB56" i="9"/>
  <c r="AA56" i="9"/>
  <c r="AB55" i="9"/>
  <c r="AA55" i="9"/>
  <c r="AB54" i="9"/>
  <c r="AA54" i="9"/>
  <c r="AB53" i="9"/>
  <c r="AA53" i="9"/>
  <c r="AB52" i="9"/>
  <c r="AA52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M29" i="12"/>
  <c r="H28" i="14"/>
  <c r="G27" i="14"/>
  <c r="H27" i="14"/>
  <c r="H25" i="14"/>
  <c r="G23" i="14"/>
  <c r="G22" i="14"/>
  <c r="H20" i="14"/>
  <c r="H19" i="14"/>
  <c r="G18" i="14"/>
  <c r="H18" i="14"/>
  <c r="G16" i="14"/>
  <c r="H16" i="14"/>
  <c r="AT35" i="9" l="1"/>
  <c r="AT25" i="9"/>
  <c r="AT39" i="9"/>
  <c r="AT41" i="9"/>
  <c r="AT55" i="9"/>
  <c r="AT61" i="9"/>
  <c r="G20" i="14"/>
  <c r="H21" i="14"/>
  <c r="H23" i="14"/>
  <c r="H24" i="14"/>
  <c r="G17" i="14"/>
  <c r="G19" i="14"/>
  <c r="G26" i="14"/>
  <c r="H29" i="14"/>
  <c r="H17" i="14"/>
  <c r="G24" i="14"/>
  <c r="G28" i="14"/>
  <c r="H22" i="14"/>
  <c r="H26" i="14"/>
  <c r="G21" i="14"/>
  <c r="G25" i="14"/>
  <c r="G29" i="14"/>
  <c r="H29" i="13" l="1"/>
  <c r="H28" i="13"/>
  <c r="H27" i="13"/>
  <c r="G25" i="13"/>
  <c r="H25" i="13"/>
  <c r="H24" i="13"/>
  <c r="G23" i="13"/>
  <c r="G22" i="13"/>
  <c r="H21" i="13"/>
  <c r="G19" i="13"/>
  <c r="G17" i="13"/>
  <c r="H17" i="13"/>
  <c r="H16" i="13"/>
  <c r="H20" i="13" l="1"/>
  <c r="G21" i="13"/>
  <c r="H23" i="13"/>
  <c r="G26" i="13"/>
  <c r="H19" i="13"/>
  <c r="G18" i="13"/>
  <c r="G27" i="13"/>
  <c r="G29" i="13"/>
  <c r="G16" i="13"/>
  <c r="G20" i="13"/>
  <c r="G24" i="13"/>
  <c r="G28" i="13"/>
  <c r="H26" i="13"/>
  <c r="H18" i="13"/>
  <c r="H22" i="13"/>
  <c r="H29" i="11" l="1"/>
  <c r="G28" i="11"/>
  <c r="H28" i="11"/>
  <c r="G27" i="11"/>
  <c r="H27" i="11"/>
  <c r="G26" i="11"/>
  <c r="G24" i="11"/>
  <c r="G23" i="11"/>
  <c r="G22" i="11"/>
  <c r="H21" i="11"/>
  <c r="G20" i="11"/>
  <c r="H20" i="11"/>
  <c r="G19" i="11"/>
  <c r="H19" i="11"/>
  <c r="G18" i="11"/>
  <c r="G16" i="11"/>
  <c r="H16" i="11"/>
  <c r="H17" i="11" l="1"/>
  <c r="H23" i="11"/>
  <c r="H24" i="11"/>
  <c r="H25" i="11"/>
  <c r="H18" i="11"/>
  <c r="H22" i="11"/>
  <c r="H26" i="11"/>
  <c r="G17" i="11"/>
  <c r="G21" i="11"/>
  <c r="G25" i="11"/>
  <c r="G29" i="11"/>
  <c r="AS29" i="10" l="1"/>
  <c r="G16" i="8" l="1"/>
  <c r="H16" i="8"/>
  <c r="AP32" i="17" l="1"/>
  <c r="AP34" i="17"/>
  <c r="AP35" i="17"/>
  <c r="AP31" i="17"/>
  <c r="AP36" i="17"/>
  <c r="AP37" i="17"/>
  <c r="AP33" i="17"/>
  <c r="AM30" i="4"/>
  <c r="AM31" i="4"/>
  <c r="AM32" i="4"/>
  <c r="AM33" i="4"/>
  <c r="AM34" i="4"/>
  <c r="AM35" i="4"/>
  <c r="AP30" i="17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G29" i="13" l="1"/>
  <c r="R29" i="13"/>
  <c r="T29" i="13"/>
  <c r="AB29" i="13" l="1"/>
  <c r="G29" i="4" l="1"/>
  <c r="G27" i="4"/>
  <c r="G26" i="4"/>
  <c r="H24" i="4"/>
  <c r="H23" i="4"/>
  <c r="H22" i="4"/>
  <c r="G21" i="4"/>
  <c r="G19" i="4"/>
  <c r="G18" i="4"/>
  <c r="H16" i="4"/>
  <c r="H18" i="4" l="1"/>
  <c r="H19" i="4"/>
  <c r="H20" i="4"/>
  <c r="H26" i="4"/>
  <c r="H27" i="4"/>
  <c r="H28" i="4"/>
  <c r="G17" i="4"/>
  <c r="G22" i="4"/>
  <c r="G23" i="4"/>
  <c r="G25" i="4"/>
  <c r="H21" i="4"/>
  <c r="H25" i="4"/>
  <c r="H29" i="4"/>
  <c r="G16" i="4"/>
  <c r="G20" i="4"/>
  <c r="G24" i="4"/>
  <c r="G28" i="4"/>
  <c r="H17" i="4"/>
  <c r="A61" i="17" l="1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L5" i="17"/>
  <c r="AK5" i="17"/>
  <c r="AM5" i="17"/>
  <c r="A5" i="17"/>
  <c r="AR4" i="17"/>
  <c r="AL4" i="17"/>
  <c r="AK4" i="17"/>
  <c r="T4" i="17"/>
  <c r="S4" i="17"/>
  <c r="R4" i="17"/>
  <c r="AM4" i="17" s="1"/>
  <c r="A4" i="17"/>
  <c r="AM66" i="17" l="1"/>
  <c r="AO4" i="17"/>
  <c r="AN4" i="17"/>
  <c r="AO5" i="17"/>
  <c r="AN5" i="17"/>
  <c r="AN66" i="17" l="1"/>
  <c r="AO66" i="17"/>
  <c r="J17" i="1" s="1"/>
  <c r="AP4" i="17"/>
  <c r="AP6" i="17"/>
  <c r="AP10" i="17"/>
  <c r="AP12" i="17"/>
  <c r="AQ23" i="17" s="1"/>
  <c r="AP8" i="17"/>
  <c r="AP15" i="17"/>
  <c r="AP14" i="17"/>
  <c r="AP13" i="17"/>
  <c r="AP17" i="17"/>
  <c r="AP16" i="17"/>
  <c r="AP11" i="17"/>
  <c r="AQ20" i="17"/>
  <c r="AP5" i="17"/>
  <c r="AP7" i="17"/>
  <c r="AP9" i="17"/>
  <c r="AP23" i="17"/>
  <c r="H17" i="1"/>
  <c r="AP24" i="17"/>
  <c r="AP28" i="17"/>
  <c r="AP19" i="17"/>
  <c r="AP22" i="17"/>
  <c r="AP18" i="17"/>
  <c r="AP27" i="17"/>
  <c r="AP29" i="17"/>
  <c r="AP26" i="17"/>
  <c r="AP25" i="17"/>
  <c r="AQ4" i="17" l="1"/>
  <c r="AQ12" i="17"/>
  <c r="AQ29" i="17"/>
  <c r="AQ6" i="17"/>
  <c r="AQ18" i="17"/>
  <c r="AQ28" i="17"/>
  <c r="AQ22" i="17"/>
  <c r="AQ25" i="17"/>
  <c r="AP21" i="17"/>
  <c r="AQ21" i="17"/>
  <c r="AQ62" i="17"/>
  <c r="AQ65" i="17"/>
  <c r="AQ64" i="17"/>
  <c r="AQ63" i="17"/>
  <c r="AQ58" i="17"/>
  <c r="AQ61" i="17"/>
  <c r="AQ56" i="17"/>
  <c r="AQ59" i="17"/>
  <c r="AQ57" i="17"/>
  <c r="AQ60" i="17"/>
  <c r="AQ54" i="17"/>
  <c r="AQ52" i="17"/>
  <c r="AQ48" i="17"/>
  <c r="AQ55" i="17"/>
  <c r="AQ45" i="17"/>
  <c r="AQ51" i="17"/>
  <c r="AQ44" i="17"/>
  <c r="AQ49" i="17"/>
  <c r="AQ50" i="17"/>
  <c r="AQ47" i="17"/>
  <c r="AQ46" i="17"/>
  <c r="AQ53" i="17"/>
  <c r="AQ42" i="17"/>
  <c r="AQ43" i="17"/>
  <c r="AQ38" i="17"/>
  <c r="AQ40" i="17"/>
  <c r="AQ39" i="17"/>
  <c r="AQ41" i="17"/>
  <c r="AQ34" i="17"/>
  <c r="AQ35" i="17"/>
  <c r="AQ31" i="17"/>
  <c r="AQ37" i="17"/>
  <c r="AQ36" i="17"/>
  <c r="AQ33" i="17"/>
  <c r="AQ32" i="17"/>
  <c r="AQ30" i="17"/>
  <c r="AQ10" i="17"/>
  <c r="AQ16" i="17"/>
  <c r="AQ14" i="17"/>
  <c r="AQ11" i="17"/>
  <c r="AQ19" i="17"/>
  <c r="AQ5" i="17"/>
  <c r="AQ8" i="17"/>
  <c r="AQ7" i="17"/>
  <c r="AQ17" i="17"/>
  <c r="AQ24" i="17"/>
  <c r="AQ27" i="17"/>
  <c r="AQ13" i="17"/>
  <c r="AQ9" i="17"/>
  <c r="AQ15" i="17"/>
  <c r="AQ26" i="17"/>
  <c r="I17" i="1"/>
  <c r="M17" i="1" s="1"/>
  <c r="AP20" i="17"/>
  <c r="G15" i="14"/>
  <c r="H15" i="14"/>
  <c r="H14" i="14"/>
  <c r="H13" i="14"/>
  <c r="AB59" i="14"/>
  <c r="AA59" i="14"/>
  <c r="AB58" i="14"/>
  <c r="AA58" i="14"/>
  <c r="AB57" i="14"/>
  <c r="AA57" i="14"/>
  <c r="AB56" i="14"/>
  <c r="AA56" i="14"/>
  <c r="AB55" i="14"/>
  <c r="AA55" i="14"/>
  <c r="AB54" i="14"/>
  <c r="AA54" i="14"/>
  <c r="AB53" i="14"/>
  <c r="AA53" i="14"/>
  <c r="AB52" i="14"/>
  <c r="AA52" i="14"/>
  <c r="AB51" i="14"/>
  <c r="AA51" i="14"/>
  <c r="AB50" i="14"/>
  <c r="AA50" i="14"/>
  <c r="AB49" i="14"/>
  <c r="AA49" i="14"/>
  <c r="AB48" i="14"/>
  <c r="AA48" i="14"/>
  <c r="AB47" i="14"/>
  <c r="AA47" i="14"/>
  <c r="AB46" i="14"/>
  <c r="AA46" i="14"/>
  <c r="AB45" i="14"/>
  <c r="AA45" i="14"/>
  <c r="AB44" i="14"/>
  <c r="AA44" i="14"/>
  <c r="AB43" i="14"/>
  <c r="AA43" i="14"/>
  <c r="AB42" i="14"/>
  <c r="AA42" i="14"/>
  <c r="AB41" i="14"/>
  <c r="AA41" i="14"/>
  <c r="AB40" i="14"/>
  <c r="AA40" i="14"/>
  <c r="AB39" i="14"/>
  <c r="AA39" i="14"/>
  <c r="AB38" i="14"/>
  <c r="AA38" i="14"/>
  <c r="AB37" i="14"/>
  <c r="AA37" i="14"/>
  <c r="AB36" i="14"/>
  <c r="AA36" i="14"/>
  <c r="AB35" i="14"/>
  <c r="AA35" i="14"/>
  <c r="AA34" i="14"/>
  <c r="AB33" i="14"/>
  <c r="AA33" i="14"/>
  <c r="AB32" i="14"/>
  <c r="AA32" i="14"/>
  <c r="AB31" i="14"/>
  <c r="AA31" i="14"/>
  <c r="AB30" i="14"/>
  <c r="AA30" i="14"/>
  <c r="AB29" i="14"/>
  <c r="AA29" i="14"/>
  <c r="AB28" i="14"/>
  <c r="AA28" i="14"/>
  <c r="AB27" i="14"/>
  <c r="AA27" i="14"/>
  <c r="AB26" i="14"/>
  <c r="AA26" i="14"/>
  <c r="AB25" i="14"/>
  <c r="AA25" i="14"/>
  <c r="AB24" i="14"/>
  <c r="AA24" i="14"/>
  <c r="AB23" i="14"/>
  <c r="AA23" i="14"/>
  <c r="AB22" i="14"/>
  <c r="AA22" i="14"/>
  <c r="AB21" i="14"/>
  <c r="AA21" i="14"/>
  <c r="AB20" i="14"/>
  <c r="AA20" i="14"/>
  <c r="AB19" i="14"/>
  <c r="AA19" i="14"/>
  <c r="AB18" i="14"/>
  <c r="AA18" i="14"/>
  <c r="AB17" i="14"/>
  <c r="AA17" i="14"/>
  <c r="AB16" i="14"/>
  <c r="AA16" i="14"/>
  <c r="AB15" i="14"/>
  <c r="AA15" i="14"/>
  <c r="AB14" i="14"/>
  <c r="AA14" i="14"/>
  <c r="AB13" i="14"/>
  <c r="AA13" i="14"/>
  <c r="AB12" i="14"/>
  <c r="AA12" i="14"/>
  <c r="AB11" i="14"/>
  <c r="AA11" i="14"/>
  <c r="AB10" i="14"/>
  <c r="AA10" i="14"/>
  <c r="AB9" i="14"/>
  <c r="AA9" i="14"/>
  <c r="AB8" i="14"/>
  <c r="AA8" i="14"/>
  <c r="AB7" i="14"/>
  <c r="AA7" i="14"/>
  <c r="AB6" i="14"/>
  <c r="AA6" i="14"/>
  <c r="AB5" i="14"/>
  <c r="AA5" i="14"/>
  <c r="T59" i="14"/>
  <c r="S59" i="14"/>
  <c r="R59" i="14"/>
  <c r="T58" i="14"/>
  <c r="S58" i="14"/>
  <c r="R58" i="14"/>
  <c r="T57" i="14"/>
  <c r="S57" i="14"/>
  <c r="R57" i="14"/>
  <c r="T56" i="14"/>
  <c r="S56" i="14"/>
  <c r="R56" i="14"/>
  <c r="T55" i="14"/>
  <c r="S55" i="14"/>
  <c r="R55" i="14"/>
  <c r="T54" i="14"/>
  <c r="S54" i="14"/>
  <c r="R54" i="14"/>
  <c r="T53" i="14"/>
  <c r="S53" i="14"/>
  <c r="R53" i="14"/>
  <c r="T52" i="14"/>
  <c r="S52" i="14"/>
  <c r="R52" i="14"/>
  <c r="T51" i="14"/>
  <c r="S51" i="14"/>
  <c r="R51" i="14"/>
  <c r="T50" i="14"/>
  <c r="S50" i="14"/>
  <c r="R50" i="14"/>
  <c r="T49" i="14"/>
  <c r="S49" i="14"/>
  <c r="R49" i="14"/>
  <c r="T48" i="14"/>
  <c r="S48" i="14"/>
  <c r="R48" i="14"/>
  <c r="T47" i="14"/>
  <c r="S47" i="14"/>
  <c r="R47" i="14"/>
  <c r="T46" i="14"/>
  <c r="S46" i="14"/>
  <c r="R46" i="14"/>
  <c r="T45" i="14"/>
  <c r="S45" i="14"/>
  <c r="R45" i="14"/>
  <c r="T44" i="14"/>
  <c r="S44" i="14"/>
  <c r="R44" i="14"/>
  <c r="T43" i="14"/>
  <c r="S43" i="14"/>
  <c r="R43" i="14"/>
  <c r="T42" i="14"/>
  <c r="S42" i="14"/>
  <c r="R42" i="14"/>
  <c r="T41" i="14"/>
  <c r="S41" i="14"/>
  <c r="R41" i="14"/>
  <c r="T40" i="14"/>
  <c r="S40" i="14"/>
  <c r="R40" i="14"/>
  <c r="T39" i="14"/>
  <c r="S39" i="14"/>
  <c r="R39" i="14"/>
  <c r="T38" i="14"/>
  <c r="S38" i="14"/>
  <c r="R38" i="14"/>
  <c r="T37" i="14"/>
  <c r="S37" i="14"/>
  <c r="R37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T30" i="14"/>
  <c r="S30" i="14"/>
  <c r="R30" i="14"/>
  <c r="T29" i="14"/>
  <c r="S29" i="14"/>
  <c r="R29" i="14"/>
  <c r="AM29" i="14" s="1"/>
  <c r="T28" i="14"/>
  <c r="S28" i="14"/>
  <c r="R28" i="14"/>
  <c r="T27" i="14"/>
  <c r="S27" i="14"/>
  <c r="R27" i="14"/>
  <c r="T26" i="14"/>
  <c r="S26" i="14"/>
  <c r="R26" i="14"/>
  <c r="T25" i="14"/>
  <c r="S25" i="14"/>
  <c r="R25" i="14"/>
  <c r="T24" i="14"/>
  <c r="S24" i="14"/>
  <c r="R24" i="14"/>
  <c r="T23" i="14"/>
  <c r="S23" i="14"/>
  <c r="R23" i="14"/>
  <c r="T22" i="14"/>
  <c r="S22" i="14"/>
  <c r="R22" i="14"/>
  <c r="T21" i="14"/>
  <c r="S21" i="14"/>
  <c r="R21" i="14"/>
  <c r="T20" i="14"/>
  <c r="S20" i="14"/>
  <c r="R20" i="14"/>
  <c r="T19" i="14"/>
  <c r="S19" i="14"/>
  <c r="R19" i="14"/>
  <c r="T18" i="14"/>
  <c r="S18" i="14"/>
  <c r="R18" i="14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T6" i="14"/>
  <c r="S6" i="14"/>
  <c r="R6" i="14"/>
  <c r="T5" i="14"/>
  <c r="S5" i="14"/>
  <c r="R5" i="14"/>
  <c r="AB65" i="13"/>
  <c r="AA65" i="13"/>
  <c r="AB64" i="13"/>
  <c r="AA64" i="13"/>
  <c r="AB63" i="13"/>
  <c r="AA63" i="13"/>
  <c r="AB62" i="13"/>
  <c r="AA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A47" i="13"/>
  <c r="AB46" i="13"/>
  <c r="AA46" i="13"/>
  <c r="AB45" i="13"/>
  <c r="AA45" i="13"/>
  <c r="AB44" i="13"/>
  <c r="AA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A29" i="13"/>
  <c r="AB28" i="13"/>
  <c r="AA28" i="13"/>
  <c r="AB27" i="13"/>
  <c r="AA27" i="13"/>
  <c r="AB26" i="13"/>
  <c r="AA26" i="13"/>
  <c r="AB25" i="13"/>
  <c r="AA25" i="13"/>
  <c r="AB24" i="13"/>
  <c r="AA24" i="13"/>
  <c r="AB23" i="13"/>
  <c r="AA23" i="13"/>
  <c r="AB22" i="13"/>
  <c r="AA22" i="13"/>
  <c r="AB21" i="13"/>
  <c r="AA21" i="13"/>
  <c r="AB20" i="13"/>
  <c r="AA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A5" i="13"/>
  <c r="AB4" i="13"/>
  <c r="AA4" i="13"/>
  <c r="AG65" i="13"/>
  <c r="AF65" i="13"/>
  <c r="AG64" i="13"/>
  <c r="AF64" i="13"/>
  <c r="AG63" i="13"/>
  <c r="AF63" i="13"/>
  <c r="AG62" i="13"/>
  <c r="AF62" i="13"/>
  <c r="AG61" i="13"/>
  <c r="AF61" i="13"/>
  <c r="AG60" i="13"/>
  <c r="AF60" i="13"/>
  <c r="AG59" i="13"/>
  <c r="AF59" i="13"/>
  <c r="AG58" i="13"/>
  <c r="AF58" i="13"/>
  <c r="AG57" i="13"/>
  <c r="AF57" i="13"/>
  <c r="AG56" i="13"/>
  <c r="AF56" i="13"/>
  <c r="AG55" i="13"/>
  <c r="AF55" i="13"/>
  <c r="AG54" i="13"/>
  <c r="AF54" i="13"/>
  <c r="AG53" i="13"/>
  <c r="AF53" i="13"/>
  <c r="AG52" i="13"/>
  <c r="AF52" i="13"/>
  <c r="AG51" i="13"/>
  <c r="AF51" i="13"/>
  <c r="AG50" i="13"/>
  <c r="AF50" i="13"/>
  <c r="AG49" i="13"/>
  <c r="AF49" i="13"/>
  <c r="AG48" i="13"/>
  <c r="AF48" i="13"/>
  <c r="AG47" i="13"/>
  <c r="AF47" i="13"/>
  <c r="AG46" i="13"/>
  <c r="AF46" i="13"/>
  <c r="AG45" i="13"/>
  <c r="AF45" i="13"/>
  <c r="AG44" i="13"/>
  <c r="AF44" i="13"/>
  <c r="AG43" i="13"/>
  <c r="AF43" i="13"/>
  <c r="AG42" i="13"/>
  <c r="AF42" i="13"/>
  <c r="AG41" i="13"/>
  <c r="AF41" i="13"/>
  <c r="AG40" i="13"/>
  <c r="AF40" i="13"/>
  <c r="AG39" i="13"/>
  <c r="AF39" i="13"/>
  <c r="AG38" i="13"/>
  <c r="AF38" i="13"/>
  <c r="AG37" i="13"/>
  <c r="AF37" i="13"/>
  <c r="AG36" i="13"/>
  <c r="AF36" i="13"/>
  <c r="AG35" i="13"/>
  <c r="AF35" i="13"/>
  <c r="AG34" i="13"/>
  <c r="AF34" i="13"/>
  <c r="AG33" i="13"/>
  <c r="AF33" i="13"/>
  <c r="AG32" i="13"/>
  <c r="AF32" i="13"/>
  <c r="AG31" i="13"/>
  <c r="AF31" i="13"/>
  <c r="AG30" i="13"/>
  <c r="AF30" i="13"/>
  <c r="AF29" i="13"/>
  <c r="AG28" i="13"/>
  <c r="AF28" i="13"/>
  <c r="AG27" i="13"/>
  <c r="AF27" i="13"/>
  <c r="AG26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G19" i="13"/>
  <c r="AF19" i="13"/>
  <c r="AG18" i="13"/>
  <c r="AF18" i="13"/>
  <c r="AG17" i="13"/>
  <c r="AF17" i="13"/>
  <c r="AG16" i="13"/>
  <c r="AF16" i="13"/>
  <c r="AG15" i="13"/>
  <c r="AF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G5" i="13"/>
  <c r="AF5" i="13"/>
  <c r="G15" i="11"/>
  <c r="G13" i="11"/>
  <c r="G12" i="11"/>
  <c r="H10" i="11"/>
  <c r="H9" i="11"/>
  <c r="H8" i="11"/>
  <c r="G7" i="11"/>
  <c r="G5" i="11"/>
  <c r="H4" i="11"/>
  <c r="G4" i="11"/>
  <c r="AQ66" i="17" l="1"/>
  <c r="G13" i="14"/>
  <c r="G12" i="14"/>
  <c r="G14" i="14"/>
  <c r="H12" i="14"/>
  <c r="H5" i="11"/>
  <c r="H6" i="11"/>
  <c r="H12" i="11"/>
  <c r="H13" i="11"/>
  <c r="H14" i="11"/>
  <c r="G8" i="11"/>
  <c r="G9" i="11"/>
  <c r="G11" i="11"/>
  <c r="H7" i="11"/>
  <c r="H11" i="11"/>
  <c r="H15" i="11"/>
  <c r="G6" i="11"/>
  <c r="G10" i="11"/>
  <c r="G14" i="11"/>
  <c r="N17" i="1" l="1"/>
  <c r="AG4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4" i="4"/>
  <c r="AR5" i="4"/>
  <c r="AG65" i="4"/>
  <c r="AF65" i="4"/>
  <c r="AG64" i="4"/>
  <c r="AF64" i="4"/>
  <c r="AG63" i="4"/>
  <c r="AF63" i="4"/>
  <c r="AG62" i="4"/>
  <c r="AF62" i="4"/>
  <c r="AG61" i="4"/>
  <c r="AF61" i="4"/>
  <c r="AG60" i="4"/>
  <c r="AF60" i="4"/>
  <c r="AG59" i="4"/>
  <c r="AF59" i="4"/>
  <c r="AG58" i="4"/>
  <c r="AF58" i="4"/>
  <c r="AG57" i="4"/>
  <c r="AF57" i="4"/>
  <c r="AG56" i="4"/>
  <c r="AF56" i="4"/>
  <c r="AG55" i="4"/>
  <c r="AF55" i="4"/>
  <c r="AG54" i="4"/>
  <c r="AF54" i="4"/>
  <c r="AG53" i="4"/>
  <c r="AF53" i="4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G7" i="4"/>
  <c r="AF7" i="4"/>
  <c r="AG6" i="4"/>
  <c r="AF6" i="4"/>
  <c r="AG5" i="4"/>
  <c r="AF5" i="4"/>
  <c r="AL65" i="4"/>
  <c r="AK65" i="4"/>
  <c r="AL64" i="4"/>
  <c r="AK64" i="4"/>
  <c r="AL63" i="4"/>
  <c r="AK63" i="4"/>
  <c r="AL62" i="4"/>
  <c r="AK62" i="4"/>
  <c r="AL61" i="4"/>
  <c r="AK61" i="4"/>
  <c r="AL60" i="4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L7" i="4"/>
  <c r="AK7" i="4"/>
  <c r="AL6" i="4"/>
  <c r="AK6" i="4"/>
  <c r="AL5" i="4"/>
  <c r="AK5" i="4"/>
  <c r="AN35" i="4" l="1"/>
  <c r="AN33" i="4"/>
  <c r="AN30" i="4"/>
  <c r="AN34" i="4"/>
  <c r="AN32" i="4"/>
  <c r="AN31" i="4"/>
  <c r="AO5" i="4"/>
  <c r="AO7" i="4"/>
  <c r="AO9" i="4"/>
  <c r="AN6" i="4"/>
  <c r="AN8" i="4"/>
  <c r="AO6" i="4"/>
  <c r="AO8" i="4"/>
  <c r="AN5" i="4"/>
  <c r="AN7" i="4"/>
  <c r="AN9" i="4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L5" i="3"/>
  <c r="AK5" i="3"/>
  <c r="AP8" i="4" l="1"/>
  <c r="AP9" i="4"/>
  <c r="AP7" i="4"/>
  <c r="AP6" i="4"/>
  <c r="AP5" i="4"/>
  <c r="G4" i="1"/>
  <c r="G65" i="16"/>
  <c r="A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P1" i="14"/>
  <c r="AP1" i="13"/>
  <c r="AP1" i="12"/>
  <c r="AP1" i="11"/>
  <c r="AP1" i="10"/>
  <c r="AP1" i="9"/>
  <c r="AP1" i="8"/>
  <c r="AP1" i="7"/>
  <c r="AP1" i="4"/>
  <c r="AP1" i="5"/>
  <c r="AP1" i="3"/>
  <c r="J66" i="3"/>
  <c r="AR7" i="11" l="1"/>
  <c r="J66" i="13" l="1"/>
  <c r="AL65" i="13"/>
  <c r="AK65" i="13"/>
  <c r="R65" i="13"/>
  <c r="T65" i="13" s="1"/>
  <c r="AR65" i="13"/>
  <c r="AL64" i="13"/>
  <c r="AK64" i="13"/>
  <c r="R64" i="13"/>
  <c r="T64" i="13" s="1"/>
  <c r="AM64" i="13" l="1"/>
  <c r="S65" i="13"/>
  <c r="AN65" i="13" s="1"/>
  <c r="S64" i="13"/>
  <c r="AN64" i="13" s="1"/>
  <c r="AR64" i="13"/>
  <c r="AO64" i="13"/>
  <c r="AM65" i="13"/>
  <c r="AO65" i="13"/>
  <c r="AP64" i="13" l="1"/>
  <c r="AP65" i="13"/>
  <c r="AK64" i="11" l="1"/>
  <c r="AL64" i="11"/>
  <c r="AK65" i="11"/>
  <c r="AL65" i="11"/>
  <c r="AF64" i="11"/>
  <c r="AG64" i="11"/>
  <c r="AF65" i="11"/>
  <c r="AG65" i="11"/>
  <c r="T65" i="11"/>
  <c r="S65" i="11"/>
  <c r="R65" i="11"/>
  <c r="AM65" i="11" s="1"/>
  <c r="T64" i="11"/>
  <c r="S64" i="11"/>
  <c r="R64" i="11"/>
  <c r="AM64" i="11" s="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S56" i="11"/>
  <c r="R56" i="11"/>
  <c r="T55" i="11"/>
  <c r="S55" i="11"/>
  <c r="R55" i="11"/>
  <c r="T54" i="11"/>
  <c r="S54" i="11"/>
  <c r="R54" i="11"/>
  <c r="T53" i="11"/>
  <c r="S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S42" i="11"/>
  <c r="R42" i="11"/>
  <c r="T41" i="11"/>
  <c r="S41" i="11"/>
  <c r="R41" i="11"/>
  <c r="T40" i="11"/>
  <c r="S40" i="11"/>
  <c r="R40" i="11"/>
  <c r="T39" i="11"/>
  <c r="S39" i="11"/>
  <c r="R39" i="11"/>
  <c r="T38" i="11"/>
  <c r="S38" i="11"/>
  <c r="R38" i="11"/>
  <c r="T37" i="11"/>
  <c r="S37" i="11"/>
  <c r="R37" i="11"/>
  <c r="T36" i="11"/>
  <c r="S36" i="11"/>
  <c r="R36" i="11"/>
  <c r="T35" i="11"/>
  <c r="S35" i="11"/>
  <c r="R35" i="1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T28" i="11"/>
  <c r="S28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AM19" i="11" s="1"/>
  <c r="T18" i="11"/>
  <c r="AO18" i="11" s="1"/>
  <c r="S18" i="11"/>
  <c r="AN18" i="11" s="1"/>
  <c r="R18" i="11"/>
  <c r="AM18" i="11" s="1"/>
  <c r="T17" i="11"/>
  <c r="AO17" i="11" s="1"/>
  <c r="S17" i="11"/>
  <c r="AN17" i="11" s="1"/>
  <c r="R17" i="11"/>
  <c r="AM17" i="11" s="1"/>
  <c r="T16" i="11"/>
  <c r="AO16" i="11" s="1"/>
  <c r="S16" i="11"/>
  <c r="AN16" i="11" s="1"/>
  <c r="R16" i="11"/>
  <c r="AM16" i="11" s="1"/>
  <c r="T15" i="11"/>
  <c r="AO15" i="11" s="1"/>
  <c r="S15" i="11"/>
  <c r="AN15" i="11" s="1"/>
  <c r="R15" i="11"/>
  <c r="AM15" i="11" s="1"/>
  <c r="T14" i="11"/>
  <c r="AO14" i="11" s="1"/>
  <c r="S14" i="11"/>
  <c r="AN14" i="11" s="1"/>
  <c r="R14" i="11"/>
  <c r="AM14" i="11" s="1"/>
  <c r="T13" i="11"/>
  <c r="AO13" i="11" s="1"/>
  <c r="S13" i="11"/>
  <c r="AN13" i="11" s="1"/>
  <c r="R13" i="11"/>
  <c r="AM13" i="11" s="1"/>
  <c r="T12" i="11"/>
  <c r="AO12" i="11" s="1"/>
  <c r="S12" i="11"/>
  <c r="AN12" i="11" s="1"/>
  <c r="R12" i="11"/>
  <c r="AM12" i="11" s="1"/>
  <c r="T11" i="11"/>
  <c r="AO11" i="11" s="1"/>
  <c r="S11" i="11"/>
  <c r="AN11" i="11" s="1"/>
  <c r="R11" i="11"/>
  <c r="AM11" i="11" s="1"/>
  <c r="T10" i="11"/>
  <c r="AO10" i="11" s="1"/>
  <c r="S10" i="11"/>
  <c r="AN10" i="11" s="1"/>
  <c r="R10" i="11"/>
  <c r="AM10" i="11" s="1"/>
  <c r="T9" i="11"/>
  <c r="AO9" i="11" s="1"/>
  <c r="S9" i="11"/>
  <c r="AN9" i="11" s="1"/>
  <c r="R9" i="11"/>
  <c r="AM9" i="11" s="1"/>
  <c r="T8" i="11"/>
  <c r="AO8" i="11" s="1"/>
  <c r="S8" i="11"/>
  <c r="AN8" i="11" s="1"/>
  <c r="R8" i="11"/>
  <c r="AM8" i="11" s="1"/>
  <c r="T7" i="11"/>
  <c r="AO7" i="11" s="1"/>
  <c r="S7" i="11"/>
  <c r="AN7" i="11" s="1"/>
  <c r="R7" i="11"/>
  <c r="AM7" i="11" s="1"/>
  <c r="T6" i="11"/>
  <c r="AO6" i="11" s="1"/>
  <c r="S6" i="11"/>
  <c r="AN6" i="11" s="1"/>
  <c r="R6" i="11"/>
  <c r="AM6" i="11" s="1"/>
  <c r="T5" i="11"/>
  <c r="AO5" i="11" s="1"/>
  <c r="S5" i="11"/>
  <c r="AN5" i="11" s="1"/>
  <c r="R5" i="11"/>
  <c r="AM5" i="11" s="1"/>
  <c r="J66" i="11"/>
  <c r="AP5" i="11" l="1"/>
  <c r="AP9" i="11"/>
  <c r="AP17" i="11"/>
  <c r="AP7" i="11"/>
  <c r="AP15" i="11"/>
  <c r="AP18" i="11"/>
  <c r="AP8" i="11"/>
  <c r="AP16" i="11"/>
  <c r="AP11" i="11"/>
  <c r="AP12" i="11"/>
  <c r="AP6" i="11"/>
  <c r="AP10" i="11"/>
  <c r="AP14" i="11"/>
  <c r="AP13" i="11"/>
  <c r="AN64" i="11"/>
  <c r="AO64" i="11"/>
  <c r="AO65" i="11"/>
  <c r="AN65" i="11"/>
  <c r="AP65" i="11" l="1"/>
  <c r="AP64" i="11"/>
  <c r="AF5" i="9"/>
  <c r="AN5" i="9" s="1"/>
  <c r="AG5" i="9"/>
  <c r="AO5" i="9" s="1"/>
  <c r="AF6" i="9"/>
  <c r="AN6" i="9" s="1"/>
  <c r="AG6" i="9"/>
  <c r="AO6" i="9" s="1"/>
  <c r="AF7" i="9"/>
  <c r="AN7" i="9" s="1"/>
  <c r="AG7" i="9"/>
  <c r="AO7" i="9" s="1"/>
  <c r="AF8" i="9"/>
  <c r="AN8" i="9" s="1"/>
  <c r="AG8" i="9"/>
  <c r="AO8" i="9" s="1"/>
  <c r="AF9" i="9"/>
  <c r="AN9" i="9" s="1"/>
  <c r="AG9" i="9"/>
  <c r="AO9" i="9" s="1"/>
  <c r="AF10" i="9"/>
  <c r="AN10" i="9" s="1"/>
  <c r="AG10" i="9"/>
  <c r="AO10" i="9" s="1"/>
  <c r="AF11" i="9"/>
  <c r="AN11" i="9" s="1"/>
  <c r="AG11" i="9"/>
  <c r="AO11" i="9" s="1"/>
  <c r="AF12" i="9"/>
  <c r="AN12" i="9" s="1"/>
  <c r="AG12" i="9"/>
  <c r="AO12" i="9" s="1"/>
  <c r="AF13" i="9"/>
  <c r="AN13" i="9" s="1"/>
  <c r="AG13" i="9"/>
  <c r="AO13" i="9" s="1"/>
  <c r="AF14" i="9"/>
  <c r="AN14" i="9" s="1"/>
  <c r="AG14" i="9"/>
  <c r="AO14" i="9" s="1"/>
  <c r="AF15" i="9"/>
  <c r="AN15" i="9" s="1"/>
  <c r="AG15" i="9"/>
  <c r="AO15" i="9" s="1"/>
  <c r="AF16" i="9"/>
  <c r="AN16" i="9" s="1"/>
  <c r="AG16" i="9"/>
  <c r="AO16" i="9" s="1"/>
  <c r="AF17" i="9"/>
  <c r="AN17" i="9" s="1"/>
  <c r="AG17" i="9"/>
  <c r="AO17" i="9" s="1"/>
  <c r="AF18" i="9"/>
  <c r="AN18" i="9" s="1"/>
  <c r="AG18" i="9"/>
  <c r="AO18" i="9" s="1"/>
  <c r="AF19" i="9"/>
  <c r="AN19" i="9" s="1"/>
  <c r="AG19" i="9"/>
  <c r="AO19" i="9" s="1"/>
  <c r="AF20" i="9"/>
  <c r="AN20" i="9" s="1"/>
  <c r="AG20" i="9"/>
  <c r="AO20" i="9" s="1"/>
  <c r="AF21" i="9"/>
  <c r="AN21" i="9" s="1"/>
  <c r="AG21" i="9"/>
  <c r="AO21" i="9" s="1"/>
  <c r="AF22" i="9"/>
  <c r="AN22" i="9" s="1"/>
  <c r="AG22" i="9"/>
  <c r="AO22" i="9" s="1"/>
  <c r="AF23" i="9"/>
  <c r="AN23" i="9" s="1"/>
  <c r="AG23" i="9"/>
  <c r="AO23" i="9" s="1"/>
  <c r="AF24" i="9"/>
  <c r="AN24" i="9" s="1"/>
  <c r="AG24" i="9"/>
  <c r="AO24" i="9" s="1"/>
  <c r="AF25" i="9"/>
  <c r="AN25" i="9" s="1"/>
  <c r="AG25" i="9"/>
  <c r="AO25" i="9" s="1"/>
  <c r="AF26" i="9"/>
  <c r="AN26" i="9" s="1"/>
  <c r="AG26" i="9"/>
  <c r="AO26" i="9" s="1"/>
  <c r="AF27" i="9"/>
  <c r="AN27" i="9" s="1"/>
  <c r="AG27" i="9"/>
  <c r="AO27" i="9" s="1"/>
  <c r="AF28" i="9"/>
  <c r="AN28" i="9" s="1"/>
  <c r="AG28" i="9"/>
  <c r="AO28" i="9" s="1"/>
  <c r="AF29" i="9"/>
  <c r="AN29" i="9" s="1"/>
  <c r="AG29" i="9"/>
  <c r="AO29" i="9" s="1"/>
  <c r="AF30" i="9"/>
  <c r="AN30" i="9" s="1"/>
  <c r="AG30" i="9"/>
  <c r="AO30" i="9" s="1"/>
  <c r="AF31" i="9"/>
  <c r="AN31" i="9" s="1"/>
  <c r="AG31" i="9"/>
  <c r="AO31" i="9" s="1"/>
  <c r="AF32" i="9"/>
  <c r="AN32" i="9" s="1"/>
  <c r="AG32" i="9"/>
  <c r="AO32" i="9" s="1"/>
  <c r="AF33" i="9"/>
  <c r="AN33" i="9" s="1"/>
  <c r="AG33" i="9"/>
  <c r="AO33" i="9" s="1"/>
  <c r="AF34" i="9"/>
  <c r="AN34" i="9" s="1"/>
  <c r="AG34" i="9"/>
  <c r="AO34" i="9" s="1"/>
  <c r="AF35" i="9"/>
  <c r="AN35" i="9" s="1"/>
  <c r="AG35" i="9"/>
  <c r="AO35" i="9" s="1"/>
  <c r="AF36" i="9"/>
  <c r="AN36" i="9" s="1"/>
  <c r="AG36" i="9"/>
  <c r="AO36" i="9" s="1"/>
  <c r="AF37" i="9"/>
  <c r="AN37" i="9" s="1"/>
  <c r="AG37" i="9"/>
  <c r="AO37" i="9" s="1"/>
  <c r="AF38" i="9"/>
  <c r="AN38" i="9" s="1"/>
  <c r="AG38" i="9"/>
  <c r="AO38" i="9" s="1"/>
  <c r="AF39" i="9"/>
  <c r="AN39" i="9" s="1"/>
  <c r="AG39" i="9"/>
  <c r="AO39" i="9" s="1"/>
  <c r="AF40" i="9"/>
  <c r="AN40" i="9" s="1"/>
  <c r="AG40" i="9"/>
  <c r="AO40" i="9" s="1"/>
  <c r="AF41" i="9"/>
  <c r="AN41" i="9" s="1"/>
  <c r="AG41" i="9"/>
  <c r="AO41" i="9" s="1"/>
  <c r="AF42" i="9"/>
  <c r="AN42" i="9" s="1"/>
  <c r="H43" i="9" s="1"/>
  <c r="AG42" i="9"/>
  <c r="AO42" i="9" s="1"/>
  <c r="AF43" i="9"/>
  <c r="AN43" i="9" s="1"/>
  <c r="H44" i="9" s="1"/>
  <c r="AG43" i="9"/>
  <c r="AF44" i="9"/>
  <c r="AN44" i="9" s="1"/>
  <c r="H45" i="9" s="1"/>
  <c r="AG44" i="9"/>
  <c r="AF45" i="9"/>
  <c r="AN45" i="9" s="1"/>
  <c r="H46" i="9" s="1"/>
  <c r="AG45" i="9"/>
  <c r="AF46" i="9"/>
  <c r="AN46" i="9" s="1"/>
  <c r="H47" i="9" s="1"/>
  <c r="AG46" i="9"/>
  <c r="AF47" i="9"/>
  <c r="AN47" i="9" s="1"/>
  <c r="H48" i="9" s="1"/>
  <c r="AG47" i="9"/>
  <c r="AF48" i="9"/>
  <c r="AN48" i="9" s="1"/>
  <c r="H49" i="9" s="1"/>
  <c r="AG48" i="9"/>
  <c r="AF49" i="9"/>
  <c r="AN49" i="9" s="1"/>
  <c r="H50" i="9" s="1"/>
  <c r="AG49" i="9"/>
  <c r="AF50" i="9"/>
  <c r="AN50" i="9" s="1"/>
  <c r="H51" i="9" s="1"/>
  <c r="AG50" i="9"/>
  <c r="AF51" i="9"/>
  <c r="AN51" i="9" s="1"/>
  <c r="H52" i="9" s="1"/>
  <c r="AG51" i="9"/>
  <c r="AF52" i="9"/>
  <c r="AN52" i="9" s="1"/>
  <c r="H53" i="9" s="1"/>
  <c r="AG52" i="9"/>
  <c r="AF53" i="9"/>
  <c r="AN53" i="9" s="1"/>
  <c r="H54" i="9" s="1"/>
  <c r="AG53" i="9"/>
  <c r="AF54" i="9"/>
  <c r="AN54" i="9" s="1"/>
  <c r="H55" i="9" s="1"/>
  <c r="AG54" i="9"/>
  <c r="AF55" i="9"/>
  <c r="AN55" i="9" s="1"/>
  <c r="AG55" i="9"/>
  <c r="AF56" i="9"/>
  <c r="AN56" i="9" s="1"/>
  <c r="AG56" i="9"/>
  <c r="AO56" i="9" s="1"/>
  <c r="AF57" i="9"/>
  <c r="AN57" i="9" s="1"/>
  <c r="AG57" i="9"/>
  <c r="AO57" i="9" s="1"/>
  <c r="AF58" i="9"/>
  <c r="AN58" i="9" s="1"/>
  <c r="AG58" i="9"/>
  <c r="AO58" i="9" s="1"/>
  <c r="AF59" i="9"/>
  <c r="AN59" i="9" s="1"/>
  <c r="AG59" i="9"/>
  <c r="AO59" i="9" s="1"/>
  <c r="AF60" i="9"/>
  <c r="AN60" i="9" s="1"/>
  <c r="AG60" i="9"/>
  <c r="AO60" i="9" s="1"/>
  <c r="AF61" i="9"/>
  <c r="AN61" i="9" s="1"/>
  <c r="AG61" i="9"/>
  <c r="AO61" i="9" s="1"/>
  <c r="AF62" i="9"/>
  <c r="AN62" i="9" s="1"/>
  <c r="AG62" i="9"/>
  <c r="AO62" i="9" s="1"/>
  <c r="AF63" i="9"/>
  <c r="AN63" i="9" s="1"/>
  <c r="AG63" i="9"/>
  <c r="AO63" i="9" s="1"/>
  <c r="AF64" i="9"/>
  <c r="AN64" i="9" s="1"/>
  <c r="AG64" i="9"/>
  <c r="AO64" i="9" s="1"/>
  <c r="AF65" i="9"/>
  <c r="AN65" i="9" s="1"/>
  <c r="AG65" i="9"/>
  <c r="AO65" i="9" s="1"/>
  <c r="AO45" i="9" l="1"/>
  <c r="AP45" i="9" s="1"/>
  <c r="AO43" i="9"/>
  <c r="AO55" i="9"/>
  <c r="AO53" i="9"/>
  <c r="AP53" i="9" s="1"/>
  <c r="AO51" i="9"/>
  <c r="AO49" i="9"/>
  <c r="AP49" i="9" s="1"/>
  <c r="AO47" i="9"/>
  <c r="AP47" i="9" s="1"/>
  <c r="AV35" i="9"/>
  <c r="AU35" i="9"/>
  <c r="AO54" i="9"/>
  <c r="AP54" i="9" s="1"/>
  <c r="AO52" i="9"/>
  <c r="AP52" i="9" s="1"/>
  <c r="AO50" i="9"/>
  <c r="AP50" i="9" s="1"/>
  <c r="AO48" i="9"/>
  <c r="AO46" i="9"/>
  <c r="AP46" i="9" s="1"/>
  <c r="AO44" i="9"/>
  <c r="AP44" i="9" s="1"/>
  <c r="AV25" i="9"/>
  <c r="AU25" i="9"/>
  <c r="AV39" i="9"/>
  <c r="AU39" i="9"/>
  <c r="AU55" i="9"/>
  <c r="AV41" i="9"/>
  <c r="AU41" i="9"/>
  <c r="AU61" i="9"/>
  <c r="AP61" i="9"/>
  <c r="AP29" i="9"/>
  <c r="AP27" i="9"/>
  <c r="AP7" i="9"/>
  <c r="AP5" i="9"/>
  <c r="AP63" i="9"/>
  <c r="AP62" i="9"/>
  <c r="AP56" i="9"/>
  <c r="AP25" i="9"/>
  <c r="AP30" i="9"/>
  <c r="AP28" i="9"/>
  <c r="AP24" i="9"/>
  <c r="AP23" i="9"/>
  <c r="AP9" i="9"/>
  <c r="AP22" i="9"/>
  <c r="AP20" i="9"/>
  <c r="AP18" i="9"/>
  <c r="AP21" i="9"/>
  <c r="AP19" i="9"/>
  <c r="AP17" i="9"/>
  <c r="AP15" i="9"/>
  <c r="AP13" i="9"/>
  <c r="AP11" i="9"/>
  <c r="AP16" i="9"/>
  <c r="AP14" i="9"/>
  <c r="AP12" i="9"/>
  <c r="AP10" i="9"/>
  <c r="AP8" i="9"/>
  <c r="AP6" i="9"/>
  <c r="AP59" i="9"/>
  <c r="AP60" i="9"/>
  <c r="AP65" i="9"/>
  <c r="AP64" i="9"/>
  <c r="AP58" i="9"/>
  <c r="AP57" i="9"/>
  <c r="AP55" i="9"/>
  <c r="AP51" i="9"/>
  <c r="AP26" i="9"/>
  <c r="AP42" i="9"/>
  <c r="AP40" i="9"/>
  <c r="AP38" i="9"/>
  <c r="AP36" i="9"/>
  <c r="AP34" i="9"/>
  <c r="AP32" i="9"/>
  <c r="AP43" i="9"/>
  <c r="AP41" i="9"/>
  <c r="AP39" i="9"/>
  <c r="AP37" i="9"/>
  <c r="AP35" i="9"/>
  <c r="AP33" i="9"/>
  <c r="AP31" i="9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F64" i="8"/>
  <c r="AG64" i="8"/>
  <c r="AF65" i="8"/>
  <c r="AG65" i="8"/>
  <c r="AB65" i="8"/>
  <c r="AA65" i="8"/>
  <c r="AA64" i="8"/>
  <c r="AB64" i="8"/>
  <c r="T65" i="8"/>
  <c r="S65" i="8"/>
  <c r="R65" i="8"/>
  <c r="AM65" i="8" s="1"/>
  <c r="T64" i="8"/>
  <c r="S64" i="8"/>
  <c r="R64" i="8"/>
  <c r="AM64" i="8" s="1"/>
  <c r="T63" i="8"/>
  <c r="S63" i="8"/>
  <c r="R63" i="8"/>
  <c r="AM63" i="8" s="1"/>
  <c r="T62" i="8"/>
  <c r="S62" i="8"/>
  <c r="R62" i="8"/>
  <c r="AM62" i="8" s="1"/>
  <c r="T61" i="8"/>
  <c r="S61" i="8"/>
  <c r="R61" i="8"/>
  <c r="AM61" i="8" s="1"/>
  <c r="T60" i="8"/>
  <c r="S60" i="8"/>
  <c r="R60" i="8"/>
  <c r="AM60" i="8" s="1"/>
  <c r="T59" i="8"/>
  <c r="S59" i="8"/>
  <c r="R59" i="8"/>
  <c r="AM59" i="8" s="1"/>
  <c r="T58" i="8"/>
  <c r="S58" i="8"/>
  <c r="R58" i="8"/>
  <c r="AM58" i="8" s="1"/>
  <c r="T57" i="8"/>
  <c r="S57" i="8"/>
  <c r="R57" i="8"/>
  <c r="AM57" i="8" s="1"/>
  <c r="T56" i="8"/>
  <c r="S56" i="8"/>
  <c r="R56" i="8"/>
  <c r="AM56" i="8" s="1"/>
  <c r="T55" i="8"/>
  <c r="S55" i="8"/>
  <c r="R55" i="8"/>
  <c r="AM55" i="8" s="1"/>
  <c r="T54" i="8"/>
  <c r="S54" i="8"/>
  <c r="R54" i="8"/>
  <c r="AM54" i="8" s="1"/>
  <c r="T53" i="8"/>
  <c r="S53" i="8"/>
  <c r="R53" i="8"/>
  <c r="AM53" i="8" s="1"/>
  <c r="T52" i="8"/>
  <c r="S52" i="8"/>
  <c r="R52" i="8"/>
  <c r="AM52" i="8" s="1"/>
  <c r="T51" i="8"/>
  <c r="S51" i="8"/>
  <c r="R51" i="8"/>
  <c r="AM51" i="8" s="1"/>
  <c r="T50" i="8"/>
  <c r="S50" i="8"/>
  <c r="R50" i="8"/>
  <c r="AM50" i="8" s="1"/>
  <c r="T49" i="8"/>
  <c r="S49" i="8"/>
  <c r="R49" i="8"/>
  <c r="AM49" i="8" s="1"/>
  <c r="T48" i="8"/>
  <c r="S48" i="8"/>
  <c r="R48" i="8"/>
  <c r="AM48" i="8" s="1"/>
  <c r="T47" i="8"/>
  <c r="S47" i="8"/>
  <c r="R47" i="8"/>
  <c r="AM47" i="8" s="1"/>
  <c r="T46" i="8"/>
  <c r="S46" i="8"/>
  <c r="R46" i="8"/>
  <c r="AM46" i="8" s="1"/>
  <c r="T45" i="8"/>
  <c r="S45" i="8"/>
  <c r="R45" i="8"/>
  <c r="AM45" i="8" s="1"/>
  <c r="T44" i="8"/>
  <c r="S44" i="8"/>
  <c r="R44" i="8"/>
  <c r="AM44" i="8" s="1"/>
  <c r="T43" i="8"/>
  <c r="S43" i="8"/>
  <c r="R43" i="8"/>
  <c r="AM43" i="8" s="1"/>
  <c r="T42" i="8"/>
  <c r="S42" i="8"/>
  <c r="R42" i="8"/>
  <c r="AM42" i="8" s="1"/>
  <c r="T41" i="8"/>
  <c r="S41" i="8"/>
  <c r="R41" i="8"/>
  <c r="AM41" i="8" s="1"/>
  <c r="T40" i="8"/>
  <c r="S40" i="8"/>
  <c r="R40" i="8"/>
  <c r="AM40" i="8" s="1"/>
  <c r="T39" i="8"/>
  <c r="S39" i="8"/>
  <c r="R39" i="8"/>
  <c r="AM39" i="8" s="1"/>
  <c r="T38" i="8"/>
  <c r="R38" i="8"/>
  <c r="AM38" i="8" s="1"/>
  <c r="T37" i="8"/>
  <c r="S37" i="8"/>
  <c r="R37" i="8"/>
  <c r="AM37" i="8" s="1"/>
  <c r="T36" i="8"/>
  <c r="S36" i="8"/>
  <c r="R36" i="8"/>
  <c r="AM36" i="8" s="1"/>
  <c r="T35" i="8"/>
  <c r="S35" i="8"/>
  <c r="R35" i="8"/>
  <c r="AM35" i="8" s="1"/>
  <c r="T34" i="8"/>
  <c r="S34" i="8"/>
  <c r="R34" i="8"/>
  <c r="AM34" i="8" s="1"/>
  <c r="T33" i="8"/>
  <c r="S33" i="8"/>
  <c r="R33" i="8"/>
  <c r="AM33" i="8" s="1"/>
  <c r="T32" i="8"/>
  <c r="S32" i="8"/>
  <c r="R32" i="8"/>
  <c r="AM32" i="8" s="1"/>
  <c r="T31" i="8"/>
  <c r="S31" i="8"/>
  <c r="R31" i="8"/>
  <c r="AM31" i="8" s="1"/>
  <c r="T30" i="8"/>
  <c r="S30" i="8"/>
  <c r="R30" i="8"/>
  <c r="AM30" i="8" s="1"/>
  <c r="T29" i="8"/>
  <c r="S29" i="8"/>
  <c r="R29" i="8"/>
  <c r="AM29" i="8" s="1"/>
  <c r="T28" i="8"/>
  <c r="S28" i="8"/>
  <c r="R28" i="8"/>
  <c r="T27" i="8"/>
  <c r="S27" i="8"/>
  <c r="R27" i="8"/>
  <c r="AM27" i="8" s="1"/>
  <c r="T26" i="8"/>
  <c r="S26" i="8"/>
  <c r="R26" i="8"/>
  <c r="T25" i="8"/>
  <c r="S25" i="8"/>
  <c r="R25" i="8"/>
  <c r="AM25" i="8" s="1"/>
  <c r="T24" i="8"/>
  <c r="S24" i="8"/>
  <c r="R24" i="8"/>
  <c r="T23" i="8"/>
  <c r="S23" i="8"/>
  <c r="R23" i="8"/>
  <c r="AM23" i="8" s="1"/>
  <c r="T22" i="8"/>
  <c r="S22" i="8"/>
  <c r="R22" i="8"/>
  <c r="T21" i="8"/>
  <c r="S21" i="8"/>
  <c r="R21" i="8"/>
  <c r="AM21" i="8" s="1"/>
  <c r="T20" i="8"/>
  <c r="S20" i="8"/>
  <c r="R20" i="8"/>
  <c r="AM20" i="8" s="1"/>
  <c r="T19" i="8"/>
  <c r="S19" i="8"/>
  <c r="R19" i="8"/>
  <c r="AM19" i="8" s="1"/>
  <c r="T18" i="8"/>
  <c r="S18" i="8"/>
  <c r="R18" i="8"/>
  <c r="T17" i="8"/>
  <c r="S17" i="8"/>
  <c r="R17" i="8"/>
  <c r="AM17" i="8" s="1"/>
  <c r="T16" i="8"/>
  <c r="S16" i="8"/>
  <c r="R16" i="8"/>
  <c r="T15" i="8"/>
  <c r="S15" i="8"/>
  <c r="R15" i="8"/>
  <c r="AM15" i="8" s="1"/>
  <c r="T14" i="8"/>
  <c r="S14" i="8"/>
  <c r="R14" i="8"/>
  <c r="AM14" i="8" s="1"/>
  <c r="T13" i="8"/>
  <c r="S13" i="8"/>
  <c r="R13" i="8"/>
  <c r="AM13" i="8" s="1"/>
  <c r="T12" i="8"/>
  <c r="S12" i="8"/>
  <c r="R12" i="8"/>
  <c r="AM12" i="8" s="1"/>
  <c r="T11" i="8"/>
  <c r="S11" i="8"/>
  <c r="R11" i="8"/>
  <c r="AM11" i="8" s="1"/>
  <c r="T10" i="8"/>
  <c r="S10" i="8"/>
  <c r="R10" i="8"/>
  <c r="AM10" i="8" s="1"/>
  <c r="T9" i="8"/>
  <c r="S9" i="8"/>
  <c r="R9" i="8"/>
  <c r="AM9" i="8" s="1"/>
  <c r="T8" i="8"/>
  <c r="S8" i="8"/>
  <c r="R8" i="8"/>
  <c r="AM8" i="8" s="1"/>
  <c r="T7" i="8"/>
  <c r="S7" i="8"/>
  <c r="R7" i="8"/>
  <c r="AM7" i="8" s="1"/>
  <c r="T6" i="8"/>
  <c r="S6" i="8"/>
  <c r="R6" i="8"/>
  <c r="AM6" i="8" s="1"/>
  <c r="T5" i="8"/>
  <c r="S5" i="8"/>
  <c r="R5" i="8"/>
  <c r="AM5" i="8" s="1"/>
  <c r="AV61" i="9" l="1"/>
  <c r="AV55" i="9"/>
  <c r="AP48" i="9"/>
  <c r="AT49" i="8"/>
  <c r="AT53" i="8"/>
  <c r="AT61" i="8"/>
  <c r="G19" i="8"/>
  <c r="AM18" i="8"/>
  <c r="G23" i="8"/>
  <c r="AM22" i="8"/>
  <c r="G27" i="8"/>
  <c r="AM26" i="8"/>
  <c r="G17" i="8"/>
  <c r="AM16" i="8"/>
  <c r="G25" i="8"/>
  <c r="AM24" i="8"/>
  <c r="AM28" i="8"/>
  <c r="AT41" i="8" s="1"/>
  <c r="AN64" i="8"/>
  <c r="AO65" i="8"/>
  <c r="AN65" i="8"/>
  <c r="AO64" i="8"/>
  <c r="G21" i="8"/>
  <c r="G20" i="8"/>
  <c r="G24" i="8"/>
  <c r="G18" i="8"/>
  <c r="G22" i="8"/>
  <c r="G26" i="8"/>
  <c r="AT21" i="8" l="1"/>
  <c r="AT29" i="8"/>
  <c r="AT25" i="8"/>
  <c r="AP64" i="8"/>
  <c r="AP65" i="8"/>
  <c r="J66" i="4"/>
  <c r="AO65" i="4"/>
  <c r="AN65" i="4"/>
  <c r="AM65" i="4"/>
  <c r="AO64" i="4"/>
  <c r="AN64" i="4"/>
  <c r="AM64" i="4"/>
  <c r="AO63" i="4"/>
  <c r="AN63" i="4"/>
  <c r="AM63" i="4"/>
  <c r="AO62" i="4"/>
  <c r="AN62" i="4"/>
  <c r="AM62" i="4"/>
  <c r="AO61" i="4"/>
  <c r="AN61" i="4"/>
  <c r="AM61" i="4"/>
  <c r="AO60" i="4"/>
  <c r="AN60" i="4"/>
  <c r="AM60" i="4"/>
  <c r="AO59" i="4"/>
  <c r="AN59" i="4"/>
  <c r="AM59" i="4"/>
  <c r="AO58" i="4"/>
  <c r="AN58" i="4"/>
  <c r="AM58" i="4"/>
  <c r="AO57" i="4"/>
  <c r="AN57" i="4"/>
  <c r="AM57" i="4"/>
  <c r="AO56" i="4"/>
  <c r="AN56" i="4"/>
  <c r="AM56" i="4"/>
  <c r="AO55" i="4"/>
  <c r="AN55" i="4"/>
  <c r="AM55" i="4"/>
  <c r="AO54" i="4"/>
  <c r="AN54" i="4"/>
  <c r="AM54" i="4"/>
  <c r="AO53" i="4"/>
  <c r="AN53" i="4"/>
  <c r="AM53" i="4"/>
  <c r="AO52" i="4"/>
  <c r="AN52" i="4"/>
  <c r="AM52" i="4"/>
  <c r="AO51" i="4"/>
  <c r="AN51" i="4"/>
  <c r="AM51" i="4"/>
  <c r="AO50" i="4"/>
  <c r="AN50" i="4"/>
  <c r="AM50" i="4"/>
  <c r="AO49" i="4"/>
  <c r="AN49" i="4"/>
  <c r="AM49" i="4"/>
  <c r="AO48" i="4"/>
  <c r="AN48" i="4"/>
  <c r="AM48" i="4"/>
  <c r="AM47" i="4"/>
  <c r="AM46" i="4"/>
  <c r="G47" i="4" s="1"/>
  <c r="AN47" i="4" s="1"/>
  <c r="AM45" i="4"/>
  <c r="G46" i="4" s="1"/>
  <c r="AN46" i="4" s="1"/>
  <c r="H47" i="4" s="1"/>
  <c r="AO47" i="4" s="1"/>
  <c r="AM44" i="4"/>
  <c r="G45" i="4" s="1"/>
  <c r="AN45" i="4" s="1"/>
  <c r="H46" i="4" s="1"/>
  <c r="AO46" i="4" s="1"/>
  <c r="AM43" i="4"/>
  <c r="G44" i="4" s="1"/>
  <c r="AN44" i="4" s="1"/>
  <c r="H45" i="4" s="1"/>
  <c r="AO45" i="4" s="1"/>
  <c r="AO42" i="4"/>
  <c r="AN42" i="4"/>
  <c r="H43" i="4" s="1"/>
  <c r="AO43" i="4" s="1"/>
  <c r="AM42" i="4"/>
  <c r="G43" i="4" s="1"/>
  <c r="AN43" i="4" s="1"/>
  <c r="H44" i="4" s="1"/>
  <c r="AO44" i="4" s="1"/>
  <c r="AO41" i="4"/>
  <c r="AN41" i="4"/>
  <c r="AM41" i="4"/>
  <c r="AO40" i="4"/>
  <c r="AN40" i="4"/>
  <c r="AM40" i="4"/>
  <c r="AO39" i="4"/>
  <c r="AN39" i="4"/>
  <c r="AM39" i="4"/>
  <c r="AO38" i="4"/>
  <c r="AN38" i="4"/>
  <c r="AM38" i="4"/>
  <c r="AO37" i="4"/>
  <c r="AN37" i="4"/>
  <c r="AM37" i="4"/>
  <c r="AO36" i="4"/>
  <c r="AN36" i="4"/>
  <c r="AM36" i="4"/>
  <c r="AO35" i="4"/>
  <c r="AO34" i="4"/>
  <c r="AO33" i="4"/>
  <c r="AO32" i="4"/>
  <c r="AO31" i="4"/>
  <c r="AO30" i="4"/>
  <c r="AO29" i="4"/>
  <c r="AN29" i="4"/>
  <c r="AM29" i="4"/>
  <c r="AO28" i="4"/>
  <c r="AN28" i="4"/>
  <c r="AM28" i="4"/>
  <c r="AO27" i="4"/>
  <c r="AN27" i="4"/>
  <c r="AM27" i="4"/>
  <c r="AO26" i="4"/>
  <c r="AN26" i="4"/>
  <c r="AM26" i="4"/>
  <c r="AO25" i="4"/>
  <c r="AN25" i="4"/>
  <c r="AM25" i="4"/>
  <c r="AO24" i="4"/>
  <c r="AN24" i="4"/>
  <c r="AM24" i="4"/>
  <c r="AO23" i="4"/>
  <c r="AN23" i="4"/>
  <c r="AM23" i="4"/>
  <c r="AO22" i="4"/>
  <c r="AN22" i="4"/>
  <c r="AM22" i="4"/>
  <c r="AO21" i="4"/>
  <c r="AN21" i="4"/>
  <c r="AM21" i="4"/>
  <c r="AO20" i="4"/>
  <c r="AN20" i="4"/>
  <c r="AM20" i="4"/>
  <c r="AO19" i="4"/>
  <c r="AN19" i="4"/>
  <c r="AM19" i="4"/>
  <c r="AO18" i="4"/>
  <c r="AN18" i="4"/>
  <c r="AM18" i="4"/>
  <c r="AO17" i="4"/>
  <c r="AN17" i="4"/>
  <c r="AM17" i="4"/>
  <c r="AO16" i="4"/>
  <c r="AN16" i="4"/>
  <c r="AM16" i="4"/>
  <c r="AO15" i="4"/>
  <c r="AN15" i="4"/>
  <c r="AM15" i="4"/>
  <c r="AO14" i="4"/>
  <c r="AN14" i="4"/>
  <c r="AM14" i="4"/>
  <c r="AO13" i="4"/>
  <c r="AN13" i="4"/>
  <c r="AM13" i="4"/>
  <c r="AO12" i="4"/>
  <c r="AN12" i="4"/>
  <c r="AM12" i="4"/>
  <c r="AO11" i="4"/>
  <c r="AN11" i="4"/>
  <c r="AM11" i="4"/>
  <c r="AO10" i="4"/>
  <c r="AN10" i="4"/>
  <c r="AM10" i="4"/>
  <c r="AP11" i="4" l="1"/>
  <c r="AP63" i="4"/>
  <c r="AP53" i="4"/>
  <c r="AP25" i="4"/>
  <c r="AP23" i="4"/>
  <c r="AP13" i="4"/>
  <c r="AP17" i="4"/>
  <c r="AP15" i="4"/>
  <c r="AP10" i="4"/>
  <c r="AP18" i="4"/>
  <c r="AP14" i="4"/>
  <c r="AP12" i="4"/>
  <c r="AP16" i="4"/>
  <c r="AP20" i="4"/>
  <c r="AP21" i="4"/>
  <c r="AP24" i="4"/>
  <c r="AP28" i="4"/>
  <c r="AP29" i="4"/>
  <c r="AP19" i="4"/>
  <c r="AP22" i="4"/>
  <c r="AP26" i="4"/>
  <c r="AP27" i="4"/>
  <c r="AP58" i="4"/>
  <c r="AP61" i="4"/>
  <c r="AP65" i="4"/>
  <c r="AP60" i="4"/>
  <c r="AP64" i="4"/>
  <c r="AP59" i="4"/>
  <c r="AP62" i="4"/>
  <c r="AP57" i="4"/>
  <c r="AP45" i="4"/>
  <c r="AP52" i="4"/>
  <c r="AP56" i="4"/>
  <c r="AP55" i="4"/>
  <c r="AP54" i="4"/>
  <c r="AP49" i="4"/>
  <c r="AP44" i="4"/>
  <c r="AP48" i="4"/>
  <c r="AP47" i="4"/>
  <c r="AP51" i="4"/>
  <c r="AP46" i="4"/>
  <c r="AP50" i="4"/>
  <c r="AP43" i="4"/>
  <c r="AP42" i="4"/>
  <c r="AP41" i="4"/>
  <c r="AP40" i="4"/>
  <c r="AP32" i="4"/>
  <c r="AP37" i="4"/>
  <c r="AP33" i="4"/>
  <c r="AP36" i="4"/>
  <c r="AP34" i="4"/>
  <c r="AP30" i="4"/>
  <c r="AP31" i="4"/>
  <c r="AP35" i="4"/>
  <c r="AP38" i="4"/>
  <c r="AP39" i="4"/>
  <c r="J66" i="5"/>
  <c r="R66" i="5" s="1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P65" i="5" l="1"/>
  <c r="AO65" i="3"/>
  <c r="AN65" i="3"/>
  <c r="AM65" i="3"/>
  <c r="AO64" i="3"/>
  <c r="AN64" i="3"/>
  <c r="AM64" i="3"/>
  <c r="AO63" i="3"/>
  <c r="AN63" i="3"/>
  <c r="AM63" i="3"/>
  <c r="AO62" i="3"/>
  <c r="AN62" i="3"/>
  <c r="AM62" i="3"/>
  <c r="AO61" i="3"/>
  <c r="AN61" i="3"/>
  <c r="AM61" i="3"/>
  <c r="AO60" i="3"/>
  <c r="AN60" i="3"/>
  <c r="AM60" i="3"/>
  <c r="AO59" i="3"/>
  <c r="AN59" i="3"/>
  <c r="AM59" i="3"/>
  <c r="AO58" i="3"/>
  <c r="AN58" i="3"/>
  <c r="AM58" i="3"/>
  <c r="AO57" i="3"/>
  <c r="AN57" i="3"/>
  <c r="AM57" i="3"/>
  <c r="AO56" i="3"/>
  <c r="AN56" i="3"/>
  <c r="AM56" i="3"/>
  <c r="AO55" i="3"/>
  <c r="AN55" i="3"/>
  <c r="AM55" i="3"/>
  <c r="AO54" i="3"/>
  <c r="AN54" i="3"/>
  <c r="AM54" i="3"/>
  <c r="AO53" i="3"/>
  <c r="AN53" i="3"/>
  <c r="AM53" i="3"/>
  <c r="AO52" i="3"/>
  <c r="AN52" i="3"/>
  <c r="AM52" i="3"/>
  <c r="AO51" i="3"/>
  <c r="AN51" i="3"/>
  <c r="AM51" i="3"/>
  <c r="AO50" i="3"/>
  <c r="AN50" i="3"/>
  <c r="AM50" i="3"/>
  <c r="AO49" i="3"/>
  <c r="AN49" i="3"/>
  <c r="AM49" i="3"/>
  <c r="AO48" i="3"/>
  <c r="AN48" i="3"/>
  <c r="AM48" i="3"/>
  <c r="AO47" i="3"/>
  <c r="AN47" i="3"/>
  <c r="AM47" i="3"/>
  <c r="AO46" i="3"/>
  <c r="AN46" i="3"/>
  <c r="AM46" i="3"/>
  <c r="AO45" i="3"/>
  <c r="AN45" i="3"/>
  <c r="AM45" i="3"/>
  <c r="AO44" i="3"/>
  <c r="AN44" i="3"/>
  <c r="AM44" i="3"/>
  <c r="AO43" i="3"/>
  <c r="AN43" i="3"/>
  <c r="AM43" i="3"/>
  <c r="AO42" i="3"/>
  <c r="AN42" i="3"/>
  <c r="AM42" i="3"/>
  <c r="AO41" i="3"/>
  <c r="AN41" i="3"/>
  <c r="AM41" i="3"/>
  <c r="AO40" i="3"/>
  <c r="AN40" i="3"/>
  <c r="AM40" i="3"/>
  <c r="AO39" i="3"/>
  <c r="AN39" i="3"/>
  <c r="AM39" i="3"/>
  <c r="AO38" i="3"/>
  <c r="AN38" i="3"/>
  <c r="AM38" i="3"/>
  <c r="AO37" i="3"/>
  <c r="AN37" i="3"/>
  <c r="AM37" i="3"/>
  <c r="AO36" i="3"/>
  <c r="AN36" i="3"/>
  <c r="AM36" i="3"/>
  <c r="AO35" i="3"/>
  <c r="AN35" i="3"/>
  <c r="AM35" i="3"/>
  <c r="AO34" i="3"/>
  <c r="AN34" i="3"/>
  <c r="AM34" i="3"/>
  <c r="AO33" i="3"/>
  <c r="AN33" i="3"/>
  <c r="AM33" i="3"/>
  <c r="AO32" i="3"/>
  <c r="AN32" i="3"/>
  <c r="AM32" i="3"/>
  <c r="AO31" i="3"/>
  <c r="AN31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P64" i="5" l="1"/>
  <c r="AP64" i="3"/>
  <c r="AP60" i="3"/>
  <c r="AN5" i="3"/>
  <c r="AO6" i="3"/>
  <c r="AN9" i="3"/>
  <c r="AO10" i="3"/>
  <c r="AN13" i="3"/>
  <c r="AO14" i="3"/>
  <c r="AN17" i="3"/>
  <c r="AO18" i="3"/>
  <c r="AN21" i="3"/>
  <c r="AO22" i="3"/>
  <c r="AN25" i="3"/>
  <c r="AO26" i="3"/>
  <c r="AN29" i="3"/>
  <c r="AO30" i="3"/>
  <c r="AO5" i="3"/>
  <c r="AN8" i="3"/>
  <c r="AO9" i="3"/>
  <c r="AN12" i="3"/>
  <c r="AO13" i="3"/>
  <c r="AN16" i="3"/>
  <c r="AO17" i="3"/>
  <c r="AN20" i="3"/>
  <c r="AO21" i="3"/>
  <c r="AN24" i="3"/>
  <c r="AO25" i="3"/>
  <c r="AN28" i="3"/>
  <c r="AO29" i="3"/>
  <c r="AN7" i="3"/>
  <c r="AO8" i="3"/>
  <c r="AN11" i="3"/>
  <c r="AO12" i="3"/>
  <c r="AN15" i="3"/>
  <c r="AO16" i="3"/>
  <c r="AN19" i="3"/>
  <c r="AO20" i="3"/>
  <c r="AN23" i="3"/>
  <c r="AO24" i="3"/>
  <c r="AN27" i="3"/>
  <c r="AO28" i="3"/>
  <c r="AN6" i="3"/>
  <c r="AO7" i="3"/>
  <c r="AN10" i="3"/>
  <c r="AO11" i="3"/>
  <c r="AN14" i="3"/>
  <c r="AO15" i="3"/>
  <c r="AN18" i="3"/>
  <c r="AO19" i="3"/>
  <c r="AN22" i="3"/>
  <c r="AO23" i="3"/>
  <c r="AN26" i="3"/>
  <c r="AO27" i="3"/>
  <c r="AN30" i="3"/>
  <c r="AP47" i="3"/>
  <c r="AP61" i="3"/>
  <c r="AP65" i="3"/>
  <c r="AP58" i="3"/>
  <c r="AP59" i="3"/>
  <c r="AP63" i="3"/>
  <c r="AP62" i="3"/>
  <c r="AP51" i="3"/>
  <c r="AP55" i="3"/>
  <c r="AP46" i="3"/>
  <c r="AP50" i="3"/>
  <c r="AP54" i="3"/>
  <c r="AP45" i="3"/>
  <c r="AP49" i="3"/>
  <c r="AP53" i="3"/>
  <c r="AP57" i="3"/>
  <c r="AP44" i="3"/>
  <c r="AP48" i="3"/>
  <c r="AP52" i="3"/>
  <c r="AP56" i="3"/>
  <c r="AP39" i="3"/>
  <c r="AP38" i="3"/>
  <c r="AP42" i="3"/>
  <c r="AP43" i="3"/>
  <c r="AP37" i="3"/>
  <c r="AP41" i="3"/>
  <c r="AP36" i="3"/>
  <c r="AP40" i="3"/>
  <c r="AP31" i="3"/>
  <c r="AP34" i="3"/>
  <c r="AP35" i="3"/>
  <c r="AP33" i="3"/>
  <c r="AP32" i="3"/>
  <c r="R66" i="3"/>
  <c r="S66" i="3"/>
  <c r="T66" i="3"/>
  <c r="AP13" i="3" l="1"/>
  <c r="AP22" i="3"/>
  <c r="AP14" i="3"/>
  <c r="AP6" i="3"/>
  <c r="AP30" i="3"/>
  <c r="AP18" i="3"/>
  <c r="AP10" i="3"/>
  <c r="AP11" i="3"/>
  <c r="AP16" i="3"/>
  <c r="AP20" i="3"/>
  <c r="AP12" i="3"/>
  <c r="AP29" i="3"/>
  <c r="AP24" i="3"/>
  <c r="AP25" i="3"/>
  <c r="AP26" i="3"/>
  <c r="AP15" i="3"/>
  <c r="AP21" i="3"/>
  <c r="AP17" i="3"/>
  <c r="AP8" i="3"/>
  <c r="AP7" i="3"/>
  <c r="AP5" i="3"/>
  <c r="AP9" i="3"/>
  <c r="AP23" i="3"/>
  <c r="AP27" i="3"/>
  <c r="AP19" i="3"/>
  <c r="AP28" i="3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O62" i="5" l="1"/>
  <c r="AO60" i="5"/>
  <c r="AO56" i="5"/>
  <c r="AN56" i="5"/>
  <c r="AO57" i="5"/>
  <c r="AO53" i="5"/>
  <c r="AN57" i="5"/>
  <c r="AN53" i="5"/>
  <c r="AO63" i="5"/>
  <c r="AO61" i="5"/>
  <c r="AO59" i="5"/>
  <c r="AN59" i="5"/>
  <c r="AO58" i="5"/>
  <c r="AN58" i="5"/>
  <c r="AO55" i="5"/>
  <c r="AN55" i="5"/>
  <c r="AO54" i="5"/>
  <c r="AN54" i="5"/>
  <c r="AO52" i="5"/>
  <c r="AN52" i="5"/>
  <c r="AO51" i="5"/>
  <c r="AN51" i="5"/>
  <c r="AF56" i="11"/>
  <c r="AG56" i="11"/>
  <c r="AF57" i="11"/>
  <c r="AG57" i="11"/>
  <c r="AF58" i="11"/>
  <c r="AG58" i="11"/>
  <c r="AF59" i="11"/>
  <c r="AG59" i="11"/>
  <c r="AF60" i="11"/>
  <c r="AG60" i="11"/>
  <c r="AF61" i="11"/>
  <c r="AG61" i="11"/>
  <c r="AF62" i="11"/>
  <c r="AG62" i="11"/>
  <c r="AF63" i="11"/>
  <c r="AG63" i="11"/>
  <c r="AG54" i="11"/>
  <c r="AM63" i="11"/>
  <c r="AL63" i="11"/>
  <c r="AK63" i="11"/>
  <c r="AL62" i="11"/>
  <c r="AK62" i="11"/>
  <c r="AL61" i="11"/>
  <c r="AK61" i="11"/>
  <c r="AL60" i="11"/>
  <c r="AK60" i="11"/>
  <c r="AM59" i="11"/>
  <c r="AL59" i="11"/>
  <c r="AK59" i="11"/>
  <c r="AL58" i="11"/>
  <c r="AK58" i="11"/>
  <c r="AL57" i="11"/>
  <c r="AK57" i="11"/>
  <c r="AL56" i="11"/>
  <c r="AK56" i="11"/>
  <c r="AL55" i="11"/>
  <c r="AK55" i="11"/>
  <c r="AL54" i="11"/>
  <c r="AK54" i="11"/>
  <c r="AL53" i="11"/>
  <c r="AK53" i="11"/>
  <c r="AL52" i="11"/>
  <c r="AK52" i="11"/>
  <c r="AM51" i="11"/>
  <c r="AL51" i="11"/>
  <c r="AK51" i="11"/>
  <c r="AK50" i="11"/>
  <c r="AL50" i="11"/>
  <c r="AM52" i="11"/>
  <c r="AM53" i="11"/>
  <c r="AM54" i="11"/>
  <c r="AM55" i="11"/>
  <c r="AM56" i="11"/>
  <c r="AM57" i="11"/>
  <c r="AM58" i="11"/>
  <c r="AM60" i="11"/>
  <c r="AM61" i="11"/>
  <c r="AM62" i="11"/>
  <c r="AP56" i="5" l="1"/>
  <c r="AN61" i="11"/>
  <c r="AP53" i="5"/>
  <c r="AP57" i="5"/>
  <c r="AP60" i="5"/>
  <c r="AP55" i="5"/>
  <c r="AP59" i="5"/>
  <c r="AP63" i="5"/>
  <c r="AP62" i="5"/>
  <c r="AP58" i="5"/>
  <c r="AP61" i="5"/>
  <c r="AN56" i="11"/>
  <c r="AP54" i="5"/>
  <c r="AP52" i="5"/>
  <c r="AP51" i="5"/>
  <c r="AN59" i="11"/>
  <c r="AN63" i="11"/>
  <c r="AN57" i="11"/>
  <c r="AO60" i="11"/>
  <c r="AO56" i="11"/>
  <c r="AO54" i="11"/>
  <c r="AN60" i="11"/>
  <c r="AN58" i="11"/>
  <c r="AO59" i="11"/>
  <c r="AN62" i="11"/>
  <c r="AO63" i="11"/>
  <c r="AO61" i="11"/>
  <c r="AO57" i="11"/>
  <c r="AO58" i="11"/>
  <c r="AO62" i="11"/>
  <c r="AP56" i="11" l="1"/>
  <c r="AP61" i="11"/>
  <c r="AP60" i="11"/>
  <c r="AP62" i="11"/>
  <c r="AP63" i="11"/>
  <c r="AP59" i="11"/>
  <c r="AP58" i="11"/>
  <c r="AP57" i="11"/>
  <c r="AA52" i="12"/>
  <c r="AB52" i="12"/>
  <c r="AA53" i="12"/>
  <c r="AB53" i="12"/>
  <c r="AA54" i="12"/>
  <c r="AB54" i="12"/>
  <c r="AA55" i="12"/>
  <c r="AB55" i="12"/>
  <c r="AA56" i="12"/>
  <c r="AB56" i="12"/>
  <c r="AA57" i="12"/>
  <c r="AB57" i="12"/>
  <c r="AA58" i="12"/>
  <c r="AB58" i="12"/>
  <c r="AA59" i="12"/>
  <c r="AB59" i="12"/>
  <c r="T59" i="12"/>
  <c r="AO59" i="12" s="1"/>
  <c r="S59" i="12"/>
  <c r="AN59" i="12" s="1"/>
  <c r="R59" i="12"/>
  <c r="AM59" i="12" s="1"/>
  <c r="T58" i="12"/>
  <c r="AO58" i="12" s="1"/>
  <c r="S58" i="12"/>
  <c r="AN58" i="12" s="1"/>
  <c r="R58" i="12"/>
  <c r="AM58" i="12" s="1"/>
  <c r="T57" i="12"/>
  <c r="AO57" i="12" s="1"/>
  <c r="S57" i="12"/>
  <c r="AN57" i="12" s="1"/>
  <c r="R57" i="12"/>
  <c r="AM57" i="12" s="1"/>
  <c r="T56" i="12"/>
  <c r="AO56" i="12" s="1"/>
  <c r="S56" i="12"/>
  <c r="AN56" i="12" s="1"/>
  <c r="R56" i="12"/>
  <c r="AM56" i="12" s="1"/>
  <c r="T55" i="12"/>
  <c r="AO55" i="12" s="1"/>
  <c r="S55" i="12"/>
  <c r="AN55" i="12" s="1"/>
  <c r="R55" i="12"/>
  <c r="AM55" i="12" s="1"/>
  <c r="T54" i="12"/>
  <c r="AO54" i="12" s="1"/>
  <c r="S54" i="12"/>
  <c r="AN54" i="12" s="1"/>
  <c r="R54" i="12"/>
  <c r="AM54" i="12" s="1"/>
  <c r="T53" i="12"/>
  <c r="AO53" i="12" s="1"/>
  <c r="S53" i="12"/>
  <c r="AN53" i="12" s="1"/>
  <c r="R53" i="12"/>
  <c r="AM53" i="12" s="1"/>
  <c r="T52" i="12"/>
  <c r="AO52" i="12" s="1"/>
  <c r="S52" i="12"/>
  <c r="AN52" i="12" s="1"/>
  <c r="R52" i="12"/>
  <c r="AM52" i="12" s="1"/>
  <c r="T51" i="12"/>
  <c r="AO51" i="12" s="1"/>
  <c r="S51" i="12"/>
  <c r="AN51" i="12" s="1"/>
  <c r="R51" i="12"/>
  <c r="AM51" i="12" s="1"/>
  <c r="AU65" i="12" l="1"/>
  <c r="AP55" i="12"/>
  <c r="AV65" i="12"/>
  <c r="AP58" i="12"/>
  <c r="AT65" i="12"/>
  <c r="AP54" i="12"/>
  <c r="AP51" i="12"/>
  <c r="AP59" i="12"/>
  <c r="AP57" i="12"/>
  <c r="AP56" i="12"/>
  <c r="AP53" i="12"/>
  <c r="AP52" i="12"/>
  <c r="R49" i="13"/>
  <c r="S49" i="13"/>
  <c r="T49" i="13"/>
  <c r="R50" i="13"/>
  <c r="S50" i="13"/>
  <c r="T50" i="13"/>
  <c r="R51" i="13"/>
  <c r="S51" i="13"/>
  <c r="T51" i="13"/>
  <c r="R52" i="13"/>
  <c r="S52" i="13"/>
  <c r="T52" i="13"/>
  <c r="R53" i="13"/>
  <c r="S53" i="13"/>
  <c r="T53" i="13"/>
  <c r="R54" i="13"/>
  <c r="S54" i="13"/>
  <c r="T54" i="13"/>
  <c r="R55" i="13"/>
  <c r="S55" i="13"/>
  <c r="T55" i="13"/>
  <c r="R56" i="13"/>
  <c r="S56" i="13"/>
  <c r="T56" i="13"/>
  <c r="R57" i="13"/>
  <c r="S57" i="13"/>
  <c r="T57" i="13"/>
  <c r="R58" i="13"/>
  <c r="S58" i="13"/>
  <c r="T58" i="13"/>
  <c r="R59" i="13"/>
  <c r="S59" i="13"/>
  <c r="T59" i="13"/>
  <c r="R60" i="13"/>
  <c r="S60" i="13"/>
  <c r="T60" i="13"/>
  <c r="R61" i="13"/>
  <c r="S61" i="13"/>
  <c r="T61" i="13"/>
  <c r="R62" i="13"/>
  <c r="AM62" i="13" s="1"/>
  <c r="S62" i="13"/>
  <c r="AN62" i="13" s="1"/>
  <c r="T62" i="13"/>
  <c r="AO62" i="13" s="1"/>
  <c r="R63" i="13"/>
  <c r="S63" i="13"/>
  <c r="T63" i="13"/>
  <c r="AL63" i="13"/>
  <c r="AK63" i="13"/>
  <c r="AR63" i="13"/>
  <c r="AR62" i="13"/>
  <c r="AL61" i="13"/>
  <c r="AK61" i="13"/>
  <c r="AR61" i="13"/>
  <c r="AL60" i="13"/>
  <c r="AK60" i="13"/>
  <c r="AR60" i="13"/>
  <c r="AL59" i="13"/>
  <c r="AK59" i="13"/>
  <c r="AR59" i="13"/>
  <c r="AL58" i="13"/>
  <c r="AK58" i="13"/>
  <c r="AR58" i="13"/>
  <c r="AL57" i="13"/>
  <c r="AK57" i="13"/>
  <c r="AR57" i="13"/>
  <c r="AL56" i="13"/>
  <c r="AK56" i="13"/>
  <c r="AR56" i="13"/>
  <c r="AL55" i="13"/>
  <c r="AK55" i="13"/>
  <c r="AR55" i="13"/>
  <c r="AL54" i="13"/>
  <c r="AK54" i="13"/>
  <c r="AR54" i="13"/>
  <c r="AL53" i="13"/>
  <c r="AK53" i="13"/>
  <c r="AR53" i="13"/>
  <c r="AL52" i="13"/>
  <c r="AK52" i="13"/>
  <c r="AR52" i="13"/>
  <c r="AL51" i="13"/>
  <c r="AK51" i="13"/>
  <c r="AL50" i="13"/>
  <c r="AK50" i="13"/>
  <c r="AP62" i="13" l="1"/>
  <c r="AR50" i="13"/>
  <c r="AR51" i="13"/>
  <c r="AM55" i="13"/>
  <c r="AM60" i="13"/>
  <c r="AM61" i="13"/>
  <c r="AM53" i="13"/>
  <c r="AM56" i="13"/>
  <c r="AM57" i="13"/>
  <c r="AM58" i="13"/>
  <c r="AM63" i="13"/>
  <c r="AN59" i="13" l="1"/>
  <c r="AN52" i="13"/>
  <c r="AN58" i="13"/>
  <c r="AN51" i="13"/>
  <c r="AO51" i="13"/>
  <c r="AO58" i="13"/>
  <c r="AO61" i="13"/>
  <c r="AN54" i="13"/>
  <c r="AM51" i="13"/>
  <c r="AN61" i="13"/>
  <c r="AN57" i="13"/>
  <c r="AN56" i="13"/>
  <c r="AN50" i="13"/>
  <c r="AO50" i="13"/>
  <c r="AO56" i="13"/>
  <c r="AO60" i="13"/>
  <c r="AN60" i="13"/>
  <c r="AO55" i="13"/>
  <c r="AM50" i="13"/>
  <c r="AN55" i="13"/>
  <c r="AO57" i="13"/>
  <c r="AM52" i="13"/>
  <c r="AM59" i="13"/>
  <c r="AO63" i="13"/>
  <c r="AN63" i="13"/>
  <c r="AN53" i="13"/>
  <c r="AO53" i="13"/>
  <c r="AO52" i="13"/>
  <c r="AO54" i="13"/>
  <c r="AO59" i="13"/>
  <c r="AM54" i="13"/>
  <c r="AT63" i="13" l="1"/>
  <c r="AV63" i="13"/>
  <c r="AU63" i="13"/>
  <c r="AP61" i="13"/>
  <c r="AP53" i="13"/>
  <c r="AP56" i="13"/>
  <c r="AP55" i="13"/>
  <c r="AP57" i="13"/>
  <c r="AP58" i="13"/>
  <c r="AP63" i="13"/>
  <c r="AP60" i="13"/>
  <c r="AP50" i="13"/>
  <c r="AP52" i="13"/>
  <c r="AP54" i="13"/>
  <c r="AP51" i="13"/>
  <c r="AP59" i="1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P65" i="10" l="1"/>
  <c r="AP64" i="10"/>
  <c r="AK51" i="14"/>
  <c r="AK52" i="14"/>
  <c r="AK53" i="14"/>
  <c r="AK54" i="14"/>
  <c r="AK55" i="14"/>
  <c r="AK56" i="14"/>
  <c r="AK57" i="14"/>
  <c r="AK58" i="14"/>
  <c r="AK59" i="14"/>
  <c r="AO58" i="14"/>
  <c r="AM51" i="14"/>
  <c r="AM52" i="14"/>
  <c r="AM53" i="14"/>
  <c r="AM54" i="14"/>
  <c r="AM55" i="14"/>
  <c r="AM56" i="14"/>
  <c r="AM57" i="14"/>
  <c r="AM58" i="14"/>
  <c r="AM59" i="14"/>
  <c r="AT65" i="14" l="1"/>
  <c r="AN58" i="14"/>
  <c r="AN59" i="14"/>
  <c r="AO59" i="14"/>
  <c r="O63" i="16"/>
  <c r="O61" i="16"/>
  <c r="AP58" i="14" l="1"/>
  <c r="AP59" i="14"/>
  <c r="O64" i="16"/>
  <c r="O59" i="16"/>
  <c r="O62" i="16"/>
  <c r="O60" i="16"/>
  <c r="AL65" i="7" l="1"/>
  <c r="AK65" i="7"/>
  <c r="AK64" i="7"/>
  <c r="AL64" i="7"/>
  <c r="AG65" i="7"/>
  <c r="AF65" i="7"/>
  <c r="AF64" i="7"/>
  <c r="AG64" i="7"/>
  <c r="AA65" i="7"/>
  <c r="AB65" i="7"/>
  <c r="AA64" i="7"/>
  <c r="AB64" i="7"/>
  <c r="R50" i="7"/>
  <c r="AM50" i="7" s="1"/>
  <c r="S50" i="7"/>
  <c r="T50" i="7"/>
  <c r="R51" i="7"/>
  <c r="AM51" i="7" s="1"/>
  <c r="S51" i="7"/>
  <c r="T51" i="7"/>
  <c r="R52" i="7"/>
  <c r="AM52" i="7" s="1"/>
  <c r="S52" i="7"/>
  <c r="T52" i="7"/>
  <c r="R53" i="7"/>
  <c r="AM53" i="7" s="1"/>
  <c r="S53" i="7"/>
  <c r="T53" i="7"/>
  <c r="R54" i="7"/>
  <c r="AM54" i="7" s="1"/>
  <c r="S54" i="7"/>
  <c r="T54" i="7"/>
  <c r="R55" i="7"/>
  <c r="AM55" i="7" s="1"/>
  <c r="S55" i="7"/>
  <c r="T55" i="7"/>
  <c r="R56" i="7"/>
  <c r="AM56" i="7" s="1"/>
  <c r="S56" i="7"/>
  <c r="T56" i="7"/>
  <c r="R57" i="7"/>
  <c r="AM57" i="7" s="1"/>
  <c r="S57" i="7"/>
  <c r="T57" i="7"/>
  <c r="R58" i="7"/>
  <c r="AM58" i="7" s="1"/>
  <c r="S58" i="7"/>
  <c r="T58" i="7"/>
  <c r="R59" i="7"/>
  <c r="AM59" i="7" s="1"/>
  <c r="S59" i="7"/>
  <c r="T59" i="7"/>
  <c r="R60" i="7"/>
  <c r="AM60" i="7" s="1"/>
  <c r="S60" i="7"/>
  <c r="T60" i="7"/>
  <c r="R61" i="7"/>
  <c r="AM61" i="7" s="1"/>
  <c r="S61" i="7"/>
  <c r="T61" i="7"/>
  <c r="R62" i="7"/>
  <c r="AM62" i="7" s="1"/>
  <c r="S62" i="7"/>
  <c r="T62" i="7"/>
  <c r="R63" i="7"/>
  <c r="AM63" i="7" s="1"/>
  <c r="S63" i="7"/>
  <c r="T63" i="7"/>
  <c r="R64" i="7"/>
  <c r="AM64" i="7" s="1"/>
  <c r="S64" i="7"/>
  <c r="T64" i="7"/>
  <c r="R65" i="7"/>
  <c r="AM65" i="7" s="1"/>
  <c r="S65" i="7"/>
  <c r="AN65" i="7" s="1"/>
  <c r="T65" i="7"/>
  <c r="AO65" i="7" l="1"/>
  <c r="AP65" i="7" s="1"/>
  <c r="AN64" i="7"/>
  <c r="AO64" i="7"/>
  <c r="AA50" i="8"/>
  <c r="AB50" i="8"/>
  <c r="AF50" i="8"/>
  <c r="AN50" i="8" s="1"/>
  <c r="AG50" i="8"/>
  <c r="AO50" i="8" s="1"/>
  <c r="AA51" i="8"/>
  <c r="AB51" i="8"/>
  <c r="AF51" i="8"/>
  <c r="AN51" i="8" s="1"/>
  <c r="AG51" i="8"/>
  <c r="AO51" i="8" s="1"/>
  <c r="AA52" i="8"/>
  <c r="AB52" i="8"/>
  <c r="AF52" i="8"/>
  <c r="AN52" i="8" s="1"/>
  <c r="AG52" i="8"/>
  <c r="AO52" i="8" s="1"/>
  <c r="AA53" i="8"/>
  <c r="AB53" i="8"/>
  <c r="AF53" i="8"/>
  <c r="AN53" i="8" s="1"/>
  <c r="AG53" i="8"/>
  <c r="AO53" i="8" s="1"/>
  <c r="AA54" i="8"/>
  <c r="AB54" i="8"/>
  <c r="AF54" i="8"/>
  <c r="AN54" i="8" s="1"/>
  <c r="AG54" i="8"/>
  <c r="AO54" i="8" s="1"/>
  <c r="AA55" i="8"/>
  <c r="AB55" i="8"/>
  <c r="AF55" i="8"/>
  <c r="AN55" i="8" s="1"/>
  <c r="AG55" i="8"/>
  <c r="AO55" i="8" s="1"/>
  <c r="AA56" i="8"/>
  <c r="AB56" i="8"/>
  <c r="AF56" i="8"/>
  <c r="AN56" i="8" s="1"/>
  <c r="AG56" i="8"/>
  <c r="AO56" i="8" s="1"/>
  <c r="AA57" i="8"/>
  <c r="AB57" i="8"/>
  <c r="AF57" i="8"/>
  <c r="AN57" i="8" s="1"/>
  <c r="AG57" i="8"/>
  <c r="AO57" i="8" s="1"/>
  <c r="AA58" i="8"/>
  <c r="AB58" i="8"/>
  <c r="AF58" i="8"/>
  <c r="AN58" i="8" s="1"/>
  <c r="AG58" i="8"/>
  <c r="AO58" i="8" s="1"/>
  <c r="AA59" i="8"/>
  <c r="AB59" i="8"/>
  <c r="AF59" i="8"/>
  <c r="AN59" i="8" s="1"/>
  <c r="AG59" i="8"/>
  <c r="AO59" i="8" s="1"/>
  <c r="AA60" i="8"/>
  <c r="AB60" i="8"/>
  <c r="AF60" i="8"/>
  <c r="AN60" i="8" s="1"/>
  <c r="AG60" i="8"/>
  <c r="AO60" i="8" s="1"/>
  <c r="AA61" i="8"/>
  <c r="AB61" i="8"/>
  <c r="AF61" i="8"/>
  <c r="AN61" i="8" s="1"/>
  <c r="AG61" i="8"/>
  <c r="AO61" i="8" s="1"/>
  <c r="AA62" i="8"/>
  <c r="AB62" i="8"/>
  <c r="AF62" i="8"/>
  <c r="AN62" i="8" s="1"/>
  <c r="AG62" i="8"/>
  <c r="AO62" i="8" s="1"/>
  <c r="AA63" i="8"/>
  <c r="AB63" i="8"/>
  <c r="AF63" i="8"/>
  <c r="AN63" i="8" s="1"/>
  <c r="AG63" i="8"/>
  <c r="AO63" i="8" s="1"/>
  <c r="AL58" i="7"/>
  <c r="T49" i="7"/>
  <c r="S49" i="7"/>
  <c r="R49" i="7"/>
  <c r="AM49" i="7" s="1"/>
  <c r="T48" i="7"/>
  <c r="S48" i="7"/>
  <c r="R48" i="7"/>
  <c r="AM48" i="7" s="1"/>
  <c r="T47" i="7"/>
  <c r="S47" i="7"/>
  <c r="R47" i="7"/>
  <c r="AM47" i="7" s="1"/>
  <c r="T46" i="7"/>
  <c r="S46" i="7"/>
  <c r="R46" i="7"/>
  <c r="AM46" i="7" s="1"/>
  <c r="T45" i="7"/>
  <c r="S45" i="7"/>
  <c r="R45" i="7"/>
  <c r="AM45" i="7" s="1"/>
  <c r="T44" i="7"/>
  <c r="S44" i="7"/>
  <c r="R44" i="7"/>
  <c r="AM44" i="7" s="1"/>
  <c r="T43" i="7"/>
  <c r="S43" i="7"/>
  <c r="R43" i="7"/>
  <c r="AM43" i="7" s="1"/>
  <c r="T42" i="7"/>
  <c r="S42" i="7"/>
  <c r="R42" i="7"/>
  <c r="AM42" i="7" s="1"/>
  <c r="T41" i="7"/>
  <c r="S41" i="7"/>
  <c r="R41" i="7"/>
  <c r="AM41" i="7" s="1"/>
  <c r="T40" i="7"/>
  <c r="S40" i="7"/>
  <c r="R40" i="7"/>
  <c r="AM40" i="7" s="1"/>
  <c r="T39" i="7"/>
  <c r="S39" i="7"/>
  <c r="R39" i="7"/>
  <c r="AM39" i="7" s="1"/>
  <c r="T38" i="7"/>
  <c r="S38" i="7"/>
  <c r="R38" i="7"/>
  <c r="AM38" i="7" s="1"/>
  <c r="T37" i="7"/>
  <c r="S37" i="7"/>
  <c r="R37" i="7"/>
  <c r="AM37" i="7" s="1"/>
  <c r="T36" i="7"/>
  <c r="S36" i="7"/>
  <c r="R36" i="7"/>
  <c r="AM36" i="7" s="1"/>
  <c r="T35" i="7"/>
  <c r="S35" i="7"/>
  <c r="R35" i="7"/>
  <c r="AM35" i="7" s="1"/>
  <c r="T34" i="7"/>
  <c r="S34" i="7"/>
  <c r="R34" i="7"/>
  <c r="AM34" i="7" s="1"/>
  <c r="T33" i="7"/>
  <c r="S33" i="7"/>
  <c r="R33" i="7"/>
  <c r="AM33" i="7" s="1"/>
  <c r="T32" i="7"/>
  <c r="S32" i="7"/>
  <c r="R32" i="7"/>
  <c r="AM32" i="7" s="1"/>
  <c r="T31" i="7"/>
  <c r="S31" i="7"/>
  <c r="R31" i="7"/>
  <c r="AM31" i="7" s="1"/>
  <c r="T30" i="7"/>
  <c r="S30" i="7"/>
  <c r="R30" i="7"/>
  <c r="AM30" i="7" s="1"/>
  <c r="T29" i="7"/>
  <c r="S29" i="7"/>
  <c r="R29" i="7"/>
  <c r="AM29" i="7" s="1"/>
  <c r="T28" i="7"/>
  <c r="S28" i="7"/>
  <c r="R28" i="7"/>
  <c r="AM28" i="7" s="1"/>
  <c r="T27" i="7"/>
  <c r="S27" i="7"/>
  <c r="R27" i="7"/>
  <c r="AM27" i="7" s="1"/>
  <c r="T26" i="7"/>
  <c r="S26" i="7"/>
  <c r="R26" i="7"/>
  <c r="AM26" i="7" s="1"/>
  <c r="T25" i="7"/>
  <c r="S25" i="7"/>
  <c r="R25" i="7"/>
  <c r="AM25" i="7" s="1"/>
  <c r="T24" i="7"/>
  <c r="S24" i="7"/>
  <c r="R24" i="7"/>
  <c r="AM24" i="7" s="1"/>
  <c r="T23" i="7"/>
  <c r="S23" i="7"/>
  <c r="R23" i="7"/>
  <c r="AM23" i="7" s="1"/>
  <c r="T22" i="7"/>
  <c r="S22" i="7"/>
  <c r="R22" i="7"/>
  <c r="AM22" i="7" s="1"/>
  <c r="T21" i="7"/>
  <c r="S21" i="7"/>
  <c r="R21" i="7"/>
  <c r="AM21" i="7" s="1"/>
  <c r="T20" i="7"/>
  <c r="S20" i="7"/>
  <c r="R20" i="7"/>
  <c r="AM20" i="7" s="1"/>
  <c r="T19" i="7"/>
  <c r="S19" i="7"/>
  <c r="R19" i="7"/>
  <c r="AM19" i="7" s="1"/>
  <c r="T18" i="7"/>
  <c r="S18" i="7"/>
  <c r="R18" i="7"/>
  <c r="AM18" i="7" s="1"/>
  <c r="T17" i="7"/>
  <c r="S17" i="7"/>
  <c r="R17" i="7"/>
  <c r="AM17" i="7" s="1"/>
  <c r="T16" i="7"/>
  <c r="S16" i="7"/>
  <c r="R16" i="7"/>
  <c r="AM16" i="7" s="1"/>
  <c r="T15" i="7"/>
  <c r="S15" i="7"/>
  <c r="R15" i="7"/>
  <c r="AM15" i="7" s="1"/>
  <c r="T14" i="7"/>
  <c r="S14" i="7"/>
  <c r="R14" i="7"/>
  <c r="AM14" i="7" s="1"/>
  <c r="T13" i="7"/>
  <c r="S13" i="7"/>
  <c r="R13" i="7"/>
  <c r="AM13" i="7" s="1"/>
  <c r="T12" i="7"/>
  <c r="S12" i="7"/>
  <c r="R12" i="7"/>
  <c r="AM12" i="7" s="1"/>
  <c r="T11" i="7"/>
  <c r="S11" i="7"/>
  <c r="R11" i="7"/>
  <c r="AM11" i="7" s="1"/>
  <c r="T10" i="7"/>
  <c r="S10" i="7"/>
  <c r="R10" i="7"/>
  <c r="AM10" i="7" s="1"/>
  <c r="T9" i="7"/>
  <c r="S9" i="7"/>
  <c r="R9" i="7"/>
  <c r="AM9" i="7" s="1"/>
  <c r="T8" i="7"/>
  <c r="S8" i="7"/>
  <c r="R8" i="7"/>
  <c r="AM8" i="7" s="1"/>
  <c r="T7" i="7"/>
  <c r="S7" i="7"/>
  <c r="R7" i="7"/>
  <c r="AM7" i="7" s="1"/>
  <c r="T6" i="7"/>
  <c r="S6" i="7"/>
  <c r="R6" i="7"/>
  <c r="AM6" i="7" s="1"/>
  <c r="T5" i="7"/>
  <c r="S5" i="7"/>
  <c r="R5" i="7"/>
  <c r="AM5" i="7" s="1"/>
  <c r="AL63" i="7"/>
  <c r="AK63" i="7"/>
  <c r="AG63" i="7"/>
  <c r="AF63" i="7"/>
  <c r="AB63" i="7"/>
  <c r="AA63" i="7"/>
  <c r="AR63" i="7"/>
  <c r="AL62" i="7"/>
  <c r="AK62" i="7"/>
  <c r="AG62" i="7"/>
  <c r="AF62" i="7"/>
  <c r="AB62" i="7"/>
  <c r="AA62" i="7"/>
  <c r="AR62" i="7"/>
  <c r="AL61" i="7"/>
  <c r="AK61" i="7"/>
  <c r="AG61" i="7"/>
  <c r="AF61" i="7"/>
  <c r="AB61" i="7"/>
  <c r="AA61" i="7"/>
  <c r="AR61" i="7"/>
  <c r="AL60" i="7"/>
  <c r="AK60" i="7"/>
  <c r="AG60" i="7"/>
  <c r="AF60" i="7"/>
  <c r="AB60" i="7"/>
  <c r="AA60" i="7"/>
  <c r="AR60" i="7"/>
  <c r="AL59" i="7"/>
  <c r="AK59" i="7"/>
  <c r="AG59" i="7"/>
  <c r="AF59" i="7"/>
  <c r="AB59" i="7"/>
  <c r="AA59" i="7"/>
  <c r="AR59" i="7"/>
  <c r="AK58" i="7"/>
  <c r="AG58" i="7"/>
  <c r="AF58" i="7"/>
  <c r="AB58" i="7"/>
  <c r="AA58" i="7"/>
  <c r="AR58" i="7"/>
  <c r="AP64" i="7" l="1"/>
  <c r="AO61" i="7"/>
  <c r="AP51" i="8"/>
  <c r="AP50" i="8"/>
  <c r="AO59" i="7"/>
  <c r="AO63" i="7"/>
  <c r="AN61" i="7"/>
  <c r="AN59" i="7"/>
  <c r="AN63" i="7"/>
  <c r="AP63" i="8"/>
  <c r="AP61" i="8"/>
  <c r="AP60" i="8"/>
  <c r="AP62" i="8"/>
  <c r="AN62" i="7"/>
  <c r="AO62" i="7"/>
  <c r="AN60" i="7"/>
  <c r="AO60" i="7"/>
  <c r="AO58" i="7"/>
  <c r="AN58" i="7"/>
  <c r="AP59" i="8"/>
  <c r="AP58" i="8"/>
  <c r="AP57" i="8"/>
  <c r="AP56" i="8"/>
  <c r="AP55" i="8"/>
  <c r="AP54" i="8"/>
  <c r="AP53" i="8"/>
  <c r="AP52" i="8"/>
  <c r="AP61" i="7" l="1"/>
  <c r="AP59" i="7"/>
  <c r="AP63" i="7"/>
  <c r="AP58" i="7"/>
  <c r="AP62" i="7"/>
  <c r="AP60" i="7"/>
  <c r="AR60" i="10"/>
  <c r="AR61" i="10"/>
  <c r="AR62" i="10"/>
  <c r="AR63" i="10"/>
  <c r="AP63" i="10"/>
  <c r="AP61" i="10" l="1"/>
  <c r="AP62" i="10"/>
  <c r="AP60" i="10"/>
  <c r="AA44" i="8"/>
  <c r="AB44" i="8"/>
  <c r="AA45" i="8"/>
  <c r="AB45" i="8"/>
  <c r="AA46" i="8"/>
  <c r="AB46" i="8"/>
  <c r="AA47" i="8"/>
  <c r="AB47" i="8"/>
  <c r="AA48" i="8"/>
  <c r="AB48" i="8"/>
  <c r="AA49" i="8"/>
  <c r="AB49" i="8"/>
  <c r="AR63" i="9" l="1"/>
  <c r="AR62" i="9"/>
  <c r="AR61" i="9"/>
  <c r="AR60" i="9"/>
  <c r="AR59" i="9"/>
  <c r="AR58" i="9"/>
  <c r="AR59" i="12" l="1"/>
  <c r="AR58" i="12"/>
  <c r="M60" i="16" l="1"/>
  <c r="M59" i="16"/>
  <c r="M61" i="16"/>
  <c r="M62" i="16"/>
  <c r="AR50" i="10" l="1"/>
  <c r="AR57" i="10" l="1"/>
  <c r="AR55" i="10"/>
  <c r="AR53" i="10"/>
  <c r="AR58" i="10"/>
  <c r="AR56" i="10"/>
  <c r="AR52" i="10"/>
  <c r="AR54" i="10"/>
  <c r="AR51" i="10"/>
  <c r="AR59" i="10"/>
  <c r="AP51" i="10"/>
  <c r="AP56" i="10"/>
  <c r="AP59" i="10" l="1"/>
  <c r="AP58" i="10"/>
  <c r="AP57" i="10"/>
  <c r="AP53" i="10"/>
  <c r="AP55" i="10"/>
  <c r="AP52" i="10"/>
  <c r="AP54" i="10"/>
  <c r="AP50" i="10"/>
  <c r="AO57" i="14" l="1"/>
  <c r="AN57" i="14"/>
  <c r="AR57" i="14"/>
  <c r="AO56" i="14"/>
  <c r="AN56" i="14"/>
  <c r="AR56" i="14"/>
  <c r="AO55" i="14"/>
  <c r="AN55" i="14"/>
  <c r="AR55" i="14"/>
  <c r="AO54" i="14"/>
  <c r="AN54" i="14"/>
  <c r="AR54" i="14"/>
  <c r="AO53" i="14"/>
  <c r="AN53" i="14"/>
  <c r="AR53" i="14"/>
  <c r="AO52" i="14"/>
  <c r="AN52" i="14"/>
  <c r="AR52" i="14"/>
  <c r="AO51" i="14"/>
  <c r="AF51" i="14"/>
  <c r="AN51" i="14" s="1"/>
  <c r="AR51" i="14"/>
  <c r="AK50" i="14"/>
  <c r="AF50" i="14"/>
  <c r="AR50" i="14"/>
  <c r="AV65" i="14" l="1"/>
  <c r="AU65" i="14"/>
  <c r="AP53" i="14"/>
  <c r="AP52" i="14"/>
  <c r="AP56" i="14"/>
  <c r="AP57" i="14"/>
  <c r="AP55" i="14"/>
  <c r="AP54" i="14"/>
  <c r="AP51" i="14"/>
  <c r="AO50" i="14"/>
  <c r="AM50" i="14"/>
  <c r="AN50" i="14"/>
  <c r="AP50" i="14" l="1"/>
  <c r="R50" i="12"/>
  <c r="AM50" i="12" s="1"/>
  <c r="S50" i="12"/>
  <c r="AN50" i="12" s="1"/>
  <c r="T50" i="12"/>
  <c r="AO50" i="12" s="1"/>
  <c r="AR57" i="12"/>
  <c r="AR56" i="12"/>
  <c r="AR55" i="12"/>
  <c r="AR54" i="12"/>
  <c r="AR53" i="12"/>
  <c r="AR52" i="12"/>
  <c r="AP50" i="12" l="1"/>
  <c r="AM50" i="11"/>
  <c r="AG55" i="11"/>
  <c r="AO55" i="11" s="1"/>
  <c r="AF55" i="11"/>
  <c r="AN55" i="11" s="1"/>
  <c r="AF54" i="11"/>
  <c r="AN54" i="11" s="1"/>
  <c r="AP54" i="11" s="1"/>
  <c r="AG53" i="11"/>
  <c r="AO53" i="11" s="1"/>
  <c r="AF53" i="11"/>
  <c r="AN53" i="11" s="1"/>
  <c r="AG52" i="11"/>
  <c r="AO52" i="11" s="1"/>
  <c r="AF52" i="11"/>
  <c r="AN52" i="11" s="1"/>
  <c r="AG51" i="11"/>
  <c r="AF51" i="11"/>
  <c r="AG50" i="11"/>
  <c r="AF50" i="11"/>
  <c r="G51" i="11" l="1"/>
  <c r="AN51" i="11" s="1"/>
  <c r="AT63" i="11"/>
  <c r="AP53" i="11"/>
  <c r="AP55" i="11"/>
  <c r="AP52" i="11"/>
  <c r="AG50" i="5" l="1"/>
  <c r="AF50" i="5"/>
  <c r="AN50" i="5" l="1"/>
  <c r="AO50" i="5"/>
  <c r="N40" i="1"/>
  <c r="AP50" i="5" l="1"/>
  <c r="AR57" i="7"/>
  <c r="AL57" i="7"/>
  <c r="AK57" i="7"/>
  <c r="AR56" i="7"/>
  <c r="AL56" i="7"/>
  <c r="AK56" i="7"/>
  <c r="AR55" i="7"/>
  <c r="AL55" i="7"/>
  <c r="AK55" i="7"/>
  <c r="AR54" i="7"/>
  <c r="AL54" i="7"/>
  <c r="AK54" i="7"/>
  <c r="AF54" i="7"/>
  <c r="AG54" i="7"/>
  <c r="AF55" i="7"/>
  <c r="AG55" i="7"/>
  <c r="AF56" i="7"/>
  <c r="AG56" i="7"/>
  <c r="AF57" i="7"/>
  <c r="AG57" i="7"/>
  <c r="AO54" i="7" l="1"/>
  <c r="AO55" i="7"/>
  <c r="AN57" i="7"/>
  <c r="AO57" i="7"/>
  <c r="AN55" i="7"/>
  <c r="AN56" i="7"/>
  <c r="AO56" i="7"/>
  <c r="AN54" i="7"/>
  <c r="R36" i="13"/>
  <c r="S36" i="13"/>
  <c r="T36" i="13"/>
  <c r="R37" i="13"/>
  <c r="S37" i="13"/>
  <c r="T37" i="13"/>
  <c r="R38" i="13"/>
  <c r="S38" i="13"/>
  <c r="T38" i="13"/>
  <c r="R39" i="13"/>
  <c r="S39" i="13"/>
  <c r="T39" i="13"/>
  <c r="R40" i="13"/>
  <c r="S40" i="13"/>
  <c r="T40" i="13"/>
  <c r="R41" i="13"/>
  <c r="S41" i="13"/>
  <c r="T41" i="13"/>
  <c r="R42" i="13"/>
  <c r="S42" i="13"/>
  <c r="T42" i="13"/>
  <c r="R43" i="13"/>
  <c r="S43" i="13"/>
  <c r="T43" i="13"/>
  <c r="R44" i="13"/>
  <c r="S44" i="13"/>
  <c r="T44" i="13"/>
  <c r="R45" i="13"/>
  <c r="S45" i="13"/>
  <c r="T45" i="13"/>
  <c r="R46" i="13"/>
  <c r="S46" i="13"/>
  <c r="T46" i="13"/>
  <c r="R47" i="13"/>
  <c r="S47" i="13"/>
  <c r="T47" i="13"/>
  <c r="R48" i="13"/>
  <c r="S48" i="13"/>
  <c r="T48" i="13"/>
  <c r="AP54" i="7" l="1"/>
  <c r="AP55" i="7"/>
  <c r="AP57" i="7"/>
  <c r="AP56" i="7"/>
  <c r="AK49" i="14"/>
  <c r="AF49" i="14"/>
  <c r="AR49" i="14"/>
  <c r="AK48" i="14"/>
  <c r="AF48" i="14"/>
  <c r="AR48" i="14"/>
  <c r="AK47" i="14"/>
  <c r="AF47" i="14"/>
  <c r="AR47" i="14"/>
  <c r="AK46" i="14"/>
  <c r="AF46" i="14"/>
  <c r="AR46" i="14"/>
  <c r="AK45" i="14"/>
  <c r="AG45" i="14"/>
  <c r="AF45" i="14"/>
  <c r="AR45" i="14"/>
  <c r="AL44" i="14"/>
  <c r="AK44" i="14"/>
  <c r="AG44" i="14"/>
  <c r="AF44" i="14"/>
  <c r="AR44" i="14"/>
  <c r="AL43" i="14"/>
  <c r="AK43" i="14"/>
  <c r="AG43" i="14"/>
  <c r="AF43" i="14"/>
  <c r="AR43" i="14"/>
  <c r="AL42" i="14"/>
  <c r="AK42" i="14"/>
  <c r="AG42" i="14"/>
  <c r="AF42" i="14"/>
  <c r="AR42" i="14"/>
  <c r="AL41" i="14"/>
  <c r="AK41" i="14"/>
  <c r="AG41" i="14"/>
  <c r="AF41" i="14"/>
  <c r="AR41" i="14"/>
  <c r="AL40" i="14"/>
  <c r="AK40" i="14"/>
  <c r="AG40" i="14"/>
  <c r="AF40" i="14"/>
  <c r="AR40" i="14"/>
  <c r="AL39" i="14"/>
  <c r="AK39" i="14"/>
  <c r="AG39" i="14"/>
  <c r="AF39" i="14"/>
  <c r="AR39" i="14"/>
  <c r="AL38" i="14"/>
  <c r="AK38" i="14"/>
  <c r="AG38" i="14"/>
  <c r="AF38" i="14"/>
  <c r="AR38" i="14"/>
  <c r="AL37" i="14"/>
  <c r="AK37" i="14"/>
  <c r="AG37" i="14"/>
  <c r="AF37" i="14"/>
  <c r="AR37" i="14"/>
  <c r="AL36" i="14"/>
  <c r="AK36" i="14"/>
  <c r="AG36" i="14"/>
  <c r="AF36" i="14"/>
  <c r="AN36" i="14" l="1"/>
  <c r="AM36" i="14"/>
  <c r="AR36" i="14"/>
  <c r="AN37" i="14"/>
  <c r="AN38" i="14"/>
  <c r="AM39" i="14"/>
  <c r="AM40" i="14"/>
  <c r="AM41" i="14"/>
  <c r="AM42" i="14"/>
  <c r="AM44" i="14"/>
  <c r="AM45" i="14"/>
  <c r="AM46" i="14"/>
  <c r="AM47" i="14"/>
  <c r="AM48" i="14"/>
  <c r="AM49" i="14"/>
  <c r="AO40" i="14"/>
  <c r="AO45" i="14"/>
  <c r="AO48" i="14"/>
  <c r="AM37" i="14"/>
  <c r="AM38" i="14"/>
  <c r="AM43" i="14"/>
  <c r="AN45" i="14"/>
  <c r="AT55" i="14" l="1"/>
  <c r="AT61" i="14"/>
  <c r="AP45" i="14"/>
  <c r="AN41" i="14"/>
  <c r="AO41" i="14"/>
  <c r="AN49" i="14"/>
  <c r="AN48" i="14"/>
  <c r="AN44" i="14"/>
  <c r="AN40" i="14"/>
  <c r="AN46" i="14"/>
  <c r="AN42" i="14"/>
  <c r="AO44" i="14"/>
  <c r="AO49" i="14"/>
  <c r="AV61" i="14" s="1"/>
  <c r="AO43" i="14"/>
  <c r="AO36" i="14"/>
  <c r="AP36" i="14" s="1"/>
  <c r="AN47" i="14"/>
  <c r="AN43" i="14"/>
  <c r="AN39" i="14"/>
  <c r="AO42" i="14"/>
  <c r="AO39" i="14"/>
  <c r="AO47" i="14"/>
  <c r="AO46" i="14"/>
  <c r="AO37" i="14"/>
  <c r="AP37" i="14" s="1"/>
  <c r="AO38" i="14"/>
  <c r="AU55" i="14" l="1"/>
  <c r="AV55" i="14"/>
  <c r="AU61" i="14"/>
  <c r="AP40" i="14"/>
  <c r="AP48" i="14"/>
  <c r="AP38" i="14"/>
  <c r="AP49" i="14"/>
  <c r="AP42" i="14"/>
  <c r="AP46" i="14"/>
  <c r="AP43" i="14"/>
  <c r="AP47" i="14"/>
  <c r="AP44" i="14"/>
  <c r="AP41" i="14"/>
  <c r="AP39" i="14"/>
  <c r="AR42" i="13"/>
  <c r="AM42" i="13"/>
  <c r="AL49" i="13" l="1"/>
  <c r="AK49" i="13"/>
  <c r="AR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T35" i="13"/>
  <c r="S35" i="13"/>
  <c r="R35" i="13"/>
  <c r="AM35" i="13" s="1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S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AM48" i="13" l="1"/>
  <c r="AM40" i="13"/>
  <c r="AO41" i="13"/>
  <c r="AO39" i="13"/>
  <c r="AN38" i="13"/>
  <c r="AM44" i="13"/>
  <c r="AO46" i="13"/>
  <c r="AO45" i="13"/>
  <c r="AO49" i="13"/>
  <c r="AO37" i="13"/>
  <c r="AN37" i="13"/>
  <c r="AN42" i="13"/>
  <c r="AO44" i="13"/>
  <c r="AM36" i="13"/>
  <c r="AN45" i="13"/>
  <c r="AO47" i="13"/>
  <c r="AO43" i="13"/>
  <c r="AN47" i="13"/>
  <c r="AM47" i="13"/>
  <c r="AM39" i="13"/>
  <c r="AN41" i="13"/>
  <c r="AM49" i="13"/>
  <c r="AO42" i="13"/>
  <c r="AN48" i="13"/>
  <c r="AO36" i="13"/>
  <c r="AM38" i="13"/>
  <c r="AO40" i="13"/>
  <c r="AM43" i="13"/>
  <c r="AO48" i="13"/>
  <c r="AO38" i="13"/>
  <c r="AM37" i="13"/>
  <c r="AM41" i="13"/>
  <c r="AM45" i="13"/>
  <c r="AM46" i="13"/>
  <c r="AT49" i="13" l="1"/>
  <c r="AV49" i="13"/>
  <c r="AP45" i="13"/>
  <c r="AP48" i="13"/>
  <c r="AP47" i="13"/>
  <c r="AP37" i="13"/>
  <c r="AP42" i="13"/>
  <c r="AP41" i="13"/>
  <c r="AP38" i="13"/>
  <c r="AN49" i="13"/>
  <c r="AN46" i="13"/>
  <c r="AN44" i="13"/>
  <c r="AN40" i="13"/>
  <c r="AN36" i="13"/>
  <c r="AN39" i="13"/>
  <c r="AN43" i="13"/>
  <c r="AU49" i="13" l="1"/>
  <c r="AP43" i="13"/>
  <c r="AP49" i="13"/>
  <c r="AP40" i="13"/>
  <c r="AP39" i="13"/>
  <c r="AP46" i="13"/>
  <c r="AP36" i="13"/>
  <c r="AP44" i="13"/>
  <c r="AK50" i="7"/>
  <c r="AL50" i="7"/>
  <c r="AK51" i="7"/>
  <c r="AL51" i="7"/>
  <c r="AK52" i="7"/>
  <c r="AL52" i="7"/>
  <c r="AK53" i="7"/>
  <c r="AL53" i="7"/>
  <c r="AG53" i="7"/>
  <c r="AF53" i="7"/>
  <c r="AG52" i="7"/>
  <c r="AF52" i="7"/>
  <c r="AG51" i="7"/>
  <c r="AF51" i="7"/>
  <c r="AF50" i="7"/>
  <c r="AG50" i="7"/>
  <c r="AB53" i="7"/>
  <c r="AB52" i="7"/>
  <c r="AB51" i="7"/>
  <c r="AB50" i="7"/>
  <c r="AN51" i="7" l="1"/>
  <c r="AO53" i="7"/>
  <c r="AN53" i="7"/>
  <c r="AO51" i="7"/>
  <c r="AO52" i="7"/>
  <c r="AN52" i="7"/>
  <c r="AO50" i="7"/>
  <c r="AN50" i="7"/>
  <c r="AR55" i="9"/>
  <c r="AR53" i="9"/>
  <c r="AR52" i="9"/>
  <c r="AR51" i="9"/>
  <c r="AR50" i="9"/>
  <c r="AP51" i="7" l="1"/>
  <c r="AP53" i="7"/>
  <c r="AP52" i="7"/>
  <c r="AP50" i="7"/>
  <c r="AR54" i="9"/>
  <c r="AR49" i="12" l="1"/>
  <c r="AR39" i="12"/>
  <c r="AR38" i="12"/>
  <c r="AR37" i="12"/>
  <c r="AR36" i="12"/>
  <c r="AA37" i="12"/>
  <c r="AB37" i="12"/>
  <c r="AA38" i="12"/>
  <c r="AB38" i="12"/>
  <c r="AA39" i="12"/>
  <c r="AB39" i="12"/>
  <c r="AA40" i="12"/>
  <c r="AB40" i="12"/>
  <c r="AA41" i="12"/>
  <c r="AB41" i="12"/>
  <c r="AA42" i="12"/>
  <c r="AB42" i="12"/>
  <c r="AA43" i="12"/>
  <c r="AB43" i="12"/>
  <c r="AA44" i="12"/>
  <c r="AB44" i="12"/>
  <c r="AA45" i="12"/>
  <c r="AB45" i="12"/>
  <c r="AA46" i="12"/>
  <c r="AB46" i="12"/>
  <c r="AA47" i="12"/>
  <c r="AB47" i="12"/>
  <c r="AA48" i="12"/>
  <c r="AB48" i="12"/>
  <c r="AA49" i="12"/>
  <c r="AB49" i="12"/>
  <c r="T48" i="12"/>
  <c r="AO48" i="12" s="1"/>
  <c r="R37" i="12"/>
  <c r="AM37" i="12" s="1"/>
  <c r="S37" i="12"/>
  <c r="AN37" i="12" s="1"/>
  <c r="T37" i="12"/>
  <c r="AO37" i="12" s="1"/>
  <c r="R38" i="12"/>
  <c r="AM38" i="12" s="1"/>
  <c r="S38" i="12"/>
  <c r="AN38" i="12" s="1"/>
  <c r="T38" i="12"/>
  <c r="AO38" i="12" s="1"/>
  <c r="R39" i="12"/>
  <c r="AM39" i="12" s="1"/>
  <c r="S39" i="12"/>
  <c r="AN39" i="12" s="1"/>
  <c r="T39" i="12"/>
  <c r="AO39" i="12" s="1"/>
  <c r="R40" i="12"/>
  <c r="AM40" i="12" s="1"/>
  <c r="S40" i="12"/>
  <c r="AN40" i="12" s="1"/>
  <c r="T40" i="12"/>
  <c r="AO40" i="12" s="1"/>
  <c r="R41" i="12"/>
  <c r="AM41" i="12" s="1"/>
  <c r="S41" i="12"/>
  <c r="AN41" i="12" s="1"/>
  <c r="T41" i="12"/>
  <c r="AO41" i="12" s="1"/>
  <c r="R42" i="12"/>
  <c r="AM42" i="12" s="1"/>
  <c r="S42" i="12"/>
  <c r="AN42" i="12" s="1"/>
  <c r="T42" i="12"/>
  <c r="AO42" i="12" s="1"/>
  <c r="R43" i="12"/>
  <c r="AM43" i="12" s="1"/>
  <c r="S43" i="12"/>
  <c r="AN43" i="12" s="1"/>
  <c r="T43" i="12"/>
  <c r="AO43" i="12" s="1"/>
  <c r="R44" i="12"/>
  <c r="AM44" i="12" s="1"/>
  <c r="S44" i="12"/>
  <c r="AN44" i="12" s="1"/>
  <c r="T44" i="12"/>
  <c r="AO44" i="12" s="1"/>
  <c r="R45" i="12"/>
  <c r="AM45" i="12" s="1"/>
  <c r="S45" i="12"/>
  <c r="AN45" i="12" s="1"/>
  <c r="T45" i="12"/>
  <c r="AO45" i="12" s="1"/>
  <c r="R46" i="12"/>
  <c r="AM46" i="12" s="1"/>
  <c r="S46" i="12"/>
  <c r="AN46" i="12" s="1"/>
  <c r="T46" i="12"/>
  <c r="AO46" i="12" s="1"/>
  <c r="R47" i="12"/>
  <c r="AM47" i="12" s="1"/>
  <c r="S47" i="12"/>
  <c r="AN47" i="12" s="1"/>
  <c r="T47" i="12"/>
  <c r="AO47" i="12" s="1"/>
  <c r="R48" i="12"/>
  <c r="AM48" i="12" s="1"/>
  <c r="S48" i="12"/>
  <c r="AN48" i="12" s="1"/>
  <c r="R49" i="12"/>
  <c r="AM49" i="12" s="1"/>
  <c r="S49" i="12"/>
  <c r="AN49" i="12" s="1"/>
  <c r="T49" i="12"/>
  <c r="AO49" i="12" s="1"/>
  <c r="AU55" i="12" l="1"/>
  <c r="AT55" i="12"/>
  <c r="AV55" i="12"/>
  <c r="AV59" i="12"/>
  <c r="AT59" i="12"/>
  <c r="AU59" i="12"/>
  <c r="AP49" i="12"/>
  <c r="AP46" i="12"/>
  <c r="AP48" i="12"/>
  <c r="AP42" i="12"/>
  <c r="AP45" i="12"/>
  <c r="AP47" i="12"/>
  <c r="AP43" i="12"/>
  <c r="AP44" i="12"/>
  <c r="AP37" i="12"/>
  <c r="AP38" i="12"/>
  <c r="AP39" i="12"/>
  <c r="AP41" i="12"/>
  <c r="AP40" i="12"/>
  <c r="AT61" i="12"/>
  <c r="AV61" i="12" l="1"/>
  <c r="AU61" i="12"/>
  <c r="AR49" i="11"/>
  <c r="AK37" i="11"/>
  <c r="AL37" i="11"/>
  <c r="AK38" i="11"/>
  <c r="AL38" i="11"/>
  <c r="AK39" i="11"/>
  <c r="AL39" i="11"/>
  <c r="AK40" i="11"/>
  <c r="AL40" i="11"/>
  <c r="AK41" i="11"/>
  <c r="AL41" i="11"/>
  <c r="AM41" i="11"/>
  <c r="AK42" i="11"/>
  <c r="AL42" i="11"/>
  <c r="AK43" i="11"/>
  <c r="AL43" i="11"/>
  <c r="AK44" i="11"/>
  <c r="AL44" i="11"/>
  <c r="AK45" i="11"/>
  <c r="AL45" i="11"/>
  <c r="AK46" i="11"/>
  <c r="AL46" i="11"/>
  <c r="AK47" i="11"/>
  <c r="AL47" i="11"/>
  <c r="AM47" i="11"/>
  <c r="G48" i="11" s="1"/>
  <c r="AK48" i="11"/>
  <c r="AL48" i="11"/>
  <c r="AM48" i="11"/>
  <c r="AK49" i="11"/>
  <c r="AL49" i="11"/>
  <c r="AF37" i="11"/>
  <c r="AG37" i="11"/>
  <c r="AF38" i="11"/>
  <c r="AG38" i="11"/>
  <c r="AF39" i="11"/>
  <c r="AG39" i="11"/>
  <c r="AF40" i="11"/>
  <c r="AG40" i="11"/>
  <c r="AF41" i="11"/>
  <c r="AG41" i="11"/>
  <c r="AF42" i="11"/>
  <c r="AG42" i="11"/>
  <c r="AF43" i="11"/>
  <c r="AG43" i="11"/>
  <c r="AF44" i="11"/>
  <c r="AG44" i="11"/>
  <c r="AF45" i="11"/>
  <c r="AG45" i="11"/>
  <c r="AF46" i="11"/>
  <c r="AG46" i="11"/>
  <c r="AF47" i="11"/>
  <c r="AG47" i="11"/>
  <c r="AF48" i="11"/>
  <c r="AG48" i="11"/>
  <c r="AF49" i="11"/>
  <c r="AG49" i="11"/>
  <c r="AM37" i="11"/>
  <c r="AM38" i="11"/>
  <c r="AM39" i="11"/>
  <c r="AM40" i="11"/>
  <c r="AM42" i="11"/>
  <c r="AM43" i="11"/>
  <c r="G44" i="11" s="1"/>
  <c r="AM44" i="11"/>
  <c r="G45" i="11" s="1"/>
  <c r="AM45" i="11"/>
  <c r="G46" i="11" s="1"/>
  <c r="AM46" i="11"/>
  <c r="G47" i="11" s="1"/>
  <c r="AM49" i="11"/>
  <c r="G50" i="11" s="1"/>
  <c r="AN50" i="11" s="1"/>
  <c r="AU63" i="11" s="1"/>
  <c r="G43" i="11" l="1"/>
  <c r="AN43" i="11" s="1"/>
  <c r="H44" i="11" s="1"/>
  <c r="AO44" i="11" s="1"/>
  <c r="G49" i="11"/>
  <c r="AN49" i="11" s="1"/>
  <c r="H51" i="11"/>
  <c r="AO51" i="11" s="1"/>
  <c r="AP51" i="11" s="1"/>
  <c r="AO38" i="11"/>
  <c r="AN38" i="11"/>
  <c r="AN45" i="11"/>
  <c r="H46" i="11" s="1"/>
  <c r="AO46" i="11" s="1"/>
  <c r="AO37" i="11"/>
  <c r="AN37" i="11"/>
  <c r="AO42" i="11"/>
  <c r="AN41" i="11"/>
  <c r="AN40" i="11"/>
  <c r="AN47" i="11"/>
  <c r="H48" i="11" s="1"/>
  <c r="AO48" i="11" s="1"/>
  <c r="AO40" i="11"/>
  <c r="AN39" i="11"/>
  <c r="AN48" i="11"/>
  <c r="AN42" i="11"/>
  <c r="AO39" i="11"/>
  <c r="AN46" i="11"/>
  <c r="H47" i="11" s="1"/>
  <c r="AO47" i="11" s="1"/>
  <c r="AN44" i="11"/>
  <c r="H45" i="11" s="1"/>
  <c r="AO45" i="11" s="1"/>
  <c r="AO41" i="11"/>
  <c r="H43" i="11" l="1"/>
  <c r="AO43" i="11" s="1"/>
  <c r="AP43" i="11" s="1"/>
  <c r="H49" i="11"/>
  <c r="AO49" i="11" s="1"/>
  <c r="AP49" i="11" s="1"/>
  <c r="H50" i="11"/>
  <c r="AO50" i="11" s="1"/>
  <c r="AP38" i="11"/>
  <c r="AP45" i="11"/>
  <c r="AP46" i="11"/>
  <c r="AP48" i="11"/>
  <c r="AP41" i="11"/>
  <c r="AP37" i="11"/>
  <c r="AP42" i="11"/>
  <c r="AP47" i="11"/>
  <c r="AP44" i="11"/>
  <c r="AP40" i="11"/>
  <c r="AP39" i="11"/>
  <c r="AR46" i="10"/>
  <c r="AP50" i="11" l="1"/>
  <c r="AV63" i="11"/>
  <c r="AP43" i="10"/>
  <c r="AP47" i="10"/>
  <c r="AP42" i="10"/>
  <c r="AP46" i="10"/>
  <c r="AP44" i="10"/>
  <c r="AP48" i="10" l="1"/>
  <c r="AP49" i="10"/>
  <c r="AP45" i="10"/>
  <c r="AF37" i="8"/>
  <c r="AN37" i="8" s="1"/>
  <c r="AG37" i="8"/>
  <c r="AO37" i="8" s="1"/>
  <c r="AF38" i="8"/>
  <c r="AN38" i="8" s="1"/>
  <c r="AG38" i="8"/>
  <c r="AO38" i="8" s="1"/>
  <c r="AF39" i="8"/>
  <c r="AN39" i="8" s="1"/>
  <c r="AG39" i="8"/>
  <c r="AO39" i="8" s="1"/>
  <c r="AF40" i="8"/>
  <c r="AN40" i="8" s="1"/>
  <c r="AG40" i="8"/>
  <c r="AO40" i="8" s="1"/>
  <c r="AF41" i="8"/>
  <c r="AN41" i="8" s="1"/>
  <c r="AG41" i="8"/>
  <c r="AO41" i="8" s="1"/>
  <c r="AF42" i="8"/>
  <c r="AN42" i="8" s="1"/>
  <c r="AG42" i="8"/>
  <c r="AO42" i="8" s="1"/>
  <c r="AF43" i="8"/>
  <c r="AN43" i="8" s="1"/>
  <c r="AG43" i="8"/>
  <c r="AO43" i="8" s="1"/>
  <c r="AF44" i="8"/>
  <c r="AN44" i="8" s="1"/>
  <c r="AG44" i="8"/>
  <c r="AO44" i="8" s="1"/>
  <c r="AF45" i="8"/>
  <c r="AN45" i="8" s="1"/>
  <c r="AG45" i="8"/>
  <c r="AO45" i="8" s="1"/>
  <c r="AF46" i="8"/>
  <c r="AN46" i="8" s="1"/>
  <c r="AG46" i="8"/>
  <c r="AO46" i="8" s="1"/>
  <c r="AF47" i="8"/>
  <c r="AN47" i="8" s="1"/>
  <c r="AG47" i="8"/>
  <c r="AO47" i="8" s="1"/>
  <c r="AF48" i="8"/>
  <c r="AN48" i="8" s="1"/>
  <c r="AG48" i="8"/>
  <c r="AO48" i="8" s="1"/>
  <c r="AF49" i="8"/>
  <c r="AN49" i="8" s="1"/>
  <c r="AG49" i="8"/>
  <c r="AO49" i="8" s="1"/>
  <c r="AA37" i="8"/>
  <c r="AB37" i="8"/>
  <c r="AA38" i="8"/>
  <c r="AB38" i="8"/>
  <c r="AA39" i="8"/>
  <c r="AB39" i="8"/>
  <c r="AA40" i="8"/>
  <c r="AB40" i="8"/>
  <c r="AA41" i="8"/>
  <c r="AB41" i="8"/>
  <c r="AA42" i="8"/>
  <c r="AB42" i="8"/>
  <c r="AA43" i="8"/>
  <c r="AB43" i="8"/>
  <c r="AV53" i="8" l="1"/>
  <c r="AU53" i="8"/>
  <c r="AV61" i="8"/>
  <c r="AU61" i="8"/>
  <c r="AP44" i="8"/>
  <c r="AP40" i="8"/>
  <c r="AP49" i="8"/>
  <c r="AP48" i="8"/>
  <c r="AP47" i="8"/>
  <c r="AP46" i="8"/>
  <c r="AP45" i="8"/>
  <c r="AP43" i="8"/>
  <c r="AP42" i="8"/>
  <c r="AP41" i="8"/>
  <c r="AP39" i="8"/>
  <c r="AP38" i="8"/>
  <c r="AP37" i="8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F5" i="7"/>
  <c r="AG5" i="7"/>
  <c r="AF6" i="7"/>
  <c r="AG6" i="7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O6" i="7" l="1"/>
  <c r="AO28" i="7"/>
  <c r="AO26" i="7"/>
  <c r="AO24" i="7"/>
  <c r="AO22" i="7"/>
  <c r="AO20" i="7"/>
  <c r="AO18" i="7"/>
  <c r="AO16" i="7"/>
  <c r="AO14" i="7"/>
  <c r="AO10" i="7"/>
  <c r="AO8" i="7"/>
  <c r="AO12" i="7"/>
  <c r="AN29" i="7"/>
  <c r="AN25" i="7"/>
  <c r="AN23" i="7"/>
  <c r="AN21" i="7"/>
  <c r="AN19" i="7"/>
  <c r="AN17" i="7"/>
  <c r="AN15" i="7"/>
  <c r="AN13" i="7"/>
  <c r="AN11" i="7"/>
  <c r="AN9" i="7"/>
  <c r="AN7" i="7"/>
  <c r="AN5" i="7"/>
  <c r="AN27" i="7"/>
  <c r="AO29" i="7"/>
  <c r="AO27" i="7"/>
  <c r="AO25" i="7"/>
  <c r="AO23" i="7"/>
  <c r="AO21" i="7"/>
  <c r="AO19" i="7"/>
  <c r="AO17" i="7"/>
  <c r="AO15" i="7"/>
  <c r="AO13" i="7"/>
  <c r="AO11" i="7"/>
  <c r="AO9" i="7"/>
  <c r="AO7" i="7"/>
  <c r="AO5" i="7"/>
  <c r="AN28" i="7"/>
  <c r="AN26" i="7"/>
  <c r="AN24" i="7"/>
  <c r="AN22" i="7"/>
  <c r="AN8" i="7"/>
  <c r="AN6" i="7"/>
  <c r="AP6" i="7" s="1"/>
  <c r="AN20" i="7"/>
  <c r="AN18" i="7"/>
  <c r="AN16" i="7"/>
  <c r="AN14" i="7"/>
  <c r="AN12" i="7"/>
  <c r="AN10" i="7"/>
  <c r="AN49" i="7"/>
  <c r="AN47" i="7"/>
  <c r="AN45" i="7"/>
  <c r="AN43" i="7"/>
  <c r="AN41" i="7"/>
  <c r="AN31" i="7"/>
  <c r="AO38" i="7"/>
  <c r="AO36" i="7"/>
  <c r="AO34" i="7"/>
  <c r="AO32" i="7"/>
  <c r="AO30" i="7"/>
  <c r="AN38" i="7"/>
  <c r="AN36" i="7"/>
  <c r="AN34" i="7"/>
  <c r="AN32" i="7"/>
  <c r="AN30" i="7"/>
  <c r="AO49" i="7"/>
  <c r="AO47" i="7"/>
  <c r="AO45" i="7"/>
  <c r="AO43" i="7"/>
  <c r="AO41" i="7"/>
  <c r="AO31" i="7"/>
  <c r="AO48" i="7"/>
  <c r="AN48" i="7"/>
  <c r="AO46" i="7"/>
  <c r="AN46" i="7"/>
  <c r="AO44" i="7"/>
  <c r="AN44" i="7"/>
  <c r="AO42" i="7"/>
  <c r="AN42" i="7"/>
  <c r="AO40" i="7"/>
  <c r="AN40" i="7"/>
  <c r="AO39" i="7"/>
  <c r="AN39" i="7"/>
  <c r="AO37" i="7"/>
  <c r="AN37" i="7"/>
  <c r="AO35" i="7"/>
  <c r="AN35" i="7"/>
  <c r="AO33" i="7"/>
  <c r="AN33" i="7"/>
  <c r="AG42" i="5"/>
  <c r="AO42" i="5" s="1"/>
  <c r="AF37" i="5"/>
  <c r="AG37" i="5"/>
  <c r="AF38" i="5"/>
  <c r="AG38" i="5"/>
  <c r="AF39" i="5"/>
  <c r="AG39" i="5"/>
  <c r="AF40" i="5"/>
  <c r="AG40" i="5"/>
  <c r="AF41" i="5"/>
  <c r="AG41" i="5"/>
  <c r="AF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P8" i="7" l="1"/>
  <c r="AP24" i="7"/>
  <c r="AP10" i="7"/>
  <c r="AP28" i="7"/>
  <c r="AP26" i="7"/>
  <c r="AP22" i="7"/>
  <c r="AP17" i="7"/>
  <c r="AP29" i="7"/>
  <c r="AP27" i="7"/>
  <c r="AP25" i="7"/>
  <c r="AP23" i="7"/>
  <c r="AP18" i="7"/>
  <c r="AP14" i="7"/>
  <c r="AP16" i="7"/>
  <c r="AP21" i="7"/>
  <c r="AP12" i="7"/>
  <c r="AP20" i="7"/>
  <c r="AP19" i="7"/>
  <c r="AP9" i="7"/>
  <c r="AP11" i="7"/>
  <c r="AP5" i="7"/>
  <c r="AP13" i="7"/>
  <c r="AP7" i="7"/>
  <c r="AP15" i="7"/>
  <c r="AO46" i="5"/>
  <c r="AN42" i="5"/>
  <c r="AP42" i="5" s="1"/>
  <c r="AP43" i="7"/>
  <c r="AP47" i="7"/>
  <c r="AP38" i="7"/>
  <c r="AO44" i="5"/>
  <c r="AO40" i="5"/>
  <c r="AN40" i="5"/>
  <c r="AP45" i="7"/>
  <c r="AP36" i="7"/>
  <c r="AP32" i="7"/>
  <c r="AP31" i="7"/>
  <c r="AP34" i="7"/>
  <c r="AP30" i="7"/>
  <c r="AP41" i="7"/>
  <c r="AP49" i="7"/>
  <c r="AN44" i="5"/>
  <c r="AN46" i="5"/>
  <c r="AP48" i="7"/>
  <c r="AO49" i="5"/>
  <c r="AN49" i="5"/>
  <c r="AN48" i="5"/>
  <c r="AO48" i="5"/>
  <c r="AO47" i="5"/>
  <c r="AN47" i="5"/>
  <c r="AO45" i="5"/>
  <c r="AN45" i="5"/>
  <c r="AP46" i="7"/>
  <c r="AP44" i="7"/>
  <c r="AP42" i="7"/>
  <c r="AP39" i="7"/>
  <c r="AP33" i="7"/>
  <c r="AP40" i="7"/>
  <c r="AO43" i="5"/>
  <c r="AN43" i="5"/>
  <c r="AO41" i="5"/>
  <c r="AN41" i="5"/>
  <c r="AO39" i="5"/>
  <c r="AN39" i="5"/>
  <c r="AN38" i="5"/>
  <c r="AO37" i="5"/>
  <c r="AN37" i="5"/>
  <c r="AP35" i="7"/>
  <c r="AR39" i="5"/>
  <c r="AO38" i="5"/>
  <c r="AP37" i="7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G36" i="8"/>
  <c r="AO36" i="8" s="1"/>
  <c r="AV49" i="8" s="1"/>
  <c r="AF36" i="8"/>
  <c r="AN36" i="8" s="1"/>
  <c r="AU49" i="8" s="1"/>
  <c r="AB36" i="8"/>
  <c r="AA36" i="8"/>
  <c r="AP46" i="5" l="1"/>
  <c r="AP40" i="5"/>
  <c r="AP44" i="5"/>
  <c r="AP37" i="5"/>
  <c r="AP39" i="5"/>
  <c r="AP43" i="5"/>
  <c r="AP47" i="5"/>
  <c r="AP48" i="5"/>
  <c r="AP45" i="5"/>
  <c r="AP49" i="5"/>
  <c r="AP36" i="8"/>
  <c r="AP41" i="5"/>
  <c r="AP38" i="5"/>
  <c r="AR41" i="10" l="1"/>
  <c r="AR39" i="10"/>
  <c r="AR37" i="10"/>
  <c r="AP41" i="10" l="1"/>
  <c r="AP40" i="10"/>
  <c r="AP39" i="10"/>
  <c r="AP38" i="10"/>
  <c r="AP37" i="10"/>
  <c r="AR36" i="10"/>
  <c r="AR38" i="10"/>
  <c r="AR40" i="10"/>
  <c r="AP36" i="10" l="1"/>
  <c r="AA36" i="12" l="1"/>
  <c r="AB36" i="12"/>
  <c r="T36" i="12"/>
  <c r="AO36" i="12" s="1"/>
  <c r="S36" i="12"/>
  <c r="AN36" i="12" s="1"/>
  <c r="R36" i="12"/>
  <c r="AM36" i="12" s="1"/>
  <c r="AO35" i="12"/>
  <c r="AN35" i="12"/>
  <c r="AM35" i="12"/>
  <c r="AO34" i="12"/>
  <c r="AN34" i="12"/>
  <c r="AM34" i="12"/>
  <c r="AO33" i="12"/>
  <c r="AN33" i="12"/>
  <c r="AM33" i="12"/>
  <c r="AO32" i="12"/>
  <c r="AN32" i="12"/>
  <c r="AM32" i="12"/>
  <c r="AO31" i="12"/>
  <c r="AN31" i="12"/>
  <c r="AM31" i="12"/>
  <c r="AO30" i="12"/>
  <c r="AN30" i="12"/>
  <c r="AM30" i="12"/>
  <c r="AO29" i="12"/>
  <c r="AN29" i="12"/>
  <c r="AO28" i="12"/>
  <c r="AN28" i="12"/>
  <c r="AM28" i="12"/>
  <c r="AO27" i="12"/>
  <c r="AN27" i="12"/>
  <c r="AM27" i="12"/>
  <c r="AO26" i="12"/>
  <c r="AN26" i="12"/>
  <c r="AM26" i="12"/>
  <c r="T25" i="12"/>
  <c r="AO25" i="12" s="1"/>
  <c r="S25" i="12"/>
  <c r="AN25" i="12" s="1"/>
  <c r="R25" i="12"/>
  <c r="AM25" i="12" s="1"/>
  <c r="T24" i="12"/>
  <c r="AO24" i="12" s="1"/>
  <c r="S24" i="12"/>
  <c r="AN24" i="12" s="1"/>
  <c r="R24" i="12"/>
  <c r="AM24" i="12" s="1"/>
  <c r="T23" i="12"/>
  <c r="AO23" i="12" s="1"/>
  <c r="S23" i="12"/>
  <c r="AN23" i="12" s="1"/>
  <c r="R23" i="12"/>
  <c r="AM23" i="12" s="1"/>
  <c r="T22" i="12"/>
  <c r="AO22" i="12" s="1"/>
  <c r="S22" i="12"/>
  <c r="AN22" i="12" s="1"/>
  <c r="R22" i="12"/>
  <c r="AM22" i="12" s="1"/>
  <c r="T21" i="12"/>
  <c r="AO21" i="12" s="1"/>
  <c r="S21" i="12"/>
  <c r="AN21" i="12" s="1"/>
  <c r="R21" i="12"/>
  <c r="AM21" i="12" s="1"/>
  <c r="T20" i="12"/>
  <c r="AO20" i="12" s="1"/>
  <c r="S20" i="12"/>
  <c r="AN20" i="12" s="1"/>
  <c r="R20" i="12"/>
  <c r="AM20" i="12" s="1"/>
  <c r="T19" i="12"/>
  <c r="AO19" i="12" s="1"/>
  <c r="S19" i="12"/>
  <c r="AN19" i="12" s="1"/>
  <c r="R19" i="12"/>
  <c r="AM19" i="12" s="1"/>
  <c r="T18" i="12"/>
  <c r="AO18" i="12" s="1"/>
  <c r="S18" i="12"/>
  <c r="AN18" i="12" s="1"/>
  <c r="R18" i="12"/>
  <c r="AM18" i="12" s="1"/>
  <c r="T17" i="12"/>
  <c r="AO17" i="12" s="1"/>
  <c r="S17" i="12"/>
  <c r="AN17" i="12" s="1"/>
  <c r="R17" i="12"/>
  <c r="AM17" i="12" s="1"/>
  <c r="T16" i="12"/>
  <c r="AO16" i="12" s="1"/>
  <c r="S16" i="12"/>
  <c r="AN16" i="12" s="1"/>
  <c r="R16" i="12"/>
  <c r="AM16" i="12" s="1"/>
  <c r="T15" i="12"/>
  <c r="AO15" i="12" s="1"/>
  <c r="S15" i="12"/>
  <c r="AN15" i="12" s="1"/>
  <c r="R15" i="12"/>
  <c r="AM15" i="12" s="1"/>
  <c r="T14" i="12"/>
  <c r="AO14" i="12" s="1"/>
  <c r="S14" i="12"/>
  <c r="AN14" i="12" s="1"/>
  <c r="R14" i="12"/>
  <c r="AM14" i="12" s="1"/>
  <c r="T13" i="12"/>
  <c r="AO13" i="12" s="1"/>
  <c r="S13" i="12"/>
  <c r="AN13" i="12" s="1"/>
  <c r="R13" i="12"/>
  <c r="AM13" i="12" s="1"/>
  <c r="T12" i="12"/>
  <c r="AO12" i="12" s="1"/>
  <c r="S12" i="12"/>
  <c r="AN12" i="12" s="1"/>
  <c r="R12" i="12"/>
  <c r="AM12" i="12" s="1"/>
  <c r="T11" i="12"/>
  <c r="AO11" i="12" s="1"/>
  <c r="S11" i="12"/>
  <c r="AN11" i="12" s="1"/>
  <c r="R11" i="12"/>
  <c r="AM11" i="12" s="1"/>
  <c r="T10" i="12"/>
  <c r="AO10" i="12" s="1"/>
  <c r="S10" i="12"/>
  <c r="AN10" i="12" s="1"/>
  <c r="R10" i="12"/>
  <c r="AM10" i="12" s="1"/>
  <c r="T9" i="12"/>
  <c r="AO9" i="12" s="1"/>
  <c r="S9" i="12"/>
  <c r="AN9" i="12" s="1"/>
  <c r="R9" i="12"/>
  <c r="AM9" i="12" s="1"/>
  <c r="T8" i="12"/>
  <c r="AO8" i="12" s="1"/>
  <c r="S8" i="12"/>
  <c r="AN8" i="12" s="1"/>
  <c r="R8" i="12"/>
  <c r="AM8" i="12" s="1"/>
  <c r="T7" i="12"/>
  <c r="AO7" i="12" s="1"/>
  <c r="S7" i="12"/>
  <c r="AN7" i="12" s="1"/>
  <c r="R7" i="12"/>
  <c r="AM7" i="12" s="1"/>
  <c r="T6" i="12"/>
  <c r="AO6" i="12" s="1"/>
  <c r="S6" i="12"/>
  <c r="AN6" i="12" s="1"/>
  <c r="R6" i="12"/>
  <c r="AM6" i="12" s="1"/>
  <c r="T5" i="12"/>
  <c r="AO5" i="12" s="1"/>
  <c r="S5" i="12"/>
  <c r="AN5" i="12" s="1"/>
  <c r="R5" i="12"/>
  <c r="AM5" i="12" s="1"/>
  <c r="AT31" i="12" l="1"/>
  <c r="AV31" i="12"/>
  <c r="AU31" i="12"/>
  <c r="AT41" i="12"/>
  <c r="AU41" i="12"/>
  <c r="AV41" i="12"/>
  <c r="AP8" i="12"/>
  <c r="AP12" i="12"/>
  <c r="AP16" i="12"/>
  <c r="AP20" i="12"/>
  <c r="AP10" i="12"/>
  <c r="AP11" i="12"/>
  <c r="AP14" i="12"/>
  <c r="AP15" i="12"/>
  <c r="AP18" i="12"/>
  <c r="AP19" i="12"/>
  <c r="AP22" i="12"/>
  <c r="AP26" i="12"/>
  <c r="AP24" i="12"/>
  <c r="AP23" i="12"/>
  <c r="AP7" i="12"/>
  <c r="AP6" i="12"/>
  <c r="AP5" i="12"/>
  <c r="AP9" i="12"/>
  <c r="AP13" i="12"/>
  <c r="AP17" i="12"/>
  <c r="AP21" i="12"/>
  <c r="AP25" i="12"/>
  <c r="AP27" i="12"/>
  <c r="AP32" i="12"/>
  <c r="AP36" i="12"/>
  <c r="AP28" i="12"/>
  <c r="AP30" i="12"/>
  <c r="AP31" i="12"/>
  <c r="AP34" i="12"/>
  <c r="AP35" i="12"/>
  <c r="AP29" i="12"/>
  <c r="AP33" i="12"/>
  <c r="AR47" i="7"/>
  <c r="AR46" i="7"/>
  <c r="AR45" i="7"/>
  <c r="AR44" i="7"/>
  <c r="AR48" i="7"/>
  <c r="AR49" i="7"/>
  <c r="AR50" i="7"/>
  <c r="AR51" i="7"/>
  <c r="AR52" i="7"/>
  <c r="AR53" i="7"/>
  <c r="AR43" i="9" l="1"/>
  <c r="AR42" i="9"/>
  <c r="AR41" i="9"/>
  <c r="AR40" i="9"/>
  <c r="AR39" i="9"/>
  <c r="AR38" i="9"/>
  <c r="AR37" i="9"/>
  <c r="AR36" i="9"/>
  <c r="AG36" i="11" l="1"/>
  <c r="AL36" i="11"/>
  <c r="AK36" i="11"/>
  <c r="AF36" i="11"/>
  <c r="AN36" i="11" l="1"/>
  <c r="AU49" i="11" s="1"/>
  <c r="AO36" i="11"/>
  <c r="AV49" i="11" s="1"/>
  <c r="AM36" i="11"/>
  <c r="AT49" i="11" s="1"/>
  <c r="AP36" i="11" l="1"/>
  <c r="AR43" i="7"/>
  <c r="AR42" i="7"/>
  <c r="AR41" i="7"/>
  <c r="AR40" i="7"/>
  <c r="AR39" i="7"/>
  <c r="AR38" i="7"/>
  <c r="AR37" i="7"/>
  <c r="AR36" i="7"/>
  <c r="AG36" i="5" l="1"/>
  <c r="AF36" i="5"/>
  <c r="AG35" i="5"/>
  <c r="AF35" i="5"/>
  <c r="AG34" i="5"/>
  <c r="AF34" i="5"/>
  <c r="AG33" i="5"/>
  <c r="AF33" i="5"/>
  <c r="AG32" i="5"/>
  <c r="AF32" i="5"/>
  <c r="AG31" i="5"/>
  <c r="AF31" i="5"/>
  <c r="AG30" i="5"/>
  <c r="AF30" i="5"/>
  <c r="AG29" i="5"/>
  <c r="AF29" i="5"/>
  <c r="AG28" i="5"/>
  <c r="AF28" i="5"/>
  <c r="AG27" i="5"/>
  <c r="AF27" i="5"/>
  <c r="AG26" i="5"/>
  <c r="AF26" i="5"/>
  <c r="AF25" i="5"/>
  <c r="AF24" i="5"/>
  <c r="AF23" i="5"/>
  <c r="AF22" i="5"/>
  <c r="AF21" i="5"/>
  <c r="AF20" i="5"/>
  <c r="AF19" i="5"/>
  <c r="AF18" i="5"/>
  <c r="AF17" i="5"/>
  <c r="AF16" i="5"/>
  <c r="AG15" i="5"/>
  <c r="AF15" i="5"/>
  <c r="AG14" i="5"/>
  <c r="AF14" i="5"/>
  <c r="AG13" i="5"/>
  <c r="AF13" i="5"/>
  <c r="AG12" i="5"/>
  <c r="AF12" i="5"/>
  <c r="AG11" i="5"/>
  <c r="AF11" i="5"/>
  <c r="AG10" i="5"/>
  <c r="AF10" i="5"/>
  <c r="AG9" i="5"/>
  <c r="AF9" i="5"/>
  <c r="AG8" i="5"/>
  <c r="AF8" i="5"/>
  <c r="AG7" i="5"/>
  <c r="AF7" i="5"/>
  <c r="AG6" i="5"/>
  <c r="AF6" i="5"/>
  <c r="AG5" i="5"/>
  <c r="AF5" i="5"/>
  <c r="AN36" i="5" l="1"/>
  <c r="AO36" i="5"/>
  <c r="AO35" i="5"/>
  <c r="AN35" i="5"/>
  <c r="AF5" i="14"/>
  <c r="AG5" i="14"/>
  <c r="AF6" i="14"/>
  <c r="AG6" i="14"/>
  <c r="AF7" i="14"/>
  <c r="AG7" i="14"/>
  <c r="AF8" i="14"/>
  <c r="AG8" i="14"/>
  <c r="AF9" i="14"/>
  <c r="AG9" i="14"/>
  <c r="AF10" i="14"/>
  <c r="AG10" i="14"/>
  <c r="AF11" i="14"/>
  <c r="AG11" i="14"/>
  <c r="AF12" i="14"/>
  <c r="AG12" i="14"/>
  <c r="AF13" i="14"/>
  <c r="AG13" i="14"/>
  <c r="AF14" i="14"/>
  <c r="AG14" i="14"/>
  <c r="AF15" i="14"/>
  <c r="AG15" i="14"/>
  <c r="AF16" i="14"/>
  <c r="AG16" i="14"/>
  <c r="AF17" i="14"/>
  <c r="AG17" i="14"/>
  <c r="AF18" i="14"/>
  <c r="AG18" i="14"/>
  <c r="AF19" i="14"/>
  <c r="AG19" i="14"/>
  <c r="AF20" i="14"/>
  <c r="AG20" i="14"/>
  <c r="AF21" i="14"/>
  <c r="AG21" i="14"/>
  <c r="AF22" i="14"/>
  <c r="AG22" i="14"/>
  <c r="AF23" i="14"/>
  <c r="AG23" i="14"/>
  <c r="AF24" i="14"/>
  <c r="AG24" i="14"/>
  <c r="AF25" i="14"/>
  <c r="AG25" i="14"/>
  <c r="AF26" i="14"/>
  <c r="AG26" i="14"/>
  <c r="AF27" i="14"/>
  <c r="AG27" i="14"/>
  <c r="AF28" i="14"/>
  <c r="AG28" i="14"/>
  <c r="AF29" i="14"/>
  <c r="AG29" i="14"/>
  <c r="AF30" i="14"/>
  <c r="AG30" i="14"/>
  <c r="AF31" i="14"/>
  <c r="AG31" i="14"/>
  <c r="AF32" i="14"/>
  <c r="AG32" i="14"/>
  <c r="AF33" i="14"/>
  <c r="AG33" i="14"/>
  <c r="AF34" i="14"/>
  <c r="AG34" i="14"/>
  <c r="AF35" i="14"/>
  <c r="AG35" i="14"/>
  <c r="AM35" i="14"/>
  <c r="AM34" i="14"/>
  <c r="AM33" i="14"/>
  <c r="AM32" i="14"/>
  <c r="AM31" i="14"/>
  <c r="AM30" i="14"/>
  <c r="AM28" i="14"/>
  <c r="AM27" i="14"/>
  <c r="AM26" i="14"/>
  <c r="AM25" i="14"/>
  <c r="AM24" i="14"/>
  <c r="AM23" i="14"/>
  <c r="AM22" i="14"/>
  <c r="AM21" i="14"/>
  <c r="AM20" i="14"/>
  <c r="AM19" i="14"/>
  <c r="AM18" i="14"/>
  <c r="AM17" i="14"/>
  <c r="AM16" i="14"/>
  <c r="AM15" i="14"/>
  <c r="AM14" i="14"/>
  <c r="AM13" i="14"/>
  <c r="AM12" i="14"/>
  <c r="AM11" i="14"/>
  <c r="AM10" i="14"/>
  <c r="AM9" i="14"/>
  <c r="AM8" i="14"/>
  <c r="AM7" i="14"/>
  <c r="AM6" i="14"/>
  <c r="AM5" i="14"/>
  <c r="AK22" i="14"/>
  <c r="AL22" i="14"/>
  <c r="AK23" i="14"/>
  <c r="AL23" i="14"/>
  <c r="AK24" i="14"/>
  <c r="AL24" i="14"/>
  <c r="AK25" i="14"/>
  <c r="AL25" i="14"/>
  <c r="AK26" i="14"/>
  <c r="AL26" i="14"/>
  <c r="AK27" i="14"/>
  <c r="AL27" i="14"/>
  <c r="AK28" i="14"/>
  <c r="AL28" i="14"/>
  <c r="AK29" i="14"/>
  <c r="AL29" i="14"/>
  <c r="AK30" i="14"/>
  <c r="AL30" i="14"/>
  <c r="AK31" i="14"/>
  <c r="AL31" i="14"/>
  <c r="AK32" i="14"/>
  <c r="AL32" i="14"/>
  <c r="AK33" i="14"/>
  <c r="AL33" i="14"/>
  <c r="AK34" i="14"/>
  <c r="AL34" i="14"/>
  <c r="AK35" i="14"/>
  <c r="AL35" i="14"/>
  <c r="AT39" i="14" l="1"/>
  <c r="AT27" i="14"/>
  <c r="AO29" i="14"/>
  <c r="AN29" i="14"/>
  <c r="AP36" i="5"/>
  <c r="AP35" i="5"/>
  <c r="AO24" i="14"/>
  <c r="AN27" i="14"/>
  <c r="AO32" i="14"/>
  <c r="AN35" i="14"/>
  <c r="AO35" i="14"/>
  <c r="AO22" i="14"/>
  <c r="AN25" i="14"/>
  <c r="AO30" i="14"/>
  <c r="AN33" i="14"/>
  <c r="AN30" i="14"/>
  <c r="AO33" i="14"/>
  <c r="AN23" i="14"/>
  <c r="AO28" i="14"/>
  <c r="AN31" i="14"/>
  <c r="AN22" i="14"/>
  <c r="AO25" i="14"/>
  <c r="AO23" i="14"/>
  <c r="AN26" i="14"/>
  <c r="AO31" i="14"/>
  <c r="AN34" i="14"/>
  <c r="AO26" i="14"/>
  <c r="AO34" i="14"/>
  <c r="AO27" i="14"/>
  <c r="AN28" i="14"/>
  <c r="AN24" i="14"/>
  <c r="AN32" i="14"/>
  <c r="AV39" i="14" l="1"/>
  <c r="AU39" i="14"/>
  <c r="AP29" i="14"/>
  <c r="AP28" i="14"/>
  <c r="AP22" i="14"/>
  <c r="AP32" i="14"/>
  <c r="AP24" i="14"/>
  <c r="AP26" i="14"/>
  <c r="AP34" i="14"/>
  <c r="AP23" i="14"/>
  <c r="AP35" i="14"/>
  <c r="AP30" i="14"/>
  <c r="AP31" i="14"/>
  <c r="AP33" i="14"/>
  <c r="AP25" i="14"/>
  <c r="AP27" i="14"/>
  <c r="AR35" i="14"/>
  <c r="AL35" i="13" l="1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M29" i="13" l="1"/>
  <c r="AN31" i="13"/>
  <c r="AO31" i="13"/>
  <c r="AM31" i="13"/>
  <c r="AO33" i="13"/>
  <c r="AN33" i="13"/>
  <c r="AO34" i="13"/>
  <c r="AN34" i="13"/>
  <c r="AM28" i="13"/>
  <c r="AM30" i="13"/>
  <c r="AM27" i="13"/>
  <c r="AM33" i="13"/>
  <c r="AM26" i="13"/>
  <c r="AM34" i="13"/>
  <c r="AM32" i="13"/>
  <c r="AO30" i="13"/>
  <c r="AN30" i="13"/>
  <c r="AM24" i="13"/>
  <c r="AT39" i="13" l="1"/>
  <c r="AN28" i="13"/>
  <c r="AN27" i="13"/>
  <c r="AN29" i="13"/>
  <c r="AP33" i="13"/>
  <c r="AP34" i="13"/>
  <c r="AP31" i="13"/>
  <c r="AP30" i="13"/>
  <c r="AO29" i="13"/>
  <c r="AO28" i="13"/>
  <c r="AO32" i="13"/>
  <c r="AN32" i="13"/>
  <c r="AM25" i="13"/>
  <c r="AN25" i="13"/>
  <c r="AN35" i="13"/>
  <c r="AO35" i="13"/>
  <c r="AM23" i="13"/>
  <c r="AP28" i="13" l="1"/>
  <c r="AN26" i="13"/>
  <c r="AU39" i="13" s="1"/>
  <c r="AN24" i="13"/>
  <c r="AP32" i="13"/>
  <c r="AP35" i="13"/>
  <c r="AP29" i="13"/>
  <c r="AO25" i="13"/>
  <c r="AO26" i="13"/>
  <c r="AO27" i="13"/>
  <c r="AA22" i="12"/>
  <c r="AB22" i="12"/>
  <c r="AA23" i="12"/>
  <c r="AB23" i="12"/>
  <c r="AA24" i="12"/>
  <c r="AB24" i="12"/>
  <c r="AA25" i="12"/>
  <c r="AB25" i="12"/>
  <c r="AA26" i="12"/>
  <c r="AB26" i="12"/>
  <c r="AA27" i="12"/>
  <c r="AB27" i="12"/>
  <c r="AA28" i="12"/>
  <c r="AB28" i="12"/>
  <c r="AA29" i="12"/>
  <c r="AB29" i="12"/>
  <c r="AA30" i="12"/>
  <c r="AB30" i="12"/>
  <c r="AA31" i="12"/>
  <c r="AB31" i="12"/>
  <c r="AA32" i="12"/>
  <c r="AB32" i="12"/>
  <c r="AA33" i="12"/>
  <c r="AB33" i="12"/>
  <c r="AA34" i="12"/>
  <c r="AB34" i="12"/>
  <c r="AA35" i="12"/>
  <c r="AB35" i="12"/>
  <c r="AR35" i="12"/>
  <c r="AR34" i="12"/>
  <c r="AR31" i="12"/>
  <c r="AR30" i="12"/>
  <c r="AR24" i="12"/>
  <c r="AR23" i="12"/>
  <c r="AV39" i="13" l="1"/>
  <c r="AP27" i="13"/>
  <c r="AP26" i="13"/>
  <c r="AP25" i="13"/>
  <c r="AR28" i="12"/>
  <c r="AR27" i="12"/>
  <c r="AR25" i="12"/>
  <c r="AR33" i="12"/>
  <c r="AR22" i="12"/>
  <c r="AR26" i="12"/>
  <c r="AR32" i="12"/>
  <c r="AR29" i="12"/>
  <c r="AR35" i="11" l="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F32" i="11"/>
  <c r="AG32" i="11"/>
  <c r="AO32" i="11" s="1"/>
  <c r="AF33" i="11"/>
  <c r="AG33" i="11"/>
  <c r="AF34" i="11"/>
  <c r="AG34" i="11"/>
  <c r="AF35" i="11"/>
  <c r="AG35" i="11"/>
  <c r="AO35" i="11" l="1"/>
  <c r="AN33" i="11"/>
  <c r="AN34" i="11"/>
  <c r="AO33" i="11"/>
  <c r="AN35" i="11"/>
  <c r="AO34" i="11"/>
  <c r="AN32" i="11"/>
  <c r="AP32" i="11" l="1"/>
  <c r="AP35" i="11"/>
  <c r="AP34" i="11"/>
  <c r="AP33" i="11"/>
  <c r="AR35" i="9"/>
  <c r="AR35" i="10" l="1"/>
  <c r="AR33" i="10"/>
  <c r="AR31" i="10"/>
  <c r="AR29" i="10"/>
  <c r="AR28" i="10"/>
  <c r="AR26" i="10"/>
  <c r="AR25" i="10"/>
  <c r="AR23" i="10"/>
  <c r="AP25" i="10" l="1"/>
  <c r="AR27" i="10"/>
  <c r="AR30" i="10"/>
  <c r="AR32" i="10"/>
  <c r="AR34" i="10"/>
  <c r="AR22" i="10"/>
  <c r="AR24" i="10"/>
  <c r="AP34" i="10" l="1"/>
  <c r="AP32" i="10"/>
  <c r="AP26" i="10"/>
  <c r="AP28" i="10"/>
  <c r="AP22" i="10"/>
  <c r="AP29" i="10"/>
  <c r="AP23" i="10"/>
  <c r="AP35" i="10"/>
  <c r="AP31" i="10"/>
  <c r="AP27" i="10"/>
  <c r="AP33" i="10"/>
  <c r="AP24" i="10"/>
  <c r="AP30" i="10" l="1"/>
  <c r="AR33" i="9"/>
  <c r="AR34" i="9"/>
  <c r="AR32" i="9"/>
  <c r="AG35" i="8" l="1"/>
  <c r="AO35" i="8" s="1"/>
  <c r="AF35" i="8"/>
  <c r="AN35" i="8" s="1"/>
  <c r="AB35" i="8"/>
  <c r="AA35" i="8"/>
  <c r="AG34" i="8"/>
  <c r="AO34" i="8" s="1"/>
  <c r="AF34" i="8"/>
  <c r="AN34" i="8" s="1"/>
  <c r="AB34" i="8"/>
  <c r="AA34" i="8"/>
  <c r="AG33" i="8"/>
  <c r="AO33" i="8" s="1"/>
  <c r="AF33" i="8"/>
  <c r="AN33" i="8" s="1"/>
  <c r="AB33" i="8"/>
  <c r="AA33" i="8"/>
  <c r="AG32" i="8"/>
  <c r="AO32" i="8" s="1"/>
  <c r="AF32" i="8"/>
  <c r="AN32" i="8" s="1"/>
  <c r="AB32" i="8"/>
  <c r="AA32" i="8"/>
  <c r="AG31" i="8"/>
  <c r="AO31" i="8" s="1"/>
  <c r="AF31" i="8"/>
  <c r="AN31" i="8" s="1"/>
  <c r="AB31" i="8"/>
  <c r="AA31" i="8"/>
  <c r="AG30" i="8"/>
  <c r="AF30" i="8"/>
  <c r="AN30" i="8" s="1"/>
  <c r="AB30" i="8"/>
  <c r="AA30" i="8"/>
  <c r="AG29" i="8"/>
  <c r="AF29" i="8"/>
  <c r="AN29" i="8" s="1"/>
  <c r="AB29" i="8"/>
  <c r="AA29" i="8"/>
  <c r="AG28" i="8"/>
  <c r="AF28" i="8"/>
  <c r="AB28" i="8"/>
  <c r="AA28" i="8"/>
  <c r="AG27" i="8"/>
  <c r="AF27" i="8"/>
  <c r="AB27" i="8"/>
  <c r="AA27" i="8"/>
  <c r="AG26" i="8"/>
  <c r="AF26" i="8"/>
  <c r="AB26" i="8"/>
  <c r="AA26" i="8"/>
  <c r="AG25" i="8"/>
  <c r="AF25" i="8"/>
  <c r="AB25" i="8"/>
  <c r="AA25" i="8"/>
  <c r="AG24" i="8"/>
  <c r="AF24" i="8"/>
  <c r="AB24" i="8"/>
  <c r="AA24" i="8"/>
  <c r="AG23" i="8"/>
  <c r="AF23" i="8"/>
  <c r="AB23" i="8"/>
  <c r="AA23" i="8"/>
  <c r="AG22" i="8"/>
  <c r="AF22" i="8"/>
  <c r="AB22" i="8"/>
  <c r="AA22" i="8"/>
  <c r="H25" i="8" l="1"/>
  <c r="AO25" i="8" s="1"/>
  <c r="AN24" i="8"/>
  <c r="H26" i="8"/>
  <c r="AO26" i="8" s="1"/>
  <c r="AN25" i="8"/>
  <c r="AN28" i="8"/>
  <c r="AU41" i="8" s="1"/>
  <c r="H23" i="8"/>
  <c r="AO23" i="8" s="1"/>
  <c r="AN22" i="8"/>
  <c r="H27" i="8"/>
  <c r="AO27" i="8" s="1"/>
  <c r="AN26" i="8"/>
  <c r="AO28" i="8"/>
  <c r="AN27" i="8"/>
  <c r="H24" i="8"/>
  <c r="AO24" i="8" s="1"/>
  <c r="AN23" i="8"/>
  <c r="AO29" i="8"/>
  <c r="AP29" i="8" s="1"/>
  <c r="AP35" i="8"/>
  <c r="AP31" i="8"/>
  <c r="AP32" i="8"/>
  <c r="AP33" i="8"/>
  <c r="AP34" i="8"/>
  <c r="AO30" i="8"/>
  <c r="AR35" i="7"/>
  <c r="AR34" i="7"/>
  <c r="AV41" i="8" l="1"/>
  <c r="AP28" i="8"/>
  <c r="AP26" i="8"/>
  <c r="AP23" i="8"/>
  <c r="AP24" i="8"/>
  <c r="AP27" i="8"/>
  <c r="AP25" i="8"/>
  <c r="AP30" i="8"/>
  <c r="AO34" i="5" l="1"/>
  <c r="AN34" i="5"/>
  <c r="AO33" i="5"/>
  <c r="AN33" i="5"/>
  <c r="AO32" i="5"/>
  <c r="AN32" i="5"/>
  <c r="AP33" i="5" l="1"/>
  <c r="AP32" i="5"/>
  <c r="AP34" i="5"/>
  <c r="AR33" i="7"/>
  <c r="AR32" i="7"/>
  <c r="AR31" i="7"/>
  <c r="AR30" i="7"/>
  <c r="AR29" i="7"/>
  <c r="AR28" i="7"/>
  <c r="AR30" i="14" l="1"/>
  <c r="AR29" i="14"/>
  <c r="AR28" i="14"/>
  <c r="AR27" i="14"/>
  <c r="AR26" i="14"/>
  <c r="AR25" i="14"/>
  <c r="AR24" i="14"/>
  <c r="AR31" i="9" l="1"/>
  <c r="AR30" i="9"/>
  <c r="AO31" i="5" l="1"/>
  <c r="AN31" i="5"/>
  <c r="AO30" i="5"/>
  <c r="AN30" i="5"/>
  <c r="AP30" i="5" l="1"/>
  <c r="AP31" i="5"/>
  <c r="AG31" i="11"/>
  <c r="AO31" i="11" s="1"/>
  <c r="AF31" i="11"/>
  <c r="AN31" i="11" s="1"/>
  <c r="AG30" i="11"/>
  <c r="AO30" i="11" s="1"/>
  <c r="AF30" i="11"/>
  <c r="AN30" i="11" s="1"/>
  <c r="AG29" i="11"/>
  <c r="AO29" i="11" s="1"/>
  <c r="AF29" i="11"/>
  <c r="AN29" i="11" s="1"/>
  <c r="AG28" i="11"/>
  <c r="AO28" i="11" s="1"/>
  <c r="AF28" i="11"/>
  <c r="AN28" i="11" s="1"/>
  <c r="AG27" i="11"/>
  <c r="AO27" i="11" s="1"/>
  <c r="AF27" i="11"/>
  <c r="AN27" i="11" s="1"/>
  <c r="AG26" i="11"/>
  <c r="AO26" i="11" s="1"/>
  <c r="AF26" i="11"/>
  <c r="AN26" i="11" s="1"/>
  <c r="AG25" i="11"/>
  <c r="AO25" i="11" s="1"/>
  <c r="AF25" i="11"/>
  <c r="AN25" i="11" s="1"/>
  <c r="AG24" i="11"/>
  <c r="AO24" i="11" s="1"/>
  <c r="AF24" i="11"/>
  <c r="AN24" i="11" s="1"/>
  <c r="AG23" i="11"/>
  <c r="AO23" i="11" s="1"/>
  <c r="AF23" i="11"/>
  <c r="AN23" i="11" s="1"/>
  <c r="AL22" i="11"/>
  <c r="AK22" i="11"/>
  <c r="AG22" i="11"/>
  <c r="AF22" i="11"/>
  <c r="AP23" i="11" l="1"/>
  <c r="AP25" i="11"/>
  <c r="AP29" i="11"/>
  <c r="AP31" i="11"/>
  <c r="AP30" i="11"/>
  <c r="AP27" i="11"/>
  <c r="AP24" i="11"/>
  <c r="AP26" i="11"/>
  <c r="AP28" i="11"/>
  <c r="AO22" i="11"/>
  <c r="AV35" i="11" s="1"/>
  <c r="AN22" i="11"/>
  <c r="AU35" i="11" s="1"/>
  <c r="AM22" i="11"/>
  <c r="AT35" i="11" s="1"/>
  <c r="AP22" i="11" l="1"/>
  <c r="AO29" i="5"/>
  <c r="AN29" i="5"/>
  <c r="AO28" i="5"/>
  <c r="AN28" i="5"/>
  <c r="AO27" i="5"/>
  <c r="AN27" i="5"/>
  <c r="AO26" i="5"/>
  <c r="AN26" i="5"/>
  <c r="AO25" i="5"/>
  <c r="AN25" i="5"/>
  <c r="AO24" i="5"/>
  <c r="AN24" i="5"/>
  <c r="AO23" i="5"/>
  <c r="AN23" i="5"/>
  <c r="AO22" i="5"/>
  <c r="AN22" i="5"/>
  <c r="AP25" i="5" l="1"/>
  <c r="AP27" i="5"/>
  <c r="AP29" i="5"/>
  <c r="AP23" i="5"/>
  <c r="AP22" i="5"/>
  <c r="AP24" i="5"/>
  <c r="AP26" i="5"/>
  <c r="AP28" i="5"/>
  <c r="AR28" i="9"/>
  <c r="AR27" i="9"/>
  <c r="AK5" i="14" l="1"/>
  <c r="AN5" i="14" s="1"/>
  <c r="AL5" i="14"/>
  <c r="AO5" i="14" s="1"/>
  <c r="AK6" i="14"/>
  <c r="AN6" i="14" s="1"/>
  <c r="AL6" i="14"/>
  <c r="AO6" i="14" s="1"/>
  <c r="AK7" i="14"/>
  <c r="AN7" i="14" s="1"/>
  <c r="AL7" i="14"/>
  <c r="AO7" i="14" s="1"/>
  <c r="AK8" i="14"/>
  <c r="AN8" i="14" s="1"/>
  <c r="AL8" i="14"/>
  <c r="AO8" i="14" s="1"/>
  <c r="AK9" i="14"/>
  <c r="AN9" i="14" s="1"/>
  <c r="AL9" i="14"/>
  <c r="AO9" i="14" s="1"/>
  <c r="AK10" i="14"/>
  <c r="AN10" i="14" s="1"/>
  <c r="AL10" i="14"/>
  <c r="AO10" i="14" s="1"/>
  <c r="AK11" i="14"/>
  <c r="AN11" i="14" s="1"/>
  <c r="AL11" i="14"/>
  <c r="AO11" i="14" s="1"/>
  <c r="AK12" i="14"/>
  <c r="AN12" i="14" s="1"/>
  <c r="AL12" i="14"/>
  <c r="AO12" i="14" s="1"/>
  <c r="AK13" i="14"/>
  <c r="AN13" i="14" s="1"/>
  <c r="AL13" i="14"/>
  <c r="AO13" i="14" s="1"/>
  <c r="AK14" i="14"/>
  <c r="AN14" i="14" s="1"/>
  <c r="AL14" i="14"/>
  <c r="AO14" i="14" s="1"/>
  <c r="AK15" i="14"/>
  <c r="AN15" i="14" s="1"/>
  <c r="AL15" i="14"/>
  <c r="AO15" i="14" s="1"/>
  <c r="AK16" i="14"/>
  <c r="AN16" i="14" s="1"/>
  <c r="AL16" i="14"/>
  <c r="AO16" i="14" s="1"/>
  <c r="AK17" i="14"/>
  <c r="AN17" i="14" s="1"/>
  <c r="AL17" i="14"/>
  <c r="AO17" i="14" s="1"/>
  <c r="AK18" i="14"/>
  <c r="AN18" i="14" s="1"/>
  <c r="AL18" i="14"/>
  <c r="AO18" i="14" s="1"/>
  <c r="AK19" i="14"/>
  <c r="AN19" i="14" s="1"/>
  <c r="AL19" i="14"/>
  <c r="AO19" i="14" s="1"/>
  <c r="AK20" i="14"/>
  <c r="AN20" i="14" s="1"/>
  <c r="AL20" i="14"/>
  <c r="AO20" i="14" s="1"/>
  <c r="AK21" i="14"/>
  <c r="AN21" i="14" s="1"/>
  <c r="AL21" i="14"/>
  <c r="AO21" i="14" s="1"/>
  <c r="AV27" i="14" l="1"/>
  <c r="AU27" i="14"/>
  <c r="AP20" i="14"/>
  <c r="AP16" i="14"/>
  <c r="AP18" i="14"/>
  <c r="AP21" i="14"/>
  <c r="AP19" i="14"/>
  <c r="AP17" i="14"/>
  <c r="AP14" i="14"/>
  <c r="AP12" i="14"/>
  <c r="AP10" i="14"/>
  <c r="AP8" i="14"/>
  <c r="AP6" i="14"/>
  <c r="AP15" i="14"/>
  <c r="AP13" i="14"/>
  <c r="AP11" i="14"/>
  <c r="AP9" i="14"/>
  <c r="AP7" i="14"/>
  <c r="AP5" i="14"/>
  <c r="AK5" i="13"/>
  <c r="AL5" i="13"/>
  <c r="AK6" i="13"/>
  <c r="AL6" i="13"/>
  <c r="AK7" i="13"/>
  <c r="AL7" i="13"/>
  <c r="AK8" i="13"/>
  <c r="AL8" i="13"/>
  <c r="AK9" i="13"/>
  <c r="AN9" i="13" s="1"/>
  <c r="AL9" i="13"/>
  <c r="AO9" i="13" s="1"/>
  <c r="AK10" i="13"/>
  <c r="AL10" i="13"/>
  <c r="AO10" i="13" s="1"/>
  <c r="AK11" i="13"/>
  <c r="AL11" i="13"/>
  <c r="AK12" i="13"/>
  <c r="AN12" i="13" s="1"/>
  <c r="AL12" i="13"/>
  <c r="AK13" i="13"/>
  <c r="AN13" i="13" s="1"/>
  <c r="AL13" i="13"/>
  <c r="AO13" i="13" s="1"/>
  <c r="AK14" i="13"/>
  <c r="AL14" i="13"/>
  <c r="AK15" i="13"/>
  <c r="AN15" i="13" s="1"/>
  <c r="AL15" i="13"/>
  <c r="AK16" i="13"/>
  <c r="AL16" i="13"/>
  <c r="AM17" i="13" s="1"/>
  <c r="AK17" i="13"/>
  <c r="AL17" i="13"/>
  <c r="AM18" i="13" s="1"/>
  <c r="AK18" i="13"/>
  <c r="AL18" i="13"/>
  <c r="AK19" i="13"/>
  <c r="AL19" i="13"/>
  <c r="AM20" i="13" s="1"/>
  <c r="AK20" i="13"/>
  <c r="AL20" i="13"/>
  <c r="AK21" i="13"/>
  <c r="AL21" i="13"/>
  <c r="AM22" i="13" s="1"/>
  <c r="AT35" i="13" s="1"/>
  <c r="AM8" i="13"/>
  <c r="AM9" i="13"/>
  <c r="AM10" i="13"/>
  <c r="AM11" i="13"/>
  <c r="AM12" i="13"/>
  <c r="AM13" i="13"/>
  <c r="AM14" i="13"/>
  <c r="AM15" i="13"/>
  <c r="AM16" i="13"/>
  <c r="AM19" i="13"/>
  <c r="AM21" i="13"/>
  <c r="AT21" i="13" l="1"/>
  <c r="AN22" i="13"/>
  <c r="AN23" i="13"/>
  <c r="AO24" i="13"/>
  <c r="AN17" i="13"/>
  <c r="AO23" i="13"/>
  <c r="AN21" i="13"/>
  <c r="AP13" i="13"/>
  <c r="AP9" i="13"/>
  <c r="AO18" i="13"/>
  <c r="AO14" i="13"/>
  <c r="AN20" i="13"/>
  <c r="AN16" i="13"/>
  <c r="AN8" i="13"/>
  <c r="AN19" i="13"/>
  <c r="AO11" i="13"/>
  <c r="AO15" i="13"/>
  <c r="AO12" i="13"/>
  <c r="AN11" i="13"/>
  <c r="AN18" i="13"/>
  <c r="AO16" i="13"/>
  <c r="AN14" i="13"/>
  <c r="AN10" i="13"/>
  <c r="AO8" i="13"/>
  <c r="AU35" i="13" l="1"/>
  <c r="AU21" i="13"/>
  <c r="AP24" i="13"/>
  <c r="AP23" i="13"/>
  <c r="AO20" i="13"/>
  <c r="AO17" i="13"/>
  <c r="AP16" i="13"/>
  <c r="AO21" i="13"/>
  <c r="AO19" i="13"/>
  <c r="AP18" i="13"/>
  <c r="AO22" i="13"/>
  <c r="AV35" i="13" s="1"/>
  <c r="AP15" i="13"/>
  <c r="AP10" i="13"/>
  <c r="AP11" i="13"/>
  <c r="AP14" i="13"/>
  <c r="AP12" i="13"/>
  <c r="AP8" i="13"/>
  <c r="AR6" i="11"/>
  <c r="AK20" i="11"/>
  <c r="AL20" i="11"/>
  <c r="AK21" i="11"/>
  <c r="AL21" i="11"/>
  <c r="AM20" i="11"/>
  <c r="AM21" i="11"/>
  <c r="AF19" i="11"/>
  <c r="AN19" i="11" s="1"/>
  <c r="AG19" i="11"/>
  <c r="AO19" i="11" s="1"/>
  <c r="AF20" i="11"/>
  <c r="AG20" i="11"/>
  <c r="AF21" i="11"/>
  <c r="AG21" i="11"/>
  <c r="AT21" i="11" l="1"/>
  <c r="AV21" i="13"/>
  <c r="AP19" i="13"/>
  <c r="AP21" i="13"/>
  <c r="AP19" i="11"/>
  <c r="AP20" i="13"/>
  <c r="AP22" i="13"/>
  <c r="AP17" i="13"/>
  <c r="AN21" i="11"/>
  <c r="AN20" i="11"/>
  <c r="AU21" i="11" s="1"/>
  <c r="AO21" i="11"/>
  <c r="AO20" i="11"/>
  <c r="AV21" i="11" s="1"/>
  <c r="AP20" i="11" l="1"/>
  <c r="AP21" i="11"/>
  <c r="R4" i="10"/>
  <c r="T4" i="10"/>
  <c r="AT29" i="10" l="1"/>
  <c r="AP19" i="10"/>
  <c r="AP21" i="10"/>
  <c r="AP18" i="10"/>
  <c r="AP20" i="10"/>
  <c r="S4" i="10"/>
  <c r="AR13" i="10"/>
  <c r="AR17" i="10"/>
  <c r="AR12" i="10"/>
  <c r="AR16" i="10"/>
  <c r="AR19" i="10"/>
  <c r="AR15" i="10"/>
  <c r="AR20" i="10"/>
  <c r="AR18" i="10"/>
  <c r="AR14" i="10"/>
  <c r="AR21" i="10"/>
  <c r="AV29" i="10" l="1"/>
  <c r="AP16" i="10"/>
  <c r="AU29" i="10"/>
  <c r="AP17" i="10"/>
  <c r="AP15" i="10"/>
  <c r="AP14" i="10"/>
  <c r="AP13" i="10"/>
  <c r="AP12" i="10"/>
  <c r="AR21" i="9"/>
  <c r="AR20" i="9"/>
  <c r="AA14" i="12" l="1"/>
  <c r="AB14" i="12"/>
  <c r="AA15" i="12"/>
  <c r="AB15" i="12"/>
  <c r="AA16" i="12"/>
  <c r="AB16" i="12"/>
  <c r="AA17" i="12"/>
  <c r="AB17" i="12"/>
  <c r="AA18" i="12"/>
  <c r="AB18" i="12"/>
  <c r="AA19" i="12"/>
  <c r="AB19" i="12"/>
  <c r="AA20" i="12"/>
  <c r="AB20" i="12"/>
  <c r="AA21" i="12"/>
  <c r="AB21" i="12"/>
  <c r="AR21" i="12"/>
  <c r="AR20" i="12"/>
  <c r="AR19" i="12"/>
  <c r="AR16" i="12"/>
  <c r="AR15" i="12"/>
  <c r="AR17" i="12" l="1"/>
  <c r="AR14" i="12"/>
  <c r="AR18" i="12"/>
  <c r="AO8" i="8" l="1"/>
  <c r="AB12" i="8" l="1"/>
  <c r="AB13" i="8"/>
  <c r="AG21" i="8"/>
  <c r="AF21" i="8"/>
  <c r="AB21" i="8"/>
  <c r="AA21" i="8"/>
  <c r="AG20" i="8"/>
  <c r="AF20" i="8"/>
  <c r="AN20" i="8" s="1"/>
  <c r="AB20" i="8"/>
  <c r="AA20" i="8"/>
  <c r="AG19" i="8"/>
  <c r="AF19" i="8"/>
  <c r="AB19" i="8"/>
  <c r="AA19" i="8"/>
  <c r="AG18" i="8"/>
  <c r="AF18" i="8"/>
  <c r="AN18" i="8" s="1"/>
  <c r="AB18" i="8"/>
  <c r="AA18" i="8"/>
  <c r="AG17" i="8"/>
  <c r="AF17" i="8"/>
  <c r="AB17" i="8"/>
  <c r="AA17" i="8"/>
  <c r="AG16" i="8"/>
  <c r="AO16" i="8" s="1"/>
  <c r="AF16" i="8"/>
  <c r="AB16" i="8"/>
  <c r="AA16" i="8"/>
  <c r="AR16" i="8"/>
  <c r="AG15" i="8"/>
  <c r="AO15" i="8" s="1"/>
  <c r="AF15" i="8"/>
  <c r="AN15" i="8" s="1"/>
  <c r="AB15" i="8"/>
  <c r="AA15" i="8"/>
  <c r="AR15" i="8"/>
  <c r="AG14" i="8"/>
  <c r="AO14" i="8" s="1"/>
  <c r="AF14" i="8"/>
  <c r="AN14" i="8" s="1"/>
  <c r="AB14" i="8"/>
  <c r="AA14" i="8"/>
  <c r="AR14" i="8"/>
  <c r="AG13" i="8"/>
  <c r="AO13" i="8" s="1"/>
  <c r="AF13" i="8"/>
  <c r="AN13" i="8" s="1"/>
  <c r="AA13" i="8"/>
  <c r="AR13" i="8"/>
  <c r="AG12" i="8"/>
  <c r="AO12" i="8" s="1"/>
  <c r="AF12" i="8"/>
  <c r="AN12" i="8" s="1"/>
  <c r="AA12" i="8"/>
  <c r="AG11" i="8"/>
  <c r="AO11" i="8" s="1"/>
  <c r="AF11" i="8"/>
  <c r="AN11" i="8" s="1"/>
  <c r="AB11" i="8"/>
  <c r="AA11" i="8"/>
  <c r="AR11" i="8"/>
  <c r="AG10" i="8"/>
  <c r="AO10" i="8" s="1"/>
  <c r="AF10" i="8"/>
  <c r="AN10" i="8" s="1"/>
  <c r="AB10" i="8"/>
  <c r="AA10" i="8"/>
  <c r="AO9" i="8"/>
  <c r="AN9" i="8"/>
  <c r="AR9" i="8"/>
  <c r="AN8" i="8"/>
  <c r="AP8" i="8" s="1"/>
  <c r="AR8" i="8"/>
  <c r="AP15" i="8" l="1"/>
  <c r="AP9" i="8"/>
  <c r="AP12" i="8"/>
  <c r="AP10" i="8"/>
  <c r="AP13" i="8"/>
  <c r="AP14" i="8"/>
  <c r="H17" i="8"/>
  <c r="AO17" i="8" s="1"/>
  <c r="AN16" i="8"/>
  <c r="H18" i="8"/>
  <c r="AO18" i="8" s="1"/>
  <c r="AN17" i="8"/>
  <c r="H20" i="8"/>
  <c r="AO20" i="8" s="1"/>
  <c r="AN19" i="8"/>
  <c r="H22" i="8"/>
  <c r="AO22" i="8" s="1"/>
  <c r="AN21" i="8"/>
  <c r="AP11" i="8"/>
  <c r="H21" i="8"/>
  <c r="AO21" i="8" s="1"/>
  <c r="H19" i="8"/>
  <c r="AO19" i="8" s="1"/>
  <c r="AR10" i="8"/>
  <c r="AR12" i="8"/>
  <c r="AR18" i="8"/>
  <c r="AR20" i="8"/>
  <c r="AR17" i="8"/>
  <c r="AR19" i="8"/>
  <c r="AR21" i="8"/>
  <c r="AU21" i="8" l="1"/>
  <c r="AV21" i="8"/>
  <c r="AV29" i="8"/>
  <c r="AP16" i="8"/>
  <c r="AU29" i="8"/>
  <c r="AV25" i="8"/>
  <c r="AU25" i="8"/>
  <c r="AP18" i="8"/>
  <c r="AP20" i="8"/>
  <c r="AP22" i="8"/>
  <c r="AP21" i="8"/>
  <c r="AP19" i="8"/>
  <c r="AP17" i="8"/>
  <c r="AR21" i="7"/>
  <c r="AR20" i="7"/>
  <c r="AO21" i="5" l="1"/>
  <c r="AN21" i="5"/>
  <c r="AO20" i="5"/>
  <c r="AN20" i="5"/>
  <c r="AP21" i="5" l="1"/>
  <c r="AP20" i="5"/>
  <c r="AR21" i="3"/>
  <c r="AR20" i="3"/>
  <c r="AR19" i="3"/>
  <c r="AR18" i="3"/>
  <c r="AR19" i="9" l="1"/>
  <c r="AR18" i="9"/>
  <c r="AR17" i="9"/>
  <c r="AR16" i="9"/>
  <c r="AR15" i="9"/>
  <c r="AR14" i="9"/>
  <c r="AR19" i="7" l="1"/>
  <c r="AR18" i="7"/>
  <c r="AR17" i="7"/>
  <c r="AR16" i="7"/>
  <c r="AR15" i="7"/>
  <c r="AR14" i="7"/>
  <c r="AR19" i="5" l="1"/>
  <c r="AR18" i="5"/>
  <c r="AR17" i="5"/>
  <c r="AR16" i="5"/>
  <c r="AR15" i="5"/>
  <c r="AR14" i="5"/>
  <c r="AO19" i="5"/>
  <c r="AN19" i="5"/>
  <c r="AO18" i="5"/>
  <c r="AN18" i="5"/>
  <c r="AO17" i="5"/>
  <c r="AN17" i="5"/>
  <c r="AO16" i="5"/>
  <c r="AN16" i="5"/>
  <c r="AO15" i="5"/>
  <c r="AN15" i="5"/>
  <c r="AO14" i="5"/>
  <c r="AN14" i="5"/>
  <c r="AP16" i="5" l="1"/>
  <c r="AP14" i="5"/>
  <c r="AP18" i="5"/>
  <c r="AP15" i="5"/>
  <c r="AP17" i="5"/>
  <c r="AP19" i="5"/>
  <c r="AR8" i="3"/>
  <c r="AR15" i="3"/>
  <c r="AR14" i="3"/>
  <c r="AR13" i="3"/>
  <c r="AR12" i="3"/>
  <c r="AR11" i="3"/>
  <c r="AR10" i="3"/>
  <c r="AR9" i="3"/>
  <c r="AR13" i="14" l="1"/>
  <c r="AR12" i="14"/>
  <c r="AR11" i="14"/>
  <c r="AR10" i="14"/>
  <c r="AR9" i="14"/>
  <c r="AR8" i="14"/>
  <c r="AR7" i="14"/>
  <c r="AR6" i="14"/>
  <c r="AR5" i="14"/>
  <c r="AR4" i="14"/>
  <c r="AL4" i="14"/>
  <c r="AK4" i="14"/>
  <c r="AG4" i="14"/>
  <c r="AF4" i="14"/>
  <c r="AB4" i="14"/>
  <c r="AA4" i="14"/>
  <c r="T4" i="14"/>
  <c r="S4" i="14"/>
  <c r="R4" i="14"/>
  <c r="AM4" i="14" s="1"/>
  <c r="AT17" i="14" s="1"/>
  <c r="AM66" i="14" l="1"/>
  <c r="H30" i="1" s="1"/>
  <c r="AN4" i="14"/>
  <c r="AU17" i="14" s="1"/>
  <c r="AO4" i="14"/>
  <c r="AV17" i="14" s="1"/>
  <c r="AO66" i="14" l="1"/>
  <c r="J30" i="1" s="1"/>
  <c r="AN66" i="14"/>
  <c r="I30" i="1" s="1"/>
  <c r="AP4" i="14"/>
  <c r="AR10" i="11"/>
  <c r="AR4" i="11"/>
  <c r="AL4" i="11"/>
  <c r="AK4" i="11"/>
  <c r="AG4" i="11"/>
  <c r="AF4" i="11"/>
  <c r="T4" i="11"/>
  <c r="S4" i="11"/>
  <c r="R4" i="11"/>
  <c r="AM4" i="11" s="1"/>
  <c r="AO4" i="11" l="1"/>
  <c r="AR13" i="11"/>
  <c r="AR12" i="11"/>
  <c r="AR11" i="11"/>
  <c r="AR9" i="11"/>
  <c r="AR8" i="11"/>
  <c r="AN4" i="11"/>
  <c r="AR5" i="11"/>
  <c r="AP4" i="11" l="1"/>
  <c r="AR7" i="12" l="1"/>
  <c r="AG4" i="12"/>
  <c r="AF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T4" i="12"/>
  <c r="S4" i="12"/>
  <c r="R4" i="12"/>
  <c r="AM4" i="12" s="1"/>
  <c r="AR13" i="12"/>
  <c r="AR12" i="12"/>
  <c r="AR11" i="12"/>
  <c r="AR10" i="12"/>
  <c r="AR9" i="12"/>
  <c r="AR8" i="12"/>
  <c r="AR6" i="12"/>
  <c r="AR5" i="12"/>
  <c r="AR4" i="12"/>
  <c r="AL4" i="12"/>
  <c r="AK4" i="12"/>
  <c r="AT19" i="12" l="1"/>
  <c r="AM66" i="12"/>
  <c r="H28" i="1" s="1"/>
  <c r="AO4" i="12"/>
  <c r="AN4" i="12"/>
  <c r="AV19" i="12" l="1"/>
  <c r="AU19" i="12"/>
  <c r="AO66" i="12"/>
  <c r="J28" i="1" s="1"/>
  <c r="AN66" i="12"/>
  <c r="I28" i="1" s="1"/>
  <c r="AP4" i="12"/>
  <c r="M64" i="16" l="1"/>
  <c r="M63" i="16"/>
  <c r="AR11" i="10"/>
  <c r="AR9" i="10"/>
  <c r="AP10" i="10" l="1"/>
  <c r="AP8" i="10"/>
  <c r="AP11" i="10"/>
  <c r="AP9" i="10"/>
  <c r="AR10" i="10"/>
  <c r="AR8" i="10"/>
  <c r="AR13" i="9" l="1"/>
  <c r="AR12" i="9"/>
  <c r="AR11" i="9"/>
  <c r="AR10" i="9"/>
  <c r="AR9" i="9"/>
  <c r="AR8" i="9"/>
  <c r="AR7" i="9"/>
  <c r="AR6" i="9"/>
  <c r="AR5" i="9"/>
  <c r="AR4" i="9"/>
  <c r="AL4" i="9"/>
  <c r="AK4" i="9"/>
  <c r="AR13" i="7" l="1"/>
  <c r="AR12" i="7"/>
  <c r="AR9" i="7"/>
  <c r="AR8" i="7"/>
  <c r="AR11" i="7" l="1"/>
  <c r="AR10" i="7"/>
  <c r="AN8" i="5" l="1"/>
  <c r="AO8" i="5"/>
  <c r="AN9" i="5"/>
  <c r="AO9" i="5"/>
  <c r="AN10" i="5"/>
  <c r="AO10" i="5"/>
  <c r="AN11" i="5"/>
  <c r="AO11" i="5"/>
  <c r="AN12" i="5"/>
  <c r="AO12" i="5"/>
  <c r="AN13" i="5"/>
  <c r="AO13" i="5"/>
  <c r="AR13" i="5"/>
  <c r="AR11" i="5"/>
  <c r="AR9" i="5"/>
  <c r="AP9" i="5" l="1"/>
  <c r="AP13" i="5"/>
  <c r="AP11" i="5"/>
  <c r="AP10" i="5"/>
  <c r="AP12" i="5"/>
  <c r="AP8" i="5"/>
  <c r="AR12" i="5"/>
  <c r="AR8" i="5"/>
  <c r="AR10" i="5"/>
  <c r="AR59" i="14" l="1"/>
  <c r="AR58" i="14"/>
  <c r="AR34" i="14"/>
  <c r="AR33" i="14"/>
  <c r="AR32" i="14"/>
  <c r="AR23" i="14"/>
  <c r="AR22" i="14"/>
  <c r="AR21" i="14"/>
  <c r="AR20" i="14"/>
  <c r="AR19" i="14"/>
  <c r="AR18" i="14"/>
  <c r="AR17" i="14"/>
  <c r="AR16" i="14"/>
  <c r="AR15" i="14"/>
  <c r="AR14" i="14"/>
  <c r="A8" i="14"/>
  <c r="A5" i="14"/>
  <c r="A4" i="14"/>
  <c r="A6" i="14" l="1"/>
  <c r="A10" i="14" l="1"/>
  <c r="A7" i="14"/>
  <c r="A12" i="14" l="1"/>
  <c r="A9" i="14"/>
  <c r="A11" i="14" l="1"/>
  <c r="A14" i="14"/>
  <c r="A16" i="14" l="1"/>
  <c r="A13" i="14"/>
  <c r="A15" i="14" l="1"/>
  <c r="A18" i="14"/>
  <c r="A20" i="14" l="1"/>
  <c r="A17" i="14"/>
  <c r="A19" i="14" l="1"/>
  <c r="A22" i="14"/>
  <c r="A24" i="14" l="1"/>
  <c r="A21" i="14"/>
  <c r="A23" i="14" l="1"/>
  <c r="A26" i="14"/>
  <c r="A28" i="14" l="1"/>
  <c r="A25" i="14"/>
  <c r="A30" i="14" l="1"/>
  <c r="A27" i="14"/>
  <c r="A29" i="14" l="1"/>
  <c r="A32" i="14"/>
  <c r="A34" i="14" l="1"/>
  <c r="A31" i="14"/>
  <c r="A33" i="14" l="1"/>
  <c r="A36" i="14"/>
  <c r="A38" i="14" l="1"/>
  <c r="A35" i="14"/>
  <c r="A37" i="14" l="1"/>
  <c r="A40" i="14"/>
  <c r="A42" i="14" l="1"/>
  <c r="A39" i="14"/>
  <c r="A41" i="14" l="1"/>
  <c r="A44" i="14"/>
  <c r="A46" i="14" l="1"/>
  <c r="A43" i="14"/>
  <c r="A45" i="14" l="1"/>
  <c r="A48" i="14"/>
  <c r="A50" i="14" l="1"/>
  <c r="A47" i="14"/>
  <c r="A49" i="14" l="1"/>
  <c r="A52" i="14"/>
  <c r="A54" i="14" l="1"/>
  <c r="A51" i="14"/>
  <c r="A53" i="14" l="1"/>
  <c r="A56" i="14"/>
  <c r="A58" i="14" l="1"/>
  <c r="A55" i="14"/>
  <c r="A57" i="14" l="1"/>
  <c r="A59" i="14" l="1"/>
  <c r="G29" i="1" l="1"/>
  <c r="AR48" i="13"/>
  <c r="AR47" i="13"/>
  <c r="AR46" i="13"/>
  <c r="AR45" i="13"/>
  <c r="AR44" i="13"/>
  <c r="AR43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O7" i="13"/>
  <c r="AN7" i="13"/>
  <c r="AM7" i="13"/>
  <c r="AO6" i="13"/>
  <c r="AN6" i="13"/>
  <c r="AM6" i="13"/>
  <c r="AR5" i="13"/>
  <c r="AO5" i="13"/>
  <c r="AN5" i="13"/>
  <c r="AM5" i="13"/>
  <c r="A5" i="13"/>
  <c r="AR4" i="13"/>
  <c r="AL4" i="13"/>
  <c r="AK4" i="13"/>
  <c r="AG4" i="13"/>
  <c r="AF4" i="13"/>
  <c r="T4" i="13"/>
  <c r="S4" i="13"/>
  <c r="AM4" i="13"/>
  <c r="A4" i="13"/>
  <c r="AP5" i="13" l="1"/>
  <c r="AP7" i="13"/>
  <c r="AP6" i="13"/>
  <c r="AN4" i="13"/>
  <c r="AM66" i="13"/>
  <c r="H29" i="1" s="1"/>
  <c r="AO4" i="13"/>
  <c r="A8" i="13"/>
  <c r="A6" i="13"/>
  <c r="AR6" i="13"/>
  <c r="AN66" i="13" l="1"/>
  <c r="I29" i="1" s="1"/>
  <c r="AO66" i="13"/>
  <c r="AP4" i="13"/>
  <c r="A10" i="13"/>
  <c r="A7" i="13"/>
  <c r="J29" i="1" l="1"/>
  <c r="A12" i="13"/>
  <c r="A9" i="13"/>
  <c r="A11" i="13" l="1"/>
  <c r="A14" i="13"/>
  <c r="A16" i="13" l="1"/>
  <c r="A13" i="13"/>
  <c r="A15" i="13" l="1"/>
  <c r="A18" i="13"/>
  <c r="A17" i="13" l="1"/>
  <c r="A20" i="13"/>
  <c r="A22" i="13" l="1"/>
  <c r="A19" i="13"/>
  <c r="A21" i="13" l="1"/>
  <c r="A24" i="13"/>
  <c r="A26" i="13" l="1"/>
  <c r="A23" i="13"/>
  <c r="A25" i="13" l="1"/>
  <c r="A28" i="13"/>
  <c r="A30" i="13" l="1"/>
  <c r="A27" i="13"/>
  <c r="A32" i="13" l="1"/>
  <c r="A29" i="13"/>
  <c r="A31" i="13" l="1"/>
  <c r="A34" i="13"/>
  <c r="A36" i="13" l="1"/>
  <c r="A33" i="13"/>
  <c r="A35" i="13" l="1"/>
  <c r="A38" i="13"/>
  <c r="A40" i="13" l="1"/>
  <c r="A37" i="13"/>
  <c r="A39" i="13" l="1"/>
  <c r="A42" i="13"/>
  <c r="A44" i="13" l="1"/>
  <c r="A41" i="13"/>
  <c r="A43" i="13" l="1"/>
  <c r="A46" i="13"/>
  <c r="A45" i="13" l="1"/>
  <c r="A48" i="13"/>
  <c r="A50" i="13" l="1"/>
  <c r="A47" i="13"/>
  <c r="A49" i="13" l="1"/>
  <c r="A52" i="13"/>
  <c r="A54" i="13" l="1"/>
  <c r="A51" i="13"/>
  <c r="A53" i="13" l="1"/>
  <c r="A56" i="13"/>
  <c r="A58" i="13" l="1"/>
  <c r="A55" i="13"/>
  <c r="A57" i="13" l="1"/>
  <c r="A60" i="13"/>
  <c r="A62" i="13" l="1"/>
  <c r="A64" i="13"/>
  <c r="A59" i="13"/>
  <c r="A61" i="13" l="1"/>
  <c r="A63" i="13" l="1"/>
  <c r="A65" i="13"/>
  <c r="AR51" i="12" l="1"/>
  <c r="AR50" i="12"/>
  <c r="AR48" i="12"/>
  <c r="AR47" i="12"/>
  <c r="AR46" i="12"/>
  <c r="AR45" i="12"/>
  <c r="AR44" i="12"/>
  <c r="AR43" i="12"/>
  <c r="AR42" i="12"/>
  <c r="AR41" i="12"/>
  <c r="AR40" i="12"/>
  <c r="A5" i="12"/>
  <c r="A4" i="12"/>
  <c r="A8" i="12" l="1"/>
  <c r="A6" i="12"/>
  <c r="A10" i="12" l="1"/>
  <c r="A7" i="12"/>
  <c r="A12" i="12" l="1"/>
  <c r="A9" i="12"/>
  <c r="A11" i="12" l="1"/>
  <c r="A14" i="12"/>
  <c r="A16" i="12" l="1"/>
  <c r="A13" i="12"/>
  <c r="A15" i="12" l="1"/>
  <c r="A18" i="12"/>
  <c r="A20" i="12" l="1"/>
  <c r="A17" i="12"/>
  <c r="A19" i="12" l="1"/>
  <c r="A22" i="12"/>
  <c r="A21" i="12" l="1"/>
  <c r="A24" i="12"/>
  <c r="A26" i="12" l="1"/>
  <c r="A23" i="12"/>
  <c r="A28" i="12" l="1"/>
  <c r="A25" i="12"/>
  <c r="A27" i="12" l="1"/>
  <c r="A30" i="12"/>
  <c r="A32" i="12" l="1"/>
  <c r="A29" i="12"/>
  <c r="A31" i="12" l="1"/>
  <c r="A34" i="12"/>
  <c r="A33" i="12" l="1"/>
  <c r="A36" i="12"/>
  <c r="A38" i="12" l="1"/>
  <c r="A35" i="12"/>
  <c r="A37" i="12" l="1"/>
  <c r="A40" i="12"/>
  <c r="A42" i="12" l="1"/>
  <c r="A39" i="12"/>
  <c r="A41" i="12" l="1"/>
  <c r="A44" i="12"/>
  <c r="A46" i="12" l="1"/>
  <c r="A43" i="12"/>
  <c r="A45" i="12" l="1"/>
  <c r="A48" i="12"/>
  <c r="A50" i="12" l="1"/>
  <c r="A47" i="12"/>
  <c r="A49" i="12" l="1"/>
  <c r="A52" i="12"/>
  <c r="A54" i="12" l="1"/>
  <c r="A51" i="12"/>
  <c r="A53" i="12" l="1"/>
  <c r="A56" i="12"/>
  <c r="A58" i="12" l="1"/>
  <c r="A55" i="12"/>
  <c r="A57" i="12" l="1"/>
  <c r="A59" i="12" l="1"/>
  <c r="G26" i="1" l="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5" i="11"/>
  <c r="A4" i="11"/>
  <c r="AO66" i="11" l="1"/>
  <c r="J26" i="1" s="1"/>
  <c r="A8" i="11"/>
  <c r="AN66" i="11"/>
  <c r="I26" i="1" s="1"/>
  <c r="A6" i="11"/>
  <c r="AM66" i="11"/>
  <c r="H26" i="1" s="1"/>
  <c r="A7" i="11" l="1"/>
  <c r="A10" i="11"/>
  <c r="A12" i="11" l="1"/>
  <c r="A9" i="11"/>
  <c r="A11" i="11" l="1"/>
  <c r="A14" i="11"/>
  <c r="A16" i="11" l="1"/>
  <c r="A13" i="11"/>
  <c r="A18" i="11" l="1"/>
  <c r="A15" i="11"/>
  <c r="A20" i="11" l="1"/>
  <c r="A17" i="11"/>
  <c r="A19" i="11" l="1"/>
  <c r="A22" i="11"/>
  <c r="A24" i="11" l="1"/>
  <c r="A21" i="11"/>
  <c r="A23" i="11" l="1"/>
  <c r="A26" i="11"/>
  <c r="A25" i="11" l="1"/>
  <c r="A28" i="11"/>
  <c r="A30" i="11" l="1"/>
  <c r="A27" i="11"/>
  <c r="A29" i="11" l="1"/>
  <c r="A32" i="11"/>
  <c r="A34" i="11" l="1"/>
  <c r="A31" i="11"/>
  <c r="A33" i="11" l="1"/>
  <c r="A36" i="11"/>
  <c r="A38" i="11" l="1"/>
  <c r="A35" i="11"/>
  <c r="A37" i="11" l="1"/>
  <c r="A40" i="11"/>
  <c r="A42" i="11" l="1"/>
  <c r="A39" i="11"/>
  <c r="A41" i="11" l="1"/>
  <c r="A44" i="11"/>
  <c r="A46" i="11" l="1"/>
  <c r="A43" i="11"/>
  <c r="A45" i="11" l="1"/>
  <c r="A48" i="11"/>
  <c r="A50" i="11" l="1"/>
  <c r="A47" i="11"/>
  <c r="A49" i="11" l="1"/>
  <c r="A52" i="11"/>
  <c r="A54" i="11" l="1"/>
  <c r="A51" i="11"/>
  <c r="A56" i="11" l="1"/>
  <c r="A53" i="11"/>
  <c r="A55" i="11" l="1"/>
  <c r="A58" i="11"/>
  <c r="A60" i="11" l="1"/>
  <c r="A57" i="11"/>
  <c r="A59" i="11" l="1"/>
  <c r="A62" i="11"/>
  <c r="A64" i="11"/>
  <c r="A61" i="11" l="1"/>
  <c r="A63" i="11" l="1"/>
  <c r="A65" i="11"/>
  <c r="J66" i="10" l="1"/>
  <c r="G24" i="1" s="1"/>
  <c r="AR65" i="10"/>
  <c r="AR64" i="10"/>
  <c r="AR49" i="10"/>
  <c r="AR48" i="10"/>
  <c r="AR47" i="10"/>
  <c r="AR45" i="10"/>
  <c r="AR44" i="10"/>
  <c r="AR43" i="10"/>
  <c r="AR42" i="10"/>
  <c r="AR7" i="10"/>
  <c r="AR6" i="10"/>
  <c r="AR5" i="10"/>
  <c r="AR4" i="10"/>
  <c r="AL4" i="10"/>
  <c r="AK4" i="10"/>
  <c r="AG4" i="10"/>
  <c r="AF4" i="10"/>
  <c r="AB4" i="10"/>
  <c r="AA4" i="10"/>
  <c r="AM4" i="10"/>
  <c r="A4" i="10"/>
  <c r="AP7" i="10" l="1"/>
  <c r="AP5" i="10"/>
  <c r="AP6" i="10"/>
  <c r="AN4" i="10"/>
  <c r="A6" i="10"/>
  <c r="AO4" i="10"/>
  <c r="A8" i="10"/>
  <c r="A7" i="10"/>
  <c r="A5" i="10"/>
  <c r="AO66" i="10" l="1"/>
  <c r="J24" i="1" s="1"/>
  <c r="AP4" i="10"/>
  <c r="AM66" i="10"/>
  <c r="H24" i="1" s="1"/>
  <c r="AN66" i="10"/>
  <c r="I24" i="1" s="1"/>
  <c r="A9" i="10"/>
  <c r="A10" i="10"/>
  <c r="A12" i="10" l="1"/>
  <c r="A11" i="10"/>
  <c r="A13" i="10" l="1"/>
  <c r="A14" i="10"/>
  <c r="A15" i="10" l="1"/>
  <c r="A16" i="10"/>
  <c r="A18" i="10" l="1"/>
  <c r="A17" i="10"/>
  <c r="A19" i="10" l="1"/>
  <c r="A20" i="10"/>
  <c r="A21" i="10" l="1"/>
  <c r="A22" i="10"/>
  <c r="A24" i="10" l="1"/>
  <c r="A23" i="10"/>
  <c r="A25" i="10" l="1"/>
  <c r="A26" i="10"/>
  <c r="A28" i="10" l="1"/>
  <c r="A27" i="10"/>
  <c r="A29" i="10" l="1"/>
  <c r="A30" i="10"/>
  <c r="A32" i="10" l="1"/>
  <c r="A31" i="10"/>
  <c r="A33" i="10" l="1"/>
  <c r="A34" i="10"/>
  <c r="A36" i="10" l="1"/>
  <c r="A35" i="10"/>
  <c r="A37" i="10" l="1"/>
  <c r="A38" i="10"/>
  <c r="A40" i="10" l="1"/>
  <c r="A39" i="10"/>
  <c r="A41" i="10" l="1"/>
  <c r="A42" i="10"/>
  <c r="A44" i="10" l="1"/>
  <c r="A43" i="10"/>
  <c r="A45" i="10" l="1"/>
  <c r="A46" i="10"/>
  <c r="A48" i="10" l="1"/>
  <c r="A47" i="10"/>
  <c r="A49" i="10" l="1"/>
  <c r="A50" i="10"/>
  <c r="A52" i="10" l="1"/>
  <c r="A51" i="10"/>
  <c r="A53" i="10" l="1"/>
  <c r="A54" i="10"/>
  <c r="A56" i="10" l="1"/>
  <c r="A55" i="10"/>
  <c r="A57" i="10" l="1"/>
  <c r="A58" i="10"/>
  <c r="A60" i="10" l="1"/>
  <c r="A59" i="10"/>
  <c r="J66" i="9"/>
  <c r="G22" i="1" s="1"/>
  <c r="AR57" i="9"/>
  <c r="AR56" i="9"/>
  <c r="AR49" i="9"/>
  <c r="AR48" i="9"/>
  <c r="AR47" i="9"/>
  <c r="AR46" i="9"/>
  <c r="AR45" i="9"/>
  <c r="AR44" i="9"/>
  <c r="AR29" i="9"/>
  <c r="AR26" i="9"/>
  <c r="AR25" i="9"/>
  <c r="AR24" i="9"/>
  <c r="AR23" i="9"/>
  <c r="AR22" i="9"/>
  <c r="AG4" i="9"/>
  <c r="AF4" i="9"/>
  <c r="T4" i="9"/>
  <c r="S4" i="9"/>
  <c r="R4" i="9"/>
  <c r="AM4" i="9" s="1"/>
  <c r="AT17" i="9" s="1"/>
  <c r="A4" i="9"/>
  <c r="A5" i="9" l="1"/>
  <c r="A6" i="9"/>
  <c r="AO4" i="9"/>
  <c r="AV17" i="9" s="1"/>
  <c r="AN4" i="9"/>
  <c r="AU17" i="9" s="1"/>
  <c r="A61" i="10"/>
  <c r="A62" i="10"/>
  <c r="A64" i="10"/>
  <c r="A8" i="9"/>
  <c r="A7" i="9"/>
  <c r="AN66" i="9" l="1"/>
  <c r="I22" i="1" s="1"/>
  <c r="AO66" i="9"/>
  <c r="J22" i="1" s="1"/>
  <c r="AP4" i="9"/>
  <c r="AM66" i="9"/>
  <c r="H22" i="1" s="1"/>
  <c r="A65" i="10"/>
  <c r="A63" i="10"/>
  <c r="A9" i="9"/>
  <c r="A10" i="9"/>
  <c r="A12" i="9" l="1"/>
  <c r="A11" i="9"/>
  <c r="A13" i="9" l="1"/>
  <c r="A14" i="9"/>
  <c r="A16" i="9" l="1"/>
  <c r="A15" i="9"/>
  <c r="A17" i="9" l="1"/>
  <c r="A18" i="9"/>
  <c r="A20" i="9" l="1"/>
  <c r="A19" i="9"/>
  <c r="A21" i="9" l="1"/>
  <c r="A22" i="9"/>
  <c r="A24" i="9" l="1"/>
  <c r="A23" i="9"/>
  <c r="A25" i="9" l="1"/>
  <c r="A26" i="9"/>
  <c r="A28" i="9" l="1"/>
  <c r="A27" i="9"/>
  <c r="A30" i="9" l="1"/>
  <c r="A29" i="9"/>
  <c r="A31" i="9" l="1"/>
  <c r="A32" i="9"/>
  <c r="A33" i="9" l="1"/>
  <c r="A34" i="9"/>
  <c r="A36" i="9" l="1"/>
  <c r="A35" i="9"/>
  <c r="A37" i="9" l="1"/>
  <c r="A38" i="9"/>
  <c r="A40" i="9" l="1"/>
  <c r="A39" i="9"/>
  <c r="A41" i="9" l="1"/>
  <c r="A42" i="9"/>
  <c r="A43" i="9" l="1"/>
  <c r="A44" i="9"/>
  <c r="A46" i="9" l="1"/>
  <c r="A45" i="9"/>
  <c r="A47" i="9" l="1"/>
  <c r="A48" i="9"/>
  <c r="A50" i="9" l="1"/>
  <c r="A49" i="9"/>
  <c r="A51" i="9" l="1"/>
  <c r="A52" i="9"/>
  <c r="A54" i="9" l="1"/>
  <c r="A53" i="9"/>
  <c r="A55" i="9" l="1"/>
  <c r="A56" i="9"/>
  <c r="A58" i="9" l="1"/>
  <c r="A57" i="9"/>
  <c r="A59" i="9" l="1"/>
  <c r="A60" i="9"/>
  <c r="A64" i="9" l="1"/>
  <c r="A62" i="9"/>
  <c r="A61" i="9"/>
  <c r="A63" i="9" l="1"/>
  <c r="A65" i="9"/>
  <c r="J66" i="8" l="1"/>
  <c r="G21" i="1" s="1"/>
  <c r="AR65" i="8"/>
  <c r="AR64" i="8"/>
  <c r="AR49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7" i="8"/>
  <c r="AO6" i="8"/>
  <c r="AN6" i="8"/>
  <c r="AR5" i="8"/>
  <c r="AO5" i="8"/>
  <c r="AN5" i="8"/>
  <c r="A5" i="8"/>
  <c r="AR4" i="8"/>
  <c r="AL4" i="8"/>
  <c r="AK4" i="8"/>
  <c r="T4" i="8"/>
  <c r="S4" i="8"/>
  <c r="R4" i="8"/>
  <c r="AM4" i="8" s="1"/>
  <c r="AT17" i="8" s="1"/>
  <c r="A4" i="8"/>
  <c r="AP5" i="8" l="1"/>
  <c r="AP6" i="8"/>
  <c r="AN4" i="8"/>
  <c r="AO4" i="8"/>
  <c r="A8" i="8"/>
  <c r="A6" i="8"/>
  <c r="AR6" i="8"/>
  <c r="AP4" i="8" l="1"/>
  <c r="AM66" i="8"/>
  <c r="H21" i="1" s="1"/>
  <c r="A7" i="8"/>
  <c r="A10" i="8"/>
  <c r="A9" i="8" l="1"/>
  <c r="A12" i="8"/>
  <c r="A14" i="8" l="1"/>
  <c r="A11" i="8"/>
  <c r="A13" i="8" l="1"/>
  <c r="A16" i="8"/>
  <c r="A18" i="8" l="1"/>
  <c r="A15" i="8"/>
  <c r="A17" i="8" l="1"/>
  <c r="A20" i="8"/>
  <c r="A22" i="8" l="1"/>
  <c r="A19" i="8"/>
  <c r="A21" i="8" l="1"/>
  <c r="A24" i="8"/>
  <c r="A26" i="8" l="1"/>
  <c r="A23" i="8"/>
  <c r="A25" i="8" l="1"/>
  <c r="A28" i="8"/>
  <c r="A30" i="8" l="1"/>
  <c r="A27" i="8"/>
  <c r="A29" i="8" l="1"/>
  <c r="A32" i="8"/>
  <c r="A34" i="8" l="1"/>
  <c r="A31" i="8"/>
  <c r="A36" i="8" l="1"/>
  <c r="A33" i="8"/>
  <c r="A35" i="8" l="1"/>
  <c r="A38" i="8"/>
  <c r="A37" i="8" l="1"/>
  <c r="A40" i="8"/>
  <c r="A42" i="8" l="1"/>
  <c r="A39" i="8"/>
  <c r="A41" i="8" l="1"/>
  <c r="A44" i="8"/>
  <c r="A46" i="8" l="1"/>
  <c r="A43" i="8"/>
  <c r="A45" i="8" l="1"/>
  <c r="A48" i="8"/>
  <c r="A50" i="8" l="1"/>
  <c r="A47" i="8"/>
  <c r="A52" i="8" l="1"/>
  <c r="A49" i="8"/>
  <c r="A51" i="8" l="1"/>
  <c r="A54" i="8"/>
  <c r="A56" i="8" l="1"/>
  <c r="A53" i="8"/>
  <c r="A55" i="8" l="1"/>
  <c r="A58" i="8"/>
  <c r="A60" i="8" l="1"/>
  <c r="A57" i="8"/>
  <c r="A59" i="8" l="1"/>
  <c r="A62" i="8"/>
  <c r="A64" i="8"/>
  <c r="A61" i="8" l="1"/>
  <c r="A63" i="8" l="1"/>
  <c r="A65" i="8"/>
  <c r="J66" i="7" l="1"/>
  <c r="G13" i="1" s="1"/>
  <c r="AR65" i="7"/>
  <c r="AR64" i="7"/>
  <c r="AR27" i="7"/>
  <c r="AR26" i="7"/>
  <c r="AR25" i="7"/>
  <c r="AR24" i="7"/>
  <c r="AR23" i="7"/>
  <c r="AR22" i="7"/>
  <c r="AR7" i="7"/>
  <c r="AR6" i="7"/>
  <c r="AR5" i="7"/>
  <c r="A5" i="7"/>
  <c r="AR4" i="7"/>
  <c r="AL4" i="7"/>
  <c r="AK4" i="7"/>
  <c r="AF4" i="7"/>
  <c r="AB4" i="7"/>
  <c r="AA4" i="7"/>
  <c r="T4" i="7"/>
  <c r="S4" i="7"/>
  <c r="R4" i="7"/>
  <c r="AM4" i="7" s="1"/>
  <c r="A4" i="7"/>
  <c r="AO4" i="7" l="1"/>
  <c r="AN4" i="7"/>
  <c r="AN66" i="7" s="1"/>
  <c r="I13" i="1" s="1"/>
  <c r="AM66" i="7"/>
  <c r="H13" i="1" s="1"/>
  <c r="A8" i="7"/>
  <c r="A6" i="7"/>
  <c r="AP4" i="7" l="1"/>
  <c r="A7" i="7"/>
  <c r="AO66" i="7"/>
  <c r="J13" i="1" s="1"/>
  <c r="M13" i="1" s="1"/>
  <c r="A10" i="7"/>
  <c r="A12" i="7" l="1"/>
  <c r="A9" i="7"/>
  <c r="A11" i="7" l="1"/>
  <c r="A14" i="7"/>
  <c r="A16" i="7" l="1"/>
  <c r="A13" i="7"/>
  <c r="A15" i="7" l="1"/>
  <c r="A18" i="7"/>
  <c r="A20" i="7" l="1"/>
  <c r="A17" i="7"/>
  <c r="A19" i="7" l="1"/>
  <c r="A22" i="7"/>
  <c r="A24" i="7" l="1"/>
  <c r="A21" i="7"/>
  <c r="A23" i="7" l="1"/>
  <c r="A26" i="7"/>
  <c r="A25" i="7" l="1"/>
  <c r="A28" i="7"/>
  <c r="A30" i="7" l="1"/>
  <c r="A27" i="7"/>
  <c r="A29" i="7" l="1"/>
  <c r="A32" i="7"/>
  <c r="A34" i="7" l="1"/>
  <c r="A31" i="7"/>
  <c r="A33" i="7" l="1"/>
  <c r="A36" i="7"/>
  <c r="A38" i="7" l="1"/>
  <c r="A35" i="7"/>
  <c r="A40" i="7" l="1"/>
  <c r="A37" i="7"/>
  <c r="A39" i="7" l="1"/>
  <c r="A42" i="7"/>
  <c r="A44" i="7" l="1"/>
  <c r="A41" i="7"/>
  <c r="A43" i="7" l="1"/>
  <c r="A46" i="7"/>
  <c r="A48" i="7" l="1"/>
  <c r="A45" i="7"/>
  <c r="A47" i="7" l="1"/>
  <c r="A50" i="7"/>
  <c r="A52" i="7" l="1"/>
  <c r="A49" i="7"/>
  <c r="A51" i="7" l="1"/>
  <c r="A54" i="7"/>
  <c r="A56" i="7" l="1"/>
  <c r="A53" i="7"/>
  <c r="A55" i="7" l="1"/>
  <c r="A58" i="7"/>
  <c r="A57" i="7" l="1"/>
  <c r="A60" i="7"/>
  <c r="A62" i="7" l="1"/>
  <c r="A64" i="7"/>
  <c r="A59" i="7"/>
  <c r="A61" i="7" l="1"/>
  <c r="A63" i="7" l="1"/>
  <c r="A65" i="7"/>
  <c r="AG66" i="5" l="1"/>
  <c r="AF66" i="5"/>
  <c r="AB66" i="5"/>
  <c r="AA66" i="5"/>
  <c r="S66" i="5"/>
  <c r="AO7" i="5"/>
  <c r="AN7" i="5"/>
  <c r="AR7" i="5"/>
  <c r="AO6" i="5"/>
  <c r="AN6" i="5"/>
  <c r="AO5" i="5"/>
  <c r="AN5" i="5"/>
  <c r="AR5" i="5"/>
  <c r="AR4" i="5"/>
  <c r="AL4" i="5"/>
  <c r="AK4" i="5"/>
  <c r="AG4" i="5"/>
  <c r="AF4" i="5"/>
  <c r="T4" i="5"/>
  <c r="S4" i="5"/>
  <c r="R4" i="5"/>
  <c r="AM4" i="5" s="1"/>
  <c r="AM66" i="5" s="1"/>
  <c r="A4" i="5"/>
  <c r="AP7" i="5" l="1"/>
  <c r="AP6" i="5"/>
  <c r="AP5" i="5"/>
  <c r="A6" i="5"/>
  <c r="A5" i="5"/>
  <c r="AO4" i="5"/>
  <c r="AO66" i="5" s="1"/>
  <c r="AN4" i="5"/>
  <c r="AN66" i="5" s="1"/>
  <c r="T66" i="5"/>
  <c r="G8" i="1"/>
  <c r="A7" i="5"/>
  <c r="A8" i="5"/>
  <c r="AR6" i="5"/>
  <c r="H8" i="1" l="1"/>
  <c r="AP4" i="5"/>
  <c r="J8" i="1"/>
  <c r="A9" i="5"/>
  <c r="A10" i="5"/>
  <c r="I8" i="1"/>
  <c r="M8" i="1" l="1"/>
  <c r="A12" i="5"/>
  <c r="A11" i="5"/>
  <c r="A13" i="5" l="1"/>
  <c r="A14" i="5"/>
  <c r="A16" i="5" l="1"/>
  <c r="A15" i="5"/>
  <c r="A17" i="5" l="1"/>
  <c r="A18" i="5"/>
  <c r="A20" i="5" l="1"/>
  <c r="A19" i="5"/>
  <c r="A21" i="5" l="1"/>
  <c r="A22" i="5"/>
  <c r="A24" i="5" l="1"/>
  <c r="A23" i="5"/>
  <c r="A25" i="5" l="1"/>
  <c r="A26" i="5"/>
  <c r="A28" i="5" l="1"/>
  <c r="A27" i="5"/>
  <c r="A29" i="5" l="1"/>
  <c r="A30" i="5"/>
  <c r="A32" i="5" l="1"/>
  <c r="A31" i="5"/>
  <c r="A33" i="5" l="1"/>
  <c r="A34" i="5"/>
  <c r="A35" i="5" l="1"/>
  <c r="A36" i="5"/>
  <c r="A37" i="5" l="1"/>
  <c r="A38" i="5"/>
  <c r="A40" i="5" l="1"/>
  <c r="A39" i="5"/>
  <c r="A41" i="5" l="1"/>
  <c r="A42" i="5"/>
  <c r="A44" i="5" l="1"/>
  <c r="A43" i="5"/>
  <c r="A45" i="5" l="1"/>
  <c r="A46" i="5"/>
  <c r="A47" i="5" l="1"/>
  <c r="A48" i="5"/>
  <c r="A50" i="5" l="1"/>
  <c r="A49" i="5"/>
  <c r="A51" i="5" l="1"/>
  <c r="A52" i="5"/>
  <c r="A54" i="5" l="1"/>
  <c r="A53" i="5"/>
  <c r="A55" i="5" l="1"/>
  <c r="A56" i="5"/>
  <c r="A58" i="5" l="1"/>
  <c r="A57" i="5"/>
  <c r="A59" i="5" l="1"/>
  <c r="A60" i="5"/>
  <c r="A62" i="5" l="1"/>
  <c r="A64" i="5"/>
  <c r="A61" i="5"/>
  <c r="A65" i="5" l="1"/>
  <c r="A63" i="5"/>
  <c r="AG66" i="4" l="1"/>
  <c r="AF66" i="4"/>
  <c r="AB66" i="4"/>
  <c r="AA66" i="4"/>
  <c r="T66" i="4"/>
  <c r="AW23" i="4"/>
  <c r="AW22" i="4"/>
  <c r="AL4" i="4"/>
  <c r="AK4" i="4"/>
  <c r="AG4" i="4"/>
  <c r="AF4" i="4"/>
  <c r="AM4" i="4"/>
  <c r="A4" i="4"/>
  <c r="AW24" i="4" l="1"/>
  <c r="A5" i="4"/>
  <c r="A6" i="4"/>
  <c r="AN4" i="4"/>
  <c r="AO4" i="4"/>
  <c r="A7" i="4"/>
  <c r="A8" i="4"/>
  <c r="R66" i="4"/>
  <c r="G11" i="1" s="1"/>
  <c r="S66" i="4"/>
  <c r="AP4" i="4" l="1"/>
  <c r="AO66" i="4"/>
  <c r="J11" i="1" s="1"/>
  <c r="AM66" i="4"/>
  <c r="H11" i="1" s="1"/>
  <c r="A10" i="4"/>
  <c r="AN66" i="4"/>
  <c r="I11" i="1" s="1"/>
  <c r="A9" i="4"/>
  <c r="M11" i="1" l="1"/>
  <c r="A11" i="4"/>
  <c r="A12" i="4"/>
  <c r="A14" i="4" l="1"/>
  <c r="A13" i="4"/>
  <c r="A16" i="4" l="1"/>
  <c r="A15" i="4"/>
  <c r="A17" i="4" l="1"/>
  <c r="A18" i="4"/>
  <c r="A20" i="4" l="1"/>
  <c r="A19" i="4"/>
  <c r="A21" i="4" l="1"/>
  <c r="A22" i="4"/>
  <c r="A24" i="4" l="1"/>
  <c r="A23" i="4"/>
  <c r="A25" i="4" l="1"/>
  <c r="A26" i="4"/>
  <c r="A28" i="4" l="1"/>
  <c r="A27" i="4"/>
  <c r="A29" i="4" l="1"/>
  <c r="A30" i="4"/>
  <c r="A31" i="4" l="1"/>
  <c r="A32" i="4"/>
  <c r="A34" i="4" l="1"/>
  <c r="A33" i="4"/>
  <c r="A35" i="4" l="1"/>
  <c r="A36" i="4"/>
  <c r="A38" i="4" l="1"/>
  <c r="A37" i="4"/>
  <c r="A40" i="4" l="1"/>
  <c r="A39" i="4"/>
  <c r="A41" i="4" l="1"/>
  <c r="A42" i="4"/>
  <c r="A44" i="4" l="1"/>
  <c r="A43" i="4"/>
  <c r="A45" i="4" l="1"/>
  <c r="A46" i="4"/>
  <c r="A48" i="4" l="1"/>
  <c r="A47" i="4"/>
  <c r="A49" i="4" l="1"/>
  <c r="A50" i="4"/>
  <c r="A52" i="4" l="1"/>
  <c r="A51" i="4"/>
  <c r="A53" i="4" l="1"/>
  <c r="A54" i="4"/>
  <c r="A56" i="4" l="1"/>
  <c r="A55" i="4"/>
  <c r="A57" i="4" l="1"/>
  <c r="A58" i="4"/>
  <c r="A60" i="4" l="1"/>
  <c r="A59" i="4"/>
  <c r="A61" i="4" l="1"/>
  <c r="A64" i="4"/>
  <c r="A62" i="4"/>
  <c r="A63" i="4" l="1"/>
  <c r="A65" i="4"/>
  <c r="G6" i="1" l="1"/>
  <c r="G18" i="1" s="1"/>
  <c r="AR65" i="3"/>
  <c r="AR64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17" i="3"/>
  <c r="AR16" i="3"/>
  <c r="AR7" i="3"/>
  <c r="B6" i="3"/>
  <c r="B8" i="3" s="1"/>
  <c r="AR5" i="3"/>
  <c r="B5" i="3"/>
  <c r="A5" i="3" s="1"/>
  <c r="AR4" i="3"/>
  <c r="AL4" i="3"/>
  <c r="AK4" i="3"/>
  <c r="AG4" i="3"/>
  <c r="AF4" i="3"/>
  <c r="AM4" i="3"/>
  <c r="A4" i="3"/>
  <c r="A7" i="16" l="1"/>
  <c r="A5" i="16"/>
  <c r="A6" i="16"/>
  <c r="A4" i="16"/>
  <c r="AN4" i="3"/>
  <c r="AO4" i="3"/>
  <c r="B10" i="3"/>
  <c r="A8" i="3"/>
  <c r="A6" i="3"/>
  <c r="B7" i="3"/>
  <c r="AR6" i="3"/>
  <c r="A9" i="16"/>
  <c r="A8" i="16" l="1"/>
  <c r="AM66" i="3"/>
  <c r="H6" i="1" s="1"/>
  <c r="AN66" i="3"/>
  <c r="I6" i="1" s="1"/>
  <c r="AP4" i="3"/>
  <c r="H4" i="1"/>
  <c r="J4" i="1"/>
  <c r="A7" i="3"/>
  <c r="B9" i="3"/>
  <c r="AO66" i="3"/>
  <c r="J6" i="1" s="1"/>
  <c r="A10" i="3"/>
  <c r="B12" i="3"/>
  <c r="A11" i="16"/>
  <c r="I4" i="1"/>
  <c r="A10" i="16"/>
  <c r="M6" i="1" l="1"/>
  <c r="H18" i="1"/>
  <c r="J18" i="1"/>
  <c r="I18" i="1"/>
  <c r="B11" i="3"/>
  <c r="A9" i="3"/>
  <c r="B14" i="3"/>
  <c r="A12" i="3"/>
  <c r="A13" i="16"/>
  <c r="A12" i="16"/>
  <c r="A14" i="3" l="1"/>
  <c r="B16" i="3"/>
  <c r="A11" i="3"/>
  <c r="B13" i="3"/>
  <c r="A14" i="16"/>
  <c r="A15" i="16"/>
  <c r="B18" i="3" l="1"/>
  <c r="A16" i="3"/>
  <c r="B15" i="3"/>
  <c r="A13" i="3"/>
  <c r="A17" i="16"/>
  <c r="A16" i="16"/>
  <c r="A15" i="3" l="1"/>
  <c r="B17" i="3"/>
  <c r="A18" i="3"/>
  <c r="B20" i="3"/>
  <c r="A18" i="16"/>
  <c r="A19" i="16"/>
  <c r="B19" i="3" l="1"/>
  <c r="A17" i="3"/>
  <c r="A20" i="3"/>
  <c r="B22" i="3"/>
  <c r="A21" i="16"/>
  <c r="A20" i="16"/>
  <c r="A22" i="3" l="1"/>
  <c r="B24" i="3"/>
  <c r="A19" i="3"/>
  <c r="B21" i="3"/>
  <c r="A23" i="16"/>
  <c r="A22" i="16"/>
  <c r="A24" i="3" l="1"/>
  <c r="B26" i="3"/>
  <c r="B23" i="3"/>
  <c r="A21" i="3"/>
  <c r="A24" i="16"/>
  <c r="A25" i="16"/>
  <c r="A23" i="3" l="1"/>
  <c r="B25" i="3"/>
  <c r="A26" i="3"/>
  <c r="B28" i="3"/>
  <c r="A27" i="16"/>
  <c r="A26" i="16"/>
  <c r="A28" i="3" l="1"/>
  <c r="B30" i="3"/>
  <c r="B27" i="3"/>
  <c r="A25" i="3"/>
  <c r="A29" i="16"/>
  <c r="A28" i="16"/>
  <c r="A27" i="3" l="1"/>
  <c r="B29" i="3"/>
  <c r="A30" i="3"/>
  <c r="B32" i="3"/>
  <c r="A30" i="16"/>
  <c r="A31" i="16"/>
  <c r="B34" i="3" l="1"/>
  <c r="A32" i="3"/>
  <c r="B31" i="3"/>
  <c r="A29" i="3"/>
  <c r="A32" i="16"/>
  <c r="A33" i="16"/>
  <c r="A31" i="3" l="1"/>
  <c r="B33" i="3"/>
  <c r="A34" i="3"/>
  <c r="B36" i="3"/>
  <c r="A35" i="16"/>
  <c r="A34" i="16"/>
  <c r="B35" i="3" l="1"/>
  <c r="A33" i="3"/>
  <c r="A36" i="3"/>
  <c r="B38" i="3"/>
  <c r="A36" i="16"/>
  <c r="A37" i="16"/>
  <c r="A38" i="3" l="1"/>
  <c r="B40" i="3"/>
  <c r="A35" i="3"/>
  <c r="B37" i="3"/>
  <c r="A39" i="16"/>
  <c r="A38" i="16"/>
  <c r="A40" i="3" l="1"/>
  <c r="B42" i="3"/>
  <c r="B39" i="3"/>
  <c r="A37" i="3"/>
  <c r="A40" i="16"/>
  <c r="A41" i="16"/>
  <c r="A39" i="3" l="1"/>
  <c r="B41" i="3"/>
  <c r="A42" i="3"/>
  <c r="B44" i="3"/>
  <c r="A43" i="16"/>
  <c r="A42" i="16"/>
  <c r="B46" i="3" l="1"/>
  <c r="A44" i="3"/>
  <c r="B43" i="3"/>
  <c r="A41" i="3"/>
  <c r="A45" i="16"/>
  <c r="A44" i="16"/>
  <c r="A46" i="3" l="1"/>
  <c r="B48" i="3"/>
  <c r="A43" i="3"/>
  <c r="B45" i="3"/>
  <c r="A46" i="16"/>
  <c r="A47" i="16"/>
  <c r="B47" i="3" l="1"/>
  <c r="A45" i="3"/>
  <c r="A48" i="3"/>
  <c r="B50" i="3"/>
  <c r="A49" i="16"/>
  <c r="A48" i="16"/>
  <c r="A50" i="3" l="1"/>
  <c r="B52" i="3"/>
  <c r="A47" i="3"/>
  <c r="B49" i="3"/>
  <c r="A51" i="16"/>
  <c r="A50" i="16"/>
  <c r="B51" i="3" l="1"/>
  <c r="A49" i="3"/>
  <c r="A52" i="3"/>
  <c r="B54" i="3"/>
  <c r="A52" i="16"/>
  <c r="A53" i="16"/>
  <c r="A54" i="3" l="1"/>
  <c r="B56" i="3"/>
  <c r="A51" i="3"/>
  <c r="B53" i="3"/>
  <c r="A55" i="16"/>
  <c r="A54" i="16"/>
  <c r="B58" i="3" l="1"/>
  <c r="A56" i="3"/>
  <c r="B55" i="3"/>
  <c r="A53" i="3"/>
  <c r="A57" i="16"/>
  <c r="A56" i="16"/>
  <c r="A55" i="3" l="1"/>
  <c r="B57" i="3"/>
  <c r="A58" i="3"/>
  <c r="B60" i="3"/>
  <c r="A58" i="16"/>
  <c r="A59" i="16"/>
  <c r="B59" i="3" l="1"/>
  <c r="A57" i="3"/>
  <c r="B62" i="3"/>
  <c r="A60" i="3"/>
  <c r="A60" i="16"/>
  <c r="A61" i="16"/>
  <c r="A62" i="3" l="1"/>
  <c r="B64" i="3"/>
  <c r="A64" i="3" s="1"/>
  <c r="A59" i="3"/>
  <c r="B61" i="3"/>
  <c r="A62" i="16"/>
  <c r="A63" i="16" l="1"/>
  <c r="B63" i="3"/>
  <c r="A61" i="3"/>
  <c r="A64" i="16" l="1"/>
  <c r="A63" i="3"/>
  <c r="B65" i="3"/>
  <c r="A65" i="3" s="1"/>
  <c r="K43" i="1" l="1"/>
  <c r="N41" i="1"/>
  <c r="N39" i="1"/>
  <c r="N38" i="1"/>
  <c r="N36" i="1"/>
  <c r="P33" i="1"/>
  <c r="P45" i="1" s="1"/>
  <c r="O33" i="1"/>
  <c r="O45" i="1" s="1"/>
  <c r="N33" i="1"/>
  <c r="N45" i="1" s="1"/>
  <c r="M33" i="1"/>
  <c r="M45" i="1" s="1"/>
  <c r="L33" i="1"/>
  <c r="L45" i="1" s="1"/>
  <c r="K33" i="1"/>
  <c r="K45" i="1" s="1"/>
  <c r="J33" i="1"/>
  <c r="J45" i="1" s="1"/>
  <c r="I33" i="1"/>
  <c r="I45" i="1" s="1"/>
  <c r="H33" i="1"/>
  <c r="H45" i="1" s="1"/>
  <c r="G33" i="1"/>
  <c r="G45" i="1" s="1"/>
  <c r="F33" i="1"/>
  <c r="F45" i="1" s="1"/>
  <c r="E33" i="1"/>
  <c r="E45" i="1" s="1"/>
  <c r="D33" i="1"/>
  <c r="D45" i="1" s="1"/>
  <c r="C33" i="1"/>
  <c r="C45" i="1" s="1"/>
  <c r="K31" i="1"/>
  <c r="M30" i="1"/>
  <c r="N30" i="1" s="1"/>
  <c r="M29" i="1"/>
  <c r="N29" i="1" s="1"/>
  <c r="M28" i="1"/>
  <c r="N28" i="1" s="1"/>
  <c r="M26" i="1"/>
  <c r="N26" i="1" s="1"/>
  <c r="M24" i="1"/>
  <c r="N24" i="1" s="1"/>
  <c r="H31" i="1"/>
  <c r="G31" i="1"/>
  <c r="N11" i="1"/>
  <c r="N8" i="1"/>
  <c r="AQ1" i="2"/>
  <c r="N6" i="1" l="1"/>
  <c r="AQ5" i="2"/>
  <c r="AQ9" i="2"/>
  <c r="AQ22" i="2"/>
  <c r="AQ27" i="2"/>
  <c r="AQ23" i="2"/>
  <c r="AQ24" i="2"/>
  <c r="AQ7" i="2"/>
  <c r="AQ20" i="2"/>
  <c r="AQ46" i="2"/>
  <c r="AQ62" i="2"/>
  <c r="AQ60" i="2"/>
  <c r="AQ16" i="2"/>
  <c r="AQ13" i="2"/>
  <c r="AQ17" i="2"/>
  <c r="AQ26" i="2"/>
  <c r="AQ58" i="2"/>
  <c r="AQ14" i="2"/>
  <c r="AQ8" i="2"/>
  <c r="AQ6" i="2"/>
  <c r="AQ63" i="2"/>
  <c r="AQ57" i="2"/>
  <c r="AQ44" i="2"/>
  <c r="AQ61" i="2"/>
  <c r="AQ65" i="2"/>
  <c r="AQ21" i="2"/>
  <c r="AQ25" i="2"/>
  <c r="AQ28" i="2"/>
  <c r="AQ19" i="2"/>
  <c r="AQ18" i="2"/>
  <c r="AQ15" i="2"/>
  <c r="AQ10" i="2"/>
  <c r="AQ11" i="2"/>
  <c r="AQ53" i="2"/>
  <c r="AQ54" i="2"/>
  <c r="AQ50" i="2"/>
  <c r="AQ42" i="2"/>
  <c r="AQ12" i="2"/>
  <c r="AQ59" i="2"/>
  <c r="AQ64" i="2"/>
  <c r="AQ41" i="2"/>
  <c r="AQ47" i="2"/>
  <c r="AQ33" i="2"/>
  <c r="AQ34" i="2"/>
  <c r="AQ4" i="2"/>
  <c r="AQ37" i="2"/>
  <c r="AQ56" i="2"/>
  <c r="AQ43" i="2"/>
  <c r="AQ39" i="2"/>
  <c r="AQ52" i="2"/>
  <c r="AQ48" i="2"/>
  <c r="AQ38" i="2"/>
  <c r="AQ30" i="2"/>
  <c r="AQ35" i="2"/>
  <c r="AQ31" i="2"/>
  <c r="AQ51" i="2"/>
  <c r="AQ55" i="2"/>
  <c r="AQ45" i="2"/>
  <c r="AQ29" i="2"/>
  <c r="AQ40" i="2"/>
  <c r="AQ32" i="2"/>
  <c r="AQ49" i="2"/>
  <c r="AQ36" i="2"/>
  <c r="N13" i="1"/>
  <c r="AQ1" i="4"/>
  <c r="AQ1" i="3"/>
  <c r="AQ1" i="13"/>
  <c r="AQ1" i="11"/>
  <c r="AQ1" i="9"/>
  <c r="AQ1" i="8"/>
  <c r="AQ1" i="7"/>
  <c r="AQ1" i="5"/>
  <c r="AQ1" i="14"/>
  <c r="AQ1" i="12"/>
  <c r="AQ1" i="10"/>
  <c r="L43" i="1"/>
  <c r="N34" i="1"/>
  <c r="M4" i="1"/>
  <c r="N4" i="1" s="1"/>
  <c r="L31" i="1"/>
  <c r="M60" i="1"/>
  <c r="N60" i="1" s="1"/>
  <c r="M22" i="1"/>
  <c r="N22" i="1" s="1"/>
  <c r="AQ29" i="14" l="1"/>
  <c r="O28" i="16" s="1"/>
  <c r="AQ8" i="13"/>
  <c r="AQ50" i="13"/>
  <c r="AQ5" i="13"/>
  <c r="N4" i="16" s="1"/>
  <c r="AQ21" i="13"/>
  <c r="AQ63" i="13"/>
  <c r="AQ18" i="13"/>
  <c r="N17" i="16" s="1"/>
  <c r="AQ60" i="13"/>
  <c r="AQ15" i="13"/>
  <c r="N14" i="16" s="1"/>
  <c r="AQ64" i="13"/>
  <c r="AQ23" i="13"/>
  <c r="AQ12" i="13"/>
  <c r="AQ54" i="13"/>
  <c r="AQ9" i="13"/>
  <c r="AQ51" i="13"/>
  <c r="N50" i="16" s="1"/>
  <c r="AQ6" i="13"/>
  <c r="AQ22" i="13"/>
  <c r="AQ61" i="13"/>
  <c r="N60" i="16" s="1"/>
  <c r="AQ16" i="13"/>
  <c r="N15" i="16" s="1"/>
  <c r="AQ58" i="13"/>
  <c r="N57" i="16" s="1"/>
  <c r="AQ13" i="13"/>
  <c r="AQ55" i="13"/>
  <c r="AQ10" i="13"/>
  <c r="AQ52" i="13"/>
  <c r="N51" i="16" s="1"/>
  <c r="AQ7" i="13"/>
  <c r="AQ20" i="13"/>
  <c r="AQ62" i="13"/>
  <c r="N61" i="16" s="1"/>
  <c r="AQ17" i="13"/>
  <c r="AQ59" i="13"/>
  <c r="AQ14" i="13"/>
  <c r="AQ56" i="13"/>
  <c r="AQ11" i="13"/>
  <c r="AQ53" i="13"/>
  <c r="AQ57" i="13"/>
  <c r="AQ19" i="13"/>
  <c r="N18" i="16" s="1"/>
  <c r="AQ65" i="13"/>
  <c r="AQ41" i="13"/>
  <c r="AQ47" i="13"/>
  <c r="AQ38" i="13"/>
  <c r="AQ37" i="13"/>
  <c r="AQ45" i="13"/>
  <c r="AQ48" i="13"/>
  <c r="AQ42" i="13"/>
  <c r="AQ44" i="13"/>
  <c r="AQ49" i="13"/>
  <c r="AQ36" i="13"/>
  <c r="N35" i="16" s="1"/>
  <c r="AQ43" i="13"/>
  <c r="AQ40" i="13"/>
  <c r="AQ46" i="13"/>
  <c r="AQ39" i="13"/>
  <c r="AQ33" i="13"/>
  <c r="AQ34" i="13"/>
  <c r="N33" i="16" s="1"/>
  <c r="AQ30" i="13"/>
  <c r="N29" i="16" s="1"/>
  <c r="AQ31" i="13"/>
  <c r="AQ28" i="13"/>
  <c r="AQ35" i="13"/>
  <c r="AQ32" i="13"/>
  <c r="N31" i="16" s="1"/>
  <c r="AQ29" i="13"/>
  <c r="AQ25" i="13"/>
  <c r="AQ26" i="13"/>
  <c r="AQ27" i="13"/>
  <c r="AQ24" i="13"/>
  <c r="N23" i="16" s="1"/>
  <c r="AQ45" i="12"/>
  <c r="M44" i="16" s="1"/>
  <c r="AQ65" i="12"/>
  <c r="AQ21" i="12"/>
  <c r="M20" i="16" s="1"/>
  <c r="AQ47" i="12"/>
  <c r="M46" i="16" s="1"/>
  <c r="AQ42" i="12"/>
  <c r="M41" i="16" s="1"/>
  <c r="AQ11" i="12"/>
  <c r="M10" i="16" s="1"/>
  <c r="AQ54" i="12"/>
  <c r="M53" i="16" s="1"/>
  <c r="AQ23" i="12"/>
  <c r="AQ10" i="12"/>
  <c r="AQ12" i="12"/>
  <c r="M11" i="16" s="1"/>
  <c r="AQ43" i="12"/>
  <c r="M42" i="16" s="1"/>
  <c r="AQ24" i="12"/>
  <c r="AQ53" i="12"/>
  <c r="M52" i="16" s="1"/>
  <c r="AQ9" i="12"/>
  <c r="M8" i="16" s="1"/>
  <c r="AQ57" i="12"/>
  <c r="M56" i="16" s="1"/>
  <c r="AQ46" i="12"/>
  <c r="AQ52" i="12"/>
  <c r="M51" i="16" s="1"/>
  <c r="AQ14" i="12"/>
  <c r="AQ64" i="12"/>
  <c r="AQ7" i="12"/>
  <c r="AQ58" i="12"/>
  <c r="AQ19" i="12"/>
  <c r="AQ55" i="12"/>
  <c r="M54" i="16" s="1"/>
  <c r="AQ61" i="12"/>
  <c r="AQ5" i="12"/>
  <c r="M4" i="16" s="1"/>
  <c r="AQ17" i="12"/>
  <c r="M16" i="16" s="1"/>
  <c r="AQ26" i="12"/>
  <c r="AQ20" i="12"/>
  <c r="AQ59" i="12"/>
  <c r="M58" i="16" s="1"/>
  <c r="AQ48" i="12"/>
  <c r="M47" i="16" s="1"/>
  <c r="AQ6" i="12"/>
  <c r="M5" i="16" s="1"/>
  <c r="AQ60" i="12"/>
  <c r="AQ63" i="12"/>
  <c r="AQ50" i="12"/>
  <c r="M49" i="16" s="1"/>
  <c r="AQ15" i="12"/>
  <c r="M14" i="16" s="1"/>
  <c r="AQ49" i="12"/>
  <c r="AQ13" i="12"/>
  <c r="M12" i="16" s="1"/>
  <c r="AQ25" i="12"/>
  <c r="M24" i="16" s="1"/>
  <c r="AQ22" i="12"/>
  <c r="M21" i="16" s="1"/>
  <c r="AQ27" i="12"/>
  <c r="AQ18" i="12"/>
  <c r="M17" i="16" s="1"/>
  <c r="AQ16" i="12"/>
  <c r="AQ51" i="12"/>
  <c r="AQ44" i="12"/>
  <c r="M43" i="16" s="1"/>
  <c r="AQ62" i="12"/>
  <c r="AQ56" i="12"/>
  <c r="M55" i="16" s="1"/>
  <c r="AQ8" i="12"/>
  <c r="M7" i="16" s="1"/>
  <c r="AQ41" i="12"/>
  <c r="AQ38" i="12"/>
  <c r="AQ39" i="12"/>
  <c r="M38" i="16" s="1"/>
  <c r="AQ40" i="12"/>
  <c r="AQ37" i="12"/>
  <c r="AQ31" i="12"/>
  <c r="M30" i="16" s="1"/>
  <c r="AQ30" i="12"/>
  <c r="M29" i="16" s="1"/>
  <c r="AQ35" i="12"/>
  <c r="M34" i="16" s="1"/>
  <c r="AQ36" i="12"/>
  <c r="AQ33" i="12"/>
  <c r="M32" i="16" s="1"/>
  <c r="AQ32" i="12"/>
  <c r="AQ28" i="12"/>
  <c r="M27" i="16" s="1"/>
  <c r="AQ34" i="12"/>
  <c r="AQ29" i="12"/>
  <c r="AQ19" i="11"/>
  <c r="L18" i="16" s="1"/>
  <c r="AQ11" i="11"/>
  <c r="L10" i="16" s="1"/>
  <c r="AQ7" i="11"/>
  <c r="L6" i="16" s="1"/>
  <c r="AQ17" i="11"/>
  <c r="AQ13" i="11"/>
  <c r="L12" i="16" s="1"/>
  <c r="AQ18" i="11"/>
  <c r="L17" i="16" s="1"/>
  <c r="AQ14" i="11"/>
  <c r="AQ9" i="11"/>
  <c r="L8" i="16" s="1"/>
  <c r="AQ5" i="11"/>
  <c r="L4" i="16" s="1"/>
  <c r="AQ10" i="11"/>
  <c r="AQ8" i="11"/>
  <c r="AQ16" i="11"/>
  <c r="AQ12" i="11"/>
  <c r="L11" i="16" s="1"/>
  <c r="AQ15" i="11"/>
  <c r="L14" i="16" s="1"/>
  <c r="AQ6" i="11"/>
  <c r="AQ61" i="14"/>
  <c r="AQ65" i="14"/>
  <c r="AQ60" i="14"/>
  <c r="AQ63" i="14"/>
  <c r="AQ62" i="14"/>
  <c r="AQ64" i="14"/>
  <c r="AQ18" i="5"/>
  <c r="E17" i="16" s="1"/>
  <c r="AQ22" i="5"/>
  <c r="E21" i="16" s="1"/>
  <c r="AQ9" i="5"/>
  <c r="AQ17" i="5"/>
  <c r="E16" i="16" s="1"/>
  <c r="AQ64" i="5"/>
  <c r="E63" i="16" s="1"/>
  <c r="AQ19" i="5"/>
  <c r="E18" i="16" s="1"/>
  <c r="AQ63" i="5"/>
  <c r="E62" i="16" s="1"/>
  <c r="AQ12" i="5"/>
  <c r="E11" i="16" s="1"/>
  <c r="AQ62" i="5"/>
  <c r="E61" i="16" s="1"/>
  <c r="AQ10" i="5"/>
  <c r="E9" i="16" s="1"/>
  <c r="AQ28" i="5"/>
  <c r="E27" i="16" s="1"/>
  <c r="AQ21" i="5"/>
  <c r="E20" i="16" s="1"/>
  <c r="AQ24" i="5"/>
  <c r="E23" i="16" s="1"/>
  <c r="AQ27" i="5"/>
  <c r="E26" i="16" s="1"/>
  <c r="AQ65" i="5"/>
  <c r="AQ15" i="5"/>
  <c r="E14" i="16" s="1"/>
  <c r="AQ14" i="5"/>
  <c r="E13" i="16" s="1"/>
  <c r="AQ7" i="5"/>
  <c r="E6" i="16" s="1"/>
  <c r="AQ16" i="5"/>
  <c r="E15" i="16" s="1"/>
  <c r="AQ59" i="5"/>
  <c r="E58" i="16" s="1"/>
  <c r="AQ13" i="5"/>
  <c r="E12" i="16" s="1"/>
  <c r="AQ23" i="5"/>
  <c r="E22" i="16" s="1"/>
  <c r="AQ29" i="5"/>
  <c r="AQ60" i="5"/>
  <c r="E59" i="16" s="1"/>
  <c r="AQ6" i="5"/>
  <c r="E5" i="16" s="1"/>
  <c r="AQ5" i="5"/>
  <c r="E4" i="16" s="1"/>
  <c r="AQ8" i="5"/>
  <c r="AQ61" i="5"/>
  <c r="E60" i="16" s="1"/>
  <c r="AQ11" i="5"/>
  <c r="E10" i="16" s="1"/>
  <c r="AQ58" i="5"/>
  <c r="E57" i="16" s="1"/>
  <c r="AQ20" i="5"/>
  <c r="E19" i="16" s="1"/>
  <c r="AQ55" i="5"/>
  <c r="E54" i="16" s="1"/>
  <c r="AQ56" i="5"/>
  <c r="E55" i="16" s="1"/>
  <c r="AQ53" i="5"/>
  <c r="E52" i="16" s="1"/>
  <c r="AQ57" i="5"/>
  <c r="AQ52" i="5"/>
  <c r="E51" i="16" s="1"/>
  <c r="AQ54" i="5"/>
  <c r="E53" i="16" s="1"/>
  <c r="AQ51" i="5"/>
  <c r="E50" i="16" s="1"/>
  <c r="AQ50" i="5"/>
  <c r="E49" i="16" s="1"/>
  <c r="AQ42" i="5"/>
  <c r="E41" i="16" s="1"/>
  <c r="AQ44" i="5"/>
  <c r="E43" i="16" s="1"/>
  <c r="AQ48" i="5"/>
  <c r="E47" i="16" s="1"/>
  <c r="AQ40" i="5"/>
  <c r="E39" i="16" s="1"/>
  <c r="AQ46" i="5"/>
  <c r="E45" i="16" s="1"/>
  <c r="AQ37" i="5"/>
  <c r="E36" i="16" s="1"/>
  <c r="AQ49" i="5"/>
  <c r="E48" i="16" s="1"/>
  <c r="AQ39" i="5"/>
  <c r="E38" i="16" s="1"/>
  <c r="AQ41" i="5"/>
  <c r="E40" i="16" s="1"/>
  <c r="AQ45" i="5"/>
  <c r="E44" i="16" s="1"/>
  <c r="AQ38" i="5"/>
  <c r="E37" i="16" s="1"/>
  <c r="AQ43" i="5"/>
  <c r="AQ47" i="5"/>
  <c r="E46" i="16" s="1"/>
  <c r="AQ36" i="5"/>
  <c r="E35" i="16" s="1"/>
  <c r="AQ26" i="5"/>
  <c r="E25" i="16" s="1"/>
  <c r="AQ25" i="5"/>
  <c r="E24" i="16" s="1"/>
  <c r="AQ35" i="5"/>
  <c r="E34" i="16" s="1"/>
  <c r="AQ33" i="5"/>
  <c r="E32" i="16" s="1"/>
  <c r="AQ34" i="5"/>
  <c r="AQ32" i="5"/>
  <c r="E31" i="16" s="1"/>
  <c r="AQ30" i="5"/>
  <c r="E29" i="16" s="1"/>
  <c r="AQ31" i="5"/>
  <c r="E30" i="16" s="1"/>
  <c r="AQ66" i="2"/>
  <c r="AQ61" i="7"/>
  <c r="H60" i="16" s="1"/>
  <c r="AQ65" i="7"/>
  <c r="H64" i="16" s="1"/>
  <c r="AQ62" i="7"/>
  <c r="H61" i="16" s="1"/>
  <c r="AQ19" i="7"/>
  <c r="H18" i="16" s="1"/>
  <c r="AQ6" i="7"/>
  <c r="H5" i="16" s="1"/>
  <c r="AQ18" i="7"/>
  <c r="H17" i="16" s="1"/>
  <c r="AQ13" i="7"/>
  <c r="H12" i="16" s="1"/>
  <c r="AQ17" i="7"/>
  <c r="AQ60" i="7"/>
  <c r="H59" i="16" s="1"/>
  <c r="AQ20" i="7"/>
  <c r="H19" i="16" s="1"/>
  <c r="AQ28" i="7"/>
  <c r="H27" i="16" s="1"/>
  <c r="AQ10" i="7"/>
  <c r="AQ14" i="7"/>
  <c r="H13" i="16" s="1"/>
  <c r="AQ7" i="7"/>
  <c r="H6" i="16" s="1"/>
  <c r="AQ24" i="7"/>
  <c r="H23" i="16" s="1"/>
  <c r="AQ21" i="7"/>
  <c r="H20" i="16" s="1"/>
  <c r="AQ25" i="7"/>
  <c r="H24" i="16" s="1"/>
  <c r="AQ16" i="7"/>
  <c r="H15" i="16" s="1"/>
  <c r="AQ58" i="7"/>
  <c r="H57" i="16" s="1"/>
  <c r="AQ12" i="7"/>
  <c r="AQ27" i="7"/>
  <c r="H26" i="16" s="1"/>
  <c r="AQ9" i="7"/>
  <c r="H8" i="16" s="1"/>
  <c r="AQ29" i="7"/>
  <c r="H28" i="16" s="1"/>
  <c r="AQ5" i="7"/>
  <c r="H4" i="16" s="1"/>
  <c r="AQ23" i="7"/>
  <c r="H22" i="16" s="1"/>
  <c r="AQ26" i="7"/>
  <c r="H25" i="16" s="1"/>
  <c r="AQ15" i="7"/>
  <c r="H14" i="16" s="1"/>
  <c r="AQ22" i="7"/>
  <c r="H21" i="16" s="1"/>
  <c r="AQ8" i="7"/>
  <c r="H7" i="16" s="1"/>
  <c r="AQ59" i="7"/>
  <c r="H58" i="16" s="1"/>
  <c r="AQ11" i="7"/>
  <c r="H10" i="16" s="1"/>
  <c r="AQ63" i="7"/>
  <c r="AQ64" i="7"/>
  <c r="AQ57" i="7"/>
  <c r="H56" i="16" s="1"/>
  <c r="AQ55" i="7"/>
  <c r="H54" i="16" s="1"/>
  <c r="AQ54" i="7"/>
  <c r="H53" i="16" s="1"/>
  <c r="AQ56" i="7"/>
  <c r="H55" i="16" s="1"/>
  <c r="AQ51" i="7"/>
  <c r="H50" i="16" s="1"/>
  <c r="AQ53" i="7"/>
  <c r="H52" i="16" s="1"/>
  <c r="AQ52" i="7"/>
  <c r="H51" i="16" s="1"/>
  <c r="AQ50" i="7"/>
  <c r="H49" i="16" s="1"/>
  <c r="AQ47" i="7"/>
  <c r="H46" i="16" s="1"/>
  <c r="AQ49" i="7"/>
  <c r="H48" i="16" s="1"/>
  <c r="AQ43" i="7"/>
  <c r="H42" i="16" s="1"/>
  <c r="AQ34" i="7"/>
  <c r="H33" i="16" s="1"/>
  <c r="AQ30" i="7"/>
  <c r="H29" i="16" s="1"/>
  <c r="AQ32" i="7"/>
  <c r="H31" i="16" s="1"/>
  <c r="AQ31" i="7"/>
  <c r="AQ45" i="7"/>
  <c r="H44" i="16" s="1"/>
  <c r="AQ38" i="7"/>
  <c r="H37" i="16" s="1"/>
  <c r="AQ41" i="7"/>
  <c r="H40" i="16" s="1"/>
  <c r="AQ36" i="7"/>
  <c r="H35" i="16" s="1"/>
  <c r="AQ40" i="7"/>
  <c r="H39" i="16" s="1"/>
  <c r="AQ44" i="7"/>
  <c r="H43" i="16" s="1"/>
  <c r="AQ46" i="7"/>
  <c r="H45" i="16" s="1"/>
  <c r="AQ33" i="7"/>
  <c r="H32" i="16" s="1"/>
  <c r="AQ42" i="7"/>
  <c r="H41" i="16" s="1"/>
  <c r="AQ39" i="7"/>
  <c r="H38" i="16" s="1"/>
  <c r="AQ35" i="7"/>
  <c r="H34" i="16" s="1"/>
  <c r="AQ37" i="7"/>
  <c r="H36" i="16" s="1"/>
  <c r="AQ48" i="7"/>
  <c r="H47" i="16" s="1"/>
  <c r="AQ9" i="8"/>
  <c r="I8" i="16" s="1"/>
  <c r="AQ5" i="8"/>
  <c r="I4" i="16" s="1"/>
  <c r="AQ18" i="8"/>
  <c r="I17" i="16" s="1"/>
  <c r="AQ12" i="8"/>
  <c r="AQ27" i="8"/>
  <c r="I26" i="16" s="1"/>
  <c r="AQ23" i="8"/>
  <c r="I22" i="16" s="1"/>
  <c r="AQ58" i="8"/>
  <c r="I57" i="16" s="1"/>
  <c r="AQ20" i="8"/>
  <c r="AQ13" i="8"/>
  <c r="I12" i="16" s="1"/>
  <c r="AQ17" i="8"/>
  <c r="AQ6" i="8"/>
  <c r="AQ24" i="8"/>
  <c r="AQ16" i="8"/>
  <c r="AQ59" i="8"/>
  <c r="I58" i="16" s="1"/>
  <c r="AQ15" i="8"/>
  <c r="I14" i="16" s="1"/>
  <c r="AQ21" i="8"/>
  <c r="AQ25" i="8"/>
  <c r="I24" i="16" s="1"/>
  <c r="AQ65" i="8"/>
  <c r="AQ22" i="8"/>
  <c r="I21" i="16" s="1"/>
  <c r="AQ8" i="8"/>
  <c r="I7" i="16" s="1"/>
  <c r="AQ19" i="8"/>
  <c r="I18" i="16" s="1"/>
  <c r="AQ62" i="8"/>
  <c r="I61" i="16" s="1"/>
  <c r="AQ26" i="8"/>
  <c r="AQ61" i="8"/>
  <c r="AQ63" i="8"/>
  <c r="I62" i="16" s="1"/>
  <c r="AQ28" i="8"/>
  <c r="I27" i="16" s="1"/>
  <c r="AQ11" i="8"/>
  <c r="I10" i="16" s="1"/>
  <c r="AQ10" i="8"/>
  <c r="AQ14" i="8"/>
  <c r="I13" i="16" s="1"/>
  <c r="AQ64" i="8"/>
  <c r="AQ60" i="8"/>
  <c r="AQ44" i="8"/>
  <c r="I43" i="16" s="1"/>
  <c r="AQ50" i="8"/>
  <c r="I49" i="16" s="1"/>
  <c r="AQ51" i="8"/>
  <c r="I50" i="16" s="1"/>
  <c r="AQ52" i="8"/>
  <c r="I51" i="16" s="1"/>
  <c r="AQ56" i="8"/>
  <c r="I55" i="16" s="1"/>
  <c r="AQ54" i="8"/>
  <c r="I53" i="16" s="1"/>
  <c r="AQ57" i="8"/>
  <c r="I56" i="16" s="1"/>
  <c r="AQ53" i="8"/>
  <c r="AQ55" i="8"/>
  <c r="I54" i="16" s="1"/>
  <c r="AQ40" i="8"/>
  <c r="I39" i="16" s="1"/>
  <c r="AQ43" i="8"/>
  <c r="AQ41" i="8"/>
  <c r="I40" i="16" s="1"/>
  <c r="AQ49" i="8"/>
  <c r="I48" i="16" s="1"/>
  <c r="AQ47" i="8"/>
  <c r="I46" i="16" s="1"/>
  <c r="AQ42" i="8"/>
  <c r="I41" i="16" s="1"/>
  <c r="AQ39" i="8"/>
  <c r="I38" i="16" s="1"/>
  <c r="AQ45" i="8"/>
  <c r="I44" i="16" s="1"/>
  <c r="AQ37" i="8"/>
  <c r="I36" i="16" s="1"/>
  <c r="AQ48" i="8"/>
  <c r="I47" i="16" s="1"/>
  <c r="AQ46" i="8"/>
  <c r="I45" i="16" s="1"/>
  <c r="AQ38" i="8"/>
  <c r="I37" i="16" s="1"/>
  <c r="AQ36" i="8"/>
  <c r="AQ35" i="8"/>
  <c r="I34" i="16" s="1"/>
  <c r="AQ32" i="8"/>
  <c r="I31" i="16" s="1"/>
  <c r="AQ34" i="8"/>
  <c r="I33" i="16" s="1"/>
  <c r="AQ33" i="8"/>
  <c r="I32" i="16" s="1"/>
  <c r="AQ31" i="8"/>
  <c r="AQ29" i="8"/>
  <c r="I28" i="16" s="1"/>
  <c r="AQ30" i="8"/>
  <c r="I29" i="16" s="1"/>
  <c r="AQ25" i="3"/>
  <c r="D24" i="16" s="1"/>
  <c r="AQ21" i="3"/>
  <c r="D20" i="16" s="1"/>
  <c r="AQ22" i="3"/>
  <c r="D21" i="16" s="1"/>
  <c r="AQ11" i="3"/>
  <c r="D10" i="16" s="1"/>
  <c r="AQ14" i="3"/>
  <c r="D13" i="16" s="1"/>
  <c r="AQ7" i="3"/>
  <c r="D6" i="16" s="1"/>
  <c r="AQ61" i="3"/>
  <c r="D60" i="16" s="1"/>
  <c r="AQ19" i="3"/>
  <c r="D18" i="16" s="1"/>
  <c r="AQ65" i="3"/>
  <c r="D64" i="16" s="1"/>
  <c r="AQ29" i="3"/>
  <c r="D28" i="16" s="1"/>
  <c r="AQ28" i="3"/>
  <c r="D27" i="16" s="1"/>
  <c r="AQ60" i="3"/>
  <c r="D59" i="16" s="1"/>
  <c r="AQ24" i="3"/>
  <c r="D23" i="16" s="1"/>
  <c r="AQ58" i="3"/>
  <c r="D57" i="16" s="1"/>
  <c r="AQ64" i="3"/>
  <c r="D63" i="16" s="1"/>
  <c r="AQ26" i="3"/>
  <c r="D25" i="16" s="1"/>
  <c r="AQ9" i="3"/>
  <c r="D8" i="16" s="1"/>
  <c r="AQ5" i="3"/>
  <c r="D4" i="16" s="1"/>
  <c r="AQ18" i="3"/>
  <c r="D17" i="16" s="1"/>
  <c r="AQ12" i="3"/>
  <c r="D11" i="16" s="1"/>
  <c r="AQ15" i="3"/>
  <c r="D14" i="16" s="1"/>
  <c r="AQ8" i="3"/>
  <c r="D7" i="16" s="1"/>
  <c r="AQ16" i="3"/>
  <c r="D15" i="16" s="1"/>
  <c r="AQ20" i="3"/>
  <c r="D19" i="16" s="1"/>
  <c r="AQ59" i="3"/>
  <c r="D58" i="16" s="1"/>
  <c r="AQ17" i="3"/>
  <c r="D16" i="16" s="1"/>
  <c r="AQ13" i="3"/>
  <c r="D12" i="16" s="1"/>
  <c r="AQ62" i="3"/>
  <c r="D61" i="16" s="1"/>
  <c r="AQ27" i="3"/>
  <c r="D26" i="16" s="1"/>
  <c r="AQ10" i="3"/>
  <c r="D9" i="16" s="1"/>
  <c r="AQ23" i="3"/>
  <c r="D22" i="16" s="1"/>
  <c r="AQ6" i="3"/>
  <c r="D5" i="16" s="1"/>
  <c r="AQ63" i="3"/>
  <c r="D62" i="16" s="1"/>
  <c r="AQ55" i="3"/>
  <c r="D54" i="16" s="1"/>
  <c r="AQ45" i="3"/>
  <c r="D44" i="16" s="1"/>
  <c r="AQ53" i="3"/>
  <c r="D52" i="16" s="1"/>
  <c r="AQ42" i="3"/>
  <c r="D41" i="16" s="1"/>
  <c r="AQ37" i="3"/>
  <c r="D36" i="16" s="1"/>
  <c r="AQ36" i="3"/>
  <c r="D35" i="16" s="1"/>
  <c r="AQ35" i="3"/>
  <c r="D34" i="16" s="1"/>
  <c r="AQ34" i="3"/>
  <c r="D33" i="16" s="1"/>
  <c r="AQ33" i="3"/>
  <c r="D32" i="16" s="1"/>
  <c r="AQ47" i="3"/>
  <c r="D46" i="16" s="1"/>
  <c r="AQ46" i="3"/>
  <c r="D45" i="16" s="1"/>
  <c r="AQ54" i="3"/>
  <c r="D53" i="16" s="1"/>
  <c r="AQ49" i="3"/>
  <c r="D48" i="16" s="1"/>
  <c r="AQ48" i="3"/>
  <c r="D47" i="16" s="1"/>
  <c r="AQ56" i="3"/>
  <c r="D55" i="16" s="1"/>
  <c r="AQ39" i="3"/>
  <c r="D38" i="16" s="1"/>
  <c r="AQ32" i="3"/>
  <c r="D31" i="16" s="1"/>
  <c r="AQ51" i="3"/>
  <c r="D50" i="16" s="1"/>
  <c r="AQ57" i="3"/>
  <c r="D56" i="16" s="1"/>
  <c r="AQ41" i="3"/>
  <c r="D40" i="16" s="1"/>
  <c r="AQ40" i="3"/>
  <c r="D39" i="16" s="1"/>
  <c r="AQ30" i="3"/>
  <c r="D29" i="16" s="1"/>
  <c r="AQ50" i="3"/>
  <c r="D49" i="16" s="1"/>
  <c r="AQ44" i="3"/>
  <c r="D43" i="16" s="1"/>
  <c r="AQ52" i="3"/>
  <c r="D51" i="16" s="1"/>
  <c r="AQ43" i="3"/>
  <c r="D42" i="16" s="1"/>
  <c r="AQ38" i="3"/>
  <c r="D37" i="16" s="1"/>
  <c r="AQ31" i="3"/>
  <c r="D30" i="16" s="1"/>
  <c r="AQ12" i="9"/>
  <c r="AQ28" i="9"/>
  <c r="AQ18" i="9"/>
  <c r="J17" i="16" s="1"/>
  <c r="AQ27" i="9"/>
  <c r="J26" i="16" s="1"/>
  <c r="AQ13" i="9"/>
  <c r="J12" i="16" s="1"/>
  <c r="AQ29" i="9"/>
  <c r="AQ14" i="9"/>
  <c r="J13" i="16" s="1"/>
  <c r="AQ23" i="9"/>
  <c r="J22" i="16" s="1"/>
  <c r="AQ22" i="9"/>
  <c r="J21" i="16" s="1"/>
  <c r="AQ31" i="9"/>
  <c r="J30" i="16" s="1"/>
  <c r="AQ59" i="9"/>
  <c r="J58" i="16" s="1"/>
  <c r="AQ64" i="9"/>
  <c r="J63" i="16" s="1"/>
  <c r="AQ50" i="9"/>
  <c r="J49" i="16" s="1"/>
  <c r="AQ16" i="9"/>
  <c r="J15" i="16" s="1"/>
  <c r="AQ32" i="9"/>
  <c r="J31" i="16" s="1"/>
  <c r="AQ30" i="9"/>
  <c r="J29" i="16" s="1"/>
  <c r="AQ39" i="9"/>
  <c r="J38" i="16" s="1"/>
  <c r="AQ17" i="9"/>
  <c r="J16" i="16" s="1"/>
  <c r="AQ33" i="9"/>
  <c r="J32" i="16" s="1"/>
  <c r="AQ26" i="9"/>
  <c r="AQ35" i="9"/>
  <c r="AQ34" i="9"/>
  <c r="J33" i="16" s="1"/>
  <c r="AQ43" i="9"/>
  <c r="J42" i="16" s="1"/>
  <c r="AQ61" i="9"/>
  <c r="J60" i="16" s="1"/>
  <c r="AQ48" i="9"/>
  <c r="J47" i="16" s="1"/>
  <c r="AQ20" i="9"/>
  <c r="J19" i="16" s="1"/>
  <c r="AQ36" i="9"/>
  <c r="J35" i="16" s="1"/>
  <c r="AQ42" i="9"/>
  <c r="J41" i="16" s="1"/>
  <c r="AQ5" i="9"/>
  <c r="J4" i="16" s="1"/>
  <c r="AQ21" i="9"/>
  <c r="J20" i="16" s="1"/>
  <c r="AQ37" i="9"/>
  <c r="J36" i="16" s="1"/>
  <c r="AQ38" i="9"/>
  <c r="J37" i="16" s="1"/>
  <c r="AQ6" i="9"/>
  <c r="J5" i="16" s="1"/>
  <c r="AQ7" i="9"/>
  <c r="J6" i="16" s="1"/>
  <c r="AQ62" i="9"/>
  <c r="J61" i="16" s="1"/>
  <c r="AQ65" i="9"/>
  <c r="J64" i="16" s="1"/>
  <c r="AQ56" i="9"/>
  <c r="J55" i="16" s="1"/>
  <c r="AQ8" i="9"/>
  <c r="J7" i="16" s="1"/>
  <c r="AQ24" i="9"/>
  <c r="AQ40" i="9"/>
  <c r="J39" i="16" s="1"/>
  <c r="AQ11" i="9"/>
  <c r="J10" i="16" s="1"/>
  <c r="AQ9" i="9"/>
  <c r="J8" i="16" s="1"/>
  <c r="AQ25" i="9"/>
  <c r="J24" i="16" s="1"/>
  <c r="AQ41" i="9"/>
  <c r="J40" i="16" s="1"/>
  <c r="AQ15" i="9"/>
  <c r="J14" i="16" s="1"/>
  <c r="AQ10" i="9"/>
  <c r="AQ19" i="9"/>
  <c r="AQ60" i="9"/>
  <c r="J59" i="16" s="1"/>
  <c r="AQ63" i="9"/>
  <c r="J62" i="16" s="1"/>
  <c r="AQ54" i="9"/>
  <c r="J53" i="16" s="1"/>
  <c r="AQ46" i="9"/>
  <c r="J45" i="16" s="1"/>
  <c r="AQ51" i="9"/>
  <c r="J50" i="16" s="1"/>
  <c r="AQ44" i="9"/>
  <c r="J43" i="16" s="1"/>
  <c r="AQ58" i="9"/>
  <c r="J57" i="16" s="1"/>
  <c r="AQ47" i="9"/>
  <c r="J46" i="16" s="1"/>
  <c r="AQ55" i="9"/>
  <c r="J54" i="16" s="1"/>
  <c r="AQ52" i="9"/>
  <c r="J51" i="16" s="1"/>
  <c r="AQ49" i="9"/>
  <c r="J48" i="16" s="1"/>
  <c r="AQ45" i="9"/>
  <c r="J44" i="16" s="1"/>
  <c r="AQ53" i="9"/>
  <c r="J52" i="16" s="1"/>
  <c r="AQ57" i="9"/>
  <c r="J56" i="16" s="1"/>
  <c r="AQ9" i="4"/>
  <c r="F8" i="16" s="1"/>
  <c r="AQ21" i="4"/>
  <c r="F20" i="16" s="1"/>
  <c r="AQ14" i="4"/>
  <c r="F13" i="16" s="1"/>
  <c r="AQ22" i="4"/>
  <c r="F21" i="16" s="1"/>
  <c r="AQ12" i="4"/>
  <c r="F11" i="16" s="1"/>
  <c r="AQ25" i="4"/>
  <c r="F24" i="16" s="1"/>
  <c r="AQ60" i="4"/>
  <c r="F59" i="16" s="1"/>
  <c r="AQ59" i="4"/>
  <c r="F58" i="16" s="1"/>
  <c r="AQ19" i="4"/>
  <c r="F18" i="16" s="1"/>
  <c r="AQ15" i="4"/>
  <c r="F14" i="16" s="1"/>
  <c r="AQ29" i="4"/>
  <c r="F28" i="16" s="1"/>
  <c r="AQ10" i="4"/>
  <c r="F9" i="16" s="1"/>
  <c r="AQ18" i="4"/>
  <c r="F17" i="16" s="1"/>
  <c r="AQ20" i="4"/>
  <c r="F19" i="16" s="1"/>
  <c r="AQ58" i="4"/>
  <c r="F57" i="16" s="1"/>
  <c r="AQ64" i="4"/>
  <c r="AQ62" i="4"/>
  <c r="F61" i="16" s="1"/>
  <c r="AQ27" i="4"/>
  <c r="F26" i="16" s="1"/>
  <c r="AQ23" i="4"/>
  <c r="F22" i="16" s="1"/>
  <c r="AQ5" i="4"/>
  <c r="F4" i="16" s="1"/>
  <c r="AQ28" i="4"/>
  <c r="F27" i="16" s="1"/>
  <c r="AQ24" i="4"/>
  <c r="F23" i="16" s="1"/>
  <c r="AQ17" i="4"/>
  <c r="F16" i="16" s="1"/>
  <c r="AQ26" i="4"/>
  <c r="F25" i="16" s="1"/>
  <c r="AQ63" i="4"/>
  <c r="F62" i="16" s="1"/>
  <c r="AQ11" i="4"/>
  <c r="F10" i="16" s="1"/>
  <c r="AQ7" i="4"/>
  <c r="F6" i="16" s="1"/>
  <c r="AQ8" i="4"/>
  <c r="F7" i="16" s="1"/>
  <c r="AQ13" i="4"/>
  <c r="F12" i="16" s="1"/>
  <c r="AQ6" i="4"/>
  <c r="F5" i="16" s="1"/>
  <c r="AQ16" i="4"/>
  <c r="F15" i="16" s="1"/>
  <c r="AQ61" i="4"/>
  <c r="F60" i="16" s="1"/>
  <c r="AQ65" i="4"/>
  <c r="F64" i="16" s="1"/>
  <c r="AQ57" i="4"/>
  <c r="F56" i="16" s="1"/>
  <c r="AQ52" i="4"/>
  <c r="F51" i="16" s="1"/>
  <c r="AQ54" i="4"/>
  <c r="F53" i="16" s="1"/>
  <c r="AQ46" i="4"/>
  <c r="F45" i="16" s="1"/>
  <c r="AQ43" i="4"/>
  <c r="F42" i="16" s="1"/>
  <c r="AQ38" i="4"/>
  <c r="F37" i="16" s="1"/>
  <c r="AQ45" i="4"/>
  <c r="F44" i="16" s="1"/>
  <c r="AQ48" i="4"/>
  <c r="F47" i="16" s="1"/>
  <c r="AQ42" i="4"/>
  <c r="F41" i="16" s="1"/>
  <c r="AQ39" i="4"/>
  <c r="F38" i="16" s="1"/>
  <c r="AQ36" i="4"/>
  <c r="F35" i="16" s="1"/>
  <c r="AQ33" i="4"/>
  <c r="F32" i="16" s="1"/>
  <c r="AQ34" i="4"/>
  <c r="F33" i="16" s="1"/>
  <c r="AQ31" i="4"/>
  <c r="F30" i="16" s="1"/>
  <c r="AQ53" i="4"/>
  <c r="F52" i="16" s="1"/>
  <c r="AQ55" i="4"/>
  <c r="F54" i="16" s="1"/>
  <c r="AQ51" i="4"/>
  <c r="F50" i="16" s="1"/>
  <c r="AQ50" i="4"/>
  <c r="F49" i="16" s="1"/>
  <c r="AQ41" i="4"/>
  <c r="F40" i="16" s="1"/>
  <c r="AQ30" i="4"/>
  <c r="F29" i="16" s="1"/>
  <c r="AQ35" i="4"/>
  <c r="F34" i="16" s="1"/>
  <c r="AQ49" i="4"/>
  <c r="F48" i="16" s="1"/>
  <c r="AQ56" i="4"/>
  <c r="F55" i="16" s="1"/>
  <c r="AQ44" i="4"/>
  <c r="F43" i="16" s="1"/>
  <c r="AQ47" i="4"/>
  <c r="F46" i="16" s="1"/>
  <c r="AQ37" i="4"/>
  <c r="F36" i="16" s="1"/>
  <c r="AQ40" i="4"/>
  <c r="F39" i="16" s="1"/>
  <c r="AQ32" i="4"/>
  <c r="F31" i="16" s="1"/>
  <c r="M18" i="1"/>
  <c r="N18" i="1" s="1"/>
  <c r="M48" i="16"/>
  <c r="M40" i="16"/>
  <c r="M6" i="16"/>
  <c r="M9" i="16"/>
  <c r="AQ4" i="12"/>
  <c r="AQ56" i="14"/>
  <c r="O55" i="16" s="1"/>
  <c r="AQ48" i="14"/>
  <c r="O47" i="16" s="1"/>
  <c r="AQ40" i="14"/>
  <c r="O39" i="16" s="1"/>
  <c r="AQ32" i="14"/>
  <c r="AQ24" i="14"/>
  <c r="AQ16" i="14"/>
  <c r="AQ53" i="14"/>
  <c r="O52" i="16" s="1"/>
  <c r="AQ45" i="14"/>
  <c r="O44" i="16" s="1"/>
  <c r="AQ37" i="14"/>
  <c r="O36" i="16" s="1"/>
  <c r="AQ21" i="14"/>
  <c r="O20" i="16" s="1"/>
  <c r="AQ35" i="14"/>
  <c r="O34" i="16" s="1"/>
  <c r="AQ19" i="14"/>
  <c r="O18" i="16" s="1"/>
  <c r="AQ54" i="14"/>
  <c r="AQ46" i="14"/>
  <c r="O45" i="16" s="1"/>
  <c r="AQ38" i="14"/>
  <c r="AQ30" i="14"/>
  <c r="AQ22" i="14"/>
  <c r="O21" i="16" s="1"/>
  <c r="AQ59" i="14"/>
  <c r="AQ51" i="14"/>
  <c r="O50" i="16" s="1"/>
  <c r="AQ43" i="14"/>
  <c r="O42" i="16" s="1"/>
  <c r="AQ27" i="14"/>
  <c r="AQ52" i="14"/>
  <c r="AQ44" i="14"/>
  <c r="O43" i="16" s="1"/>
  <c r="AQ36" i="14"/>
  <c r="O35" i="16" s="1"/>
  <c r="AQ28" i="14"/>
  <c r="AQ20" i="14"/>
  <c r="O19" i="16" s="1"/>
  <c r="AQ57" i="14"/>
  <c r="AQ49" i="14"/>
  <c r="O48" i="16" s="1"/>
  <c r="AQ41" i="14"/>
  <c r="AQ33" i="14"/>
  <c r="AQ25" i="14"/>
  <c r="O24" i="16" s="1"/>
  <c r="AQ17" i="14"/>
  <c r="O16" i="16" s="1"/>
  <c r="AQ58" i="14"/>
  <c r="AQ50" i="14"/>
  <c r="O49" i="16" s="1"/>
  <c r="AQ42" i="14"/>
  <c r="O41" i="16" s="1"/>
  <c r="AQ34" i="14"/>
  <c r="AQ26" i="14"/>
  <c r="AQ18" i="14"/>
  <c r="AQ55" i="14"/>
  <c r="O54" i="16" s="1"/>
  <c r="AQ47" i="14"/>
  <c r="AQ39" i="14"/>
  <c r="AQ31" i="14"/>
  <c r="O30" i="16" s="1"/>
  <c r="AQ23" i="14"/>
  <c r="AQ13" i="14"/>
  <c r="O12" i="16" s="1"/>
  <c r="AQ9" i="14"/>
  <c r="O8" i="16" s="1"/>
  <c r="AQ5" i="14"/>
  <c r="O4" i="16" s="1"/>
  <c r="AQ14" i="14"/>
  <c r="AQ10" i="14"/>
  <c r="AQ6" i="14"/>
  <c r="AQ8" i="14"/>
  <c r="O7" i="16" s="1"/>
  <c r="AQ15" i="14"/>
  <c r="AQ11" i="14"/>
  <c r="O10" i="16" s="1"/>
  <c r="AQ7" i="14"/>
  <c r="O6" i="16" s="1"/>
  <c r="AQ12" i="14"/>
  <c r="AQ4" i="14"/>
  <c r="I59" i="16"/>
  <c r="I42" i="16"/>
  <c r="I63" i="16"/>
  <c r="I30" i="16"/>
  <c r="I64" i="16"/>
  <c r="AQ4" i="8"/>
  <c r="AQ4" i="3"/>
  <c r="N46" i="16"/>
  <c r="N19" i="16"/>
  <c r="N38" i="16"/>
  <c r="N63" i="16"/>
  <c r="N7" i="16"/>
  <c r="AQ4" i="13"/>
  <c r="C63" i="16"/>
  <c r="C40" i="16"/>
  <c r="C56" i="16"/>
  <c r="C41" i="16"/>
  <c r="C57" i="16"/>
  <c r="C42" i="16"/>
  <c r="C58" i="16"/>
  <c r="C44" i="16"/>
  <c r="C60" i="16"/>
  <c r="C29" i="16"/>
  <c r="C45" i="16"/>
  <c r="C61" i="16"/>
  <c r="C32" i="16"/>
  <c r="C48" i="16"/>
  <c r="C64" i="16"/>
  <c r="C36" i="16"/>
  <c r="C52" i="16"/>
  <c r="C37" i="16"/>
  <c r="C53" i="16"/>
  <c r="C38" i="16"/>
  <c r="C54" i="16"/>
  <c r="C34" i="16"/>
  <c r="C35" i="16"/>
  <c r="C51" i="16"/>
  <c r="C55" i="16"/>
  <c r="C46" i="16"/>
  <c r="C39" i="16"/>
  <c r="C33" i="16"/>
  <c r="C50" i="16"/>
  <c r="C43" i="16"/>
  <c r="C59" i="16"/>
  <c r="C31" i="16"/>
  <c r="C49" i="16"/>
  <c r="C30" i="16"/>
  <c r="C62" i="16"/>
  <c r="C47" i="16"/>
  <c r="C22" i="16"/>
  <c r="C24" i="16"/>
  <c r="C25" i="16"/>
  <c r="C23" i="16"/>
  <c r="C28" i="16"/>
  <c r="C27" i="16"/>
  <c r="C26" i="16"/>
  <c r="C21" i="16"/>
  <c r="C16" i="16"/>
  <c r="C20" i="16"/>
  <c r="C10" i="16"/>
  <c r="C13" i="16"/>
  <c r="C17" i="16"/>
  <c r="C11" i="16"/>
  <c r="C12" i="16"/>
  <c r="C18" i="16"/>
  <c r="C19" i="16"/>
  <c r="C14" i="16"/>
  <c r="C15" i="16"/>
  <c r="C7" i="16"/>
  <c r="C8" i="16"/>
  <c r="C9" i="16"/>
  <c r="C4" i="16"/>
  <c r="C6" i="16"/>
  <c r="C5" i="16"/>
  <c r="AQ4" i="9"/>
  <c r="F63" i="16"/>
  <c r="AQ4" i="4"/>
  <c r="H62" i="16"/>
  <c r="H30" i="16"/>
  <c r="H63" i="16"/>
  <c r="H11" i="16"/>
  <c r="H9" i="16"/>
  <c r="H16" i="16"/>
  <c r="AQ4" i="7"/>
  <c r="AQ65" i="10"/>
  <c r="K64" i="16" s="1"/>
  <c r="AQ49" i="10"/>
  <c r="K48" i="16" s="1"/>
  <c r="AQ33" i="10"/>
  <c r="K32" i="16" s="1"/>
  <c r="AQ17" i="10"/>
  <c r="K16" i="16" s="1"/>
  <c r="AQ52" i="10"/>
  <c r="K51" i="16" s="1"/>
  <c r="AQ36" i="10"/>
  <c r="K35" i="16" s="1"/>
  <c r="AQ20" i="10"/>
  <c r="K19" i="16" s="1"/>
  <c r="AQ55" i="10"/>
  <c r="K54" i="16" s="1"/>
  <c r="AQ39" i="10"/>
  <c r="K38" i="16" s="1"/>
  <c r="AQ53" i="10"/>
  <c r="K52" i="16" s="1"/>
  <c r="AQ29" i="10"/>
  <c r="K28" i="16" s="1"/>
  <c r="AQ60" i="10"/>
  <c r="K59" i="16" s="1"/>
  <c r="AQ40" i="10"/>
  <c r="K39" i="16" s="1"/>
  <c r="AQ16" i="10"/>
  <c r="AQ47" i="10"/>
  <c r="K46" i="16" s="1"/>
  <c r="AQ27" i="10"/>
  <c r="K26" i="16" s="1"/>
  <c r="AQ58" i="10"/>
  <c r="K57" i="16" s="1"/>
  <c r="AQ42" i="10"/>
  <c r="K41" i="16" s="1"/>
  <c r="AQ26" i="10"/>
  <c r="K25" i="16" s="1"/>
  <c r="AQ45" i="10"/>
  <c r="K44" i="16" s="1"/>
  <c r="AQ25" i="10"/>
  <c r="K24" i="16" s="1"/>
  <c r="AQ56" i="10"/>
  <c r="K55" i="16" s="1"/>
  <c r="AQ32" i="10"/>
  <c r="K31" i="16" s="1"/>
  <c r="AQ63" i="10"/>
  <c r="K62" i="16" s="1"/>
  <c r="AQ43" i="10"/>
  <c r="K42" i="16" s="1"/>
  <c r="AQ23" i="10"/>
  <c r="K22" i="16" s="1"/>
  <c r="AQ54" i="10"/>
  <c r="K53" i="16" s="1"/>
  <c r="AQ38" i="10"/>
  <c r="AQ22" i="10"/>
  <c r="K21" i="16" s="1"/>
  <c r="AQ61" i="10"/>
  <c r="K60" i="16" s="1"/>
  <c r="AQ41" i="10"/>
  <c r="K40" i="16" s="1"/>
  <c r="AQ21" i="10"/>
  <c r="K20" i="16" s="1"/>
  <c r="AQ48" i="10"/>
  <c r="K47" i="16" s="1"/>
  <c r="AQ28" i="10"/>
  <c r="K27" i="16" s="1"/>
  <c r="AQ59" i="10"/>
  <c r="K58" i="16" s="1"/>
  <c r="AQ35" i="10"/>
  <c r="K34" i="16" s="1"/>
  <c r="AQ19" i="10"/>
  <c r="K18" i="16" s="1"/>
  <c r="AQ50" i="10"/>
  <c r="K49" i="16" s="1"/>
  <c r="AQ34" i="10"/>
  <c r="K33" i="16" s="1"/>
  <c r="AQ18" i="10"/>
  <c r="K17" i="16" s="1"/>
  <c r="AQ57" i="10"/>
  <c r="K56" i="16" s="1"/>
  <c r="AQ37" i="10"/>
  <c r="K36" i="16" s="1"/>
  <c r="AQ64" i="10"/>
  <c r="K63" i="16" s="1"/>
  <c r="AQ44" i="10"/>
  <c r="K43" i="16" s="1"/>
  <c r="AQ24" i="10"/>
  <c r="K23" i="16" s="1"/>
  <c r="AQ51" i="10"/>
  <c r="K50" i="16" s="1"/>
  <c r="AQ31" i="10"/>
  <c r="K30" i="16" s="1"/>
  <c r="AQ62" i="10"/>
  <c r="K61" i="16" s="1"/>
  <c r="AQ46" i="10"/>
  <c r="K45" i="16" s="1"/>
  <c r="AQ30" i="10"/>
  <c r="AQ13" i="10"/>
  <c r="K12" i="16" s="1"/>
  <c r="AQ15" i="10"/>
  <c r="K14" i="16" s="1"/>
  <c r="AQ12" i="10"/>
  <c r="K11" i="16" s="1"/>
  <c r="AQ14" i="10"/>
  <c r="K13" i="16" s="1"/>
  <c r="AQ9" i="10"/>
  <c r="K8" i="16" s="1"/>
  <c r="AQ8" i="10"/>
  <c r="K7" i="16" s="1"/>
  <c r="AQ10" i="10"/>
  <c r="K9" i="16" s="1"/>
  <c r="AQ11" i="10"/>
  <c r="K10" i="16" s="1"/>
  <c r="AQ6" i="10"/>
  <c r="K5" i="16" s="1"/>
  <c r="AQ7" i="10"/>
  <c r="K6" i="16" s="1"/>
  <c r="AQ5" i="10"/>
  <c r="K4" i="16" s="1"/>
  <c r="AQ4" i="10"/>
  <c r="E42" i="16"/>
  <c r="E64" i="16"/>
  <c r="E33" i="16"/>
  <c r="E56" i="16"/>
  <c r="E28" i="16"/>
  <c r="E8" i="16"/>
  <c r="E7" i="16"/>
  <c r="AQ4" i="5"/>
  <c r="AQ53" i="11"/>
  <c r="L52" i="16" s="1"/>
  <c r="AQ37" i="11"/>
  <c r="AQ21" i="11"/>
  <c r="L20" i="16" s="1"/>
  <c r="AQ56" i="11"/>
  <c r="L55" i="16" s="1"/>
  <c r="AQ40" i="11"/>
  <c r="AQ24" i="11"/>
  <c r="L23" i="16" s="1"/>
  <c r="AQ59" i="11"/>
  <c r="L58" i="16" s="1"/>
  <c r="AQ43" i="11"/>
  <c r="L42" i="16" s="1"/>
  <c r="AQ27" i="11"/>
  <c r="AQ58" i="11"/>
  <c r="L57" i="16" s="1"/>
  <c r="AQ42" i="11"/>
  <c r="AQ26" i="11"/>
  <c r="AQ65" i="11"/>
  <c r="L64" i="16" s="1"/>
  <c r="AQ49" i="11"/>
  <c r="L48" i="16" s="1"/>
  <c r="AQ33" i="11"/>
  <c r="L32" i="16" s="1"/>
  <c r="AQ52" i="11"/>
  <c r="L51" i="16" s="1"/>
  <c r="AQ36" i="11"/>
  <c r="AQ20" i="11"/>
  <c r="AQ55" i="11"/>
  <c r="L54" i="16" s="1"/>
  <c r="AQ39" i="11"/>
  <c r="L38" i="16" s="1"/>
  <c r="AQ23" i="11"/>
  <c r="L22" i="16" s="1"/>
  <c r="AQ54" i="11"/>
  <c r="L53" i="16" s="1"/>
  <c r="AQ38" i="11"/>
  <c r="AQ22" i="11"/>
  <c r="AQ61" i="11"/>
  <c r="L60" i="16" s="1"/>
  <c r="AQ45" i="11"/>
  <c r="L44" i="16" s="1"/>
  <c r="AQ29" i="11"/>
  <c r="L28" i="16" s="1"/>
  <c r="AQ64" i="11"/>
  <c r="L63" i="16" s="1"/>
  <c r="AQ48" i="11"/>
  <c r="AQ32" i="11"/>
  <c r="AQ51" i="11"/>
  <c r="L50" i="16" s="1"/>
  <c r="AQ35" i="11"/>
  <c r="L34" i="16" s="1"/>
  <c r="AQ50" i="11"/>
  <c r="AQ34" i="11"/>
  <c r="AQ57" i="11"/>
  <c r="L56" i="16" s="1"/>
  <c r="AQ41" i="11"/>
  <c r="L40" i="16" s="1"/>
  <c r="AQ25" i="11"/>
  <c r="L24" i="16" s="1"/>
  <c r="AQ60" i="11"/>
  <c r="L59" i="16" s="1"/>
  <c r="AQ44" i="11"/>
  <c r="L43" i="16" s="1"/>
  <c r="AQ28" i="11"/>
  <c r="AQ63" i="11"/>
  <c r="L62" i="16" s="1"/>
  <c r="AQ47" i="11"/>
  <c r="L46" i="16" s="1"/>
  <c r="AQ31" i="11"/>
  <c r="L30" i="16" s="1"/>
  <c r="AQ62" i="11"/>
  <c r="AQ46" i="11"/>
  <c r="L45" i="16" s="1"/>
  <c r="AQ30" i="11"/>
  <c r="L29" i="16" s="1"/>
  <c r="AQ4" i="11"/>
  <c r="L35" i="16" l="1"/>
  <c r="AW49" i="11"/>
  <c r="L21" i="16"/>
  <c r="AW35" i="11"/>
  <c r="L7" i="16"/>
  <c r="AW21" i="11"/>
  <c r="N49" i="16"/>
  <c r="AW63" i="13"/>
  <c r="AW49" i="13"/>
  <c r="AW35" i="13"/>
  <c r="AW21" i="13"/>
  <c r="AW17" i="9"/>
  <c r="AW39" i="14"/>
  <c r="AW39" i="13"/>
  <c r="N45" i="16"/>
  <c r="M28" i="16"/>
  <c r="AW31" i="12"/>
  <c r="O14" i="16"/>
  <c r="AW17" i="14"/>
  <c r="I16" i="16"/>
  <c r="N16" i="16"/>
  <c r="L49" i="16"/>
  <c r="AW63" i="11"/>
  <c r="N59" i="16"/>
  <c r="J34" i="16"/>
  <c r="AW35" i="9"/>
  <c r="I20" i="16"/>
  <c r="AW21" i="8"/>
  <c r="N20" i="16"/>
  <c r="AW41" i="8"/>
  <c r="M50" i="16"/>
  <c r="AW55" i="12"/>
  <c r="O53" i="16"/>
  <c r="AW55" i="14"/>
  <c r="N41" i="16"/>
  <c r="AW27" i="14"/>
  <c r="M39" i="16"/>
  <c r="AW41" i="12"/>
  <c r="O38" i="16"/>
  <c r="N40" i="16"/>
  <c r="M13" i="16"/>
  <c r="L13" i="16"/>
  <c r="N26" i="16"/>
  <c r="AW61" i="14"/>
  <c r="L61" i="16"/>
  <c r="O33" i="16"/>
  <c r="O5" i="16"/>
  <c r="I5" i="16"/>
  <c r="O22" i="16"/>
  <c r="L25" i="16"/>
  <c r="N11" i="16"/>
  <c r="I15" i="16"/>
  <c r="AW29" i="8"/>
  <c r="N42" i="16"/>
  <c r="M35" i="16"/>
  <c r="I35" i="16"/>
  <c r="AW49" i="8"/>
  <c r="N48" i="16"/>
  <c r="N34" i="16"/>
  <c r="N53" i="16"/>
  <c r="I52" i="16"/>
  <c r="AW53" i="8"/>
  <c r="N52" i="16"/>
  <c r="N39" i="16"/>
  <c r="O25" i="16"/>
  <c r="I25" i="16"/>
  <c r="J25" i="16"/>
  <c r="AW39" i="9"/>
  <c r="M25" i="16"/>
  <c r="N36" i="16"/>
  <c r="I11" i="16"/>
  <c r="AW25" i="8"/>
  <c r="J11" i="16"/>
  <c r="AW25" i="9"/>
  <c r="O11" i="16"/>
  <c r="N10" i="16"/>
  <c r="O31" i="16"/>
  <c r="M31" i="16"/>
  <c r="M45" i="16"/>
  <c r="AW59" i="12"/>
  <c r="L31" i="16"/>
  <c r="O58" i="16"/>
  <c r="N58" i="16"/>
  <c r="N44" i="16"/>
  <c r="L16" i="16"/>
  <c r="I23" i="16"/>
  <c r="J9" i="16"/>
  <c r="AW65" i="12"/>
  <c r="O23" i="16"/>
  <c r="J23" i="16"/>
  <c r="M23" i="16"/>
  <c r="N25" i="16"/>
  <c r="N6" i="16"/>
  <c r="AW55" i="9"/>
  <c r="N62" i="16"/>
  <c r="O51" i="16"/>
  <c r="N54" i="16"/>
  <c r="L41" i="16"/>
  <c r="L27" i="16"/>
  <c r="N13" i="16"/>
  <c r="N27" i="16"/>
  <c r="O27" i="16"/>
  <c r="O13" i="16"/>
  <c r="J27" i="16"/>
  <c r="AW41" i="9"/>
  <c r="L26" i="16"/>
  <c r="M26" i="16"/>
  <c r="N12" i="16"/>
  <c r="AW61" i="12"/>
  <c r="N64" i="16"/>
  <c r="I60" i="16"/>
  <c r="AW61" i="8"/>
  <c r="L47" i="16"/>
  <c r="AW61" i="9"/>
  <c r="N47" i="16"/>
  <c r="L33" i="16"/>
  <c r="O46" i="16"/>
  <c r="N43" i="16"/>
  <c r="L19" i="16"/>
  <c r="M19" i="16"/>
  <c r="O32" i="16"/>
  <c r="N32" i="16"/>
  <c r="N21" i="16"/>
  <c r="J18" i="16"/>
  <c r="L5" i="16"/>
  <c r="M18" i="16"/>
  <c r="AW19" i="12"/>
  <c r="O17" i="16"/>
  <c r="N5" i="16"/>
  <c r="N9" i="16"/>
  <c r="L9" i="16"/>
  <c r="N55" i="16"/>
  <c r="AW65" i="14"/>
  <c r="O37" i="16"/>
  <c r="N37" i="16"/>
  <c r="L37" i="16"/>
  <c r="K37" i="16"/>
  <c r="AW51" i="10"/>
  <c r="M37" i="16"/>
  <c r="O26" i="16"/>
  <c r="N24" i="16"/>
  <c r="M36" i="16"/>
  <c r="L36" i="16"/>
  <c r="M22" i="16"/>
  <c r="I9" i="16"/>
  <c r="O9" i="16"/>
  <c r="N22" i="16"/>
  <c r="N8" i="16"/>
  <c r="AQ66" i="14"/>
  <c r="O57" i="16"/>
  <c r="M57" i="16"/>
  <c r="AQ66" i="12"/>
  <c r="AQ66" i="9"/>
  <c r="O56" i="16"/>
  <c r="N56" i="16"/>
  <c r="AQ66" i="4"/>
  <c r="O15" i="16"/>
  <c r="O29" i="16"/>
  <c r="K29" i="16"/>
  <c r="O40" i="16"/>
  <c r="N30" i="16"/>
  <c r="M33" i="16"/>
  <c r="L39" i="16"/>
  <c r="K15" i="16"/>
  <c r="AW29" i="10"/>
  <c r="I19" i="16"/>
  <c r="J28" i="16"/>
  <c r="M15" i="16"/>
  <c r="L15" i="16"/>
  <c r="N28" i="16"/>
  <c r="AQ66" i="5"/>
  <c r="E3" i="16"/>
  <c r="E65" i="16" s="1"/>
  <c r="C3" i="16"/>
  <c r="C65" i="16" s="1"/>
  <c r="O3" i="16"/>
  <c r="F3" i="16"/>
  <c r="F65" i="16" s="1"/>
  <c r="D3" i="16"/>
  <c r="D65" i="16" s="1"/>
  <c r="AQ66" i="3"/>
  <c r="AQ66" i="7"/>
  <c r="H3" i="16"/>
  <c r="H65" i="16" s="1"/>
  <c r="J3" i="16"/>
  <c r="N3" i="16"/>
  <c r="AQ66" i="13"/>
  <c r="I3" i="16"/>
  <c r="M3" i="16"/>
  <c r="L3" i="16"/>
  <c r="AQ66" i="11"/>
  <c r="K3" i="16"/>
  <c r="AQ66" i="10"/>
  <c r="O65" i="16" l="1"/>
  <c r="N65" i="16"/>
  <c r="M65" i="16"/>
  <c r="K65" i="16"/>
  <c r="J65" i="16"/>
  <c r="L65" i="16"/>
  <c r="AF7" i="8" l="1"/>
  <c r="AN7" i="8" s="1"/>
  <c r="AU17" i="8" s="1"/>
  <c r="AG7" i="8"/>
  <c r="AO7" i="8" s="1"/>
  <c r="AV17" i="8" s="1"/>
  <c r="AO66" i="8" l="1"/>
  <c r="J21" i="1" s="1"/>
  <c r="J31" i="1" s="1"/>
  <c r="AP7" i="8"/>
  <c r="AN66" i="8"/>
  <c r="I21" i="1" s="1"/>
  <c r="AQ7" i="8"/>
  <c r="AW17" i="8" s="1"/>
  <c r="M21" i="1" l="1"/>
  <c r="I31" i="1"/>
  <c r="I6" i="16"/>
  <c r="I65" i="16" s="1"/>
  <c r="AQ66" i="8"/>
  <c r="N21" i="1" l="1"/>
  <c r="M31" i="1"/>
  <c r="N31" i="1" s="1"/>
</calcChain>
</file>

<file path=xl/sharedStrings.xml><?xml version="1.0" encoding="utf-8"?>
<sst xmlns="http://schemas.openxmlformats.org/spreadsheetml/2006/main" count="7063" uniqueCount="972">
  <si>
    <r>
      <t xml:space="preserve">State wise BMC wise </t>
    </r>
    <r>
      <rPr>
        <b/>
        <sz val="10"/>
        <color rgb="FF00B050"/>
        <rFont val="Calibri"/>
        <family val="2"/>
        <scheme val="minor"/>
      </rPr>
      <t>Gain/</t>
    </r>
    <r>
      <rPr>
        <b/>
        <sz val="10"/>
        <color rgb="FFFF0000"/>
        <rFont val="Calibri"/>
        <family val="2"/>
        <scheme val="minor"/>
      </rPr>
      <t>(Loss)</t>
    </r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</si>
  <si>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</si>
  <si>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</si>
  <si>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</si>
  <si>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</si>
  <si>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</si>
  <si>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</si>
  <si>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</si>
  <si>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</si>
  <si>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</si>
  <si>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</si>
  <si>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</si>
  <si>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</si>
  <si>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Day book received till</t>
  </si>
  <si>
    <t>Remarks</t>
  </si>
  <si>
    <t>BR</t>
  </si>
  <si>
    <t>Daya BMC</t>
  </si>
  <si>
    <t>Majhaul</t>
  </si>
  <si>
    <t>Sahibpur Kamal</t>
  </si>
  <si>
    <t>Dalsingsarai</t>
  </si>
  <si>
    <t>Musrigharari</t>
  </si>
  <si>
    <t>Dumrao</t>
  </si>
  <si>
    <t>Bihar Daya BMCTotal</t>
  </si>
  <si>
    <t>SP BMC</t>
  </si>
  <si>
    <t>Laldiyara</t>
  </si>
  <si>
    <t>Asarganj</t>
  </si>
  <si>
    <t>SP RMC</t>
  </si>
  <si>
    <t>Mahadatpur</t>
  </si>
  <si>
    <t>Sonvarsha</t>
  </si>
  <si>
    <t>Aariya</t>
  </si>
  <si>
    <t>Teghra</t>
  </si>
  <si>
    <t>Halsi</t>
  </si>
  <si>
    <t>Bihar Service Provider Total</t>
  </si>
  <si>
    <t>JH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</si>
  <si>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</si>
  <si>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</si>
  <si>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</si>
  <si>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</si>
  <si>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</si>
  <si>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</si>
  <si>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</si>
  <si>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</si>
  <si>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</si>
  <si>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</si>
  <si>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</si>
  <si>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</si>
  <si>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</si>
  <si>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</si>
  <si>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Jharkhand Total</t>
  </si>
  <si>
    <t>WB</t>
  </si>
  <si>
    <t>B020</t>
  </si>
  <si>
    <t>Arasul</t>
  </si>
  <si>
    <t>B022</t>
  </si>
  <si>
    <t>Karnasubarna</t>
  </si>
  <si>
    <t>B004</t>
  </si>
  <si>
    <t>Haripal</t>
  </si>
  <si>
    <t>B014</t>
  </si>
  <si>
    <t>Kaochmali</t>
  </si>
  <si>
    <t>B016</t>
  </si>
  <si>
    <t>Uchalan</t>
  </si>
  <si>
    <t>B023</t>
  </si>
  <si>
    <t>Lohar</t>
  </si>
  <si>
    <t>West Bengal Total</t>
  </si>
  <si>
    <t>Manjhaul Bmc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</si>
  <si>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</si>
  <si>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</si>
  <si>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</si>
  <si>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</si>
  <si>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</si>
  <si>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</si>
  <si>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</si>
  <si>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</si>
  <si>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</si>
  <si>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</si>
  <si>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</si>
  <si>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</si>
  <si>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</si>
  <si>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</si>
  <si>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</si>
  <si>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</si>
  <si>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</si>
  <si>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</si>
  <si>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</si>
  <si>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</si>
  <si>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</si>
  <si>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</si>
  <si>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</si>
  <si>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</si>
  <si>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</si>
  <si>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S Kamal Bmc</t>
  </si>
  <si>
    <t>Musrighrari Bmc</t>
  </si>
  <si>
    <t>TOTAL-</t>
  </si>
  <si>
    <t>Simri Bmc</t>
  </si>
  <si>
    <t>Halsi Bmc</t>
  </si>
  <si>
    <t xml:space="preserve"> </t>
  </si>
  <si>
    <t>Buxar</t>
  </si>
  <si>
    <t>Laldiyara Bmc</t>
  </si>
  <si>
    <t>Asarganj Bmc</t>
  </si>
  <si>
    <t>Pakra Bmc</t>
  </si>
  <si>
    <t>Sonevarsa Bmc</t>
  </si>
  <si>
    <t>Araria Bmc</t>
  </si>
  <si>
    <t>Teghra Bmc</t>
  </si>
  <si>
    <t>Bhandra</t>
  </si>
  <si>
    <t>2008</t>
  </si>
  <si>
    <t>Kalyanpur</t>
  </si>
  <si>
    <t>Own BMC</t>
  </si>
  <si>
    <t>Service Provider BMC</t>
  </si>
  <si>
    <t>Total</t>
  </si>
  <si>
    <t>Kalyanpur Bmc</t>
  </si>
  <si>
    <t>B027</t>
  </si>
  <si>
    <t>Mondalgram</t>
  </si>
  <si>
    <t>Challan Missing</t>
  </si>
  <si>
    <t>Milk reject</t>
  </si>
  <si>
    <t>Out Side sell</t>
  </si>
  <si>
    <t>Alauli Bmc</t>
  </si>
  <si>
    <t>Alauli</t>
  </si>
  <si>
    <t>1001</t>
  </si>
  <si>
    <t>1011</t>
  </si>
  <si>
    <t>1012</t>
  </si>
  <si>
    <t>1013</t>
  </si>
  <si>
    <t>1014</t>
  </si>
  <si>
    <t>1002</t>
  </si>
  <si>
    <t>1003</t>
  </si>
  <si>
    <t xml:space="preserve">1006 </t>
  </si>
  <si>
    <t>1007</t>
  </si>
  <si>
    <t>1008</t>
  </si>
  <si>
    <t>1009</t>
  </si>
  <si>
    <t>1054</t>
  </si>
  <si>
    <t>1053</t>
  </si>
  <si>
    <t>B028</t>
  </si>
  <si>
    <t>Bachra</t>
  </si>
  <si>
    <t>2009</t>
  </si>
  <si>
    <t>Chanho</t>
  </si>
  <si>
    <t>1048</t>
  </si>
  <si>
    <t>1056</t>
  </si>
  <si>
    <t>Chautham Bmc</t>
  </si>
  <si>
    <t>Chautham</t>
  </si>
  <si>
    <t>Mathani Bmc</t>
  </si>
  <si>
    <t>1055</t>
  </si>
  <si>
    <t>B029</t>
  </si>
  <si>
    <t>Joyrampur</t>
  </si>
  <si>
    <t>B026</t>
  </si>
  <si>
    <t>Deulpara</t>
  </si>
  <si>
    <t>B030</t>
  </si>
  <si>
    <t>Natungram</t>
  </si>
  <si>
    <t>1057</t>
  </si>
  <si>
    <t>Warisnagar</t>
  </si>
  <si>
    <t>Warisnagar Bmc</t>
  </si>
  <si>
    <t>1058</t>
  </si>
  <si>
    <t>Hasanpur</t>
  </si>
  <si>
    <t>1010</t>
  </si>
  <si>
    <t>Parbatta</t>
  </si>
  <si>
    <t>1059</t>
  </si>
  <si>
    <t>Gopalpur </t>
  </si>
  <si>
    <t>Hasanpur Bmc</t>
  </si>
  <si>
    <t>Parbatta Bmc</t>
  </si>
  <si>
    <t>Gopalpur Bmc</t>
  </si>
  <si>
    <t>B031</t>
  </si>
  <si>
    <t>kandi</t>
  </si>
  <si>
    <t>Matihani</t>
  </si>
  <si>
    <t>Singhia </t>
  </si>
  <si>
    <t>SInghia Bmc</t>
  </si>
  <si>
    <t>1064</t>
  </si>
  <si>
    <t>Mahua Bmc</t>
  </si>
  <si>
    <t>Bachhwara Bmc</t>
  </si>
  <si>
    <t>Bachhwara</t>
  </si>
  <si>
    <t>Mahua</t>
  </si>
  <si>
    <t>0</t>
  </si>
  <si>
    <t>5239</t>
  </si>
  <si>
    <t>7181</t>
  </si>
  <si>
    <t>9071</t>
  </si>
  <si>
    <t>6545</t>
  </si>
  <si>
    <t>B032</t>
  </si>
  <si>
    <t>Negun</t>
  </si>
  <si>
    <t>3461</t>
  </si>
  <si>
    <t>Gaighat</t>
  </si>
  <si>
    <t>5848</t>
  </si>
  <si>
    <t xml:space="preserve">Munger </t>
  </si>
  <si>
    <t>Arariya</t>
  </si>
  <si>
    <t>8086</t>
  </si>
  <si>
    <t>00</t>
  </si>
  <si>
    <t>Hajipur</t>
  </si>
  <si>
    <t>Itc munger</t>
  </si>
  <si>
    <t>Mahdatpur</t>
  </si>
  <si>
    <t>Munger</t>
  </si>
  <si>
    <t>Singhiya</t>
  </si>
  <si>
    <t>2950</t>
  </si>
  <si>
    <t>Muzaffarpur</t>
  </si>
  <si>
    <t>itc munger</t>
  </si>
  <si>
    <t>1842</t>
  </si>
  <si>
    <t>Kaliyanpur</t>
  </si>
  <si>
    <t>0111</t>
  </si>
  <si>
    <t>7770</t>
  </si>
  <si>
    <t>Mahuwa</t>
  </si>
  <si>
    <t>3542</t>
  </si>
  <si>
    <t>7035</t>
  </si>
  <si>
    <t>0150</t>
  </si>
  <si>
    <t>9812</t>
  </si>
  <si>
    <t>6160</t>
  </si>
  <si>
    <t>0807</t>
  </si>
  <si>
    <t>1500</t>
  </si>
  <si>
    <t>Gaya</t>
  </si>
  <si>
    <t>4974</t>
  </si>
  <si>
    <t>Sonversa</t>
  </si>
  <si>
    <t>Gopalpur</t>
  </si>
  <si>
    <t>0316</t>
  </si>
  <si>
    <t>8528</t>
  </si>
  <si>
    <t>8581</t>
  </si>
  <si>
    <t>1946</t>
  </si>
  <si>
    <t>0906</t>
  </si>
  <si>
    <t>5337</t>
  </si>
  <si>
    <t>Rosera Bmc</t>
  </si>
  <si>
    <t>Rosera</t>
  </si>
  <si>
    <t>7181/6102</t>
  </si>
  <si>
    <t>87688</t>
  </si>
  <si>
    <t>87875</t>
  </si>
  <si>
    <t>86982</t>
  </si>
  <si>
    <t>81258</t>
  </si>
  <si>
    <t>81259</t>
  </si>
  <si>
    <t>87086</t>
  </si>
  <si>
    <t>87087</t>
  </si>
  <si>
    <t>5239/7181/80374,75</t>
  </si>
  <si>
    <t>86410/86411</t>
  </si>
  <si>
    <t>86412</t>
  </si>
  <si>
    <t>86376</t>
  </si>
  <si>
    <t>86617</t>
  </si>
  <si>
    <t>88466</t>
  </si>
  <si>
    <t>85284</t>
  </si>
  <si>
    <t>85285</t>
  </si>
  <si>
    <t>89067</t>
  </si>
  <si>
    <t>89068</t>
  </si>
  <si>
    <t>88932</t>
  </si>
  <si>
    <t>85154</t>
  </si>
  <si>
    <t>85156</t>
  </si>
  <si>
    <t>87976</t>
  </si>
  <si>
    <t>71681</t>
  </si>
  <si>
    <t>71682</t>
  </si>
  <si>
    <t>87158</t>
  </si>
  <si>
    <t>87159</t>
  </si>
  <si>
    <t>87160</t>
  </si>
  <si>
    <t>87317</t>
  </si>
  <si>
    <t>87318</t>
  </si>
  <si>
    <t>69476</t>
  </si>
  <si>
    <t>Itc Munger</t>
  </si>
  <si>
    <t>36539</t>
  </si>
  <si>
    <t>36540</t>
  </si>
  <si>
    <t>83402</t>
  </si>
  <si>
    <t>83403</t>
  </si>
  <si>
    <t>85475</t>
  </si>
  <si>
    <t>8581/85475</t>
  </si>
  <si>
    <t>86509</t>
  </si>
  <si>
    <t xml:space="preserve">Chautham </t>
  </si>
  <si>
    <t>86510</t>
  </si>
  <si>
    <t>8581/8086</t>
  </si>
  <si>
    <t>86511/86512</t>
  </si>
  <si>
    <t>Munger/Chautham</t>
  </si>
  <si>
    <t>62047</t>
  </si>
  <si>
    <t>64671</t>
  </si>
  <si>
    <t>62048</t>
  </si>
  <si>
    <t>86378</t>
  </si>
  <si>
    <t>Skamal</t>
  </si>
  <si>
    <t>86377</t>
  </si>
  <si>
    <t>86379</t>
  </si>
  <si>
    <t>89391</t>
  </si>
  <si>
    <t>86618</t>
  </si>
  <si>
    <t>86619</t>
  </si>
  <si>
    <t>88467</t>
  </si>
  <si>
    <t>89069</t>
  </si>
  <si>
    <t>89070</t>
  </si>
  <si>
    <t>9071/7770</t>
  </si>
  <si>
    <t>88933/88934</t>
  </si>
  <si>
    <t>88805</t>
  </si>
  <si>
    <t>Warishnagar</t>
  </si>
  <si>
    <t>85157</t>
  </si>
  <si>
    <t>85158</t>
  </si>
  <si>
    <t>87977</t>
  </si>
  <si>
    <t>71683</t>
  </si>
  <si>
    <t>71684</t>
  </si>
  <si>
    <t>87161</t>
  </si>
  <si>
    <t>87162</t>
  </si>
  <si>
    <t>87163</t>
  </si>
  <si>
    <t>87165</t>
  </si>
  <si>
    <t>87166</t>
  </si>
  <si>
    <t>36541</t>
  </si>
  <si>
    <t>36542</t>
  </si>
  <si>
    <t>36543</t>
  </si>
  <si>
    <t>83405</t>
  </si>
  <si>
    <t>76276</t>
  </si>
  <si>
    <t>76277</t>
  </si>
  <si>
    <t>86576</t>
  </si>
  <si>
    <t>86984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</si>
  <si>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</si>
  <si>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</si>
  <si>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</si>
  <si>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</si>
  <si>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</si>
  <si>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</si>
  <si>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</si>
  <si>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</si>
  <si>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Singhiya/Bachhwara</t>
  </si>
  <si>
    <t>87697/89392</t>
  </si>
  <si>
    <t>singhiya</t>
  </si>
  <si>
    <t>87698</t>
  </si>
  <si>
    <t>87501</t>
  </si>
  <si>
    <t>87504</t>
  </si>
  <si>
    <t>Muzaffurpur</t>
  </si>
  <si>
    <t>87506</t>
  </si>
  <si>
    <t>87507</t>
  </si>
  <si>
    <t>87697</t>
  </si>
  <si>
    <t>7181/86378</t>
  </si>
  <si>
    <t>5239/86379</t>
  </si>
  <si>
    <t>6102</t>
  </si>
  <si>
    <t>86417</t>
  </si>
  <si>
    <t>86418/86419</t>
  </si>
  <si>
    <t>Hajipur/Muzaffarpur</t>
  </si>
  <si>
    <t>86420</t>
  </si>
  <si>
    <t>86421</t>
  </si>
  <si>
    <t>86422</t>
  </si>
  <si>
    <t>89392</t>
  </si>
  <si>
    <t>86620</t>
  </si>
  <si>
    <t>88468</t>
  </si>
  <si>
    <t>88470</t>
  </si>
  <si>
    <t>85286</t>
  </si>
  <si>
    <t>85287</t>
  </si>
  <si>
    <t>85288</t>
  </si>
  <si>
    <t>Simari</t>
  </si>
  <si>
    <t>85289</t>
  </si>
  <si>
    <t>85290</t>
  </si>
  <si>
    <t>89071</t>
  </si>
  <si>
    <t>88935</t>
  </si>
  <si>
    <t>88936</t>
  </si>
  <si>
    <t>88938</t>
  </si>
  <si>
    <t>88806</t>
  </si>
  <si>
    <t>85159</t>
  </si>
  <si>
    <t>85160</t>
  </si>
  <si>
    <t>87978</t>
  </si>
  <si>
    <t>87980</t>
  </si>
  <si>
    <t>71685</t>
  </si>
  <si>
    <t>87319</t>
  </si>
  <si>
    <t>6263</t>
  </si>
  <si>
    <t>87173</t>
  </si>
  <si>
    <t>87320</t>
  </si>
  <si>
    <t>87172</t>
  </si>
  <si>
    <t>69477</t>
  </si>
  <si>
    <t>69478</t>
  </si>
  <si>
    <t>69479</t>
  </si>
  <si>
    <t>36544</t>
  </si>
  <si>
    <t>76279</t>
  </si>
  <si>
    <t>76280</t>
  </si>
  <si>
    <t>8581/86576</t>
  </si>
  <si>
    <t>86513</t>
  </si>
  <si>
    <t>86514</t>
  </si>
  <si>
    <t>86515</t>
  </si>
  <si>
    <t>86516</t>
  </si>
  <si>
    <t>86517</t>
  </si>
  <si>
    <t>86518</t>
  </si>
  <si>
    <t>86985</t>
  </si>
  <si>
    <t>86986</t>
  </si>
  <si>
    <t>86987</t>
  </si>
  <si>
    <t>86988</t>
  </si>
  <si>
    <t>64672</t>
  </si>
  <si>
    <t>62049</t>
  </si>
  <si>
    <t>86380</t>
  </si>
  <si>
    <t>86381/Route Vechile</t>
  </si>
  <si>
    <t>Muzaffarpur/skamal</t>
  </si>
  <si>
    <t>88471</t>
  </si>
  <si>
    <t>86989</t>
  </si>
  <si>
    <t>81260</t>
  </si>
  <si>
    <t>81261</t>
  </si>
  <si>
    <t>Manjhaul</t>
  </si>
  <si>
    <t>81262</t>
  </si>
  <si>
    <t>81263</t>
  </si>
  <si>
    <t>81264</t>
  </si>
  <si>
    <t>81265</t>
  </si>
  <si>
    <t>81266</t>
  </si>
  <si>
    <t>8581/86577</t>
  </si>
  <si>
    <t>86519</t>
  </si>
  <si>
    <t>86520</t>
  </si>
  <si>
    <t>86521</t>
  </si>
  <si>
    <t>86522</t>
  </si>
  <si>
    <t>5848/8086</t>
  </si>
  <si>
    <t>86523/524</t>
  </si>
  <si>
    <t>87699</t>
  </si>
  <si>
    <t>87508</t>
  </si>
  <si>
    <t>Route vechile</t>
  </si>
  <si>
    <t>86423</t>
  </si>
  <si>
    <t>86424</t>
  </si>
  <si>
    <t>86425</t>
  </si>
  <si>
    <t>86428</t>
  </si>
  <si>
    <t>86382</t>
  </si>
  <si>
    <t>86621</t>
  </si>
  <si>
    <t>88472</t>
  </si>
  <si>
    <t>85292</t>
  </si>
  <si>
    <t>89073</t>
  </si>
  <si>
    <t>88939</t>
  </si>
  <si>
    <t>88751</t>
  </si>
  <si>
    <t>85161</t>
  </si>
  <si>
    <t>71686</t>
  </si>
  <si>
    <t>87167</t>
  </si>
  <si>
    <t>6160/9812</t>
  </si>
  <si>
    <t>87168/87325</t>
  </si>
  <si>
    <t>87169</t>
  </si>
  <si>
    <t>87170</t>
  </si>
  <si>
    <t>87451</t>
  </si>
  <si>
    <t>87321</t>
  </si>
  <si>
    <t>87322</t>
  </si>
  <si>
    <t>87171</t>
  </si>
  <si>
    <t>87323</t>
  </si>
  <si>
    <t>87324</t>
  </si>
  <si>
    <t>88051</t>
  </si>
  <si>
    <t>1812</t>
  </si>
  <si>
    <t>69480</t>
  </si>
  <si>
    <t>36545</t>
  </si>
  <si>
    <t>36546</t>
  </si>
  <si>
    <t>76281</t>
  </si>
  <si>
    <t>76282</t>
  </si>
  <si>
    <t>0316/4974</t>
  </si>
  <si>
    <t>76283/76284</t>
  </si>
  <si>
    <t>86577</t>
  </si>
  <si>
    <t>62050</t>
  </si>
  <si>
    <t>64673</t>
  </si>
  <si>
    <t>70876</t>
  </si>
  <si>
    <t>64674</t>
  </si>
  <si>
    <t>70877</t>
  </si>
  <si>
    <t>64675</t>
  </si>
  <si>
    <t>B033</t>
  </si>
  <si>
    <t>Atgharia</t>
  </si>
  <si>
    <t>89393</t>
  </si>
  <si>
    <t>86622</t>
  </si>
  <si>
    <t>86623</t>
  </si>
  <si>
    <t>88473</t>
  </si>
  <si>
    <t>88475</t>
  </si>
  <si>
    <t>85291</t>
  </si>
  <si>
    <t>85293</t>
  </si>
  <si>
    <t>89074</t>
  </si>
  <si>
    <t>Musharigharari</t>
  </si>
  <si>
    <t>88752</t>
  </si>
  <si>
    <t>88753/88754</t>
  </si>
  <si>
    <t>85162</t>
  </si>
  <si>
    <t>85163</t>
  </si>
  <si>
    <t>87981</t>
  </si>
  <si>
    <t>87982</t>
  </si>
  <si>
    <t>71687</t>
  </si>
  <si>
    <t>71688</t>
  </si>
  <si>
    <t>4120</t>
  </si>
  <si>
    <t>36547</t>
  </si>
  <si>
    <t>36548</t>
  </si>
  <si>
    <t>36549</t>
  </si>
  <si>
    <t>Goplalpur/Rej Sonversa</t>
  </si>
  <si>
    <t>36546/76281</t>
  </si>
  <si>
    <t>Rej of Sonversa</t>
  </si>
  <si>
    <t>4689</t>
  </si>
  <si>
    <t>76285</t>
  </si>
  <si>
    <t>76286</t>
  </si>
  <si>
    <t>76287</t>
  </si>
  <si>
    <t>86578</t>
  </si>
  <si>
    <t>86579</t>
  </si>
  <si>
    <t>8581/86578</t>
  </si>
  <si>
    <t>86525</t>
  </si>
  <si>
    <t>86526</t>
  </si>
  <si>
    <t>86527</t>
  </si>
  <si>
    <t>86528</t>
  </si>
  <si>
    <t>86529</t>
  </si>
  <si>
    <t>86990</t>
  </si>
  <si>
    <t>86991</t>
  </si>
  <si>
    <t>70878</t>
  </si>
  <si>
    <t>70879</t>
  </si>
  <si>
    <t>64654</t>
  </si>
  <si>
    <t>70880</t>
  </si>
  <si>
    <t>3461/86377</t>
  </si>
  <si>
    <t>7181/86334</t>
  </si>
  <si>
    <t>86429</t>
  </si>
  <si>
    <t>86430</t>
  </si>
  <si>
    <t>86431</t>
  </si>
  <si>
    <t>86432</t>
  </si>
  <si>
    <t>86433</t>
  </si>
  <si>
    <t>86384</t>
  </si>
  <si>
    <t>86385</t>
  </si>
  <si>
    <t>86386</t>
  </si>
  <si>
    <t>86387</t>
  </si>
  <si>
    <t>Route Vechile</t>
  </si>
  <si>
    <t>86388</t>
  </si>
  <si>
    <t>86389</t>
  </si>
  <si>
    <t>89394</t>
  </si>
  <si>
    <t>88476</t>
  </si>
  <si>
    <t>000</t>
  </si>
  <si>
    <t>85294</t>
  </si>
  <si>
    <t>85295</t>
  </si>
  <si>
    <t>85296</t>
  </si>
  <si>
    <t>85001</t>
  </si>
  <si>
    <t>88809</t>
  </si>
  <si>
    <t>87983</t>
  </si>
  <si>
    <t>87984</t>
  </si>
  <si>
    <t>87452</t>
  </si>
  <si>
    <t>87453</t>
  </si>
  <si>
    <t>87454</t>
  </si>
  <si>
    <t>87455</t>
  </si>
  <si>
    <t>87456</t>
  </si>
  <si>
    <t>87457</t>
  </si>
  <si>
    <t>88052</t>
  </si>
  <si>
    <t>87475</t>
  </si>
  <si>
    <t>88054</t>
  </si>
  <si>
    <t>88055</t>
  </si>
  <si>
    <t>88056</t>
  </si>
  <si>
    <t>8581/86579</t>
  </si>
  <si>
    <t>86530</t>
  </si>
  <si>
    <t>86531</t>
  </si>
  <si>
    <t>81267</t>
  </si>
  <si>
    <t>81268</t>
  </si>
  <si>
    <t>81269</t>
  </si>
  <si>
    <t>81270</t>
  </si>
  <si>
    <t>86125</t>
  </si>
  <si>
    <t>86078</t>
  </si>
  <si>
    <t>86077</t>
  </si>
  <si>
    <t>86079</t>
  </si>
  <si>
    <t>86080</t>
  </si>
  <si>
    <t>86101</t>
  </si>
  <si>
    <t>86102</t>
  </si>
  <si>
    <t>86103</t>
  </si>
  <si>
    <t>86104</t>
  </si>
  <si>
    <t>Manjahul</t>
  </si>
  <si>
    <t>86105</t>
  </si>
  <si>
    <t>86106</t>
  </si>
  <si>
    <t>87511</t>
  </si>
  <si>
    <t>87513</t>
  </si>
  <si>
    <t>87514</t>
  </si>
  <si>
    <t>87515</t>
  </si>
  <si>
    <t>skamal</t>
  </si>
  <si>
    <t>5239/86433</t>
  </si>
  <si>
    <t>86434</t>
  </si>
  <si>
    <t>86435</t>
  </si>
  <si>
    <t>86436</t>
  </si>
  <si>
    <t>86437</t>
  </si>
  <si>
    <t>86624</t>
  </si>
  <si>
    <t>88477</t>
  </si>
  <si>
    <t>88478</t>
  </si>
  <si>
    <t>88479</t>
  </si>
  <si>
    <t>85297</t>
  </si>
  <si>
    <t>85298</t>
  </si>
  <si>
    <t>85002</t>
  </si>
  <si>
    <t>85003</t>
  </si>
  <si>
    <t>simari</t>
  </si>
  <si>
    <t>88755</t>
  </si>
  <si>
    <t>88756</t>
  </si>
  <si>
    <t>88757</t>
  </si>
  <si>
    <t>85164</t>
  </si>
  <si>
    <t>85165</t>
  </si>
  <si>
    <t>85167</t>
  </si>
  <si>
    <t>85168</t>
  </si>
  <si>
    <t>87985</t>
  </si>
  <si>
    <t>71689</t>
  </si>
  <si>
    <t>69481</t>
  </si>
  <si>
    <t>69482</t>
  </si>
  <si>
    <t>69483</t>
  </si>
  <si>
    <t>86580</t>
  </si>
  <si>
    <t>86992</t>
  </si>
  <si>
    <t>86993</t>
  </si>
  <si>
    <t>Rej of Arariya</t>
  </si>
  <si>
    <t>8086/86531</t>
  </si>
  <si>
    <t>8581/86580</t>
  </si>
  <si>
    <t>86532</t>
  </si>
  <si>
    <t>86533</t>
  </si>
  <si>
    <t>86534/535</t>
  </si>
  <si>
    <t>81271</t>
  </si>
  <si>
    <t>81272</t>
  </si>
  <si>
    <t>86081</t>
  </si>
  <si>
    <t>86082</t>
  </si>
  <si>
    <t>86083</t>
  </si>
  <si>
    <t>86107</t>
  </si>
  <si>
    <t>87516</t>
  </si>
  <si>
    <t>86438</t>
  </si>
  <si>
    <t>86390</t>
  </si>
  <si>
    <t>86625</t>
  </si>
  <si>
    <t>86701</t>
  </si>
  <si>
    <t>88480</t>
  </si>
  <si>
    <t>88481</t>
  </si>
  <si>
    <t>88758</t>
  </si>
  <si>
    <t>88810</t>
  </si>
  <si>
    <t>71690</t>
  </si>
  <si>
    <t>6160/0807</t>
  </si>
  <si>
    <t>87458/459</t>
  </si>
  <si>
    <t>88075</t>
  </si>
  <si>
    <t>0807/6160</t>
  </si>
  <si>
    <t>87460/88074</t>
  </si>
  <si>
    <t>9812/6263/6160</t>
  </si>
  <si>
    <t>87461/462/463</t>
  </si>
  <si>
    <t>88057</t>
  </si>
  <si>
    <t>88058</t>
  </si>
  <si>
    <t>88059</t>
  </si>
  <si>
    <t>5337/69484</t>
  </si>
  <si>
    <t>69484</t>
  </si>
  <si>
    <t>69485</t>
  </si>
  <si>
    <t>69486</t>
  </si>
  <si>
    <t>36550</t>
  </si>
  <si>
    <t>87276</t>
  </si>
  <si>
    <t>76288</t>
  </si>
  <si>
    <t>76289</t>
  </si>
  <si>
    <t>76290</t>
  </si>
  <si>
    <t>76291</t>
  </si>
  <si>
    <t>64129</t>
  </si>
  <si>
    <t>70881</t>
  </si>
  <si>
    <t>64130</t>
  </si>
  <si>
    <t>70882</t>
  </si>
  <si>
    <t>3461/86440</t>
  </si>
  <si>
    <t>86439</t>
  </si>
  <si>
    <t>3461/5239</t>
  </si>
  <si>
    <t>86440/86441</t>
  </si>
  <si>
    <t>Itc munger/Gaya</t>
  </si>
  <si>
    <t>86442</t>
  </si>
  <si>
    <t>86443</t>
  </si>
  <si>
    <t>86444</t>
  </si>
  <si>
    <t>86446</t>
  </si>
  <si>
    <t>86447</t>
  </si>
  <si>
    <t>86392</t>
  </si>
  <si>
    <t>86393</t>
  </si>
  <si>
    <t>86394</t>
  </si>
  <si>
    <t>86395</t>
  </si>
  <si>
    <t>89395</t>
  </si>
  <si>
    <t>86702</t>
  </si>
  <si>
    <t>86703</t>
  </si>
  <si>
    <t>86704</t>
  </si>
  <si>
    <t>88482</t>
  </si>
  <si>
    <t>77126</t>
  </si>
  <si>
    <t>88485</t>
  </si>
  <si>
    <t>88486</t>
  </si>
  <si>
    <t>7770/0111</t>
  </si>
  <si>
    <t>85299/84497</t>
  </si>
  <si>
    <t>Simari/Warishnagar</t>
  </si>
  <si>
    <t>85300</t>
  </si>
  <si>
    <t>77127</t>
  </si>
  <si>
    <t>85004</t>
  </si>
  <si>
    <t>85005</t>
  </si>
  <si>
    <t>85007</t>
  </si>
  <si>
    <t>85008</t>
  </si>
  <si>
    <t>88759</t>
  </si>
  <si>
    <t>88760</t>
  </si>
  <si>
    <t>88761</t>
  </si>
  <si>
    <t>85169</t>
  </si>
  <si>
    <t>85170</t>
  </si>
  <si>
    <t>85171</t>
  </si>
  <si>
    <t>87986</t>
  </si>
  <si>
    <t>87987</t>
  </si>
  <si>
    <t>87988</t>
  </si>
  <si>
    <t>87989</t>
  </si>
  <si>
    <t>71691</t>
  </si>
  <si>
    <t>71692</t>
  </si>
  <si>
    <t>71693</t>
  </si>
  <si>
    <t>87464</t>
  </si>
  <si>
    <t>87465</t>
  </si>
  <si>
    <t>87466/467</t>
  </si>
  <si>
    <t>88060</t>
  </si>
  <si>
    <t>88061</t>
  </si>
  <si>
    <t>88062</t>
  </si>
  <si>
    <t>87473</t>
  </si>
  <si>
    <t>88063</t>
  </si>
  <si>
    <t>88064</t>
  </si>
  <si>
    <t>87277</t>
  </si>
  <si>
    <t>87278</t>
  </si>
  <si>
    <t>76292</t>
  </si>
  <si>
    <t>76293</t>
  </si>
  <si>
    <t>76294</t>
  </si>
  <si>
    <t>76295</t>
  </si>
  <si>
    <t>5848/86534</t>
  </si>
  <si>
    <t>8581/86581</t>
  </si>
  <si>
    <t>86536</t>
  </si>
  <si>
    <t>86537/86538</t>
  </si>
  <si>
    <t>86539</t>
  </si>
  <si>
    <t>86994</t>
  </si>
  <si>
    <t>86995</t>
  </si>
  <si>
    <t>86996</t>
  </si>
  <si>
    <t>81273</t>
  </si>
  <si>
    <t>81274</t>
  </si>
  <si>
    <t>81275</t>
  </si>
  <si>
    <t>64131</t>
  </si>
  <si>
    <t>70883</t>
  </si>
  <si>
    <t>64134</t>
  </si>
  <si>
    <t>70884</t>
  </si>
  <si>
    <t>86084</t>
  </si>
  <si>
    <t>86085</t>
  </si>
  <si>
    <t>86086</t>
  </si>
  <si>
    <t>86087</t>
  </si>
  <si>
    <t>86088</t>
  </si>
  <si>
    <t>86108/89395</t>
  </si>
  <si>
    <t>86109</t>
  </si>
  <si>
    <t>86111</t>
  </si>
  <si>
    <t>87517</t>
  </si>
  <si>
    <t>87518</t>
  </si>
  <si>
    <t>87519</t>
  </si>
  <si>
    <t>87520</t>
  </si>
  <si>
    <t>86108</t>
  </si>
  <si>
    <t>86110</t>
  </si>
  <si>
    <t>86448</t>
  </si>
  <si>
    <t>86449</t>
  </si>
  <si>
    <t>80406</t>
  </si>
  <si>
    <t>80407</t>
  </si>
  <si>
    <t>86396</t>
  </si>
  <si>
    <t>6102/7181</t>
  </si>
  <si>
    <t>86397/86398/Route Vechile</t>
  </si>
  <si>
    <t>86705</t>
  </si>
  <si>
    <t>86706</t>
  </si>
  <si>
    <t>88487</t>
  </si>
  <si>
    <t>88488</t>
  </si>
  <si>
    <t>77128</t>
  </si>
  <si>
    <t>77129</t>
  </si>
  <si>
    <t>77130</t>
  </si>
  <si>
    <t>89396</t>
  </si>
  <si>
    <t>85009</t>
  </si>
  <si>
    <t>88762</t>
  </si>
  <si>
    <t>88763</t>
  </si>
  <si>
    <t>88764</t>
  </si>
  <si>
    <t>7035/9071</t>
  </si>
  <si>
    <t>88811/812</t>
  </si>
  <si>
    <t>Mahua/Warishnagar</t>
  </si>
  <si>
    <t>88813</t>
  </si>
  <si>
    <t>85172</t>
  </si>
  <si>
    <t>85173</t>
  </si>
  <si>
    <t>85174</t>
  </si>
  <si>
    <t>87990</t>
  </si>
  <si>
    <t>71694</t>
  </si>
  <si>
    <t>69487</t>
  </si>
  <si>
    <t>69488</t>
  </si>
  <si>
    <t>69489</t>
  </si>
  <si>
    <t>87279</t>
  </si>
  <si>
    <t>9725/0316</t>
  </si>
  <si>
    <t>76296/297</t>
  </si>
  <si>
    <t>76298</t>
  </si>
  <si>
    <t>76299</t>
  </si>
  <si>
    <t>86581</t>
  </si>
  <si>
    <t>86582</t>
  </si>
  <si>
    <t>5848/86582</t>
  </si>
  <si>
    <t>86540</t>
  </si>
  <si>
    <t>86541</t>
  </si>
  <si>
    <t>86542</t>
  </si>
  <si>
    <t>86997</t>
  </si>
  <si>
    <t>Maheshkhut</t>
  </si>
  <si>
    <t>86998</t>
  </si>
  <si>
    <t>87052</t>
  </si>
  <si>
    <t>87053</t>
  </si>
  <si>
    <t>64135</t>
  </si>
  <si>
    <t>70885</t>
  </si>
  <si>
    <t>70886</t>
  </si>
  <si>
    <t>86999</t>
  </si>
  <si>
    <t>87054</t>
  </si>
  <si>
    <t>87055</t>
  </si>
  <si>
    <t>86543</t>
  </si>
  <si>
    <t>86544</t>
  </si>
  <si>
    <t>86545</t>
  </si>
  <si>
    <t>86089</t>
  </si>
  <si>
    <t>86090</t>
  </si>
  <si>
    <t>86112</t>
  </si>
  <si>
    <t>86113</t>
  </si>
  <si>
    <t>87521</t>
  </si>
  <si>
    <t>87522</t>
  </si>
  <si>
    <t>Reje of Skamal</t>
  </si>
  <si>
    <t>6102/1842/5239</t>
  </si>
  <si>
    <t>80408/409/410</t>
  </si>
  <si>
    <t>Munger/Alauli/Munger</t>
  </si>
  <si>
    <t>86399</t>
  </si>
  <si>
    <t>86707</t>
  </si>
  <si>
    <t>88489</t>
  </si>
  <si>
    <t>88494</t>
  </si>
  <si>
    <t>77131</t>
  </si>
  <si>
    <t>85010</t>
  </si>
  <si>
    <t>88765</t>
  </si>
  <si>
    <t>88766</t>
  </si>
  <si>
    <t>88814</t>
  </si>
  <si>
    <t>87991</t>
  </si>
  <si>
    <t>Musrighrari</t>
  </si>
  <si>
    <t>87992</t>
  </si>
  <si>
    <t xml:space="preserve">simri </t>
  </si>
  <si>
    <t>71695</t>
  </si>
  <si>
    <t>87468</t>
  </si>
  <si>
    <t>87469</t>
  </si>
  <si>
    <t>87470</t>
  </si>
  <si>
    <t>87471</t>
  </si>
  <si>
    <t>87472</t>
  </si>
  <si>
    <t>87426</t>
  </si>
  <si>
    <t>87427</t>
  </si>
  <si>
    <t>88065</t>
  </si>
  <si>
    <t>88066</t>
  </si>
  <si>
    <t>88067</t>
  </si>
  <si>
    <t>88068</t>
  </si>
  <si>
    <t>69490</t>
  </si>
  <si>
    <t>69491</t>
  </si>
  <si>
    <t>87280</t>
  </si>
  <si>
    <t>87281</t>
  </si>
  <si>
    <t>9725</t>
  </si>
  <si>
    <t>76300</t>
  </si>
  <si>
    <t>76251</t>
  </si>
  <si>
    <t>76252</t>
  </si>
  <si>
    <t>86583</t>
  </si>
  <si>
    <t>64136</t>
  </si>
  <si>
    <t>70887</t>
  </si>
  <si>
    <t>Report till updated  23th July 26</t>
  </si>
  <si>
    <t>86091</t>
  </si>
  <si>
    <t>86092</t>
  </si>
  <si>
    <t>86114</t>
  </si>
  <si>
    <t>86115</t>
  </si>
  <si>
    <t>87523</t>
  </si>
  <si>
    <t>87524</t>
  </si>
  <si>
    <t>80411</t>
  </si>
  <si>
    <t>6102/5239</t>
  </si>
  <si>
    <t>80412/80413</t>
  </si>
  <si>
    <t>Itc munger/Muzaffarpur</t>
  </si>
  <si>
    <t>Report till updated  26th July 26</t>
  </si>
  <si>
    <t>85088</t>
  </si>
  <si>
    <t>77133</t>
  </si>
  <si>
    <t>88491</t>
  </si>
  <si>
    <t>85011</t>
  </si>
  <si>
    <t>88767</t>
  </si>
  <si>
    <t>88768</t>
  </si>
  <si>
    <t>88815</t>
  </si>
  <si>
    <t>88816</t>
  </si>
  <si>
    <t>85175</t>
  </si>
  <si>
    <t>3542/7770</t>
  </si>
  <si>
    <t>85076/85077</t>
  </si>
  <si>
    <t>85078</t>
  </si>
  <si>
    <t>87993</t>
  </si>
  <si>
    <t>87994</t>
  </si>
  <si>
    <t>87995</t>
  </si>
  <si>
    <t>71696</t>
  </si>
  <si>
    <t>0316/8528</t>
  </si>
  <si>
    <t>76253/254</t>
  </si>
  <si>
    <t>0798</t>
  </si>
  <si>
    <t>80422</t>
  </si>
  <si>
    <t>76255</t>
  </si>
  <si>
    <t>8581/86583</t>
  </si>
  <si>
    <t>86546/547</t>
  </si>
  <si>
    <t>5848/8581</t>
  </si>
  <si>
    <t>86548/549</t>
  </si>
  <si>
    <t>87000</t>
  </si>
  <si>
    <t>86876</t>
  </si>
  <si>
    <t>70888</t>
  </si>
  <si>
    <t>64137</t>
  </si>
  <si>
    <t>80414</t>
  </si>
  <si>
    <t>80415</t>
  </si>
  <si>
    <t>80416</t>
  </si>
  <si>
    <t>80417</t>
  </si>
  <si>
    <t>80418</t>
  </si>
  <si>
    <t>86400</t>
  </si>
  <si>
    <t>86351</t>
  </si>
  <si>
    <t>86352</t>
  </si>
  <si>
    <t>86353/Route Vechile</t>
  </si>
  <si>
    <t>Hajipur/skamal</t>
  </si>
  <si>
    <t>86708</t>
  </si>
  <si>
    <t>86709</t>
  </si>
  <si>
    <t>88492</t>
  </si>
  <si>
    <t>77132</t>
  </si>
  <si>
    <t>77134</t>
  </si>
  <si>
    <t>77135</t>
  </si>
  <si>
    <t>77136</t>
  </si>
  <si>
    <t>Report till updated  27th July 26</t>
  </si>
  <si>
    <t>Report till updated  28th July 26</t>
  </si>
  <si>
    <t>85012</t>
  </si>
  <si>
    <t>85013</t>
  </si>
  <si>
    <t>88769</t>
  </si>
  <si>
    <t>88771</t>
  </si>
  <si>
    <t>88772</t>
  </si>
  <si>
    <t>88817</t>
  </si>
  <si>
    <t>85079</t>
  </si>
  <si>
    <t>85080</t>
  </si>
  <si>
    <t>87996</t>
  </si>
  <si>
    <t>87997</t>
  </si>
  <si>
    <t>87998</t>
  </si>
  <si>
    <t>71697</t>
  </si>
  <si>
    <t>87428</t>
  </si>
  <si>
    <t>87429</t>
  </si>
  <si>
    <t>87430</t>
  </si>
  <si>
    <t>87431</t>
  </si>
  <si>
    <t>87432</t>
  </si>
  <si>
    <t>88069</t>
  </si>
  <si>
    <t>88070</t>
  </si>
  <si>
    <t>88071</t>
  </si>
  <si>
    <t>88072</t>
  </si>
  <si>
    <t>88073</t>
  </si>
  <si>
    <t>Rej parbatta</t>
  </si>
  <si>
    <t>5337/69492</t>
  </si>
  <si>
    <t>69492</t>
  </si>
  <si>
    <t>69493</t>
  </si>
  <si>
    <t>87282</t>
  </si>
  <si>
    <t>87283</t>
  </si>
  <si>
    <t>87284</t>
  </si>
  <si>
    <t>76256</t>
  </si>
  <si>
    <t>76258</t>
  </si>
  <si>
    <t>76259</t>
  </si>
  <si>
    <t>86584</t>
  </si>
  <si>
    <t>5848/86584</t>
  </si>
  <si>
    <t>86550</t>
  </si>
  <si>
    <t>86551</t>
  </si>
  <si>
    <t>86552</t>
  </si>
  <si>
    <t>86553</t>
  </si>
  <si>
    <t>86554</t>
  </si>
  <si>
    <t>86555</t>
  </si>
  <si>
    <t>87056</t>
  </si>
  <si>
    <t>87057</t>
  </si>
  <si>
    <t>87058</t>
  </si>
  <si>
    <t>70889</t>
  </si>
  <si>
    <t>64138</t>
  </si>
  <si>
    <t>70890</t>
  </si>
  <si>
    <t>64139</t>
  </si>
  <si>
    <t>86093</t>
  </si>
  <si>
    <t>86094</t>
  </si>
  <si>
    <t>86116</t>
  </si>
  <si>
    <t>86117</t>
  </si>
  <si>
    <t>87525</t>
  </si>
  <si>
    <t>87576</t>
  </si>
  <si>
    <t>80419</t>
  </si>
  <si>
    <t>86354</t>
  </si>
  <si>
    <t>86710</t>
  </si>
  <si>
    <t>88493</t>
  </si>
  <si>
    <t>87999</t>
  </si>
  <si>
    <t>88251</t>
  </si>
  <si>
    <t>88252</t>
  </si>
  <si>
    <t>87285</t>
  </si>
  <si>
    <t>87286</t>
  </si>
  <si>
    <t>76261</t>
  </si>
  <si>
    <t>76262</t>
  </si>
  <si>
    <t>86877</t>
  </si>
  <si>
    <t>86878</t>
  </si>
  <si>
    <t>70891</t>
  </si>
  <si>
    <t>64140</t>
  </si>
  <si>
    <t>Report till updated  29th July 26</t>
  </si>
  <si>
    <t>86095</t>
  </si>
  <si>
    <t>86096</t>
  </si>
  <si>
    <t>86097</t>
  </si>
  <si>
    <t>86118</t>
  </si>
  <si>
    <t>86119</t>
  </si>
  <si>
    <t>87577</t>
  </si>
  <si>
    <t>87578</t>
  </si>
  <si>
    <t>80420</t>
  </si>
  <si>
    <t>86355</t>
  </si>
  <si>
    <t>86356</t>
  </si>
  <si>
    <t>RejAlauli</t>
  </si>
  <si>
    <t>1842/86710</t>
  </si>
  <si>
    <t>86711</t>
  </si>
  <si>
    <t>88495</t>
  </si>
  <si>
    <t>77137</t>
  </si>
  <si>
    <t>85014</t>
  </si>
  <si>
    <t>88773</t>
  </si>
  <si>
    <t>88774</t>
  </si>
  <si>
    <t>85081</t>
  </si>
  <si>
    <t>71698</t>
  </si>
  <si>
    <t>71699</t>
  </si>
  <si>
    <t>88253</t>
  </si>
  <si>
    <t>1842/69494</t>
  </si>
  <si>
    <t>69494</t>
  </si>
  <si>
    <t>69495</t>
  </si>
  <si>
    <t>69496</t>
  </si>
  <si>
    <t>83406</t>
  </si>
  <si>
    <t>76263</t>
  </si>
  <si>
    <t>86593</t>
  </si>
  <si>
    <t>8581/86593</t>
  </si>
  <si>
    <t>86556</t>
  </si>
  <si>
    <t>86557/558</t>
  </si>
  <si>
    <t>Maheshkhut/chautham</t>
  </si>
  <si>
    <t>86559</t>
  </si>
  <si>
    <t>86560</t>
  </si>
  <si>
    <t>86879</t>
  </si>
  <si>
    <t>87059</t>
  </si>
  <si>
    <t>87060</t>
  </si>
  <si>
    <t>87061</t>
  </si>
  <si>
    <t>87062</t>
  </si>
  <si>
    <t xml:space="preserve">Rej of Halsi </t>
  </si>
  <si>
    <t>70892</t>
  </si>
  <si>
    <t>64141</t>
  </si>
  <si>
    <t>Report till updated  30th July 26</t>
  </si>
  <si>
    <t>87433</t>
  </si>
  <si>
    <t>87434</t>
  </si>
  <si>
    <t>87435</t>
  </si>
  <si>
    <t>87436</t>
  </si>
  <si>
    <t>87437</t>
  </si>
  <si>
    <t>87438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</si>
</sst>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7"/>
      <color rgb="FF607188"/>
      <name val="Poppins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1F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7">
    <xf numFmtId="0" fontId="0" fillId="0" borderId="0" xfId="0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64" fontId="7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2" xfId="0" quotePrefix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166" fontId="0" fillId="4" borderId="5" xfId="0" applyNumberFormat="1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1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5" xfId="0" applyNumberFormat="1" applyFill="1" applyBorder="1" applyAlignment="1" applyProtection="1">
      <alignment horizontal="center" vertical="center"/>
      <protection locked="0"/>
    </xf>
    <xf numFmtId="2" fontId="0" fillId="6" borderId="19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8" xfId="0" applyNumberFormat="1" applyFill="1" applyBorder="1" applyAlignment="1" applyProtection="1">
      <alignment horizontal="center" vertical="center"/>
      <protection locked="0"/>
    </xf>
    <xf numFmtId="167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>
      <alignment horizontal="center" vertical="center"/>
    </xf>
    <xf numFmtId="167" fontId="2" fillId="0" borderId="5" xfId="0" applyNumberFormat="1" applyFont="1" applyBorder="1"/>
    <xf numFmtId="167" fontId="2" fillId="0" borderId="6" xfId="0" applyNumberFormat="1" applyFont="1" applyBorder="1"/>
    <xf numFmtId="168" fontId="0" fillId="0" borderId="6" xfId="2" applyNumberFormat="1" applyFont="1" applyBorder="1" applyAlignment="1">
      <alignment horizontal="right"/>
    </xf>
    <xf numFmtId="169" fontId="2" fillId="0" borderId="8" xfId="1" applyNumberFormat="1" applyFont="1" applyBorder="1"/>
    <xf numFmtId="2" fontId="0" fillId="0" borderId="0" xfId="0" applyNumberFormat="1"/>
    <xf numFmtId="49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/>
    <xf numFmtId="167" fontId="0" fillId="0" borderId="5" xfId="0" applyNumberFormat="1" applyBorder="1"/>
    <xf numFmtId="2" fontId="0" fillId="9" borderId="5" xfId="0" applyNumberForma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2" fontId="0" fillId="9" borderId="6" xfId="0" applyNumberForma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2" fontId="0" fillId="5" borderId="6" xfId="0" applyNumberFormat="1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0" xfId="0" applyNumberFormat="1"/>
    <xf numFmtId="1" fontId="0" fillId="0" borderId="6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167" fontId="0" fillId="10" borderId="20" xfId="0" applyNumberFormat="1" applyFill="1" applyBorder="1"/>
    <xf numFmtId="0" fontId="0" fillId="0" borderId="21" xfId="0" applyBorder="1"/>
    <xf numFmtId="169" fontId="9" fillId="0" borderId="22" xfId="1" applyNumberFormat="1" applyFont="1" applyBorder="1"/>
    <xf numFmtId="167" fontId="0" fillId="0" borderId="5" xfId="0" applyNumberFormat="1" applyBorder="1" applyAlignment="1" applyProtection="1">
      <alignment horizontal="center" vertical="center"/>
      <protection locked="0"/>
    </xf>
    <xf numFmtId="169" fontId="0" fillId="0" borderId="0" xfId="0" applyNumberFormat="1"/>
    <xf numFmtId="21" fontId="0" fillId="0" borderId="6" xfId="0" applyNumberForma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" fontId="11" fillId="5" borderId="5" xfId="0" applyNumberFormat="1" applyFont="1" applyFill="1" applyBorder="1" applyAlignment="1" applyProtection="1">
      <alignment horizontal="center" vertical="center"/>
      <protection locked="0"/>
    </xf>
    <xf numFmtId="2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6" xfId="0" applyNumberFormat="1" applyFont="1" applyBorder="1" applyAlignment="1" applyProtection="1">
      <alignment horizontal="center" vertical="center"/>
      <protection locked="0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1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" fontId="0" fillId="12" borderId="5" xfId="0" applyNumberFormat="1" applyFill="1" applyBorder="1" applyAlignment="1" applyProtection="1">
      <alignment horizontal="center" vertical="center"/>
      <protection locked="0"/>
    </xf>
    <xf numFmtId="2" fontId="0" fillId="12" borderId="6" xfId="0" applyNumberFormat="1" applyFill="1" applyBorder="1" applyAlignment="1" applyProtection="1">
      <alignment horizontal="center" vertical="center"/>
      <protection locked="0"/>
    </xf>
    <xf numFmtId="167" fontId="0" fillId="9" borderId="5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4" borderId="8" xfId="0" applyFont="1" applyFill="1" applyBorder="1" applyAlignment="1">
      <alignment horizontal="center" vertical="top"/>
    </xf>
    <xf numFmtId="1" fontId="11" fillId="7" borderId="6" xfId="0" applyNumberFormat="1" applyFont="1" applyFill="1" applyBorder="1" applyAlignment="1" applyProtection="1">
      <alignment horizontal="center" vertical="center"/>
      <protection locked="0"/>
    </xf>
    <xf numFmtId="2" fontId="11" fillId="7" borderId="6" xfId="0" applyNumberFormat="1" applyFont="1" applyFill="1" applyBorder="1" applyAlignment="1" applyProtection="1">
      <alignment horizontal="center" vertical="center"/>
      <protection locked="0"/>
    </xf>
    <xf numFmtId="168" fontId="1" fillId="0" borderId="6" xfId="2" applyNumberFormat="1" applyFont="1" applyBorder="1" applyAlignment="1">
      <alignment horizontal="right"/>
    </xf>
    <xf numFmtId="169" fontId="1" fillId="0" borderId="8" xfId="1" applyNumberFormat="1" applyFont="1" applyBorder="1"/>
    <xf numFmtId="1" fontId="0" fillId="11" borderId="0" xfId="0" applyNumberFormat="1" applyFill="1"/>
    <xf numFmtId="2" fontId="0" fillId="0" borderId="23" xfId="0" applyNumberFormat="1" applyBorder="1" applyAlignment="1" applyProtection="1">
      <alignment horizontal="center" vertical="center"/>
      <protection locked="0"/>
    </xf>
    <xf numFmtId="167" fontId="0" fillId="13" borderId="5" xfId="0" applyNumberFormat="1" applyFill="1" applyBorder="1" applyAlignment="1" applyProtection="1">
      <alignment horizontal="center" vertical="center" wrapText="1"/>
      <protection locked="0"/>
    </xf>
    <xf numFmtId="167" fontId="0" fillId="13" borderId="6" xfId="0" applyNumberFormat="1" applyFill="1" applyBorder="1" applyAlignment="1">
      <alignment horizontal="center" vertical="center"/>
    </xf>
    <xf numFmtId="2" fontId="0" fillId="13" borderId="6" xfId="0" applyNumberForma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167" fontId="0" fillId="13" borderId="6" xfId="0" applyNumberFormat="1" applyFill="1" applyBorder="1" applyAlignment="1" applyProtection="1">
      <alignment horizontal="center" vertical="center" wrapText="1"/>
      <protection locked="0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0" xfId="0" applyNumberFormat="1" applyBorder="1"/>
    <xf numFmtId="167" fontId="2" fillId="0" borderId="0" xfId="0" applyNumberFormat="1" applyFont="1"/>
    <xf numFmtId="167" fontId="2" fillId="10" borderId="20" xfId="0" applyNumberFormat="1" applyFont="1" applyFill="1" applyBorder="1"/>
    <xf numFmtId="16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6" fontId="6" fillId="3" borderId="25" xfId="0" applyNumberFormat="1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1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27" xfId="0" applyNumberFormat="1" applyFont="1" applyBorder="1" applyAlignment="1" applyProtection="1">
      <alignment horizontal="center" vertical="center"/>
      <protection locked="0"/>
    </xf>
    <xf numFmtId="2" fontId="11" fillId="0" borderId="27" xfId="0" applyNumberFormat="1" applyFont="1" applyBorder="1" applyAlignment="1" applyProtection="1">
      <alignment horizontal="center" vertical="center"/>
      <protection locked="0"/>
    </xf>
    <xf numFmtId="1" fontId="11" fillId="7" borderId="27" xfId="0" applyNumberFormat="1" applyFont="1" applyFill="1" applyBorder="1" applyAlignment="1" applyProtection="1">
      <alignment horizontal="center" vertical="center"/>
      <protection locked="0"/>
    </xf>
    <xf numFmtId="2" fontId="11" fillId="7" borderId="27" xfId="0" applyNumberFormat="1" applyFont="1" applyFill="1" applyBorder="1" applyAlignment="1" applyProtection="1">
      <alignment horizontal="center" vertical="center"/>
      <protection locked="0"/>
    </xf>
    <xf numFmtId="1" fontId="11" fillId="0" borderId="26" xfId="0" applyNumberFormat="1" applyFont="1" applyBorder="1" applyAlignment="1" applyProtection="1">
      <alignment horizontal="center" vertical="center"/>
      <protection locked="0"/>
    </xf>
    <xf numFmtId="2" fontId="0" fillId="5" borderId="7" xfId="0" applyNumberFormat="1" applyFill="1" applyBorder="1" applyAlignment="1">
      <alignment horizontal="center" vertical="center"/>
    </xf>
    <xf numFmtId="167" fontId="0" fillId="13" borderId="26" xfId="0" applyNumberFormat="1" applyFill="1" applyBorder="1" applyAlignment="1" applyProtection="1">
      <alignment horizontal="center" vertical="center" wrapText="1"/>
      <protection locked="0"/>
    </xf>
    <xf numFmtId="167" fontId="0" fillId="13" borderId="27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 applyProtection="1">
      <alignment horizontal="center" vertical="center"/>
      <protection locked="0"/>
    </xf>
    <xf numFmtId="2" fontId="0" fillId="13" borderId="28" xfId="0" applyNumberFormat="1" applyFill="1" applyBorder="1" applyAlignment="1" applyProtection="1">
      <alignment horizontal="center" vertical="center"/>
      <protection locked="0"/>
    </xf>
    <xf numFmtId="167" fontId="0" fillId="13" borderId="27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6" fillId="0" borderId="29" xfId="0" applyFont="1" applyBorder="1"/>
    <xf numFmtId="2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6" xfId="0" applyNumberFormat="1" applyFont="1" applyBorder="1" applyAlignment="1" applyProtection="1">
      <alignment horizontal="center" vertical="center"/>
      <protection locked="0"/>
    </xf>
    <xf numFmtId="167" fontId="6" fillId="13" borderId="5" xfId="0" applyNumberFormat="1" applyFont="1" applyFill="1" applyBorder="1" applyAlignment="1" applyProtection="1">
      <alignment horizontal="center" vertical="center" wrapText="1"/>
      <protection locked="0"/>
    </xf>
    <xf numFmtId="167" fontId="6" fillId="13" borderId="6" xfId="0" applyNumberFormat="1" applyFont="1" applyFill="1" applyBorder="1" applyAlignment="1">
      <alignment horizontal="center" vertical="center"/>
    </xf>
    <xf numFmtId="2" fontId="6" fillId="13" borderId="6" xfId="0" applyNumberFormat="1" applyFont="1" applyFill="1" applyBorder="1" applyAlignment="1" applyProtection="1">
      <alignment horizontal="center" vertical="center"/>
      <protection locked="0"/>
    </xf>
    <xf numFmtId="2" fontId="6" fillId="13" borderId="7" xfId="0" applyNumberFormat="1" applyFont="1" applyFill="1" applyBorder="1" applyAlignment="1" applyProtection="1">
      <alignment horizontal="center" vertical="center"/>
      <protection locked="0"/>
    </xf>
    <xf numFmtId="2" fontId="6" fillId="6" borderId="19" xfId="0" applyNumberFormat="1" applyFont="1" applyFill="1" applyBorder="1" applyAlignment="1" applyProtection="1">
      <alignment horizontal="center" vertical="center"/>
      <protection locked="0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1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1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>
      <alignment horizontal="center" vertical="center"/>
    </xf>
    <xf numFmtId="167" fontId="6" fillId="0" borderId="5" xfId="0" applyNumberFormat="1" applyFont="1" applyBorder="1"/>
    <xf numFmtId="167" fontId="6" fillId="0" borderId="6" xfId="0" applyNumberFormat="1" applyFont="1" applyBorder="1"/>
    <xf numFmtId="168" fontId="6" fillId="0" borderId="6" xfId="2" applyNumberFormat="1" applyFont="1" applyBorder="1" applyAlignment="1">
      <alignment horizontal="right"/>
    </xf>
    <xf numFmtId="1" fontId="6" fillId="0" borderId="0" xfId="0" applyNumberFormat="1" applyFont="1"/>
    <xf numFmtId="167" fontId="6" fillId="0" borderId="5" xfId="0" applyNumberFormat="1" applyFont="1" applyBorder="1" applyAlignment="1" applyProtection="1">
      <alignment horizontal="center" vertical="center"/>
      <protection locked="0"/>
    </xf>
    <xf numFmtId="167" fontId="6" fillId="0" borderId="6" xfId="0" applyNumberFormat="1" applyFont="1" applyBorder="1" applyAlignment="1">
      <alignment horizontal="center" vertical="center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23" xfId="0" applyNumberFormat="1" applyFont="1" applyBorder="1" applyAlignment="1" applyProtection="1">
      <alignment horizontal="center" vertical="center"/>
      <protection locked="0"/>
    </xf>
    <xf numFmtId="2" fontId="6" fillId="9" borderId="6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4" fontId="6" fillId="0" borderId="0" xfId="0" applyNumberFormat="1" applyFont="1"/>
    <xf numFmtId="167" fontId="6" fillId="0" borderId="0" xfId="0" applyNumberFormat="1" applyFont="1"/>
    <xf numFmtId="2" fontId="0" fillId="6" borderId="19" xfId="0" quotePrefix="1" applyNumberFormat="1" applyFill="1" applyBorder="1" applyAlignment="1" applyProtection="1">
      <alignment horizontal="center" vertical="center"/>
      <protection locked="0"/>
    </xf>
    <xf numFmtId="2" fontId="0" fillId="13" borderId="8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5" xfId="0" applyNumberFormat="1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0" fillId="15" borderId="6" xfId="0" applyNumberFormat="1" applyFill="1" applyBorder="1" applyAlignment="1" applyProtection="1">
      <alignment horizontal="center" vertical="center"/>
      <protection locked="0"/>
    </xf>
    <xf numFmtId="2" fontId="0" fillId="13" borderId="5" xfId="0" applyNumberFormat="1" applyFill="1" applyBorder="1" applyAlignment="1" applyProtection="1">
      <alignment horizontal="center" vertical="center" wrapText="1"/>
      <protection locked="0"/>
    </xf>
    <xf numFmtId="2" fontId="0" fillId="13" borderId="6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67" fontId="0" fillId="0" borderId="6" xfId="0" applyNumberFormat="1" applyBorder="1" applyAlignment="1" applyProtection="1">
      <alignment horizontal="center" vertical="center"/>
      <protection locked="0"/>
    </xf>
    <xf numFmtId="0" fontId="17" fillId="16" borderId="36" xfId="0" applyFont="1" applyFill="1" applyBorder="1" applyAlignment="1">
      <alignment vertical="center"/>
    </xf>
    <xf numFmtId="2" fontId="0" fillId="13" borderId="0" xfId="0" applyNumberFormat="1" applyFill="1" applyAlignment="1" applyProtection="1">
      <alignment horizontal="center" vertical="center"/>
      <protection locked="0"/>
    </xf>
    <xf numFmtId="2" fontId="0" fillId="6" borderId="0" xfId="0" applyNumberFormat="1" applyFill="1" applyAlignment="1" applyProtection="1">
      <alignment horizontal="center" vertical="center"/>
      <protection locked="0"/>
    </xf>
    <xf numFmtId="1" fontId="6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2" borderId="16" xfId="0" quotePrefix="1" applyFont="1" applyFill="1" applyBorder="1" applyAlignment="1">
      <alignment horizontal="center" vertical="center" wrapText="1"/>
    </xf>
    <xf numFmtId="0" fontId="3" fillId="2" borderId="17" xfId="0" quotePrefix="1" applyFon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14" borderId="6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center" vertical="center"/>
    </xf>
    <xf numFmtId="2" fontId="6" fillId="11" borderId="6" xfId="0" applyNumberFormat="1" applyFont="1" applyFill="1" applyBorder="1" applyAlignment="1">
      <alignment horizontal="center" vertical="center"/>
    </xf>
    <xf numFmtId="0" fontId="3" fillId="2" borderId="11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0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0" fontId="0" fillId="4" borderId="32" xfId="0" applyFill="1" applyBorder="1" applyAlignment="1">
      <alignment horizontal="center" vertical="top"/>
    </xf>
    <xf numFmtId="0" fontId="10" fillId="4" borderId="3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31" xfId="0" applyFill="1" applyBorder="1" applyAlignment="1">
      <alignment horizontal="center"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/>
    </xf>
    <xf numFmtId="0" fontId="6" fillId="3" borderId="25" xfId="0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60"/>
  <sheetViews>
    <sheetView tabSelected="1" zoomScale="91" zoomScaleNormal="91" workbookViewId="0">
      <selection activeCell="V29" sqref="V29"/>
    </sheetView>
  </sheetViews>
  <sheetFormatPr defaultColWidth="8.7109375" defaultRowHeight="15" x14ac:dyDescent="0.25"/>
  <cols>
    <col min="1" max="1" width="8.7109375" style="1"/>
    <col min="2" max="2" width="12.42578125" style="1" bestFit="1" customWidth="1"/>
    <col min="3" max="3" width="9" style="1" customWidth="1"/>
    <col min="4" max="4" width="9.42578125" style="1" bestFit="1" customWidth="1"/>
    <col min="5" max="5" width="5.42578125" style="1" bestFit="1" customWidth="1"/>
    <col min="6" max="6" width="14.7109375" style="1" bestFit="1" customWidth="1"/>
    <col min="7" max="7" width="11.140625" style="1" bestFit="1" customWidth="1"/>
    <col min="8" max="8" width="7.140625" style="1" customWidth="1"/>
    <col min="9" max="9" width="6.140625" style="1" bestFit="1" customWidth="1"/>
    <col min="10" max="10" width="8.42578125" style="1" customWidth="1"/>
    <col min="11" max="11" width="8" style="1" hidden="1" customWidth="1"/>
    <col min="12" max="12" width="8.140625" style="1" hidden="1" customWidth="1"/>
    <col min="13" max="13" width="9.140625" style="1" bestFit="1" customWidth="1"/>
    <col min="14" max="14" width="14" style="1" bestFit="1" customWidth="1"/>
    <col min="15" max="15" width="18" style="1" bestFit="1" customWidth="1"/>
    <col min="16" max="16" width="28.5703125" style="1" bestFit="1" customWidth="1"/>
    <col min="17" max="17" width="8.7109375" style="1"/>
    <col min="18" max="19" width="0" style="1" hidden="1" customWidth="1"/>
    <col min="20" max="20" width="15.85546875" style="1" hidden="1" customWidth="1"/>
    <col min="21" max="21" width="7.7109375" style="1" customWidth="1"/>
    <col min="22" max="22" width="14.5703125" style="1" bestFit="1" customWidth="1"/>
    <col min="23" max="23" width="7.7109375" style="1" customWidth="1"/>
    <col min="24" max="24" width="10.28515625" style="1" bestFit="1" customWidth="1"/>
    <col min="25" max="25" width="7.7109375" style="1" customWidth="1"/>
    <col min="26" max="26" width="12" style="1" bestFit="1" customWidth="1"/>
    <col min="27" max="16384" width="8.7109375" style="1"/>
  </cols>
  <sheetData>
    <row r="1" spans="3:26" ht="15.75" thickBot="1" x14ac:dyDescent="0.3"/>
    <row r="2" spans="3:26" x14ac:dyDescent="0.25">
      <c r="C2" s="229" t="s">
        <v>0</v>
      </c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1"/>
      <c r="P2" s="232"/>
    </row>
    <row r="3" spans="3:26" x14ac:dyDescent="0.25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  <c r="P3" s="5" t="s">
        <v>14</v>
      </c>
    </row>
    <row r="4" spans="3:26" x14ac:dyDescent="0.25">
      <c r="C4" s="6" t="s">
        <v>15</v>
      </c>
      <c r="D4" s="7" t="s">
        <v>16</v>
      </c>
      <c r="E4" s="7" t="s">
        <v>116</v>
      </c>
      <c r="F4" s="8" t="s">
        <v>17</v>
      </c>
      <c r="G4" s="9">
        <f>Manjhaul!J66</f>
        <v>100203.54999999999</v>
      </c>
      <c r="H4" s="9">
        <f>+Manjhaul!AM66</f>
        <v>493.44999999999368</v>
      </c>
      <c r="I4" s="9">
        <f>+Manjhaul!AN66</f>
        <v>120.20267399999967</v>
      </c>
      <c r="J4" s="9">
        <f>+Manjhaul!AO66</f>
        <v>-39.199944000000428</v>
      </c>
      <c r="K4" s="11">
        <v>480.53254642564531</v>
      </c>
      <c r="L4" s="11">
        <v>299.49109748895779</v>
      </c>
      <c r="M4" s="12">
        <f>I4*K4+J4*L4</f>
        <v>46021.26277432574</v>
      </c>
      <c r="N4" s="13">
        <f t="shared" ref="N4:N13" si="0">M4/G4</f>
        <v>0.4592777678468053</v>
      </c>
      <c r="O4" s="14">
        <v>46233</v>
      </c>
      <c r="P4" s="15" t="s">
        <v>965</v>
      </c>
      <c r="U4" s="233" t="s">
        <v>14</v>
      </c>
      <c r="V4" s="233"/>
      <c r="W4" s="233"/>
      <c r="X4" s="233"/>
      <c r="Y4" s="233"/>
      <c r="Z4" s="233"/>
    </row>
    <row r="5" spans="3:26" x14ac:dyDescent="0.25">
      <c r="C5" s="6" t="s">
        <v>15</v>
      </c>
      <c r="D5" s="7" t="s">
        <v>16</v>
      </c>
      <c r="E5" s="7" t="s">
        <v>148</v>
      </c>
      <c r="F5" s="8" t="s">
        <v>149</v>
      </c>
      <c r="G5" s="9">
        <f>Hasanpur!J66</f>
        <v>52164.957699999992</v>
      </c>
      <c r="H5" s="9">
        <f>+Hasanpur!AM66</f>
        <v>752.04230000000041</v>
      </c>
      <c r="I5" s="9">
        <f>+Hasanpur!AN66</f>
        <v>9.7370266999996513</v>
      </c>
      <c r="J5" s="9">
        <f>+Hasanpur!AO66</f>
        <v>9.5984027000001717</v>
      </c>
      <c r="K5" s="11">
        <v>480.53254642564531</v>
      </c>
      <c r="L5" s="11">
        <v>299.49109748895779</v>
      </c>
      <c r="M5" s="12">
        <f t="shared" ref="M5:M16" si="1">I5*K5+J5*L5</f>
        <v>7553.5943935293581</v>
      </c>
      <c r="N5" s="13">
        <f t="shared" ref="N5" si="2">M5/G5</f>
        <v>0.14480208029631661</v>
      </c>
      <c r="O5" s="14">
        <v>46233</v>
      </c>
      <c r="P5" s="15" t="s">
        <v>965</v>
      </c>
      <c r="U5" s="196"/>
      <c r="V5" s="199" t="s">
        <v>111</v>
      </c>
      <c r="W5" s="197"/>
      <c r="X5" s="199" t="s">
        <v>112</v>
      </c>
      <c r="Y5" s="198"/>
      <c r="Z5" s="199" t="s">
        <v>113</v>
      </c>
    </row>
    <row r="6" spans="3:26" x14ac:dyDescent="0.25">
      <c r="C6" s="6" t="s">
        <v>15</v>
      </c>
      <c r="D6" s="7" t="s">
        <v>16</v>
      </c>
      <c r="E6" s="7" t="s">
        <v>117</v>
      </c>
      <c r="F6" s="8" t="s">
        <v>18</v>
      </c>
      <c r="G6" s="9">
        <f>+'Sahibpur Kamal'!J66</f>
        <v>324742.93200000003</v>
      </c>
      <c r="H6" s="9">
        <f>+'Sahibpur Kamal'!AM66</f>
        <v>414.06799999998657</v>
      </c>
      <c r="I6" s="9">
        <f>+'Sahibpur Kamal'!AN66</f>
        <v>132.50237599999994</v>
      </c>
      <c r="J6" s="9">
        <f>+'Sahibpur Kamal'!AO66</f>
        <v>-161.34246900000056</v>
      </c>
      <c r="K6" s="11">
        <v>480.53254642564531</v>
      </c>
      <c r="L6" s="11">
        <v>299.49109748895779</v>
      </c>
      <c r="M6" s="12">
        <f t="shared" si="1"/>
        <v>15351.071034339962</v>
      </c>
      <c r="N6" s="13">
        <f>M6/G6</f>
        <v>4.7271455424132094E-2</v>
      </c>
      <c r="O6" s="14">
        <v>46233</v>
      </c>
      <c r="P6" s="15" t="s">
        <v>965</v>
      </c>
    </row>
    <row r="7" spans="3:26" x14ac:dyDescent="0.25">
      <c r="C7" s="6" t="s">
        <v>15</v>
      </c>
      <c r="D7" s="7" t="s">
        <v>16</v>
      </c>
      <c r="E7" s="7" t="s">
        <v>117</v>
      </c>
      <c r="F7" s="8" t="s">
        <v>165</v>
      </c>
      <c r="G7" s="9">
        <f>+Bachhwara!J66</f>
        <v>16220.028000000002</v>
      </c>
      <c r="H7" s="9">
        <f>+Bachhwara!AM66</f>
        <v>278.97200000000061</v>
      </c>
      <c r="I7" s="9">
        <f>+Bachhwara!AN66</f>
        <v>20.543667000000099</v>
      </c>
      <c r="J7" s="9">
        <f>+Bachhwara!AO66</f>
        <v>25.253492000000048</v>
      </c>
      <c r="K7" s="11">
        <v>480.53254642564531</v>
      </c>
      <c r="L7" s="11">
        <v>299.49109748895779</v>
      </c>
      <c r="M7" s="12">
        <f t="shared" si="1"/>
        <v>17435.096650939173</v>
      </c>
      <c r="N7" s="13">
        <f>M7/G7</f>
        <v>1.074911624748069</v>
      </c>
      <c r="O7" s="14">
        <v>46233</v>
      </c>
      <c r="P7" s="15" t="s">
        <v>965</v>
      </c>
    </row>
    <row r="8" spans="3:26" x14ac:dyDescent="0.25">
      <c r="C8" s="6" t="s">
        <v>15</v>
      </c>
      <c r="D8" s="7" t="s">
        <v>16</v>
      </c>
      <c r="E8" s="7" t="s">
        <v>118</v>
      </c>
      <c r="F8" s="8" t="s">
        <v>19</v>
      </c>
      <c r="G8" s="9">
        <f>+Dalsingsarai!J66</f>
        <v>350863.114</v>
      </c>
      <c r="H8" s="9">
        <f>+Dalsingsarai!AM66</f>
        <v>-244.11400000001049</v>
      </c>
      <c r="I8" s="9">
        <f>+Dalsingsarai!AN66</f>
        <v>144.98508220000022</v>
      </c>
      <c r="J8" s="9">
        <f>+Dalsingsarai!AO66</f>
        <v>-126.8720313000012</v>
      </c>
      <c r="K8" s="11">
        <v>480.53254642564531</v>
      </c>
      <c r="L8" s="11">
        <v>299.49109748895779</v>
      </c>
      <c r="M8" s="12">
        <f t="shared" si="1"/>
        <v>31673.006848606841</v>
      </c>
      <c r="N8" s="13">
        <f t="shared" si="0"/>
        <v>9.0271691679185292E-2</v>
      </c>
      <c r="O8" s="14">
        <v>46233</v>
      </c>
      <c r="P8" s="15" t="s">
        <v>965</v>
      </c>
    </row>
    <row r="9" spans="3:26" x14ac:dyDescent="0.25">
      <c r="C9" s="6" t="s">
        <v>15</v>
      </c>
      <c r="D9" s="7" t="s">
        <v>16</v>
      </c>
      <c r="E9" s="7" t="s">
        <v>127</v>
      </c>
      <c r="F9" s="8" t="s">
        <v>115</v>
      </c>
      <c r="G9" s="9">
        <f>+Alauli!J66</f>
        <v>158227.77599999998</v>
      </c>
      <c r="H9" s="9">
        <f>+Alauli!AM66</f>
        <v>-204.47600000000432</v>
      </c>
      <c r="I9" s="9">
        <f>+Alauli!AN66</f>
        <v>105.41642499999951</v>
      </c>
      <c r="J9" s="9">
        <f>+Alauli!AO66</f>
        <v>17.144401999998991</v>
      </c>
      <c r="K9" s="11">
        <v>480.53254642564531</v>
      </c>
      <c r="L9" s="11">
        <v>299.49109748895779</v>
      </c>
      <c r="M9" s="12">
        <f t="shared" si="1"/>
        <v>55790.618911109399</v>
      </c>
      <c r="N9" s="13">
        <f t="shared" ref="N9" si="3">M9/G9</f>
        <v>0.35259687218955416</v>
      </c>
      <c r="O9" s="14">
        <v>46233</v>
      </c>
      <c r="P9" s="15" t="s">
        <v>965</v>
      </c>
    </row>
    <row r="10" spans="3:26" x14ac:dyDescent="0.25">
      <c r="C10" s="6" t="s">
        <v>15</v>
      </c>
      <c r="D10" s="7" t="s">
        <v>16</v>
      </c>
      <c r="E10" s="7" t="s">
        <v>138</v>
      </c>
      <c r="F10" s="8" t="s">
        <v>159</v>
      </c>
      <c r="G10" s="9">
        <f>+Matihani!J66</f>
        <v>181029.50399999999</v>
      </c>
      <c r="H10" s="9">
        <f>+Matihani!AM66</f>
        <v>930.49599999999452</v>
      </c>
      <c r="I10" s="9">
        <f>+Matihani!AN66</f>
        <v>117.24991400000017</v>
      </c>
      <c r="J10" s="9">
        <f>+Matihani!AO66</f>
        <v>-68.425033000000852</v>
      </c>
      <c r="K10" s="11">
        <v>480.53254642564531</v>
      </c>
      <c r="L10" s="11">
        <v>299.49109748895779</v>
      </c>
      <c r="M10" s="12">
        <f t="shared" si="1"/>
        <v>35849.711513719594</v>
      </c>
      <c r="N10" s="13">
        <f t="shared" ref="N10" si="4">M10/G10</f>
        <v>0.19803242411645561</v>
      </c>
      <c r="O10" s="14">
        <v>46233</v>
      </c>
      <c r="P10" s="15" t="s">
        <v>965</v>
      </c>
    </row>
    <row r="11" spans="3:26" x14ac:dyDescent="0.25">
      <c r="C11" s="6" t="s">
        <v>15</v>
      </c>
      <c r="D11" s="7" t="s">
        <v>16</v>
      </c>
      <c r="E11" s="7" t="s">
        <v>119</v>
      </c>
      <c r="F11" s="8" t="s">
        <v>20</v>
      </c>
      <c r="G11" s="9">
        <f>+Musrigharari!R66</f>
        <v>136459.86930000002</v>
      </c>
      <c r="H11" s="9">
        <f>+Musrigharari!AM66</f>
        <v>442.63069999999288</v>
      </c>
      <c r="I11" s="9">
        <f>+Musrigharari!AN66</f>
        <v>46.416527999999943</v>
      </c>
      <c r="J11" s="9">
        <f>+Musrigharari!AO66</f>
        <v>25.085099600000621</v>
      </c>
      <c r="K11" s="11">
        <v>480.53254642564531</v>
      </c>
      <c r="L11" s="11">
        <v>299.49109748895779</v>
      </c>
      <c r="M11" s="12">
        <f t="shared" si="1"/>
        <v>29817.41640590124</v>
      </c>
      <c r="N11" s="13">
        <f t="shared" si="0"/>
        <v>0.21850685156636915</v>
      </c>
      <c r="O11" s="14">
        <v>46233</v>
      </c>
      <c r="P11" s="15" t="s">
        <v>965</v>
      </c>
    </row>
    <row r="12" spans="3:26" x14ac:dyDescent="0.25">
      <c r="C12" s="6" t="s">
        <v>15</v>
      </c>
      <c r="D12" s="7" t="s">
        <v>16</v>
      </c>
      <c r="E12" s="7" t="s">
        <v>119</v>
      </c>
      <c r="F12" s="8" t="s">
        <v>166</v>
      </c>
      <c r="G12" s="9">
        <f>+Mahua!R66</f>
        <v>83646.506000000008</v>
      </c>
      <c r="H12" s="9">
        <f>+Mahua!AM66</f>
        <v>418.99399999999906</v>
      </c>
      <c r="I12" s="9">
        <f>+Mahua!AN66</f>
        <v>81.869301000000462</v>
      </c>
      <c r="J12" s="9">
        <f>+Mahua!AO66</f>
        <v>-18.052255000000454</v>
      </c>
      <c r="K12" s="11">
        <v>480.53254642564531</v>
      </c>
      <c r="L12" s="11">
        <v>299.49109748895779</v>
      </c>
      <c r="M12" s="12">
        <f t="shared" si="1"/>
        <v>33934.374021517186</v>
      </c>
      <c r="N12" s="13">
        <f t="shared" ref="N12" si="5">M12/G12</f>
        <v>0.40568788398067912</v>
      </c>
      <c r="O12" s="14">
        <v>46233</v>
      </c>
      <c r="P12" s="15" t="s">
        <v>965</v>
      </c>
    </row>
    <row r="13" spans="3:26" x14ac:dyDescent="0.25">
      <c r="C13" s="6" t="s">
        <v>15</v>
      </c>
      <c r="D13" s="7" t="s">
        <v>16</v>
      </c>
      <c r="E13" s="7" t="s">
        <v>120</v>
      </c>
      <c r="F13" s="8" t="s">
        <v>21</v>
      </c>
      <c r="G13" s="9">
        <f>+Buxar!J66</f>
        <v>178033.69749999989</v>
      </c>
      <c r="H13" s="9">
        <f>+Buxar!AM66</f>
        <v>2520.3025000000289</v>
      </c>
      <c r="I13" s="9">
        <f>+Buxar!AN66</f>
        <v>229.5318910000012</v>
      </c>
      <c r="J13" s="9">
        <f>+Buxar!AO66</f>
        <v>-297.47995929999809</v>
      </c>
      <c r="K13" s="11">
        <v>480.53254642564531</v>
      </c>
      <c r="L13" s="11">
        <v>299.49109748895779</v>
      </c>
      <c r="M13" s="12">
        <f t="shared" si="1"/>
        <v>21204.944576397305</v>
      </c>
      <c r="N13" s="13">
        <f t="shared" si="0"/>
        <v>0.11910635387661551</v>
      </c>
      <c r="O13" s="14">
        <v>46233</v>
      </c>
      <c r="P13" s="15" t="s">
        <v>965</v>
      </c>
      <c r="R13" s="20"/>
    </row>
    <row r="14" spans="3:26" x14ac:dyDescent="0.25">
      <c r="C14" s="6" t="s">
        <v>15</v>
      </c>
      <c r="D14" s="7" t="s">
        <v>16</v>
      </c>
      <c r="E14" s="7" t="s">
        <v>120</v>
      </c>
      <c r="F14" s="8" t="s">
        <v>175</v>
      </c>
      <c r="G14" s="9">
        <f>+Gaighat!J66</f>
        <v>107379.70419999996</v>
      </c>
      <c r="H14" s="9">
        <f>+Gaighat!AM66</f>
        <v>1952.0957999999966</v>
      </c>
      <c r="I14" s="9">
        <f>+Gaighat!AN66</f>
        <v>121.8464673000002</v>
      </c>
      <c r="J14" s="9">
        <f>+Gaighat!AO66</f>
        <v>166.69103589999958</v>
      </c>
      <c r="K14" s="11">
        <v>480.53254642564531</v>
      </c>
      <c r="L14" s="11">
        <v>299.49109748895779</v>
      </c>
      <c r="M14" s="12">
        <f t="shared" si="1"/>
        <v>108473.67448790037</v>
      </c>
      <c r="N14" s="13">
        <f t="shared" ref="N14" si="6">M14/G14</f>
        <v>1.0101878683318295</v>
      </c>
      <c r="O14" s="14">
        <v>46233</v>
      </c>
      <c r="P14" s="15" t="s">
        <v>965</v>
      </c>
      <c r="R14" s="20"/>
    </row>
    <row r="15" spans="3:26" x14ac:dyDescent="0.25">
      <c r="C15" s="6" t="s">
        <v>15</v>
      </c>
      <c r="D15" s="7" t="s">
        <v>16</v>
      </c>
      <c r="E15" s="7" t="s">
        <v>120</v>
      </c>
      <c r="F15" s="8" t="s">
        <v>212</v>
      </c>
      <c r="G15" s="9">
        <f>+Rosera!J66</f>
        <v>39899.542600000001</v>
      </c>
      <c r="H15" s="9">
        <f>+Rosera!AM66</f>
        <v>243.90739999999914</v>
      </c>
      <c r="I15" s="9">
        <f>+Rosera!AN66</f>
        <v>1.7720495999999724</v>
      </c>
      <c r="J15" s="9">
        <f>+Rosera!AO66</f>
        <v>4.0106261999998978</v>
      </c>
      <c r="K15" s="11">
        <v>480.53254642564531</v>
      </c>
      <c r="L15" s="11">
        <v>299.49109748895779</v>
      </c>
      <c r="M15" s="12">
        <f t="shared" ref="M15" si="7">I15*K15+J15*L15</f>
        <v>2052.6743489364708</v>
      </c>
      <c r="N15" s="13">
        <f t="shared" ref="N15" si="8">M15/G15</f>
        <v>5.1446062164543983E-2</v>
      </c>
      <c r="O15" s="14">
        <v>46233</v>
      </c>
      <c r="P15" s="15" t="s">
        <v>965</v>
      </c>
      <c r="R15" s="20"/>
    </row>
    <row r="16" spans="3:26" x14ac:dyDescent="0.25">
      <c r="C16" s="6" t="s">
        <v>15</v>
      </c>
      <c r="D16" s="7" t="s">
        <v>16</v>
      </c>
      <c r="E16" s="7" t="s">
        <v>145</v>
      </c>
      <c r="F16" s="8" t="s">
        <v>146</v>
      </c>
      <c r="G16" s="9">
        <f>+Warisnagar!J66</f>
        <v>108409.766</v>
      </c>
      <c r="H16" s="9">
        <f>+Warisnagar!AM66</f>
        <v>825.43399999999519</v>
      </c>
      <c r="I16" s="9">
        <f>+Warisnagar!AN66</f>
        <v>179.49881699999995</v>
      </c>
      <c r="J16" s="9">
        <f>+Warisnagar!AO66</f>
        <v>-43.681372000000337</v>
      </c>
      <c r="K16" s="11">
        <v>480.53254642564531</v>
      </c>
      <c r="L16" s="11">
        <v>299.49109748895779</v>
      </c>
      <c r="M16" s="12">
        <f t="shared" si="1"/>
        <v>73172.841573297352</v>
      </c>
      <c r="N16" s="13">
        <f t="shared" ref="N16" si="9">M16/G16</f>
        <v>0.67496540462320853</v>
      </c>
      <c r="O16" s="14">
        <v>46233</v>
      </c>
      <c r="P16" s="15" t="s">
        <v>965</v>
      </c>
      <c r="R16" s="20"/>
    </row>
    <row r="17" spans="3:18" ht="15.75" thickBot="1" x14ac:dyDescent="0.3">
      <c r="C17" s="6" t="s">
        <v>15</v>
      </c>
      <c r="D17" s="7" t="s">
        <v>16</v>
      </c>
      <c r="E17" s="7" t="s">
        <v>128</v>
      </c>
      <c r="F17" s="8" t="s">
        <v>104</v>
      </c>
      <c r="G17" s="9">
        <f>+Kalyanpur!J66</f>
        <v>359529.68849999993</v>
      </c>
      <c r="H17" s="9">
        <f>+Kalyanpur!AM66</f>
        <v>1635.8115000000137</v>
      </c>
      <c r="I17" s="9">
        <f>+Kalyanpur!AN66</f>
        <v>215.61327199999909</v>
      </c>
      <c r="J17" s="9">
        <f>+Kalyanpur!AO66</f>
        <v>198.01741499999912</v>
      </c>
      <c r="K17" s="11">
        <v>480.53254642564531</v>
      </c>
      <c r="L17" s="11">
        <v>299.49109748895779</v>
      </c>
      <c r="M17" s="12">
        <f>I17*K17+J17*L17</f>
        <v>162913.64757760099</v>
      </c>
      <c r="N17" s="13">
        <f t="shared" ref="N17" si="10">M17/G17</f>
        <v>0.45312988826401474</v>
      </c>
      <c r="O17" s="14">
        <v>46233</v>
      </c>
      <c r="P17" s="15" t="s">
        <v>965</v>
      </c>
      <c r="R17" s="20"/>
    </row>
    <row r="18" spans="3:18" ht="15.75" thickBot="1" x14ac:dyDescent="0.3">
      <c r="C18" s="227" t="s">
        <v>22</v>
      </c>
      <c r="D18" s="228"/>
      <c r="E18" s="228"/>
      <c r="F18" s="228"/>
      <c r="G18" s="21">
        <f t="shared" ref="G18:M18" si="11">SUM(G4:G17)</f>
        <v>2196810.6358000003</v>
      </c>
      <c r="H18" s="22">
        <f t="shared" si="11"/>
        <v>10459.614199999987</v>
      </c>
      <c r="I18" s="22">
        <f t="shared" si="11"/>
        <v>1527.1854908</v>
      </c>
      <c r="J18" s="22">
        <f t="shared" si="11"/>
        <v>-309.25259020000351</v>
      </c>
      <c r="K18" s="22">
        <f t="shared" si="11"/>
        <v>6727.4556499590362</v>
      </c>
      <c r="L18" s="22">
        <f t="shared" si="11"/>
        <v>4192.8753648454085</v>
      </c>
      <c r="M18" s="22">
        <f t="shared" si="11"/>
        <v>641243.93511812098</v>
      </c>
      <c r="N18" s="23">
        <f>M18/G18</f>
        <v>0.2918976832450571</v>
      </c>
      <c r="O18" s="24"/>
      <c r="P18" s="25"/>
    </row>
    <row r="19" spans="3:18" ht="15.75" thickBot="1" x14ac:dyDescent="0.3"/>
    <row r="20" spans="3:18" ht="15.75" thickBot="1" x14ac:dyDescent="0.3">
      <c r="C20" s="26" t="s">
        <v>15</v>
      </c>
      <c r="D20" s="27" t="s">
        <v>16</v>
      </c>
      <c r="E20" s="27" t="s">
        <v>162</v>
      </c>
      <c r="F20" s="28" t="s">
        <v>160</v>
      </c>
      <c r="G20" s="211">
        <f>'Singhia '!J66</f>
        <v>47765.024300000019</v>
      </c>
      <c r="H20" s="211">
        <f>+'Singhia '!AM66</f>
        <v>-662.02429999999845</v>
      </c>
      <c r="I20" s="211">
        <f>+'Singhia '!AN66</f>
        <v>-224.3486578000001</v>
      </c>
      <c r="J20" s="211">
        <f>+'Singhia '!AO66</f>
        <v>-171.98562489999983</v>
      </c>
      <c r="K20" s="11">
        <v>480.53254642564531</v>
      </c>
      <c r="L20" s="11">
        <v>299.49109748895779</v>
      </c>
      <c r="M20" s="29">
        <f t="shared" ref="M20" si="12">I20*K20+J20*L20</f>
        <v>-159314.99537343494</v>
      </c>
      <c r="N20" s="30">
        <f t="shared" ref="N20" si="13">M20/G20</f>
        <v>-3.33539022973835</v>
      </c>
      <c r="O20" s="14">
        <v>46233</v>
      </c>
      <c r="P20" s="15" t="s">
        <v>965</v>
      </c>
    </row>
    <row r="21" spans="3:18" x14ac:dyDescent="0.25">
      <c r="C21" s="26" t="s">
        <v>15</v>
      </c>
      <c r="D21" s="27" t="s">
        <v>23</v>
      </c>
      <c r="E21" s="27" t="s">
        <v>121</v>
      </c>
      <c r="F21" s="28" t="s">
        <v>24</v>
      </c>
      <c r="G21" s="9">
        <f>+Laldiyara!J66</f>
        <v>477531.48400000017</v>
      </c>
      <c r="H21" s="9">
        <f>+Laldiyara!AM66</f>
        <v>4608.515999999996</v>
      </c>
      <c r="I21" s="9">
        <f>+Laldiyara!AN66</f>
        <v>-121.3177260000015</v>
      </c>
      <c r="J21" s="9">
        <f>+Laldiyara!AO66</f>
        <v>164.00634599999609</v>
      </c>
      <c r="K21" s="11">
        <v>480.53254642564531</v>
      </c>
      <c r="L21" s="11">
        <v>299.49109748895779</v>
      </c>
      <c r="M21" s="29">
        <f>I21*K21+J21*L21</f>
        <v>-9178.6752426568637</v>
      </c>
      <c r="N21" s="30">
        <f t="shared" ref="N21:N30" si="14">M21/G21</f>
        <v>-1.9221089185099387E-2</v>
      </c>
      <c r="O21" s="14">
        <v>46233</v>
      </c>
      <c r="P21" s="15" t="s">
        <v>965</v>
      </c>
    </row>
    <row r="22" spans="3:18" x14ac:dyDescent="0.25">
      <c r="C22" s="6" t="s">
        <v>15</v>
      </c>
      <c r="D22" s="7" t="s">
        <v>23</v>
      </c>
      <c r="E22" s="7" t="s">
        <v>122</v>
      </c>
      <c r="F22" s="8" t="s">
        <v>25</v>
      </c>
      <c r="G22" s="9">
        <f>+Asarganj!J66</f>
        <v>412754.62949999992</v>
      </c>
      <c r="H22" s="9">
        <f>+Asarganj!AM66</f>
        <v>-2284.6295000000205</v>
      </c>
      <c r="I22" s="9">
        <f>+Asarganj!AN66</f>
        <v>14.718309499999762</v>
      </c>
      <c r="J22" s="9">
        <f>+Asarganj!AO66</f>
        <v>-32.529937500001353</v>
      </c>
      <c r="K22" s="11">
        <v>480.53254642564531</v>
      </c>
      <c r="L22" s="11">
        <v>299.49109748895779</v>
      </c>
      <c r="M22" s="12">
        <f>I22*K22+J22*L22</f>
        <v>-2669.7999400069566</v>
      </c>
      <c r="N22" s="13">
        <f t="shared" si="14"/>
        <v>-6.4682495342113589E-3</v>
      </c>
      <c r="O22" s="14">
        <v>46229</v>
      </c>
      <c r="P22" s="15" t="s">
        <v>804</v>
      </c>
    </row>
    <row r="23" spans="3:18" x14ac:dyDescent="0.25">
      <c r="C23" s="6" t="s">
        <v>15</v>
      </c>
      <c r="D23" s="7" t="s">
        <v>23</v>
      </c>
      <c r="E23" s="7" t="s">
        <v>150</v>
      </c>
      <c r="F23" s="8" t="s">
        <v>151</v>
      </c>
      <c r="G23" s="9">
        <f>+Parbatta!J66</f>
        <v>151067.62800000006</v>
      </c>
      <c r="H23" s="9">
        <f>+Parbatta!AM66</f>
        <v>4067.3720000000017</v>
      </c>
      <c r="I23" s="9">
        <f>+Parbatta!AN66</f>
        <v>-42.20859100000078</v>
      </c>
      <c r="J23" s="9">
        <f>+Parbatta!AO66</f>
        <v>51.397504999998333</v>
      </c>
      <c r="K23" s="11">
        <v>480.53254642564531</v>
      </c>
      <c r="L23" s="11">
        <v>299.49109748895779</v>
      </c>
      <c r="M23" s="12">
        <f>I23*K23+J23*L23</f>
        <v>-4889.5065336252519</v>
      </c>
      <c r="N23" s="13">
        <f t="shared" ref="N23" si="15">M23/G23</f>
        <v>-3.2366342136683643E-2</v>
      </c>
      <c r="O23" s="14">
        <v>46233</v>
      </c>
      <c r="P23" s="15" t="s">
        <v>965</v>
      </c>
    </row>
    <row r="24" spans="3:18" x14ac:dyDescent="0.25">
      <c r="C24" s="6" t="s">
        <v>15</v>
      </c>
      <c r="D24" s="7" t="s">
        <v>26</v>
      </c>
      <c r="E24" s="7" t="s">
        <v>133</v>
      </c>
      <c r="F24" s="8" t="s">
        <v>27</v>
      </c>
      <c r="G24" s="9">
        <f>+Madhatpur!J66</f>
        <v>30477.391</v>
      </c>
      <c r="H24" s="9">
        <f>+Madhatpur!AM66</f>
        <v>-54.391000000002123</v>
      </c>
      <c r="I24" s="9">
        <f>+Madhatpur!AN66</f>
        <v>-52.45301500000005</v>
      </c>
      <c r="J24" s="9">
        <f>+Madhatpur!AO66</f>
        <v>-26.022655999999998</v>
      </c>
      <c r="K24" s="11">
        <v>480.53254642564531</v>
      </c>
      <c r="L24" s="11">
        <v>299.49109748895779</v>
      </c>
      <c r="M24" s="12">
        <f t="shared" ref="M24:M30" si="16">I24*K24+J24*L24</f>
        <v>-32998.934670670205</v>
      </c>
      <c r="N24" s="13">
        <f t="shared" si="14"/>
        <v>-1.0827348925854645</v>
      </c>
      <c r="O24" s="14">
        <v>46233</v>
      </c>
      <c r="P24" s="15" t="s">
        <v>965</v>
      </c>
    </row>
    <row r="25" spans="3:18" x14ac:dyDescent="0.25">
      <c r="C25" s="6" t="s">
        <v>15</v>
      </c>
      <c r="D25" s="7" t="s">
        <v>26</v>
      </c>
      <c r="E25" s="7" t="s">
        <v>134</v>
      </c>
      <c r="F25" s="8" t="s">
        <v>136</v>
      </c>
      <c r="G25" s="9">
        <f>+Chautham!J66</f>
        <v>100568.41720000005</v>
      </c>
      <c r="H25" s="9">
        <f>+Chautham!AM66</f>
        <v>-1071.4171999999996</v>
      </c>
      <c r="I25" s="9">
        <f>+Chautham!AN66</f>
        <v>19.057673599999919</v>
      </c>
      <c r="J25" s="9">
        <f>+Chautham!AO66</f>
        <v>-22.788876799999755</v>
      </c>
      <c r="K25" s="11">
        <v>480.53254642564531</v>
      </c>
      <c r="L25" s="11">
        <v>299.49109748895779</v>
      </c>
      <c r="M25" s="12">
        <f>I25*K25+J25*L25</f>
        <v>2332.7667005841804</v>
      </c>
      <c r="N25" s="13">
        <f t="shared" si="14"/>
        <v>2.3195817986724557E-2</v>
      </c>
      <c r="O25" s="14">
        <v>46233</v>
      </c>
      <c r="P25" s="15" t="s">
        <v>965</v>
      </c>
    </row>
    <row r="26" spans="3:18" x14ac:dyDescent="0.25">
      <c r="C26" s="6" t="s">
        <v>15</v>
      </c>
      <c r="D26" s="7" t="s">
        <v>23</v>
      </c>
      <c r="E26" s="7" t="s">
        <v>123</v>
      </c>
      <c r="F26" s="8" t="s">
        <v>28</v>
      </c>
      <c r="G26" s="9">
        <f>+Sonvarsha!J66</f>
        <v>248858.60899999997</v>
      </c>
      <c r="H26" s="9">
        <f>+Sonvarsha!AM66</f>
        <v>-491.60899999999492</v>
      </c>
      <c r="I26" s="9">
        <f>+Sonvarsha!AN66</f>
        <v>-282.60138899999924</v>
      </c>
      <c r="J26" s="9">
        <f>+Sonvarsha!AO66</f>
        <v>169.20459100000079</v>
      </c>
      <c r="K26" s="11">
        <v>480.53254642564531</v>
      </c>
      <c r="L26" s="11">
        <v>299.49109748895779</v>
      </c>
      <c r="M26" s="12">
        <f t="shared" si="16"/>
        <v>-85123.896420833509</v>
      </c>
      <c r="N26" s="13">
        <f t="shared" si="14"/>
        <v>-0.34205727004137326</v>
      </c>
      <c r="O26" s="14">
        <v>46233</v>
      </c>
      <c r="P26" s="15" t="s">
        <v>965</v>
      </c>
    </row>
    <row r="27" spans="3:18" x14ac:dyDescent="0.25">
      <c r="C27" s="6" t="s">
        <v>15</v>
      </c>
      <c r="D27" s="7" t="s">
        <v>23</v>
      </c>
      <c r="E27" s="7" t="s">
        <v>152</v>
      </c>
      <c r="F27" s="8" t="s">
        <v>153</v>
      </c>
      <c r="G27" s="9">
        <f>+Gopalpur!J66</f>
        <v>75792.045299999998</v>
      </c>
      <c r="H27" s="9">
        <f>+Gopalpur!AM66</f>
        <v>330.95469999999727</v>
      </c>
      <c r="I27" s="9">
        <f>+Gopalpur!AN66</f>
        <v>-12.246822099999935</v>
      </c>
      <c r="J27" s="9">
        <f>+Gopalpur!AO66</f>
        <v>44.435080599999694</v>
      </c>
      <c r="K27" s="11">
        <v>480.53254642564531</v>
      </c>
      <c r="L27" s="11">
        <v>299.49109748895779</v>
      </c>
      <c r="M27" s="12">
        <f>I27*K27+J27*L27</f>
        <v>7422.914446569368</v>
      </c>
      <c r="N27" s="13">
        <f t="shared" ref="N27" si="17">M27/G27</f>
        <v>9.7937909145847629E-2</v>
      </c>
      <c r="O27" s="14">
        <v>46233</v>
      </c>
      <c r="P27" s="15" t="s">
        <v>965</v>
      </c>
    </row>
    <row r="28" spans="3:18" x14ac:dyDescent="0.25">
      <c r="C28" s="6" t="s">
        <v>15</v>
      </c>
      <c r="D28" s="7" t="s">
        <v>23</v>
      </c>
      <c r="E28" s="7" t="s">
        <v>124</v>
      </c>
      <c r="F28" s="8" t="s">
        <v>29</v>
      </c>
      <c r="G28" s="9">
        <f>+Araiya!J66</f>
        <v>290140.391</v>
      </c>
      <c r="H28" s="9">
        <f>+Araiya!AM66</f>
        <v>461.1090000000022</v>
      </c>
      <c r="I28" s="9">
        <f>+Araiya!AN66</f>
        <v>169.43973600000024</v>
      </c>
      <c r="J28" s="9">
        <f>+Araiya!AO66</f>
        <v>-246.95932999999823</v>
      </c>
      <c r="K28" s="11">
        <v>480.53254642564531</v>
      </c>
      <c r="L28" s="11">
        <v>299.49109748895779</v>
      </c>
      <c r="M28" s="12">
        <f t="shared" si="16"/>
        <v>7459.1870289320359</v>
      </c>
      <c r="N28" s="13">
        <f t="shared" si="14"/>
        <v>2.5708888732186328E-2</v>
      </c>
      <c r="O28" s="14">
        <v>46233</v>
      </c>
      <c r="P28" s="15" t="s">
        <v>965</v>
      </c>
    </row>
    <row r="29" spans="3:18" x14ac:dyDescent="0.25">
      <c r="C29" s="6" t="s">
        <v>15</v>
      </c>
      <c r="D29" s="7" t="s">
        <v>23</v>
      </c>
      <c r="E29" s="7" t="s">
        <v>125</v>
      </c>
      <c r="F29" s="8" t="s">
        <v>30</v>
      </c>
      <c r="G29" s="9">
        <f>+Teghra!J66</f>
        <v>153723.89499999999</v>
      </c>
      <c r="H29" s="9">
        <f>+Teghra!AM66</f>
        <v>1072.1050000000034</v>
      </c>
      <c r="I29" s="9">
        <f>+Teghra!AN66</f>
        <v>-78.527104500000121</v>
      </c>
      <c r="J29" s="9">
        <f>+Teghra!AO66</f>
        <v>130.26407049999943</v>
      </c>
      <c r="K29" s="11">
        <v>480.53254642564531</v>
      </c>
      <c r="L29" s="11">
        <v>299.49109748895779</v>
      </c>
      <c r="M29" s="12">
        <f>I29*K29+J29*L29</f>
        <v>1278.0999486059955</v>
      </c>
      <c r="N29" s="13">
        <f t="shared" si="14"/>
        <v>8.3142568603664091E-3</v>
      </c>
      <c r="O29" s="14">
        <v>46233</v>
      </c>
      <c r="P29" s="15" t="s">
        <v>965</v>
      </c>
    </row>
    <row r="30" spans="3:18" ht="15.75" thickBot="1" x14ac:dyDescent="0.3">
      <c r="C30" s="212" t="s">
        <v>15</v>
      </c>
      <c r="D30" s="213" t="s">
        <v>23</v>
      </c>
      <c r="E30" s="213" t="s">
        <v>126</v>
      </c>
      <c r="F30" s="214" t="s">
        <v>31</v>
      </c>
      <c r="G30" s="215">
        <f>+Halsi!J66</f>
        <v>260232.38399999999</v>
      </c>
      <c r="H30" s="215">
        <f>+Halsi!AM66</f>
        <v>-1686.3840000000146</v>
      </c>
      <c r="I30" s="215">
        <f>+Halsi!AN66</f>
        <v>81.637382999998181</v>
      </c>
      <c r="J30" s="215">
        <f>+Halsi!AO66</f>
        <v>-130.12737200000311</v>
      </c>
      <c r="K30" s="11">
        <v>480.53254642564531</v>
      </c>
      <c r="L30" s="11">
        <v>299.49109748895779</v>
      </c>
      <c r="M30" s="216">
        <f t="shared" si="16"/>
        <v>257.43008288000419</v>
      </c>
      <c r="N30" s="217">
        <f t="shared" si="14"/>
        <v>9.892315434500427E-4</v>
      </c>
      <c r="O30" s="14">
        <v>46233</v>
      </c>
      <c r="P30" s="15" t="s">
        <v>965</v>
      </c>
    </row>
    <row r="31" spans="3:18" ht="15.75" thickBot="1" x14ac:dyDescent="0.3">
      <c r="C31" s="227" t="s">
        <v>32</v>
      </c>
      <c r="D31" s="228"/>
      <c r="E31" s="228"/>
      <c r="F31" s="228"/>
      <c r="G31" s="21">
        <f t="shared" ref="G31:M31" si="18">SUM(G21:G30)</f>
        <v>2201146.8739999998</v>
      </c>
      <c r="H31" s="22">
        <f t="shared" si="18"/>
        <v>4951.6259999999684</v>
      </c>
      <c r="I31" s="22">
        <f t="shared" si="18"/>
        <v>-304.50154550000349</v>
      </c>
      <c r="J31" s="22">
        <f t="shared" si="18"/>
        <v>100.87942079999195</v>
      </c>
      <c r="K31" s="22">
        <f t="shared" si="18"/>
        <v>4805.3254642564534</v>
      </c>
      <c r="L31" s="22">
        <f t="shared" si="18"/>
        <v>2994.9109748895776</v>
      </c>
      <c r="M31" s="22">
        <f t="shared" si="18"/>
        <v>-116110.41460022119</v>
      </c>
      <c r="N31" s="23">
        <f>M31/G31</f>
        <v>-5.2749962290894903E-2</v>
      </c>
      <c r="O31" s="24"/>
      <c r="P31" s="25"/>
    </row>
    <row r="32" spans="3:18" ht="15.75" thickBot="1" x14ac:dyDescent="0.3">
      <c r="H32" s="20"/>
      <c r="I32" s="20"/>
      <c r="J32" s="20"/>
      <c r="M32" s="20"/>
      <c r="N32" s="20"/>
      <c r="O32" s="20"/>
    </row>
    <row r="33" spans="3:16" x14ac:dyDescent="0.25">
      <c r="C33" s="33" t="str">
        <f t="shared" ref="C33:P33" si="19">C3</f>
        <v>State</v>
      </c>
      <c r="D33" s="34" t="str">
        <f t="shared" si="19"/>
        <v>Type</v>
      </c>
      <c r="E33" s="34" t="str">
        <f t="shared" si="19"/>
        <v>Code</v>
      </c>
      <c r="F33" s="35" t="str">
        <f t="shared" si="19"/>
        <v>BMC Name</v>
      </c>
      <c r="G33" s="34" t="str">
        <f t="shared" si="19"/>
        <v>MTD Volume</v>
      </c>
      <c r="H33" s="36" t="str">
        <f t="shared" si="19"/>
        <v>Vol Kg</v>
      </c>
      <c r="I33" s="36" t="str">
        <f t="shared" si="19"/>
        <v>FAT kg</v>
      </c>
      <c r="J33" s="36" t="str">
        <f t="shared" si="19"/>
        <v>SNF Kg</v>
      </c>
      <c r="K33" s="34" t="str">
        <f t="shared" si="19"/>
        <v>FAT Rate</v>
      </c>
      <c r="L33" s="34" t="str">
        <f t="shared" si="19"/>
        <v>SNF Rate</v>
      </c>
      <c r="M33" s="36" t="str">
        <f t="shared" si="19"/>
        <v>Amount</v>
      </c>
      <c r="N33" s="34" t="str">
        <f t="shared" si="19"/>
        <v>Loss/gain per Kg</v>
      </c>
      <c r="O33" s="34" t="str">
        <f t="shared" si="19"/>
        <v>Day book received till</v>
      </c>
      <c r="P33" s="37" t="str">
        <f t="shared" si="19"/>
        <v>Remarks</v>
      </c>
    </row>
    <row r="34" spans="3:16" x14ac:dyDescent="0.25">
      <c r="C34" s="7" t="s">
        <v>33</v>
      </c>
      <c r="D34" s="7" t="s">
        <v>26</v>
      </c>
      <c r="E34" s="7" t="s">
        <v>34</v>
      </c>
      <c r="F34" s="38" t="s">
        <v>35</v>
      </c>
      <c r="G34" s="9">
        <v>134182.64120000001</v>
      </c>
      <c r="H34" s="9">
        <v>586.83879999999817</v>
      </c>
      <c r="I34" s="9">
        <v>-81.105066999999806</v>
      </c>
      <c r="J34" s="9">
        <v>-33.896583000000504</v>
      </c>
      <c r="K34" s="10">
        <v>436.77</v>
      </c>
      <c r="L34" s="11">
        <v>296.59999999999997</v>
      </c>
      <c r="M34" s="12">
        <f t="shared" ref="M34" si="20">I34*K34+J34*L34</f>
        <v>-45477.986631390064</v>
      </c>
      <c r="N34" s="13">
        <f t="shared" ref="N34:N42" si="21">M34/G34</f>
        <v>-0.3389260058132621</v>
      </c>
      <c r="O34" s="14">
        <v>46232</v>
      </c>
      <c r="P34" s="15" t="s">
        <v>921</v>
      </c>
    </row>
    <row r="35" spans="3:16" x14ac:dyDescent="0.25">
      <c r="C35" s="7" t="s">
        <v>33</v>
      </c>
      <c r="D35" s="7" t="s">
        <v>26</v>
      </c>
      <c r="E35" s="7" t="s">
        <v>36</v>
      </c>
      <c r="F35" s="38" t="s">
        <v>37</v>
      </c>
      <c r="G35" s="9">
        <v>144635.1716</v>
      </c>
      <c r="H35" s="9">
        <v>-1076.1716000000033</v>
      </c>
      <c r="I35" s="9">
        <v>91.634183999999749</v>
      </c>
      <c r="J35" s="9">
        <v>-101.66750400000032</v>
      </c>
      <c r="K35" s="10">
        <v>436.77</v>
      </c>
      <c r="L35" s="11">
        <v>296.59999999999997</v>
      </c>
      <c r="M35" s="12">
        <f t="shared" ref="M35:M42" si="22">I35*K35+J35*L35</f>
        <v>9868.4808592797963</v>
      </c>
      <c r="N35" s="13">
        <f t="shared" si="21"/>
        <v>6.823015971918546E-2</v>
      </c>
      <c r="O35" s="14">
        <v>46230</v>
      </c>
      <c r="P35" s="15" t="s">
        <v>851</v>
      </c>
    </row>
    <row r="36" spans="3:16" x14ac:dyDescent="0.25">
      <c r="C36" s="7" t="s">
        <v>33</v>
      </c>
      <c r="D36" s="7" t="s">
        <v>26</v>
      </c>
      <c r="E36" s="7" t="s">
        <v>38</v>
      </c>
      <c r="F36" s="38" t="s">
        <v>39</v>
      </c>
      <c r="G36" s="9">
        <v>34423.437900000012</v>
      </c>
      <c r="H36" s="9">
        <v>120.39209999999929</v>
      </c>
      <c r="I36" s="9">
        <v>-5.9900060000000606</v>
      </c>
      <c r="J36" s="9">
        <v>-29.396576000000024</v>
      </c>
      <c r="K36" s="10">
        <v>436.77</v>
      </c>
      <c r="L36" s="11">
        <v>296.59999999999997</v>
      </c>
      <c r="M36" s="12">
        <f t="shared" si="22"/>
        <v>-11335.279362220033</v>
      </c>
      <c r="N36" s="13">
        <f t="shared" si="21"/>
        <v>-0.32928957866291531</v>
      </c>
      <c r="O36" s="14">
        <v>46232</v>
      </c>
      <c r="P36" s="15" t="s">
        <v>921</v>
      </c>
    </row>
    <row r="37" spans="3:16" x14ac:dyDescent="0.25">
      <c r="C37" s="7" t="s">
        <v>33</v>
      </c>
      <c r="D37" s="7" t="s">
        <v>26</v>
      </c>
      <c r="E37" s="7" t="s">
        <v>40</v>
      </c>
      <c r="F37" s="8" t="s">
        <v>41</v>
      </c>
      <c r="G37" s="9">
        <v>23251.423000000003</v>
      </c>
      <c r="H37" s="9">
        <v>377.7669999999988</v>
      </c>
      <c r="I37" s="9">
        <v>-49.729728000000051</v>
      </c>
      <c r="J37" s="9">
        <v>-36.381053000000115</v>
      </c>
      <c r="K37" s="10">
        <v>436.77</v>
      </c>
      <c r="L37" s="11">
        <v>296.59999999999997</v>
      </c>
      <c r="M37" s="12">
        <f t="shared" si="22"/>
        <v>-32511.073618360053</v>
      </c>
      <c r="N37" s="13">
        <f t="shared" ref="N37" si="23">M37/G37</f>
        <v>-1.3982401687139772</v>
      </c>
      <c r="O37" s="14">
        <v>46230</v>
      </c>
      <c r="P37" s="15" t="s">
        <v>851</v>
      </c>
    </row>
    <row r="38" spans="3:16" ht="14.45" hidden="1" customHeight="1" x14ac:dyDescent="0.25">
      <c r="C38" s="7" t="s">
        <v>33</v>
      </c>
      <c r="D38" s="7" t="s">
        <v>26</v>
      </c>
      <c r="E38" s="7" t="s">
        <v>42</v>
      </c>
      <c r="F38" s="8" t="s">
        <v>43</v>
      </c>
      <c r="G38" s="9">
        <v>0</v>
      </c>
      <c r="H38" s="9">
        <v>0</v>
      </c>
      <c r="I38" s="9">
        <v>0</v>
      </c>
      <c r="J38" s="9">
        <v>0</v>
      </c>
      <c r="K38" s="10">
        <v>436.77</v>
      </c>
      <c r="L38" s="11">
        <v>296.59999999999997</v>
      </c>
      <c r="M38" s="12">
        <f t="shared" si="22"/>
        <v>0</v>
      </c>
      <c r="N38" s="13" t="e">
        <f t="shared" si="21"/>
        <v>#DIV/0!</v>
      </c>
      <c r="O38" s="14">
        <v>46226</v>
      </c>
      <c r="P38" s="15" t="s">
        <v>793</v>
      </c>
    </row>
    <row r="39" spans="3:16" x14ac:dyDescent="0.25">
      <c r="C39" s="7" t="s">
        <v>33</v>
      </c>
      <c r="D39" s="7" t="s">
        <v>26</v>
      </c>
      <c r="E39" s="7" t="s">
        <v>44</v>
      </c>
      <c r="F39" s="8" t="s">
        <v>45</v>
      </c>
      <c r="G39" s="9">
        <v>48496.416999999994</v>
      </c>
      <c r="H39" s="9">
        <v>-19.41700000000219</v>
      </c>
      <c r="I39" s="9">
        <v>-7.0519000000000744</v>
      </c>
      <c r="J39" s="9">
        <v>12.412700000000029</v>
      </c>
      <c r="K39" s="10">
        <v>436.77</v>
      </c>
      <c r="L39" s="11">
        <v>296.59999999999997</v>
      </c>
      <c r="M39" s="12">
        <f t="shared" si="22"/>
        <v>601.54845699997577</v>
      </c>
      <c r="N39" s="13">
        <f t="shared" si="21"/>
        <v>1.2403977328881344E-2</v>
      </c>
      <c r="O39" s="14">
        <v>46226</v>
      </c>
      <c r="P39" s="15" t="s">
        <v>793</v>
      </c>
    </row>
    <row r="40" spans="3:16" x14ac:dyDescent="0.25">
      <c r="C40" s="7" t="s">
        <v>33</v>
      </c>
      <c r="D40" s="7" t="s">
        <v>26</v>
      </c>
      <c r="E40" s="7" t="s">
        <v>46</v>
      </c>
      <c r="F40" s="8" t="s">
        <v>47</v>
      </c>
      <c r="G40" s="9">
        <v>44093.104299999992</v>
      </c>
      <c r="H40" s="9">
        <v>323.46569999999798</v>
      </c>
      <c r="I40" s="9">
        <v>-6.741212000000008</v>
      </c>
      <c r="J40" s="9">
        <v>-40.468923000000181</v>
      </c>
      <c r="K40" s="10">
        <v>436.77</v>
      </c>
      <c r="L40" s="11">
        <v>296.59999999999997</v>
      </c>
      <c r="M40" s="12">
        <f t="shared" si="22"/>
        <v>-14947.441727040055</v>
      </c>
      <c r="N40" s="13">
        <f t="shared" ref="N40" si="24">M40/G40</f>
        <v>-0.33899726418309944</v>
      </c>
      <c r="O40" s="14">
        <v>46231</v>
      </c>
      <c r="P40" s="15" t="s">
        <v>852</v>
      </c>
    </row>
    <row r="41" spans="3:16" x14ac:dyDescent="0.25">
      <c r="C41" s="7" t="s">
        <v>33</v>
      </c>
      <c r="D41" s="7" t="s">
        <v>26</v>
      </c>
      <c r="E41" s="7" t="s">
        <v>103</v>
      </c>
      <c r="F41" s="8" t="s">
        <v>102</v>
      </c>
      <c r="G41" s="9">
        <v>65471.967100000023</v>
      </c>
      <c r="H41" s="9">
        <v>1144.282899999999</v>
      </c>
      <c r="I41" s="9">
        <v>2.1981680000002743</v>
      </c>
      <c r="J41" s="9">
        <v>-30.346575999999885</v>
      </c>
      <c r="K41" s="10">
        <v>436.77</v>
      </c>
      <c r="L41" s="11">
        <v>296.59999999999997</v>
      </c>
      <c r="M41" s="12">
        <f t="shared" si="22"/>
        <v>-8040.7006042398443</v>
      </c>
      <c r="N41" s="13">
        <f t="shared" si="21"/>
        <v>-0.12281134904590092</v>
      </c>
      <c r="O41" s="14">
        <v>46230</v>
      </c>
      <c r="P41" s="15" t="s">
        <v>851</v>
      </c>
    </row>
    <row r="42" spans="3:16" ht="15.75" thickBot="1" x14ac:dyDescent="0.3">
      <c r="C42" s="7" t="s">
        <v>33</v>
      </c>
      <c r="D42" s="7" t="s">
        <v>26</v>
      </c>
      <c r="E42" s="204" t="s">
        <v>131</v>
      </c>
      <c r="F42" s="205" t="s">
        <v>132</v>
      </c>
      <c r="G42" s="9">
        <v>62144.778899999998</v>
      </c>
      <c r="H42" s="9">
        <v>215.22110000000032</v>
      </c>
      <c r="I42" s="9">
        <v>17.291034000000014</v>
      </c>
      <c r="J42" s="9">
        <v>-30.858852000000233</v>
      </c>
      <c r="K42" s="10">
        <v>436.77</v>
      </c>
      <c r="L42" s="11">
        <v>296.59999999999997</v>
      </c>
      <c r="M42" s="12">
        <f t="shared" si="22"/>
        <v>-1600.5305830200632</v>
      </c>
      <c r="N42" s="13">
        <f t="shared" si="21"/>
        <v>-2.5754868089490672E-2</v>
      </c>
      <c r="O42" s="14">
        <v>46231</v>
      </c>
      <c r="P42" s="15" t="s">
        <v>852</v>
      </c>
    </row>
    <row r="43" spans="3:16" ht="15" customHeight="1" thickBot="1" x14ac:dyDescent="0.3">
      <c r="C43" s="218" t="s">
        <v>48</v>
      </c>
      <c r="D43" s="219"/>
      <c r="E43" s="219"/>
      <c r="F43" s="220"/>
      <c r="G43" s="39">
        <f>SUM(G34:G42)</f>
        <v>556698.94100000011</v>
      </c>
      <c r="H43" s="22">
        <f>SUM(H34:H42)</f>
        <v>1672.3789999999881</v>
      </c>
      <c r="I43" s="22">
        <f>SUM(I34:I42)</f>
        <v>-39.494526999999962</v>
      </c>
      <c r="J43" s="22">
        <f>SUM(J34:J42)</f>
        <v>-290.60336700000124</v>
      </c>
      <c r="K43" s="40">
        <f t="shared" ref="K43:L43" si="25">SUM(K34:K41)</f>
        <v>3494.16</v>
      </c>
      <c r="L43" s="40">
        <f t="shared" si="25"/>
        <v>2372.7999999999997</v>
      </c>
      <c r="M43" s="22">
        <f>SUM(M34:M42)</f>
        <v>-103442.98320999033</v>
      </c>
      <c r="N43" s="23">
        <f>M43/G43</f>
        <v>-0.18581494519133693</v>
      </c>
      <c r="O43" s="24"/>
      <c r="P43" s="25"/>
    </row>
    <row r="44" spans="3:16" ht="15.75" thickBot="1" x14ac:dyDescent="0.3">
      <c r="H44" s="20"/>
      <c r="I44" s="20"/>
      <c r="J44" s="20"/>
      <c r="M44" s="20"/>
      <c r="N44" s="20"/>
      <c r="O44" s="20"/>
    </row>
    <row r="45" spans="3:16" x14ac:dyDescent="0.25">
      <c r="C45" s="33" t="str">
        <f t="shared" ref="C45:P45" si="26">C33</f>
        <v>State</v>
      </c>
      <c r="D45" s="34" t="str">
        <f t="shared" si="26"/>
        <v>Type</v>
      </c>
      <c r="E45" s="34" t="str">
        <f t="shared" si="26"/>
        <v>Code</v>
      </c>
      <c r="F45" s="35" t="str">
        <f t="shared" si="26"/>
        <v>BMC Name</v>
      </c>
      <c r="G45" s="34" t="str">
        <f t="shared" si="26"/>
        <v>MTD Volume</v>
      </c>
      <c r="H45" s="36" t="str">
        <f t="shared" si="26"/>
        <v>Vol Kg</v>
      </c>
      <c r="I45" s="36" t="str">
        <f t="shared" si="26"/>
        <v>FAT kg</v>
      </c>
      <c r="J45" s="36" t="str">
        <f t="shared" si="26"/>
        <v>SNF Kg</v>
      </c>
      <c r="K45" s="34" t="str">
        <f t="shared" si="26"/>
        <v>FAT Rate</v>
      </c>
      <c r="L45" s="34" t="str">
        <f t="shared" si="26"/>
        <v>SNF Rate</v>
      </c>
      <c r="M45" s="36" t="str">
        <f t="shared" si="26"/>
        <v>Amount</v>
      </c>
      <c r="N45" s="34" t="str">
        <f t="shared" si="26"/>
        <v>Loss/gain per Kg</v>
      </c>
      <c r="O45" s="34" t="str">
        <f t="shared" si="26"/>
        <v>Day book received till</v>
      </c>
      <c r="P45" s="37" t="str">
        <f t="shared" si="26"/>
        <v>Remarks</v>
      </c>
    </row>
    <row r="46" spans="3:16" x14ac:dyDescent="0.25">
      <c r="C46" s="6" t="s">
        <v>49</v>
      </c>
      <c r="D46" s="7" t="s">
        <v>16</v>
      </c>
      <c r="E46" s="7" t="s">
        <v>50</v>
      </c>
      <c r="F46" s="8" t="s">
        <v>51</v>
      </c>
      <c r="G46" s="9">
        <v>164790.6</v>
      </c>
      <c r="H46" s="12">
        <v>1675.1356984737199</v>
      </c>
      <c r="I46" s="12">
        <v>113.766941001592</v>
      </c>
      <c r="J46" s="12">
        <v>16.747078531126199</v>
      </c>
      <c r="K46" s="10">
        <v>420.58</v>
      </c>
      <c r="L46" s="11">
        <v>296.59999999999997</v>
      </c>
      <c r="M46" s="12">
        <f t="shared" ref="M46" si="27">I46*K46+J46*L46</f>
        <v>52815.283538781587</v>
      </c>
      <c r="N46" s="13">
        <f t="shared" ref="N46:N60" si="28">M46/G46</f>
        <v>0.32049937034504145</v>
      </c>
      <c r="O46" s="14">
        <v>46231</v>
      </c>
      <c r="P46" s="15" t="s">
        <v>852</v>
      </c>
    </row>
    <row r="47" spans="3:16" x14ac:dyDescent="0.25">
      <c r="C47" s="6" t="s">
        <v>49</v>
      </c>
      <c r="D47" s="7" t="s">
        <v>16</v>
      </c>
      <c r="E47" s="7" t="s">
        <v>52</v>
      </c>
      <c r="F47" s="8" t="s">
        <v>53</v>
      </c>
      <c r="G47" s="9">
        <v>144582</v>
      </c>
      <c r="H47" s="12">
        <v>48</v>
      </c>
      <c r="I47" s="12">
        <v>31.523539999999802</v>
      </c>
      <c r="J47" s="12">
        <v>-80.990039999998899</v>
      </c>
      <c r="K47" s="10">
        <v>420.58</v>
      </c>
      <c r="L47" s="11">
        <v>296.59999999999997</v>
      </c>
      <c r="M47" s="12">
        <f t="shared" ref="M47:M59" si="29">I47*K47+J47*L47</f>
        <v>-10763.475410799754</v>
      </c>
      <c r="N47" s="13">
        <f t="shared" si="28"/>
        <v>-7.4445473231797551E-2</v>
      </c>
      <c r="O47" s="14">
        <v>46231</v>
      </c>
      <c r="P47" s="15" t="s">
        <v>852</v>
      </c>
    </row>
    <row r="48" spans="3:16" x14ac:dyDescent="0.25">
      <c r="C48" s="6" t="s">
        <v>49</v>
      </c>
      <c r="D48" s="7" t="s">
        <v>16</v>
      </c>
      <c r="E48" s="7" t="s">
        <v>141</v>
      </c>
      <c r="F48" s="8" t="s">
        <v>130</v>
      </c>
      <c r="G48" s="9">
        <v>47809.799999999996</v>
      </c>
      <c r="H48" s="12">
        <v>108.7</v>
      </c>
      <c r="I48" s="12">
        <v>14.3329</v>
      </c>
      <c r="J48" s="12">
        <v>16.857699999999799</v>
      </c>
      <c r="K48" s="10">
        <v>420.58</v>
      </c>
      <c r="L48" s="11">
        <v>296.59999999999997</v>
      </c>
      <c r="M48" s="12">
        <f t="shared" si="29"/>
        <v>11028.12490199994</v>
      </c>
      <c r="N48" s="13">
        <f t="shared" si="28"/>
        <v>0.23066661860120605</v>
      </c>
      <c r="O48" s="14">
        <v>46231</v>
      </c>
      <c r="P48" s="15" t="s">
        <v>852</v>
      </c>
    </row>
    <row r="49" spans="3:16" x14ac:dyDescent="0.25">
      <c r="C49" s="6" t="s">
        <v>49</v>
      </c>
      <c r="D49" s="7" t="s">
        <v>16</v>
      </c>
      <c r="E49" s="7" t="s">
        <v>157</v>
      </c>
      <c r="F49" s="8" t="s">
        <v>158</v>
      </c>
      <c r="G49" s="9">
        <v>165022.30000000005</v>
      </c>
      <c r="H49" s="12">
        <v>13187.7</v>
      </c>
      <c r="I49" s="12">
        <v>-308.61669000000001</v>
      </c>
      <c r="J49" s="12">
        <v>470.44163999999898</v>
      </c>
      <c r="K49" s="10">
        <v>420.58</v>
      </c>
      <c r="L49" s="11">
        <v>296.59999999999997</v>
      </c>
      <c r="M49" s="12">
        <f t="shared" ref="M49" si="30">I49*K49+J49*L49</f>
        <v>9734.9829437996668</v>
      </c>
      <c r="N49" s="13">
        <f t="shared" ref="N49" si="31">M49/G49</f>
        <v>5.8991923781208142E-2</v>
      </c>
      <c r="O49" s="14">
        <v>46231</v>
      </c>
      <c r="P49" s="15" t="s">
        <v>852</v>
      </c>
    </row>
    <row r="50" spans="3:16" x14ac:dyDescent="0.25">
      <c r="C50" s="6" t="s">
        <v>49</v>
      </c>
      <c r="D50" s="7" t="s">
        <v>16</v>
      </c>
      <c r="E50" s="7" t="s">
        <v>54</v>
      </c>
      <c r="F50" s="8" t="s">
        <v>55</v>
      </c>
      <c r="G50" s="9">
        <v>63378.400000000009</v>
      </c>
      <c r="H50" s="12">
        <v>-1654.6</v>
      </c>
      <c r="I50" s="12">
        <v>233.65979999999999</v>
      </c>
      <c r="J50" s="12">
        <v>-205.214650000001</v>
      </c>
      <c r="K50" s="10">
        <v>420.58</v>
      </c>
      <c r="L50" s="11">
        <v>296.59999999999997</v>
      </c>
      <c r="M50" s="12">
        <f t="shared" si="29"/>
        <v>37405.9734939997</v>
      </c>
      <c r="N50" s="13">
        <f t="shared" si="28"/>
        <v>0.59020065975158242</v>
      </c>
      <c r="O50" s="14">
        <v>46231</v>
      </c>
      <c r="P50" s="15" t="s">
        <v>852</v>
      </c>
    </row>
    <row r="51" spans="3:16" x14ac:dyDescent="0.25">
      <c r="C51" s="6" t="s">
        <v>49</v>
      </c>
      <c r="D51" s="7" t="s">
        <v>16</v>
      </c>
      <c r="E51" s="7" t="s">
        <v>56</v>
      </c>
      <c r="F51" s="8" t="s">
        <v>57</v>
      </c>
      <c r="G51" s="9">
        <v>90327.200000000026</v>
      </c>
      <c r="H51" s="12">
        <v>-255.79999999999799</v>
      </c>
      <c r="I51" s="12">
        <v>146.804</v>
      </c>
      <c r="J51" s="12">
        <v>-212.092500000001</v>
      </c>
      <c r="K51" s="10">
        <v>420.58</v>
      </c>
      <c r="L51" s="11">
        <v>296.59999999999997</v>
      </c>
      <c r="M51" s="12">
        <f t="shared" si="29"/>
        <v>-1163.8091800002876</v>
      </c>
      <c r="N51" s="13">
        <f t="shared" si="28"/>
        <v>-1.2884371263587128E-2</v>
      </c>
      <c r="O51" s="14">
        <v>46231</v>
      </c>
      <c r="P51" s="15" t="s">
        <v>852</v>
      </c>
    </row>
    <row r="52" spans="3:16" x14ac:dyDescent="0.25">
      <c r="C52" s="6" t="s">
        <v>49</v>
      </c>
      <c r="D52" s="7" t="s">
        <v>16</v>
      </c>
      <c r="E52" s="7" t="s">
        <v>129</v>
      </c>
      <c r="F52" s="8" t="s">
        <v>142</v>
      </c>
      <c r="G52" s="9">
        <v>105430.77999999998</v>
      </c>
      <c r="H52" s="12">
        <v>-664.48000000000104</v>
      </c>
      <c r="I52" s="12">
        <v>75.463279999999997</v>
      </c>
      <c r="J52" s="12">
        <v>-104.24146</v>
      </c>
      <c r="K52" s="10">
        <v>420.58</v>
      </c>
      <c r="L52" s="11">
        <v>296.59999999999997</v>
      </c>
      <c r="M52" s="12">
        <f t="shared" si="29"/>
        <v>820.32926640000005</v>
      </c>
      <c r="N52" s="13">
        <f t="shared" ref="N52" si="32">M52/G52</f>
        <v>7.7807379059511858E-3</v>
      </c>
      <c r="O52" s="14">
        <v>46231</v>
      </c>
      <c r="P52" s="15" t="s">
        <v>852</v>
      </c>
    </row>
    <row r="53" spans="3:16" x14ac:dyDescent="0.25">
      <c r="C53" s="6" t="s">
        <v>49</v>
      </c>
      <c r="D53" s="7" t="s">
        <v>16</v>
      </c>
      <c r="E53" s="7" t="s">
        <v>425</v>
      </c>
      <c r="F53" s="8" t="s">
        <v>426</v>
      </c>
      <c r="G53" s="9">
        <v>38282.199999999997</v>
      </c>
      <c r="H53" s="12">
        <v>-281.59999999999798</v>
      </c>
      <c r="I53" s="12">
        <v>27.032359999999901</v>
      </c>
      <c r="J53" s="12">
        <v>-36.504819999999803</v>
      </c>
      <c r="K53" s="10">
        <v>420.58</v>
      </c>
      <c r="L53" s="11">
        <v>296.59999999999997</v>
      </c>
      <c r="M53" s="12">
        <f t="shared" ref="M53" si="33">I53*K53+J53*L53</f>
        <v>541.94035680001798</v>
      </c>
      <c r="N53" s="13">
        <f t="shared" ref="N53" si="34">M53/G53</f>
        <v>1.4156458009205793E-2</v>
      </c>
      <c r="O53" s="14">
        <v>46231</v>
      </c>
      <c r="P53" s="15" t="s">
        <v>852</v>
      </c>
    </row>
    <row r="54" spans="3:16" x14ac:dyDescent="0.25">
      <c r="C54" s="6" t="s">
        <v>49</v>
      </c>
      <c r="D54" s="7" t="s">
        <v>16</v>
      </c>
      <c r="E54" s="7" t="s">
        <v>58</v>
      </c>
      <c r="F54" s="8" t="s">
        <v>59</v>
      </c>
      <c r="G54" s="9">
        <v>210319.1</v>
      </c>
      <c r="H54" s="12">
        <v>-537.01445958196803</v>
      </c>
      <c r="I54" s="12">
        <v>252.378679412069</v>
      </c>
      <c r="J54" s="12">
        <v>-82.0174052273276</v>
      </c>
      <c r="K54" s="10">
        <v>420.58</v>
      </c>
      <c r="L54" s="11">
        <v>296.59999999999997</v>
      </c>
      <c r="M54" s="12">
        <f t="shared" si="29"/>
        <v>81819.062596702614</v>
      </c>
      <c r="N54" s="13">
        <f t="shared" si="28"/>
        <v>0.38902345339392669</v>
      </c>
      <c r="O54" s="14">
        <v>46231</v>
      </c>
      <c r="P54" s="15" t="s">
        <v>852</v>
      </c>
    </row>
    <row r="55" spans="3:16" x14ac:dyDescent="0.25">
      <c r="C55" s="6" t="s">
        <v>49</v>
      </c>
      <c r="D55" s="7" t="s">
        <v>16</v>
      </c>
      <c r="E55" s="17" t="s">
        <v>109</v>
      </c>
      <c r="F55" s="18" t="s">
        <v>110</v>
      </c>
      <c r="G55" s="31">
        <v>90238.299999999974</v>
      </c>
      <c r="H55" s="32">
        <v>1061.7</v>
      </c>
      <c r="I55" s="32">
        <v>60.120800000000003</v>
      </c>
      <c r="J55" s="32">
        <v>100.96420000000001</v>
      </c>
      <c r="K55" s="10">
        <v>420.58</v>
      </c>
      <c r="L55" s="11">
        <v>296.59999999999997</v>
      </c>
      <c r="M55" s="12">
        <f t="shared" si="29"/>
        <v>55231.587784000003</v>
      </c>
      <c r="N55" s="13">
        <f t="shared" ref="N55:N58" si="35">M55/G55</f>
        <v>0.61206370004754096</v>
      </c>
      <c r="O55" s="14">
        <v>46231</v>
      </c>
      <c r="P55" s="15" t="s">
        <v>852</v>
      </c>
    </row>
    <row r="56" spans="3:16" x14ac:dyDescent="0.25">
      <c r="C56" s="6" t="s">
        <v>49</v>
      </c>
      <c r="D56" s="7" t="s">
        <v>16</v>
      </c>
      <c r="E56" s="17" t="s">
        <v>143</v>
      </c>
      <c r="F56" s="18" t="s">
        <v>144</v>
      </c>
      <c r="G56" s="31">
        <v>47227.700000000012</v>
      </c>
      <c r="H56" s="32">
        <v>517.83719008264404</v>
      </c>
      <c r="I56" s="32">
        <v>63.305691272364001</v>
      </c>
      <c r="J56" s="32">
        <v>110.619597714911</v>
      </c>
      <c r="K56" s="10">
        <v>420.58</v>
      </c>
      <c r="L56" s="11">
        <v>296.59999999999997</v>
      </c>
      <c r="M56" s="12">
        <f t="shared" si="29"/>
        <v>59434.88031757345</v>
      </c>
      <c r="N56" s="13">
        <f t="shared" ref="N56:N57" si="36">M56/G56</f>
        <v>1.2584750118590029</v>
      </c>
      <c r="O56" s="14">
        <v>46231</v>
      </c>
      <c r="P56" s="15" t="s">
        <v>852</v>
      </c>
    </row>
    <row r="57" spans="3:16" x14ac:dyDescent="0.25">
      <c r="C57" s="6" t="s">
        <v>49</v>
      </c>
      <c r="D57" s="7" t="s">
        <v>16</v>
      </c>
      <c r="E57" s="17" t="s">
        <v>172</v>
      </c>
      <c r="F57" s="18" t="s">
        <v>173</v>
      </c>
      <c r="G57" s="31">
        <v>39750.700000000004</v>
      </c>
      <c r="H57" s="32">
        <v>403.3</v>
      </c>
      <c r="I57" s="32">
        <v>21.2514</v>
      </c>
      <c r="J57" s="32">
        <v>51.6167999999995</v>
      </c>
      <c r="K57" s="10">
        <v>420.58</v>
      </c>
      <c r="L57" s="11">
        <v>296.59999999999997</v>
      </c>
      <c r="M57" s="12">
        <f t="shared" si="29"/>
        <v>24247.456691999851</v>
      </c>
      <c r="N57" s="13">
        <f t="shared" si="36"/>
        <v>0.60998816856054983</v>
      </c>
      <c r="O57" s="14">
        <v>46231</v>
      </c>
      <c r="P57" s="15" t="s">
        <v>852</v>
      </c>
    </row>
    <row r="58" spans="3:16" x14ac:dyDescent="0.25">
      <c r="C58" s="6" t="s">
        <v>49</v>
      </c>
      <c r="D58" s="7" t="s">
        <v>16</v>
      </c>
      <c r="E58" s="17" t="s">
        <v>139</v>
      </c>
      <c r="F58" s="18" t="s">
        <v>140</v>
      </c>
      <c r="G58" s="31">
        <v>107245</v>
      </c>
      <c r="H58" s="32">
        <v>-124.46394703697101</v>
      </c>
      <c r="I58" s="32">
        <v>75.340574803010298</v>
      </c>
      <c r="J58" s="32">
        <v>136.20720880038101</v>
      </c>
      <c r="K58" s="10">
        <v>420.58</v>
      </c>
      <c r="L58" s="11">
        <v>296.59999999999997</v>
      </c>
      <c r="M58" s="12">
        <f t="shared" si="29"/>
        <v>72085.797080843069</v>
      </c>
      <c r="N58" s="13">
        <f t="shared" si="35"/>
        <v>0.67215998024003976</v>
      </c>
      <c r="O58" s="14">
        <v>46231</v>
      </c>
      <c r="P58" s="15" t="s">
        <v>852</v>
      </c>
    </row>
    <row r="59" spans="3:16" ht="15.75" thickBot="1" x14ac:dyDescent="0.3">
      <c r="C59" s="16" t="s">
        <v>49</v>
      </c>
      <c r="D59" s="17" t="s">
        <v>16</v>
      </c>
      <c r="E59" s="17" t="s">
        <v>60</v>
      </c>
      <c r="F59" s="18" t="s">
        <v>61</v>
      </c>
      <c r="G59" s="31">
        <v>167714.49999999997</v>
      </c>
      <c r="H59" s="32">
        <v>581.499999999995</v>
      </c>
      <c r="I59" s="32">
        <v>99.637300000000195</v>
      </c>
      <c r="J59" s="32">
        <v>60.937099999999802</v>
      </c>
      <c r="K59" s="10">
        <v>420.58</v>
      </c>
      <c r="L59" s="11">
        <v>296.59999999999997</v>
      </c>
      <c r="M59" s="12">
        <f t="shared" si="29"/>
        <v>59979.399494000012</v>
      </c>
      <c r="N59" s="19">
        <f t="shared" si="28"/>
        <v>0.35762798979217669</v>
      </c>
      <c r="O59" s="14">
        <v>46231</v>
      </c>
      <c r="P59" s="15" t="s">
        <v>852</v>
      </c>
    </row>
    <row r="60" spans="3:16" ht="15.75" thickBot="1" x14ac:dyDescent="0.3">
      <c r="C60" s="227" t="s">
        <v>62</v>
      </c>
      <c r="D60" s="228"/>
      <c r="E60" s="228"/>
      <c r="F60" s="228"/>
      <c r="G60" s="41">
        <v>60170.6</v>
      </c>
      <c r="H60" s="22">
        <v>215.400000000001</v>
      </c>
      <c r="I60" s="22">
        <v>18.2847000000002</v>
      </c>
      <c r="J60" s="22">
        <v>34.836400000000403</v>
      </c>
      <c r="K60" s="40"/>
      <c r="L60" s="40"/>
      <c r="M60" s="22">
        <f>SUM(M46:M59)</f>
        <v>453217.53387609986</v>
      </c>
      <c r="N60" s="23">
        <f t="shared" si="28"/>
        <v>7.5322089837246073</v>
      </c>
      <c r="O60" s="24"/>
      <c r="P60" s="42"/>
    </row>
  </sheetData>
  <mergeCells count="5">
    <mergeCell ref="C60:F60"/>
    <mergeCell ref="C2:P2"/>
    <mergeCell ref="C18:F18"/>
    <mergeCell ref="C31:F31"/>
    <mergeCell ref="U4:Z4"/>
  </mergeCells>
  <conditionalFormatting sqref="H4:N17">
    <cfRule type="cellIs" dxfId="140" priority="5" operator="greaterThan">
      <formula>0</formula>
    </cfRule>
    <cfRule type="cellIs" dxfId="139" priority="6" operator="lessThan">
      <formula>0</formula>
    </cfRule>
  </conditionalFormatting>
  <conditionalFormatting sqref="H20:N30">
    <cfRule type="cellIs" dxfId="138" priority="1" operator="greaterThan">
      <formula>0</formula>
    </cfRule>
    <cfRule type="cellIs" dxfId="137" priority="2" operator="lessThan">
      <formula>0</formula>
    </cfRule>
  </conditionalFormatting>
  <conditionalFormatting sqref="H34:N42">
    <cfRule type="cellIs" dxfId="136" priority="7" operator="greaterThan">
      <formula>0</formula>
    </cfRule>
    <cfRule type="cellIs" dxfId="135" priority="8" operator="lessThan">
      <formula>0</formula>
    </cfRule>
  </conditionalFormatting>
  <conditionalFormatting sqref="H46:N59">
    <cfRule type="cellIs" dxfId="134" priority="23" operator="greaterThan">
      <formula>0</formula>
    </cfRule>
    <cfRule type="cellIs" dxfId="133" priority="24" operator="lessThan">
      <formula>0</formula>
    </cfRule>
  </conditionalFormatting>
  <conditionalFormatting sqref="H18:O19 H31:O32">
    <cfRule type="cellIs" dxfId="132" priority="65" operator="greaterThan">
      <formula>0</formula>
    </cfRule>
    <cfRule type="cellIs" dxfId="131" priority="66" operator="lessThan">
      <formula>0</formula>
    </cfRule>
  </conditionalFormatting>
  <conditionalFormatting sqref="H43:O44">
    <cfRule type="cellIs" dxfId="130" priority="63" operator="greaterThan">
      <formula>0</formula>
    </cfRule>
    <cfRule type="cellIs" dxfId="129" priority="64" operator="lessThan">
      <formula>0</formula>
    </cfRule>
  </conditionalFormatting>
  <conditionalFormatting sqref="H60:O60">
    <cfRule type="cellIs" dxfId="128" priority="67" operator="greaterThan">
      <formula>0</formula>
    </cfRule>
    <cfRule type="cellIs" dxfId="127" priority="6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69"/>
  <sheetViews>
    <sheetView zoomScale="80" zoomScaleNormal="8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V63" sqref="V63"/>
    </sheetView>
  </sheetViews>
  <sheetFormatPr defaultRowHeight="15" x14ac:dyDescent="0.25"/>
  <cols>
    <col min="1" max="1" width="3.42578125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6" width="5" bestFit="1" customWidth="1"/>
    <col min="17" max="17" width="6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63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0" t="s">
        <v>64</v>
      </c>
      <c r="C2" s="242" t="s">
        <v>65</v>
      </c>
      <c r="D2" s="244" t="s">
        <v>66</v>
      </c>
      <c r="E2" s="245"/>
      <c r="F2" s="245"/>
      <c r="G2" s="245"/>
      <c r="H2" s="246"/>
      <c r="I2" s="237" t="s">
        <v>67</v>
      </c>
      <c r="J2" s="238"/>
      <c r="K2" s="238"/>
      <c r="L2" s="239"/>
      <c r="M2" s="237" t="s">
        <v>68</v>
      </c>
      <c r="N2" s="238"/>
      <c r="O2" s="238"/>
      <c r="P2" s="238"/>
      <c r="Q2" s="239"/>
      <c r="R2" s="237" t="s">
        <v>69</v>
      </c>
      <c r="S2" s="238"/>
      <c r="T2" s="239"/>
      <c r="U2" s="234" t="s">
        <v>70</v>
      </c>
      <c r="V2" s="235"/>
      <c r="W2" s="235"/>
      <c r="X2" s="235"/>
      <c r="Y2" s="235"/>
      <c r="Z2" s="235"/>
      <c r="AA2" s="235"/>
      <c r="AB2" s="236"/>
      <c r="AC2" s="237" t="s">
        <v>71</v>
      </c>
      <c r="AD2" s="238"/>
      <c r="AE2" s="238"/>
      <c r="AF2" s="238"/>
      <c r="AG2" s="239"/>
      <c r="AH2" s="237" t="s">
        <v>72</v>
      </c>
      <c r="AI2" s="238"/>
      <c r="AJ2" s="238"/>
      <c r="AK2" s="238"/>
      <c r="AL2" s="239"/>
      <c r="AM2" s="234" t="s">
        <v>73</v>
      </c>
      <c r="AN2" s="235"/>
      <c r="AO2" s="235"/>
      <c r="AP2" s="235"/>
      <c r="AQ2" s="236"/>
    </row>
    <row r="3" spans="1:46" x14ac:dyDescent="0.25">
      <c r="B3" s="241"/>
      <c r="C3" s="24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0</v>
      </c>
      <c r="E4" s="54">
        <v>0</v>
      </c>
      <c r="F4" s="55">
        <v>0</v>
      </c>
      <c r="G4" s="62">
        <f t="shared" ref="G4" si="0">+D4*E4%</f>
        <v>0</v>
      </c>
      <c r="H4" s="63">
        <f t="shared" ref="H4" si="1">+D4*F4%</f>
        <v>0</v>
      </c>
      <c r="I4" s="202">
        <v>707.5999999999998</v>
      </c>
      <c r="J4" s="202">
        <v>728.82799999999986</v>
      </c>
      <c r="K4" s="202">
        <v>4.4560910118711137</v>
      </c>
      <c r="L4" s="202">
        <v>8.311136235161106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728.82799999999986</v>
      </c>
      <c r="S4" s="62">
        <f t="shared" ref="S4" si="2">+J4*K4%+O4*P4%</f>
        <v>32.47723899999999</v>
      </c>
      <c r="T4" s="63">
        <f t="shared" ref="T4" si="3">+J4*L4%+O4*Q4%</f>
        <v>60.573887999999968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71">
        <v>729</v>
      </c>
      <c r="AI4" s="66">
        <v>4.45</v>
      </c>
      <c r="AJ4" s="66">
        <v>8.3000000000000007</v>
      </c>
      <c r="AK4" s="62">
        <f t="shared" ref="AK4:AK22" si="8">AH4*AI4%</f>
        <v>32.4405</v>
      </c>
      <c r="AL4" s="72">
        <f t="shared" ref="AL4:AL22" si="9">AH4*AJ4%</f>
        <v>60.507000000000005</v>
      </c>
      <c r="AM4" s="73">
        <f>+D4+R4-AC4-AH4</f>
        <v>-0.17200000000013915</v>
      </c>
      <c r="AN4" s="74">
        <f t="shared" ref="AN4:AO4" si="10">+G4+S4-AF4-AK4</f>
        <v>3.6738999999990085E-2</v>
      </c>
      <c r="AO4" s="74">
        <f t="shared" si="10"/>
        <v>6.6887999999963199E-2</v>
      </c>
      <c r="AP4" s="75">
        <f>(AN4+AO4)/(S4+T4)</f>
        <v>1.1136565815044169E-3</v>
      </c>
      <c r="AQ4" s="76">
        <f t="shared" ref="AQ4" si="11">($AP$1*AN4+$AQ$1*AO4)</f>
        <v>37.686645751957407</v>
      </c>
      <c r="AR4" s="77">
        <f t="shared" ref="AR4:AR65" si="12">(D4+J4+O4)-(X4+AH4)</f>
        <v>-0.17200000000013915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729</v>
      </c>
      <c r="E5" s="62">
        <v>4.45</v>
      </c>
      <c r="F5" s="62">
        <v>8.3000000000000007</v>
      </c>
      <c r="G5" s="62">
        <f t="shared" ref="G5:G65" si="14">+D5*E5%</f>
        <v>32.4405</v>
      </c>
      <c r="H5" s="63">
        <f t="shared" ref="H5:H65" si="15">+D5*F5%</f>
        <v>60.507000000000005</v>
      </c>
      <c r="I5" s="202">
        <v>2484.4</v>
      </c>
      <c r="J5" s="202">
        <v>2558.9320000000002</v>
      </c>
      <c r="K5" s="202">
        <v>3.6204797939140243</v>
      </c>
      <c r="L5" s="202">
        <v>8.0191957816776682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6">+J5+O5</f>
        <v>2558.9320000000002</v>
      </c>
      <c r="S5" s="62">
        <f t="shared" ref="S5:S65" si="17">+J5*K5%+O5*P5%</f>
        <v>92.645616000000032</v>
      </c>
      <c r="T5" s="63">
        <f t="shared" ref="T5:T65" si="18">+J5*L5%+O5*Q5%</f>
        <v>205.20576700000001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9">X5*Y5%</f>
        <v>0</v>
      </c>
      <c r="AB5" s="63">
        <f t="shared" ref="AB5:AB65" si="20">X5*Z5%</f>
        <v>0</v>
      </c>
      <c r="AC5" s="69"/>
      <c r="AD5" s="70"/>
      <c r="AE5" s="70"/>
      <c r="AF5" s="62">
        <f t="shared" ref="AF5:AF65" si="21">AC5*AD5%</f>
        <v>0</v>
      </c>
      <c r="AG5" s="63">
        <f t="shared" ref="AG5:AG65" si="22">AC5*AE5%</f>
        <v>0</v>
      </c>
      <c r="AH5" s="71">
        <v>3288</v>
      </c>
      <c r="AI5" s="66">
        <v>3.8</v>
      </c>
      <c r="AJ5" s="66">
        <v>8.11</v>
      </c>
      <c r="AK5" s="62">
        <f t="shared" si="8"/>
        <v>124.944</v>
      </c>
      <c r="AL5" s="72">
        <f t="shared" si="9"/>
        <v>266.65679999999998</v>
      </c>
      <c r="AM5" s="73">
        <f t="shared" ref="AM5:AM65" si="23">+D5+R5-AC5-AH5</f>
        <v>-6.7999999999756255E-2</v>
      </c>
      <c r="AN5" s="74">
        <f t="shared" ref="AN5:AN65" si="24">+G5+S5-AF5-AK5</f>
        <v>0.14211600000002989</v>
      </c>
      <c r="AO5" s="74">
        <f t="shared" ref="AO5:AO65" si="25">+H5+T5-AG5-AL5</f>
        <v>-0.94403299999999035</v>
      </c>
      <c r="AP5" s="75">
        <f t="shared" ref="AP5:AP65" si="26">(AN5+AO5)/(S5+T5)</f>
        <v>-2.6923393536835124E-3</v>
      </c>
      <c r="AQ5" s="76">
        <f t="shared" ref="AQ5:AQ65" si="27">($AP$1*AN5+$AQ$1*AO5)</f>
        <v>-214.43811586794902</v>
      </c>
      <c r="AR5" s="77">
        <f t="shared" si="12"/>
        <v>-6.7999999999756255E-2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3288</v>
      </c>
      <c r="E6" s="62">
        <v>3.8</v>
      </c>
      <c r="F6" s="62">
        <v>8.11</v>
      </c>
      <c r="G6" s="62">
        <f t="shared" si="14"/>
        <v>124.944</v>
      </c>
      <c r="H6" s="63">
        <f t="shared" si="15"/>
        <v>266.65679999999998</v>
      </c>
      <c r="I6" s="202">
        <v>742.49999999999989</v>
      </c>
      <c r="J6" s="202">
        <v>764.77499999999986</v>
      </c>
      <c r="K6" s="202">
        <v>4.5745454545454542</v>
      </c>
      <c r="L6" s="202">
        <v>8.3411313131313136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6"/>
        <v>764.77499999999986</v>
      </c>
      <c r="S6" s="62">
        <f t="shared" si="17"/>
        <v>34.984979999999993</v>
      </c>
      <c r="T6" s="63">
        <f t="shared" si="18"/>
        <v>63.790886999999998</v>
      </c>
      <c r="U6" s="64" t="s">
        <v>171</v>
      </c>
      <c r="V6" s="65" t="s">
        <v>214</v>
      </c>
      <c r="W6" s="66" t="s">
        <v>149</v>
      </c>
      <c r="X6" s="67">
        <v>3130</v>
      </c>
      <c r="Y6" s="68">
        <v>4.1500000000000004</v>
      </c>
      <c r="Z6" s="68">
        <v>8.24</v>
      </c>
      <c r="AA6" s="62">
        <f t="shared" si="19"/>
        <v>129.89500000000001</v>
      </c>
      <c r="AB6" s="63">
        <f t="shared" si="20"/>
        <v>257.91199999999998</v>
      </c>
      <c r="AC6" s="69">
        <v>3110</v>
      </c>
      <c r="AD6" s="70">
        <v>4</v>
      </c>
      <c r="AE6" s="70">
        <v>7.96</v>
      </c>
      <c r="AF6" s="62">
        <f t="shared" si="21"/>
        <v>124.4</v>
      </c>
      <c r="AG6" s="63">
        <f t="shared" si="22"/>
        <v>247.55600000000001</v>
      </c>
      <c r="AH6" s="71">
        <v>923</v>
      </c>
      <c r="AI6" s="66">
        <v>3.94</v>
      </c>
      <c r="AJ6" s="66">
        <v>8.24</v>
      </c>
      <c r="AK6" s="62">
        <f t="shared" si="8"/>
        <v>36.366199999999999</v>
      </c>
      <c r="AL6" s="72">
        <f t="shared" si="9"/>
        <v>76.055199999999999</v>
      </c>
      <c r="AM6" s="73">
        <f t="shared" si="23"/>
        <v>19.774999999999636</v>
      </c>
      <c r="AN6" s="74">
        <f t="shared" si="24"/>
        <v>-0.83722000000000918</v>
      </c>
      <c r="AO6" s="74">
        <f t="shared" si="25"/>
        <v>6.8364869999999627</v>
      </c>
      <c r="AP6" s="75">
        <f t="shared" si="26"/>
        <v>6.0736161394563656E-2</v>
      </c>
      <c r="AQ6" s="76">
        <f t="shared" si="27"/>
        <v>1645.1555360804982</v>
      </c>
      <c r="AR6" s="77">
        <f t="shared" si="12"/>
        <v>-0.2250000000003638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923</v>
      </c>
      <c r="E7" s="62">
        <v>3.94</v>
      </c>
      <c r="F7" s="62">
        <v>8.24</v>
      </c>
      <c r="G7" s="62">
        <f t="shared" si="14"/>
        <v>36.366199999999999</v>
      </c>
      <c r="H7" s="63">
        <f t="shared" si="15"/>
        <v>76.055199999999999</v>
      </c>
      <c r="I7" s="202">
        <v>1805.2</v>
      </c>
      <c r="J7" s="202">
        <v>1859.356</v>
      </c>
      <c r="K7" s="202">
        <v>3.5941114557943723</v>
      </c>
      <c r="L7" s="202">
        <v>8.0980445380013286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6"/>
        <v>1859.356</v>
      </c>
      <c r="S7" s="62">
        <f t="shared" si="17"/>
        <v>66.827327000000011</v>
      </c>
      <c r="T7" s="63">
        <f t="shared" si="18"/>
        <v>150.57147699999999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9"/>
        <v>0</v>
      </c>
      <c r="AB7" s="63">
        <f t="shared" si="20"/>
        <v>0</v>
      </c>
      <c r="AC7" s="69"/>
      <c r="AD7" s="70"/>
      <c r="AE7" s="70"/>
      <c r="AF7" s="62">
        <f t="shared" si="21"/>
        <v>0</v>
      </c>
      <c r="AG7" s="63">
        <f t="shared" si="22"/>
        <v>0</v>
      </c>
      <c r="AH7" s="71">
        <v>2782</v>
      </c>
      <c r="AI7" s="71">
        <v>3.69</v>
      </c>
      <c r="AJ7" s="71">
        <v>8.1</v>
      </c>
      <c r="AK7" s="62">
        <f t="shared" si="8"/>
        <v>102.6558</v>
      </c>
      <c r="AL7" s="72">
        <f t="shared" si="9"/>
        <v>225.34200000000001</v>
      </c>
      <c r="AM7" s="73">
        <f t="shared" si="23"/>
        <v>0.35599999999976717</v>
      </c>
      <c r="AN7" s="74">
        <f t="shared" si="24"/>
        <v>0.53772700000001805</v>
      </c>
      <c r="AO7" s="74">
        <f t="shared" si="25"/>
        <v>1.2846769999999594</v>
      </c>
      <c r="AP7" s="75">
        <f t="shared" si="26"/>
        <v>8.3827692078746567E-3</v>
      </c>
      <c r="AQ7" s="76">
        <f t="shared" si="27"/>
        <v>643.14464924064134</v>
      </c>
      <c r="AR7" s="77">
        <f t="shared" si="12"/>
        <v>0.35599999999976717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2782</v>
      </c>
      <c r="E8" s="62">
        <v>3.69</v>
      </c>
      <c r="F8" s="62">
        <v>8.1</v>
      </c>
      <c r="G8" s="62">
        <f t="shared" si="14"/>
        <v>102.6558</v>
      </c>
      <c r="H8" s="63">
        <f t="shared" si="15"/>
        <v>225.34200000000001</v>
      </c>
      <c r="I8" s="202">
        <v>780.4</v>
      </c>
      <c r="J8" s="202">
        <v>803.81200000000001</v>
      </c>
      <c r="K8" s="202">
        <v>4.3227703741670949</v>
      </c>
      <c r="L8" s="202">
        <v>8.2282034853921076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6"/>
        <v>803.81200000000001</v>
      </c>
      <c r="S8" s="62">
        <f t="shared" si="17"/>
        <v>34.746947000000006</v>
      </c>
      <c r="T8" s="63">
        <f t="shared" si="18"/>
        <v>66.13928700000001</v>
      </c>
      <c r="U8" s="64" t="s">
        <v>171</v>
      </c>
      <c r="V8" s="65" t="s">
        <v>291</v>
      </c>
      <c r="W8" s="66" t="s">
        <v>149</v>
      </c>
      <c r="X8" s="67">
        <v>3130</v>
      </c>
      <c r="Y8" s="68">
        <v>4.1500000000000004</v>
      </c>
      <c r="Z8" s="68">
        <v>8.24</v>
      </c>
      <c r="AA8" s="62">
        <f t="shared" si="19"/>
        <v>129.89500000000001</v>
      </c>
      <c r="AB8" s="63">
        <f t="shared" si="20"/>
        <v>257.91199999999998</v>
      </c>
      <c r="AC8" s="69">
        <v>3120</v>
      </c>
      <c r="AD8" s="70">
        <v>3.95</v>
      </c>
      <c r="AE8" s="70">
        <v>7.88</v>
      </c>
      <c r="AF8" s="62">
        <f t="shared" si="21"/>
        <v>123.24</v>
      </c>
      <c r="AG8" s="63">
        <f t="shared" si="22"/>
        <v>245.85599999999999</v>
      </c>
      <c r="AH8" s="71">
        <v>457</v>
      </c>
      <c r="AI8" s="71">
        <v>3.82</v>
      </c>
      <c r="AJ8" s="71">
        <v>8.1199999999999992</v>
      </c>
      <c r="AK8" s="62">
        <f t="shared" si="8"/>
        <v>17.4574</v>
      </c>
      <c r="AL8" s="72">
        <f t="shared" si="9"/>
        <v>37.108399999999996</v>
      </c>
      <c r="AM8" s="73">
        <f t="shared" si="23"/>
        <v>8.8119999999998981</v>
      </c>
      <c r="AN8" s="74">
        <f t="shared" si="24"/>
        <v>-3.2946529999999896</v>
      </c>
      <c r="AO8" s="74">
        <f t="shared" si="25"/>
        <v>8.5168870000000183</v>
      </c>
      <c r="AP8" s="75">
        <f t="shared" si="26"/>
        <v>5.1763593435354402E-2</v>
      </c>
      <c r="AQ8" s="76">
        <f t="shared" si="27"/>
        <v>967.54383914055597</v>
      </c>
      <c r="AR8" s="90">
        <f t="shared" ref="AR8:AR21" si="28">(D8+J8+O8)-(X8+AH8)</f>
        <v>-1.1880000000001019</v>
      </c>
    </row>
    <row r="9" spans="1:46" x14ac:dyDescent="0.25">
      <c r="A9" t="str">
        <f t="shared" si="13"/>
        <v>46206E</v>
      </c>
      <c r="B9" s="51">
        <f t="shared" ref="B9:B65" si="29">+B7+1</f>
        <v>46206</v>
      </c>
      <c r="C9" s="52" t="s">
        <v>88</v>
      </c>
      <c r="D9" s="91">
        <v>457</v>
      </c>
      <c r="E9" s="62">
        <v>3.82</v>
      </c>
      <c r="F9" s="62">
        <v>8.1199999999999992</v>
      </c>
      <c r="G9" s="62">
        <f t="shared" si="14"/>
        <v>17.4574</v>
      </c>
      <c r="H9" s="63">
        <f t="shared" si="15"/>
        <v>37.108399999999996</v>
      </c>
      <c r="I9" s="202">
        <v>1969.7</v>
      </c>
      <c r="J9" s="202">
        <v>2028.7910000000002</v>
      </c>
      <c r="K9" s="202">
        <v>3.6246890389399407</v>
      </c>
      <c r="L9" s="202">
        <v>8.1042036858404813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6"/>
        <v>2028.7910000000002</v>
      </c>
      <c r="S9" s="62">
        <f t="shared" si="17"/>
        <v>73.537365000000008</v>
      </c>
      <c r="T9" s="63">
        <f t="shared" si="18"/>
        <v>164.41735499999999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9"/>
        <v>0</v>
      </c>
      <c r="AB9" s="63">
        <f t="shared" si="20"/>
        <v>0</v>
      </c>
      <c r="AC9" s="69"/>
      <c r="AD9" s="70"/>
      <c r="AE9" s="70"/>
      <c r="AF9" s="62">
        <f t="shared" si="21"/>
        <v>0</v>
      </c>
      <c r="AG9" s="63">
        <f t="shared" si="22"/>
        <v>0</v>
      </c>
      <c r="AH9" s="82">
        <v>2485</v>
      </c>
      <c r="AI9" s="82">
        <v>3.65</v>
      </c>
      <c r="AJ9" s="82">
        <v>8.08</v>
      </c>
      <c r="AK9" s="62">
        <f t="shared" si="8"/>
        <v>90.702500000000001</v>
      </c>
      <c r="AL9" s="72">
        <f t="shared" si="9"/>
        <v>200.78799999999998</v>
      </c>
      <c r="AM9" s="73">
        <f t="shared" si="23"/>
        <v>0.79100000000016735</v>
      </c>
      <c r="AN9" s="74">
        <f t="shared" si="24"/>
        <v>0.29226500000000044</v>
      </c>
      <c r="AO9" s="74">
        <f t="shared" si="25"/>
        <v>0.73775499999999283</v>
      </c>
      <c r="AP9" s="75">
        <f t="shared" si="26"/>
        <v>4.3286386586489783E-3</v>
      </c>
      <c r="AQ9" s="76">
        <f t="shared" si="27"/>
        <v>361.39389930905531</v>
      </c>
      <c r="AR9" s="90">
        <f t="shared" si="28"/>
        <v>0.79100000000016735</v>
      </c>
    </row>
    <row r="10" spans="1:46" x14ac:dyDescent="0.25">
      <c r="A10" t="str">
        <f t="shared" si="13"/>
        <v>46207M</v>
      </c>
      <c r="B10" s="51">
        <f t="shared" si="29"/>
        <v>46207</v>
      </c>
      <c r="C10" s="52" t="s">
        <v>87</v>
      </c>
      <c r="D10" s="91">
        <v>2485</v>
      </c>
      <c r="E10" s="62">
        <v>3.65</v>
      </c>
      <c r="F10" s="62">
        <v>8.08</v>
      </c>
      <c r="G10" s="62">
        <f t="shared" si="14"/>
        <v>90.702500000000001</v>
      </c>
      <c r="H10" s="63">
        <f t="shared" si="15"/>
        <v>200.78799999999998</v>
      </c>
      <c r="I10" s="202">
        <v>794.20000000000016</v>
      </c>
      <c r="J10" s="202">
        <v>818.02600000000018</v>
      </c>
      <c r="K10" s="202">
        <v>4.602556031226392</v>
      </c>
      <c r="L10" s="202">
        <v>8.3408964996222643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6"/>
        <v>818.02600000000018</v>
      </c>
      <c r="S10" s="62">
        <f t="shared" si="17"/>
        <v>37.650105000000018</v>
      </c>
      <c r="T10" s="63">
        <f t="shared" si="18"/>
        <v>68.230702000000036</v>
      </c>
      <c r="U10" s="64" t="s">
        <v>169</v>
      </c>
      <c r="V10" s="135" t="s">
        <v>292</v>
      </c>
      <c r="W10" s="66" t="s">
        <v>184</v>
      </c>
      <c r="X10" s="67">
        <v>2950</v>
      </c>
      <c r="Y10" s="68">
        <v>4</v>
      </c>
      <c r="Z10" s="68">
        <v>8.2100000000000009</v>
      </c>
      <c r="AA10" s="62">
        <f t="shared" si="19"/>
        <v>118</v>
      </c>
      <c r="AB10" s="63">
        <f t="shared" si="20"/>
        <v>242.19500000000002</v>
      </c>
      <c r="AC10" s="69">
        <v>2950</v>
      </c>
      <c r="AD10" s="70">
        <v>3.95</v>
      </c>
      <c r="AE10" s="70">
        <v>8.07</v>
      </c>
      <c r="AF10" s="62">
        <f t="shared" si="21"/>
        <v>116.52500000000001</v>
      </c>
      <c r="AG10" s="63">
        <f t="shared" si="22"/>
        <v>238.06500000000003</v>
      </c>
      <c r="AH10" s="71">
        <v>353</v>
      </c>
      <c r="AI10" s="71">
        <v>3.86</v>
      </c>
      <c r="AJ10" s="71">
        <v>8.14</v>
      </c>
      <c r="AK10" s="62">
        <f t="shared" si="8"/>
        <v>13.625799999999998</v>
      </c>
      <c r="AL10" s="72">
        <f t="shared" si="9"/>
        <v>28.734200000000001</v>
      </c>
      <c r="AM10" s="73">
        <f t="shared" si="23"/>
        <v>2.6000000000294676E-2</v>
      </c>
      <c r="AN10" s="74">
        <f t="shared" si="24"/>
        <v>-1.7981949999999927</v>
      </c>
      <c r="AO10" s="74">
        <f t="shared" si="25"/>
        <v>2.2195019999999914</v>
      </c>
      <c r="AP10" s="75">
        <f t="shared" si="26"/>
        <v>3.9790686521684569E-3</v>
      </c>
      <c r="AQ10" s="76">
        <f t="shared" si="27"/>
        <v>-199.37013246092556</v>
      </c>
      <c r="AR10" s="90">
        <f t="shared" si="28"/>
        <v>2.6000000000294676E-2</v>
      </c>
    </row>
    <row r="11" spans="1:46" x14ac:dyDescent="0.25">
      <c r="A11" t="str">
        <f t="shared" si="13"/>
        <v>46207E</v>
      </c>
      <c r="B11" s="51">
        <f t="shared" si="29"/>
        <v>46207</v>
      </c>
      <c r="C11" s="52" t="s">
        <v>88</v>
      </c>
      <c r="D11" s="91">
        <v>353</v>
      </c>
      <c r="E11" s="62">
        <v>3.86</v>
      </c>
      <c r="F11" s="62">
        <v>8.14</v>
      </c>
      <c r="G11" s="62">
        <f t="shared" si="14"/>
        <v>13.625799999999998</v>
      </c>
      <c r="H11" s="63">
        <f t="shared" si="15"/>
        <v>28.734200000000001</v>
      </c>
      <c r="I11" s="202">
        <v>941.1</v>
      </c>
      <c r="J11" s="202">
        <v>969.33300000000008</v>
      </c>
      <c r="K11" s="202">
        <v>3.6131654446923824</v>
      </c>
      <c r="L11" s="202">
        <v>8.014419296567846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6"/>
        <v>969.33300000000008</v>
      </c>
      <c r="S11" s="62">
        <f t="shared" si="17"/>
        <v>35.023605000000011</v>
      </c>
      <c r="T11" s="63">
        <f t="shared" si="18"/>
        <v>77.686411000000007</v>
      </c>
      <c r="U11" s="64" t="s">
        <v>167</v>
      </c>
      <c r="V11" s="13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9"/>
        <v>0</v>
      </c>
      <c r="AB11" s="63">
        <f t="shared" si="20"/>
        <v>0</v>
      </c>
      <c r="AC11" s="69"/>
      <c r="AD11" s="70"/>
      <c r="AE11" s="70"/>
      <c r="AF11" s="62">
        <f t="shared" si="21"/>
        <v>0</v>
      </c>
      <c r="AG11" s="63">
        <f t="shared" si="22"/>
        <v>0</v>
      </c>
      <c r="AH11" s="71">
        <v>1322</v>
      </c>
      <c r="AI11" s="71">
        <v>3.66</v>
      </c>
      <c r="AJ11" s="71">
        <v>8.0399999999999991</v>
      </c>
      <c r="AK11" s="62">
        <f t="shared" si="8"/>
        <v>48.385199999999998</v>
      </c>
      <c r="AL11" s="72">
        <f t="shared" si="9"/>
        <v>106.28879999999998</v>
      </c>
      <c r="AM11" s="73">
        <f t="shared" si="23"/>
        <v>0.33300000000008367</v>
      </c>
      <c r="AN11" s="74">
        <f t="shared" si="24"/>
        <v>0.26420500000001113</v>
      </c>
      <c r="AO11" s="74">
        <f t="shared" si="25"/>
        <v>0.13181100000002743</v>
      </c>
      <c r="AP11" s="75">
        <f t="shared" si="26"/>
        <v>3.513583034182503E-3</v>
      </c>
      <c r="AQ11" s="76">
        <f t="shared" si="27"/>
        <v>166.43532247951819</v>
      </c>
      <c r="AR11" s="90">
        <f t="shared" si="28"/>
        <v>0.33300000000008367</v>
      </c>
    </row>
    <row r="12" spans="1:46" x14ac:dyDescent="0.25">
      <c r="A12" t="str">
        <f t="shared" si="13"/>
        <v>46208M</v>
      </c>
      <c r="B12" s="51">
        <f t="shared" si="29"/>
        <v>46208</v>
      </c>
      <c r="C12" s="52" t="s">
        <v>87</v>
      </c>
      <c r="D12" s="91">
        <v>1322</v>
      </c>
      <c r="E12" s="62">
        <v>3.66</v>
      </c>
      <c r="F12" s="62">
        <v>8.0399999999999991</v>
      </c>
      <c r="G12" s="62">
        <f t="shared" si="14"/>
        <v>48.385199999999998</v>
      </c>
      <c r="H12" s="63">
        <f t="shared" si="15"/>
        <v>106.28879999999998</v>
      </c>
      <c r="I12" s="202">
        <v>726.2</v>
      </c>
      <c r="J12" s="202">
        <v>747.9860000000001</v>
      </c>
      <c r="K12" s="202">
        <v>4.3811071330212066</v>
      </c>
      <c r="L12" s="202">
        <v>8.1813963095565949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6"/>
        <v>747.9860000000001</v>
      </c>
      <c r="S12" s="62">
        <f t="shared" si="17"/>
        <v>32.770068000000009</v>
      </c>
      <c r="T12" s="63">
        <f t="shared" si="18"/>
        <v>61.195698999999998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9"/>
        <v>0</v>
      </c>
      <c r="AB12" s="63">
        <f t="shared" si="20"/>
        <v>0</v>
      </c>
      <c r="AC12" s="69"/>
      <c r="AD12" s="70"/>
      <c r="AE12" s="70"/>
      <c r="AF12" s="62">
        <f t="shared" si="21"/>
        <v>0</v>
      </c>
      <c r="AG12" s="63">
        <f t="shared" si="22"/>
        <v>0</v>
      </c>
      <c r="AH12" s="71">
        <v>2070</v>
      </c>
      <c r="AI12" s="71">
        <v>3.91</v>
      </c>
      <c r="AJ12" s="71">
        <v>8.08</v>
      </c>
      <c r="AK12" s="62">
        <f t="shared" si="8"/>
        <v>80.937000000000012</v>
      </c>
      <c r="AL12" s="72">
        <f t="shared" si="9"/>
        <v>167.256</v>
      </c>
      <c r="AM12" s="73">
        <f t="shared" si="23"/>
        <v>-1.4000000000123691E-2</v>
      </c>
      <c r="AN12" s="74">
        <f t="shared" si="24"/>
        <v>0.2182679999999948</v>
      </c>
      <c r="AO12" s="74">
        <f t="shared" si="25"/>
        <v>0.22849899999997092</v>
      </c>
      <c r="AP12" s="75">
        <f t="shared" si="26"/>
        <v>4.7545719495905962E-3</v>
      </c>
      <c r="AQ12" s="76">
        <f t="shared" si="27"/>
        <v>173.31829412835091</v>
      </c>
      <c r="AR12" s="90">
        <f t="shared" si="28"/>
        <v>-1.4000000000123691E-2</v>
      </c>
    </row>
    <row r="13" spans="1:46" x14ac:dyDescent="0.25">
      <c r="A13" t="str">
        <f t="shared" si="13"/>
        <v>46208E</v>
      </c>
      <c r="B13" s="51">
        <f t="shared" si="29"/>
        <v>46208</v>
      </c>
      <c r="C13" s="52" t="s">
        <v>88</v>
      </c>
      <c r="D13" s="91">
        <v>2070</v>
      </c>
      <c r="E13" s="62">
        <v>3.91</v>
      </c>
      <c r="F13" s="62">
        <v>8.08</v>
      </c>
      <c r="G13" s="62">
        <f t="shared" si="14"/>
        <v>80.937000000000012</v>
      </c>
      <c r="H13" s="63">
        <f t="shared" si="15"/>
        <v>167.256</v>
      </c>
      <c r="I13" s="202">
        <v>1107.9999999999993</v>
      </c>
      <c r="J13" s="202">
        <v>1141.2399999999993</v>
      </c>
      <c r="K13" s="202">
        <v>3.6536913357400724</v>
      </c>
      <c r="L13" s="202">
        <v>7.9899819494584845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6"/>
        <v>1141.2399999999993</v>
      </c>
      <c r="S13" s="62">
        <f t="shared" si="17"/>
        <v>41.697386999999978</v>
      </c>
      <c r="T13" s="63">
        <f t="shared" si="18"/>
        <v>91.184869999999947</v>
      </c>
      <c r="U13" s="64" t="s">
        <v>167</v>
      </c>
      <c r="V13" s="13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9"/>
        <v>0</v>
      </c>
      <c r="AB13" s="63">
        <f t="shared" si="20"/>
        <v>0</v>
      </c>
      <c r="AC13" s="69"/>
      <c r="AD13" s="70"/>
      <c r="AE13" s="70"/>
      <c r="AF13" s="62">
        <f t="shared" si="21"/>
        <v>0</v>
      </c>
      <c r="AG13" s="63">
        <f t="shared" si="22"/>
        <v>0</v>
      </c>
      <c r="AH13" s="71">
        <v>3211</v>
      </c>
      <c r="AI13" s="71">
        <v>3.83</v>
      </c>
      <c r="AJ13" s="71">
        <v>8.0399999999999991</v>
      </c>
      <c r="AK13" s="62">
        <f t="shared" si="8"/>
        <v>122.9813</v>
      </c>
      <c r="AL13" s="72">
        <f t="shared" si="9"/>
        <v>258.16439999999994</v>
      </c>
      <c r="AM13" s="73">
        <f t="shared" si="23"/>
        <v>0.23999999999932697</v>
      </c>
      <c r="AN13" s="74">
        <f t="shared" si="24"/>
        <v>-0.3469130000000149</v>
      </c>
      <c r="AO13" s="74">
        <f t="shared" si="25"/>
        <v>0.27647000000001754</v>
      </c>
      <c r="AP13" s="75">
        <f t="shared" si="26"/>
        <v>-5.3011592059275009E-4</v>
      </c>
      <c r="AQ13" s="76">
        <f t="shared" si="27"/>
        <v>-83.902683555389643</v>
      </c>
      <c r="AR13" s="90">
        <f t="shared" si="28"/>
        <v>0.23999999999932697</v>
      </c>
    </row>
    <row r="14" spans="1:46" x14ac:dyDescent="0.25">
      <c r="A14" t="str">
        <f t="shared" si="13"/>
        <v>46209M</v>
      </c>
      <c r="B14" s="51">
        <f t="shared" si="29"/>
        <v>46209</v>
      </c>
      <c r="C14" s="52" t="s">
        <v>87</v>
      </c>
      <c r="D14" s="91">
        <v>3211</v>
      </c>
      <c r="E14" s="62">
        <v>3.83</v>
      </c>
      <c r="F14" s="62">
        <v>8.0399999999999991</v>
      </c>
      <c r="G14" s="62">
        <f t="shared" si="14"/>
        <v>122.9813</v>
      </c>
      <c r="H14" s="63">
        <f t="shared" si="15"/>
        <v>258.16439999999994</v>
      </c>
      <c r="I14" s="202">
        <v>701.49999999999989</v>
      </c>
      <c r="J14" s="202">
        <v>722.54499999999985</v>
      </c>
      <c r="K14" s="202">
        <v>4.3668709907341396</v>
      </c>
      <c r="L14" s="202">
        <v>8.2348396293656414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6"/>
        <v>722.54499999999985</v>
      </c>
      <c r="S14" s="62">
        <f t="shared" si="17"/>
        <v>31.552607999999982</v>
      </c>
      <c r="T14" s="63">
        <f t="shared" si="18"/>
        <v>59.500421999999958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9"/>
        <v>0</v>
      </c>
      <c r="AB14" s="63">
        <f t="shared" si="20"/>
        <v>0</v>
      </c>
      <c r="AC14" s="69"/>
      <c r="AD14" s="70"/>
      <c r="AE14" s="70"/>
      <c r="AF14" s="62">
        <f t="shared" si="21"/>
        <v>0</v>
      </c>
      <c r="AG14" s="63">
        <f t="shared" si="22"/>
        <v>0</v>
      </c>
      <c r="AH14" s="89">
        <v>3933</v>
      </c>
      <c r="AI14" s="71">
        <v>3.91</v>
      </c>
      <c r="AJ14" s="71">
        <v>8.07</v>
      </c>
      <c r="AK14" s="62">
        <f t="shared" si="8"/>
        <v>153.78030000000001</v>
      </c>
      <c r="AL14" s="72">
        <f t="shared" si="9"/>
        <v>317.3931</v>
      </c>
      <c r="AM14" s="73">
        <f t="shared" si="23"/>
        <v>0.54500000000007276</v>
      </c>
      <c r="AN14" s="74">
        <f t="shared" si="24"/>
        <v>0.75360799999998562</v>
      </c>
      <c r="AO14" s="74">
        <f t="shared" si="25"/>
        <v>0.27172199999989743</v>
      </c>
      <c r="AP14" s="75">
        <f t="shared" si="26"/>
        <v>1.1260800436843054E-2</v>
      </c>
      <c r="AQ14" s="76">
        <f t="shared" si="27"/>
        <v>443.51149123859466</v>
      </c>
      <c r="AR14" s="90">
        <f t="shared" si="28"/>
        <v>0.54500000000007276</v>
      </c>
    </row>
    <row r="15" spans="1:46" x14ac:dyDescent="0.25">
      <c r="A15" t="str">
        <f t="shared" si="13"/>
        <v>46209E</v>
      </c>
      <c r="B15" s="51">
        <f t="shared" si="29"/>
        <v>46209</v>
      </c>
      <c r="C15" s="52" t="s">
        <v>88</v>
      </c>
      <c r="D15" s="91">
        <v>3933</v>
      </c>
      <c r="E15" s="62">
        <v>3.91</v>
      </c>
      <c r="F15" s="62">
        <v>8.07</v>
      </c>
      <c r="G15" s="62">
        <f t="shared" si="14"/>
        <v>153.78030000000001</v>
      </c>
      <c r="H15" s="63">
        <f t="shared" si="15"/>
        <v>317.3931</v>
      </c>
      <c r="I15" s="202">
        <v>2317.2000000000003</v>
      </c>
      <c r="J15" s="202">
        <v>2386.7160000000003</v>
      </c>
      <c r="K15" s="202">
        <v>3.7019376834110123</v>
      </c>
      <c r="L15" s="202">
        <v>8.00342223373036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6"/>
        <v>2386.7160000000003</v>
      </c>
      <c r="S15" s="62">
        <f t="shared" si="17"/>
        <v>88.354738999999981</v>
      </c>
      <c r="T15" s="63">
        <f t="shared" si="18"/>
        <v>191.01895899999994</v>
      </c>
      <c r="U15" s="64" t="s">
        <v>171</v>
      </c>
      <c r="V15" s="135" t="s">
        <v>293</v>
      </c>
      <c r="W15" s="66" t="s">
        <v>184</v>
      </c>
      <c r="X15" s="67">
        <v>6280</v>
      </c>
      <c r="Y15" s="68">
        <v>4.2500000000000009</v>
      </c>
      <c r="Z15" s="68">
        <v>8.26</v>
      </c>
      <c r="AA15" s="62">
        <f t="shared" si="19"/>
        <v>266.90000000000009</v>
      </c>
      <c r="AB15" s="63">
        <f t="shared" si="20"/>
        <v>518.72799999999995</v>
      </c>
      <c r="AC15" s="69">
        <v>6290</v>
      </c>
      <c r="AD15" s="70">
        <v>4.1499999999999995</v>
      </c>
      <c r="AE15" s="70">
        <v>8.24</v>
      </c>
      <c r="AF15" s="62">
        <f t="shared" si="21"/>
        <v>261.03499999999997</v>
      </c>
      <c r="AG15" s="63">
        <f t="shared" si="22"/>
        <v>518.29600000000005</v>
      </c>
      <c r="AH15" s="89">
        <v>40</v>
      </c>
      <c r="AI15" s="66">
        <v>3.82</v>
      </c>
      <c r="AJ15" s="66">
        <v>8.0299999999999994</v>
      </c>
      <c r="AK15" s="62">
        <f t="shared" si="8"/>
        <v>1.528</v>
      </c>
      <c r="AL15" s="72">
        <f t="shared" si="9"/>
        <v>3.2119999999999997</v>
      </c>
      <c r="AM15" s="73">
        <f t="shared" si="23"/>
        <v>-10.283999999999651</v>
      </c>
      <c r="AN15" s="74">
        <f t="shared" si="24"/>
        <v>-20.427960999999961</v>
      </c>
      <c r="AO15" s="74">
        <f t="shared" si="25"/>
        <v>-13.095941000000106</v>
      </c>
      <c r="AP15" s="75">
        <f t="shared" si="26"/>
        <v>-0.11999662903127005</v>
      </c>
      <c r="AQ15" s="76">
        <f t="shared" si="27"/>
        <v>-13738.417860354424</v>
      </c>
      <c r="AR15" s="90">
        <f t="shared" si="28"/>
        <v>-0.28399999999965075</v>
      </c>
    </row>
    <row r="16" spans="1:46" x14ac:dyDescent="0.25">
      <c r="A16" t="str">
        <f t="shared" si="13"/>
        <v>46210M</v>
      </c>
      <c r="B16" s="51">
        <f t="shared" si="29"/>
        <v>46210</v>
      </c>
      <c r="C16" s="52" t="s">
        <v>87</v>
      </c>
      <c r="D16" s="79">
        <v>40</v>
      </c>
      <c r="E16" s="62">
        <v>3.82</v>
      </c>
      <c r="F16" s="62">
        <v>8.0299999999999994</v>
      </c>
      <c r="G16" s="62">
        <f t="shared" si="14"/>
        <v>1.528</v>
      </c>
      <c r="H16" s="63">
        <f t="shared" si="15"/>
        <v>3.2119999999999997</v>
      </c>
      <c r="I16" s="202">
        <v>781.2</v>
      </c>
      <c r="J16" s="202">
        <v>804.63600000000008</v>
      </c>
      <c r="K16" s="202">
        <v>4.1878392217101883</v>
      </c>
      <c r="L16" s="202">
        <v>8.1912314388120819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6"/>
        <v>804.63600000000008</v>
      </c>
      <c r="S16" s="62">
        <f t="shared" si="17"/>
        <v>33.696861999999996</v>
      </c>
      <c r="T16" s="63">
        <f t="shared" si="18"/>
        <v>65.909596999999991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9"/>
        <v>0</v>
      </c>
      <c r="AB16" s="63">
        <f t="shared" si="20"/>
        <v>0</v>
      </c>
      <c r="AC16" s="69"/>
      <c r="AD16" s="70"/>
      <c r="AE16" s="70"/>
      <c r="AF16" s="62">
        <f t="shared" si="21"/>
        <v>0</v>
      </c>
      <c r="AG16" s="63">
        <f t="shared" si="22"/>
        <v>0</v>
      </c>
      <c r="AH16" s="96">
        <v>845</v>
      </c>
      <c r="AI16" s="71">
        <v>4.16</v>
      </c>
      <c r="AJ16" s="71">
        <v>8.17</v>
      </c>
      <c r="AK16" s="62">
        <f t="shared" si="8"/>
        <v>35.152000000000001</v>
      </c>
      <c r="AL16" s="72">
        <f t="shared" si="9"/>
        <v>69.03649999999999</v>
      </c>
      <c r="AM16" s="73">
        <f t="shared" si="23"/>
        <v>-0.36399999999991905</v>
      </c>
      <c r="AN16" s="74">
        <f t="shared" si="24"/>
        <v>7.2861999999993543E-2</v>
      </c>
      <c r="AO16" s="74">
        <f t="shared" si="25"/>
        <v>8.5097000000004641E-2</v>
      </c>
      <c r="AP16" s="75">
        <f t="shared" si="26"/>
        <v>1.5858308947615356E-3</v>
      </c>
      <c r="AQ16" s="76">
        <f t="shared" si="27"/>
        <v>60.498356320681495</v>
      </c>
      <c r="AR16" s="90">
        <f t="shared" si="28"/>
        <v>-0.36399999999991905</v>
      </c>
    </row>
    <row r="17" spans="1:48" x14ac:dyDescent="0.25">
      <c r="A17" t="str">
        <f t="shared" si="13"/>
        <v>46210E</v>
      </c>
      <c r="B17" s="51">
        <f t="shared" si="29"/>
        <v>46210</v>
      </c>
      <c r="C17" s="52" t="s">
        <v>88</v>
      </c>
      <c r="D17" s="79">
        <v>845</v>
      </c>
      <c r="E17" s="62">
        <v>4.16</v>
      </c>
      <c r="F17" s="62">
        <v>8.17</v>
      </c>
      <c r="G17" s="62">
        <f t="shared" si="14"/>
        <v>35.152000000000001</v>
      </c>
      <c r="H17" s="63">
        <f t="shared" si="15"/>
        <v>69.03649999999999</v>
      </c>
      <c r="I17" s="202">
        <v>2510.3000000000002</v>
      </c>
      <c r="J17" s="202">
        <v>2585.6090000000004</v>
      </c>
      <c r="K17" s="202">
        <v>3.5684858383460152</v>
      </c>
      <c r="L17" s="202">
        <v>8.0651157232203321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6"/>
        <v>2585.6090000000004</v>
      </c>
      <c r="S17" s="62">
        <f t="shared" si="17"/>
        <v>92.267091000000036</v>
      </c>
      <c r="T17" s="63">
        <f t="shared" si="18"/>
        <v>208.53235800000004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9"/>
        <v>0</v>
      </c>
      <c r="AB17" s="63">
        <f t="shared" si="20"/>
        <v>0</v>
      </c>
      <c r="AC17" s="69"/>
      <c r="AD17" s="70"/>
      <c r="AE17" s="70"/>
      <c r="AF17" s="62">
        <f t="shared" si="21"/>
        <v>0</v>
      </c>
      <c r="AG17" s="63">
        <f t="shared" si="22"/>
        <v>0</v>
      </c>
      <c r="AH17" s="96">
        <v>3431</v>
      </c>
      <c r="AI17" s="66">
        <v>3.7</v>
      </c>
      <c r="AJ17" s="66">
        <v>8.1</v>
      </c>
      <c r="AK17" s="62">
        <f t="shared" si="8"/>
        <v>126.94700000000002</v>
      </c>
      <c r="AL17" s="72">
        <f>AH17*AJ17%</f>
        <v>277.911</v>
      </c>
      <c r="AM17" s="73">
        <f t="shared" si="23"/>
        <v>-0.39099999999962165</v>
      </c>
      <c r="AN17" s="74">
        <f t="shared" si="24"/>
        <v>0.47209100000002024</v>
      </c>
      <c r="AO17" s="74">
        <f t="shared" si="25"/>
        <v>-0.34214199999996708</v>
      </c>
      <c r="AP17" s="75">
        <f t="shared" si="26"/>
        <v>4.3201209454360776E-4</v>
      </c>
      <c r="AQ17" s="76">
        <f t="shared" si="27"/>
        <v>124.3866072975819</v>
      </c>
      <c r="AR17" s="90">
        <f t="shared" si="28"/>
        <v>-0.39099999999962165</v>
      </c>
    </row>
    <row r="18" spans="1:48" x14ac:dyDescent="0.25">
      <c r="A18" t="str">
        <f t="shared" si="13"/>
        <v>46211M</v>
      </c>
      <c r="B18" s="51">
        <f t="shared" si="29"/>
        <v>46211</v>
      </c>
      <c r="C18" s="52" t="s">
        <v>87</v>
      </c>
      <c r="D18" s="79">
        <v>3431</v>
      </c>
      <c r="E18" s="62">
        <v>3.7</v>
      </c>
      <c r="F18" s="62">
        <v>8.1</v>
      </c>
      <c r="G18" s="62">
        <f t="shared" si="14"/>
        <v>126.94700000000002</v>
      </c>
      <c r="H18" s="63">
        <f t="shared" si="15"/>
        <v>277.911</v>
      </c>
      <c r="I18" s="202">
        <v>1047.5</v>
      </c>
      <c r="J18" s="202">
        <v>1078.925</v>
      </c>
      <c r="K18" s="202">
        <v>4.1439809069212412</v>
      </c>
      <c r="L18" s="202">
        <v>8.1644582338902172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6"/>
        <v>1078.925</v>
      </c>
      <c r="S18" s="62">
        <f t="shared" si="17"/>
        <v>44.710446000000005</v>
      </c>
      <c r="T18" s="63">
        <f t="shared" si="18"/>
        <v>88.088381000000027</v>
      </c>
      <c r="U18" s="64" t="s">
        <v>210</v>
      </c>
      <c r="V18" s="65" t="s">
        <v>294</v>
      </c>
      <c r="W18" s="66" t="s">
        <v>260</v>
      </c>
      <c r="X18" s="67">
        <v>4700</v>
      </c>
      <c r="Y18" s="68">
        <v>4.05</v>
      </c>
      <c r="Z18" s="68">
        <v>8.2200000000000006</v>
      </c>
      <c r="AA18" s="62">
        <f t="shared" si="19"/>
        <v>190.35</v>
      </c>
      <c r="AB18" s="63">
        <f t="shared" si="20"/>
        <v>386.34000000000003</v>
      </c>
      <c r="AC18" s="69">
        <v>4790</v>
      </c>
      <c r="AD18" s="70">
        <v>4</v>
      </c>
      <c r="AE18" s="70">
        <v>8.08</v>
      </c>
      <c r="AF18" s="62">
        <f t="shared" si="21"/>
        <v>191.6</v>
      </c>
      <c r="AG18" s="63">
        <f t="shared" si="22"/>
        <v>387.03199999999998</v>
      </c>
      <c r="AH18" s="96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23"/>
        <v>-280.07499999999982</v>
      </c>
      <c r="AN18" s="74">
        <f t="shared" si="24"/>
        <v>-19.942553999999973</v>
      </c>
      <c r="AO18" s="74">
        <f t="shared" si="25"/>
        <v>-21.032618999999954</v>
      </c>
      <c r="AP18" s="75">
        <f t="shared" si="26"/>
        <v>-0.30855071483425017</v>
      </c>
      <c r="AQ18" s="76">
        <f t="shared" si="27"/>
        <v>-15882.128403228018</v>
      </c>
      <c r="AR18" s="90">
        <f t="shared" si="28"/>
        <v>-190.07499999999982</v>
      </c>
    </row>
    <row r="19" spans="1:48" x14ac:dyDescent="0.25">
      <c r="A19" t="str">
        <f t="shared" si="13"/>
        <v>46211E</v>
      </c>
      <c r="B19" s="51">
        <f t="shared" si="29"/>
        <v>46211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14"/>
        <v>0</v>
      </c>
      <c r="H19" s="63">
        <f t="shared" si="15"/>
        <v>0</v>
      </c>
      <c r="I19" s="202">
        <v>2528.6999999999998</v>
      </c>
      <c r="J19" s="202">
        <v>2604.5609999999997</v>
      </c>
      <c r="K19" s="202">
        <v>3.6025190809506862</v>
      </c>
      <c r="L19" s="202">
        <v>7.993182267568316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6"/>
        <v>2604.5609999999997</v>
      </c>
      <c r="S19" s="62">
        <f t="shared" si="17"/>
        <v>93.829806999999988</v>
      </c>
      <c r="T19" s="63">
        <f t="shared" si="18"/>
        <v>208.18730799999997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9"/>
        <v>0</v>
      </c>
      <c r="AB19" s="63">
        <f t="shared" si="20"/>
        <v>0</v>
      </c>
      <c r="AC19" s="69"/>
      <c r="AD19" s="70"/>
      <c r="AE19" s="70"/>
      <c r="AF19" s="62">
        <f t="shared" si="21"/>
        <v>0</v>
      </c>
      <c r="AG19" s="63">
        <f t="shared" si="22"/>
        <v>0</v>
      </c>
      <c r="AH19" s="96">
        <v>2605</v>
      </c>
      <c r="AI19" s="71">
        <v>3.59</v>
      </c>
      <c r="AJ19" s="71">
        <v>8.0500000000000007</v>
      </c>
      <c r="AK19" s="62">
        <f t="shared" si="8"/>
        <v>93.519500000000008</v>
      </c>
      <c r="AL19" s="72">
        <f t="shared" si="9"/>
        <v>209.70250000000001</v>
      </c>
      <c r="AM19" s="73">
        <f t="shared" si="23"/>
        <v>-0.43900000000030559</v>
      </c>
      <c r="AN19" s="74">
        <f t="shared" si="24"/>
        <v>0.31030699999998035</v>
      </c>
      <c r="AO19" s="74">
        <f t="shared" si="25"/>
        <v>-1.5151920000000416</v>
      </c>
      <c r="AP19" s="75">
        <f t="shared" si="26"/>
        <v>-3.9894593390843473E-3</v>
      </c>
      <c r="AQ19" s="76">
        <f t="shared" si="27"/>
        <v>-304.67390210280814</v>
      </c>
      <c r="AR19" s="90">
        <f t="shared" si="28"/>
        <v>-0.43900000000030559</v>
      </c>
    </row>
    <row r="20" spans="1:48" x14ac:dyDescent="0.25">
      <c r="A20" t="str">
        <f t="shared" si="13"/>
        <v>46212M</v>
      </c>
      <c r="B20" s="51">
        <f t="shared" si="29"/>
        <v>46212</v>
      </c>
      <c r="C20" s="52" t="s">
        <v>87</v>
      </c>
      <c r="D20" s="79">
        <v>2605</v>
      </c>
      <c r="E20" s="62">
        <v>3.59</v>
      </c>
      <c r="F20" s="62">
        <v>8.0500000000000007</v>
      </c>
      <c r="G20" s="62">
        <f t="shared" si="14"/>
        <v>93.519500000000008</v>
      </c>
      <c r="H20" s="63">
        <f t="shared" si="15"/>
        <v>209.70250000000001</v>
      </c>
      <c r="I20" s="202">
        <v>1341.4</v>
      </c>
      <c r="J20" s="202">
        <v>1381.6420000000001</v>
      </c>
      <c r="K20" s="202">
        <v>4.003809452810497</v>
      </c>
      <c r="L20" s="202">
        <v>8.11241985984792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6"/>
        <v>1381.6420000000001</v>
      </c>
      <c r="S20" s="62">
        <f t="shared" si="17"/>
        <v>55.318313000000011</v>
      </c>
      <c r="T20" s="63">
        <f t="shared" si="18"/>
        <v>112.08460000000001</v>
      </c>
      <c r="U20" s="64" t="s">
        <v>171</v>
      </c>
      <c r="V20" s="65" t="s">
        <v>382</v>
      </c>
      <c r="W20" s="66" t="s">
        <v>149</v>
      </c>
      <c r="X20" s="67">
        <v>3130</v>
      </c>
      <c r="Y20" s="68">
        <v>3.9</v>
      </c>
      <c r="Z20" s="68">
        <v>8.19</v>
      </c>
      <c r="AA20" s="62">
        <f t="shared" si="19"/>
        <v>122.07</v>
      </c>
      <c r="AB20" s="63">
        <f t="shared" si="20"/>
        <v>256.34699999999998</v>
      </c>
      <c r="AC20" s="69">
        <v>3140</v>
      </c>
      <c r="AD20" s="70">
        <v>3.75</v>
      </c>
      <c r="AE20" s="70">
        <v>8.0299999999999994</v>
      </c>
      <c r="AF20" s="62">
        <f t="shared" si="21"/>
        <v>117.75</v>
      </c>
      <c r="AG20" s="63">
        <f t="shared" si="22"/>
        <v>252.142</v>
      </c>
      <c r="AH20" s="96">
        <v>857</v>
      </c>
      <c r="AI20" s="66">
        <v>3.73</v>
      </c>
      <c r="AJ20" s="66">
        <v>8.07</v>
      </c>
      <c r="AK20" s="62">
        <f t="shared" si="8"/>
        <v>31.966100000000001</v>
      </c>
      <c r="AL20" s="72">
        <f t="shared" si="9"/>
        <v>69.159900000000007</v>
      </c>
      <c r="AM20" s="73">
        <f t="shared" si="23"/>
        <v>-10.358000000000175</v>
      </c>
      <c r="AN20" s="74">
        <f t="shared" si="24"/>
        <v>-0.8782869999999896</v>
      </c>
      <c r="AO20" s="74">
        <f t="shared" si="25"/>
        <v>0.48520000000000607</v>
      </c>
      <c r="AP20" s="75">
        <f t="shared" si="26"/>
        <v>-2.3481491029966935E-3</v>
      </c>
      <c r="AQ20" s="76">
        <f t="shared" si="27"/>
        <v>-276.73240810089158</v>
      </c>
      <c r="AR20" s="90">
        <f t="shared" si="28"/>
        <v>-0.35800000000017462</v>
      </c>
    </row>
    <row r="21" spans="1:48" x14ac:dyDescent="0.25">
      <c r="A21" t="str">
        <f t="shared" si="13"/>
        <v>46212E</v>
      </c>
      <c r="B21" s="51">
        <f t="shared" si="29"/>
        <v>46212</v>
      </c>
      <c r="C21" s="52" t="s">
        <v>88</v>
      </c>
      <c r="D21" s="79">
        <v>857</v>
      </c>
      <c r="E21" s="62">
        <v>3.73</v>
      </c>
      <c r="F21" s="62">
        <v>8.07</v>
      </c>
      <c r="G21" s="62">
        <f t="shared" si="14"/>
        <v>31.966100000000001</v>
      </c>
      <c r="H21" s="63">
        <f t="shared" si="15"/>
        <v>69.159900000000007</v>
      </c>
      <c r="I21" s="202">
        <v>2748.7000000000003</v>
      </c>
      <c r="J21" s="202">
        <v>2831.1610000000005</v>
      </c>
      <c r="K21" s="202">
        <v>3.5977516644231815</v>
      </c>
      <c r="L21" s="202">
        <v>8.0772146833048346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6"/>
        <v>2831.1610000000005</v>
      </c>
      <c r="S21" s="62">
        <f t="shared" si="17"/>
        <v>101.858142</v>
      </c>
      <c r="T21" s="63">
        <f t="shared" si="18"/>
        <v>228.67895200000001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9"/>
        <v>0</v>
      </c>
      <c r="AB21" s="63">
        <f t="shared" si="20"/>
        <v>0</v>
      </c>
      <c r="AC21" s="69"/>
      <c r="AD21" s="70"/>
      <c r="AE21" s="70"/>
      <c r="AF21" s="62">
        <f t="shared" si="21"/>
        <v>0</v>
      </c>
      <c r="AG21" s="63">
        <f t="shared" si="22"/>
        <v>0</v>
      </c>
      <c r="AH21" s="96">
        <v>3688</v>
      </c>
      <c r="AI21" s="66">
        <v>3.63</v>
      </c>
      <c r="AJ21" s="66">
        <v>8.09</v>
      </c>
      <c r="AK21" s="62">
        <f t="shared" si="8"/>
        <v>133.87440000000001</v>
      </c>
      <c r="AL21" s="72">
        <f t="shared" si="9"/>
        <v>298.35919999999999</v>
      </c>
      <c r="AM21" s="73">
        <f t="shared" si="23"/>
        <v>0.16100000000051296</v>
      </c>
      <c r="AN21" s="74">
        <f t="shared" si="24"/>
        <v>-5.0158000000010361E-2</v>
      </c>
      <c r="AO21" s="74">
        <f t="shared" si="25"/>
        <v>-0.52034799999995585</v>
      </c>
      <c r="AP21" s="75">
        <f t="shared" si="26"/>
        <v>-1.7259969012735563E-3</v>
      </c>
      <c r="AQ21" s="76">
        <f t="shared" si="27"/>
        <v>-179.94214505979346</v>
      </c>
      <c r="AR21" s="90">
        <f t="shared" si="28"/>
        <v>0.16100000000051296</v>
      </c>
    </row>
    <row r="22" spans="1:48" x14ac:dyDescent="0.25">
      <c r="A22" t="str">
        <f t="shared" si="13"/>
        <v>46213M</v>
      </c>
      <c r="B22" s="51">
        <f t="shared" si="29"/>
        <v>46213</v>
      </c>
      <c r="C22" s="52" t="s">
        <v>87</v>
      </c>
      <c r="D22" s="79">
        <v>3688</v>
      </c>
      <c r="E22" s="62">
        <v>3.63</v>
      </c>
      <c r="F22" s="62">
        <v>8.09</v>
      </c>
      <c r="G22" s="62">
        <f t="shared" si="14"/>
        <v>133.87440000000001</v>
      </c>
      <c r="H22" s="63">
        <f t="shared" si="15"/>
        <v>298.35919999999999</v>
      </c>
      <c r="I22" s="202">
        <v>800.00000000000011</v>
      </c>
      <c r="J22" s="202">
        <v>824.00000000000011</v>
      </c>
      <c r="K22" s="202">
        <v>4.316537499999999</v>
      </c>
      <c r="L22" s="202">
        <v>8.2663499999999992</v>
      </c>
      <c r="M22" s="58" t="s">
        <v>165</v>
      </c>
      <c r="N22" s="58" t="s">
        <v>427</v>
      </c>
      <c r="O22" s="59">
        <v>2370</v>
      </c>
      <c r="P22" s="56">
        <v>4.2</v>
      </c>
      <c r="Q22" s="60">
        <v>8.15</v>
      </c>
      <c r="R22" s="61">
        <f t="shared" si="16"/>
        <v>3194</v>
      </c>
      <c r="S22" s="62">
        <f t="shared" si="17"/>
        <v>135.10826900000001</v>
      </c>
      <c r="T22" s="63">
        <f t="shared" si="18"/>
        <v>261.269724</v>
      </c>
      <c r="U22" s="64" t="s">
        <v>171</v>
      </c>
      <c r="V22" s="65" t="s">
        <v>512</v>
      </c>
      <c r="W22" s="66" t="s">
        <v>305</v>
      </c>
      <c r="X22" s="67">
        <v>6280</v>
      </c>
      <c r="Y22" s="68">
        <v>4.13</v>
      </c>
      <c r="Z22" s="68">
        <v>8.1999999999999993</v>
      </c>
      <c r="AA22" s="62">
        <f t="shared" si="19"/>
        <v>259.36399999999998</v>
      </c>
      <c r="AB22" s="63">
        <f t="shared" si="20"/>
        <v>514.95999999999992</v>
      </c>
      <c r="AC22" s="69">
        <v>6270</v>
      </c>
      <c r="AD22" s="70">
        <v>4.0758373205741627</v>
      </c>
      <c r="AE22" s="70">
        <v>8.0348803827751194</v>
      </c>
      <c r="AF22" s="62">
        <f t="shared" si="21"/>
        <v>255.55500000000001</v>
      </c>
      <c r="AG22" s="63">
        <f t="shared" si="22"/>
        <v>503.78700000000003</v>
      </c>
      <c r="AH22" s="96">
        <v>602</v>
      </c>
      <c r="AI22" s="66">
        <v>3.9</v>
      </c>
      <c r="AJ22" s="66">
        <v>8.1300000000000008</v>
      </c>
      <c r="AK22" s="62">
        <f t="shared" si="8"/>
        <v>23.478000000000002</v>
      </c>
      <c r="AL22" s="72">
        <f t="shared" si="9"/>
        <v>48.942600000000006</v>
      </c>
      <c r="AM22" s="73">
        <f t="shared" si="23"/>
        <v>10</v>
      </c>
      <c r="AN22" s="74">
        <f t="shared" si="24"/>
        <v>-10.050331000000021</v>
      </c>
      <c r="AO22" s="74">
        <f t="shared" si="25"/>
        <v>6.8993239999999432</v>
      </c>
      <c r="AP22" s="75">
        <f t="shared" si="26"/>
        <v>-7.9495003649208088E-3</v>
      </c>
      <c r="AQ22" s="76">
        <f t="shared" si="27"/>
        <v>-2763.2250311587231</v>
      </c>
      <c r="AR22" s="90">
        <f t="shared" ref="AR22:AR33" si="30">(D22+J22+O22)-(X22+AH22)</f>
        <v>0</v>
      </c>
      <c r="AT22" s="83"/>
      <c r="AU22" s="83"/>
    </row>
    <row r="23" spans="1:48" x14ac:dyDescent="0.25">
      <c r="A23" t="str">
        <f t="shared" si="13"/>
        <v>46213E</v>
      </c>
      <c r="B23" s="51">
        <f t="shared" si="29"/>
        <v>46213</v>
      </c>
      <c r="C23" s="52" t="s">
        <v>88</v>
      </c>
      <c r="D23" s="79">
        <v>602</v>
      </c>
      <c r="E23" s="62">
        <v>3.9</v>
      </c>
      <c r="F23" s="62">
        <v>8.1300000000000008</v>
      </c>
      <c r="G23" s="62">
        <f t="shared" si="14"/>
        <v>23.478000000000002</v>
      </c>
      <c r="H23" s="63">
        <f t="shared" si="15"/>
        <v>48.942600000000006</v>
      </c>
      <c r="I23" s="202">
        <v>2729.3</v>
      </c>
      <c r="J23" s="202">
        <v>2811.1790000000001</v>
      </c>
      <c r="K23" s="202">
        <v>3.6115194372183343</v>
      </c>
      <c r="L23" s="202">
        <v>7.9835928626387718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6"/>
        <v>2811.1790000000001</v>
      </c>
      <c r="S23" s="62">
        <f t="shared" si="17"/>
        <v>101.526276</v>
      </c>
      <c r="T23" s="63">
        <f t="shared" si="18"/>
        <v>224.433086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9"/>
        <v>0</v>
      </c>
      <c r="AB23" s="63">
        <f t="shared" si="20"/>
        <v>0</v>
      </c>
      <c r="AC23" s="69"/>
      <c r="AD23" s="70"/>
      <c r="AE23" s="70"/>
      <c r="AF23" s="62">
        <f t="shared" si="21"/>
        <v>0</v>
      </c>
      <c r="AG23" s="63">
        <f t="shared" si="22"/>
        <v>0</v>
      </c>
      <c r="AH23" s="96">
        <v>3413</v>
      </c>
      <c r="AI23" s="66">
        <v>3.65</v>
      </c>
      <c r="AJ23" s="84">
        <v>8.02</v>
      </c>
      <c r="AK23" s="62">
        <f t="shared" ref="AK23:AK36" si="31">AH23*AI23%</f>
        <v>124.57449999999999</v>
      </c>
      <c r="AL23" s="72">
        <f t="shared" ref="AL23:AL36" si="32">AH23*AJ23%</f>
        <v>273.7226</v>
      </c>
      <c r="AM23" s="73">
        <f t="shared" si="23"/>
        <v>0.17900000000008731</v>
      </c>
      <c r="AN23" s="74">
        <f t="shared" si="24"/>
        <v>0.42977600000001814</v>
      </c>
      <c r="AO23" s="74">
        <f t="shared" si="25"/>
        <v>-0.34691399999996975</v>
      </c>
      <c r="AP23" s="75">
        <f t="shared" si="26"/>
        <v>2.5420960297513529E-4</v>
      </c>
      <c r="AQ23" s="76">
        <f t="shared" si="27"/>
        <v>102.62370107836161</v>
      </c>
      <c r="AR23" s="90">
        <f t="shared" si="30"/>
        <v>0.17900000000008731</v>
      </c>
      <c r="AU23" s="83"/>
    </row>
    <row r="24" spans="1:48" x14ac:dyDescent="0.25">
      <c r="A24" t="str">
        <f t="shared" si="13"/>
        <v>46214M</v>
      </c>
      <c r="B24" s="51">
        <f t="shared" si="29"/>
        <v>46214</v>
      </c>
      <c r="C24" s="52" t="s">
        <v>87</v>
      </c>
      <c r="D24" s="79">
        <v>3413</v>
      </c>
      <c r="E24" s="62">
        <v>3.65</v>
      </c>
      <c r="F24" s="62">
        <v>8.02</v>
      </c>
      <c r="G24" s="62">
        <f t="shared" si="14"/>
        <v>124.57449999999999</v>
      </c>
      <c r="H24" s="63">
        <f t="shared" si="15"/>
        <v>273.7226</v>
      </c>
      <c r="I24" s="202">
        <v>750.1</v>
      </c>
      <c r="J24" s="202">
        <v>772.60300000000007</v>
      </c>
      <c r="K24" s="202">
        <v>4.1676043194240773</v>
      </c>
      <c r="L24" s="202">
        <v>8.2045060658578883</v>
      </c>
      <c r="M24" s="58" t="s">
        <v>149</v>
      </c>
      <c r="N24" s="58" t="s">
        <v>511</v>
      </c>
      <c r="O24" s="59">
        <v>5500</v>
      </c>
      <c r="P24" s="56">
        <v>4.4000000000000004</v>
      </c>
      <c r="Q24" s="60">
        <v>8.4</v>
      </c>
      <c r="R24" s="61">
        <f t="shared" si="16"/>
        <v>6272.6030000000001</v>
      </c>
      <c r="S24" s="62">
        <f t="shared" si="17"/>
        <v>274.19903600000004</v>
      </c>
      <c r="T24" s="63">
        <f t="shared" si="18"/>
        <v>525.38826000000006</v>
      </c>
      <c r="U24" s="64" t="s">
        <v>168</v>
      </c>
      <c r="V24" s="65" t="s">
        <v>513</v>
      </c>
      <c r="W24" s="66" t="s">
        <v>181</v>
      </c>
      <c r="X24" s="67">
        <v>9870</v>
      </c>
      <c r="Y24" s="68">
        <v>4.3</v>
      </c>
      <c r="Z24" s="68">
        <v>8.39</v>
      </c>
      <c r="AA24" s="62">
        <f t="shared" si="19"/>
        <v>424.40999999999997</v>
      </c>
      <c r="AB24" s="63">
        <f t="shared" si="20"/>
        <v>828.09300000000007</v>
      </c>
      <c r="AC24" s="69">
        <v>9810</v>
      </c>
      <c r="AD24" s="70">
        <v>4.2000000000000011</v>
      </c>
      <c r="AE24" s="70">
        <v>8.06</v>
      </c>
      <c r="AF24" s="62">
        <f t="shared" si="21"/>
        <v>412.0200000000001</v>
      </c>
      <c r="AG24" s="63">
        <f t="shared" si="22"/>
        <v>790.68600000000004</v>
      </c>
      <c r="AH24" s="96">
        <v>0</v>
      </c>
      <c r="AI24" s="66">
        <v>0</v>
      </c>
      <c r="AJ24" s="66">
        <v>0</v>
      </c>
      <c r="AK24" s="62">
        <f t="shared" si="31"/>
        <v>0</v>
      </c>
      <c r="AL24" s="72">
        <f t="shared" si="32"/>
        <v>0</v>
      </c>
      <c r="AM24" s="73">
        <f t="shared" si="23"/>
        <v>-124.39700000000084</v>
      </c>
      <c r="AN24" s="74">
        <f t="shared" si="24"/>
        <v>-13.24646400000006</v>
      </c>
      <c r="AO24" s="74">
        <f t="shared" si="25"/>
        <v>8.4248599999999669</v>
      </c>
      <c r="AP24" s="75">
        <f t="shared" si="26"/>
        <v>-6.0301158161473493E-3</v>
      </c>
      <c r="AQ24" s="76">
        <f t="shared" si="27"/>
        <v>-3842.186509464857</v>
      </c>
      <c r="AR24" s="90">
        <f t="shared" si="30"/>
        <v>-184.39700000000084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29"/>
        <v>46214</v>
      </c>
      <c r="C25" s="52" t="s">
        <v>88</v>
      </c>
      <c r="D25" s="79">
        <v>0</v>
      </c>
      <c r="E25" s="62">
        <v>0</v>
      </c>
      <c r="F25" s="62">
        <v>0</v>
      </c>
      <c r="G25" s="62">
        <f t="shared" si="14"/>
        <v>0</v>
      </c>
      <c r="H25" s="63">
        <f t="shared" si="15"/>
        <v>0</v>
      </c>
      <c r="I25" s="202">
        <v>2272.2000000000003</v>
      </c>
      <c r="J25" s="202">
        <v>2340.3660000000004</v>
      </c>
      <c r="K25" s="202">
        <v>3.7428439397940325</v>
      </c>
      <c r="L25" s="202">
        <v>8.1319690168118992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6"/>
        <v>2340.3660000000004</v>
      </c>
      <c r="S25" s="62">
        <f t="shared" si="17"/>
        <v>87.596247000000034</v>
      </c>
      <c r="T25" s="63">
        <f t="shared" si="18"/>
        <v>190.31783799999999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9"/>
        <v>0</v>
      </c>
      <c r="AB25" s="63">
        <f t="shared" si="20"/>
        <v>0</v>
      </c>
      <c r="AC25" s="69"/>
      <c r="AD25" s="70"/>
      <c r="AE25" s="70"/>
      <c r="AF25" s="62">
        <f t="shared" si="21"/>
        <v>0</v>
      </c>
      <c r="AG25" s="63">
        <f t="shared" si="22"/>
        <v>0</v>
      </c>
      <c r="AH25" s="96">
        <v>2340</v>
      </c>
      <c r="AI25" s="66">
        <v>3.7</v>
      </c>
      <c r="AJ25" s="66">
        <v>8.1</v>
      </c>
      <c r="AK25" s="62">
        <f t="shared" si="31"/>
        <v>86.580000000000013</v>
      </c>
      <c r="AL25" s="72">
        <f t="shared" si="32"/>
        <v>189.54</v>
      </c>
      <c r="AM25" s="73">
        <f t="shared" si="23"/>
        <v>0.3660000000004402</v>
      </c>
      <c r="AN25" s="74">
        <f t="shared" si="24"/>
        <v>1.0162470000000212</v>
      </c>
      <c r="AO25" s="74">
        <f t="shared" si="25"/>
        <v>0.77783800000000269</v>
      </c>
      <c r="AP25" s="75">
        <f t="shared" si="26"/>
        <v>6.4555382286580545E-3</v>
      </c>
      <c r="AQ25" s="76">
        <f t="shared" si="27"/>
        <v>721.29531499604968</v>
      </c>
      <c r="AR25" s="90">
        <f t="shared" si="30"/>
        <v>0.3660000000004402</v>
      </c>
    </row>
    <row r="26" spans="1:48" x14ac:dyDescent="0.25">
      <c r="A26" t="str">
        <f t="shared" si="13"/>
        <v>46215M</v>
      </c>
      <c r="B26" s="51">
        <f t="shared" si="29"/>
        <v>46215</v>
      </c>
      <c r="C26" s="52" t="s">
        <v>87</v>
      </c>
      <c r="D26" s="79">
        <v>2340</v>
      </c>
      <c r="E26" s="62">
        <v>3.7</v>
      </c>
      <c r="F26" s="62">
        <v>8.1</v>
      </c>
      <c r="G26" s="62">
        <f t="shared" si="14"/>
        <v>86.580000000000013</v>
      </c>
      <c r="H26" s="63">
        <f t="shared" si="15"/>
        <v>189.54</v>
      </c>
      <c r="I26" s="202">
        <v>912.9</v>
      </c>
      <c r="J26" s="202">
        <v>940.28700000000003</v>
      </c>
      <c r="K26" s="202">
        <v>4.4720889473107679</v>
      </c>
      <c r="L26" s="202">
        <v>8.2641910395443077</v>
      </c>
      <c r="M26" s="58">
        <v>0</v>
      </c>
      <c r="N26" s="58" t="s">
        <v>167</v>
      </c>
      <c r="O26" s="59">
        <v>0</v>
      </c>
      <c r="P26" s="56">
        <v>0</v>
      </c>
      <c r="Q26" s="60">
        <v>0</v>
      </c>
      <c r="R26" s="61">
        <f t="shared" si="16"/>
        <v>940.28700000000003</v>
      </c>
      <c r="S26" s="62">
        <f t="shared" si="17"/>
        <v>42.050471000000002</v>
      </c>
      <c r="T26" s="63">
        <f t="shared" si="18"/>
        <v>77.70711399999999</v>
      </c>
      <c r="U26" s="64" t="s">
        <v>171</v>
      </c>
      <c r="V26" s="65" t="s">
        <v>514</v>
      </c>
      <c r="W26" s="66" t="s">
        <v>149</v>
      </c>
      <c r="X26" s="67">
        <v>3130</v>
      </c>
      <c r="Y26" s="68">
        <v>4.2</v>
      </c>
      <c r="Z26" s="68">
        <v>8.1300000000000008</v>
      </c>
      <c r="AA26" s="62">
        <f t="shared" si="19"/>
        <v>131.46</v>
      </c>
      <c r="AB26" s="63">
        <f t="shared" si="20"/>
        <v>254.46900000000002</v>
      </c>
      <c r="AC26" s="69">
        <v>3120</v>
      </c>
      <c r="AD26" s="70">
        <v>4.2</v>
      </c>
      <c r="AE26" s="70">
        <v>8.1199999999999992</v>
      </c>
      <c r="AF26" s="62">
        <f t="shared" si="21"/>
        <v>131.04000000000002</v>
      </c>
      <c r="AG26" s="63">
        <f t="shared" si="22"/>
        <v>253.34399999999999</v>
      </c>
      <c r="AH26" s="96">
        <v>150</v>
      </c>
      <c r="AI26" s="66">
        <v>3.93</v>
      </c>
      <c r="AJ26" s="66">
        <v>8.15</v>
      </c>
      <c r="AK26" s="62">
        <f t="shared" si="31"/>
        <v>5.8950000000000005</v>
      </c>
      <c r="AL26" s="72">
        <f t="shared" si="32"/>
        <v>12.225</v>
      </c>
      <c r="AM26" s="73">
        <f t="shared" si="23"/>
        <v>10.287000000000262</v>
      </c>
      <c r="AN26" s="74">
        <f t="shared" si="24"/>
        <v>-8.30452900000002</v>
      </c>
      <c r="AO26" s="74">
        <f t="shared" si="25"/>
        <v>1.6781140000000168</v>
      </c>
      <c r="AP26" s="75">
        <f t="shared" si="26"/>
        <v>-5.5331902359253518E-2</v>
      </c>
      <c r="AQ26" s="76">
        <f t="shared" si="27"/>
        <v>-3488.0162636640375</v>
      </c>
      <c r="AR26" s="90">
        <f t="shared" si="30"/>
        <v>0.28700000000026193</v>
      </c>
    </row>
    <row r="27" spans="1:48" x14ac:dyDescent="0.25">
      <c r="A27" t="str">
        <f t="shared" si="13"/>
        <v>46215E</v>
      </c>
      <c r="B27" s="51">
        <f t="shared" si="29"/>
        <v>46215</v>
      </c>
      <c r="C27" s="52" t="s">
        <v>88</v>
      </c>
      <c r="D27" s="79">
        <v>150</v>
      </c>
      <c r="E27" s="62">
        <v>3.93</v>
      </c>
      <c r="F27" s="62">
        <v>8.15</v>
      </c>
      <c r="G27" s="62">
        <f t="shared" si="14"/>
        <v>5.8950000000000005</v>
      </c>
      <c r="H27" s="63">
        <f t="shared" si="15"/>
        <v>12.225</v>
      </c>
      <c r="I27" s="202">
        <v>2707.8</v>
      </c>
      <c r="J27" s="202">
        <v>2789.0340000000001</v>
      </c>
      <c r="K27" s="202">
        <v>3.6124270625600143</v>
      </c>
      <c r="L27" s="202">
        <v>8.0456976142994332</v>
      </c>
      <c r="M27" s="58">
        <v>0</v>
      </c>
      <c r="N27" s="58" t="s">
        <v>167</v>
      </c>
      <c r="O27" s="59">
        <v>0</v>
      </c>
      <c r="P27" s="56">
        <v>0</v>
      </c>
      <c r="Q27" s="60">
        <v>0</v>
      </c>
      <c r="R27" s="61">
        <f t="shared" si="16"/>
        <v>2789.0340000000001</v>
      </c>
      <c r="S27" s="62">
        <f t="shared" si="17"/>
        <v>100.75181900000007</v>
      </c>
      <c r="T27" s="63">
        <f t="shared" si="18"/>
        <v>224.39724200000009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9"/>
        <v>0</v>
      </c>
      <c r="AB27" s="63">
        <f t="shared" si="20"/>
        <v>0</v>
      </c>
      <c r="AC27" s="69"/>
      <c r="AD27" s="70"/>
      <c r="AE27" s="70"/>
      <c r="AF27" s="62">
        <f t="shared" si="21"/>
        <v>0</v>
      </c>
      <c r="AG27" s="63">
        <f t="shared" si="22"/>
        <v>0</v>
      </c>
      <c r="AH27" s="96">
        <v>2939</v>
      </c>
      <c r="AI27" s="66">
        <v>3.61</v>
      </c>
      <c r="AJ27" s="66">
        <v>8.01</v>
      </c>
      <c r="AK27" s="62">
        <f t="shared" si="31"/>
        <v>106.0979</v>
      </c>
      <c r="AL27" s="72">
        <f t="shared" si="32"/>
        <v>235.41390000000001</v>
      </c>
      <c r="AM27" s="73">
        <f t="shared" si="23"/>
        <v>3.4000000000105501E-2</v>
      </c>
      <c r="AN27" s="74">
        <f t="shared" si="24"/>
        <v>0.54891900000006899</v>
      </c>
      <c r="AO27" s="74">
        <f t="shared" si="25"/>
        <v>1.2083420000000729</v>
      </c>
      <c r="AP27" s="75">
        <f t="shared" si="26"/>
        <v>5.4044781633250383E-3</v>
      </c>
      <c r="AQ27" s="76">
        <f t="shared" si="27"/>
        <v>625.66111657347597</v>
      </c>
      <c r="AR27" s="90">
        <f t="shared" si="30"/>
        <v>3.4000000000105501E-2</v>
      </c>
    </row>
    <row r="28" spans="1:48" x14ac:dyDescent="0.25">
      <c r="A28" t="str">
        <f t="shared" si="13"/>
        <v>46216M</v>
      </c>
      <c r="B28" s="51">
        <f t="shared" si="29"/>
        <v>46216</v>
      </c>
      <c r="C28" s="52" t="s">
        <v>87</v>
      </c>
      <c r="D28" s="79">
        <v>2939</v>
      </c>
      <c r="E28" s="62">
        <v>3.61</v>
      </c>
      <c r="F28" s="62">
        <v>8.01</v>
      </c>
      <c r="G28" s="62">
        <f t="shared" si="14"/>
        <v>106.0979</v>
      </c>
      <c r="H28" s="63">
        <f t="shared" si="15"/>
        <v>235.41390000000001</v>
      </c>
      <c r="I28" s="202">
        <v>1386.6000000000001</v>
      </c>
      <c r="J28" s="202">
        <v>1428.1980000000001</v>
      </c>
      <c r="K28" s="202">
        <v>4.2591807298427806</v>
      </c>
      <c r="L28" s="202">
        <v>8.0816385403144384</v>
      </c>
      <c r="M28" s="58">
        <v>0</v>
      </c>
      <c r="N28" s="58" t="s">
        <v>167</v>
      </c>
      <c r="O28" s="59">
        <v>0</v>
      </c>
      <c r="P28" s="56">
        <v>0</v>
      </c>
      <c r="Q28" s="60">
        <v>0</v>
      </c>
      <c r="R28" s="61">
        <f t="shared" si="16"/>
        <v>1428.1980000000001</v>
      </c>
      <c r="S28" s="62">
        <f t="shared" si="17"/>
        <v>60.829534000000002</v>
      </c>
      <c r="T28" s="63">
        <f t="shared" si="18"/>
        <v>115.4218</v>
      </c>
      <c r="U28" s="64" t="s">
        <v>169</v>
      </c>
      <c r="V28" s="65" t="s">
        <v>515</v>
      </c>
      <c r="W28" s="66" t="s">
        <v>149</v>
      </c>
      <c r="X28" s="67">
        <v>4450</v>
      </c>
      <c r="Y28" s="68">
        <v>4</v>
      </c>
      <c r="Z28" s="68">
        <v>8.1</v>
      </c>
      <c r="AA28" s="62">
        <f t="shared" si="19"/>
        <v>178</v>
      </c>
      <c r="AB28" s="63">
        <f t="shared" si="20"/>
        <v>360.45</v>
      </c>
      <c r="AC28" s="69">
        <v>4450</v>
      </c>
      <c r="AD28" s="70">
        <v>3.9668539325842698</v>
      </c>
      <c r="AE28" s="70">
        <v>8.006629213483146</v>
      </c>
      <c r="AF28" s="62">
        <f t="shared" si="21"/>
        <v>176.52500000000001</v>
      </c>
      <c r="AG28" s="63">
        <f t="shared" si="22"/>
        <v>356.29500000000002</v>
      </c>
      <c r="AH28" s="96">
        <v>0</v>
      </c>
      <c r="AI28" s="66">
        <v>0</v>
      </c>
      <c r="AJ28" s="66">
        <v>0</v>
      </c>
      <c r="AK28" s="62">
        <f t="shared" si="31"/>
        <v>0</v>
      </c>
      <c r="AL28" s="72">
        <f t="shared" si="32"/>
        <v>0</v>
      </c>
      <c r="AM28" s="73">
        <f t="shared" si="23"/>
        <v>-82.80199999999968</v>
      </c>
      <c r="AN28" s="74">
        <f t="shared" si="24"/>
        <v>-9.5975660000000005</v>
      </c>
      <c r="AO28" s="74">
        <f t="shared" si="25"/>
        <v>-5.4592999999999847</v>
      </c>
      <c r="AP28" s="75">
        <f t="shared" si="26"/>
        <v>-8.542838036051395E-2</v>
      </c>
      <c r="AQ28" s="76">
        <f t="shared" si="27"/>
        <v>-6246.954577989658</v>
      </c>
      <c r="AR28" s="90">
        <f t="shared" si="30"/>
        <v>-82.80199999999968</v>
      </c>
    </row>
    <row r="29" spans="1:48" x14ac:dyDescent="0.25">
      <c r="A29" t="str">
        <f t="shared" si="13"/>
        <v>46216E</v>
      </c>
      <c r="B29" s="51">
        <f t="shared" si="29"/>
        <v>46216</v>
      </c>
      <c r="C29" s="52" t="s">
        <v>88</v>
      </c>
      <c r="D29" s="79">
        <v>0</v>
      </c>
      <c r="E29" s="62">
        <v>0</v>
      </c>
      <c r="F29" s="62">
        <v>0</v>
      </c>
      <c r="G29" s="62">
        <f t="shared" si="14"/>
        <v>0</v>
      </c>
      <c r="H29" s="63">
        <f t="shared" si="15"/>
        <v>0</v>
      </c>
      <c r="I29" s="202">
        <v>2711.8000000000011</v>
      </c>
      <c r="J29" s="202">
        <v>2793.1540000000014</v>
      </c>
      <c r="K29" s="202">
        <v>3.7569142267128859</v>
      </c>
      <c r="L29" s="202">
        <v>8.0173242864518031</v>
      </c>
      <c r="M29" s="58">
        <v>0</v>
      </c>
      <c r="N29" s="58" t="s">
        <v>167</v>
      </c>
      <c r="O29" s="59">
        <v>0</v>
      </c>
      <c r="P29" s="56">
        <v>0</v>
      </c>
      <c r="Q29" s="60">
        <v>0</v>
      </c>
      <c r="R29" s="61">
        <f t="shared" si="16"/>
        <v>2793.1540000000014</v>
      </c>
      <c r="S29" s="62">
        <f t="shared" si="17"/>
        <v>104.93640000000009</v>
      </c>
      <c r="T29" s="63">
        <f t="shared" si="18"/>
        <v>223.93621400000012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9"/>
        <v>0</v>
      </c>
      <c r="AB29" s="63">
        <f t="shared" si="20"/>
        <v>0</v>
      </c>
      <c r="AC29" s="69"/>
      <c r="AD29" s="70"/>
      <c r="AE29" s="70"/>
      <c r="AF29" s="62">
        <f t="shared" si="21"/>
        <v>0</v>
      </c>
      <c r="AG29" s="63">
        <f t="shared" si="22"/>
        <v>0</v>
      </c>
      <c r="AH29" s="96">
        <v>2793</v>
      </c>
      <c r="AI29" s="66">
        <v>3.8</v>
      </c>
      <c r="AJ29" s="66">
        <v>8</v>
      </c>
      <c r="AK29" s="62">
        <f t="shared" si="31"/>
        <v>106.134</v>
      </c>
      <c r="AL29" s="72">
        <f t="shared" si="32"/>
        <v>223.44</v>
      </c>
      <c r="AM29" s="73">
        <f t="shared" si="23"/>
        <v>0.1540000000013606</v>
      </c>
      <c r="AN29" s="74">
        <f t="shared" si="24"/>
        <v>-1.197599999999909</v>
      </c>
      <c r="AO29" s="74">
        <f t="shared" si="25"/>
        <v>0.49621400000012272</v>
      </c>
      <c r="AP29" s="75">
        <f t="shared" si="26"/>
        <v>-2.1326981029797325E-3</v>
      </c>
      <c r="AQ29" s="76">
        <f t="shared" si="27"/>
        <v>-426.87410214988654</v>
      </c>
      <c r="AR29" s="90">
        <f t="shared" si="30"/>
        <v>0.1540000000013606</v>
      </c>
    </row>
    <row r="30" spans="1:48" x14ac:dyDescent="0.25">
      <c r="A30" t="str">
        <f t="shared" si="13"/>
        <v>46217M</v>
      </c>
      <c r="B30" s="51">
        <f t="shared" si="29"/>
        <v>46217</v>
      </c>
      <c r="C30" s="52" t="s">
        <v>87</v>
      </c>
      <c r="D30" s="79">
        <v>2793</v>
      </c>
      <c r="E30" s="62">
        <v>3.8</v>
      </c>
      <c r="F30" s="62">
        <v>8</v>
      </c>
      <c r="G30" s="62">
        <f t="shared" si="14"/>
        <v>106.134</v>
      </c>
      <c r="H30" s="63">
        <f t="shared" si="15"/>
        <v>223.44</v>
      </c>
      <c r="I30" s="202">
        <v>946.90000000000009</v>
      </c>
      <c r="J30" s="202">
        <v>975.30700000000013</v>
      </c>
      <c r="K30" s="202">
        <v>4.453986693420636</v>
      </c>
      <c r="L30" s="202">
        <v>8.2601541873481903</v>
      </c>
      <c r="M30" s="58">
        <v>0</v>
      </c>
      <c r="N30" s="58" t="s">
        <v>167</v>
      </c>
      <c r="O30" s="59">
        <v>0</v>
      </c>
      <c r="P30" s="56">
        <v>0</v>
      </c>
      <c r="Q30" s="60">
        <v>0</v>
      </c>
      <c r="R30" s="61">
        <f t="shared" si="16"/>
        <v>975.30700000000013</v>
      </c>
      <c r="S30" s="62">
        <f t="shared" si="17"/>
        <v>43.440044000000007</v>
      </c>
      <c r="T30" s="63">
        <f t="shared" si="18"/>
        <v>80.561862000000019</v>
      </c>
      <c r="U30" s="64" t="s">
        <v>171</v>
      </c>
      <c r="V30" s="65" t="s">
        <v>565</v>
      </c>
      <c r="W30" s="66" t="s">
        <v>149</v>
      </c>
      <c r="X30" s="67">
        <v>3130</v>
      </c>
      <c r="Y30" s="68">
        <v>4.1500000000000004</v>
      </c>
      <c r="Z30" s="68">
        <v>8.24</v>
      </c>
      <c r="AA30" s="62">
        <f t="shared" si="19"/>
        <v>129.89500000000001</v>
      </c>
      <c r="AB30" s="63">
        <f t="shared" si="20"/>
        <v>257.91199999999998</v>
      </c>
      <c r="AC30" s="69">
        <v>3120</v>
      </c>
      <c r="AD30" s="70">
        <v>4</v>
      </c>
      <c r="AE30" s="70">
        <v>8.2100000000000009</v>
      </c>
      <c r="AF30" s="62">
        <f t="shared" si="21"/>
        <v>124.8</v>
      </c>
      <c r="AG30" s="63">
        <f t="shared" si="22"/>
        <v>256.15200000000004</v>
      </c>
      <c r="AH30" s="96">
        <v>638</v>
      </c>
      <c r="AI30" s="66">
        <v>3.98</v>
      </c>
      <c r="AJ30" s="66">
        <v>8.0500000000000007</v>
      </c>
      <c r="AK30" s="62">
        <f t="shared" si="31"/>
        <v>25.392400000000002</v>
      </c>
      <c r="AL30" s="72">
        <f t="shared" si="32"/>
        <v>51.359000000000002</v>
      </c>
      <c r="AM30" s="73">
        <f t="shared" si="23"/>
        <v>10.307000000000244</v>
      </c>
      <c r="AN30" s="74">
        <f t="shared" si="24"/>
        <v>-0.61835599999998436</v>
      </c>
      <c r="AO30" s="74">
        <f t="shared" si="25"/>
        <v>-3.5091380000000285</v>
      </c>
      <c r="AP30" s="75">
        <f t="shared" si="26"/>
        <v>-3.328573030159724E-2</v>
      </c>
      <c r="AQ30" s="76">
        <f t="shared" si="27"/>
        <v>-1348.0957741377838</v>
      </c>
      <c r="AR30" s="90">
        <f t="shared" si="30"/>
        <v>0.30700000000024374</v>
      </c>
    </row>
    <row r="31" spans="1:48" x14ac:dyDescent="0.25">
      <c r="A31" t="str">
        <f t="shared" si="13"/>
        <v>46217E</v>
      </c>
      <c r="B31" s="51">
        <f t="shared" si="29"/>
        <v>46217</v>
      </c>
      <c r="C31" s="52" t="s">
        <v>88</v>
      </c>
      <c r="D31" s="79">
        <v>638</v>
      </c>
      <c r="E31" s="62">
        <v>3.98</v>
      </c>
      <c r="F31" s="62">
        <v>8.0500000000000007</v>
      </c>
      <c r="G31" s="62">
        <f t="shared" si="14"/>
        <v>25.392400000000002</v>
      </c>
      <c r="H31" s="63">
        <f t="shared" si="15"/>
        <v>51.359000000000002</v>
      </c>
      <c r="I31" s="202">
        <v>1189.8</v>
      </c>
      <c r="J31" s="202">
        <v>1225.4939999999999</v>
      </c>
      <c r="K31" s="202">
        <v>3.680694234325097</v>
      </c>
      <c r="L31" s="202">
        <v>7.9810808539250297</v>
      </c>
      <c r="M31" s="58">
        <v>0</v>
      </c>
      <c r="N31" s="58" t="s">
        <v>167</v>
      </c>
      <c r="O31" s="59">
        <v>0</v>
      </c>
      <c r="P31" s="56">
        <v>0</v>
      </c>
      <c r="Q31" s="60">
        <v>0</v>
      </c>
      <c r="R31" s="61">
        <f t="shared" si="16"/>
        <v>1225.4939999999999</v>
      </c>
      <c r="S31" s="62">
        <f t="shared" si="17"/>
        <v>45.106687000000001</v>
      </c>
      <c r="T31" s="63">
        <f t="shared" si="18"/>
        <v>97.807666999999995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9"/>
        <v>0</v>
      </c>
      <c r="AB31" s="63">
        <f t="shared" si="20"/>
        <v>0</v>
      </c>
      <c r="AC31" s="69"/>
      <c r="AD31" s="70"/>
      <c r="AE31" s="70"/>
      <c r="AF31" s="62">
        <f t="shared" si="21"/>
        <v>0</v>
      </c>
      <c r="AG31" s="63">
        <f t="shared" si="22"/>
        <v>0</v>
      </c>
      <c r="AH31" s="96">
        <v>1863</v>
      </c>
      <c r="AI31" s="66">
        <v>3.79</v>
      </c>
      <c r="AJ31" s="66">
        <v>8</v>
      </c>
      <c r="AK31" s="62">
        <f t="shared" si="31"/>
        <v>70.607700000000008</v>
      </c>
      <c r="AL31" s="72">
        <f t="shared" si="32"/>
        <v>149.04</v>
      </c>
      <c r="AM31" s="73">
        <f t="shared" si="23"/>
        <v>0.49399999999991451</v>
      </c>
      <c r="AN31" s="74">
        <f t="shared" si="24"/>
        <v>-0.1086130000000054</v>
      </c>
      <c r="AO31" s="74">
        <f t="shared" si="25"/>
        <v>0.12666699999999764</v>
      </c>
      <c r="AP31" s="75">
        <f t="shared" si="26"/>
        <v>1.2632740865198356E-4</v>
      </c>
      <c r="AQ31" s="76">
        <f t="shared" si="27"/>
        <v>-14.256442619298099</v>
      </c>
      <c r="AR31" s="90">
        <f t="shared" si="30"/>
        <v>0.49399999999991451</v>
      </c>
    </row>
    <row r="32" spans="1:48" x14ac:dyDescent="0.25">
      <c r="A32" t="str">
        <f t="shared" si="13"/>
        <v>46218M</v>
      </c>
      <c r="B32" s="51">
        <f t="shared" si="29"/>
        <v>46218</v>
      </c>
      <c r="C32" s="52" t="s">
        <v>87</v>
      </c>
      <c r="D32" s="79">
        <v>1863</v>
      </c>
      <c r="E32" s="62">
        <v>3.79</v>
      </c>
      <c r="F32" s="62">
        <v>8</v>
      </c>
      <c r="G32" s="62">
        <f t="shared" si="14"/>
        <v>70.607700000000008</v>
      </c>
      <c r="H32" s="63">
        <f t="shared" si="15"/>
        <v>149.04</v>
      </c>
      <c r="I32" s="202">
        <v>2179.4</v>
      </c>
      <c r="J32" s="202">
        <v>2244.7820000000002</v>
      </c>
      <c r="K32" s="202">
        <v>3.9202808112324501</v>
      </c>
      <c r="L32" s="202">
        <v>8.1493163255942012</v>
      </c>
      <c r="M32" s="58">
        <v>0</v>
      </c>
      <c r="N32" s="58" t="s">
        <v>167</v>
      </c>
      <c r="O32" s="59">
        <v>0</v>
      </c>
      <c r="P32" s="56">
        <v>0</v>
      </c>
      <c r="Q32" s="60">
        <v>0</v>
      </c>
      <c r="R32" s="61">
        <f t="shared" si="16"/>
        <v>2244.7820000000002</v>
      </c>
      <c r="S32" s="62">
        <f t="shared" si="17"/>
        <v>88.001758000000024</v>
      </c>
      <c r="T32" s="63">
        <f t="shared" si="18"/>
        <v>182.93438600000002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9"/>
        <v>0</v>
      </c>
      <c r="AB32" s="63">
        <f t="shared" si="20"/>
        <v>0</v>
      </c>
      <c r="AC32" s="69"/>
      <c r="AD32" s="70"/>
      <c r="AE32" s="70"/>
      <c r="AF32" s="62">
        <f t="shared" si="21"/>
        <v>0</v>
      </c>
      <c r="AG32" s="63">
        <f t="shared" si="22"/>
        <v>0</v>
      </c>
      <c r="AH32" s="96">
        <v>4107</v>
      </c>
      <c r="AI32" s="66">
        <v>3.85</v>
      </c>
      <c r="AJ32" s="66">
        <v>8.0500000000000007</v>
      </c>
      <c r="AK32" s="62">
        <f t="shared" si="31"/>
        <v>158.11949999999999</v>
      </c>
      <c r="AL32" s="72">
        <f t="shared" si="32"/>
        <v>330.61349999999999</v>
      </c>
      <c r="AM32" s="73">
        <f t="shared" si="23"/>
        <v>0.7820000000001528</v>
      </c>
      <c r="AN32" s="74">
        <f t="shared" si="24"/>
        <v>0.48995800000002987</v>
      </c>
      <c r="AO32" s="74">
        <f t="shared" si="25"/>
        <v>1.3608859999999936</v>
      </c>
      <c r="AP32" s="75">
        <f t="shared" si="26"/>
        <v>6.8312923210423464E-3</v>
      </c>
      <c r="AQ32" s="76">
        <f t="shared" si="27"/>
        <v>643.01400707898665</v>
      </c>
      <c r="AR32" s="90">
        <f t="shared" si="30"/>
        <v>0.7820000000001528</v>
      </c>
    </row>
    <row r="33" spans="1:44" x14ac:dyDescent="0.25">
      <c r="A33" t="str">
        <f t="shared" si="13"/>
        <v>46218E</v>
      </c>
      <c r="B33" s="51">
        <f t="shared" si="29"/>
        <v>46218</v>
      </c>
      <c r="C33" s="52" t="s">
        <v>88</v>
      </c>
      <c r="D33" s="79">
        <v>4107</v>
      </c>
      <c r="E33" s="62">
        <v>3.85</v>
      </c>
      <c r="F33" s="62">
        <v>8.0500000000000007</v>
      </c>
      <c r="G33" s="62">
        <f t="shared" si="14"/>
        <v>158.11949999999999</v>
      </c>
      <c r="H33" s="63">
        <f t="shared" si="15"/>
        <v>330.61349999999999</v>
      </c>
      <c r="I33" s="202">
        <v>2559.6999999999998</v>
      </c>
      <c r="J33" s="202">
        <v>2636.491</v>
      </c>
      <c r="K33" s="202">
        <v>3.6699769504238788</v>
      </c>
      <c r="L33" s="202">
        <v>7.9895729968355669</v>
      </c>
      <c r="M33" s="58">
        <v>0</v>
      </c>
      <c r="N33" s="58" t="s">
        <v>167</v>
      </c>
      <c r="O33" s="59">
        <v>0</v>
      </c>
      <c r="P33" s="56">
        <v>0</v>
      </c>
      <c r="Q33" s="60">
        <v>0</v>
      </c>
      <c r="R33" s="61">
        <f t="shared" si="16"/>
        <v>2636.491</v>
      </c>
      <c r="S33" s="62">
        <f t="shared" si="17"/>
        <v>96.758612000000028</v>
      </c>
      <c r="T33" s="63">
        <f t="shared" si="18"/>
        <v>210.644373</v>
      </c>
      <c r="U33" s="64" t="s">
        <v>171</v>
      </c>
      <c r="V33" s="85" t="s">
        <v>566</v>
      </c>
      <c r="W33" s="66" t="s">
        <v>149</v>
      </c>
      <c r="X33" s="67">
        <v>3130</v>
      </c>
      <c r="Y33" s="68">
        <v>4</v>
      </c>
      <c r="Z33" s="68">
        <v>8.27</v>
      </c>
      <c r="AA33" s="62">
        <f t="shared" si="19"/>
        <v>125.2</v>
      </c>
      <c r="AB33" s="63">
        <f t="shared" si="20"/>
        <v>258.851</v>
      </c>
      <c r="AC33" s="69">
        <v>3130</v>
      </c>
      <c r="AD33" s="70">
        <v>3.8</v>
      </c>
      <c r="AE33" s="70">
        <v>8.17</v>
      </c>
      <c r="AF33" s="62">
        <f t="shared" si="21"/>
        <v>118.94</v>
      </c>
      <c r="AG33" s="63">
        <f t="shared" si="22"/>
        <v>255.72099999999998</v>
      </c>
      <c r="AH33" s="96">
        <v>3613</v>
      </c>
      <c r="AI33" s="66">
        <v>3.79</v>
      </c>
      <c r="AJ33" s="66">
        <v>8.0299999999999994</v>
      </c>
      <c r="AK33" s="62">
        <f t="shared" si="31"/>
        <v>136.93270000000001</v>
      </c>
      <c r="AL33" s="72">
        <f t="shared" si="32"/>
        <v>290.12389999999999</v>
      </c>
      <c r="AM33" s="73">
        <f t="shared" si="23"/>
        <v>0.49099999999998545</v>
      </c>
      <c r="AN33" s="74">
        <f t="shared" si="24"/>
        <v>-0.99458799999999314</v>
      </c>
      <c r="AO33" s="74">
        <f t="shared" si="25"/>
        <v>-4.5870269999999778</v>
      </c>
      <c r="AP33" s="75">
        <f t="shared" si="26"/>
        <v>-1.8157322057233666E-2</v>
      </c>
      <c r="AQ33" s="76">
        <f t="shared" si="27"/>
        <v>-1851.7056547258612</v>
      </c>
      <c r="AR33" s="90">
        <f t="shared" si="30"/>
        <v>0.49099999999998545</v>
      </c>
    </row>
    <row r="34" spans="1:44" x14ac:dyDescent="0.25">
      <c r="A34" t="str">
        <f t="shared" si="13"/>
        <v>46219M</v>
      </c>
      <c r="B34" s="51">
        <f t="shared" si="29"/>
        <v>46219</v>
      </c>
      <c r="C34" s="52" t="s">
        <v>87</v>
      </c>
      <c r="D34" s="79">
        <v>3613</v>
      </c>
      <c r="E34" s="62">
        <v>3.79</v>
      </c>
      <c r="F34" s="62">
        <v>8.0299999999999994</v>
      </c>
      <c r="G34" s="62">
        <f t="shared" si="14"/>
        <v>136.93270000000001</v>
      </c>
      <c r="H34" s="63">
        <f t="shared" si="15"/>
        <v>290.12389999999999</v>
      </c>
      <c r="I34" s="202">
        <v>870.5</v>
      </c>
      <c r="J34" s="202">
        <v>896.61500000000001</v>
      </c>
      <c r="K34" s="202">
        <v>4.3572085008615726</v>
      </c>
      <c r="L34" s="202">
        <v>8.270878805284319</v>
      </c>
      <c r="M34" s="58">
        <v>0</v>
      </c>
      <c r="N34" s="58" t="s">
        <v>167</v>
      </c>
      <c r="O34" s="59">
        <v>0</v>
      </c>
      <c r="P34" s="56">
        <v>0</v>
      </c>
      <c r="Q34" s="60">
        <v>0</v>
      </c>
      <c r="R34" s="61">
        <f t="shared" si="16"/>
        <v>896.61500000000001</v>
      </c>
      <c r="S34" s="62">
        <f t="shared" si="17"/>
        <v>39.067384999999994</v>
      </c>
      <c r="T34" s="63">
        <f t="shared" si="18"/>
        <v>74.157939999999996</v>
      </c>
      <c r="U34" s="64" t="s">
        <v>174</v>
      </c>
      <c r="V34" s="65" t="s">
        <v>567</v>
      </c>
      <c r="W34" s="66" t="s">
        <v>30</v>
      </c>
      <c r="X34" s="67">
        <v>3470</v>
      </c>
      <c r="Y34" s="68">
        <v>4.0999999999999996</v>
      </c>
      <c r="Z34" s="68">
        <v>8.23</v>
      </c>
      <c r="AA34" s="62">
        <f t="shared" si="19"/>
        <v>142.26999999999998</v>
      </c>
      <c r="AB34" s="63">
        <f t="shared" si="20"/>
        <v>285.58100000000002</v>
      </c>
      <c r="AC34" s="69">
        <v>3490</v>
      </c>
      <c r="AD34" s="70">
        <v>4.05</v>
      </c>
      <c r="AE34" s="70">
        <v>8.09</v>
      </c>
      <c r="AF34" s="62">
        <f t="shared" si="21"/>
        <v>141.345</v>
      </c>
      <c r="AG34" s="63">
        <f t="shared" si="22"/>
        <v>282.34100000000001</v>
      </c>
      <c r="AH34" s="96">
        <v>1039</v>
      </c>
      <c r="AI34" s="66">
        <v>3.91</v>
      </c>
      <c r="AJ34" s="66">
        <v>8.08</v>
      </c>
      <c r="AK34" s="62">
        <f t="shared" si="31"/>
        <v>40.624900000000004</v>
      </c>
      <c r="AL34" s="72">
        <f t="shared" si="32"/>
        <v>83.9512</v>
      </c>
      <c r="AM34" s="73">
        <f t="shared" si="23"/>
        <v>-19.385000000000218</v>
      </c>
      <c r="AN34" s="74">
        <f t="shared" si="24"/>
        <v>-5.9698149999999899</v>
      </c>
      <c r="AO34" s="74">
        <f t="shared" si="25"/>
        <v>-2.0103600000000199</v>
      </c>
      <c r="AP34" s="75">
        <f t="shared" si="26"/>
        <v>-7.0480477755307927E-2</v>
      </c>
      <c r="AQ34" s="76">
        <f t="shared" si="27"/>
        <v>-3470.7753263879158</v>
      </c>
      <c r="AR34" s="77">
        <f>(D34+J34+O34)-(X34+AH34)</f>
        <v>0.61499999999978172</v>
      </c>
    </row>
    <row r="35" spans="1:44" x14ac:dyDescent="0.25">
      <c r="A35" t="str">
        <f t="shared" si="13"/>
        <v>46219E</v>
      </c>
      <c r="B35" s="51">
        <f t="shared" si="29"/>
        <v>46219</v>
      </c>
      <c r="C35" s="52" t="s">
        <v>88</v>
      </c>
      <c r="D35" s="79">
        <v>1039</v>
      </c>
      <c r="E35" s="62">
        <v>3.91</v>
      </c>
      <c r="F35" s="62">
        <v>8.08</v>
      </c>
      <c r="G35" s="62">
        <f t="shared" si="14"/>
        <v>40.624900000000004</v>
      </c>
      <c r="H35" s="63">
        <f t="shared" si="15"/>
        <v>83.9512</v>
      </c>
      <c r="I35" s="202">
        <v>2527.1999999999998</v>
      </c>
      <c r="J35" s="202">
        <v>2603.0160000000001</v>
      </c>
      <c r="K35" s="202">
        <v>3.7957146248812919</v>
      </c>
      <c r="L35" s="202">
        <v>8.0306663501107955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6"/>
        <v>2603.0160000000001</v>
      </c>
      <c r="S35" s="62">
        <f t="shared" si="17"/>
        <v>98.803059000000005</v>
      </c>
      <c r="T35" s="63">
        <f t="shared" si="18"/>
        <v>209.03953000000004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9"/>
        <v>0</v>
      </c>
      <c r="AB35" s="63">
        <f t="shared" si="20"/>
        <v>0</v>
      </c>
      <c r="AC35" s="69"/>
      <c r="AD35" s="70"/>
      <c r="AE35" s="70"/>
      <c r="AF35" s="62">
        <f t="shared" si="21"/>
        <v>0</v>
      </c>
      <c r="AG35" s="63">
        <f t="shared" si="22"/>
        <v>0</v>
      </c>
      <c r="AH35" s="96">
        <v>3642</v>
      </c>
      <c r="AI35" s="66">
        <v>3.83</v>
      </c>
      <c r="AJ35" s="66">
        <v>8.0299999999999994</v>
      </c>
      <c r="AK35" s="62">
        <f t="shared" si="31"/>
        <v>139.48859999999999</v>
      </c>
      <c r="AL35" s="72">
        <f t="shared" si="32"/>
        <v>292.45259999999996</v>
      </c>
      <c r="AM35" s="73">
        <f t="shared" si="23"/>
        <v>1.6000000000076398E-2</v>
      </c>
      <c r="AN35" s="74">
        <f t="shared" si="24"/>
        <v>-6.064099999997552E-2</v>
      </c>
      <c r="AO35" s="74">
        <f t="shared" si="25"/>
        <v>0.5381300000000806</v>
      </c>
      <c r="AP35" s="75">
        <f t="shared" si="26"/>
        <v>1.5510816796051082E-3</v>
      </c>
      <c r="AQ35" s="76">
        <f t="shared" si="27"/>
        <v>132.0251701439712</v>
      </c>
      <c r="AR35" s="77">
        <f t="shared" si="12"/>
        <v>1.6000000000076398E-2</v>
      </c>
    </row>
    <row r="36" spans="1:44" x14ac:dyDescent="0.25">
      <c r="A36" t="str">
        <f t="shared" si="13"/>
        <v>46220M</v>
      </c>
      <c r="B36" s="51">
        <f t="shared" si="29"/>
        <v>46220</v>
      </c>
      <c r="C36" s="52" t="s">
        <v>87</v>
      </c>
      <c r="D36" s="79">
        <v>3642</v>
      </c>
      <c r="E36" s="62">
        <v>3.83</v>
      </c>
      <c r="F36" s="62">
        <v>8.0299999999999994</v>
      </c>
      <c r="G36" s="62">
        <f t="shared" si="14"/>
        <v>139.48859999999999</v>
      </c>
      <c r="H36" s="63">
        <f t="shared" si="15"/>
        <v>292.45259999999996</v>
      </c>
      <c r="I36" s="202">
        <v>739.70000000000027</v>
      </c>
      <c r="J36" s="202">
        <v>761.8910000000003</v>
      </c>
      <c r="K36" s="202">
        <v>4.4971339732323914</v>
      </c>
      <c r="L36" s="202">
        <v>8.2138569690415046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6"/>
        <v>761.8910000000003</v>
      </c>
      <c r="S36" s="62">
        <f t="shared" si="17"/>
        <v>34.263259000000012</v>
      </c>
      <c r="T36" s="63">
        <f t="shared" si="18"/>
        <v>62.580637000000038</v>
      </c>
      <c r="U36" s="64" t="s">
        <v>174</v>
      </c>
      <c r="V36" s="65" t="s">
        <v>677</v>
      </c>
      <c r="W36" s="66" t="s">
        <v>159</v>
      </c>
      <c r="X36" s="67">
        <v>3680</v>
      </c>
      <c r="Y36" s="68">
        <v>4.0999999999999996</v>
      </c>
      <c r="Z36" s="68">
        <v>8.2899999999999991</v>
      </c>
      <c r="AA36" s="62">
        <f t="shared" si="19"/>
        <v>150.87999999999997</v>
      </c>
      <c r="AB36" s="63">
        <f t="shared" si="20"/>
        <v>305.07199999999995</v>
      </c>
      <c r="AC36" s="69">
        <v>3660</v>
      </c>
      <c r="AD36" s="70">
        <v>4.05</v>
      </c>
      <c r="AE36" s="70">
        <v>7.97</v>
      </c>
      <c r="AF36" s="62">
        <f t="shared" si="21"/>
        <v>148.23000000000002</v>
      </c>
      <c r="AG36" s="63">
        <f t="shared" si="22"/>
        <v>291.702</v>
      </c>
      <c r="AH36" s="96">
        <v>723</v>
      </c>
      <c r="AI36" s="66">
        <v>3.97</v>
      </c>
      <c r="AJ36" s="66">
        <v>8.06</v>
      </c>
      <c r="AK36" s="62">
        <f t="shared" si="31"/>
        <v>28.703099999999999</v>
      </c>
      <c r="AL36" s="72">
        <f t="shared" si="32"/>
        <v>58.273800000000001</v>
      </c>
      <c r="AM36" s="73">
        <f t="shared" si="23"/>
        <v>20.891000000000531</v>
      </c>
      <c r="AN36" s="74">
        <f t="shared" si="24"/>
        <v>-3.1812410000000213</v>
      </c>
      <c r="AO36" s="74">
        <f t="shared" si="25"/>
        <v>5.057436999999986</v>
      </c>
      <c r="AP36" s="75">
        <f t="shared" si="26"/>
        <v>1.9373404803953401E-2</v>
      </c>
      <c r="AQ36" s="76">
        <f t="shared" si="27"/>
        <v>-14.032480912418578</v>
      </c>
      <c r="AR36" s="90">
        <f t="shared" ref="AR36:AR49" si="33">(D36+J36+O36)-(X36+AH36)</f>
        <v>0.89100000000053114</v>
      </c>
    </row>
    <row r="37" spans="1:44" x14ac:dyDescent="0.25">
      <c r="A37" t="str">
        <f t="shared" si="13"/>
        <v>46220E</v>
      </c>
      <c r="B37" s="51">
        <f t="shared" si="29"/>
        <v>46220</v>
      </c>
      <c r="C37" s="52" t="s">
        <v>88</v>
      </c>
      <c r="D37" s="79">
        <v>723</v>
      </c>
      <c r="E37" s="62">
        <v>3.97</v>
      </c>
      <c r="F37" s="62">
        <v>8.06</v>
      </c>
      <c r="G37" s="62">
        <f t="shared" si="14"/>
        <v>28.703099999999999</v>
      </c>
      <c r="H37" s="63">
        <f t="shared" si="15"/>
        <v>58.273800000000001</v>
      </c>
      <c r="I37" s="202">
        <v>2718.3999999999996</v>
      </c>
      <c r="J37" s="202">
        <v>2799.9519999999998</v>
      </c>
      <c r="K37" s="202">
        <v>3.6620291347851679</v>
      </c>
      <c r="L37" s="202">
        <v>8.0376912889935266</v>
      </c>
      <c r="M37" s="58">
        <v>0</v>
      </c>
      <c r="N37" s="58" t="s">
        <v>167</v>
      </c>
      <c r="O37" s="59">
        <v>0</v>
      </c>
      <c r="P37" s="56">
        <v>0</v>
      </c>
      <c r="Q37" s="60">
        <v>0</v>
      </c>
      <c r="R37" s="61">
        <f t="shared" si="16"/>
        <v>2799.9519999999998</v>
      </c>
      <c r="S37" s="62">
        <f t="shared" si="17"/>
        <v>102.53505799999999</v>
      </c>
      <c r="T37" s="63">
        <f t="shared" si="18"/>
        <v>225.05149799999998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9"/>
        <v>0</v>
      </c>
      <c r="AB37" s="63">
        <f t="shared" si="20"/>
        <v>0</v>
      </c>
      <c r="AC37" s="69"/>
      <c r="AD37" s="70"/>
      <c r="AE37" s="70"/>
      <c r="AF37" s="62">
        <f t="shared" si="21"/>
        <v>0</v>
      </c>
      <c r="AG37" s="63">
        <f t="shared" si="22"/>
        <v>0</v>
      </c>
      <c r="AH37" s="96">
        <v>3522</v>
      </c>
      <c r="AI37" s="66">
        <v>3.75</v>
      </c>
      <c r="AJ37" s="66">
        <v>8</v>
      </c>
      <c r="AK37" s="62">
        <f t="shared" ref="AK37:AK49" si="34">AH37*AI37%</f>
        <v>132.07499999999999</v>
      </c>
      <c r="AL37" s="72">
        <f t="shared" ref="AL37:AL49" si="35">AH37*AJ37%</f>
        <v>281.76</v>
      </c>
      <c r="AM37" s="73">
        <f t="shared" si="23"/>
        <v>0.95199999999977081</v>
      </c>
      <c r="AN37" s="74">
        <f t="shared" si="24"/>
        <v>-0.83684199999999009</v>
      </c>
      <c r="AO37" s="74">
        <f t="shared" si="25"/>
        <v>1.5652979999999843</v>
      </c>
      <c r="AP37" s="75">
        <f t="shared" si="26"/>
        <v>2.2237054197059123E-3</v>
      </c>
      <c r="AQ37" s="76">
        <f t="shared" si="27"/>
        <v>66.662998701340825</v>
      </c>
      <c r="AR37" s="90">
        <f t="shared" si="33"/>
        <v>0.95199999999977081</v>
      </c>
    </row>
    <row r="38" spans="1:44" x14ac:dyDescent="0.25">
      <c r="A38" t="str">
        <f t="shared" si="13"/>
        <v>46221M</v>
      </c>
      <c r="B38" s="51">
        <f t="shared" si="29"/>
        <v>46221</v>
      </c>
      <c r="C38" s="52" t="s">
        <v>87</v>
      </c>
      <c r="D38" s="79">
        <v>3522</v>
      </c>
      <c r="E38" s="62">
        <v>3.75</v>
      </c>
      <c r="F38" s="62">
        <v>8</v>
      </c>
      <c r="G38" s="62">
        <f t="shared" si="14"/>
        <v>132.07499999999999</v>
      </c>
      <c r="H38" s="63">
        <f t="shared" si="15"/>
        <v>281.76</v>
      </c>
      <c r="I38" s="202">
        <v>782.0999999999998</v>
      </c>
      <c r="J38" s="202">
        <v>805.56299999999976</v>
      </c>
      <c r="K38" s="202">
        <v>4.4106635980053692</v>
      </c>
      <c r="L38" s="202">
        <v>8.1897711290116337</v>
      </c>
      <c r="M38" s="58">
        <v>0</v>
      </c>
      <c r="N38" s="58" t="s">
        <v>167</v>
      </c>
      <c r="O38" s="59">
        <v>0</v>
      </c>
      <c r="P38" s="56">
        <v>0</v>
      </c>
      <c r="Q38" s="60">
        <v>0</v>
      </c>
      <c r="R38" s="61">
        <f t="shared" si="16"/>
        <v>805.56299999999976</v>
      </c>
      <c r="S38" s="62">
        <f t="shared" si="17"/>
        <v>35.530673999999976</v>
      </c>
      <c r="T38" s="63">
        <f t="shared" si="18"/>
        <v>65.973765999999969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9"/>
        <v>0</v>
      </c>
      <c r="AB38" s="63">
        <f t="shared" si="20"/>
        <v>0</v>
      </c>
      <c r="AC38" s="69"/>
      <c r="AD38" s="70"/>
      <c r="AE38" s="70"/>
      <c r="AF38" s="62">
        <f t="shared" si="21"/>
        <v>0</v>
      </c>
      <c r="AG38" s="63">
        <f t="shared" si="22"/>
        <v>0</v>
      </c>
      <c r="AH38" s="96">
        <v>4327</v>
      </c>
      <c r="AI38" s="66">
        <v>3.87</v>
      </c>
      <c r="AJ38" s="66">
        <v>8.0299999999999994</v>
      </c>
      <c r="AK38" s="62">
        <f t="shared" si="34"/>
        <v>167.45489999999998</v>
      </c>
      <c r="AL38" s="72">
        <f t="shared" si="35"/>
        <v>347.4581</v>
      </c>
      <c r="AM38" s="73">
        <f t="shared" si="23"/>
        <v>0.56300000000010186</v>
      </c>
      <c r="AN38" s="74">
        <f t="shared" si="24"/>
        <v>0.1507739999999842</v>
      </c>
      <c r="AO38" s="74">
        <f t="shared" si="25"/>
        <v>0.27566599999994423</v>
      </c>
      <c r="AP38" s="75">
        <f t="shared" si="26"/>
        <v>4.201195533908947E-3</v>
      </c>
      <c r="AQ38" s="76">
        <f t="shared" si="27"/>
        <v>155.01132703514699</v>
      </c>
      <c r="AR38" s="90">
        <f t="shared" si="33"/>
        <v>0.56300000000010186</v>
      </c>
    </row>
    <row r="39" spans="1:44" x14ac:dyDescent="0.25">
      <c r="A39" t="str">
        <f t="shared" si="13"/>
        <v>46221E</v>
      </c>
      <c r="B39" s="51">
        <f t="shared" si="29"/>
        <v>46221</v>
      </c>
      <c r="C39" s="52" t="s">
        <v>88</v>
      </c>
      <c r="D39" s="79">
        <v>4327</v>
      </c>
      <c r="E39" s="62">
        <v>3.87</v>
      </c>
      <c r="F39" s="62">
        <v>8.0299999999999994</v>
      </c>
      <c r="G39" s="62">
        <f t="shared" si="14"/>
        <v>167.45489999999998</v>
      </c>
      <c r="H39" s="63">
        <f t="shared" si="15"/>
        <v>347.4581</v>
      </c>
      <c r="I39" s="202">
        <v>1832.3000000000002</v>
      </c>
      <c r="J39" s="202">
        <v>1887.2690000000002</v>
      </c>
      <c r="K39" s="202">
        <v>3.6717786388691818</v>
      </c>
      <c r="L39" s="202">
        <v>8.0964143426294832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6"/>
        <v>1887.2690000000002</v>
      </c>
      <c r="S39" s="62">
        <f t="shared" si="17"/>
        <v>69.296340000000029</v>
      </c>
      <c r="T39" s="63">
        <f t="shared" si="18"/>
        <v>152.80111800000006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9"/>
        <v>0</v>
      </c>
      <c r="AB39" s="63">
        <f t="shared" si="20"/>
        <v>0</v>
      </c>
      <c r="AC39" s="69"/>
      <c r="AD39" s="70"/>
      <c r="AE39" s="70"/>
      <c r="AF39" s="62">
        <f t="shared" si="21"/>
        <v>0</v>
      </c>
      <c r="AG39" s="63">
        <f t="shared" si="22"/>
        <v>0</v>
      </c>
      <c r="AH39" s="96">
        <v>6214</v>
      </c>
      <c r="AI39" s="66">
        <v>3.81</v>
      </c>
      <c r="AJ39" s="66">
        <v>8.0299999999999994</v>
      </c>
      <c r="AK39" s="62">
        <f t="shared" si="34"/>
        <v>236.7534</v>
      </c>
      <c r="AL39" s="72">
        <f t="shared" si="35"/>
        <v>498.98419999999999</v>
      </c>
      <c r="AM39" s="73">
        <f t="shared" si="23"/>
        <v>0.26900000000023283</v>
      </c>
      <c r="AN39" s="74">
        <f t="shared" si="24"/>
        <v>-2.1600000000034925E-3</v>
      </c>
      <c r="AO39" s="74">
        <f t="shared" si="25"/>
        <v>1.2750180000000455</v>
      </c>
      <c r="AP39" s="75">
        <f t="shared" si="26"/>
        <v>5.7310786510669639E-3</v>
      </c>
      <c r="AQ39" s="76">
        <f t="shared" si="27"/>
        <v>380.81858983790852</v>
      </c>
      <c r="AR39" s="90">
        <f t="shared" si="33"/>
        <v>0.26900000000023283</v>
      </c>
    </row>
    <row r="40" spans="1:44" x14ac:dyDescent="0.25">
      <c r="A40" t="str">
        <f t="shared" si="13"/>
        <v>46222M</v>
      </c>
      <c r="B40" s="51">
        <f t="shared" si="29"/>
        <v>46222</v>
      </c>
      <c r="C40" s="52" t="s">
        <v>87</v>
      </c>
      <c r="D40" s="79">
        <v>6214</v>
      </c>
      <c r="E40" s="62">
        <v>3.81</v>
      </c>
      <c r="F40" s="62">
        <v>8.0299999999999994</v>
      </c>
      <c r="G40" s="62">
        <f t="shared" si="14"/>
        <v>236.7534</v>
      </c>
      <c r="H40" s="63">
        <f t="shared" si="15"/>
        <v>498.98419999999999</v>
      </c>
      <c r="I40" s="202">
        <v>1108.8</v>
      </c>
      <c r="J40" s="202">
        <v>1142.0640000000001</v>
      </c>
      <c r="K40" s="202">
        <v>4.282765151515151</v>
      </c>
      <c r="L40" s="202">
        <v>8.2584595959595948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6"/>
        <v>1142.0640000000001</v>
      </c>
      <c r="S40" s="62">
        <f t="shared" si="17"/>
        <v>48.911918999999997</v>
      </c>
      <c r="T40" s="63">
        <f t="shared" si="18"/>
        <v>94.316893999999991</v>
      </c>
      <c r="U40" s="64" t="s">
        <v>171</v>
      </c>
      <c r="V40" s="65" t="s">
        <v>678</v>
      </c>
      <c r="W40" s="66" t="s">
        <v>149</v>
      </c>
      <c r="X40" s="67">
        <v>3130</v>
      </c>
      <c r="Y40" s="68">
        <v>3.95</v>
      </c>
      <c r="Z40" s="68">
        <v>8.26</v>
      </c>
      <c r="AA40" s="62">
        <f t="shared" si="19"/>
        <v>123.63500000000001</v>
      </c>
      <c r="AB40" s="63">
        <f t="shared" si="20"/>
        <v>258.53799999999995</v>
      </c>
      <c r="AC40" s="69">
        <v>3110</v>
      </c>
      <c r="AD40" s="70">
        <v>3.75</v>
      </c>
      <c r="AE40" s="70">
        <v>7.78</v>
      </c>
      <c r="AF40" s="62">
        <f t="shared" si="21"/>
        <v>116.625</v>
      </c>
      <c r="AG40" s="63">
        <f t="shared" si="22"/>
        <v>241.95800000000003</v>
      </c>
      <c r="AH40" s="96">
        <v>4226</v>
      </c>
      <c r="AI40" s="66">
        <v>3.88</v>
      </c>
      <c r="AJ40" s="66">
        <v>8.07</v>
      </c>
      <c r="AK40" s="62">
        <f t="shared" si="34"/>
        <v>163.96880000000002</v>
      </c>
      <c r="AL40" s="72">
        <f t="shared" si="35"/>
        <v>341.03820000000002</v>
      </c>
      <c r="AM40" s="73">
        <f t="shared" si="23"/>
        <v>20.064000000000306</v>
      </c>
      <c r="AN40" s="74">
        <f t="shared" si="24"/>
        <v>5.071518999999995</v>
      </c>
      <c r="AO40" s="74">
        <f t="shared" si="25"/>
        <v>10.304893999999877</v>
      </c>
      <c r="AP40" s="75">
        <f t="shared" si="26"/>
        <v>0.10735558494085873</v>
      </c>
      <c r="AQ40" s="76">
        <f t="shared" si="27"/>
        <v>5523.2539528833786</v>
      </c>
      <c r="AR40" s="90">
        <f t="shared" si="33"/>
        <v>6.400000000030559E-2</v>
      </c>
    </row>
    <row r="41" spans="1:44" x14ac:dyDescent="0.25">
      <c r="A41" t="str">
        <f t="shared" si="13"/>
        <v>46222E</v>
      </c>
      <c r="B41" s="51">
        <f t="shared" si="29"/>
        <v>46222</v>
      </c>
      <c r="C41" s="52" t="s">
        <v>88</v>
      </c>
      <c r="D41" s="79">
        <v>4226</v>
      </c>
      <c r="E41" s="62">
        <v>3.88</v>
      </c>
      <c r="F41" s="62">
        <v>8.07</v>
      </c>
      <c r="G41" s="62">
        <f t="shared" si="14"/>
        <v>163.96880000000002</v>
      </c>
      <c r="H41" s="63">
        <f t="shared" si="15"/>
        <v>341.03820000000002</v>
      </c>
      <c r="I41" s="202">
        <v>2527.9</v>
      </c>
      <c r="J41" s="202">
        <v>2603.7370000000001</v>
      </c>
      <c r="K41" s="202">
        <v>3.6118952490209271</v>
      </c>
      <c r="L41" s="202">
        <v>8.0261956564737549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6"/>
        <v>2603.7370000000001</v>
      </c>
      <c r="S41" s="62">
        <f t="shared" si="17"/>
        <v>94.044253000000026</v>
      </c>
      <c r="T41" s="63">
        <f t="shared" si="18"/>
        <v>208.98102600000004</v>
      </c>
      <c r="U41" s="64" t="s">
        <v>311</v>
      </c>
      <c r="V41" s="65" t="s">
        <v>679</v>
      </c>
      <c r="W41" s="66" t="s">
        <v>159</v>
      </c>
      <c r="X41" s="67">
        <v>5200</v>
      </c>
      <c r="Y41" s="68">
        <v>3.9</v>
      </c>
      <c r="Z41" s="68">
        <v>8.19</v>
      </c>
      <c r="AA41" s="62">
        <f t="shared" si="19"/>
        <v>202.8</v>
      </c>
      <c r="AB41" s="63">
        <f t="shared" si="20"/>
        <v>425.88</v>
      </c>
      <c r="AC41" s="69">
        <v>5200</v>
      </c>
      <c r="AD41" s="70">
        <v>3.7</v>
      </c>
      <c r="AE41" s="70">
        <v>7.9</v>
      </c>
      <c r="AF41" s="62">
        <f t="shared" si="21"/>
        <v>192.40000000000003</v>
      </c>
      <c r="AG41" s="63">
        <f t="shared" si="22"/>
        <v>410.8</v>
      </c>
      <c r="AH41" s="96">
        <v>1629</v>
      </c>
      <c r="AI41" s="66">
        <v>3.77</v>
      </c>
      <c r="AJ41" s="66">
        <v>8.0399999999999991</v>
      </c>
      <c r="AK41" s="62">
        <f t="shared" si="34"/>
        <v>61.413299999999992</v>
      </c>
      <c r="AL41" s="72">
        <f t="shared" si="35"/>
        <v>130.97159999999997</v>
      </c>
      <c r="AM41" s="73">
        <f t="shared" si="23"/>
        <v>0.73700000000008004</v>
      </c>
      <c r="AN41" s="74">
        <f t="shared" si="24"/>
        <v>4.199752999999987</v>
      </c>
      <c r="AO41" s="74">
        <f t="shared" si="25"/>
        <v>8.2476260000001389</v>
      </c>
      <c r="AP41" s="75">
        <f t="shared" si="26"/>
        <v>4.1077031728432543E-2</v>
      </c>
      <c r="AQ41" s="76">
        <f t="shared" si="27"/>
        <v>4488.2085658672422</v>
      </c>
      <c r="AR41" s="90">
        <f t="shared" si="33"/>
        <v>0.73700000000008004</v>
      </c>
    </row>
    <row r="42" spans="1:44" x14ac:dyDescent="0.25">
      <c r="A42" t="str">
        <f t="shared" si="13"/>
        <v>46223M</v>
      </c>
      <c r="B42" s="51">
        <f t="shared" si="29"/>
        <v>46223</v>
      </c>
      <c r="C42" s="52" t="s">
        <v>87</v>
      </c>
      <c r="D42" s="79">
        <v>1629</v>
      </c>
      <c r="E42" s="62">
        <v>3.77</v>
      </c>
      <c r="F42" s="62">
        <v>8.0399999999999991</v>
      </c>
      <c r="G42" s="62">
        <f t="shared" si="14"/>
        <v>61.413299999999992</v>
      </c>
      <c r="H42" s="63">
        <f t="shared" si="15"/>
        <v>130.97159999999997</v>
      </c>
      <c r="I42" s="202">
        <v>1133.3999999999999</v>
      </c>
      <c r="J42" s="202">
        <v>1167.4019999999998</v>
      </c>
      <c r="K42" s="202">
        <v>4.047917769542968</v>
      </c>
      <c r="L42" s="202">
        <v>8.2399947061937553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6"/>
        <v>1167.4019999999998</v>
      </c>
      <c r="S42" s="62">
        <f t="shared" si="17"/>
        <v>47.255472999999988</v>
      </c>
      <c r="T42" s="63">
        <f t="shared" si="18"/>
        <v>96.193863000000007</v>
      </c>
      <c r="U42" s="64" t="s">
        <v>169</v>
      </c>
      <c r="V42" s="65" t="s">
        <v>680</v>
      </c>
      <c r="W42" s="66" t="s">
        <v>30</v>
      </c>
      <c r="X42" s="67">
        <v>2930</v>
      </c>
      <c r="Y42" s="68">
        <v>3.95</v>
      </c>
      <c r="Z42" s="68">
        <v>8.1999999999999993</v>
      </c>
      <c r="AA42" s="62">
        <f t="shared" si="19"/>
        <v>115.735</v>
      </c>
      <c r="AB42" s="63">
        <f t="shared" si="20"/>
        <v>240.25999999999996</v>
      </c>
      <c r="AC42" s="69">
        <v>2940</v>
      </c>
      <c r="AD42" s="70">
        <v>3.8</v>
      </c>
      <c r="AE42" s="70">
        <v>7.92</v>
      </c>
      <c r="AF42" s="62">
        <f t="shared" si="21"/>
        <v>111.72</v>
      </c>
      <c r="AG42" s="63">
        <f t="shared" si="22"/>
        <v>232.84799999999998</v>
      </c>
      <c r="AH42" s="96">
        <v>0</v>
      </c>
      <c r="AI42" s="66">
        <v>0</v>
      </c>
      <c r="AJ42" s="66">
        <v>0</v>
      </c>
      <c r="AK42" s="62">
        <f t="shared" si="34"/>
        <v>0</v>
      </c>
      <c r="AL42" s="72">
        <f t="shared" si="35"/>
        <v>0</v>
      </c>
      <c r="AM42" s="73">
        <f t="shared" si="23"/>
        <v>-143.59799999999996</v>
      </c>
      <c r="AN42" s="74">
        <f t="shared" si="24"/>
        <v>-3.0512270000000115</v>
      </c>
      <c r="AO42" s="74">
        <f t="shared" si="25"/>
        <v>-5.6825369999999964</v>
      </c>
      <c r="AP42" s="75">
        <f t="shared" si="26"/>
        <v>-6.0883962544099952E-2</v>
      </c>
      <c r="AQ42" s="76">
        <f t="shared" si="27"/>
        <v>-3168.0831226842965</v>
      </c>
      <c r="AR42" s="90">
        <f t="shared" si="33"/>
        <v>-133.59799999999996</v>
      </c>
    </row>
    <row r="43" spans="1:44" x14ac:dyDescent="0.25">
      <c r="A43" t="str">
        <f t="shared" si="13"/>
        <v>46223E</v>
      </c>
      <c r="B43" s="51">
        <f t="shared" si="29"/>
        <v>46223</v>
      </c>
      <c r="C43" s="52" t="s">
        <v>88</v>
      </c>
      <c r="D43" s="79">
        <v>0</v>
      </c>
      <c r="E43" s="62">
        <v>0</v>
      </c>
      <c r="F43" s="62">
        <v>0</v>
      </c>
      <c r="G43" s="62">
        <f t="shared" si="14"/>
        <v>0</v>
      </c>
      <c r="H43" s="63">
        <f t="shared" si="15"/>
        <v>0</v>
      </c>
      <c r="I43" s="202">
        <v>2477.9000000000005</v>
      </c>
      <c r="J43" s="202">
        <v>2552.2370000000005</v>
      </c>
      <c r="K43" s="202">
        <v>3.9353242665160026</v>
      </c>
      <c r="L43" s="202">
        <v>8.0785019573025565</v>
      </c>
      <c r="M43" s="58">
        <v>0</v>
      </c>
      <c r="N43" s="58" t="s">
        <v>167</v>
      </c>
      <c r="O43" s="59">
        <v>0</v>
      </c>
      <c r="P43" s="56">
        <v>0</v>
      </c>
      <c r="Q43" s="60">
        <v>0</v>
      </c>
      <c r="R43" s="61">
        <f t="shared" si="16"/>
        <v>2552.2370000000005</v>
      </c>
      <c r="S43" s="62">
        <f t="shared" si="17"/>
        <v>100.43880200000005</v>
      </c>
      <c r="T43" s="63">
        <f t="shared" si="18"/>
        <v>206.18251600000011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9"/>
        <v>0</v>
      </c>
      <c r="AB43" s="63">
        <f t="shared" si="20"/>
        <v>0</v>
      </c>
      <c r="AC43" s="69"/>
      <c r="AD43" s="70"/>
      <c r="AE43" s="70"/>
      <c r="AF43" s="62">
        <f t="shared" si="21"/>
        <v>0</v>
      </c>
      <c r="AG43" s="63">
        <f t="shared" si="22"/>
        <v>0</v>
      </c>
      <c r="AH43" s="96">
        <v>2552</v>
      </c>
      <c r="AI43" s="66">
        <v>3.9</v>
      </c>
      <c r="AJ43" s="66">
        <v>8.1</v>
      </c>
      <c r="AK43" s="62">
        <f t="shared" si="34"/>
        <v>99.528000000000006</v>
      </c>
      <c r="AL43" s="72">
        <f t="shared" si="35"/>
        <v>206.71200000000002</v>
      </c>
      <c r="AM43" s="73">
        <f t="shared" si="23"/>
        <v>0.23700000000053478</v>
      </c>
      <c r="AN43" s="74">
        <f t="shared" si="24"/>
        <v>0.91080200000004652</v>
      </c>
      <c r="AO43" s="74">
        <f t="shared" si="25"/>
        <v>-0.52948399999991125</v>
      </c>
      <c r="AP43" s="75">
        <f t="shared" si="26"/>
        <v>1.2436121613701207E-3</v>
      </c>
      <c r="AQ43" s="76">
        <f t="shared" si="27"/>
        <v>279.09426008677622</v>
      </c>
      <c r="AR43" s="90">
        <f t="shared" si="33"/>
        <v>0.23700000000053478</v>
      </c>
    </row>
    <row r="44" spans="1:44" x14ac:dyDescent="0.25">
      <c r="A44" t="str">
        <f t="shared" si="13"/>
        <v>46224M</v>
      </c>
      <c r="B44" s="51">
        <f t="shared" si="29"/>
        <v>46224</v>
      </c>
      <c r="C44" s="52" t="s">
        <v>87</v>
      </c>
      <c r="D44" s="79">
        <v>2552</v>
      </c>
      <c r="E44" s="62">
        <v>3.9</v>
      </c>
      <c r="F44" s="62">
        <v>8.1</v>
      </c>
      <c r="G44" s="62">
        <f t="shared" si="14"/>
        <v>99.528000000000006</v>
      </c>
      <c r="H44" s="63">
        <f t="shared" si="15"/>
        <v>206.71200000000002</v>
      </c>
      <c r="I44" s="202">
        <v>953.90000000000009</v>
      </c>
      <c r="J44" s="202">
        <v>982.51700000000017</v>
      </c>
      <c r="K44" s="202">
        <v>4.3559911940454983</v>
      </c>
      <c r="L44" s="202">
        <v>8.2667889715903158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6"/>
        <v>982.51700000000017</v>
      </c>
      <c r="S44" s="62">
        <f t="shared" si="17"/>
        <v>42.798354000000018</v>
      </c>
      <c r="T44" s="63">
        <f t="shared" si="18"/>
        <v>81.222607000000039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9"/>
        <v>0</v>
      </c>
      <c r="AB44" s="63">
        <f t="shared" si="20"/>
        <v>0</v>
      </c>
      <c r="AC44" s="69"/>
      <c r="AD44" s="70"/>
      <c r="AE44" s="70"/>
      <c r="AF44" s="62">
        <f t="shared" si="21"/>
        <v>0</v>
      </c>
      <c r="AG44" s="63">
        <f t="shared" si="22"/>
        <v>0</v>
      </c>
      <c r="AH44" s="89">
        <v>3534</v>
      </c>
      <c r="AI44" s="66">
        <v>4.03</v>
      </c>
      <c r="AJ44" s="66">
        <v>8.15</v>
      </c>
      <c r="AK44" s="62">
        <f t="shared" si="34"/>
        <v>142.42020000000002</v>
      </c>
      <c r="AL44" s="72">
        <f t="shared" si="35"/>
        <v>288.02100000000002</v>
      </c>
      <c r="AM44" s="73">
        <f t="shared" si="23"/>
        <v>0.51700000000028012</v>
      </c>
      <c r="AN44" s="74">
        <f t="shared" si="24"/>
        <v>-9.3845999999984997E-2</v>
      </c>
      <c r="AO44" s="74">
        <f t="shared" si="25"/>
        <v>-8.6392999999986841E-2</v>
      </c>
      <c r="AP44" s="75">
        <f t="shared" si="26"/>
        <v>-1.4532946571827626E-3</v>
      </c>
      <c r="AQ44" s="76">
        <f t="shared" si="27"/>
        <v>-70.969991737213491</v>
      </c>
      <c r="AR44" s="90">
        <f t="shared" si="33"/>
        <v>0.51700000000028012</v>
      </c>
    </row>
    <row r="45" spans="1:44" x14ac:dyDescent="0.25">
      <c r="A45" t="str">
        <f t="shared" si="13"/>
        <v>46224E</v>
      </c>
      <c r="B45" s="51">
        <f t="shared" si="29"/>
        <v>46224</v>
      </c>
      <c r="C45" s="52" t="s">
        <v>88</v>
      </c>
      <c r="D45" s="79">
        <v>3534</v>
      </c>
      <c r="E45" s="62">
        <v>4.03</v>
      </c>
      <c r="F45" s="62">
        <v>8.15</v>
      </c>
      <c r="G45" s="62">
        <f t="shared" si="14"/>
        <v>142.42020000000002</v>
      </c>
      <c r="H45" s="63">
        <f t="shared" si="15"/>
        <v>288.02100000000002</v>
      </c>
      <c r="I45" s="202">
        <v>2574.3000000000002</v>
      </c>
      <c r="J45" s="202">
        <v>2651.5290000000005</v>
      </c>
      <c r="K45" s="202">
        <v>3.8361030182962366</v>
      </c>
      <c r="L45" s="202">
        <v>8.1018917764052372</v>
      </c>
      <c r="M45" s="58" t="s">
        <v>165</v>
      </c>
      <c r="N45" s="58">
        <v>89396</v>
      </c>
      <c r="O45" s="59">
        <v>3040</v>
      </c>
      <c r="P45" s="56">
        <v>4.4000000000000004</v>
      </c>
      <c r="Q45" s="60">
        <v>8.3000000000000007</v>
      </c>
      <c r="R45" s="61">
        <f t="shared" si="16"/>
        <v>5691.5290000000005</v>
      </c>
      <c r="S45" s="62">
        <f t="shared" si="17"/>
        <v>235.47538400000005</v>
      </c>
      <c r="T45" s="63">
        <f t="shared" si="18"/>
        <v>467.14401000000009</v>
      </c>
      <c r="U45" s="64" t="s">
        <v>171</v>
      </c>
      <c r="V45" s="65" t="s">
        <v>681</v>
      </c>
      <c r="W45" s="66" t="s">
        <v>184</v>
      </c>
      <c r="X45" s="67">
        <v>6280</v>
      </c>
      <c r="Y45" s="68">
        <v>4.25</v>
      </c>
      <c r="Z45" s="68">
        <v>8.26</v>
      </c>
      <c r="AA45" s="62">
        <f t="shared" si="19"/>
        <v>266.90000000000003</v>
      </c>
      <c r="AB45" s="63">
        <f t="shared" si="20"/>
        <v>518.72799999999995</v>
      </c>
      <c r="AC45" s="69">
        <v>6270</v>
      </c>
      <c r="AD45" s="70">
        <v>4.1999202551834136</v>
      </c>
      <c r="AE45" s="70">
        <v>7.9999840510366829</v>
      </c>
      <c r="AF45" s="62">
        <f t="shared" si="21"/>
        <v>263.33500000000004</v>
      </c>
      <c r="AG45" s="63">
        <f t="shared" si="22"/>
        <v>501.59900000000005</v>
      </c>
      <c r="AH45" s="89">
        <v>2945</v>
      </c>
      <c r="AI45" s="66">
        <v>4.08</v>
      </c>
      <c r="AJ45" s="66">
        <v>8.18</v>
      </c>
      <c r="AK45" s="62">
        <f t="shared" si="34"/>
        <v>120.15600000000001</v>
      </c>
      <c r="AL45" s="72">
        <f t="shared" si="35"/>
        <v>240.90099999999998</v>
      </c>
      <c r="AM45" s="73">
        <f t="shared" si="23"/>
        <v>10.529000000000451</v>
      </c>
      <c r="AN45" s="74">
        <f t="shared" si="24"/>
        <v>-5.5954159999999433</v>
      </c>
      <c r="AO45" s="74">
        <f t="shared" si="25"/>
        <v>12.665010000000137</v>
      </c>
      <c r="AP45" s="75">
        <f t="shared" si="26"/>
        <v>1.0061768946844915E-2</v>
      </c>
      <c r="AQ45" s="76">
        <f t="shared" si="27"/>
        <v>1104.2782458178949</v>
      </c>
      <c r="AR45" s="90">
        <f t="shared" si="33"/>
        <v>0.52900000000045111</v>
      </c>
    </row>
    <row r="46" spans="1:44" x14ac:dyDescent="0.25">
      <c r="A46" t="str">
        <f t="shared" si="13"/>
        <v>46225M</v>
      </c>
      <c r="B46" s="51">
        <f t="shared" si="29"/>
        <v>46225</v>
      </c>
      <c r="C46" s="52" t="s">
        <v>87</v>
      </c>
      <c r="D46" s="79">
        <v>2945</v>
      </c>
      <c r="E46" s="62">
        <v>4.08</v>
      </c>
      <c r="F46" s="62">
        <v>8.18</v>
      </c>
      <c r="G46" s="62">
        <f t="shared" si="14"/>
        <v>120.15600000000001</v>
      </c>
      <c r="H46" s="63">
        <f t="shared" si="15"/>
        <v>240.90099999999998</v>
      </c>
      <c r="I46" s="202">
        <v>1002.0000000000001</v>
      </c>
      <c r="J46" s="202">
        <v>1032.0600000000002</v>
      </c>
      <c r="K46" s="202">
        <v>4.3592814371257491</v>
      </c>
      <c r="L46" s="202">
        <v>8.3339520958083817</v>
      </c>
      <c r="M46" s="58">
        <v>0</v>
      </c>
      <c r="N46" s="58" t="s">
        <v>167</v>
      </c>
      <c r="O46" s="59">
        <v>0</v>
      </c>
      <c r="P46" s="56">
        <v>0</v>
      </c>
      <c r="Q46" s="60">
        <v>0</v>
      </c>
      <c r="R46" s="61">
        <f t="shared" si="16"/>
        <v>1032.0600000000002</v>
      </c>
      <c r="S46" s="62">
        <f t="shared" si="17"/>
        <v>44.990400000000015</v>
      </c>
      <c r="T46" s="63">
        <f t="shared" si="18"/>
        <v>86.011386000000002</v>
      </c>
      <c r="U46" s="64" t="s">
        <v>169</v>
      </c>
      <c r="V46" s="65" t="s">
        <v>747</v>
      </c>
      <c r="W46" s="66" t="s">
        <v>159</v>
      </c>
      <c r="X46" s="67">
        <v>2950</v>
      </c>
      <c r="Y46" s="68">
        <v>4.2</v>
      </c>
      <c r="Z46" s="68">
        <v>8.31</v>
      </c>
      <c r="AA46" s="62">
        <f t="shared" si="19"/>
        <v>123.9</v>
      </c>
      <c r="AB46" s="63">
        <f t="shared" si="20"/>
        <v>245.14500000000001</v>
      </c>
      <c r="AC46" s="69">
        <v>2970</v>
      </c>
      <c r="AD46" s="70">
        <v>4.2</v>
      </c>
      <c r="AE46" s="70">
        <v>8.25</v>
      </c>
      <c r="AF46" s="62">
        <f t="shared" si="21"/>
        <v>124.74000000000001</v>
      </c>
      <c r="AG46" s="63">
        <f t="shared" si="22"/>
        <v>245.02500000000001</v>
      </c>
      <c r="AH46" s="89">
        <v>1027</v>
      </c>
      <c r="AI46" s="66">
        <v>4.16</v>
      </c>
      <c r="AJ46" s="66">
        <v>8.2100000000000009</v>
      </c>
      <c r="AK46" s="62">
        <f t="shared" si="34"/>
        <v>42.723199999999999</v>
      </c>
      <c r="AL46" s="72">
        <f t="shared" si="35"/>
        <v>84.316700000000012</v>
      </c>
      <c r="AM46" s="73">
        <f t="shared" si="23"/>
        <v>-19.9399999999996</v>
      </c>
      <c r="AN46" s="74">
        <f t="shared" si="24"/>
        <v>-2.3167999999999793</v>
      </c>
      <c r="AO46" s="74">
        <f t="shared" si="25"/>
        <v>-2.4293140000000477</v>
      </c>
      <c r="AP46" s="75">
        <f t="shared" si="26"/>
        <v>-3.6229383926109422E-2</v>
      </c>
      <c r="AQ46" s="76">
        <f t="shared" si="27"/>
        <v>-1840.8557195642293</v>
      </c>
      <c r="AR46" s="90">
        <f t="shared" si="33"/>
        <v>6.0000000000400178E-2</v>
      </c>
    </row>
    <row r="47" spans="1:44" x14ac:dyDescent="0.25">
      <c r="A47" t="str">
        <f t="shared" si="13"/>
        <v>46225E</v>
      </c>
      <c r="B47" s="51">
        <f t="shared" si="29"/>
        <v>46225</v>
      </c>
      <c r="C47" s="52" t="s">
        <v>88</v>
      </c>
      <c r="D47" s="79">
        <v>1027</v>
      </c>
      <c r="E47" s="62">
        <v>4.16</v>
      </c>
      <c r="F47" s="62">
        <v>8.2100000000000009</v>
      </c>
      <c r="G47" s="62">
        <f t="shared" si="14"/>
        <v>42.723199999999999</v>
      </c>
      <c r="H47" s="63">
        <f t="shared" si="15"/>
        <v>84.316700000000012</v>
      </c>
      <c r="I47" s="202">
        <v>2522.2000000000003</v>
      </c>
      <c r="J47" s="202">
        <v>2597.8660000000004</v>
      </c>
      <c r="K47" s="202">
        <v>3.8132503370073749</v>
      </c>
      <c r="L47" s="202">
        <v>8.1575291412259148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6"/>
        <v>2597.8660000000004</v>
      </c>
      <c r="S47" s="62">
        <f t="shared" si="17"/>
        <v>99.063134000000019</v>
      </c>
      <c r="T47" s="63">
        <f t="shared" si="18"/>
        <v>211.92167600000008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9"/>
        <v>0</v>
      </c>
      <c r="AB47" s="63">
        <f t="shared" si="20"/>
        <v>0</v>
      </c>
      <c r="AC47" s="69"/>
      <c r="AD47" s="70"/>
      <c r="AE47" s="70"/>
      <c r="AF47" s="62">
        <f t="shared" si="21"/>
        <v>0</v>
      </c>
      <c r="AG47" s="63">
        <f t="shared" si="22"/>
        <v>0</v>
      </c>
      <c r="AH47" s="89">
        <v>3624</v>
      </c>
      <c r="AI47" s="66">
        <v>3.9</v>
      </c>
      <c r="AJ47" s="66">
        <v>8.1999999999999993</v>
      </c>
      <c r="AK47" s="62">
        <f t="shared" si="34"/>
        <v>141.33600000000001</v>
      </c>
      <c r="AL47" s="72">
        <f t="shared" si="35"/>
        <v>297.16799999999995</v>
      </c>
      <c r="AM47" s="73">
        <f t="shared" si="23"/>
        <v>0.8660000000004402</v>
      </c>
      <c r="AN47" s="74">
        <f t="shared" si="24"/>
        <v>0.45033399999999801</v>
      </c>
      <c r="AO47" s="74">
        <f t="shared" si="25"/>
        <v>-0.9296239999998761</v>
      </c>
      <c r="AP47" s="75">
        <f t="shared" si="26"/>
        <v>-1.5412006779362566E-3</v>
      </c>
      <c r="AQ47" s="76">
        <f t="shared" si="27"/>
        <v>-62.013968249992189</v>
      </c>
      <c r="AR47" s="90">
        <f t="shared" si="33"/>
        <v>0.8660000000004402</v>
      </c>
    </row>
    <row r="48" spans="1:44" x14ac:dyDescent="0.25">
      <c r="A48" t="str">
        <f t="shared" si="13"/>
        <v>46226M</v>
      </c>
      <c r="B48" s="51">
        <f t="shared" si="29"/>
        <v>46226</v>
      </c>
      <c r="C48" s="52" t="s">
        <v>87</v>
      </c>
      <c r="D48" s="79">
        <v>3624</v>
      </c>
      <c r="E48" s="62">
        <v>3.9</v>
      </c>
      <c r="F48" s="62">
        <v>8.1999999999999993</v>
      </c>
      <c r="G48" s="62">
        <f t="shared" si="14"/>
        <v>141.33600000000001</v>
      </c>
      <c r="H48" s="63">
        <f t="shared" si="15"/>
        <v>297.16799999999995</v>
      </c>
      <c r="I48" s="202">
        <v>1193.5999999999999</v>
      </c>
      <c r="J48" s="202">
        <v>1229.4079999999999</v>
      </c>
      <c r="K48" s="202">
        <v>4.341756032171582</v>
      </c>
      <c r="L48" s="202">
        <v>8.3584366621983914</v>
      </c>
      <c r="M48" s="58">
        <v>0</v>
      </c>
      <c r="N48" s="58" t="s">
        <v>167</v>
      </c>
      <c r="O48" s="59">
        <v>0</v>
      </c>
      <c r="P48" s="56">
        <v>0</v>
      </c>
      <c r="Q48" s="60">
        <v>0</v>
      </c>
      <c r="R48" s="61">
        <f t="shared" si="16"/>
        <v>1229.4079999999999</v>
      </c>
      <c r="S48" s="62">
        <f t="shared" si="17"/>
        <v>53.377896</v>
      </c>
      <c r="T48" s="63">
        <f t="shared" si="18"/>
        <v>102.759289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9"/>
        <v>0</v>
      </c>
      <c r="AB48" s="63">
        <f t="shared" si="20"/>
        <v>0</v>
      </c>
      <c r="AC48" s="69"/>
      <c r="AD48" s="70"/>
      <c r="AE48" s="70"/>
      <c r="AF48" s="62">
        <f t="shared" si="21"/>
        <v>0</v>
      </c>
      <c r="AG48" s="63">
        <f t="shared" si="22"/>
        <v>0</v>
      </c>
      <c r="AH48" s="89">
        <v>4853</v>
      </c>
      <c r="AI48" s="66">
        <v>4</v>
      </c>
      <c r="AJ48" s="66">
        <v>8.25</v>
      </c>
      <c r="AK48" s="62">
        <f t="shared" si="34"/>
        <v>194.12</v>
      </c>
      <c r="AL48" s="72">
        <f t="shared" si="35"/>
        <v>400.3725</v>
      </c>
      <c r="AM48" s="73">
        <f t="shared" si="23"/>
        <v>0.40799999999944703</v>
      </c>
      <c r="AN48" s="74">
        <f t="shared" si="24"/>
        <v>0.59389600000000087</v>
      </c>
      <c r="AO48" s="74">
        <f t="shared" si="25"/>
        <v>-0.44521100000002889</v>
      </c>
      <c r="AP48" s="75">
        <f t="shared" si="26"/>
        <v>9.5227155529909152E-4</v>
      </c>
      <c r="AQ48" s="76">
        <f t="shared" si="27"/>
        <v>152.0496261878404</v>
      </c>
      <c r="AR48" s="90">
        <f t="shared" si="33"/>
        <v>0.40799999999944703</v>
      </c>
    </row>
    <row r="49" spans="1:44" x14ac:dyDescent="0.25">
      <c r="A49" t="str">
        <f t="shared" si="13"/>
        <v>46226E</v>
      </c>
      <c r="B49" s="51">
        <f t="shared" si="29"/>
        <v>46226</v>
      </c>
      <c r="C49" s="52" t="s">
        <v>88</v>
      </c>
      <c r="D49" s="79">
        <v>4853</v>
      </c>
      <c r="E49" s="62">
        <v>4</v>
      </c>
      <c r="F49" s="62">
        <v>8.25</v>
      </c>
      <c r="G49" s="62">
        <f t="shared" si="14"/>
        <v>194.12</v>
      </c>
      <c r="H49" s="63">
        <f t="shared" si="15"/>
        <v>400.3725</v>
      </c>
      <c r="I49" s="202">
        <v>3163.8</v>
      </c>
      <c r="J49" s="202">
        <v>3258.7140000000004</v>
      </c>
      <c r="K49" s="202">
        <v>4.0043112712560847</v>
      </c>
      <c r="L49" s="202">
        <v>8.1999683924394713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6"/>
        <v>3258.7140000000004</v>
      </c>
      <c r="S49" s="62">
        <f t="shared" si="17"/>
        <v>130.48905200000004</v>
      </c>
      <c r="T49" s="63">
        <f t="shared" si="18"/>
        <v>267.21351800000002</v>
      </c>
      <c r="U49" s="64" t="s">
        <v>169</v>
      </c>
      <c r="V49" s="65" t="s">
        <v>748</v>
      </c>
      <c r="W49" s="66" t="s">
        <v>30</v>
      </c>
      <c r="X49" s="67">
        <v>2950</v>
      </c>
      <c r="Y49" s="68">
        <v>4.2</v>
      </c>
      <c r="Z49" s="68">
        <v>8.31</v>
      </c>
      <c r="AA49" s="62">
        <f t="shared" si="19"/>
        <v>123.9</v>
      </c>
      <c r="AB49" s="63">
        <f t="shared" si="20"/>
        <v>245.14500000000001</v>
      </c>
      <c r="AC49" s="69">
        <v>2960</v>
      </c>
      <c r="AD49" s="70">
        <v>4.1500000000000004</v>
      </c>
      <c r="AE49" s="70">
        <v>8.24</v>
      </c>
      <c r="AF49" s="62">
        <f t="shared" si="21"/>
        <v>122.84</v>
      </c>
      <c r="AG49" s="63">
        <f t="shared" si="22"/>
        <v>243.904</v>
      </c>
      <c r="AH49" s="89">
        <v>5161</v>
      </c>
      <c r="AI49" s="66">
        <v>4</v>
      </c>
      <c r="AJ49" s="66">
        <v>8.23</v>
      </c>
      <c r="AK49" s="62">
        <f t="shared" si="34"/>
        <v>206.44</v>
      </c>
      <c r="AL49" s="72">
        <f t="shared" si="35"/>
        <v>424.75029999999998</v>
      </c>
      <c r="AM49" s="73">
        <f t="shared" si="23"/>
        <v>-9.2860000000000582</v>
      </c>
      <c r="AN49" s="74">
        <f t="shared" si="24"/>
        <v>-4.6709479999999814</v>
      </c>
      <c r="AO49" s="74">
        <f t="shared" si="25"/>
        <v>-1.0682820000000106</v>
      </c>
      <c r="AP49" s="75">
        <f t="shared" si="26"/>
        <v>-1.4430960302821256E-2</v>
      </c>
      <c r="AQ49" s="76">
        <f t="shared" si="27"/>
        <v>-2564.483485269468</v>
      </c>
      <c r="AR49" s="90">
        <f t="shared" si="33"/>
        <v>0.71399999999994179</v>
      </c>
    </row>
    <row r="50" spans="1:44" x14ac:dyDescent="0.25">
      <c r="A50" t="str">
        <f t="shared" si="13"/>
        <v>46227M</v>
      </c>
      <c r="B50" s="51">
        <f t="shared" si="29"/>
        <v>46227</v>
      </c>
      <c r="C50" s="52" t="s">
        <v>87</v>
      </c>
      <c r="D50" s="79">
        <v>5161</v>
      </c>
      <c r="E50" s="62">
        <v>4</v>
      </c>
      <c r="F50" s="62">
        <v>8.23</v>
      </c>
      <c r="G50" s="62">
        <f t="shared" si="14"/>
        <v>206.44</v>
      </c>
      <c r="H50" s="63">
        <f t="shared" si="15"/>
        <v>424.75029999999998</v>
      </c>
      <c r="I50" s="202">
        <v>780.7</v>
      </c>
      <c r="J50" s="202">
        <v>804.12100000000009</v>
      </c>
      <c r="K50" s="202">
        <v>4.413897784039964</v>
      </c>
      <c r="L50" s="202">
        <v>8.39789932112207</v>
      </c>
      <c r="M50" s="58">
        <v>0</v>
      </c>
      <c r="N50" s="58" t="s">
        <v>167</v>
      </c>
      <c r="O50" s="59">
        <v>0</v>
      </c>
      <c r="P50" s="56">
        <v>0</v>
      </c>
      <c r="Q50" s="60">
        <v>0</v>
      </c>
      <c r="R50" s="61">
        <f t="shared" si="16"/>
        <v>804.12100000000009</v>
      </c>
      <c r="S50" s="62">
        <f t="shared" si="17"/>
        <v>35.493079000000002</v>
      </c>
      <c r="T50" s="63">
        <f t="shared" si="18"/>
        <v>67.529272000000006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9"/>
        <v>0</v>
      </c>
      <c r="AB50" s="63">
        <f t="shared" si="20"/>
        <v>0</v>
      </c>
      <c r="AC50" s="69"/>
      <c r="AD50" s="70"/>
      <c r="AE50" s="70"/>
      <c r="AF50" s="62">
        <f t="shared" si="21"/>
        <v>0</v>
      </c>
      <c r="AG50" s="63">
        <f t="shared" si="22"/>
        <v>0</v>
      </c>
      <c r="AH50" s="89">
        <v>5965</v>
      </c>
      <c r="AI50" s="66">
        <v>4.05</v>
      </c>
      <c r="AJ50" s="66">
        <v>8.25</v>
      </c>
      <c r="AK50" s="62">
        <f t="shared" ref="AK50" si="36">AH50*AI50%</f>
        <v>241.58250000000001</v>
      </c>
      <c r="AL50" s="72">
        <f t="shared" ref="AL50" si="37">AH50*AJ50%</f>
        <v>492.11250000000001</v>
      </c>
      <c r="AM50" s="73">
        <f t="shared" si="23"/>
        <v>0.12100000000009459</v>
      </c>
      <c r="AN50" s="74">
        <f t="shared" si="24"/>
        <v>0.35057899999998199</v>
      </c>
      <c r="AO50" s="74">
        <f t="shared" si="25"/>
        <v>0.16707199999996192</v>
      </c>
      <c r="AP50" s="75">
        <f t="shared" si="26"/>
        <v>5.024647515566247E-3</v>
      </c>
      <c r="AQ50" s="76">
        <f t="shared" si="27"/>
        <v>218.5011962330114</v>
      </c>
      <c r="AR50" s="90">
        <f t="shared" ref="AR50:AR57" si="38">(D50+J50+O50)-(X50+AH50)</f>
        <v>0.12100000000009459</v>
      </c>
    </row>
    <row r="51" spans="1:44" x14ac:dyDescent="0.25">
      <c r="A51" t="str">
        <f t="shared" si="13"/>
        <v>46227E</v>
      </c>
      <c r="B51" s="51">
        <f t="shared" si="29"/>
        <v>46227</v>
      </c>
      <c r="C51" s="52" t="s">
        <v>88</v>
      </c>
      <c r="D51" s="79">
        <v>5965</v>
      </c>
      <c r="E51" s="62">
        <v>4.05</v>
      </c>
      <c r="F51" s="62">
        <v>8.25</v>
      </c>
      <c r="G51" s="62">
        <f t="shared" si="14"/>
        <v>241.58250000000001</v>
      </c>
      <c r="H51" s="63">
        <f t="shared" si="15"/>
        <v>492.11250000000001</v>
      </c>
      <c r="I51" s="202">
        <v>1731.1999999999998</v>
      </c>
      <c r="J51" s="202">
        <v>1783.136</v>
      </c>
      <c r="K51" s="202">
        <v>3.8143657578558225</v>
      </c>
      <c r="L51" s="202">
        <v>8.278327171903884</v>
      </c>
      <c r="M51" s="58">
        <v>0</v>
      </c>
      <c r="N51" s="58" t="s">
        <v>167</v>
      </c>
      <c r="O51" s="59">
        <v>0</v>
      </c>
      <c r="P51" s="56">
        <v>0</v>
      </c>
      <c r="Q51" s="60">
        <v>0</v>
      </c>
      <c r="R51" s="61">
        <f t="shared" si="16"/>
        <v>1783.136</v>
      </c>
      <c r="S51" s="62">
        <f t="shared" si="17"/>
        <v>68.015328999999994</v>
      </c>
      <c r="T51" s="63">
        <f t="shared" si="18"/>
        <v>147.61383200000003</v>
      </c>
      <c r="U51" s="64" t="s">
        <v>171</v>
      </c>
      <c r="V51" s="85" t="s">
        <v>794</v>
      </c>
      <c r="W51" s="66" t="s">
        <v>305</v>
      </c>
      <c r="X51" s="67">
        <v>6280</v>
      </c>
      <c r="Y51" s="68">
        <v>4.2000000000000011</v>
      </c>
      <c r="Z51" s="68">
        <v>8.31</v>
      </c>
      <c r="AA51" s="62">
        <f t="shared" si="19"/>
        <v>263.76000000000005</v>
      </c>
      <c r="AB51" s="63">
        <f t="shared" si="20"/>
        <v>521.86800000000005</v>
      </c>
      <c r="AC51" s="69">
        <v>6190</v>
      </c>
      <c r="AD51" s="70">
        <v>4.1247172859450725</v>
      </c>
      <c r="AE51" s="70">
        <v>8.114943457189014</v>
      </c>
      <c r="AF51" s="62">
        <f t="shared" si="21"/>
        <v>255.32</v>
      </c>
      <c r="AG51" s="63">
        <f t="shared" si="22"/>
        <v>502.31499999999994</v>
      </c>
      <c r="AH51" s="89">
        <v>1468</v>
      </c>
      <c r="AI51" s="66">
        <v>3.99</v>
      </c>
      <c r="AJ51" s="66">
        <v>8.26</v>
      </c>
      <c r="AK51" s="62">
        <f t="shared" ref="AK51:AK63" si="39">AH51*AI51%</f>
        <v>58.573200000000007</v>
      </c>
      <c r="AL51" s="72">
        <f t="shared" ref="AL51:AL63" si="40">AH51*AJ51%</f>
        <v>121.25679999999998</v>
      </c>
      <c r="AM51" s="73">
        <f t="shared" si="23"/>
        <v>90.136000000000422</v>
      </c>
      <c r="AN51" s="74">
        <f t="shared" si="24"/>
        <v>-4.29537100000001</v>
      </c>
      <c r="AO51" s="74">
        <f t="shared" si="25"/>
        <v>16.154532000000145</v>
      </c>
      <c r="AP51" s="75">
        <f t="shared" si="26"/>
        <v>5.4997946219343376E-2</v>
      </c>
      <c r="AQ51" s="76">
        <f t="shared" si="27"/>
        <v>2774.0729536276563</v>
      </c>
      <c r="AR51" s="90">
        <f t="shared" si="38"/>
        <v>0.13600000000042201</v>
      </c>
    </row>
    <row r="52" spans="1:44" x14ac:dyDescent="0.25">
      <c r="A52" t="str">
        <f t="shared" si="13"/>
        <v>46228M</v>
      </c>
      <c r="B52" s="51">
        <f t="shared" si="29"/>
        <v>46228</v>
      </c>
      <c r="C52" s="52" t="s">
        <v>87</v>
      </c>
      <c r="D52" s="79">
        <v>1468</v>
      </c>
      <c r="E52" s="62">
        <v>3.99</v>
      </c>
      <c r="F52" s="62">
        <v>8.26</v>
      </c>
      <c r="G52" s="62">
        <f t="shared" si="14"/>
        <v>58.573200000000007</v>
      </c>
      <c r="H52" s="63">
        <f t="shared" si="15"/>
        <v>121.25679999999998</v>
      </c>
      <c r="I52" s="202">
        <v>975.40000000000009</v>
      </c>
      <c r="J52" s="202">
        <v>1004.6620000000001</v>
      </c>
      <c r="K52" s="202">
        <v>4.2822534344884158</v>
      </c>
      <c r="L52" s="202">
        <v>8.300963707197047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6"/>
        <v>1004.6620000000001</v>
      </c>
      <c r="S52" s="62">
        <f t="shared" si="17"/>
        <v>43.022173000000016</v>
      </c>
      <c r="T52" s="63">
        <f t="shared" si="18"/>
        <v>83.396628000000007</v>
      </c>
      <c r="U52" s="64" t="s">
        <v>167</v>
      </c>
      <c r="V52" s="8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9"/>
        <v>0</v>
      </c>
      <c r="AB52" s="63">
        <f t="shared" si="20"/>
        <v>0</v>
      </c>
      <c r="AC52" s="69"/>
      <c r="AD52" s="70"/>
      <c r="AE52" s="70"/>
      <c r="AF52" s="62">
        <f t="shared" si="21"/>
        <v>0</v>
      </c>
      <c r="AG52" s="63">
        <f t="shared" si="22"/>
        <v>0</v>
      </c>
      <c r="AH52" s="89">
        <v>2469</v>
      </c>
      <c r="AI52" s="66">
        <v>4.1100000000000003</v>
      </c>
      <c r="AJ52" s="66">
        <v>8.27</v>
      </c>
      <c r="AK52" s="62">
        <f t="shared" si="39"/>
        <v>101.47590000000001</v>
      </c>
      <c r="AL52" s="72">
        <f t="shared" si="40"/>
        <v>204.18629999999999</v>
      </c>
      <c r="AM52" s="73">
        <f t="shared" si="23"/>
        <v>3.6620000000002619</v>
      </c>
      <c r="AN52" s="74">
        <f t="shared" si="24"/>
        <v>0.11947300000001349</v>
      </c>
      <c r="AO52" s="74">
        <f t="shared" si="25"/>
        <v>0.46712800000000243</v>
      </c>
      <c r="AP52" s="75">
        <f t="shared" si="26"/>
        <v>4.6401405120114671E-3</v>
      </c>
      <c r="AQ52" s="76">
        <f t="shared" si="27"/>
        <v>197.31134230694022</v>
      </c>
      <c r="AR52" s="90">
        <f t="shared" si="38"/>
        <v>3.6620000000002619</v>
      </c>
    </row>
    <row r="53" spans="1:44" x14ac:dyDescent="0.25">
      <c r="A53" t="str">
        <f t="shared" si="13"/>
        <v>46228E</v>
      </c>
      <c r="B53" s="51">
        <f t="shared" si="29"/>
        <v>46228</v>
      </c>
      <c r="C53" s="52" t="s">
        <v>88</v>
      </c>
      <c r="D53" s="79">
        <v>2469</v>
      </c>
      <c r="E53" s="62">
        <v>4.1100000000000003</v>
      </c>
      <c r="F53" s="62">
        <v>8.27</v>
      </c>
      <c r="G53" s="62">
        <f t="shared" si="14"/>
        <v>101.47590000000001</v>
      </c>
      <c r="H53" s="63">
        <f t="shared" si="15"/>
        <v>204.18629999999999</v>
      </c>
      <c r="I53" s="202">
        <v>2371</v>
      </c>
      <c r="J53" s="202">
        <v>2442.13</v>
      </c>
      <c r="K53" s="202">
        <v>3.8107802614930408</v>
      </c>
      <c r="L53" s="202">
        <v>8.2159805989034158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6"/>
        <v>2442.13</v>
      </c>
      <c r="S53" s="62">
        <f t="shared" si="17"/>
        <v>93.064208000000008</v>
      </c>
      <c r="T53" s="63">
        <f t="shared" si="18"/>
        <v>200.644927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9"/>
        <v>0</v>
      </c>
      <c r="AB53" s="63">
        <f t="shared" si="20"/>
        <v>0</v>
      </c>
      <c r="AC53" s="69"/>
      <c r="AD53" s="70"/>
      <c r="AE53" s="70"/>
      <c r="AF53" s="62">
        <f t="shared" si="21"/>
        <v>0</v>
      </c>
      <c r="AG53" s="63">
        <f t="shared" si="22"/>
        <v>0</v>
      </c>
      <c r="AH53" s="89">
        <v>4911</v>
      </c>
      <c r="AI53" s="66">
        <v>3.95</v>
      </c>
      <c r="AJ53" s="66">
        <v>8.23</v>
      </c>
      <c r="AK53" s="62">
        <f t="shared" si="39"/>
        <v>193.9845</v>
      </c>
      <c r="AL53" s="72">
        <f t="shared" si="40"/>
        <v>404.17529999999999</v>
      </c>
      <c r="AM53" s="73">
        <f t="shared" si="23"/>
        <v>0.13000000000010914</v>
      </c>
      <c r="AN53" s="74">
        <f t="shared" si="24"/>
        <v>0.55560800000003496</v>
      </c>
      <c r="AO53" s="74">
        <f t="shared" si="25"/>
        <v>0.65592700000001969</v>
      </c>
      <c r="AP53" s="75">
        <f t="shared" si="26"/>
        <v>4.1249483098305898E-3</v>
      </c>
      <c r="AQ53" s="76">
        <f t="shared" si="27"/>
        <v>463.43202415712227</v>
      </c>
      <c r="AR53" s="90">
        <f t="shared" si="38"/>
        <v>0.13000000000010914</v>
      </c>
    </row>
    <row r="54" spans="1:44" x14ac:dyDescent="0.25">
      <c r="A54" t="str">
        <f t="shared" si="13"/>
        <v>46229M</v>
      </c>
      <c r="B54" s="51">
        <f t="shared" si="29"/>
        <v>46229</v>
      </c>
      <c r="C54" s="52" t="s">
        <v>87</v>
      </c>
      <c r="D54" s="79">
        <v>4911</v>
      </c>
      <c r="E54" s="62">
        <v>3.95</v>
      </c>
      <c r="F54" s="62">
        <v>8.23</v>
      </c>
      <c r="G54" s="62">
        <f t="shared" si="14"/>
        <v>193.9845</v>
      </c>
      <c r="H54" s="63">
        <f t="shared" si="15"/>
        <v>404.17529999999999</v>
      </c>
      <c r="I54" s="202">
        <v>1097.3</v>
      </c>
      <c r="J54" s="202">
        <v>1130.2190000000001</v>
      </c>
      <c r="K54" s="202">
        <v>4.3579148819830493</v>
      </c>
      <c r="L54" s="202">
        <v>8.2787296090403704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6"/>
        <v>1130.2190000000001</v>
      </c>
      <c r="S54" s="62">
        <f t="shared" si="17"/>
        <v>49.253982000000001</v>
      </c>
      <c r="T54" s="63">
        <f t="shared" si="18"/>
        <v>93.567774999999997</v>
      </c>
      <c r="U54" s="64" t="s">
        <v>171</v>
      </c>
      <c r="V54" s="65" t="s">
        <v>795</v>
      </c>
      <c r="W54" s="66" t="s">
        <v>149</v>
      </c>
      <c r="X54" s="67">
        <v>3130</v>
      </c>
      <c r="Y54" s="68">
        <v>4.1500000000000004</v>
      </c>
      <c r="Z54" s="68">
        <v>8.3000000000000007</v>
      </c>
      <c r="AA54" s="62">
        <f t="shared" si="19"/>
        <v>129.89500000000001</v>
      </c>
      <c r="AB54" s="63">
        <f t="shared" si="20"/>
        <v>259.79000000000002</v>
      </c>
      <c r="AC54" s="69">
        <v>3090</v>
      </c>
      <c r="AD54" s="70">
        <v>4.05</v>
      </c>
      <c r="AE54" s="70">
        <v>7.97</v>
      </c>
      <c r="AF54" s="62">
        <f t="shared" si="21"/>
        <v>125.14500000000001</v>
      </c>
      <c r="AG54" s="63">
        <f t="shared" si="22"/>
        <v>246.27299999999997</v>
      </c>
      <c r="AH54" s="89">
        <v>2911</v>
      </c>
      <c r="AI54" s="66">
        <v>4.03</v>
      </c>
      <c r="AJ54" s="66">
        <v>8.24</v>
      </c>
      <c r="AK54" s="62">
        <f t="shared" si="39"/>
        <v>117.31330000000001</v>
      </c>
      <c r="AL54" s="72">
        <f t="shared" si="40"/>
        <v>239.8664</v>
      </c>
      <c r="AM54" s="73">
        <f t="shared" si="23"/>
        <v>40.219000000000051</v>
      </c>
      <c r="AN54" s="74">
        <f t="shared" si="24"/>
        <v>0.78018199999998217</v>
      </c>
      <c r="AO54" s="74">
        <f t="shared" si="25"/>
        <v>11.60367500000001</v>
      </c>
      <c r="AP54" s="75">
        <f t="shared" si="26"/>
        <v>8.6708476776405946E-2</v>
      </c>
      <c r="AQ54" s="76">
        <f t="shared" si="27"/>
        <v>3850.1002037906292</v>
      </c>
      <c r="AR54" s="90">
        <f t="shared" si="38"/>
        <v>0.21900000000005093</v>
      </c>
    </row>
    <row r="55" spans="1:44" x14ac:dyDescent="0.25">
      <c r="A55" t="str">
        <f t="shared" si="13"/>
        <v>46229E</v>
      </c>
      <c r="B55" s="51">
        <f t="shared" si="29"/>
        <v>46229</v>
      </c>
      <c r="C55" s="52" t="s">
        <v>88</v>
      </c>
      <c r="D55" s="79">
        <v>2911</v>
      </c>
      <c r="E55" s="62">
        <v>4.03</v>
      </c>
      <c r="F55" s="62">
        <v>8.24</v>
      </c>
      <c r="G55" s="62">
        <f t="shared" si="14"/>
        <v>117.31330000000001</v>
      </c>
      <c r="H55" s="63">
        <f t="shared" si="15"/>
        <v>239.8664</v>
      </c>
      <c r="I55" s="202">
        <v>2736.5</v>
      </c>
      <c r="J55" s="202">
        <v>2818.5950000000003</v>
      </c>
      <c r="K55" s="202">
        <v>3.7075717156952308</v>
      </c>
      <c r="L55" s="202">
        <v>8.1179353188379313</v>
      </c>
      <c r="M55" s="58">
        <v>0</v>
      </c>
      <c r="N55" s="58" t="s">
        <v>167</v>
      </c>
      <c r="O55" s="59">
        <v>0</v>
      </c>
      <c r="P55" s="56">
        <v>0</v>
      </c>
      <c r="Q55" s="60">
        <v>0</v>
      </c>
      <c r="R55" s="61">
        <f t="shared" si="16"/>
        <v>2818.5950000000003</v>
      </c>
      <c r="S55" s="62">
        <f t="shared" si="17"/>
        <v>104.501431</v>
      </c>
      <c r="T55" s="63">
        <f t="shared" si="18"/>
        <v>228.81171899999998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19"/>
        <v>0</v>
      </c>
      <c r="AB55" s="63">
        <f t="shared" si="20"/>
        <v>0</v>
      </c>
      <c r="AC55" s="69"/>
      <c r="AD55" s="70"/>
      <c r="AE55" s="70"/>
      <c r="AF55" s="62">
        <f t="shared" si="21"/>
        <v>0</v>
      </c>
      <c r="AG55" s="63">
        <f t="shared" si="22"/>
        <v>0</v>
      </c>
      <c r="AH55" s="89">
        <v>5729</v>
      </c>
      <c r="AI55" s="66">
        <v>3.86</v>
      </c>
      <c r="AJ55" s="66">
        <v>8.17</v>
      </c>
      <c r="AK55" s="62">
        <f t="shared" si="39"/>
        <v>221.13939999999997</v>
      </c>
      <c r="AL55" s="72">
        <f t="shared" si="40"/>
        <v>468.05929999999995</v>
      </c>
      <c r="AM55" s="73">
        <f t="shared" si="23"/>
        <v>0.59500000000025466</v>
      </c>
      <c r="AN55" s="74">
        <f t="shared" si="24"/>
        <v>0.67533100000002833</v>
      </c>
      <c r="AO55" s="74">
        <f t="shared" si="25"/>
        <v>0.61881900000003043</v>
      </c>
      <c r="AP55" s="75">
        <f t="shared" si="26"/>
        <v>3.8826850965827751E-3</v>
      </c>
      <c r="AQ55" s="76">
        <f t="shared" si="27"/>
        <v>509.84930656721957</v>
      </c>
      <c r="AR55" s="90">
        <f t="shared" si="38"/>
        <v>0.59500000000025466</v>
      </c>
    </row>
    <row r="56" spans="1:44" x14ac:dyDescent="0.25">
      <c r="A56" t="str">
        <f t="shared" si="13"/>
        <v>46230M</v>
      </c>
      <c r="B56" s="51">
        <f t="shared" si="29"/>
        <v>46230</v>
      </c>
      <c r="C56" s="52" t="s">
        <v>87</v>
      </c>
      <c r="D56" s="79">
        <v>5729</v>
      </c>
      <c r="E56" s="62">
        <v>3.86</v>
      </c>
      <c r="F56" s="62">
        <v>8.17</v>
      </c>
      <c r="G56" s="62">
        <f t="shared" si="14"/>
        <v>221.13939999999997</v>
      </c>
      <c r="H56" s="63">
        <f t="shared" si="15"/>
        <v>468.05929999999995</v>
      </c>
      <c r="I56" s="202">
        <v>755.7</v>
      </c>
      <c r="J56" s="202">
        <v>778.37100000000009</v>
      </c>
      <c r="K56" s="202">
        <v>4.5574169644038642</v>
      </c>
      <c r="L56" s="202">
        <v>8.2157734550747659</v>
      </c>
      <c r="M56" s="58">
        <v>0</v>
      </c>
      <c r="N56" s="58" t="s">
        <v>167</v>
      </c>
      <c r="O56" s="59">
        <v>0</v>
      </c>
      <c r="P56" s="56">
        <v>0</v>
      </c>
      <c r="Q56" s="60">
        <v>0</v>
      </c>
      <c r="R56" s="61">
        <f t="shared" si="16"/>
        <v>778.37100000000009</v>
      </c>
      <c r="S56" s="62">
        <f t="shared" si="17"/>
        <v>35.473612000000003</v>
      </c>
      <c r="T56" s="63">
        <f t="shared" si="18"/>
        <v>63.94919800000001</v>
      </c>
      <c r="U56" s="64" t="s">
        <v>171</v>
      </c>
      <c r="V56" s="65" t="s">
        <v>900</v>
      </c>
      <c r="W56" s="66" t="s">
        <v>149</v>
      </c>
      <c r="X56" s="67">
        <v>3130</v>
      </c>
      <c r="Y56" s="68">
        <v>4.0999999999999996</v>
      </c>
      <c r="Z56" s="68">
        <v>8.35</v>
      </c>
      <c r="AA56" s="62">
        <f t="shared" si="19"/>
        <v>128.32999999999998</v>
      </c>
      <c r="AB56" s="63">
        <f t="shared" si="20"/>
        <v>261.35499999999996</v>
      </c>
      <c r="AC56" s="69">
        <v>3110</v>
      </c>
      <c r="AD56" s="70">
        <v>4.05</v>
      </c>
      <c r="AE56" s="70">
        <v>8.1</v>
      </c>
      <c r="AF56" s="62">
        <f t="shared" si="21"/>
        <v>125.955</v>
      </c>
      <c r="AG56" s="63">
        <f t="shared" si="22"/>
        <v>251.91</v>
      </c>
      <c r="AH56" s="89">
        <v>3377</v>
      </c>
      <c r="AI56" s="66">
        <v>3.95</v>
      </c>
      <c r="AJ56" s="66">
        <v>8.17</v>
      </c>
      <c r="AK56" s="62">
        <f t="shared" si="39"/>
        <v>133.39150000000001</v>
      </c>
      <c r="AL56" s="72">
        <f t="shared" si="40"/>
        <v>275.90089999999998</v>
      </c>
      <c r="AM56" s="73">
        <f t="shared" si="23"/>
        <v>20.371000000000095</v>
      </c>
      <c r="AN56" s="74">
        <f t="shared" si="24"/>
        <v>-2.7334880000000226</v>
      </c>
      <c r="AO56" s="74">
        <f t="shared" si="25"/>
        <v>4.1975979999999709</v>
      </c>
      <c r="AP56" s="75">
        <f t="shared" si="26"/>
        <v>1.4726097562520593E-2</v>
      </c>
      <c r="AQ56" s="76">
        <f t="shared" si="27"/>
        <v>-56.386717426509676</v>
      </c>
      <c r="AR56" s="90">
        <f t="shared" si="38"/>
        <v>0.37100000000009459</v>
      </c>
    </row>
    <row r="57" spans="1:44" x14ac:dyDescent="0.25">
      <c r="A57" t="str">
        <f t="shared" si="13"/>
        <v>46230E</v>
      </c>
      <c r="B57" s="51">
        <f t="shared" si="29"/>
        <v>46230</v>
      </c>
      <c r="C57" s="52" t="s">
        <v>88</v>
      </c>
      <c r="D57" s="79">
        <v>3377</v>
      </c>
      <c r="E57" s="62">
        <v>3.95</v>
      </c>
      <c r="F57" s="62">
        <v>8.17</v>
      </c>
      <c r="G57" s="62">
        <f t="shared" si="14"/>
        <v>133.39150000000001</v>
      </c>
      <c r="H57" s="63">
        <f t="shared" si="15"/>
        <v>275.90089999999998</v>
      </c>
      <c r="I57" s="202">
        <v>2537.9</v>
      </c>
      <c r="J57" s="202">
        <v>2614.0370000000003</v>
      </c>
      <c r="K57" s="202">
        <v>4.0075495488395907</v>
      </c>
      <c r="L57" s="202">
        <v>8.1562275897395473</v>
      </c>
      <c r="M57" s="58">
        <v>0</v>
      </c>
      <c r="N57" s="58" t="s">
        <v>167</v>
      </c>
      <c r="O57" s="59">
        <v>0</v>
      </c>
      <c r="P57" s="56">
        <v>0</v>
      </c>
      <c r="Q57" s="60">
        <v>0</v>
      </c>
      <c r="R57" s="61">
        <f t="shared" si="16"/>
        <v>2614.0370000000003</v>
      </c>
      <c r="S57" s="62">
        <f t="shared" si="17"/>
        <v>104.75882799999999</v>
      </c>
      <c r="T57" s="63">
        <f t="shared" si="18"/>
        <v>213.20680699999997</v>
      </c>
      <c r="U57" s="64" t="s">
        <v>180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9"/>
        <v>0</v>
      </c>
      <c r="AB57" s="63">
        <f t="shared" si="20"/>
        <v>0</v>
      </c>
      <c r="AC57" s="69"/>
      <c r="AD57" s="70"/>
      <c r="AE57" s="70"/>
      <c r="AF57" s="62">
        <f t="shared" si="21"/>
        <v>0</v>
      </c>
      <c r="AG57" s="63">
        <f t="shared" si="22"/>
        <v>0</v>
      </c>
      <c r="AH57" s="89">
        <v>5991</v>
      </c>
      <c r="AI57" s="66">
        <v>3.97</v>
      </c>
      <c r="AJ57" s="66">
        <v>8.18</v>
      </c>
      <c r="AK57" s="62">
        <f t="shared" si="39"/>
        <v>237.84270000000001</v>
      </c>
      <c r="AL57" s="72">
        <f t="shared" si="40"/>
        <v>490.06380000000001</v>
      </c>
      <c r="AM57" s="73">
        <f t="shared" si="23"/>
        <v>3.7000000000261934E-2</v>
      </c>
      <c r="AN57" s="74">
        <f t="shared" si="24"/>
        <v>0.30762799999999402</v>
      </c>
      <c r="AO57" s="74">
        <f t="shared" si="25"/>
        <v>-0.9560930000000667</v>
      </c>
      <c r="AP57" s="75">
        <f t="shared" si="26"/>
        <v>-2.0394185050849056E-3</v>
      </c>
      <c r="AQ57" s="76">
        <f t="shared" si="27"/>
        <v>-138.51607567970458</v>
      </c>
      <c r="AR57" s="90">
        <f t="shared" si="38"/>
        <v>3.7000000000261934E-2</v>
      </c>
    </row>
    <row r="58" spans="1:44" x14ac:dyDescent="0.25">
      <c r="A58" t="str">
        <f t="shared" si="13"/>
        <v>46231M</v>
      </c>
      <c r="B58" s="51">
        <f t="shared" si="29"/>
        <v>46231</v>
      </c>
      <c r="C58" s="52" t="s">
        <v>87</v>
      </c>
      <c r="D58" s="79">
        <v>5991</v>
      </c>
      <c r="E58" s="62">
        <v>3.97</v>
      </c>
      <c r="F58" s="62">
        <v>8.18</v>
      </c>
      <c r="G58" s="62">
        <f t="shared" si="14"/>
        <v>237.84270000000001</v>
      </c>
      <c r="H58" s="63">
        <f t="shared" si="15"/>
        <v>490.06380000000001</v>
      </c>
      <c r="I58" s="202">
        <v>1046.8999999999999</v>
      </c>
      <c r="J58" s="202">
        <v>1078.3069999999998</v>
      </c>
      <c r="K58" s="202">
        <v>4.2118922533193226</v>
      </c>
      <c r="L58" s="202">
        <v>8.1835323335562116</v>
      </c>
      <c r="M58" s="58">
        <v>0</v>
      </c>
      <c r="N58" s="58" t="s">
        <v>167</v>
      </c>
      <c r="O58" s="59">
        <v>0</v>
      </c>
      <c r="P58" s="56">
        <v>0</v>
      </c>
      <c r="Q58" s="60">
        <v>0</v>
      </c>
      <c r="R58" s="61">
        <f t="shared" si="16"/>
        <v>1078.3069999999998</v>
      </c>
      <c r="S58" s="62">
        <f t="shared" si="17"/>
        <v>45.417128999999981</v>
      </c>
      <c r="T58" s="63">
        <f t="shared" si="18"/>
        <v>88.243601999999967</v>
      </c>
      <c r="U58" s="64" t="s">
        <v>174</v>
      </c>
      <c r="V58" s="65" t="s">
        <v>901</v>
      </c>
      <c r="W58" s="66" t="s">
        <v>159</v>
      </c>
      <c r="X58" s="67">
        <v>3470</v>
      </c>
      <c r="Y58" s="68">
        <v>4.2</v>
      </c>
      <c r="Z58" s="68">
        <v>8.3699999999999992</v>
      </c>
      <c r="AA58" s="62">
        <f t="shared" si="19"/>
        <v>145.74</v>
      </c>
      <c r="AB58" s="63">
        <f t="shared" si="20"/>
        <v>290.43899999999996</v>
      </c>
      <c r="AC58" s="69">
        <v>3510</v>
      </c>
      <c r="AD58" s="70">
        <v>4.1500000000000004</v>
      </c>
      <c r="AE58" s="70">
        <v>8.11</v>
      </c>
      <c r="AF58" s="62">
        <f t="shared" si="21"/>
        <v>145.66500000000002</v>
      </c>
      <c r="AG58" s="63">
        <f t="shared" si="22"/>
        <v>284.66099999999994</v>
      </c>
      <c r="AH58" s="89">
        <v>3599</v>
      </c>
      <c r="AI58" s="66">
        <v>4</v>
      </c>
      <c r="AJ58" s="66">
        <v>8.18</v>
      </c>
      <c r="AK58" s="62">
        <f t="shared" si="39"/>
        <v>143.96</v>
      </c>
      <c r="AL58" s="72">
        <f t="shared" si="40"/>
        <v>294.39819999999997</v>
      </c>
      <c r="AM58" s="73">
        <f t="shared" si="23"/>
        <v>-39.693000000000211</v>
      </c>
      <c r="AN58" s="74">
        <f t="shared" si="24"/>
        <v>-6.3651710000000605</v>
      </c>
      <c r="AO58" s="74">
        <f t="shared" si="25"/>
        <v>-0.75179799999989427</v>
      </c>
      <c r="AP58" s="75">
        <f t="shared" si="26"/>
        <v>-5.3246521598029853E-2</v>
      </c>
      <c r="AQ58" s="76">
        <f t="shared" si="27"/>
        <v>-3283.8286371746722</v>
      </c>
      <c r="AR58" s="77">
        <f t="shared" si="12"/>
        <v>0.306999999999789</v>
      </c>
    </row>
    <row r="59" spans="1:44" x14ac:dyDescent="0.25">
      <c r="A59" t="str">
        <f t="shared" si="13"/>
        <v>46231E</v>
      </c>
      <c r="B59" s="51">
        <f t="shared" si="29"/>
        <v>46231</v>
      </c>
      <c r="C59" s="52" t="s">
        <v>88</v>
      </c>
      <c r="D59" s="79">
        <v>3599</v>
      </c>
      <c r="E59" s="62">
        <v>4</v>
      </c>
      <c r="F59" s="62">
        <v>8.18</v>
      </c>
      <c r="G59" s="62">
        <f t="shared" si="14"/>
        <v>143.96</v>
      </c>
      <c r="H59" s="63">
        <f t="shared" si="15"/>
        <v>294.39819999999997</v>
      </c>
      <c r="I59" s="202">
        <v>1855.0000000000002</v>
      </c>
      <c r="J59" s="202">
        <v>1910.6500000000003</v>
      </c>
      <c r="K59" s="202">
        <v>4.0754123989218325</v>
      </c>
      <c r="L59" s="202">
        <v>8.1917466307277653</v>
      </c>
      <c r="M59" s="58">
        <v>0</v>
      </c>
      <c r="N59" s="58" t="s">
        <v>167</v>
      </c>
      <c r="O59" s="59">
        <v>0</v>
      </c>
      <c r="P59" s="56">
        <v>0</v>
      </c>
      <c r="Q59" s="60">
        <v>0</v>
      </c>
      <c r="R59" s="61">
        <f t="shared" si="16"/>
        <v>1910.6500000000003</v>
      </c>
      <c r="S59" s="62">
        <f t="shared" si="17"/>
        <v>77.866866999999999</v>
      </c>
      <c r="T59" s="63">
        <f t="shared" si="18"/>
        <v>156.51560700000007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21"/>
        <v>0</v>
      </c>
      <c r="AG59" s="63">
        <f t="shared" si="22"/>
        <v>0</v>
      </c>
      <c r="AH59" s="89">
        <v>5509</v>
      </c>
      <c r="AI59" s="66">
        <v>4.03</v>
      </c>
      <c r="AJ59" s="66">
        <v>8.19</v>
      </c>
      <c r="AK59" s="62">
        <f t="shared" si="39"/>
        <v>222.01270000000002</v>
      </c>
      <c r="AL59" s="72">
        <f t="shared" si="40"/>
        <v>451.18709999999999</v>
      </c>
      <c r="AM59" s="73">
        <f t="shared" si="23"/>
        <v>0.6500000000005457</v>
      </c>
      <c r="AN59" s="74">
        <f t="shared" si="24"/>
        <v>-0.18583300000003078</v>
      </c>
      <c r="AO59" s="74">
        <f t="shared" si="25"/>
        <v>-0.27329299999996692</v>
      </c>
      <c r="AP59" s="75">
        <f t="shared" si="26"/>
        <v>-1.9588751333002724E-3</v>
      </c>
      <c r="AQ59" s="76">
        <f t="shared" si="27"/>
        <v>-171.14762520597156</v>
      </c>
      <c r="AR59" s="77">
        <f t="shared" si="12"/>
        <v>0.6500000000005457</v>
      </c>
    </row>
    <row r="60" spans="1:44" x14ac:dyDescent="0.25">
      <c r="A60" t="str">
        <f t="shared" si="13"/>
        <v>46232M</v>
      </c>
      <c r="B60" s="51">
        <f t="shared" si="29"/>
        <v>46232</v>
      </c>
      <c r="C60" s="52" t="s">
        <v>87</v>
      </c>
      <c r="D60" s="79">
        <v>5509</v>
      </c>
      <c r="E60" s="62">
        <v>4.03</v>
      </c>
      <c r="F60" s="62">
        <v>8.19</v>
      </c>
      <c r="G60" s="62">
        <f t="shared" si="14"/>
        <v>222.01270000000002</v>
      </c>
      <c r="H60" s="63">
        <f t="shared" si="15"/>
        <v>451.18709999999999</v>
      </c>
      <c r="I60" s="202">
        <v>704.4000000000002</v>
      </c>
      <c r="J60" s="202">
        <v>725.53200000000027</v>
      </c>
      <c r="K60" s="202">
        <v>4.7211101646791587</v>
      </c>
      <c r="L60" s="202">
        <v>8.2867688813174318</v>
      </c>
      <c r="M60" s="58">
        <v>0</v>
      </c>
      <c r="N60" s="58" t="s">
        <v>167</v>
      </c>
      <c r="O60" s="59">
        <v>0</v>
      </c>
      <c r="P60" s="56">
        <v>0</v>
      </c>
      <c r="Q60" s="60">
        <v>0</v>
      </c>
      <c r="R60" s="61">
        <f t="shared" si="16"/>
        <v>725.53200000000027</v>
      </c>
      <c r="S60" s="62">
        <f t="shared" si="17"/>
        <v>34.253165000000003</v>
      </c>
      <c r="T60" s="63">
        <f t="shared" si="18"/>
        <v>60.123160000000006</v>
      </c>
      <c r="U60" s="64" t="s">
        <v>174</v>
      </c>
      <c r="V60" s="65" t="s">
        <v>922</v>
      </c>
      <c r="W60" s="66" t="s">
        <v>30</v>
      </c>
      <c r="X60" s="67">
        <v>3470</v>
      </c>
      <c r="Y60" s="68">
        <v>4.3</v>
      </c>
      <c r="Z60" s="68">
        <v>8.4</v>
      </c>
      <c r="AA60" s="62">
        <f t="shared" si="19"/>
        <v>149.20999999999998</v>
      </c>
      <c r="AB60" s="63">
        <f t="shared" si="20"/>
        <v>291.48</v>
      </c>
      <c r="AC60" s="69">
        <v>3500</v>
      </c>
      <c r="AD60" s="70">
        <v>4.2</v>
      </c>
      <c r="AE60" s="70">
        <v>8.18</v>
      </c>
      <c r="AF60" s="62">
        <f t="shared" si="21"/>
        <v>147</v>
      </c>
      <c r="AG60" s="63">
        <f t="shared" si="22"/>
        <v>286.3</v>
      </c>
      <c r="AH60" s="89">
        <v>2764</v>
      </c>
      <c r="AI60" s="66">
        <v>4.0999999999999996</v>
      </c>
      <c r="AJ60" s="66">
        <v>8.1999999999999993</v>
      </c>
      <c r="AK60" s="62">
        <f t="shared" si="39"/>
        <v>113.32399999999998</v>
      </c>
      <c r="AL60" s="72">
        <f t="shared" si="40"/>
        <v>226.64799999999997</v>
      </c>
      <c r="AM60" s="73">
        <f t="shared" si="23"/>
        <v>-29.467999999999847</v>
      </c>
      <c r="AN60" s="74">
        <f t="shared" si="24"/>
        <v>-4.0581349999999645</v>
      </c>
      <c r="AO60" s="74">
        <f t="shared" si="25"/>
        <v>-1.637740000000008</v>
      </c>
      <c r="AP60" s="75">
        <f t="shared" si="26"/>
        <v>-6.0352795046850698E-2</v>
      </c>
      <c r="AQ60" s="76">
        <f t="shared" si="27"/>
        <v>-2440.5544952905871</v>
      </c>
      <c r="AR60" s="77">
        <f t="shared" si="12"/>
        <v>0.5320000000001528</v>
      </c>
    </row>
    <row r="61" spans="1:44" x14ac:dyDescent="0.25">
      <c r="A61" t="str">
        <f t="shared" si="13"/>
        <v>46232E</v>
      </c>
      <c r="B61" s="51">
        <f t="shared" si="29"/>
        <v>46232</v>
      </c>
      <c r="C61" s="52" t="s">
        <v>88</v>
      </c>
      <c r="D61" s="79">
        <v>2764</v>
      </c>
      <c r="E61" s="62">
        <v>4.0999999999999996</v>
      </c>
      <c r="F61" s="62">
        <v>8.1999999999999993</v>
      </c>
      <c r="G61" s="62">
        <f t="shared" si="14"/>
        <v>113.32399999999998</v>
      </c>
      <c r="H61" s="63">
        <f t="shared" si="15"/>
        <v>226.64799999999997</v>
      </c>
      <c r="I61" s="202">
        <v>2268.1</v>
      </c>
      <c r="J61" s="202">
        <v>2336.143</v>
      </c>
      <c r="K61" s="202">
        <v>3.8686301309466082</v>
      </c>
      <c r="L61" s="202">
        <v>8.1585644371941264</v>
      </c>
      <c r="M61" s="58">
        <v>0</v>
      </c>
      <c r="N61" s="58" t="s">
        <v>167</v>
      </c>
      <c r="O61" s="59">
        <v>0</v>
      </c>
      <c r="P61" s="56">
        <v>0</v>
      </c>
      <c r="Q61" s="60">
        <v>0</v>
      </c>
      <c r="R61" s="61">
        <f t="shared" si="16"/>
        <v>2336.143</v>
      </c>
      <c r="S61" s="62">
        <f t="shared" si="17"/>
        <v>90.376732000000032</v>
      </c>
      <c r="T61" s="63">
        <f t="shared" si="18"/>
        <v>190.595732</v>
      </c>
      <c r="U61" s="64" t="s">
        <v>171</v>
      </c>
      <c r="V61" s="65" t="s">
        <v>923</v>
      </c>
      <c r="W61" s="66" t="s">
        <v>184</v>
      </c>
      <c r="X61" s="67">
        <v>3130</v>
      </c>
      <c r="Y61" s="68">
        <v>4</v>
      </c>
      <c r="Z61" s="68">
        <v>8.34</v>
      </c>
      <c r="AA61" s="62">
        <f t="shared" si="19"/>
        <v>125.2</v>
      </c>
      <c r="AB61" s="63">
        <f t="shared" si="20"/>
        <v>261.04200000000003</v>
      </c>
      <c r="AC61" s="221">
        <v>3130</v>
      </c>
      <c r="AD61" s="222">
        <v>4</v>
      </c>
      <c r="AE61" s="222">
        <v>8.34</v>
      </c>
      <c r="AF61" s="62">
        <f t="shared" si="21"/>
        <v>125.2</v>
      </c>
      <c r="AG61" s="63">
        <f t="shared" si="22"/>
        <v>261.04200000000003</v>
      </c>
      <c r="AH61" s="89">
        <v>1970</v>
      </c>
      <c r="AI61" s="66">
        <v>4</v>
      </c>
      <c r="AJ61" s="66">
        <v>8.1999999999999993</v>
      </c>
      <c r="AK61" s="62">
        <f t="shared" si="39"/>
        <v>78.8</v>
      </c>
      <c r="AL61" s="72">
        <f t="shared" si="40"/>
        <v>161.54</v>
      </c>
      <c r="AM61" s="73">
        <f t="shared" si="23"/>
        <v>0.1430000000000291</v>
      </c>
      <c r="AN61" s="74">
        <f t="shared" si="24"/>
        <v>-0.29926799999998366</v>
      </c>
      <c r="AO61" s="74">
        <f t="shared" si="25"/>
        <v>-5.3382680000000562</v>
      </c>
      <c r="AP61" s="75">
        <f t="shared" si="26"/>
        <v>-2.0064371859585636E-2</v>
      </c>
      <c r="AQ61" s="76">
        <f t="shared" si="27"/>
        <v>-1742.5717561139027</v>
      </c>
      <c r="AR61" s="77">
        <f t="shared" si="12"/>
        <v>0.1430000000000291</v>
      </c>
    </row>
    <row r="62" spans="1:44" x14ac:dyDescent="0.25">
      <c r="A62" t="str">
        <f t="shared" si="13"/>
        <v>46233M</v>
      </c>
      <c r="B62" s="51">
        <f t="shared" si="29"/>
        <v>46233</v>
      </c>
      <c r="C62" s="52" t="s">
        <v>87</v>
      </c>
      <c r="D62" s="79">
        <v>1970</v>
      </c>
      <c r="E62" s="62">
        <v>4</v>
      </c>
      <c r="F62" s="62">
        <v>8.1999999999999993</v>
      </c>
      <c r="G62" s="62">
        <f t="shared" si="14"/>
        <v>78.8</v>
      </c>
      <c r="H62" s="63">
        <f t="shared" si="15"/>
        <v>161.54</v>
      </c>
      <c r="I62" s="202">
        <v>850.0999999999998</v>
      </c>
      <c r="J62" s="202">
        <v>875.60299999999984</v>
      </c>
      <c r="K62" s="202">
        <v>4.5927067403834849</v>
      </c>
      <c r="L62" s="202">
        <v>8.2611575108810698</v>
      </c>
      <c r="M62" s="58">
        <v>0</v>
      </c>
      <c r="N62" s="58" t="s">
        <v>167</v>
      </c>
      <c r="O62" s="59">
        <v>0</v>
      </c>
      <c r="P62" s="56">
        <v>0</v>
      </c>
      <c r="Q62" s="60">
        <v>0</v>
      </c>
      <c r="R62" s="61">
        <f t="shared" si="16"/>
        <v>875.60299999999984</v>
      </c>
      <c r="S62" s="62">
        <f t="shared" si="17"/>
        <v>40.213878000000001</v>
      </c>
      <c r="T62" s="63">
        <f t="shared" si="18"/>
        <v>72.334942999999967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21"/>
        <v>0</v>
      </c>
      <c r="AG62" s="63">
        <f t="shared" si="22"/>
        <v>0</v>
      </c>
      <c r="AH62" s="89">
        <v>2845</v>
      </c>
      <c r="AI62" s="66">
        <v>4.18</v>
      </c>
      <c r="AJ62" s="66">
        <v>8.23</v>
      </c>
      <c r="AK62" s="62">
        <f t="shared" si="39"/>
        <v>118.92099999999999</v>
      </c>
      <c r="AL62" s="72">
        <f t="shared" si="40"/>
        <v>234.14349999999999</v>
      </c>
      <c r="AM62" s="73">
        <f t="shared" si="23"/>
        <v>0.60300000000006548</v>
      </c>
      <c r="AN62" s="74">
        <f t="shared" si="24"/>
        <v>9.2878000000013117E-2</v>
      </c>
      <c r="AO62" s="74">
        <f t="shared" si="25"/>
        <v>-0.26855700000001548</v>
      </c>
      <c r="AP62" s="75">
        <f t="shared" si="26"/>
        <v>-1.560913730051445E-3</v>
      </c>
      <c r="AQ62" s="76">
        <f t="shared" si="27"/>
        <v>-35.799528821419287</v>
      </c>
      <c r="AR62" s="77">
        <f t="shared" si="12"/>
        <v>0.60300000000006548</v>
      </c>
    </row>
    <row r="63" spans="1:44" x14ac:dyDescent="0.25">
      <c r="A63" t="str">
        <f t="shared" si="13"/>
        <v>46233E</v>
      </c>
      <c r="B63" s="51">
        <f t="shared" si="29"/>
        <v>46233</v>
      </c>
      <c r="C63" s="52" t="s">
        <v>88</v>
      </c>
      <c r="D63" s="79">
        <v>2845</v>
      </c>
      <c r="E63" s="62">
        <v>4.18</v>
      </c>
      <c r="F63" s="62">
        <v>8.23</v>
      </c>
      <c r="G63" s="62">
        <f t="shared" si="14"/>
        <v>118.92099999999999</v>
      </c>
      <c r="H63" s="63">
        <f t="shared" si="15"/>
        <v>234.14349999999999</v>
      </c>
      <c r="I63" s="202">
        <v>2264.5</v>
      </c>
      <c r="J63" s="202">
        <v>2332.4349999999999</v>
      </c>
      <c r="K63" s="202">
        <v>3.9953941267387951</v>
      </c>
      <c r="L63" s="202">
        <v>8.2053168469860918</v>
      </c>
      <c r="M63" s="58">
        <v>0</v>
      </c>
      <c r="N63" s="58" t="s">
        <v>167</v>
      </c>
      <c r="O63" s="59">
        <v>0</v>
      </c>
      <c r="P63" s="56">
        <v>0</v>
      </c>
      <c r="Q63" s="60">
        <v>0</v>
      </c>
      <c r="R63" s="61">
        <f t="shared" si="16"/>
        <v>2332.4349999999999</v>
      </c>
      <c r="S63" s="62">
        <f t="shared" si="17"/>
        <v>93.189971000000014</v>
      </c>
      <c r="T63" s="63">
        <f t="shared" si="18"/>
        <v>191.38368200000005</v>
      </c>
      <c r="U63" s="64" t="s">
        <v>171</v>
      </c>
      <c r="V63" s="65" t="s">
        <v>924</v>
      </c>
      <c r="W63" s="66" t="s">
        <v>305</v>
      </c>
      <c r="X63" s="67">
        <v>3130</v>
      </c>
      <c r="Y63" s="68">
        <v>4.25</v>
      </c>
      <c r="Z63" s="68">
        <v>8.32</v>
      </c>
      <c r="AA63" s="62">
        <f t="shared" si="19"/>
        <v>133.02500000000001</v>
      </c>
      <c r="AB63" s="63">
        <f t="shared" si="20"/>
        <v>260.416</v>
      </c>
      <c r="AC63" s="221">
        <v>3130</v>
      </c>
      <c r="AD63" s="222">
        <v>4.25</v>
      </c>
      <c r="AE63" s="222">
        <v>8.32</v>
      </c>
      <c r="AF63" s="62">
        <f t="shared" si="21"/>
        <v>133.02500000000001</v>
      </c>
      <c r="AG63" s="63">
        <f t="shared" si="22"/>
        <v>260.416</v>
      </c>
      <c r="AH63" s="89">
        <v>2047</v>
      </c>
      <c r="AI63" s="66">
        <v>4.09</v>
      </c>
      <c r="AJ63" s="66">
        <v>8.2100000000000009</v>
      </c>
      <c r="AK63" s="62">
        <f t="shared" si="39"/>
        <v>83.722300000000004</v>
      </c>
      <c r="AL63" s="72">
        <f t="shared" si="40"/>
        <v>168.05870000000002</v>
      </c>
      <c r="AM63" s="73">
        <f t="shared" si="23"/>
        <v>0.43499999999949068</v>
      </c>
      <c r="AN63" s="74">
        <f t="shared" si="24"/>
        <v>-4.6363290000000035</v>
      </c>
      <c r="AO63" s="74">
        <f t="shared" si="25"/>
        <v>-2.9475179999999739</v>
      </c>
      <c r="AP63" s="75">
        <f t="shared" si="26"/>
        <v>-2.6649856443315842E-2</v>
      </c>
      <c r="AQ63" s="76">
        <f t="shared" si="27"/>
        <v>-3110.6623811255176</v>
      </c>
      <c r="AR63" s="77">
        <f t="shared" si="12"/>
        <v>0.43499999999949068</v>
      </c>
    </row>
    <row r="64" spans="1:44" x14ac:dyDescent="0.25">
      <c r="A64" t="str">
        <f t="shared" si="13"/>
        <v>46234M</v>
      </c>
      <c r="B64" s="51">
        <f t="shared" si="29"/>
        <v>46234</v>
      </c>
      <c r="C64" s="52" t="s">
        <v>87</v>
      </c>
      <c r="D64" s="79"/>
      <c r="E64" s="62"/>
      <c r="F64" s="62"/>
      <c r="G64" s="62">
        <f t="shared" si="14"/>
        <v>0</v>
      </c>
      <c r="H64" s="63">
        <f t="shared" si="15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6"/>
        <v>0</v>
      </c>
      <c r="S64" s="62">
        <f t="shared" si="17"/>
        <v>0</v>
      </c>
      <c r="T64" s="63">
        <f t="shared" si="18"/>
        <v>0</v>
      </c>
      <c r="U64" s="64"/>
      <c r="V64" s="65"/>
      <c r="W64" s="66"/>
      <c r="X64" s="68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21"/>
        <v>0</v>
      </c>
      <c r="AG64" s="63">
        <f t="shared" si="22"/>
        <v>0</v>
      </c>
      <c r="AH64" s="71"/>
      <c r="AI64" s="71"/>
      <c r="AJ64" s="71"/>
      <c r="AK64" s="62">
        <f t="shared" ref="AK64:AK65" si="41">AH64*AI64%</f>
        <v>0</v>
      </c>
      <c r="AL64" s="72">
        <f t="shared" ref="AL64:AL65" si="42">AH64*AJ64%</f>
        <v>0</v>
      </c>
      <c r="AM64" s="73">
        <f t="shared" si="23"/>
        <v>0</v>
      </c>
      <c r="AN64" s="74">
        <f t="shared" si="24"/>
        <v>0</v>
      </c>
      <c r="AO64" s="74">
        <f t="shared" si="25"/>
        <v>0</v>
      </c>
      <c r="AP64" s="75" t="e">
        <f t="shared" si="26"/>
        <v>#DIV/0!</v>
      </c>
      <c r="AQ64" s="76">
        <f t="shared" si="27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29"/>
        <v>46234</v>
      </c>
      <c r="C65" s="52" t="s">
        <v>88</v>
      </c>
      <c r="D65" s="79"/>
      <c r="E65" s="62"/>
      <c r="F65" s="62"/>
      <c r="G65" s="62">
        <f t="shared" si="14"/>
        <v>0</v>
      </c>
      <c r="H65" s="63">
        <f t="shared" si="15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6"/>
        <v>0</v>
      </c>
      <c r="S65" s="62">
        <f t="shared" si="17"/>
        <v>0</v>
      </c>
      <c r="T65" s="63">
        <f t="shared" si="18"/>
        <v>0</v>
      </c>
      <c r="U65" s="64"/>
      <c r="V65" s="65"/>
      <c r="W65" s="66"/>
      <c r="X65" s="68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21"/>
        <v>0</v>
      </c>
      <c r="AG65" s="63">
        <f t="shared" si="22"/>
        <v>0</v>
      </c>
      <c r="AH65" s="71"/>
      <c r="AI65" s="71"/>
      <c r="AJ65" s="71"/>
      <c r="AK65" s="62">
        <f t="shared" si="41"/>
        <v>0</v>
      </c>
      <c r="AL65" s="72">
        <f t="shared" si="42"/>
        <v>0</v>
      </c>
      <c r="AM65" s="73">
        <f t="shared" si="23"/>
        <v>0</v>
      </c>
      <c r="AN65" s="74">
        <f t="shared" si="24"/>
        <v>0</v>
      </c>
      <c r="AO65" s="74">
        <f t="shared" si="25"/>
        <v>0</v>
      </c>
      <c r="AP65" s="75" t="e">
        <f t="shared" si="26"/>
        <v>#DIV/0!</v>
      </c>
      <c r="AQ65" s="76">
        <f t="shared" si="27"/>
        <v>0</v>
      </c>
      <c r="AR65" s="77">
        <f t="shared" si="12"/>
        <v>0</v>
      </c>
    </row>
    <row r="66" spans="1:44" x14ac:dyDescent="0.25">
      <c r="J66">
        <f>SUM(J4:J65)</f>
        <v>100203.54999999999</v>
      </c>
      <c r="X66" s="77"/>
      <c r="AH66" s="77"/>
      <c r="AI66" s="77"/>
      <c r="AJ66" s="77"/>
      <c r="AM66" s="83">
        <f>-SUM(AM4:AM65)</f>
        <v>493.44999999999368</v>
      </c>
      <c r="AN66" s="83">
        <f t="shared" ref="AN66:AO66" si="43">-SUM(AN4:AN65)</f>
        <v>120.20267399999967</v>
      </c>
      <c r="AO66" s="83">
        <f t="shared" si="43"/>
        <v>-39.199944000000428</v>
      </c>
      <c r="AP66" s="83" t="e">
        <f>-SUM(AP4:AP65)</f>
        <v>#DIV/0!</v>
      </c>
      <c r="AQ66" s="126">
        <f>-SUM(AQ4:AQ65)</f>
        <v>46021.262774325733</v>
      </c>
    </row>
    <row r="67" spans="1:44" x14ac:dyDescent="0.25">
      <c r="Q67">
        <f>2126*27</f>
        <v>57402</v>
      </c>
      <c r="X67" s="77"/>
      <c r="AH67" s="86"/>
      <c r="AI67" s="86"/>
      <c r="AJ67" s="86"/>
    </row>
    <row r="68" spans="1:44" x14ac:dyDescent="0.25">
      <c r="Q68">
        <f>2600*37</f>
        <v>96200</v>
      </c>
      <c r="AH68" s="77"/>
      <c r="AI68" s="77"/>
      <c r="AJ68" s="77"/>
    </row>
    <row r="69" spans="1:44" x14ac:dyDescent="0.25">
      <c r="X69" s="77"/>
    </row>
  </sheetData>
  <autoFilter ref="D3:AQ66" xr:uid="{00000000-0009-0000-0000-000001000000}"/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6" priority="1" operator="lessThan">
      <formula>0.1</formula>
    </cfRule>
    <cfRule type="cellIs" dxfId="125" priority="2" operator="greaterThan">
      <formula>0.1</formula>
    </cfRule>
  </conditionalFormatting>
  <conditionalFormatting sqref="AP1:AQ1">
    <cfRule type="cellIs" dxfId="124" priority="13" operator="lessThan">
      <formula>1</formula>
    </cfRule>
  </conditionalFormatting>
  <conditionalFormatting sqref="AQ4:AQ65">
    <cfRule type="cellIs" dxfId="123" priority="11" operator="lessThan">
      <formula>0</formula>
    </cfRule>
    <cfRule type="cellIs" dxfId="122" priority="1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9"/>
  <sheetViews>
    <sheetView topLeftCell="A30" zoomScale="80" zoomScaleNormal="80" workbookViewId="0">
      <selection activeCell="V63" sqref="V63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154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0" t="s">
        <v>64</v>
      </c>
      <c r="C2" s="242" t="s">
        <v>65</v>
      </c>
      <c r="D2" s="244" t="s">
        <v>66</v>
      </c>
      <c r="E2" s="245"/>
      <c r="F2" s="245"/>
      <c r="G2" s="245"/>
      <c r="H2" s="246"/>
      <c r="I2" s="237" t="s">
        <v>67</v>
      </c>
      <c r="J2" s="238"/>
      <c r="K2" s="238"/>
      <c r="L2" s="239"/>
      <c r="M2" s="237" t="s">
        <v>68</v>
      </c>
      <c r="N2" s="238"/>
      <c r="O2" s="238"/>
      <c r="P2" s="238"/>
      <c r="Q2" s="239"/>
      <c r="R2" s="237" t="s">
        <v>69</v>
      </c>
      <c r="S2" s="238"/>
      <c r="T2" s="239"/>
      <c r="U2" s="234" t="s">
        <v>70</v>
      </c>
      <c r="V2" s="235"/>
      <c r="W2" s="235"/>
      <c r="X2" s="235"/>
      <c r="Y2" s="235"/>
      <c r="Z2" s="235"/>
      <c r="AA2" s="235"/>
      <c r="AB2" s="236"/>
      <c r="AC2" s="237" t="s">
        <v>71</v>
      </c>
      <c r="AD2" s="238"/>
      <c r="AE2" s="238"/>
      <c r="AF2" s="238"/>
      <c r="AG2" s="239"/>
      <c r="AH2" s="237" t="s">
        <v>72</v>
      </c>
      <c r="AI2" s="238"/>
      <c r="AJ2" s="238"/>
      <c r="AK2" s="238"/>
      <c r="AL2" s="239"/>
      <c r="AM2" s="234" t="s">
        <v>73</v>
      </c>
      <c r="AN2" s="235"/>
      <c r="AO2" s="235"/>
      <c r="AP2" s="235"/>
      <c r="AQ2" s="236"/>
    </row>
    <row r="3" spans="1:46" x14ac:dyDescent="0.25">
      <c r="B3" s="241"/>
      <c r="C3" s="24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0</v>
      </c>
      <c r="E4" s="54">
        <v>0</v>
      </c>
      <c r="F4" s="55">
        <v>0</v>
      </c>
      <c r="G4" s="62">
        <f t="shared" ref="G4:G65" si="0">+D4*E4%</f>
        <v>0</v>
      </c>
      <c r="H4" s="63">
        <f t="shared" ref="H4:H65" si="1">+D4*F4%</f>
        <v>0</v>
      </c>
      <c r="I4" s="202">
        <v>559.06000000000006</v>
      </c>
      <c r="J4" s="202">
        <v>575.83180000000004</v>
      </c>
      <c r="K4" s="202">
        <v>4.9612241977605249</v>
      </c>
      <c r="L4" s="202">
        <v>8.4924301506099518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575.83180000000004</v>
      </c>
      <c r="S4" s="62">
        <f t="shared" ref="S4:S65" si="2">+J4*K4%+O4*P4%</f>
        <v>28.568306599999993</v>
      </c>
      <c r="T4" s="63">
        <f t="shared" ref="T4:T65" si="3">+J4*L4%+O4*Q4%</f>
        <v>48.902113399999998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576</v>
      </c>
      <c r="AI4" s="66">
        <v>5</v>
      </c>
      <c r="AJ4" s="66">
        <v>8.5</v>
      </c>
      <c r="AK4" s="62">
        <f t="shared" ref="AK4:AK65" si="8">AH4*AI4%</f>
        <v>28.8</v>
      </c>
      <c r="AL4" s="72">
        <f t="shared" ref="AL4:AL65" si="9">AH4*AJ4%</f>
        <v>48.96</v>
      </c>
      <c r="AM4" s="73">
        <f>+D4+R4-AC4-AH4</f>
        <v>-0.16819999999995616</v>
      </c>
      <c r="AN4" s="74">
        <f t="shared" ref="AN4:AO19" si="10">+G4+S4-AF4-AK4</f>
        <v>-0.23169340000000815</v>
      </c>
      <c r="AO4" s="74">
        <f t="shared" si="10"/>
        <v>-5.7886600000003341E-2</v>
      </c>
      <c r="AP4" s="75">
        <f>(AN4+AO4)/(S4+T4)</f>
        <v>-3.7379428174006482E-3</v>
      </c>
      <c r="AQ4" s="76">
        <f t="shared" ref="AQ4:AQ65" si="11">($AP$1*AN4+$AQ$1*AO4)</f>
        <v>-128.67274085592481</v>
      </c>
      <c r="AR4" s="77">
        <f t="shared" ref="AR4:AR65" si="12">(D4+J4+O4)-(X4+AH4)</f>
        <v>-0.16819999999995616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576</v>
      </c>
      <c r="E5" s="62">
        <v>5</v>
      </c>
      <c r="F5" s="62">
        <v>8.5</v>
      </c>
      <c r="G5" s="62">
        <f t="shared" si="0"/>
        <v>28.8</v>
      </c>
      <c r="H5" s="63">
        <f t="shared" si="1"/>
        <v>48.96</v>
      </c>
      <c r="I5" s="202">
        <v>201.33</v>
      </c>
      <c r="J5" s="202">
        <v>207.36990000000003</v>
      </c>
      <c r="K5" s="202">
        <v>5.4829682610639248</v>
      </c>
      <c r="L5" s="202">
        <v>8.6711617742015594</v>
      </c>
      <c r="M5" s="58" t="s">
        <v>185</v>
      </c>
      <c r="N5" s="58">
        <v>87086</v>
      </c>
      <c r="O5" s="59">
        <v>1280</v>
      </c>
      <c r="P5" s="56">
        <v>4.2</v>
      </c>
      <c r="Q5" s="60">
        <v>8</v>
      </c>
      <c r="R5" s="61">
        <f t="shared" ref="R5:R65" si="14">+J5+O5</f>
        <v>1487.3699000000001</v>
      </c>
      <c r="S5" s="62">
        <f t="shared" si="2"/>
        <v>65.130025799999999</v>
      </c>
      <c r="T5" s="63">
        <f t="shared" si="3"/>
        <v>120.38137950000001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2063</v>
      </c>
      <c r="AI5" s="66">
        <v>4.55</v>
      </c>
      <c r="AJ5" s="66">
        <v>8.2100000000000009</v>
      </c>
      <c r="AK5" s="62">
        <f t="shared" si="8"/>
        <v>93.866500000000002</v>
      </c>
      <c r="AL5" s="72">
        <f t="shared" si="9"/>
        <v>169.37230000000002</v>
      </c>
      <c r="AM5" s="73">
        <f t="shared" ref="AM5:AM65" si="15">+D5+R5-AC5-AH5</f>
        <v>0.36990000000014334</v>
      </c>
      <c r="AN5" s="74">
        <f t="shared" si="10"/>
        <v>6.3525799999993637E-2</v>
      </c>
      <c r="AO5" s="74">
        <f t="shared" si="10"/>
        <v>-3.0920500000007678E-2</v>
      </c>
      <c r="AP5" s="75">
        <f t="shared" ref="AP5:AP65" si="16">(AN5+AO5)/(S5+T5)</f>
        <v>1.7575900493696471E-4</v>
      </c>
      <c r="AQ5" s="76">
        <f t="shared" si="11"/>
        <v>21.265799957813584</v>
      </c>
      <c r="AR5" s="77">
        <f t="shared" si="12"/>
        <v>0.36990000000014334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2063</v>
      </c>
      <c r="E6" s="62">
        <v>4.55</v>
      </c>
      <c r="F6" s="62">
        <v>8.2100000000000009</v>
      </c>
      <c r="G6" s="62">
        <f t="shared" si="0"/>
        <v>93.866500000000002</v>
      </c>
      <c r="H6" s="63">
        <f t="shared" si="1"/>
        <v>169.37230000000002</v>
      </c>
      <c r="I6" s="202">
        <v>670.6400000000001</v>
      </c>
      <c r="J6" s="202">
        <v>690.75920000000008</v>
      </c>
      <c r="K6" s="202">
        <v>4.7663739114875359</v>
      </c>
      <c r="L6" s="202">
        <v>8.567446021710607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4"/>
        <v>690.75920000000008</v>
      </c>
      <c r="S6" s="62">
        <f t="shared" si="2"/>
        <v>32.92416630000001</v>
      </c>
      <c r="T6" s="63">
        <f t="shared" si="3"/>
        <v>59.180421600000017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2754</v>
      </c>
      <c r="AI6" s="66">
        <v>4.6100000000000003</v>
      </c>
      <c r="AJ6" s="66">
        <v>8.3000000000000007</v>
      </c>
      <c r="AK6" s="62">
        <f t="shared" si="8"/>
        <v>126.9594</v>
      </c>
      <c r="AL6" s="72">
        <f t="shared" si="9"/>
        <v>228.58200000000002</v>
      </c>
      <c r="AM6" s="73">
        <f t="shared" si="15"/>
        <v>-0.24080000000003565</v>
      </c>
      <c r="AN6" s="74">
        <f t="shared" si="10"/>
        <v>-0.16873369999998999</v>
      </c>
      <c r="AO6" s="74">
        <f t="shared" si="10"/>
        <v>-2.9278399999981275E-2</v>
      </c>
      <c r="AP6" s="75">
        <f t="shared" si="16"/>
        <v>-2.1498614185751241E-3</v>
      </c>
      <c r="AQ6" s="76">
        <f t="shared" si="11"/>
        <v>-89.850654677531196</v>
      </c>
      <c r="AR6" s="77">
        <f t="shared" si="12"/>
        <v>-0.24080000000003565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2754</v>
      </c>
      <c r="E7" s="62">
        <v>4.6100000000000003</v>
      </c>
      <c r="F7" s="62">
        <v>8.3000000000000007</v>
      </c>
      <c r="G7" s="62">
        <f t="shared" si="0"/>
        <v>126.9594</v>
      </c>
      <c r="H7" s="63">
        <f t="shared" si="1"/>
        <v>228.58200000000002</v>
      </c>
      <c r="I7" s="202">
        <v>1004.5</v>
      </c>
      <c r="J7" s="202">
        <v>1034.635</v>
      </c>
      <c r="K7" s="202">
        <v>4.5035072175211575</v>
      </c>
      <c r="L7" s="202">
        <v>8.440634146341468</v>
      </c>
      <c r="M7" s="58" t="s">
        <v>185</v>
      </c>
      <c r="N7" s="58">
        <v>87087</v>
      </c>
      <c r="O7" s="59">
        <v>1010</v>
      </c>
      <c r="P7" s="56">
        <v>4.0999999999999996</v>
      </c>
      <c r="Q7" s="60">
        <v>8</v>
      </c>
      <c r="R7" s="61">
        <f t="shared" si="14"/>
        <v>2044.635</v>
      </c>
      <c r="S7" s="62">
        <f t="shared" si="2"/>
        <v>88.004861900000023</v>
      </c>
      <c r="T7" s="63">
        <f t="shared" si="3"/>
        <v>168.12975510000004</v>
      </c>
      <c r="U7" s="64" t="s">
        <v>171</v>
      </c>
      <c r="V7" s="65" t="s">
        <v>215</v>
      </c>
      <c r="W7" s="66" t="s">
        <v>184</v>
      </c>
      <c r="X7" s="67">
        <v>3150</v>
      </c>
      <c r="Y7" s="68">
        <v>4.2</v>
      </c>
      <c r="Z7" s="68">
        <v>8.1300000000000008</v>
      </c>
      <c r="AA7" s="62">
        <f t="shared" si="4"/>
        <v>132.30000000000001</v>
      </c>
      <c r="AB7" s="63">
        <f t="shared" si="5"/>
        <v>256.09500000000003</v>
      </c>
      <c r="AC7" s="69">
        <v>3150</v>
      </c>
      <c r="AD7" s="70">
        <v>4.0999999999999996</v>
      </c>
      <c r="AE7" s="70">
        <v>7.85</v>
      </c>
      <c r="AF7" s="62">
        <f t="shared" si="6"/>
        <v>129.14999999999998</v>
      </c>
      <c r="AG7" s="63">
        <f t="shared" si="7"/>
        <v>247.27500000000001</v>
      </c>
      <c r="AH7" s="71">
        <v>1649</v>
      </c>
      <c r="AI7" s="71">
        <v>4.47</v>
      </c>
      <c r="AJ7" s="71">
        <v>8.25</v>
      </c>
      <c r="AK7" s="62">
        <f t="shared" si="8"/>
        <v>73.710299999999989</v>
      </c>
      <c r="AL7" s="72">
        <f t="shared" si="9"/>
        <v>136.04250000000002</v>
      </c>
      <c r="AM7" s="73">
        <f t="shared" si="15"/>
        <v>-0.36499999999978172</v>
      </c>
      <c r="AN7" s="74">
        <f t="shared" si="10"/>
        <v>12.103961900000058</v>
      </c>
      <c r="AO7" s="74">
        <f t="shared" si="10"/>
        <v>13.394255100000038</v>
      </c>
      <c r="AP7" s="75">
        <f t="shared" si="16"/>
        <v>9.9550061989473651E-2</v>
      </c>
      <c r="AQ7" s="76">
        <f t="shared" si="11"/>
        <v>9827.807793592101</v>
      </c>
      <c r="AR7" s="77">
        <f t="shared" si="12"/>
        <v>-0.36499999999978172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1649</v>
      </c>
      <c r="E8" s="62">
        <v>4.47</v>
      </c>
      <c r="F8" s="62">
        <v>8.25</v>
      </c>
      <c r="G8" s="62">
        <f t="shared" si="0"/>
        <v>73.710299999999989</v>
      </c>
      <c r="H8" s="63">
        <f t="shared" si="1"/>
        <v>136.04250000000002</v>
      </c>
      <c r="I8" s="202">
        <v>605.04999999999995</v>
      </c>
      <c r="J8" s="202">
        <v>623.20150000000001</v>
      </c>
      <c r="K8" s="202">
        <v>4.8882307247334955</v>
      </c>
      <c r="L8" s="202">
        <v>8.6516833319560398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4"/>
        <v>623.20150000000001</v>
      </c>
      <c r="S8" s="62">
        <f t="shared" si="2"/>
        <v>30.463527200000016</v>
      </c>
      <c r="T8" s="63">
        <f t="shared" si="3"/>
        <v>53.917420300000018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2110</v>
      </c>
      <c r="AI8" s="71">
        <v>4.5599999999999996</v>
      </c>
      <c r="AJ8" s="71">
        <v>8.33</v>
      </c>
      <c r="AK8" s="62">
        <f t="shared" si="8"/>
        <v>96.215999999999994</v>
      </c>
      <c r="AL8" s="72">
        <f t="shared" si="9"/>
        <v>175.76300000000001</v>
      </c>
      <c r="AM8" s="73">
        <f t="shared" si="15"/>
        <v>162.20150000000012</v>
      </c>
      <c r="AN8" s="74">
        <f t="shared" si="10"/>
        <v>7.9578272000000112</v>
      </c>
      <c r="AO8" s="74">
        <f t="shared" si="10"/>
        <v>14.196920300000016</v>
      </c>
      <c r="AP8" s="75">
        <f t="shared" si="16"/>
        <v>0.2625562778848865</v>
      </c>
      <c r="AQ8" s="76">
        <f t="shared" si="11"/>
        <v>8075.8462100415363</v>
      </c>
      <c r="AR8" s="90">
        <f t="shared" si="12"/>
        <v>162.20150000000012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2110</v>
      </c>
      <c r="E9" s="62">
        <v>4.5599999999999996</v>
      </c>
      <c r="F9" s="62">
        <v>8.33</v>
      </c>
      <c r="G9" s="62">
        <f t="shared" si="0"/>
        <v>96.215999999999994</v>
      </c>
      <c r="H9" s="63">
        <f t="shared" si="1"/>
        <v>175.76300000000001</v>
      </c>
      <c r="I9" s="202">
        <v>1083.8200000000002</v>
      </c>
      <c r="J9" s="202">
        <v>1116.3346000000001</v>
      </c>
      <c r="K9" s="202">
        <v>4.5036740418150609</v>
      </c>
      <c r="L9" s="202">
        <v>8.2500941115683428</v>
      </c>
      <c r="M9" s="58" t="s">
        <v>185</v>
      </c>
      <c r="N9" s="58" t="s">
        <v>295</v>
      </c>
      <c r="O9" s="59">
        <v>1670</v>
      </c>
      <c r="P9" s="56">
        <v>4</v>
      </c>
      <c r="Q9" s="60">
        <v>8</v>
      </c>
      <c r="R9" s="61">
        <f t="shared" si="14"/>
        <v>2786.3346000000001</v>
      </c>
      <c r="S9" s="62">
        <f t="shared" si="2"/>
        <v>117.07607160000001</v>
      </c>
      <c r="T9" s="63">
        <f t="shared" si="3"/>
        <v>225.69865510000002</v>
      </c>
      <c r="U9" s="64" t="s">
        <v>171</v>
      </c>
      <c r="V9" s="65" t="s">
        <v>303</v>
      </c>
      <c r="W9" s="66" t="s">
        <v>181</v>
      </c>
      <c r="X9" s="67">
        <v>3150</v>
      </c>
      <c r="Y9" s="68">
        <v>4.2</v>
      </c>
      <c r="Z9" s="68">
        <v>8.0500000000000007</v>
      </c>
      <c r="AA9" s="62">
        <f t="shared" si="4"/>
        <v>132.30000000000001</v>
      </c>
      <c r="AB9" s="63">
        <f t="shared" si="5"/>
        <v>253.57500000000002</v>
      </c>
      <c r="AC9" s="69">
        <v>3170</v>
      </c>
      <c r="AD9" s="70">
        <v>4.1500000000000004</v>
      </c>
      <c r="AE9" s="70">
        <v>7.99</v>
      </c>
      <c r="AF9" s="62">
        <f t="shared" si="6"/>
        <v>131.55500000000001</v>
      </c>
      <c r="AG9" s="63">
        <f t="shared" si="7"/>
        <v>253.28299999999999</v>
      </c>
      <c r="AH9" s="82">
        <v>1746</v>
      </c>
      <c r="AI9" s="82">
        <v>4.3499999999999996</v>
      </c>
      <c r="AJ9" s="82">
        <v>8.18</v>
      </c>
      <c r="AK9" s="62">
        <f t="shared" si="8"/>
        <v>75.950999999999993</v>
      </c>
      <c r="AL9" s="72">
        <f t="shared" si="9"/>
        <v>142.8228</v>
      </c>
      <c r="AM9" s="73">
        <f t="shared" si="15"/>
        <v>-19.665399999999863</v>
      </c>
      <c r="AN9" s="74">
        <f t="shared" si="10"/>
        <v>5.7860715999999854</v>
      </c>
      <c r="AO9" s="74">
        <f t="shared" si="10"/>
        <v>5.3558551000000421</v>
      </c>
      <c r="AP9" s="75">
        <f t="shared" si="16"/>
        <v>3.2505099799121293E-2</v>
      </c>
      <c r="AQ9" s="76">
        <f t="shared" si="11"/>
        <v>4384.426641639945</v>
      </c>
      <c r="AR9" s="90">
        <f t="shared" si="12"/>
        <v>0.33460000000013679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1746</v>
      </c>
      <c r="E10" s="62">
        <v>4.3499999999999996</v>
      </c>
      <c r="F10" s="62">
        <v>8.18</v>
      </c>
      <c r="G10" s="62">
        <f t="shared" si="0"/>
        <v>75.950999999999993</v>
      </c>
      <c r="H10" s="63">
        <f t="shared" si="1"/>
        <v>142.8228</v>
      </c>
      <c r="I10" s="202">
        <v>646.32000000000005</v>
      </c>
      <c r="J10" s="202">
        <v>665.70960000000002</v>
      </c>
      <c r="K10" s="202">
        <v>4.8585220943186043</v>
      </c>
      <c r="L10" s="202">
        <v>8.300013924990715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4"/>
        <v>665.70960000000002</v>
      </c>
      <c r="S10" s="62">
        <f t="shared" si="2"/>
        <v>32.343648000000002</v>
      </c>
      <c r="T10" s="63">
        <f t="shared" si="3"/>
        <v>55.253989499999989</v>
      </c>
      <c r="U10" s="64" t="s">
        <v>167</v>
      </c>
      <c r="V10" s="13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2412</v>
      </c>
      <c r="AI10" s="71">
        <v>4.5</v>
      </c>
      <c r="AJ10" s="71">
        <v>8.2100000000000009</v>
      </c>
      <c r="AK10" s="62">
        <f t="shared" si="8"/>
        <v>108.53999999999999</v>
      </c>
      <c r="AL10" s="72">
        <f t="shared" si="9"/>
        <v>198.02520000000001</v>
      </c>
      <c r="AM10" s="73">
        <f t="shared" si="15"/>
        <v>-0.29039999999986321</v>
      </c>
      <c r="AN10" s="74">
        <f t="shared" si="10"/>
        <v>-0.24535199999999691</v>
      </c>
      <c r="AO10" s="74">
        <f t="shared" si="10"/>
        <v>5.1589499999977306E-2</v>
      </c>
      <c r="AP10" s="75">
        <f t="shared" si="16"/>
        <v>-2.2119603396840424E-3</v>
      </c>
      <c r="AQ10" s="76">
        <f t="shared" si="11"/>
        <v>-102.44902535672365</v>
      </c>
      <c r="AR10" s="90">
        <f t="shared" si="12"/>
        <v>-0.29039999999986321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2412</v>
      </c>
      <c r="E11" s="62">
        <v>4.5</v>
      </c>
      <c r="F11" s="62">
        <v>8.2100000000000009</v>
      </c>
      <c r="G11" s="62">
        <f t="shared" si="0"/>
        <v>108.53999999999999</v>
      </c>
      <c r="H11" s="63">
        <f t="shared" si="1"/>
        <v>198.02520000000001</v>
      </c>
      <c r="I11" s="202">
        <v>1103.24</v>
      </c>
      <c r="J11" s="202">
        <v>1136.3371999999999</v>
      </c>
      <c r="K11" s="202">
        <v>4.2164007831478196</v>
      </c>
      <c r="L11" s="202">
        <v>8.2083454189478289</v>
      </c>
      <c r="M11" s="58" t="s">
        <v>185</v>
      </c>
      <c r="N11" s="58" t="s">
        <v>296</v>
      </c>
      <c r="O11" s="59">
        <v>1030</v>
      </c>
      <c r="P11" s="56">
        <v>4.0999999999999996</v>
      </c>
      <c r="Q11" s="60">
        <v>8</v>
      </c>
      <c r="R11" s="61">
        <f t="shared" si="14"/>
        <v>2166.3371999999999</v>
      </c>
      <c r="S11" s="62">
        <f t="shared" si="2"/>
        <v>90.142530600000001</v>
      </c>
      <c r="T11" s="63">
        <f t="shared" si="3"/>
        <v>175.67448250000004</v>
      </c>
      <c r="U11" s="64" t="s">
        <v>180</v>
      </c>
      <c r="V11" s="13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4578</v>
      </c>
      <c r="AI11" s="71">
        <v>4.33</v>
      </c>
      <c r="AJ11" s="71">
        <v>8.16</v>
      </c>
      <c r="AK11" s="62">
        <f t="shared" si="8"/>
        <v>198.22739999999999</v>
      </c>
      <c r="AL11" s="72">
        <f t="shared" si="9"/>
        <v>373.56480000000005</v>
      </c>
      <c r="AM11" s="73">
        <f t="shared" si="15"/>
        <v>0.33719999999993888</v>
      </c>
      <c r="AN11" s="74">
        <f t="shared" si="10"/>
        <v>0.45513060000001815</v>
      </c>
      <c r="AO11" s="74">
        <f t="shared" si="10"/>
        <v>0.13488250000000335</v>
      </c>
      <c r="AP11" s="75">
        <f t="shared" si="16"/>
        <v>2.2196212842782162E-3</v>
      </c>
      <c r="AQ11" s="76">
        <f t="shared" si="11"/>
        <v>259.10117413129586</v>
      </c>
      <c r="AR11" s="90">
        <f t="shared" si="12"/>
        <v>0.33719999999993888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4578</v>
      </c>
      <c r="E12" s="62">
        <v>4.33</v>
      </c>
      <c r="F12" s="62">
        <v>8.16</v>
      </c>
      <c r="G12" s="62">
        <f t="shared" si="0"/>
        <v>198.22739999999999</v>
      </c>
      <c r="H12" s="63">
        <f t="shared" si="1"/>
        <v>373.56480000000005</v>
      </c>
      <c r="I12" s="202">
        <v>581.52</v>
      </c>
      <c r="J12" s="202">
        <v>598.96559999999999</v>
      </c>
      <c r="K12" s="202">
        <v>4.8253439262622111</v>
      </c>
      <c r="L12" s="202">
        <v>8.2871698307882795</v>
      </c>
      <c r="M12" s="58" t="s">
        <v>165</v>
      </c>
      <c r="N12" s="58" t="s">
        <v>263</v>
      </c>
      <c r="O12" s="59">
        <v>3130</v>
      </c>
      <c r="P12" s="56">
        <v>4.2</v>
      </c>
      <c r="Q12" s="60">
        <v>8.15</v>
      </c>
      <c r="R12" s="61">
        <f t="shared" si="14"/>
        <v>3728.9656</v>
      </c>
      <c r="S12" s="62">
        <f t="shared" si="2"/>
        <v>160.36215020000003</v>
      </c>
      <c r="T12" s="63">
        <f t="shared" si="3"/>
        <v>304.73229650000002</v>
      </c>
      <c r="U12" s="64" t="s">
        <v>171</v>
      </c>
      <c r="V12" s="65" t="s">
        <v>304</v>
      </c>
      <c r="W12" s="66" t="s">
        <v>305</v>
      </c>
      <c r="X12" s="67">
        <v>6280</v>
      </c>
      <c r="Y12" s="68">
        <v>4.28</v>
      </c>
      <c r="Z12" s="68">
        <v>8.1999999999999993</v>
      </c>
      <c r="AA12" s="62">
        <f t="shared" si="4"/>
        <v>268.78400000000005</v>
      </c>
      <c r="AB12" s="63">
        <f t="shared" si="5"/>
        <v>514.95999999999992</v>
      </c>
      <c r="AC12" s="69">
        <v>6240</v>
      </c>
      <c r="AD12" s="70">
        <v>4.225480769230769</v>
      </c>
      <c r="AE12" s="70">
        <v>8.1296794871794873</v>
      </c>
      <c r="AF12" s="62">
        <f t="shared" si="6"/>
        <v>263.66999999999996</v>
      </c>
      <c r="AG12" s="63">
        <f t="shared" si="7"/>
        <v>507.29200000000003</v>
      </c>
      <c r="AH12" s="71">
        <v>2027</v>
      </c>
      <c r="AI12" s="71">
        <v>4.3099999999999996</v>
      </c>
      <c r="AJ12" s="71">
        <v>8.16</v>
      </c>
      <c r="AK12" s="62">
        <f t="shared" si="8"/>
        <v>87.363699999999994</v>
      </c>
      <c r="AL12" s="72">
        <f t="shared" si="9"/>
        <v>165.4032</v>
      </c>
      <c r="AM12" s="73">
        <f t="shared" si="15"/>
        <v>39.96559999999954</v>
      </c>
      <c r="AN12" s="74">
        <f t="shared" si="10"/>
        <v>7.5558502000000658</v>
      </c>
      <c r="AO12" s="74">
        <f t="shared" si="10"/>
        <v>5.6018965000000378</v>
      </c>
      <c r="AP12" s="75">
        <f t="shared" si="16"/>
        <v>2.8290483348830969E-2</v>
      </c>
      <c r="AQ12" s="76">
        <f t="shared" si="11"/>
        <v>5308.5500678213157</v>
      </c>
      <c r="AR12" s="90">
        <f t="shared" si="12"/>
        <v>-3.4400000000459841E-2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2027</v>
      </c>
      <c r="E13" s="62">
        <v>4.3099999999999996</v>
      </c>
      <c r="F13" s="62">
        <v>8.16</v>
      </c>
      <c r="G13" s="62">
        <f t="shared" si="0"/>
        <v>87.363699999999994</v>
      </c>
      <c r="H13" s="63">
        <f t="shared" si="1"/>
        <v>165.4032</v>
      </c>
      <c r="I13" s="202">
        <v>1006.7200000000001</v>
      </c>
      <c r="J13" s="202">
        <v>1036.9216000000001</v>
      </c>
      <c r="K13" s="202">
        <v>4.1624999999999988</v>
      </c>
      <c r="L13" s="202">
        <v>8.0943946678321659</v>
      </c>
      <c r="M13" s="58" t="s">
        <v>185</v>
      </c>
      <c r="N13" s="58" t="s">
        <v>297</v>
      </c>
      <c r="O13" s="59">
        <v>1300</v>
      </c>
      <c r="P13" s="56">
        <v>4.0999999999999996</v>
      </c>
      <c r="Q13" s="60">
        <v>7.8</v>
      </c>
      <c r="R13" s="61">
        <f t="shared" si="14"/>
        <v>2336.9216000000001</v>
      </c>
      <c r="S13" s="62">
        <f t="shared" si="2"/>
        <v>96.461861599999992</v>
      </c>
      <c r="T13" s="63">
        <f t="shared" si="3"/>
        <v>185.33252670000002</v>
      </c>
      <c r="U13" s="64" t="s">
        <v>167</v>
      </c>
      <c r="V13" s="13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4364</v>
      </c>
      <c r="AI13" s="71">
        <v>4.22</v>
      </c>
      <c r="AJ13" s="71">
        <v>8.0399999999999991</v>
      </c>
      <c r="AK13" s="62">
        <f t="shared" si="8"/>
        <v>184.16079999999997</v>
      </c>
      <c r="AL13" s="72">
        <f t="shared" si="9"/>
        <v>350.86559999999992</v>
      </c>
      <c r="AM13" s="73">
        <f t="shared" si="15"/>
        <v>-7.8400000000328873E-2</v>
      </c>
      <c r="AN13" s="74">
        <f t="shared" si="10"/>
        <v>-0.33523839999998017</v>
      </c>
      <c r="AO13" s="74">
        <f t="shared" si="10"/>
        <v>-0.1298732999999288</v>
      </c>
      <c r="AP13" s="75">
        <f t="shared" si="16"/>
        <v>-1.6505357072786992E-3</v>
      </c>
      <c r="AQ13" s="76">
        <f t="shared" si="11"/>
        <v>-199.98885916314086</v>
      </c>
      <c r="AR13" s="90">
        <f t="shared" si="12"/>
        <v>-7.8400000000328873E-2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4364</v>
      </c>
      <c r="E14" s="62">
        <v>4.22</v>
      </c>
      <c r="F14" s="62">
        <v>8.0399999999999991</v>
      </c>
      <c r="G14" s="62">
        <f t="shared" si="0"/>
        <v>184.16079999999997</v>
      </c>
      <c r="H14" s="63">
        <f t="shared" si="1"/>
        <v>350.86559999999992</v>
      </c>
      <c r="I14" s="202">
        <v>624.67000000000007</v>
      </c>
      <c r="J14" s="202">
        <v>643.41010000000006</v>
      </c>
      <c r="K14" s="202">
        <v>4.7318552195559249</v>
      </c>
      <c r="L14" s="202">
        <v>8.2116157331070792</v>
      </c>
      <c r="M14" s="58" t="s">
        <v>185</v>
      </c>
      <c r="N14" s="58" t="s">
        <v>298</v>
      </c>
      <c r="O14" s="59">
        <v>1070</v>
      </c>
      <c r="P14" s="56">
        <v>4.3</v>
      </c>
      <c r="Q14" s="60">
        <v>8</v>
      </c>
      <c r="R14" s="61">
        <f t="shared" si="14"/>
        <v>1713.4101000000001</v>
      </c>
      <c r="S14" s="62">
        <f t="shared" si="2"/>
        <v>76.455234399999995</v>
      </c>
      <c r="T14" s="63">
        <f t="shared" si="3"/>
        <v>138.43436500000001</v>
      </c>
      <c r="U14" s="64" t="s">
        <v>174</v>
      </c>
      <c r="V14" s="65" t="s">
        <v>306</v>
      </c>
      <c r="W14" s="66" t="s">
        <v>305</v>
      </c>
      <c r="X14" s="67">
        <v>6550</v>
      </c>
      <c r="Y14" s="68">
        <v>4.3999999999999995</v>
      </c>
      <c r="Z14" s="68">
        <v>8.23</v>
      </c>
      <c r="AA14" s="62">
        <f t="shared" si="4"/>
        <v>288.2</v>
      </c>
      <c r="AB14" s="63">
        <f t="shared" si="5"/>
        <v>539.06499999999994</v>
      </c>
      <c r="AC14" s="69">
        <v>6480</v>
      </c>
      <c r="AD14" s="70">
        <v>4.3500000000000005</v>
      </c>
      <c r="AE14" s="70">
        <v>8.09</v>
      </c>
      <c r="AF14" s="62">
        <f t="shared" si="6"/>
        <v>281.88000000000005</v>
      </c>
      <c r="AG14" s="63">
        <f t="shared" si="7"/>
        <v>524.23199999999997</v>
      </c>
      <c r="AH14" s="89">
        <v>0</v>
      </c>
      <c r="AI14" s="71">
        <v>0</v>
      </c>
      <c r="AJ14" s="71">
        <v>0</v>
      </c>
      <c r="AK14" s="62">
        <f t="shared" si="8"/>
        <v>0</v>
      </c>
      <c r="AL14" s="72">
        <f t="shared" si="9"/>
        <v>0</v>
      </c>
      <c r="AM14" s="73">
        <f t="shared" si="15"/>
        <v>-402.58989999999994</v>
      </c>
      <c r="AN14" s="74">
        <f t="shared" si="10"/>
        <v>-21.263965600000063</v>
      </c>
      <c r="AO14" s="74">
        <f t="shared" si="10"/>
        <v>-34.932035000000042</v>
      </c>
      <c r="AP14" s="75">
        <f t="shared" si="16"/>
        <v>-0.26151103057991976</v>
      </c>
      <c r="AQ14" s="76">
        <f t="shared" si="11"/>
        <v>-20679.861036548056</v>
      </c>
      <c r="AR14" s="90">
        <f t="shared" si="12"/>
        <v>-472.58989999999994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0"/>
        <v>0</v>
      </c>
      <c r="H15" s="63">
        <f t="shared" si="1"/>
        <v>0</v>
      </c>
      <c r="I15" s="202">
        <v>1003.4599999999999</v>
      </c>
      <c r="J15" s="202">
        <v>1033.5637999999999</v>
      </c>
      <c r="K15" s="202">
        <v>4.1482988858549419</v>
      </c>
      <c r="L15" s="202">
        <v>8.1678442588643261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4"/>
        <v>1033.5637999999999</v>
      </c>
      <c r="S15" s="62">
        <f t="shared" si="2"/>
        <v>42.875315599999993</v>
      </c>
      <c r="T15" s="63">
        <f t="shared" si="3"/>
        <v>84.41988149999996</v>
      </c>
      <c r="U15" s="64" t="s">
        <v>167</v>
      </c>
      <c r="V15" s="13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1033.5999999999999</v>
      </c>
      <c r="AI15" s="66">
        <v>4.2</v>
      </c>
      <c r="AJ15" s="66">
        <v>8.1999999999999993</v>
      </c>
      <c r="AK15" s="62">
        <f t="shared" si="8"/>
        <v>43.411200000000001</v>
      </c>
      <c r="AL15" s="72">
        <f t="shared" si="9"/>
        <v>84.755199999999988</v>
      </c>
      <c r="AM15" s="73">
        <f t="shared" si="15"/>
        <v>-3.6200000000008004E-2</v>
      </c>
      <c r="AN15" s="74">
        <f t="shared" si="10"/>
        <v>-0.53588440000000759</v>
      </c>
      <c r="AO15" s="74">
        <f t="shared" si="10"/>
        <v>-0.33531850000002805</v>
      </c>
      <c r="AP15" s="75">
        <f t="shared" si="16"/>
        <v>-6.8439573514752503E-3</v>
      </c>
      <c r="AQ15" s="76">
        <f t="shared" si="11"/>
        <v>-357.93480089514219</v>
      </c>
      <c r="AR15" s="90">
        <f t="shared" si="12"/>
        <v>-3.6200000000008004E-2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1033.5999999999999</v>
      </c>
      <c r="E16" s="62">
        <v>4.2</v>
      </c>
      <c r="F16" s="62">
        <v>8.1999999999999993</v>
      </c>
      <c r="G16" s="62">
        <f t="shared" si="0"/>
        <v>43.411200000000001</v>
      </c>
      <c r="H16" s="63">
        <f t="shared" si="1"/>
        <v>84.755199999999988</v>
      </c>
      <c r="I16" s="202">
        <v>686.61</v>
      </c>
      <c r="J16" s="202">
        <v>707.20830000000001</v>
      </c>
      <c r="K16" s="202">
        <v>4.5131690479311404</v>
      </c>
      <c r="L16" s="202">
        <v>8.2835918498128471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707.20830000000001</v>
      </c>
      <c r="S16" s="62">
        <f t="shared" si="2"/>
        <v>31.917506100000004</v>
      </c>
      <c r="T16" s="63">
        <f t="shared" si="3"/>
        <v>58.582249099999991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7"/>
        <v>0</v>
      </c>
      <c r="AH16" s="96">
        <v>1741</v>
      </c>
      <c r="AI16" s="71">
        <v>4.32</v>
      </c>
      <c r="AJ16" s="71">
        <v>8.23</v>
      </c>
      <c r="AK16" s="62">
        <f t="shared" si="8"/>
        <v>75.211200000000005</v>
      </c>
      <c r="AL16" s="72">
        <f t="shared" si="9"/>
        <v>143.2843</v>
      </c>
      <c r="AM16" s="73">
        <f t="shared" si="15"/>
        <v>-0.19170000000008258</v>
      </c>
      <c r="AN16" s="74">
        <f t="shared" si="10"/>
        <v>0.11750609999999995</v>
      </c>
      <c r="AO16" s="74">
        <f t="shared" si="10"/>
        <v>5.3149099999984628E-2</v>
      </c>
      <c r="AP16" s="75">
        <f t="shared" si="16"/>
        <v>1.8856979184401659E-3</v>
      </c>
      <c r="AQ16" s="76">
        <f t="shared" si="11"/>
        <v>72.38318774309225</v>
      </c>
      <c r="AR16" s="90">
        <f t="shared" si="12"/>
        <v>-0.19170000000008258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1741</v>
      </c>
      <c r="E17" s="62">
        <v>4.32</v>
      </c>
      <c r="F17" s="62">
        <v>8.23</v>
      </c>
      <c r="G17" s="62">
        <f t="shared" si="0"/>
        <v>75.211200000000005</v>
      </c>
      <c r="H17" s="63">
        <f t="shared" si="1"/>
        <v>143.2843</v>
      </c>
      <c r="I17" s="202">
        <v>965.84000000000026</v>
      </c>
      <c r="J17" s="202">
        <v>994.81520000000035</v>
      </c>
      <c r="K17" s="202">
        <v>4.2144288909136085</v>
      </c>
      <c r="L17" s="202">
        <v>8.2241292553632093</v>
      </c>
      <c r="M17" s="58" t="s">
        <v>299</v>
      </c>
      <c r="N17" s="58" t="s">
        <v>300</v>
      </c>
      <c r="O17" s="59">
        <v>3910</v>
      </c>
      <c r="P17" s="56">
        <v>4.2000000000000011</v>
      </c>
      <c r="Q17" s="60">
        <v>8.07</v>
      </c>
      <c r="R17" s="61">
        <f t="shared" si="14"/>
        <v>4904.8152</v>
      </c>
      <c r="S17" s="62">
        <f t="shared" si="2"/>
        <v>206.14577920000005</v>
      </c>
      <c r="T17" s="63">
        <f t="shared" si="3"/>
        <v>397.35188790000007</v>
      </c>
      <c r="U17" s="64" t="s">
        <v>174</v>
      </c>
      <c r="V17" s="65" t="s">
        <v>307</v>
      </c>
      <c r="W17" s="66" t="s">
        <v>181</v>
      </c>
      <c r="X17" s="67">
        <v>7100</v>
      </c>
      <c r="Y17" s="68">
        <v>4.33</v>
      </c>
      <c r="Z17" s="68">
        <v>8.09</v>
      </c>
      <c r="AA17" s="62">
        <f t="shared" si="4"/>
        <v>307.43</v>
      </c>
      <c r="AB17" s="63">
        <f t="shared" si="5"/>
        <v>574.39</v>
      </c>
      <c r="AC17" s="69">
        <v>7100</v>
      </c>
      <c r="AD17" s="70">
        <v>4.33</v>
      </c>
      <c r="AE17" s="70">
        <v>8.09</v>
      </c>
      <c r="AF17" s="62">
        <f t="shared" si="6"/>
        <v>307.43</v>
      </c>
      <c r="AG17" s="63">
        <f t="shared" si="7"/>
        <v>574.39</v>
      </c>
      <c r="AH17" s="96">
        <v>0</v>
      </c>
      <c r="AI17" s="66">
        <v>0</v>
      </c>
      <c r="AJ17" s="66">
        <v>0</v>
      </c>
      <c r="AK17" s="62">
        <f t="shared" si="8"/>
        <v>0</v>
      </c>
      <c r="AL17" s="72">
        <f>AH17*AJ17%</f>
        <v>0</v>
      </c>
      <c r="AM17" s="73">
        <f t="shared" si="15"/>
        <v>-454.1848</v>
      </c>
      <c r="AN17" s="74">
        <f t="shared" si="10"/>
        <v>-26.073020799999938</v>
      </c>
      <c r="AO17" s="74">
        <f t="shared" si="10"/>
        <v>-33.753812099999891</v>
      </c>
      <c r="AP17" s="75">
        <f t="shared" si="16"/>
        <v>-9.9133494894001736E-2</v>
      </c>
      <c r="AQ17" s="76">
        <f t="shared" si="11"/>
        <v>-22637.901308297816</v>
      </c>
      <c r="AR17" s="90">
        <f t="shared" si="12"/>
        <v>-454.18479999999909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0</v>
      </c>
      <c r="E18" s="62">
        <v>0</v>
      </c>
      <c r="F18" s="62">
        <v>0</v>
      </c>
      <c r="G18" s="62">
        <f t="shared" si="0"/>
        <v>0</v>
      </c>
      <c r="H18" s="63">
        <f t="shared" si="1"/>
        <v>0</v>
      </c>
      <c r="I18" s="202">
        <v>648.8900000000001</v>
      </c>
      <c r="J18" s="202">
        <v>668.35670000000016</v>
      </c>
      <c r="K18" s="202">
        <v>4.7709920017260234</v>
      </c>
      <c r="L18" s="202">
        <v>8.3627409884572099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4"/>
        <v>668.35670000000016</v>
      </c>
      <c r="S18" s="62">
        <f t="shared" si="2"/>
        <v>31.887244700000004</v>
      </c>
      <c r="T18" s="63">
        <f t="shared" si="3"/>
        <v>55.892939699999999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6">
        <v>668</v>
      </c>
      <c r="AI18" s="71">
        <v>4.8</v>
      </c>
      <c r="AJ18" s="71">
        <v>8.4</v>
      </c>
      <c r="AK18" s="62">
        <f t="shared" si="8"/>
        <v>32.064</v>
      </c>
      <c r="AL18" s="72">
        <f t="shared" si="9"/>
        <v>56.112000000000002</v>
      </c>
      <c r="AM18" s="73">
        <f t="shared" si="15"/>
        <v>0.35670000000015989</v>
      </c>
      <c r="AN18" s="74">
        <f t="shared" si="10"/>
        <v>-0.1767552999999964</v>
      </c>
      <c r="AO18" s="74">
        <f t="shared" si="10"/>
        <v>-0.21906030000000243</v>
      </c>
      <c r="AP18" s="75">
        <f t="shared" si="16"/>
        <v>-4.509168016739765E-3</v>
      </c>
      <c r="AQ18" s="76">
        <f t="shared" si="11"/>
        <v>-150.54328406648818</v>
      </c>
      <c r="AR18" s="90">
        <f t="shared" si="12"/>
        <v>0.35670000000015989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668</v>
      </c>
      <c r="E19" s="62">
        <v>4.8</v>
      </c>
      <c r="F19" s="62">
        <v>8.4</v>
      </c>
      <c r="G19" s="62">
        <f t="shared" si="0"/>
        <v>32.064</v>
      </c>
      <c r="H19" s="63">
        <f t="shared" si="1"/>
        <v>56.112000000000002</v>
      </c>
      <c r="I19" s="202">
        <v>1027.3599999999999</v>
      </c>
      <c r="J19" s="202">
        <v>1058.1807999999999</v>
      </c>
      <c r="K19" s="202">
        <v>4.1903831178944095</v>
      </c>
      <c r="L19" s="202">
        <v>8.2399090873695684</v>
      </c>
      <c r="M19" s="58" t="s">
        <v>301</v>
      </c>
      <c r="N19" s="58" t="s">
        <v>302</v>
      </c>
      <c r="O19" s="59">
        <v>1310</v>
      </c>
      <c r="P19" s="56">
        <v>4.2</v>
      </c>
      <c r="Q19" s="60">
        <v>8</v>
      </c>
      <c r="R19" s="61">
        <f t="shared" si="14"/>
        <v>2368.1808000000001</v>
      </c>
      <c r="S19" s="62">
        <f t="shared" si="2"/>
        <v>99.361829600000007</v>
      </c>
      <c r="T19" s="63">
        <f t="shared" si="3"/>
        <v>191.99313589999997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6">
        <v>3036</v>
      </c>
      <c r="AI19" s="71">
        <v>4.33</v>
      </c>
      <c r="AJ19" s="71">
        <v>8.15</v>
      </c>
      <c r="AK19" s="62">
        <f t="shared" si="8"/>
        <v>131.4588</v>
      </c>
      <c r="AL19" s="72">
        <f t="shared" si="9"/>
        <v>247.434</v>
      </c>
      <c r="AM19" s="73">
        <f t="shared" si="15"/>
        <v>0.18080000000009022</v>
      </c>
      <c r="AN19" s="74">
        <f t="shared" si="10"/>
        <v>-3.2970399999982192E-2</v>
      </c>
      <c r="AO19" s="74">
        <f t="shared" si="10"/>
        <v>0.67113589999996748</v>
      </c>
      <c r="AP19" s="75">
        <f t="shared" si="16"/>
        <v>2.1903367903986703E-3</v>
      </c>
      <c r="AQ19" s="76">
        <f t="shared" si="11"/>
        <v>185.15587698656617</v>
      </c>
      <c r="AR19" s="90">
        <f t="shared" si="12"/>
        <v>0.18080000000009022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3036</v>
      </c>
      <c r="E20" s="62">
        <v>4.33</v>
      </c>
      <c r="F20" s="62">
        <v>8.15</v>
      </c>
      <c r="G20" s="62">
        <f t="shared" si="0"/>
        <v>131.4588</v>
      </c>
      <c r="H20" s="63">
        <f t="shared" si="1"/>
        <v>247.434</v>
      </c>
      <c r="I20" s="202">
        <v>639.54</v>
      </c>
      <c r="J20" s="202">
        <v>658.72619999999995</v>
      </c>
      <c r="K20" s="202">
        <v>4.7573552866122535</v>
      </c>
      <c r="L20" s="202">
        <v>8.2505034868811951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4"/>
        <v>658.72619999999995</v>
      </c>
      <c r="S20" s="62">
        <f t="shared" si="2"/>
        <v>31.337945700000002</v>
      </c>
      <c r="T20" s="63">
        <f t="shared" si="3"/>
        <v>54.348228099999986</v>
      </c>
      <c r="U20" s="64" t="s">
        <v>171</v>
      </c>
      <c r="V20" s="65" t="s">
        <v>383</v>
      </c>
      <c r="W20" s="66" t="s">
        <v>184</v>
      </c>
      <c r="X20" s="67">
        <v>3150</v>
      </c>
      <c r="Y20" s="68">
        <v>4.45</v>
      </c>
      <c r="Z20" s="68">
        <v>8.3000000000000007</v>
      </c>
      <c r="AA20" s="62">
        <f t="shared" si="4"/>
        <v>140.17500000000001</v>
      </c>
      <c r="AB20" s="63">
        <f t="shared" si="5"/>
        <v>261.45</v>
      </c>
      <c r="AC20" s="69">
        <v>3130</v>
      </c>
      <c r="AD20" s="70">
        <v>4.4000000000000004</v>
      </c>
      <c r="AE20" s="70">
        <v>8.2899999999999991</v>
      </c>
      <c r="AF20" s="62">
        <f t="shared" si="6"/>
        <v>137.72000000000003</v>
      </c>
      <c r="AG20" s="63">
        <f t="shared" si="7"/>
        <v>259.47699999999998</v>
      </c>
      <c r="AH20" s="96">
        <v>545</v>
      </c>
      <c r="AI20" s="66">
        <v>4.41</v>
      </c>
      <c r="AJ20" s="66">
        <v>8.17</v>
      </c>
      <c r="AK20" s="62">
        <f t="shared" si="8"/>
        <v>24.034500000000001</v>
      </c>
      <c r="AL20" s="72">
        <f t="shared" si="9"/>
        <v>44.526499999999999</v>
      </c>
      <c r="AM20" s="73">
        <f t="shared" si="15"/>
        <v>19.726200000000063</v>
      </c>
      <c r="AN20" s="74">
        <f t="shared" ref="AN20:AO65" si="18">+G20+S20-AF20-AK20</f>
        <v>1.0422456999999739</v>
      </c>
      <c r="AO20" s="74">
        <f t="shared" si="18"/>
        <v>-2.2212718999999765</v>
      </c>
      <c r="AP20" s="75">
        <f t="shared" si="16"/>
        <v>-1.3759818506448503E-2</v>
      </c>
      <c r="AQ20" s="76">
        <f t="shared" si="11"/>
        <v>-164.41817893020891</v>
      </c>
      <c r="AR20" s="90">
        <f t="shared" si="12"/>
        <v>-0.27379999999993743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545</v>
      </c>
      <c r="E21" s="62">
        <v>4.41</v>
      </c>
      <c r="F21" s="62">
        <v>8.17</v>
      </c>
      <c r="G21" s="62">
        <f t="shared" si="0"/>
        <v>24.034500000000001</v>
      </c>
      <c r="H21" s="63">
        <f t="shared" si="1"/>
        <v>44.526499999999999</v>
      </c>
      <c r="I21" s="202">
        <v>1013.9599999999997</v>
      </c>
      <c r="J21" s="202">
        <v>1044.3787999999997</v>
      </c>
      <c r="K21" s="202">
        <v>4.2374087735216381</v>
      </c>
      <c r="L21" s="202">
        <v>8.0157264586374239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4"/>
        <v>1044.3787999999997</v>
      </c>
      <c r="S21" s="62">
        <f t="shared" si="2"/>
        <v>44.254598899999991</v>
      </c>
      <c r="T21" s="63">
        <f t="shared" si="3"/>
        <v>83.714547799999991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6">
        <v>1589</v>
      </c>
      <c r="AI21" s="66">
        <v>4.2699999999999996</v>
      </c>
      <c r="AJ21" s="66">
        <v>8.06</v>
      </c>
      <c r="AK21" s="62">
        <f t="shared" si="8"/>
        <v>67.85029999999999</v>
      </c>
      <c r="AL21" s="72">
        <f t="shared" si="9"/>
        <v>128.07340000000002</v>
      </c>
      <c r="AM21" s="73">
        <f t="shared" si="15"/>
        <v>0.37879999999972824</v>
      </c>
      <c r="AN21" s="74">
        <f t="shared" si="18"/>
        <v>0.43879890000000898</v>
      </c>
      <c r="AO21" s="74">
        <f t="shared" si="18"/>
        <v>0.16764779999996904</v>
      </c>
      <c r="AP21" s="75">
        <f t="shared" si="16"/>
        <v>4.7390071406952505E-3</v>
      </c>
      <c r="AQ21" s="76">
        <f t="shared" si="11"/>
        <v>261.06617639937645</v>
      </c>
      <c r="AR21" s="90">
        <f t="shared" si="12"/>
        <v>0.37879999999972824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>
        <v>1589</v>
      </c>
      <c r="E22" s="62">
        <v>4.2699999999999996</v>
      </c>
      <c r="F22" s="62">
        <v>8.06</v>
      </c>
      <c r="G22" s="62">
        <f t="shared" si="0"/>
        <v>67.85029999999999</v>
      </c>
      <c r="H22" s="63">
        <f t="shared" si="1"/>
        <v>128.07340000000002</v>
      </c>
      <c r="I22" s="202">
        <v>586.24</v>
      </c>
      <c r="J22" s="202">
        <v>603.82720000000006</v>
      </c>
      <c r="K22" s="202">
        <v>4.5167644650655037</v>
      </c>
      <c r="L22" s="202">
        <v>8.1505663209606976</v>
      </c>
      <c r="M22" s="58" t="s">
        <v>185</v>
      </c>
      <c r="N22" s="58" t="s">
        <v>516</v>
      </c>
      <c r="O22" s="59">
        <v>2150</v>
      </c>
      <c r="P22" s="56">
        <v>4.4000000000000004</v>
      </c>
      <c r="Q22" s="60">
        <v>8.3000000000000007</v>
      </c>
      <c r="R22" s="61">
        <f t="shared" si="14"/>
        <v>2753.8272000000002</v>
      </c>
      <c r="S22" s="62">
        <f t="shared" si="2"/>
        <v>121.87345240000002</v>
      </c>
      <c r="T22" s="63">
        <f t="shared" si="3"/>
        <v>227.6653364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6">
        <v>4342</v>
      </c>
      <c r="AI22" s="66">
        <v>4.3600000000000003</v>
      </c>
      <c r="AJ22" s="66">
        <v>8.18</v>
      </c>
      <c r="AK22" s="62">
        <f t="shared" si="8"/>
        <v>189.31119999999999</v>
      </c>
      <c r="AL22" s="72">
        <f t="shared" si="9"/>
        <v>355.17559999999997</v>
      </c>
      <c r="AM22" s="73">
        <f t="shared" si="15"/>
        <v>0.8271999999997206</v>
      </c>
      <c r="AN22" s="74">
        <f t="shared" si="18"/>
        <v>0.41255240000003823</v>
      </c>
      <c r="AO22" s="74">
        <f t="shared" si="18"/>
        <v>0.56313640000001897</v>
      </c>
      <c r="AP22" s="75">
        <f t="shared" si="16"/>
        <v>2.7913605907650186E-3</v>
      </c>
      <c r="AQ22" s="76">
        <f t="shared" si="11"/>
        <v>366.89919377801618</v>
      </c>
      <c r="AR22" s="90">
        <f t="shared" si="12"/>
        <v>0.8271999999997206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>
        <v>4342</v>
      </c>
      <c r="E23" s="62">
        <v>4.3600000000000003</v>
      </c>
      <c r="F23" s="62">
        <v>8.18</v>
      </c>
      <c r="G23" s="62">
        <f t="shared" si="0"/>
        <v>189.31119999999999</v>
      </c>
      <c r="H23" s="63">
        <f t="shared" si="1"/>
        <v>355.17559999999997</v>
      </c>
      <c r="I23" s="202">
        <v>1008.8199999999999</v>
      </c>
      <c r="J23" s="202">
        <v>1039.0845999999999</v>
      </c>
      <c r="K23" s="202">
        <v>4.3077298229614813</v>
      </c>
      <c r="L23" s="202">
        <v>8.2498334688051393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4"/>
        <v>1039.0845999999999</v>
      </c>
      <c r="S23" s="62">
        <f t="shared" si="2"/>
        <v>44.760957200000014</v>
      </c>
      <c r="T23" s="63">
        <f t="shared" si="3"/>
        <v>85.722749100000001</v>
      </c>
      <c r="U23" s="64" t="s">
        <v>168</v>
      </c>
      <c r="V23" s="65" t="s">
        <v>511</v>
      </c>
      <c r="W23" s="66" t="s">
        <v>369</v>
      </c>
      <c r="X23" s="67">
        <v>5500</v>
      </c>
      <c r="Y23" s="68">
        <v>4.45</v>
      </c>
      <c r="Z23" s="68">
        <v>8.4</v>
      </c>
      <c r="AA23" s="62">
        <f t="shared" si="4"/>
        <v>244.75000000000003</v>
      </c>
      <c r="AB23" s="63">
        <f t="shared" si="5"/>
        <v>462.00000000000006</v>
      </c>
      <c r="AC23" s="69">
        <v>5500</v>
      </c>
      <c r="AD23" s="70">
        <v>4.4000000000000004</v>
      </c>
      <c r="AE23" s="70">
        <v>8.4</v>
      </c>
      <c r="AF23" s="62">
        <f t="shared" si="6"/>
        <v>242.00000000000003</v>
      </c>
      <c r="AG23" s="63">
        <f t="shared" si="7"/>
        <v>462.00000000000006</v>
      </c>
      <c r="AH23" s="96">
        <v>0</v>
      </c>
      <c r="AI23" s="66">
        <v>0</v>
      </c>
      <c r="AJ23" s="84">
        <v>0</v>
      </c>
      <c r="AK23" s="62">
        <f t="shared" si="8"/>
        <v>0</v>
      </c>
      <c r="AL23" s="72">
        <f t="shared" si="9"/>
        <v>0</v>
      </c>
      <c r="AM23" s="73">
        <f t="shared" si="15"/>
        <v>-118.91539999999986</v>
      </c>
      <c r="AN23" s="74">
        <f t="shared" si="18"/>
        <v>-7.927842800000036</v>
      </c>
      <c r="AO23" s="74">
        <f t="shared" si="18"/>
        <v>-21.101650900000095</v>
      </c>
      <c r="AP23" s="75">
        <f t="shared" si="16"/>
        <v>-0.22247600503665435</v>
      </c>
      <c r="AQ23" s="76">
        <f t="shared" si="11"/>
        <v>-10129.343075216117</v>
      </c>
      <c r="AR23" s="90">
        <f t="shared" si="12"/>
        <v>-118.91539999999986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>
        <v>0</v>
      </c>
      <c r="E24" s="62">
        <v>0</v>
      </c>
      <c r="F24" s="62">
        <v>0</v>
      </c>
      <c r="G24" s="62">
        <f t="shared" si="0"/>
        <v>0</v>
      </c>
      <c r="H24" s="63">
        <f t="shared" si="1"/>
        <v>0</v>
      </c>
      <c r="I24" s="202">
        <v>613.70000000000016</v>
      </c>
      <c r="J24" s="202">
        <v>632.11100000000022</v>
      </c>
      <c r="K24" s="202">
        <v>4.6844777578621475</v>
      </c>
      <c r="L24" s="202">
        <v>8.2377366791591964</v>
      </c>
      <c r="M24" s="58" t="s">
        <v>185</v>
      </c>
      <c r="N24" s="58" t="s">
        <v>517</v>
      </c>
      <c r="O24" s="59">
        <v>1350</v>
      </c>
      <c r="P24" s="56">
        <v>4.25</v>
      </c>
      <c r="Q24" s="60">
        <v>8.1999999999999993</v>
      </c>
      <c r="R24" s="61">
        <f t="shared" si="14"/>
        <v>1982.1110000000003</v>
      </c>
      <c r="S24" s="62">
        <f t="shared" si="2"/>
        <v>86.986099200000012</v>
      </c>
      <c r="T24" s="63">
        <f t="shared" si="3"/>
        <v>162.77163969999998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6">
        <v>1982</v>
      </c>
      <c r="AI24" s="66">
        <v>4.3899999999999997</v>
      </c>
      <c r="AJ24" s="66">
        <v>8.1999999999999993</v>
      </c>
      <c r="AK24" s="62">
        <f t="shared" si="8"/>
        <v>87.009799999999984</v>
      </c>
      <c r="AL24" s="72">
        <f t="shared" si="9"/>
        <v>162.52399999999997</v>
      </c>
      <c r="AM24" s="73">
        <f t="shared" si="15"/>
        <v>0.11100000000033106</v>
      </c>
      <c r="AN24" s="74">
        <f t="shared" si="18"/>
        <v>-2.3700799999971878E-2</v>
      </c>
      <c r="AO24" s="74">
        <f t="shared" si="18"/>
        <v>0.24763970000000768</v>
      </c>
      <c r="AP24" s="75">
        <f t="shared" si="16"/>
        <v>8.9662446892065377E-4</v>
      </c>
      <c r="AQ24" s="76">
        <f t="shared" si="11"/>
        <v>62.776879758527144</v>
      </c>
      <c r="AR24" s="90">
        <f t="shared" si="12"/>
        <v>0.11100000000033106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>
        <v>1982</v>
      </c>
      <c r="E25" s="62">
        <v>4.3899999999999997</v>
      </c>
      <c r="F25" s="62">
        <v>8.1999999999999993</v>
      </c>
      <c r="G25" s="62">
        <f t="shared" si="0"/>
        <v>87.009799999999984</v>
      </c>
      <c r="H25" s="63">
        <f t="shared" si="1"/>
        <v>162.52399999999997</v>
      </c>
      <c r="I25" s="202">
        <v>957.56999999999994</v>
      </c>
      <c r="J25" s="202">
        <v>986.2971</v>
      </c>
      <c r="K25" s="202">
        <v>4.4025355848658592</v>
      </c>
      <c r="L25" s="202">
        <v>8.1484789623735079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4"/>
        <v>986.2971</v>
      </c>
      <c r="S25" s="62">
        <f t="shared" si="2"/>
        <v>43.422080800000003</v>
      </c>
      <c r="T25" s="63">
        <f t="shared" si="3"/>
        <v>80.368211700000003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6">
        <v>2968</v>
      </c>
      <c r="AI25" s="66">
        <v>4.3899999999999997</v>
      </c>
      <c r="AJ25" s="66">
        <v>8.16</v>
      </c>
      <c r="AK25" s="62">
        <f t="shared" si="8"/>
        <v>130.29519999999999</v>
      </c>
      <c r="AL25" s="72">
        <f t="shared" si="9"/>
        <v>242.18880000000001</v>
      </c>
      <c r="AM25" s="73">
        <f t="shared" si="15"/>
        <v>0.29709999999977299</v>
      </c>
      <c r="AN25" s="74">
        <f t="shared" si="18"/>
        <v>0.1366807999999935</v>
      </c>
      <c r="AO25" s="74">
        <f t="shared" si="18"/>
        <v>0.7034116999999469</v>
      </c>
      <c r="AP25" s="75">
        <f t="shared" si="16"/>
        <v>6.7864166327900096E-3</v>
      </c>
      <c r="AQ25" s="76">
        <f t="shared" si="11"/>
        <v>276.34511489104887</v>
      </c>
      <c r="AR25" s="90">
        <f t="shared" si="12"/>
        <v>0.29709999999977299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>
        <v>2968</v>
      </c>
      <c r="E26" s="62">
        <v>4.3899999999999997</v>
      </c>
      <c r="F26" s="62">
        <v>8.16</v>
      </c>
      <c r="G26" s="62">
        <f t="shared" si="0"/>
        <v>130.29519999999999</v>
      </c>
      <c r="H26" s="63">
        <f t="shared" si="1"/>
        <v>242.18880000000001</v>
      </c>
      <c r="I26" s="202">
        <v>644.68999999999983</v>
      </c>
      <c r="J26" s="202">
        <v>664.0306999999998</v>
      </c>
      <c r="K26" s="202">
        <v>4.6131101769842875</v>
      </c>
      <c r="L26" s="202">
        <v>8.2284260652406598</v>
      </c>
      <c r="M26" s="58" t="s">
        <v>185</v>
      </c>
      <c r="N26" s="58" t="s">
        <v>518</v>
      </c>
      <c r="O26" s="59">
        <v>1370</v>
      </c>
      <c r="P26" s="56">
        <v>4.4000000000000004</v>
      </c>
      <c r="Q26" s="60">
        <v>8.15</v>
      </c>
      <c r="R26" s="61">
        <f t="shared" si="14"/>
        <v>2034.0306999999998</v>
      </c>
      <c r="S26" s="62">
        <f t="shared" si="2"/>
        <v>90.912467800000002</v>
      </c>
      <c r="T26" s="63">
        <f t="shared" si="3"/>
        <v>166.29427519999999</v>
      </c>
      <c r="U26" s="64" t="s">
        <v>171</v>
      </c>
      <c r="V26" s="65" t="s">
        <v>523</v>
      </c>
      <c r="W26" s="66" t="s">
        <v>184</v>
      </c>
      <c r="X26" s="67">
        <v>3150</v>
      </c>
      <c r="Y26" s="68">
        <v>4.6500000000000004</v>
      </c>
      <c r="Z26" s="68">
        <v>8.1999999999999993</v>
      </c>
      <c r="AA26" s="62">
        <f t="shared" si="4"/>
        <v>146.47500000000002</v>
      </c>
      <c r="AB26" s="63">
        <f t="shared" si="5"/>
        <v>258.29999999999995</v>
      </c>
      <c r="AC26" s="69">
        <v>3130</v>
      </c>
      <c r="AD26" s="70">
        <v>4.55</v>
      </c>
      <c r="AE26" s="70">
        <v>8.19</v>
      </c>
      <c r="AF26" s="62">
        <f t="shared" si="6"/>
        <v>142.41499999999999</v>
      </c>
      <c r="AG26" s="63">
        <f t="shared" si="7"/>
        <v>256.34699999999998</v>
      </c>
      <c r="AH26" s="96">
        <v>1852</v>
      </c>
      <c r="AI26" s="66">
        <v>4.42</v>
      </c>
      <c r="AJ26" s="66">
        <v>8.16</v>
      </c>
      <c r="AK26" s="62">
        <f t="shared" si="8"/>
        <v>81.858399999999989</v>
      </c>
      <c r="AL26" s="72">
        <f t="shared" si="9"/>
        <v>151.1232</v>
      </c>
      <c r="AM26" s="73">
        <f t="shared" si="15"/>
        <v>20.030699999999342</v>
      </c>
      <c r="AN26" s="74">
        <f t="shared" si="18"/>
        <v>-3.0657321999999851</v>
      </c>
      <c r="AO26" s="74">
        <f t="shared" si="18"/>
        <v>1.0128752000000532</v>
      </c>
      <c r="AP26" s="75">
        <f t="shared" si="16"/>
        <v>-7.9813498513137057E-3</v>
      </c>
      <c r="AQ26" s="76">
        <f t="shared" si="11"/>
        <v>-1169.8369954577252</v>
      </c>
      <c r="AR26" s="90">
        <f t="shared" si="12"/>
        <v>3.0699999999342253E-2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>
        <v>1852</v>
      </c>
      <c r="E27" s="62">
        <v>4.42</v>
      </c>
      <c r="F27" s="62">
        <v>8.16</v>
      </c>
      <c r="G27" s="62">
        <f t="shared" si="0"/>
        <v>81.858399999999989</v>
      </c>
      <c r="H27" s="63">
        <f t="shared" si="1"/>
        <v>151.1232</v>
      </c>
      <c r="I27" s="202">
        <v>1009.64</v>
      </c>
      <c r="J27" s="202">
        <v>1039.9292</v>
      </c>
      <c r="K27" s="202">
        <v>4.2828206093260945</v>
      </c>
      <c r="L27" s="202">
        <v>8.1321698823342956</v>
      </c>
      <c r="M27" s="58">
        <v>0</v>
      </c>
      <c r="N27" s="58" t="s">
        <v>167</v>
      </c>
      <c r="O27" s="59">
        <v>0</v>
      </c>
      <c r="P27" s="56">
        <v>0</v>
      </c>
      <c r="Q27" s="60">
        <v>0</v>
      </c>
      <c r="R27" s="61">
        <f t="shared" si="14"/>
        <v>1039.9292</v>
      </c>
      <c r="S27" s="62">
        <f t="shared" si="2"/>
        <v>44.538302099999981</v>
      </c>
      <c r="T27" s="63">
        <f t="shared" si="3"/>
        <v>84.56880919999999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6">
        <v>2891</v>
      </c>
      <c r="AI27" s="66">
        <v>4.38</v>
      </c>
      <c r="AJ27" s="66">
        <v>8.14</v>
      </c>
      <c r="AK27" s="62">
        <f t="shared" si="8"/>
        <v>126.6258</v>
      </c>
      <c r="AL27" s="72">
        <f t="shared" si="9"/>
        <v>235.32740000000001</v>
      </c>
      <c r="AM27" s="73">
        <f t="shared" si="15"/>
        <v>0.92920000000003711</v>
      </c>
      <c r="AN27" s="74">
        <f t="shared" si="18"/>
        <v>-0.22909790000002772</v>
      </c>
      <c r="AO27" s="74">
        <f t="shared" si="18"/>
        <v>0.36460919999996122</v>
      </c>
      <c r="AP27" s="75">
        <f t="shared" si="16"/>
        <v>1.0496036867020625E-3</v>
      </c>
      <c r="AQ27" s="76">
        <f t="shared" si="11"/>
        <v>-0.89178780522186685</v>
      </c>
      <c r="AR27" s="90">
        <f t="shared" si="12"/>
        <v>0.92920000000003711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>
        <v>2891</v>
      </c>
      <c r="E28" s="62">
        <v>4.38</v>
      </c>
      <c r="F28" s="62">
        <v>8.14</v>
      </c>
      <c r="G28" s="62">
        <f t="shared" si="0"/>
        <v>126.6258</v>
      </c>
      <c r="H28" s="63">
        <f t="shared" si="1"/>
        <v>235.32740000000001</v>
      </c>
      <c r="I28" s="202">
        <v>643.45000000000005</v>
      </c>
      <c r="J28" s="202">
        <v>662.75350000000003</v>
      </c>
      <c r="K28" s="202">
        <v>4.7872266687388301</v>
      </c>
      <c r="L28" s="202">
        <v>8.3081731292252705</v>
      </c>
      <c r="M28" s="58" t="s">
        <v>165</v>
      </c>
      <c r="N28" s="58" t="s">
        <v>483</v>
      </c>
      <c r="O28" s="59">
        <v>2719</v>
      </c>
      <c r="P28" s="56">
        <v>4.25</v>
      </c>
      <c r="Q28" s="60">
        <v>8.26</v>
      </c>
      <c r="R28" s="61">
        <f t="shared" si="14"/>
        <v>3381.7534999999998</v>
      </c>
      <c r="S28" s="62">
        <f t="shared" si="2"/>
        <v>147.28501230000001</v>
      </c>
      <c r="T28" s="63">
        <f t="shared" si="3"/>
        <v>279.65210819999999</v>
      </c>
      <c r="U28" s="64" t="s">
        <v>171</v>
      </c>
      <c r="V28" s="65" t="s">
        <v>524</v>
      </c>
      <c r="W28" s="66" t="s">
        <v>184</v>
      </c>
      <c r="X28" s="67">
        <v>6280</v>
      </c>
      <c r="Y28" s="68">
        <v>4.45</v>
      </c>
      <c r="Z28" s="68">
        <v>8.24</v>
      </c>
      <c r="AA28" s="62">
        <f t="shared" si="4"/>
        <v>279.46000000000004</v>
      </c>
      <c r="AB28" s="63">
        <f t="shared" si="5"/>
        <v>517.47199999999998</v>
      </c>
      <c r="AC28" s="69">
        <v>6250</v>
      </c>
      <c r="AD28" s="70">
        <v>4.40008</v>
      </c>
      <c r="AE28" s="70">
        <v>8.2249119999999998</v>
      </c>
      <c r="AF28" s="62">
        <f t="shared" si="6"/>
        <v>275.005</v>
      </c>
      <c r="AG28" s="63">
        <f t="shared" si="7"/>
        <v>514.05700000000002</v>
      </c>
      <c r="AH28" s="96">
        <v>0</v>
      </c>
      <c r="AI28" s="66">
        <v>0</v>
      </c>
      <c r="AJ28" s="66">
        <v>0</v>
      </c>
      <c r="AK28" s="62">
        <f t="shared" si="8"/>
        <v>0</v>
      </c>
      <c r="AL28" s="72">
        <f t="shared" si="9"/>
        <v>0</v>
      </c>
      <c r="AM28" s="73">
        <f t="shared" si="15"/>
        <v>22.753499999999804</v>
      </c>
      <c r="AN28" s="74">
        <f t="shared" si="18"/>
        <v>-1.0941877000000204</v>
      </c>
      <c r="AO28" s="74">
        <f t="shared" si="18"/>
        <v>0.92250820000003841</v>
      </c>
      <c r="AP28" s="75">
        <f t="shared" si="16"/>
        <v>-4.0211893451410957E-4</v>
      </c>
      <c r="AQ28" s="76">
        <f t="shared" si="11"/>
        <v>-249.50980848805534</v>
      </c>
      <c r="AR28" s="90">
        <f t="shared" si="12"/>
        <v>-7.2465000000001965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>
        <v>0</v>
      </c>
      <c r="E29" s="62">
        <v>0</v>
      </c>
      <c r="F29" s="62">
        <v>0</v>
      </c>
      <c r="G29" s="62">
        <f t="shared" si="0"/>
        <v>0</v>
      </c>
      <c r="H29" s="63">
        <f t="shared" si="1"/>
        <v>0</v>
      </c>
      <c r="I29" s="202">
        <v>1019.3199999999999</v>
      </c>
      <c r="J29" s="202">
        <v>1049.8996</v>
      </c>
      <c r="K29" s="202">
        <v>4.4024653690695761</v>
      </c>
      <c r="L29" s="202">
        <v>8.1794058784287564</v>
      </c>
      <c r="M29" s="58" t="s">
        <v>185</v>
      </c>
      <c r="N29" s="58" t="s">
        <v>519</v>
      </c>
      <c r="O29" s="59">
        <v>1260</v>
      </c>
      <c r="P29" s="56">
        <v>4.3</v>
      </c>
      <c r="Q29" s="60">
        <v>8.11</v>
      </c>
      <c r="R29" s="61">
        <f t="shared" si="14"/>
        <v>2309.8995999999997</v>
      </c>
      <c r="S29" s="62">
        <f t="shared" si="2"/>
        <v>100.4014663</v>
      </c>
      <c r="T29" s="63">
        <f t="shared" si="3"/>
        <v>188.06154959999998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6">
        <v>2309</v>
      </c>
      <c r="AI29" s="66">
        <v>4.34</v>
      </c>
      <c r="AJ29" s="66">
        <v>8.15</v>
      </c>
      <c r="AK29" s="62">
        <f t="shared" si="8"/>
        <v>100.2106</v>
      </c>
      <c r="AL29" s="72">
        <f t="shared" si="9"/>
        <v>188.18350000000001</v>
      </c>
      <c r="AM29" s="73">
        <f t="shared" si="15"/>
        <v>0.89959999999973661</v>
      </c>
      <c r="AN29" s="74">
        <f t="shared" si="18"/>
        <v>0.19086629999999616</v>
      </c>
      <c r="AO29" s="74">
        <f t="shared" si="18"/>
        <v>-0.12195040000003132</v>
      </c>
      <c r="AP29" s="75">
        <f t="shared" si="16"/>
        <v>2.3890722970134782E-4</v>
      </c>
      <c r="AQ29" s="76">
        <f t="shared" si="11"/>
        <v>55.194410030612524</v>
      </c>
      <c r="AR29" s="90">
        <f t="shared" si="12"/>
        <v>0.89959999999973661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>
        <v>2309</v>
      </c>
      <c r="E30" s="62">
        <v>4.34</v>
      </c>
      <c r="F30" s="62">
        <v>8.15</v>
      </c>
      <c r="G30" s="62">
        <f t="shared" si="0"/>
        <v>100.2106</v>
      </c>
      <c r="H30" s="63">
        <f t="shared" si="1"/>
        <v>188.18350000000001</v>
      </c>
      <c r="I30" s="202">
        <v>685.3599999999999</v>
      </c>
      <c r="J30" s="202">
        <v>705.92079999999987</v>
      </c>
      <c r="K30" s="202">
        <v>4.806202579666162</v>
      </c>
      <c r="L30" s="202">
        <v>8.2849174156647614</v>
      </c>
      <c r="M30" s="58" t="s">
        <v>520</v>
      </c>
      <c r="N30" s="58" t="s">
        <v>515</v>
      </c>
      <c r="O30" s="59">
        <v>1500</v>
      </c>
      <c r="P30" s="56">
        <v>4</v>
      </c>
      <c r="Q30" s="60">
        <v>8</v>
      </c>
      <c r="R30" s="61">
        <f t="shared" si="14"/>
        <v>2205.9207999999999</v>
      </c>
      <c r="S30" s="62">
        <f t="shared" si="2"/>
        <v>93.927983699999999</v>
      </c>
      <c r="T30" s="63">
        <f t="shared" si="3"/>
        <v>178.4849553</v>
      </c>
      <c r="U30" s="64" t="s">
        <v>169</v>
      </c>
      <c r="V30" s="65" t="s">
        <v>525</v>
      </c>
      <c r="W30" s="66" t="s">
        <v>305</v>
      </c>
      <c r="X30" s="67">
        <v>2950</v>
      </c>
      <c r="Y30" s="68">
        <v>4.2</v>
      </c>
      <c r="Z30" s="68">
        <v>8.1300000000000008</v>
      </c>
      <c r="AA30" s="62">
        <f t="shared" si="4"/>
        <v>123.9</v>
      </c>
      <c r="AB30" s="63">
        <f t="shared" si="5"/>
        <v>239.83500000000004</v>
      </c>
      <c r="AC30" s="69">
        <v>2960</v>
      </c>
      <c r="AD30" s="70">
        <v>4.1500000000000004</v>
      </c>
      <c r="AE30" s="70">
        <v>8.0500000000000007</v>
      </c>
      <c r="AF30" s="62">
        <f t="shared" si="6"/>
        <v>122.84</v>
      </c>
      <c r="AG30" s="63">
        <f t="shared" si="7"/>
        <v>238.28</v>
      </c>
      <c r="AH30" s="96">
        <v>1565</v>
      </c>
      <c r="AI30" s="66">
        <v>4.29</v>
      </c>
      <c r="AJ30" s="66">
        <v>8.1199999999999992</v>
      </c>
      <c r="AK30" s="62">
        <f t="shared" si="8"/>
        <v>67.138500000000008</v>
      </c>
      <c r="AL30" s="72">
        <f t="shared" si="9"/>
        <v>127.07799999999999</v>
      </c>
      <c r="AM30" s="73">
        <f t="shared" si="15"/>
        <v>-10.079200000000128</v>
      </c>
      <c r="AN30" s="74">
        <f t="shared" si="18"/>
        <v>4.1600836999999871</v>
      </c>
      <c r="AO30" s="74">
        <f t="shared" si="18"/>
        <v>1.3104553000000152</v>
      </c>
      <c r="AP30" s="75">
        <f t="shared" si="16"/>
        <v>2.0081788405799633E-2</v>
      </c>
      <c r="AQ30" s="76">
        <f t="shared" si="11"/>
        <v>2391.5253097120399</v>
      </c>
      <c r="AR30" s="90">
        <f t="shared" si="12"/>
        <v>-7.9200000000128057E-2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>
        <v>1565</v>
      </c>
      <c r="E31" s="62">
        <v>4.29</v>
      </c>
      <c r="F31" s="62">
        <v>8.1199999999999992</v>
      </c>
      <c r="G31" s="62">
        <f t="shared" si="0"/>
        <v>67.138500000000008</v>
      </c>
      <c r="H31" s="63">
        <f t="shared" si="1"/>
        <v>127.07799999999999</v>
      </c>
      <c r="I31" s="202">
        <v>979.11</v>
      </c>
      <c r="J31" s="202">
        <v>1008.4833</v>
      </c>
      <c r="K31" s="202">
        <v>4.2891585215144374</v>
      </c>
      <c r="L31" s="202">
        <v>8.1823829804618455</v>
      </c>
      <c r="M31" s="58" t="s">
        <v>185</v>
      </c>
      <c r="N31" s="58" t="s">
        <v>521</v>
      </c>
      <c r="O31" s="59">
        <v>1270</v>
      </c>
      <c r="P31" s="56">
        <v>4.3</v>
      </c>
      <c r="Q31" s="60">
        <v>8.0500000000000007</v>
      </c>
      <c r="R31" s="61">
        <f t="shared" si="14"/>
        <v>2278.4832999999999</v>
      </c>
      <c r="S31" s="62">
        <f t="shared" si="2"/>
        <v>97.865447399999994</v>
      </c>
      <c r="T31" s="63">
        <f t="shared" si="3"/>
        <v>184.75296589999999</v>
      </c>
      <c r="U31" s="64" t="s">
        <v>171</v>
      </c>
      <c r="V31" s="85" t="s">
        <v>526</v>
      </c>
      <c r="W31" s="66" t="s">
        <v>184</v>
      </c>
      <c r="X31" s="67">
        <v>3150</v>
      </c>
      <c r="Y31" s="68">
        <v>4.5</v>
      </c>
      <c r="Z31" s="68">
        <v>8.19</v>
      </c>
      <c r="AA31" s="62">
        <f t="shared" si="4"/>
        <v>141.75</v>
      </c>
      <c r="AB31" s="63">
        <f t="shared" si="5"/>
        <v>257.98500000000001</v>
      </c>
      <c r="AC31" s="69">
        <v>3130</v>
      </c>
      <c r="AD31" s="70">
        <v>4.4000000000000004</v>
      </c>
      <c r="AE31" s="70">
        <v>8.16</v>
      </c>
      <c r="AF31" s="62">
        <f t="shared" si="6"/>
        <v>137.72000000000003</v>
      </c>
      <c r="AG31" s="63">
        <f t="shared" si="7"/>
        <v>255.40800000000002</v>
      </c>
      <c r="AH31" s="96">
        <v>693</v>
      </c>
      <c r="AI31" s="66">
        <v>4.3</v>
      </c>
      <c r="AJ31" s="66">
        <v>8.11</v>
      </c>
      <c r="AK31" s="62">
        <f t="shared" si="8"/>
        <v>29.798999999999996</v>
      </c>
      <c r="AL31" s="72">
        <f t="shared" si="9"/>
        <v>56.202299999999994</v>
      </c>
      <c r="AM31" s="73">
        <f t="shared" si="15"/>
        <v>20.483299999999872</v>
      </c>
      <c r="AN31" s="74">
        <f t="shared" si="18"/>
        <v>-2.5150526000000077</v>
      </c>
      <c r="AO31" s="74">
        <f t="shared" si="18"/>
        <v>0.22066589999995756</v>
      </c>
      <c r="AP31" s="75">
        <f t="shared" si="16"/>
        <v>-8.1183199396302405E-3</v>
      </c>
      <c r="AQ31" s="76">
        <f t="shared" si="11"/>
        <v>-1142.4771577030679</v>
      </c>
      <c r="AR31" s="90">
        <f t="shared" si="12"/>
        <v>0.48329999999987194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>
        <v>693</v>
      </c>
      <c r="E32" s="62">
        <v>4.3</v>
      </c>
      <c r="F32" s="62">
        <v>8.11</v>
      </c>
      <c r="G32" s="62">
        <f t="shared" si="0"/>
        <v>29.798999999999996</v>
      </c>
      <c r="H32" s="63">
        <f t="shared" si="1"/>
        <v>56.202299999999994</v>
      </c>
      <c r="I32" s="202">
        <v>646.06000000000006</v>
      </c>
      <c r="J32" s="202">
        <v>665.44180000000006</v>
      </c>
      <c r="K32" s="202">
        <v>4.6778348760177089</v>
      </c>
      <c r="L32" s="202">
        <v>8.1670928396743356</v>
      </c>
      <c r="M32" s="58" t="s">
        <v>185</v>
      </c>
      <c r="N32" s="58" t="s">
        <v>522</v>
      </c>
      <c r="O32" s="59">
        <v>1660</v>
      </c>
      <c r="P32" s="56">
        <v>4.3</v>
      </c>
      <c r="Q32" s="60">
        <v>8.1</v>
      </c>
      <c r="R32" s="61">
        <f t="shared" si="14"/>
        <v>2325.4418000000001</v>
      </c>
      <c r="S32" s="62">
        <f t="shared" si="2"/>
        <v>102.50826860000001</v>
      </c>
      <c r="T32" s="63">
        <f t="shared" si="3"/>
        <v>188.80724960000003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6">
        <v>3018</v>
      </c>
      <c r="AI32" s="66">
        <v>4.38</v>
      </c>
      <c r="AJ32" s="66">
        <v>8.1199999999999992</v>
      </c>
      <c r="AK32" s="62">
        <f t="shared" si="8"/>
        <v>132.1884</v>
      </c>
      <c r="AL32" s="72">
        <f t="shared" si="9"/>
        <v>245.06159999999997</v>
      </c>
      <c r="AM32" s="73">
        <f t="shared" si="15"/>
        <v>0.44180000000005748</v>
      </c>
      <c r="AN32" s="74">
        <f t="shared" si="18"/>
        <v>0.1188686000000132</v>
      </c>
      <c r="AO32" s="74">
        <f t="shared" si="18"/>
        <v>-5.2050399999956198E-2</v>
      </c>
      <c r="AP32" s="75">
        <f t="shared" si="16"/>
        <v>2.2936711512286679E-4</v>
      </c>
      <c r="AQ32" s="76">
        <f t="shared" si="11"/>
        <v>41.531599627331673</v>
      </c>
      <c r="AR32" s="90">
        <f t="shared" si="12"/>
        <v>0.44180000000005748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>
        <v>3018</v>
      </c>
      <c r="E33" s="62">
        <v>4.38</v>
      </c>
      <c r="F33" s="62">
        <v>8.1199999999999992</v>
      </c>
      <c r="G33" s="62">
        <f t="shared" si="0"/>
        <v>132.1884</v>
      </c>
      <c r="H33" s="63">
        <f t="shared" si="1"/>
        <v>245.06159999999997</v>
      </c>
      <c r="I33" s="202">
        <v>915.98000000000036</v>
      </c>
      <c r="J33" s="202">
        <v>943.45940000000041</v>
      </c>
      <c r="K33" s="202">
        <v>4.2907225048581852</v>
      </c>
      <c r="L33" s="202">
        <v>8.0315934845738983</v>
      </c>
      <c r="M33" s="58">
        <v>0</v>
      </c>
      <c r="N33" s="58" t="s">
        <v>167</v>
      </c>
      <c r="O33" s="59">
        <v>0</v>
      </c>
      <c r="P33" s="56">
        <v>0</v>
      </c>
      <c r="Q33" s="60">
        <v>0</v>
      </c>
      <c r="R33" s="61">
        <f t="shared" si="14"/>
        <v>943.45940000000041</v>
      </c>
      <c r="S33" s="62">
        <f t="shared" si="2"/>
        <v>40.481224800000028</v>
      </c>
      <c r="T33" s="63">
        <f t="shared" si="3"/>
        <v>75.774823700000027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6">
        <v>3961</v>
      </c>
      <c r="AI33" s="66">
        <v>4.3600000000000003</v>
      </c>
      <c r="AJ33" s="66">
        <v>8.09</v>
      </c>
      <c r="AK33" s="62">
        <f t="shared" si="8"/>
        <v>172.6996</v>
      </c>
      <c r="AL33" s="72">
        <f t="shared" si="9"/>
        <v>320.44490000000002</v>
      </c>
      <c r="AM33" s="73">
        <f t="shared" si="15"/>
        <v>0.45940000000064174</v>
      </c>
      <c r="AN33" s="74">
        <f t="shared" si="18"/>
        <v>-2.9975199999967117E-2</v>
      </c>
      <c r="AO33" s="74">
        <f t="shared" si="18"/>
        <v>0.39152369999999337</v>
      </c>
      <c r="AP33" s="75">
        <f t="shared" si="16"/>
        <v>3.1099328135174497E-3</v>
      </c>
      <c r="AQ33" s="76">
        <f t="shared" si="11"/>
        <v>102.85380342033326</v>
      </c>
      <c r="AR33" s="90">
        <f t="shared" si="12"/>
        <v>0.45940000000064174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>
        <v>3961</v>
      </c>
      <c r="E34" s="62">
        <v>4.3600000000000003</v>
      </c>
      <c r="F34" s="62">
        <v>8.09</v>
      </c>
      <c r="G34" s="62">
        <f t="shared" si="0"/>
        <v>172.6996</v>
      </c>
      <c r="H34" s="63">
        <f t="shared" si="1"/>
        <v>320.44490000000002</v>
      </c>
      <c r="I34" s="202">
        <v>730.54</v>
      </c>
      <c r="J34" s="202">
        <v>752.45619999999997</v>
      </c>
      <c r="K34" s="202">
        <v>4.6753524789881453</v>
      </c>
      <c r="L34" s="202">
        <v>8.2879445341801929</v>
      </c>
      <c r="M34" s="58" t="s">
        <v>185</v>
      </c>
      <c r="N34" s="58" t="s">
        <v>568</v>
      </c>
      <c r="O34" s="59">
        <v>1620</v>
      </c>
      <c r="P34" s="56">
        <v>4.4000000000000004</v>
      </c>
      <c r="Q34" s="60">
        <v>7.9</v>
      </c>
      <c r="R34" s="61">
        <f t="shared" si="14"/>
        <v>2372.4562000000001</v>
      </c>
      <c r="S34" s="62">
        <f t="shared" si="2"/>
        <v>106.4599796</v>
      </c>
      <c r="T34" s="63">
        <f t="shared" si="3"/>
        <v>190.34315249999997</v>
      </c>
      <c r="U34" s="64" t="s">
        <v>171</v>
      </c>
      <c r="V34" s="65" t="s">
        <v>569</v>
      </c>
      <c r="W34" s="66" t="s">
        <v>184</v>
      </c>
      <c r="X34" s="67">
        <v>3150</v>
      </c>
      <c r="Y34" s="68">
        <v>4.4000000000000004</v>
      </c>
      <c r="Z34" s="68">
        <v>8.0500000000000007</v>
      </c>
      <c r="AA34" s="62">
        <f t="shared" si="4"/>
        <v>138.60000000000002</v>
      </c>
      <c r="AB34" s="63">
        <f t="shared" si="5"/>
        <v>253.57500000000002</v>
      </c>
      <c r="AC34" s="69">
        <v>3140</v>
      </c>
      <c r="AD34" s="70">
        <v>4.3</v>
      </c>
      <c r="AE34" s="70">
        <v>8.02</v>
      </c>
      <c r="AF34" s="62">
        <f t="shared" si="6"/>
        <v>135.01999999999998</v>
      </c>
      <c r="AG34" s="63">
        <f t="shared" si="7"/>
        <v>251.82799999999997</v>
      </c>
      <c r="AH34" s="96">
        <v>3183</v>
      </c>
      <c r="AI34" s="66">
        <v>4.41</v>
      </c>
      <c r="AJ34" s="66">
        <v>8.06</v>
      </c>
      <c r="AK34" s="62">
        <f t="shared" si="8"/>
        <v>140.37030000000001</v>
      </c>
      <c r="AL34" s="72">
        <f t="shared" si="9"/>
        <v>256.5498</v>
      </c>
      <c r="AM34" s="73">
        <f t="shared" si="15"/>
        <v>10.456200000000536</v>
      </c>
      <c r="AN34" s="74">
        <f t="shared" si="18"/>
        <v>3.7692796000000328</v>
      </c>
      <c r="AO34" s="74">
        <f t="shared" si="18"/>
        <v>2.4102525000000128</v>
      </c>
      <c r="AP34" s="75">
        <f t="shared" si="16"/>
        <v>2.0820306228837286E-2</v>
      </c>
      <c r="AQ34" s="76">
        <f t="shared" si="11"/>
        <v>2533.1106908287616</v>
      </c>
      <c r="AR34" s="77">
        <f>(D34+J34+O34)-(X34+AH34)</f>
        <v>0.45619999999962602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>
        <v>3183</v>
      </c>
      <c r="E35" s="62">
        <v>4.41</v>
      </c>
      <c r="F35" s="62">
        <v>8.06</v>
      </c>
      <c r="G35" s="62">
        <f t="shared" si="0"/>
        <v>140.37030000000001</v>
      </c>
      <c r="H35" s="63">
        <f t="shared" si="1"/>
        <v>256.5498</v>
      </c>
      <c r="I35" s="202">
        <v>1010</v>
      </c>
      <c r="J35" s="202">
        <v>1040.3</v>
      </c>
      <c r="K35" s="202">
        <v>4.3502613861386141</v>
      </c>
      <c r="L35" s="202">
        <v>8.1425257425742572</v>
      </c>
      <c r="M35" s="58">
        <v>0</v>
      </c>
      <c r="N35" s="58" t="s">
        <v>180</v>
      </c>
      <c r="O35" s="59">
        <v>0</v>
      </c>
      <c r="P35" s="56">
        <v>0</v>
      </c>
      <c r="Q35" s="60">
        <v>0</v>
      </c>
      <c r="R35" s="61">
        <f t="shared" si="14"/>
        <v>1040.3</v>
      </c>
      <c r="S35" s="62">
        <f t="shared" si="2"/>
        <v>45.255769199999996</v>
      </c>
      <c r="T35" s="63">
        <f t="shared" si="3"/>
        <v>84.706695299999993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6">
        <v>4226</v>
      </c>
      <c r="AI35" s="66">
        <v>4.4000000000000004</v>
      </c>
      <c r="AJ35" s="66">
        <v>8.06</v>
      </c>
      <c r="AK35" s="62">
        <f t="shared" si="8"/>
        <v>185.94400000000002</v>
      </c>
      <c r="AL35" s="72">
        <f t="shared" si="9"/>
        <v>340.61560000000003</v>
      </c>
      <c r="AM35" s="73">
        <f t="shared" si="15"/>
        <v>-2.6999999999998181</v>
      </c>
      <c r="AN35" s="74">
        <f t="shared" si="18"/>
        <v>-0.31793079999999918</v>
      </c>
      <c r="AO35" s="74">
        <f t="shared" si="18"/>
        <v>0.6408952999999542</v>
      </c>
      <c r="AP35" s="75">
        <f t="shared" si="16"/>
        <v>2.4850598304863255E-3</v>
      </c>
      <c r="AQ35" s="76">
        <f t="shared" si="11"/>
        <v>39.166339861358978</v>
      </c>
      <c r="AR35" s="77">
        <f t="shared" si="12"/>
        <v>-2.6999999999998181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>
        <v>4226</v>
      </c>
      <c r="E36" s="62">
        <v>4.4000000000000004</v>
      </c>
      <c r="F36" s="62">
        <v>8.06</v>
      </c>
      <c r="G36" s="62">
        <f t="shared" si="0"/>
        <v>185.94400000000002</v>
      </c>
      <c r="H36" s="63">
        <f t="shared" si="1"/>
        <v>340.61560000000003</v>
      </c>
      <c r="I36" s="202">
        <v>608.26</v>
      </c>
      <c r="J36" s="202">
        <v>626.50779999999997</v>
      </c>
      <c r="K36" s="202">
        <v>4.8033965738335578</v>
      </c>
      <c r="L36" s="202">
        <v>8.2760694439877707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4"/>
        <v>626.50779999999997</v>
      </c>
      <c r="S36" s="62">
        <f t="shared" si="2"/>
        <v>30.093654199999996</v>
      </c>
      <c r="T36" s="63">
        <f t="shared" si="3"/>
        <v>51.850220600000014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6">
        <v>4852</v>
      </c>
      <c r="AI36" s="66">
        <v>4.45</v>
      </c>
      <c r="AJ36" s="66">
        <v>8.09</v>
      </c>
      <c r="AK36" s="62">
        <f t="shared" si="8"/>
        <v>215.91400000000002</v>
      </c>
      <c r="AL36" s="72">
        <f t="shared" si="9"/>
        <v>392.52679999999998</v>
      </c>
      <c r="AM36" s="73">
        <f t="shared" si="15"/>
        <v>0.50780000000031578</v>
      </c>
      <c r="AN36" s="74">
        <f t="shared" si="18"/>
        <v>0.12365420000000427</v>
      </c>
      <c r="AO36" s="74">
        <f t="shared" si="18"/>
        <v>-6.0979399999951056E-2</v>
      </c>
      <c r="AP36" s="75">
        <f t="shared" si="16"/>
        <v>7.6485033387819741E-4</v>
      </c>
      <c r="AQ36" s="76">
        <f t="shared" si="11"/>
        <v>41.157080172024585</v>
      </c>
      <c r="AR36" s="90">
        <f t="shared" si="12"/>
        <v>0.50780000000031578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>
        <v>4852</v>
      </c>
      <c r="E37" s="62">
        <v>4.45</v>
      </c>
      <c r="F37" s="62">
        <v>8.09</v>
      </c>
      <c r="G37" s="62">
        <f t="shared" si="0"/>
        <v>215.91400000000002</v>
      </c>
      <c r="H37" s="63">
        <f t="shared" si="1"/>
        <v>392.52679999999998</v>
      </c>
      <c r="I37" s="202">
        <v>1057.3199999999997</v>
      </c>
      <c r="J37" s="202">
        <v>1089.0395999999998</v>
      </c>
      <c r="K37" s="202">
        <v>4.196326561495102</v>
      </c>
      <c r="L37" s="202">
        <v>8.160322324367268</v>
      </c>
      <c r="M37" s="58">
        <v>0</v>
      </c>
      <c r="N37" s="58" t="s">
        <v>167</v>
      </c>
      <c r="O37" s="59">
        <v>0</v>
      </c>
      <c r="P37" s="56">
        <v>0</v>
      </c>
      <c r="Q37" s="60">
        <v>0</v>
      </c>
      <c r="R37" s="61">
        <f t="shared" si="14"/>
        <v>1089.0395999999998</v>
      </c>
      <c r="S37" s="62">
        <f t="shared" si="2"/>
        <v>45.699658000000007</v>
      </c>
      <c r="T37" s="63">
        <f t="shared" si="3"/>
        <v>88.869141599999992</v>
      </c>
      <c r="U37" s="64" t="s">
        <v>311</v>
      </c>
      <c r="V37" s="85" t="s">
        <v>685</v>
      </c>
      <c r="W37" s="66" t="s">
        <v>159</v>
      </c>
      <c r="X37" s="67">
        <v>5200</v>
      </c>
      <c r="Y37" s="68">
        <v>4.5</v>
      </c>
      <c r="Z37" s="68">
        <v>8.31</v>
      </c>
      <c r="AA37" s="62">
        <f t="shared" si="4"/>
        <v>234</v>
      </c>
      <c r="AB37" s="63">
        <f t="shared" si="5"/>
        <v>432.12000000000006</v>
      </c>
      <c r="AC37" s="69">
        <v>5210</v>
      </c>
      <c r="AD37" s="70">
        <v>4.45</v>
      </c>
      <c r="AE37" s="70">
        <v>8.17</v>
      </c>
      <c r="AF37" s="62">
        <f t="shared" si="6"/>
        <v>231.84500000000003</v>
      </c>
      <c r="AG37" s="63">
        <f t="shared" si="7"/>
        <v>425.65699999999998</v>
      </c>
      <c r="AH37" s="96">
        <v>741</v>
      </c>
      <c r="AI37" s="66">
        <v>4.4000000000000004</v>
      </c>
      <c r="AJ37" s="66">
        <v>8.11</v>
      </c>
      <c r="AK37" s="62">
        <f t="shared" si="8"/>
        <v>32.604000000000006</v>
      </c>
      <c r="AL37" s="72">
        <f t="shared" si="9"/>
        <v>60.095099999999995</v>
      </c>
      <c r="AM37" s="73">
        <f t="shared" si="15"/>
        <v>-9.960399999999936</v>
      </c>
      <c r="AN37" s="74">
        <f t="shared" si="18"/>
        <v>-2.83534199999999</v>
      </c>
      <c r="AO37" s="74">
        <f t="shared" si="18"/>
        <v>-4.3561584000000195</v>
      </c>
      <c r="AP37" s="75">
        <f t="shared" si="16"/>
        <v>-5.3441068222176584E-2</v>
      </c>
      <c r="AQ37" s="76">
        <f t="shared" si="11"/>
        <v>-2667.1047712993254</v>
      </c>
      <c r="AR37" s="90">
        <f t="shared" si="12"/>
        <v>3.9600000000064028E-2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>
        <v>741</v>
      </c>
      <c r="E38" s="62">
        <v>4.4000000000000004</v>
      </c>
      <c r="F38" s="62">
        <v>8.11</v>
      </c>
      <c r="G38" s="62">
        <f t="shared" si="0"/>
        <v>32.604000000000006</v>
      </c>
      <c r="H38" s="63">
        <f t="shared" si="1"/>
        <v>60.095099999999995</v>
      </c>
      <c r="I38" s="202">
        <v>732.23000000000025</v>
      </c>
      <c r="J38" s="202">
        <v>754.19690000000026</v>
      </c>
      <c r="K38" s="202">
        <v>4.8454474686915328</v>
      </c>
      <c r="L38" s="202">
        <v>8.2335263510099281</v>
      </c>
      <c r="M38" s="58" t="s">
        <v>299</v>
      </c>
      <c r="N38" s="58" t="s">
        <v>682</v>
      </c>
      <c r="O38" s="59">
        <v>4750</v>
      </c>
      <c r="P38" s="56">
        <v>4.2699999999999996</v>
      </c>
      <c r="Q38" s="60">
        <v>8.09</v>
      </c>
      <c r="R38" s="61">
        <f t="shared" si="14"/>
        <v>5504.1968999999999</v>
      </c>
      <c r="S38" s="62">
        <f t="shared" si="2"/>
        <v>239.36921460000002</v>
      </c>
      <c r="T38" s="63">
        <f t="shared" si="3"/>
        <v>446.37200050000001</v>
      </c>
      <c r="U38" s="64" t="s">
        <v>171</v>
      </c>
      <c r="V38" s="65" t="s">
        <v>686</v>
      </c>
      <c r="W38" s="66" t="s">
        <v>184</v>
      </c>
      <c r="X38" s="67">
        <v>6280</v>
      </c>
      <c r="Y38" s="68">
        <v>4.4000000000000004</v>
      </c>
      <c r="Z38" s="68">
        <v>8.17</v>
      </c>
      <c r="AA38" s="62">
        <f t="shared" si="4"/>
        <v>276.32000000000005</v>
      </c>
      <c r="AB38" s="63">
        <f t="shared" si="5"/>
        <v>513.07600000000002</v>
      </c>
      <c r="AC38" s="69">
        <v>6280</v>
      </c>
      <c r="AD38" s="70">
        <v>4.3999999999999995</v>
      </c>
      <c r="AE38" s="70">
        <v>8.1</v>
      </c>
      <c r="AF38" s="62">
        <f t="shared" si="6"/>
        <v>276.32</v>
      </c>
      <c r="AG38" s="63">
        <f t="shared" si="7"/>
        <v>508.68</v>
      </c>
      <c r="AH38" s="96">
        <v>0</v>
      </c>
      <c r="AI38" s="66">
        <v>0</v>
      </c>
      <c r="AJ38" s="66">
        <v>0</v>
      </c>
      <c r="AK38" s="62">
        <f t="shared" si="8"/>
        <v>0</v>
      </c>
      <c r="AL38" s="72">
        <f t="shared" si="9"/>
        <v>0</v>
      </c>
      <c r="AM38" s="73">
        <f t="shared" si="15"/>
        <v>-34.803100000000086</v>
      </c>
      <c r="AN38" s="74">
        <f t="shared" si="18"/>
        <v>-4.3467853999999875</v>
      </c>
      <c r="AO38" s="74">
        <f t="shared" si="18"/>
        <v>-2.2128994999999918</v>
      </c>
      <c r="AP38" s="75">
        <f t="shared" si="16"/>
        <v>-9.5658314763002756E-3</v>
      </c>
      <c r="AQ38" s="76">
        <f t="shared" si="11"/>
        <v>-2751.5155569155745</v>
      </c>
      <c r="AR38" s="90">
        <f t="shared" si="12"/>
        <v>-34.803099999999176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>
        <v>0</v>
      </c>
      <c r="E39" s="62">
        <v>0</v>
      </c>
      <c r="F39" s="62">
        <v>0</v>
      </c>
      <c r="G39" s="62">
        <f t="shared" si="0"/>
        <v>0</v>
      </c>
      <c r="H39" s="63">
        <f t="shared" si="1"/>
        <v>0</v>
      </c>
      <c r="I39" s="202">
        <v>966.88999999999976</v>
      </c>
      <c r="J39" s="202">
        <v>995.89669999999978</v>
      </c>
      <c r="K39" s="202">
        <v>4.3181478761803325</v>
      </c>
      <c r="L39" s="202">
        <v>8.1859363526357694</v>
      </c>
      <c r="M39" s="58">
        <v>0</v>
      </c>
      <c r="N39" s="58" t="s">
        <v>167</v>
      </c>
      <c r="O39" s="59">
        <v>0</v>
      </c>
      <c r="P39" s="56">
        <v>0</v>
      </c>
      <c r="Q39" s="60">
        <v>0</v>
      </c>
      <c r="R39" s="61">
        <f t="shared" si="14"/>
        <v>995.89669999999978</v>
      </c>
      <c r="S39" s="62">
        <f t="shared" si="2"/>
        <v>43.004292200000009</v>
      </c>
      <c r="T39" s="63">
        <f t="shared" si="3"/>
        <v>81.523469999999975</v>
      </c>
      <c r="U39" s="64" t="s">
        <v>180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6">
        <v>996</v>
      </c>
      <c r="AI39" s="66">
        <v>4.3</v>
      </c>
      <c r="AJ39" s="66">
        <v>8.1999999999999993</v>
      </c>
      <c r="AK39" s="62">
        <f t="shared" si="8"/>
        <v>42.827999999999996</v>
      </c>
      <c r="AL39" s="72">
        <f t="shared" si="9"/>
        <v>81.671999999999983</v>
      </c>
      <c r="AM39" s="73">
        <f t="shared" si="15"/>
        <v>-0.10330000000021755</v>
      </c>
      <c r="AN39" s="74">
        <f t="shared" si="18"/>
        <v>0.17629220000001311</v>
      </c>
      <c r="AO39" s="74">
        <f t="shared" si="18"/>
        <v>-0.14853000000000804</v>
      </c>
      <c r="AP39" s="75">
        <f t="shared" si="16"/>
        <v>2.2293984497542886E-4</v>
      </c>
      <c r="AQ39" s="76">
        <f t="shared" si="11"/>
        <v>40.230727070948141</v>
      </c>
      <c r="AR39" s="90">
        <f t="shared" si="12"/>
        <v>-0.10330000000021755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>
        <v>996</v>
      </c>
      <c r="E40" s="62">
        <v>4.3</v>
      </c>
      <c r="F40" s="62">
        <v>8.1999999999999993</v>
      </c>
      <c r="G40" s="62">
        <f t="shared" si="0"/>
        <v>42.827999999999996</v>
      </c>
      <c r="H40" s="63">
        <f t="shared" si="1"/>
        <v>81.671999999999983</v>
      </c>
      <c r="I40" s="202">
        <v>699.13</v>
      </c>
      <c r="J40" s="202">
        <v>720.10390000000007</v>
      </c>
      <c r="K40" s="202">
        <v>4.7100782400984071</v>
      </c>
      <c r="L40" s="202">
        <v>8.1963468882754267</v>
      </c>
      <c r="M40" s="58" t="s">
        <v>185</v>
      </c>
      <c r="N40" s="58" t="s">
        <v>683</v>
      </c>
      <c r="O40" s="59">
        <v>3200</v>
      </c>
      <c r="P40" s="56">
        <v>4.5</v>
      </c>
      <c r="Q40" s="60">
        <v>8.15</v>
      </c>
      <c r="R40" s="61">
        <f t="shared" si="14"/>
        <v>3920.1039000000001</v>
      </c>
      <c r="S40" s="62">
        <f t="shared" si="2"/>
        <v>177.91745710000001</v>
      </c>
      <c r="T40" s="63">
        <f t="shared" si="3"/>
        <v>319.8222136</v>
      </c>
      <c r="U40" s="64" t="s">
        <v>171</v>
      </c>
      <c r="V40" s="65" t="s">
        <v>687</v>
      </c>
      <c r="W40" s="66" t="s">
        <v>184</v>
      </c>
      <c r="X40" s="67">
        <v>3150</v>
      </c>
      <c r="Y40" s="68">
        <v>4.4000000000000004</v>
      </c>
      <c r="Z40" s="68">
        <v>8.2899999999999991</v>
      </c>
      <c r="AA40" s="62">
        <f t="shared" si="4"/>
        <v>138.60000000000002</v>
      </c>
      <c r="AB40" s="63">
        <f t="shared" si="5"/>
        <v>261.13499999999993</v>
      </c>
      <c r="AC40" s="69">
        <v>3140</v>
      </c>
      <c r="AD40" s="70">
        <v>4.3499999999999996</v>
      </c>
      <c r="AE40" s="70">
        <v>8.15</v>
      </c>
      <c r="AF40" s="62">
        <f t="shared" si="6"/>
        <v>136.59</v>
      </c>
      <c r="AG40" s="63">
        <f t="shared" si="7"/>
        <v>255.91</v>
      </c>
      <c r="AH40" s="96">
        <v>1766</v>
      </c>
      <c r="AI40" s="66">
        <v>4.4800000000000004</v>
      </c>
      <c r="AJ40" s="66">
        <v>8.16</v>
      </c>
      <c r="AK40" s="62">
        <f t="shared" si="8"/>
        <v>79.116800000000012</v>
      </c>
      <c r="AL40" s="72">
        <f>AH40*AJ40%</f>
        <v>144.10560000000001</v>
      </c>
      <c r="AM40" s="73">
        <f t="shared" si="15"/>
        <v>10.103900000000067</v>
      </c>
      <c r="AN40" s="74">
        <f t="shared" si="18"/>
        <v>5.0386570999999947</v>
      </c>
      <c r="AO40" s="74">
        <f t="shared" si="18"/>
        <v>1.4786135999999601</v>
      </c>
      <c r="AP40" s="75">
        <f t="shared" si="16"/>
        <v>1.3093733699856273E-2</v>
      </c>
      <c r="AQ40" s="76">
        <f t="shared" si="11"/>
        <v>2864.0703366547418</v>
      </c>
      <c r="AR40" s="90">
        <f t="shared" si="12"/>
        <v>0.10390000000006694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>
        <v>1766</v>
      </c>
      <c r="E41" s="62">
        <v>4.4800000000000004</v>
      </c>
      <c r="F41" s="62">
        <v>8.16</v>
      </c>
      <c r="G41" s="62">
        <f t="shared" si="0"/>
        <v>79.116800000000012</v>
      </c>
      <c r="H41" s="63">
        <f t="shared" si="1"/>
        <v>144.10560000000001</v>
      </c>
      <c r="I41" s="202">
        <v>1108.8999999999999</v>
      </c>
      <c r="J41" s="202">
        <v>1142.1669999999999</v>
      </c>
      <c r="K41" s="202">
        <v>4.3186761655694843</v>
      </c>
      <c r="L41" s="202">
        <v>8.2523663089548194</v>
      </c>
      <c r="M41" s="58">
        <v>0</v>
      </c>
      <c r="N41" s="58" t="s">
        <v>167</v>
      </c>
      <c r="O41" s="59">
        <v>0</v>
      </c>
      <c r="P41" s="56">
        <v>0</v>
      </c>
      <c r="Q41" s="60">
        <v>0</v>
      </c>
      <c r="R41" s="61">
        <f t="shared" si="14"/>
        <v>1142.1669999999999</v>
      </c>
      <c r="S41" s="62">
        <f t="shared" si="2"/>
        <v>49.326494000000011</v>
      </c>
      <c r="T41" s="63">
        <f t="shared" si="3"/>
        <v>94.255804699999985</v>
      </c>
      <c r="U41" s="64" t="s">
        <v>180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6">
        <v>2908</v>
      </c>
      <c r="AI41" s="66">
        <v>4.4000000000000004</v>
      </c>
      <c r="AJ41" s="66">
        <v>8.2100000000000009</v>
      </c>
      <c r="AK41" s="62">
        <f t="shared" si="8"/>
        <v>127.95200000000001</v>
      </c>
      <c r="AL41" s="72">
        <f t="shared" si="9"/>
        <v>238.74680000000001</v>
      </c>
      <c r="AM41" s="73">
        <f t="shared" si="15"/>
        <v>0.16699999999991633</v>
      </c>
      <c r="AN41" s="74">
        <f t="shared" si="18"/>
        <v>0.49129400000002477</v>
      </c>
      <c r="AO41" s="74">
        <f t="shared" si="18"/>
        <v>-0.38539530000002742</v>
      </c>
      <c r="AP41" s="75">
        <f t="shared" si="16"/>
        <v>7.3754704416079499E-4</v>
      </c>
      <c r="AQ41" s="76">
        <f t="shared" si="11"/>
        <v>120.66029549955854</v>
      </c>
      <c r="AR41" s="90">
        <f t="shared" si="12"/>
        <v>0.16699999999991633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>
        <v>2908</v>
      </c>
      <c r="E42" s="62">
        <v>4.4000000000000004</v>
      </c>
      <c r="F42" s="62">
        <v>8.2100000000000009</v>
      </c>
      <c r="G42" s="62">
        <f t="shared" si="0"/>
        <v>127.95200000000001</v>
      </c>
      <c r="H42" s="63">
        <f t="shared" si="1"/>
        <v>238.74680000000001</v>
      </c>
      <c r="I42" s="202">
        <v>733.14</v>
      </c>
      <c r="J42" s="202">
        <v>755.13419999999996</v>
      </c>
      <c r="K42" s="202">
        <v>4.9005742423002419</v>
      </c>
      <c r="L42" s="202">
        <v>8.3792454374335019</v>
      </c>
      <c r="M42" s="58" t="s">
        <v>185</v>
      </c>
      <c r="N42" s="58">
        <v>86110</v>
      </c>
      <c r="O42" s="59">
        <v>1880</v>
      </c>
      <c r="P42" s="56">
        <v>4.4000000000000004</v>
      </c>
      <c r="Q42" s="60">
        <v>8.1</v>
      </c>
      <c r="R42" s="61">
        <f t="shared" si="14"/>
        <v>2635.1342</v>
      </c>
      <c r="S42" s="62">
        <f t="shared" si="2"/>
        <v>119.7259121</v>
      </c>
      <c r="T42" s="63">
        <f t="shared" si="3"/>
        <v>215.55454799999998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6">
        <v>5543</v>
      </c>
      <c r="AI42" s="66">
        <v>4.46</v>
      </c>
      <c r="AJ42" s="66">
        <v>8.19</v>
      </c>
      <c r="AK42" s="62">
        <f t="shared" si="8"/>
        <v>247.21780000000001</v>
      </c>
      <c r="AL42" s="72">
        <f t="shared" si="9"/>
        <v>453.9717</v>
      </c>
      <c r="AM42" s="73">
        <f t="shared" si="15"/>
        <v>0.1342000000004191</v>
      </c>
      <c r="AN42" s="74">
        <f t="shared" si="18"/>
        <v>0.46011210000000347</v>
      </c>
      <c r="AO42" s="74">
        <f t="shared" si="18"/>
        <v>0.3296479999999633</v>
      </c>
      <c r="AP42" s="75">
        <f t="shared" si="16"/>
        <v>2.3555208071607118E-3</v>
      </c>
      <c r="AQ42" s="76">
        <f t="shared" si="11"/>
        <v>319.82548035928181</v>
      </c>
      <c r="AR42" s="90">
        <f t="shared" si="12"/>
        <v>0.1342000000004191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>
        <v>5543</v>
      </c>
      <c r="E43" s="62">
        <v>4.46</v>
      </c>
      <c r="F43" s="62">
        <v>8.19</v>
      </c>
      <c r="G43" s="62">
        <f t="shared" si="0"/>
        <v>247.21780000000001</v>
      </c>
      <c r="H43" s="63">
        <f t="shared" si="1"/>
        <v>453.9717</v>
      </c>
      <c r="I43" s="202">
        <v>1033.4599999999998</v>
      </c>
      <c r="J43" s="202">
        <v>1064.4637999999998</v>
      </c>
      <c r="K43" s="202">
        <v>4.4990323766764071</v>
      </c>
      <c r="L43" s="202">
        <v>8.1829175778452949</v>
      </c>
      <c r="M43" s="58">
        <v>0</v>
      </c>
      <c r="N43" s="58" t="s">
        <v>167</v>
      </c>
      <c r="O43" s="59">
        <v>0</v>
      </c>
      <c r="P43" s="56">
        <v>0</v>
      </c>
      <c r="Q43" s="60">
        <v>0</v>
      </c>
      <c r="R43" s="61">
        <f t="shared" si="14"/>
        <v>1064.4637999999998</v>
      </c>
      <c r="S43" s="62">
        <f t="shared" si="2"/>
        <v>47.89057099999998</v>
      </c>
      <c r="T43" s="63">
        <f t="shared" si="3"/>
        <v>87.104195399999966</v>
      </c>
      <c r="U43" s="64" t="s">
        <v>171</v>
      </c>
      <c r="V43" s="65" t="s">
        <v>688</v>
      </c>
      <c r="W43" s="66" t="s">
        <v>184</v>
      </c>
      <c r="X43" s="67">
        <v>6280</v>
      </c>
      <c r="Y43" s="68">
        <v>4.5</v>
      </c>
      <c r="Z43" s="68">
        <v>8.25</v>
      </c>
      <c r="AA43" s="62">
        <f t="shared" si="4"/>
        <v>282.59999999999997</v>
      </c>
      <c r="AB43" s="63">
        <f t="shared" si="5"/>
        <v>518.1</v>
      </c>
      <c r="AC43" s="69">
        <v>6260</v>
      </c>
      <c r="AD43" s="70">
        <v>4.5</v>
      </c>
      <c r="AE43" s="70">
        <v>8.2449999999999992</v>
      </c>
      <c r="AF43" s="62">
        <f t="shared" si="6"/>
        <v>281.7</v>
      </c>
      <c r="AG43" s="63">
        <f t="shared" si="7"/>
        <v>516.13699999999994</v>
      </c>
      <c r="AH43" s="96">
        <v>327</v>
      </c>
      <c r="AI43" s="66">
        <v>4.46</v>
      </c>
      <c r="AJ43" s="66">
        <v>8.19</v>
      </c>
      <c r="AK43" s="62">
        <f t="shared" si="8"/>
        <v>14.584200000000001</v>
      </c>
      <c r="AL43" s="72">
        <f t="shared" si="9"/>
        <v>26.781300000000002</v>
      </c>
      <c r="AM43" s="73">
        <f t="shared" si="15"/>
        <v>20.463799999999537</v>
      </c>
      <c r="AN43" s="74">
        <f t="shared" si="18"/>
        <v>-1.1758290000000127</v>
      </c>
      <c r="AO43" s="74">
        <f t="shared" si="18"/>
        <v>-1.8424046000000232</v>
      </c>
      <c r="AP43" s="75">
        <f t="shared" si="16"/>
        <v>-2.2358152693540547E-2</v>
      </c>
      <c r="AQ43" s="76">
        <f t="shared" si="11"/>
        <v>-1116.8078792038375</v>
      </c>
      <c r="AR43" s="90">
        <f t="shared" si="12"/>
        <v>0.46379999999953725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>
        <v>327</v>
      </c>
      <c r="E44" s="62">
        <v>4.46</v>
      </c>
      <c r="F44" s="62">
        <v>8.19</v>
      </c>
      <c r="G44" s="62">
        <f t="shared" si="0"/>
        <v>14.584200000000001</v>
      </c>
      <c r="H44" s="63">
        <f t="shared" si="1"/>
        <v>26.781300000000002</v>
      </c>
      <c r="I44" s="202">
        <v>700.77999999999986</v>
      </c>
      <c r="J44" s="202">
        <v>721.8033999999999</v>
      </c>
      <c r="K44" s="202">
        <v>4.8511829675504448</v>
      </c>
      <c r="L44" s="202">
        <v>8.3184052056280144</v>
      </c>
      <c r="M44" s="58" t="s">
        <v>185</v>
      </c>
      <c r="N44" s="58" t="s">
        <v>684</v>
      </c>
      <c r="O44" s="59">
        <v>2640</v>
      </c>
      <c r="P44" s="56">
        <v>4.7</v>
      </c>
      <c r="Q44" s="60">
        <v>8.35</v>
      </c>
      <c r="R44" s="61">
        <f t="shared" si="14"/>
        <v>3361.8033999999998</v>
      </c>
      <c r="S44" s="62">
        <f t="shared" si="2"/>
        <v>159.09600360000002</v>
      </c>
      <c r="T44" s="63">
        <f t="shared" si="3"/>
        <v>280.48253159999996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>
        <v>3688</v>
      </c>
      <c r="AI44" s="66">
        <v>4.71</v>
      </c>
      <c r="AJ44" s="66">
        <v>8.32</v>
      </c>
      <c r="AK44" s="62">
        <f t="shared" si="8"/>
        <v>173.70480000000001</v>
      </c>
      <c r="AL44" s="72">
        <f t="shared" si="9"/>
        <v>306.84159999999997</v>
      </c>
      <c r="AM44" s="73">
        <f t="shared" si="15"/>
        <v>0.80339999999978318</v>
      </c>
      <c r="AN44" s="74">
        <f t="shared" si="18"/>
        <v>-2.4596399999978757E-2</v>
      </c>
      <c r="AO44" s="74">
        <f t="shared" si="18"/>
        <v>0.42223159999997506</v>
      </c>
      <c r="AP44" s="75">
        <f t="shared" si="16"/>
        <v>9.0458284051353813E-4</v>
      </c>
      <c r="AQ44" s="76">
        <f t="shared" si="11"/>
        <v>114.63523455361764</v>
      </c>
      <c r="AR44" s="90">
        <f t="shared" si="12"/>
        <v>0.80339999999978318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>
        <v>3688</v>
      </c>
      <c r="E45" s="62">
        <v>4.71</v>
      </c>
      <c r="F45" s="62">
        <v>8.32</v>
      </c>
      <c r="G45" s="62">
        <f t="shared" si="0"/>
        <v>173.70480000000001</v>
      </c>
      <c r="H45" s="63">
        <f t="shared" si="1"/>
        <v>306.84159999999997</v>
      </c>
      <c r="I45" s="202">
        <v>1055.2600000000002</v>
      </c>
      <c r="J45" s="202">
        <v>1086.9178000000002</v>
      </c>
      <c r="K45" s="202">
        <v>4.4991025908306952</v>
      </c>
      <c r="L45" s="202">
        <v>8.217300001895266</v>
      </c>
      <c r="M45" s="58">
        <v>0</v>
      </c>
      <c r="N45" s="58" t="s">
        <v>167</v>
      </c>
      <c r="O45" s="59">
        <v>0</v>
      </c>
      <c r="P45" s="56">
        <v>0</v>
      </c>
      <c r="Q45" s="60">
        <v>0</v>
      </c>
      <c r="R45" s="61">
        <f t="shared" si="14"/>
        <v>1086.9178000000002</v>
      </c>
      <c r="S45" s="62">
        <f t="shared" si="2"/>
        <v>48.901546900000007</v>
      </c>
      <c r="T45" s="63">
        <f t="shared" si="3"/>
        <v>89.315296399999994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>
        <v>4775</v>
      </c>
      <c r="AI45" s="66">
        <v>4.66</v>
      </c>
      <c r="AJ45" s="66">
        <v>8.2899999999999991</v>
      </c>
      <c r="AK45" s="62">
        <f t="shared" si="8"/>
        <v>222.51500000000001</v>
      </c>
      <c r="AL45" s="72">
        <f t="shared" si="9"/>
        <v>395.84749999999997</v>
      </c>
      <c r="AM45" s="73">
        <f t="shared" si="15"/>
        <v>-8.2199999999829743E-2</v>
      </c>
      <c r="AN45" s="74">
        <f t="shared" si="18"/>
        <v>9.1346899999990683E-2</v>
      </c>
      <c r="AO45" s="74">
        <f t="shared" si="18"/>
        <v>0.30939639999996871</v>
      </c>
      <c r="AP45" s="75">
        <f t="shared" si="16"/>
        <v>2.8993810770959736E-3</v>
      </c>
      <c r="AQ45" s="76">
        <f t="shared" si="11"/>
        <v>136.5566258602075</v>
      </c>
      <c r="AR45" s="90">
        <f t="shared" si="12"/>
        <v>-8.2199999999829743E-2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>
        <v>4775</v>
      </c>
      <c r="E46" s="62">
        <v>4.66</v>
      </c>
      <c r="F46" s="62">
        <v>8.2899999999999991</v>
      </c>
      <c r="G46" s="62">
        <f t="shared" si="0"/>
        <v>222.51500000000001</v>
      </c>
      <c r="H46" s="63">
        <f t="shared" si="1"/>
        <v>395.84749999999997</v>
      </c>
      <c r="I46" s="202">
        <v>694.74</v>
      </c>
      <c r="J46" s="202">
        <v>715.58220000000006</v>
      </c>
      <c r="K46" s="202">
        <v>4.9484656130350926</v>
      </c>
      <c r="L46" s="202">
        <v>8.3792325186400625</v>
      </c>
      <c r="M46" s="58" t="s">
        <v>185</v>
      </c>
      <c r="N46" s="58" t="s">
        <v>749</v>
      </c>
      <c r="O46" s="59">
        <v>2210</v>
      </c>
      <c r="P46" s="56">
        <v>4.5</v>
      </c>
      <c r="Q46" s="60">
        <v>8.1</v>
      </c>
      <c r="R46" s="61">
        <f t="shared" si="14"/>
        <v>2925.5821999999998</v>
      </c>
      <c r="S46" s="62">
        <f t="shared" si="2"/>
        <v>134.8603391</v>
      </c>
      <c r="T46" s="63">
        <f t="shared" si="3"/>
        <v>238.9702964</v>
      </c>
      <c r="U46" s="64" t="s">
        <v>171</v>
      </c>
      <c r="V46" s="65" t="s">
        <v>751</v>
      </c>
      <c r="W46" s="66" t="s">
        <v>305</v>
      </c>
      <c r="X46" s="67">
        <v>6280</v>
      </c>
      <c r="Y46" s="68">
        <v>4.53</v>
      </c>
      <c r="Z46" s="68">
        <v>8.16</v>
      </c>
      <c r="AA46" s="62">
        <f t="shared" si="4"/>
        <v>284.48399999999998</v>
      </c>
      <c r="AB46" s="63">
        <f t="shared" si="5"/>
        <v>512.44800000000009</v>
      </c>
      <c r="AC46" s="69">
        <v>6280</v>
      </c>
      <c r="AD46" s="70">
        <v>4.475159235668789</v>
      </c>
      <c r="AE46" s="70">
        <v>8.0852229299363056</v>
      </c>
      <c r="AF46" s="62">
        <f t="shared" si="6"/>
        <v>281.03999999999991</v>
      </c>
      <c r="AG46" s="63">
        <f t="shared" si="7"/>
        <v>507.75200000000001</v>
      </c>
      <c r="AH46" s="89">
        <v>1420</v>
      </c>
      <c r="AI46" s="66">
        <v>4.6500000000000004</v>
      </c>
      <c r="AJ46" s="66">
        <v>8.24</v>
      </c>
      <c r="AK46" s="62">
        <f t="shared" si="8"/>
        <v>66.030000000000015</v>
      </c>
      <c r="AL46" s="72">
        <f t="shared" si="9"/>
        <v>117.008</v>
      </c>
      <c r="AM46" s="73">
        <f t="shared" si="15"/>
        <v>0.58219999999982974</v>
      </c>
      <c r="AN46" s="74">
        <f t="shared" si="18"/>
        <v>10.305339100000097</v>
      </c>
      <c r="AO46" s="74">
        <f t="shared" si="18"/>
        <v>10.057796399999901</v>
      </c>
      <c r="AP46" s="75">
        <f t="shared" si="16"/>
        <v>5.4471553602781171E-2</v>
      </c>
      <c r="AQ46" s="76">
        <f t="shared" si="11"/>
        <v>7964.2713216592738</v>
      </c>
      <c r="AR46" s="90">
        <f t="shared" si="12"/>
        <v>0.58219999999982974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>
        <v>1420</v>
      </c>
      <c r="E47" s="62">
        <v>4.6500000000000004</v>
      </c>
      <c r="F47" s="62">
        <v>8.24</v>
      </c>
      <c r="G47" s="62">
        <f t="shared" si="0"/>
        <v>66.030000000000015</v>
      </c>
      <c r="H47" s="63">
        <f t="shared" si="1"/>
        <v>117.008</v>
      </c>
      <c r="I47" s="202">
        <v>1152.4099999999996</v>
      </c>
      <c r="J47" s="202">
        <v>1186.9822999999997</v>
      </c>
      <c r="K47" s="202">
        <v>4.5073758471377374</v>
      </c>
      <c r="L47" s="202">
        <v>8.3368306418722469</v>
      </c>
      <c r="M47" s="58">
        <v>0</v>
      </c>
      <c r="N47" s="58" t="s">
        <v>167</v>
      </c>
      <c r="O47" s="59">
        <v>0</v>
      </c>
      <c r="P47" s="56">
        <v>0</v>
      </c>
      <c r="Q47" s="60">
        <v>0</v>
      </c>
      <c r="R47" s="61">
        <f t="shared" si="14"/>
        <v>1186.9822999999997</v>
      </c>
      <c r="S47" s="62">
        <f t="shared" si="2"/>
        <v>53.501753499999985</v>
      </c>
      <c r="T47" s="63">
        <f t="shared" si="3"/>
        <v>98.956704099999925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>
        <v>2607</v>
      </c>
      <c r="AI47" s="66">
        <v>4.58</v>
      </c>
      <c r="AJ47" s="66">
        <v>8.26</v>
      </c>
      <c r="AK47" s="62">
        <f t="shared" si="8"/>
        <v>119.4006</v>
      </c>
      <c r="AL47" s="72">
        <f t="shared" si="9"/>
        <v>215.33819999999997</v>
      </c>
      <c r="AM47" s="73">
        <f t="shared" si="15"/>
        <v>-1.7700000000331784E-2</v>
      </c>
      <c r="AN47" s="74">
        <f t="shared" si="18"/>
        <v>0.13115350000001058</v>
      </c>
      <c r="AO47" s="74">
        <f t="shared" si="18"/>
        <v>0.62650409999994849</v>
      </c>
      <c r="AP47" s="75">
        <f t="shared" si="16"/>
        <v>4.9696003221270909E-3</v>
      </c>
      <c r="AQ47" s="76">
        <f t="shared" si="11"/>
        <v>250.6559258179573</v>
      </c>
      <c r="AR47" s="90">
        <f t="shared" si="12"/>
        <v>-1.7700000000331784E-2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>
        <v>2607</v>
      </c>
      <c r="E48" s="62">
        <v>4.58</v>
      </c>
      <c r="F48" s="62">
        <v>8.26</v>
      </c>
      <c r="G48" s="62">
        <f t="shared" si="0"/>
        <v>119.4006</v>
      </c>
      <c r="H48" s="63">
        <f t="shared" si="1"/>
        <v>215.33819999999997</v>
      </c>
      <c r="I48" s="202">
        <v>770.46000000000026</v>
      </c>
      <c r="J48" s="202">
        <v>793.57380000000035</v>
      </c>
      <c r="K48" s="202">
        <v>4.800538639254472</v>
      </c>
      <c r="L48" s="202">
        <v>8.4914609454092371</v>
      </c>
      <c r="M48" s="58">
        <v>0</v>
      </c>
      <c r="N48" s="58" t="s">
        <v>167</v>
      </c>
      <c r="O48" s="59">
        <v>0</v>
      </c>
      <c r="P48" s="56">
        <v>0</v>
      </c>
      <c r="Q48" s="60">
        <v>0</v>
      </c>
      <c r="R48" s="61">
        <f t="shared" si="14"/>
        <v>793.57380000000035</v>
      </c>
      <c r="S48" s="62">
        <f t="shared" si="2"/>
        <v>38.095816900000024</v>
      </c>
      <c r="T48" s="63">
        <f t="shared" si="3"/>
        <v>67.38600930000004</v>
      </c>
      <c r="U48" s="64" t="s">
        <v>180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>
        <v>3400</v>
      </c>
      <c r="AI48" s="66">
        <v>4.63</v>
      </c>
      <c r="AJ48" s="66">
        <v>8.31</v>
      </c>
      <c r="AK48" s="62">
        <f t="shared" si="8"/>
        <v>157.42000000000002</v>
      </c>
      <c r="AL48" s="72">
        <f t="shared" si="9"/>
        <v>282.54000000000002</v>
      </c>
      <c r="AM48" s="73">
        <f t="shared" si="15"/>
        <v>0.57380000000011933</v>
      </c>
      <c r="AN48" s="74">
        <f t="shared" si="18"/>
        <v>7.6416899999998122E-2</v>
      </c>
      <c r="AO48" s="74">
        <f t="shared" si="18"/>
        <v>0.1842092999999636</v>
      </c>
      <c r="AP48" s="75">
        <f t="shared" si="16"/>
        <v>2.4708161527825499E-3</v>
      </c>
      <c r="AQ48" s="76">
        <f t="shared" si="11"/>
        <v>91.889852971614772</v>
      </c>
      <c r="AR48" s="90">
        <f t="shared" si="12"/>
        <v>0.57380000000011933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>
        <v>3400</v>
      </c>
      <c r="E49" s="62">
        <v>4.63</v>
      </c>
      <c r="F49" s="62">
        <v>8.31</v>
      </c>
      <c r="G49" s="62">
        <f t="shared" si="0"/>
        <v>157.42000000000002</v>
      </c>
      <c r="H49" s="63">
        <f t="shared" si="1"/>
        <v>282.54000000000002</v>
      </c>
      <c r="I49" s="202">
        <v>1109.1199999999999</v>
      </c>
      <c r="J49" s="202">
        <v>1142.3935999999999</v>
      </c>
      <c r="K49" s="202">
        <v>4.1829261035776106</v>
      </c>
      <c r="L49" s="202">
        <v>8.1943279356607057</v>
      </c>
      <c r="M49" s="58" t="s">
        <v>185</v>
      </c>
      <c r="N49" s="58" t="s">
        <v>750</v>
      </c>
      <c r="O49" s="59">
        <v>1730</v>
      </c>
      <c r="P49" s="56">
        <v>4.5999999999999996</v>
      </c>
      <c r="Q49" s="60">
        <v>8.3000000000000007</v>
      </c>
      <c r="R49" s="61">
        <f t="shared" si="14"/>
        <v>2872.3935999999999</v>
      </c>
      <c r="S49" s="62">
        <f t="shared" si="2"/>
        <v>127.36548009999998</v>
      </c>
      <c r="T49" s="63">
        <f t="shared" si="3"/>
        <v>237.20147790000001</v>
      </c>
      <c r="U49" s="64" t="s">
        <v>171</v>
      </c>
      <c r="V49" s="65" t="s">
        <v>752</v>
      </c>
      <c r="W49" s="66" t="s">
        <v>305</v>
      </c>
      <c r="X49" s="67">
        <v>6280</v>
      </c>
      <c r="Y49" s="68">
        <v>4.6500000000000012</v>
      </c>
      <c r="Z49" s="68">
        <v>8.34</v>
      </c>
      <c r="AA49" s="62">
        <f t="shared" si="4"/>
        <v>292.0200000000001</v>
      </c>
      <c r="AB49" s="63">
        <f t="shared" si="5"/>
        <v>523.75200000000007</v>
      </c>
      <c r="AC49" s="69">
        <v>6240</v>
      </c>
      <c r="AD49" s="70">
        <v>4.5999999999999996</v>
      </c>
      <c r="AE49" s="70">
        <v>8.1696153846153852</v>
      </c>
      <c r="AF49" s="62">
        <f t="shared" si="6"/>
        <v>287.04000000000002</v>
      </c>
      <c r="AG49" s="63">
        <f t="shared" si="7"/>
        <v>509.78399999999999</v>
      </c>
      <c r="AH49" s="89">
        <v>0</v>
      </c>
      <c r="AI49" s="66">
        <v>0</v>
      </c>
      <c r="AJ49" s="66">
        <v>0</v>
      </c>
      <c r="AK49" s="62">
        <f t="shared" si="8"/>
        <v>0</v>
      </c>
      <c r="AL49" s="72">
        <f t="shared" si="9"/>
        <v>0</v>
      </c>
      <c r="AM49" s="73">
        <f t="shared" si="15"/>
        <v>32.393599999999424</v>
      </c>
      <c r="AN49" s="74">
        <f t="shared" si="18"/>
        <v>-2.254519900000048</v>
      </c>
      <c r="AO49" s="74">
        <f t="shared" si="18"/>
        <v>9.9574779000000717</v>
      </c>
      <c r="AP49" s="75">
        <f t="shared" si="16"/>
        <v>2.1129062387491584E-2</v>
      </c>
      <c r="AQ49" s="76">
        <f t="shared" si="11"/>
        <v>1898.80579597875</v>
      </c>
      <c r="AR49" s="90">
        <f t="shared" si="12"/>
        <v>-7.6064000000005763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>
        <v>0</v>
      </c>
      <c r="E50" s="62">
        <v>0</v>
      </c>
      <c r="F50" s="62">
        <v>0</v>
      </c>
      <c r="G50" s="62">
        <f t="shared" si="0"/>
        <v>0</v>
      </c>
      <c r="H50" s="63">
        <f t="shared" si="1"/>
        <v>0</v>
      </c>
      <c r="I50" s="202">
        <v>751.18</v>
      </c>
      <c r="J50" s="202">
        <v>773.71539999999993</v>
      </c>
      <c r="K50" s="202">
        <v>4.8345030485369689</v>
      </c>
      <c r="L50" s="202">
        <v>8.3274967384648146</v>
      </c>
      <c r="M50" s="58">
        <v>0</v>
      </c>
      <c r="N50" s="58" t="s">
        <v>167</v>
      </c>
      <c r="O50" s="59">
        <v>0</v>
      </c>
      <c r="P50" s="56">
        <v>0</v>
      </c>
      <c r="Q50" s="60">
        <v>0</v>
      </c>
      <c r="R50" s="61">
        <f t="shared" si="14"/>
        <v>773.71539999999993</v>
      </c>
      <c r="S50" s="62">
        <f t="shared" si="2"/>
        <v>37.405294599999998</v>
      </c>
      <c r="T50" s="63">
        <f t="shared" si="3"/>
        <v>64.431124699999998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>
        <v>698</v>
      </c>
      <c r="AI50" s="66">
        <v>4.8</v>
      </c>
      <c r="AJ50" s="66">
        <v>8.3000000000000007</v>
      </c>
      <c r="AK50" s="62">
        <f t="shared" si="8"/>
        <v>33.503999999999998</v>
      </c>
      <c r="AL50" s="72">
        <f t="shared" si="9"/>
        <v>57.934000000000005</v>
      </c>
      <c r="AM50" s="73">
        <f t="shared" si="15"/>
        <v>75.715399999999931</v>
      </c>
      <c r="AN50" s="74">
        <f t="shared" si="18"/>
        <v>3.9012945999999999</v>
      </c>
      <c r="AO50" s="74">
        <f t="shared" si="18"/>
        <v>6.4971246999999934</v>
      </c>
      <c r="AP50" s="75">
        <f t="shared" si="16"/>
        <v>0.1021090428304169</v>
      </c>
      <c r="AQ50" s="76">
        <f t="shared" si="11"/>
        <v>3820.5300354202327</v>
      </c>
      <c r="AR50" s="90">
        <f t="shared" si="12"/>
        <v>75.715399999999931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>
        <v>698</v>
      </c>
      <c r="E51" s="62">
        <v>4.8</v>
      </c>
      <c r="F51" s="62">
        <v>8.3000000000000007</v>
      </c>
      <c r="G51" s="62">
        <f t="shared" si="0"/>
        <v>33.503999999999998</v>
      </c>
      <c r="H51" s="63">
        <f t="shared" si="1"/>
        <v>57.934000000000005</v>
      </c>
      <c r="I51" s="202">
        <v>1187.4099999999996</v>
      </c>
      <c r="J51" s="202">
        <v>1223.0322999999996</v>
      </c>
      <c r="K51" s="202">
        <v>4.2985767342367014</v>
      </c>
      <c r="L51" s="202">
        <v>8.2702175322761313</v>
      </c>
      <c r="M51" s="58">
        <v>0</v>
      </c>
      <c r="N51" s="58" t="s">
        <v>167</v>
      </c>
      <c r="O51" s="59">
        <v>0</v>
      </c>
      <c r="P51" s="56">
        <v>0</v>
      </c>
      <c r="Q51" s="60">
        <v>0</v>
      </c>
      <c r="R51" s="61">
        <f t="shared" si="14"/>
        <v>1223.0322999999996</v>
      </c>
      <c r="S51" s="62">
        <f t="shared" si="2"/>
        <v>52.572981899999995</v>
      </c>
      <c r="T51" s="63">
        <f t="shared" si="3"/>
        <v>101.14743169999997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>
        <v>1881</v>
      </c>
      <c r="AI51" s="66">
        <v>4.4800000000000004</v>
      </c>
      <c r="AJ51" s="66">
        <v>8.3000000000000007</v>
      </c>
      <c r="AK51" s="62">
        <f t="shared" si="8"/>
        <v>84.268800000000013</v>
      </c>
      <c r="AL51" s="72">
        <f t="shared" si="9"/>
        <v>156.12300000000002</v>
      </c>
      <c r="AM51" s="73">
        <f t="shared" si="15"/>
        <v>40.032299999999623</v>
      </c>
      <c r="AN51" s="74">
        <f t="shared" si="18"/>
        <v>1.8081818999999797</v>
      </c>
      <c r="AO51" s="74">
        <f t="shared" si="18"/>
        <v>2.9584316999999487</v>
      </c>
      <c r="AP51" s="75">
        <f t="shared" si="16"/>
        <v>3.1008331869332995E-2</v>
      </c>
      <c r="AQ51" s="76">
        <f t="shared" si="11"/>
        <v>1754.9142094868596</v>
      </c>
      <c r="AR51" s="90">
        <f t="shared" si="12"/>
        <v>40.032299999999623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>
        <v>1881</v>
      </c>
      <c r="E52" s="62">
        <v>4.4800000000000004</v>
      </c>
      <c r="F52" s="62">
        <v>8.3000000000000007</v>
      </c>
      <c r="G52" s="62">
        <f t="shared" si="0"/>
        <v>84.268800000000013</v>
      </c>
      <c r="H52" s="63">
        <f t="shared" si="1"/>
        <v>156.12300000000002</v>
      </c>
      <c r="I52" s="202">
        <v>719.2600000000001</v>
      </c>
      <c r="J52" s="202">
        <v>740.83780000000013</v>
      </c>
      <c r="K52" s="202">
        <v>4.9426146317048092</v>
      </c>
      <c r="L52" s="202">
        <v>8.398506798654175</v>
      </c>
      <c r="M52" s="58" t="s">
        <v>185</v>
      </c>
      <c r="N52" s="58" t="s">
        <v>796</v>
      </c>
      <c r="O52" s="59">
        <v>2370</v>
      </c>
      <c r="P52" s="56">
        <v>4.5</v>
      </c>
      <c r="Q52" s="60">
        <v>8.1</v>
      </c>
      <c r="R52" s="61">
        <f t="shared" si="14"/>
        <v>3110.8378000000002</v>
      </c>
      <c r="S52" s="62">
        <f t="shared" si="2"/>
        <v>143.26675750000001</v>
      </c>
      <c r="T52" s="63">
        <f t="shared" si="3"/>
        <v>254.18931300000003</v>
      </c>
      <c r="U52" s="64" t="s">
        <v>167</v>
      </c>
      <c r="V52" s="8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>
        <v>4992</v>
      </c>
      <c r="AI52" s="66">
        <v>4.55</v>
      </c>
      <c r="AJ52" s="66">
        <v>8.2100000000000009</v>
      </c>
      <c r="AK52" s="62">
        <f t="shared" si="8"/>
        <v>227.136</v>
      </c>
      <c r="AL52" s="72">
        <f t="shared" si="9"/>
        <v>409.84320000000002</v>
      </c>
      <c r="AM52" s="73">
        <f t="shared" si="15"/>
        <v>-0.16219999999975698</v>
      </c>
      <c r="AN52" s="74">
        <f t="shared" si="18"/>
        <v>0.39955750000004286</v>
      </c>
      <c r="AO52" s="74">
        <f t="shared" si="18"/>
        <v>0.46911299999999301</v>
      </c>
      <c r="AP52" s="75">
        <f t="shared" si="16"/>
        <v>2.1855761289725625E-3</v>
      </c>
      <c r="AQ52" s="76">
        <f t="shared" si="11"/>
        <v>332.49555013482075</v>
      </c>
      <c r="AR52" s="90">
        <f t="shared" si="12"/>
        <v>-0.16219999999975698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>
        <v>4992</v>
      </c>
      <c r="E53" s="62">
        <v>4.55</v>
      </c>
      <c r="F53" s="62">
        <v>8.2100000000000009</v>
      </c>
      <c r="G53" s="62">
        <f t="shared" si="0"/>
        <v>227.136</v>
      </c>
      <c r="H53" s="63">
        <f t="shared" si="1"/>
        <v>409.84320000000002</v>
      </c>
      <c r="I53" s="202">
        <v>1066.75</v>
      </c>
      <c r="J53" s="202">
        <v>1098.7525000000001</v>
      </c>
      <c r="K53" s="202">
        <v>4.2683965315209766</v>
      </c>
      <c r="L53" s="202">
        <v>8.2457070541363962</v>
      </c>
      <c r="M53" s="58">
        <v>0</v>
      </c>
      <c r="N53" s="58" t="s">
        <v>167</v>
      </c>
      <c r="O53" s="59">
        <v>0</v>
      </c>
      <c r="P53" s="56">
        <v>0</v>
      </c>
      <c r="Q53" s="60">
        <v>0</v>
      </c>
      <c r="R53" s="61">
        <f t="shared" si="14"/>
        <v>1098.7525000000001</v>
      </c>
      <c r="S53" s="62">
        <f t="shared" si="2"/>
        <v>46.899113600000021</v>
      </c>
      <c r="T53" s="63">
        <f t="shared" si="3"/>
        <v>90.599912400000008</v>
      </c>
      <c r="U53" s="64" t="s">
        <v>169</v>
      </c>
      <c r="V53" s="65" t="s">
        <v>798</v>
      </c>
      <c r="W53" s="66" t="s">
        <v>184</v>
      </c>
      <c r="X53" s="67">
        <v>5900</v>
      </c>
      <c r="Y53" s="68">
        <v>4.55</v>
      </c>
      <c r="Z53" s="68">
        <v>8.1999999999999993</v>
      </c>
      <c r="AA53" s="62">
        <f t="shared" si="4"/>
        <v>268.45</v>
      </c>
      <c r="AB53" s="63">
        <f t="shared" si="5"/>
        <v>483.79999999999995</v>
      </c>
      <c r="AC53" s="69">
        <v>5920</v>
      </c>
      <c r="AD53" s="70">
        <v>4.4999999999999991</v>
      </c>
      <c r="AE53" s="70">
        <v>8.18</v>
      </c>
      <c r="AF53" s="62">
        <f t="shared" si="6"/>
        <v>266.39999999999998</v>
      </c>
      <c r="AG53" s="63">
        <f t="shared" si="7"/>
        <v>484.25599999999997</v>
      </c>
      <c r="AH53" s="89">
        <v>190</v>
      </c>
      <c r="AI53" s="66">
        <v>4.5</v>
      </c>
      <c r="AJ53" s="66">
        <v>8.1999999999999993</v>
      </c>
      <c r="AK53" s="62">
        <f t="shared" si="8"/>
        <v>8.5499999999999989</v>
      </c>
      <c r="AL53" s="72">
        <f t="shared" si="9"/>
        <v>15.579999999999998</v>
      </c>
      <c r="AM53" s="73">
        <f t="shared" si="15"/>
        <v>-19.247499999999491</v>
      </c>
      <c r="AN53" s="74">
        <f t="shared" si="18"/>
        <v>-0.91488639999993104</v>
      </c>
      <c r="AO53" s="74">
        <f t="shared" si="18"/>
        <v>0.60711240000004807</v>
      </c>
      <c r="AP53" s="75">
        <f t="shared" si="16"/>
        <v>-2.2383722194503613E-3</v>
      </c>
      <c r="AQ53" s="76">
        <f t="shared" si="11"/>
        <v>-257.80793250698878</v>
      </c>
      <c r="AR53" s="90">
        <f t="shared" si="12"/>
        <v>0.75250000000050932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>
        <v>190</v>
      </c>
      <c r="E54" s="62">
        <v>4.5</v>
      </c>
      <c r="F54" s="62">
        <v>8.1999999999999993</v>
      </c>
      <c r="G54" s="62">
        <f t="shared" si="0"/>
        <v>8.5499999999999989</v>
      </c>
      <c r="H54" s="63">
        <f t="shared" si="1"/>
        <v>15.579999999999998</v>
      </c>
      <c r="I54" s="202">
        <v>690.40000000000009</v>
      </c>
      <c r="J54" s="202">
        <v>711.11200000000008</v>
      </c>
      <c r="K54" s="202">
        <v>4.9897711471610648</v>
      </c>
      <c r="L54" s="202">
        <v>8.3809487253765926</v>
      </c>
      <c r="M54" s="58" t="s">
        <v>185</v>
      </c>
      <c r="N54" s="58" t="s">
        <v>797</v>
      </c>
      <c r="O54" s="59">
        <v>3010</v>
      </c>
      <c r="P54" s="56">
        <v>4.8</v>
      </c>
      <c r="Q54" s="60">
        <v>8.4</v>
      </c>
      <c r="R54" s="61">
        <f t="shared" si="14"/>
        <v>3721.1120000000001</v>
      </c>
      <c r="S54" s="62">
        <f t="shared" si="2"/>
        <v>179.96286139999998</v>
      </c>
      <c r="T54" s="63">
        <f t="shared" si="3"/>
        <v>312.43793210000001</v>
      </c>
      <c r="U54" s="64" t="s">
        <v>171</v>
      </c>
      <c r="V54" s="65" t="s">
        <v>799</v>
      </c>
      <c r="W54" s="66" t="s">
        <v>305</v>
      </c>
      <c r="X54" s="67">
        <v>3150</v>
      </c>
      <c r="Y54" s="68">
        <v>4.6500000000000004</v>
      </c>
      <c r="Z54" s="68">
        <v>8.2200000000000006</v>
      </c>
      <c r="AA54" s="62">
        <f t="shared" si="4"/>
        <v>146.47500000000002</v>
      </c>
      <c r="AB54" s="63">
        <f t="shared" si="5"/>
        <v>258.93</v>
      </c>
      <c r="AC54" s="69">
        <v>3160</v>
      </c>
      <c r="AD54" s="70">
        <v>4.5999999999999996</v>
      </c>
      <c r="AE54" s="70">
        <v>8.14</v>
      </c>
      <c r="AF54" s="62">
        <f t="shared" si="6"/>
        <v>145.35999999999999</v>
      </c>
      <c r="AG54" s="63">
        <f t="shared" si="7"/>
        <v>257.22399999999999</v>
      </c>
      <c r="AH54" s="89">
        <v>761</v>
      </c>
      <c r="AI54" s="66">
        <v>4.7300000000000004</v>
      </c>
      <c r="AJ54" s="66">
        <v>8.39</v>
      </c>
      <c r="AK54" s="62">
        <f t="shared" si="8"/>
        <v>35.9953</v>
      </c>
      <c r="AL54" s="72">
        <f t="shared" si="9"/>
        <v>63.847900000000003</v>
      </c>
      <c r="AM54" s="73">
        <f t="shared" si="15"/>
        <v>-9.88799999999992</v>
      </c>
      <c r="AN54" s="74">
        <f t="shared" si="18"/>
        <v>7.1575614000000058</v>
      </c>
      <c r="AO54" s="74">
        <f t="shared" si="18"/>
        <v>6.9460321000000036</v>
      </c>
      <c r="AP54" s="75">
        <f t="shared" si="16"/>
        <v>2.8642507660784286E-2</v>
      </c>
      <c r="AQ54" s="76">
        <f t="shared" si="11"/>
        <v>5519.7159825624403</v>
      </c>
      <c r="AR54" s="90">
        <f t="shared" si="12"/>
        <v>0.11200000000008004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>
        <v>761</v>
      </c>
      <c r="E55" s="62">
        <v>4.7300000000000004</v>
      </c>
      <c r="F55" s="62">
        <v>8.39</v>
      </c>
      <c r="G55" s="62">
        <f t="shared" si="0"/>
        <v>35.9953</v>
      </c>
      <c r="H55" s="63">
        <f t="shared" si="1"/>
        <v>63.847900000000003</v>
      </c>
      <c r="I55" s="202">
        <v>1133.0000000000002</v>
      </c>
      <c r="J55" s="202">
        <v>1166.9900000000002</v>
      </c>
      <c r="K55" s="202">
        <v>4.1928976169461594</v>
      </c>
      <c r="L55" s="202">
        <v>8.2618808473080296</v>
      </c>
      <c r="M55" s="58">
        <v>0</v>
      </c>
      <c r="N55" s="58" t="s">
        <v>167</v>
      </c>
      <c r="O55" s="59">
        <v>0</v>
      </c>
      <c r="P55" s="56">
        <v>0</v>
      </c>
      <c r="Q55" s="60">
        <v>0</v>
      </c>
      <c r="R55" s="61">
        <f t="shared" si="14"/>
        <v>1166.9900000000002</v>
      </c>
      <c r="S55" s="62">
        <f t="shared" si="2"/>
        <v>48.930695899999989</v>
      </c>
      <c r="T55" s="63">
        <f t="shared" si="3"/>
        <v>96.415323299999997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>
        <v>1928</v>
      </c>
      <c r="AI55" s="66">
        <v>4.4000000000000004</v>
      </c>
      <c r="AJ55" s="66">
        <v>8.33</v>
      </c>
      <c r="AK55" s="62">
        <f t="shared" si="8"/>
        <v>84.832000000000008</v>
      </c>
      <c r="AL55" s="72">
        <f t="shared" si="9"/>
        <v>160.60239999999999</v>
      </c>
      <c r="AM55" s="73">
        <f t="shared" si="15"/>
        <v>-9.9999999997635314E-3</v>
      </c>
      <c r="AN55" s="74">
        <f t="shared" si="18"/>
        <v>9.3995899999981702E-2</v>
      </c>
      <c r="AO55" s="74">
        <f t="shared" si="18"/>
        <v>-0.33917669999999589</v>
      </c>
      <c r="AP55" s="75">
        <f t="shared" si="16"/>
        <v>-1.6868766090018528E-3</v>
      </c>
      <c r="AQ55" s="76">
        <f t="shared" si="11"/>
        <v>-56.412312945120235</v>
      </c>
      <c r="AR55" s="90">
        <f t="shared" si="12"/>
        <v>-9.9999999997635314E-3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>
        <v>1928</v>
      </c>
      <c r="E56" s="62">
        <v>4.4000000000000004</v>
      </c>
      <c r="F56" s="62">
        <v>8.33</v>
      </c>
      <c r="G56" s="62">
        <f t="shared" si="0"/>
        <v>84.832000000000008</v>
      </c>
      <c r="H56" s="63">
        <f t="shared" si="1"/>
        <v>160.60239999999999</v>
      </c>
      <c r="I56" s="202">
        <v>591.76000000000022</v>
      </c>
      <c r="J56" s="202">
        <v>609.5128000000002</v>
      </c>
      <c r="K56" s="202">
        <v>5.1192983642017031</v>
      </c>
      <c r="L56" s="202">
        <v>8.3160909828308789</v>
      </c>
      <c r="M56" s="58" t="s">
        <v>185</v>
      </c>
      <c r="N56" s="58" t="s">
        <v>902</v>
      </c>
      <c r="O56" s="59">
        <v>2190</v>
      </c>
      <c r="P56" s="56">
        <v>4.7</v>
      </c>
      <c r="Q56" s="60">
        <v>8.17</v>
      </c>
      <c r="R56" s="61">
        <f t="shared" si="14"/>
        <v>2799.5128000000004</v>
      </c>
      <c r="S56" s="62">
        <f t="shared" si="2"/>
        <v>134.13277880000001</v>
      </c>
      <c r="T56" s="63">
        <f t="shared" si="3"/>
        <v>229.61063900000002</v>
      </c>
      <c r="U56" s="64" t="s">
        <v>171</v>
      </c>
      <c r="V56" s="65" t="s">
        <v>904</v>
      </c>
      <c r="W56" s="66" t="s">
        <v>305</v>
      </c>
      <c r="X56" s="67">
        <v>3150</v>
      </c>
      <c r="Y56" s="68">
        <v>4.5</v>
      </c>
      <c r="Z56" s="68">
        <v>8.31</v>
      </c>
      <c r="AA56" s="62">
        <f t="shared" si="4"/>
        <v>141.75</v>
      </c>
      <c r="AB56" s="63">
        <f t="shared" si="5"/>
        <v>261.76500000000004</v>
      </c>
      <c r="AC56" s="69">
        <v>3140</v>
      </c>
      <c r="AD56" s="70">
        <v>4.45</v>
      </c>
      <c r="AE56" s="70">
        <v>8.24</v>
      </c>
      <c r="AF56" s="62">
        <f t="shared" si="6"/>
        <v>139.73000000000002</v>
      </c>
      <c r="AG56" s="63">
        <f t="shared" si="7"/>
        <v>258.73599999999999</v>
      </c>
      <c r="AH56" s="89">
        <v>1577</v>
      </c>
      <c r="AI56" s="66">
        <v>4.62</v>
      </c>
      <c r="AJ56" s="66">
        <v>8.25</v>
      </c>
      <c r="AK56" s="62">
        <f t="shared" si="8"/>
        <v>72.857399999999998</v>
      </c>
      <c r="AL56" s="72">
        <f t="shared" si="9"/>
        <v>130.10249999999999</v>
      </c>
      <c r="AM56" s="73">
        <f t="shared" si="15"/>
        <v>10.512800000000425</v>
      </c>
      <c r="AN56" s="74">
        <f t="shared" si="18"/>
        <v>6.3773788000000167</v>
      </c>
      <c r="AO56" s="74">
        <f t="shared" si="18"/>
        <v>1.3745389999999986</v>
      </c>
      <c r="AP56" s="75">
        <f t="shared" si="16"/>
        <v>2.1311499866816325E-2</v>
      </c>
      <c r="AQ56" s="76">
        <f t="shared" si="11"/>
        <v>3476.2002679363086</v>
      </c>
      <c r="AR56" s="90">
        <f t="shared" si="12"/>
        <v>0.51280000000042492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>
        <v>1577</v>
      </c>
      <c r="E57" s="62">
        <v>4.62</v>
      </c>
      <c r="F57" s="62">
        <v>8.25</v>
      </c>
      <c r="G57" s="62">
        <f t="shared" si="0"/>
        <v>72.857399999999998</v>
      </c>
      <c r="H57" s="63">
        <f t="shared" si="1"/>
        <v>130.10249999999999</v>
      </c>
      <c r="I57" s="202">
        <v>1147.18</v>
      </c>
      <c r="J57" s="202">
        <v>1181.5954000000002</v>
      </c>
      <c r="K57" s="202">
        <v>4.4052110392440591</v>
      </c>
      <c r="L57" s="202">
        <v>8.2222327795114989</v>
      </c>
      <c r="M57" s="58">
        <v>0</v>
      </c>
      <c r="N57" s="58" t="s">
        <v>167</v>
      </c>
      <c r="O57" s="59">
        <v>0</v>
      </c>
      <c r="P57" s="56">
        <v>0</v>
      </c>
      <c r="Q57" s="60">
        <v>0</v>
      </c>
      <c r="R57" s="61">
        <f t="shared" si="14"/>
        <v>1181.5954000000002</v>
      </c>
      <c r="S57" s="62">
        <f t="shared" si="2"/>
        <v>52.051771000000002</v>
      </c>
      <c r="T57" s="63">
        <f t="shared" si="3"/>
        <v>97.153524300000015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>
        <v>2758</v>
      </c>
      <c r="AI57" s="66">
        <v>4.5199999999999996</v>
      </c>
      <c r="AJ57" s="66">
        <v>8.23</v>
      </c>
      <c r="AK57" s="62">
        <f t="shared" si="8"/>
        <v>124.66159999999999</v>
      </c>
      <c r="AL57" s="72">
        <f t="shared" si="9"/>
        <v>226.98339999999999</v>
      </c>
      <c r="AM57" s="73">
        <f t="shared" si="15"/>
        <v>0.59540000000015425</v>
      </c>
      <c r="AN57" s="74">
        <f t="shared" si="18"/>
        <v>0.24757100000000776</v>
      </c>
      <c r="AO57" s="74">
        <f t="shared" si="18"/>
        <v>0.27262430000001814</v>
      </c>
      <c r="AP57" s="75">
        <f t="shared" si="16"/>
        <v>3.4864399346825718E-3</v>
      </c>
      <c r="AQ57" s="76">
        <f t="shared" si="11"/>
        <v>200.61447386031148</v>
      </c>
      <c r="AR57" s="90">
        <f t="shared" si="12"/>
        <v>0.59540000000015425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>
        <v>2758</v>
      </c>
      <c r="E58" s="62">
        <v>4.5199999999999996</v>
      </c>
      <c r="F58" s="62">
        <v>8.23</v>
      </c>
      <c r="G58" s="62">
        <f t="shared" si="0"/>
        <v>124.66159999999999</v>
      </c>
      <c r="H58" s="63">
        <f t="shared" si="1"/>
        <v>226.98339999999999</v>
      </c>
      <c r="I58" s="202">
        <v>610.38</v>
      </c>
      <c r="J58" s="202">
        <v>628.69140000000004</v>
      </c>
      <c r="K58" s="202">
        <v>4.8716307873783551</v>
      </c>
      <c r="L58" s="202">
        <v>8.4340017693895604</v>
      </c>
      <c r="M58" s="58" t="s">
        <v>185</v>
      </c>
      <c r="N58" s="58" t="s">
        <v>903</v>
      </c>
      <c r="O58" s="59">
        <v>2710</v>
      </c>
      <c r="P58" s="56">
        <v>4.3</v>
      </c>
      <c r="Q58" s="60">
        <v>8</v>
      </c>
      <c r="R58" s="61">
        <f t="shared" si="14"/>
        <v>3338.6914000000002</v>
      </c>
      <c r="S58" s="62">
        <f t="shared" si="2"/>
        <v>147.15752379999998</v>
      </c>
      <c r="T58" s="63">
        <f t="shared" si="3"/>
        <v>269.82384380000002</v>
      </c>
      <c r="U58" s="64" t="s">
        <v>171</v>
      </c>
      <c r="V58" s="65" t="s">
        <v>905</v>
      </c>
      <c r="W58" s="66" t="s">
        <v>305</v>
      </c>
      <c r="X58" s="67">
        <v>6280</v>
      </c>
      <c r="Y58" s="68">
        <v>4.6996815286624205</v>
      </c>
      <c r="Z58" s="68">
        <v>8.1747611464968166</v>
      </c>
      <c r="AA58" s="62">
        <f t="shared" si="4"/>
        <v>295.14000000000004</v>
      </c>
      <c r="AB58" s="63">
        <f t="shared" si="5"/>
        <v>513.37500000000011</v>
      </c>
      <c r="AC58" s="69">
        <v>6260</v>
      </c>
      <c r="AD58" s="70">
        <v>4.6247603833865814</v>
      </c>
      <c r="AE58" s="70">
        <v>8.0847603833865804</v>
      </c>
      <c r="AF58" s="62">
        <f t="shared" si="6"/>
        <v>289.51</v>
      </c>
      <c r="AG58" s="63">
        <f t="shared" si="7"/>
        <v>506.10599999999988</v>
      </c>
      <c r="AH58" s="89">
        <v>0</v>
      </c>
      <c r="AI58" s="66">
        <v>0</v>
      </c>
      <c r="AJ58" s="66">
        <v>0</v>
      </c>
      <c r="AK58" s="62">
        <f t="shared" si="8"/>
        <v>0</v>
      </c>
      <c r="AL58" s="72">
        <f t="shared" si="9"/>
        <v>0</v>
      </c>
      <c r="AM58" s="73">
        <f t="shared" si="15"/>
        <v>-163.3086000000003</v>
      </c>
      <c r="AN58" s="74">
        <f t="shared" si="18"/>
        <v>-17.690876200000048</v>
      </c>
      <c r="AO58" s="74">
        <f t="shared" si="18"/>
        <v>-9.2987561999998434</v>
      </c>
      <c r="AP58" s="75">
        <f t="shared" si="16"/>
        <v>-6.4726231187121966E-2</v>
      </c>
      <c r="AQ58" s="76">
        <f t="shared" si="11"/>
        <v>-11285.936488507072</v>
      </c>
      <c r="AR58" s="77">
        <f t="shared" si="12"/>
        <v>-183.3086000000003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>
        <v>0</v>
      </c>
      <c r="E59" s="62">
        <v>0</v>
      </c>
      <c r="F59" s="62">
        <v>0</v>
      </c>
      <c r="G59" s="62">
        <f t="shared" si="0"/>
        <v>0</v>
      </c>
      <c r="H59" s="63">
        <f t="shared" si="1"/>
        <v>0</v>
      </c>
      <c r="I59" s="202">
        <v>1104.52</v>
      </c>
      <c r="J59" s="202">
        <v>1137.6556</v>
      </c>
      <c r="K59" s="202">
        <v>4.4544852062434366</v>
      </c>
      <c r="L59" s="202">
        <v>8.3090102487958557</v>
      </c>
      <c r="M59" s="58">
        <v>0</v>
      </c>
      <c r="N59" s="58" t="s">
        <v>167</v>
      </c>
      <c r="O59" s="59">
        <v>0</v>
      </c>
      <c r="P59" s="56">
        <v>0</v>
      </c>
      <c r="Q59" s="60">
        <v>0</v>
      </c>
      <c r="R59" s="61">
        <f t="shared" si="14"/>
        <v>1137.6556</v>
      </c>
      <c r="S59" s="62">
        <f t="shared" si="2"/>
        <v>50.676700400000009</v>
      </c>
      <c r="T59" s="63">
        <f t="shared" si="3"/>
        <v>94.527920399999999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>
        <v>1138</v>
      </c>
      <c r="AI59" s="66">
        <v>4.5</v>
      </c>
      <c r="AJ59" s="66">
        <v>8.3000000000000007</v>
      </c>
      <c r="AK59" s="62">
        <f t="shared" si="8"/>
        <v>51.21</v>
      </c>
      <c r="AL59" s="72">
        <f t="shared" si="9"/>
        <v>94.454000000000008</v>
      </c>
      <c r="AM59" s="73">
        <f t="shared" si="15"/>
        <v>-0.34439999999995052</v>
      </c>
      <c r="AN59" s="74">
        <f t="shared" si="18"/>
        <v>-0.53329959999999232</v>
      </c>
      <c r="AO59" s="74">
        <f t="shared" si="18"/>
        <v>7.392039999999156E-2</v>
      </c>
      <c r="AP59" s="75">
        <f t="shared" si="16"/>
        <v>-3.1636679154497041E-3</v>
      </c>
      <c r="AQ59" s="76">
        <f t="shared" si="11"/>
        <v>-234.12931307295415</v>
      </c>
      <c r="AR59" s="77">
        <f t="shared" si="12"/>
        <v>-0.34439999999995052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>
        <v>1138</v>
      </c>
      <c r="E60" s="62">
        <v>4.5</v>
      </c>
      <c r="F60" s="62">
        <v>8.3000000000000007</v>
      </c>
      <c r="G60" s="62">
        <f t="shared" si="0"/>
        <v>51.21</v>
      </c>
      <c r="H60" s="63">
        <f t="shared" si="1"/>
        <v>94.454000000000008</v>
      </c>
      <c r="I60" s="202">
        <v>695.08</v>
      </c>
      <c r="J60" s="202">
        <v>715.93240000000003</v>
      </c>
      <c r="K60" s="202">
        <v>5.0412628762156864</v>
      </c>
      <c r="L60" s="202">
        <v>8.517150543822293</v>
      </c>
      <c r="M60" s="58" t="s">
        <v>185</v>
      </c>
      <c r="N60" s="58" t="s">
        <v>925</v>
      </c>
      <c r="O60" s="59">
        <v>1310</v>
      </c>
      <c r="P60" s="56">
        <v>4.5999999999999996</v>
      </c>
      <c r="Q60" s="60">
        <v>8.1999999999999993</v>
      </c>
      <c r="R60" s="61">
        <f t="shared" si="14"/>
        <v>2025.9324000000001</v>
      </c>
      <c r="S60" s="62">
        <f t="shared" si="2"/>
        <v>96.352034299999985</v>
      </c>
      <c r="T60" s="63">
        <f t="shared" si="3"/>
        <v>168.39704029999999</v>
      </c>
      <c r="U60" s="64" t="s">
        <v>171</v>
      </c>
      <c r="V60" s="65" t="s">
        <v>927</v>
      </c>
      <c r="W60" s="66" t="s">
        <v>369</v>
      </c>
      <c r="X60" s="67">
        <v>3150</v>
      </c>
      <c r="Y60" s="68">
        <v>4.5</v>
      </c>
      <c r="Z60" s="68">
        <v>8.06</v>
      </c>
      <c r="AA60" s="62">
        <f t="shared" si="4"/>
        <v>141.75</v>
      </c>
      <c r="AB60" s="63">
        <f t="shared" si="5"/>
        <v>253.89000000000001</v>
      </c>
      <c r="AC60" s="221">
        <v>3150</v>
      </c>
      <c r="AD60" s="222">
        <v>4.5</v>
      </c>
      <c r="AE60" s="222">
        <v>8.06</v>
      </c>
      <c r="AF60" s="62">
        <f t="shared" si="6"/>
        <v>141.75</v>
      </c>
      <c r="AG60" s="63">
        <f t="shared" si="7"/>
        <v>253.89000000000001</v>
      </c>
      <c r="AH60" s="89">
        <v>14</v>
      </c>
      <c r="AI60" s="66">
        <v>4.6500000000000004</v>
      </c>
      <c r="AJ60" s="66">
        <v>8.3000000000000007</v>
      </c>
      <c r="AK60" s="62">
        <f t="shared" si="8"/>
        <v>0.65100000000000013</v>
      </c>
      <c r="AL60" s="72">
        <f t="shared" si="9"/>
        <v>1.1620000000000001</v>
      </c>
      <c r="AM60" s="73">
        <f t="shared" si="15"/>
        <v>-6.7599999999856664E-2</v>
      </c>
      <c r="AN60" s="74">
        <f t="shared" si="18"/>
        <v>5.1610342999999936</v>
      </c>
      <c r="AO60" s="74">
        <f t="shared" si="18"/>
        <v>7.7990403000000077</v>
      </c>
      <c r="AP60" s="75">
        <f t="shared" si="16"/>
        <v>4.8952294241560321E-2</v>
      </c>
      <c r="AQ60" s="76">
        <f t="shared" si="11"/>
        <v>4815.7880931767077</v>
      </c>
      <c r="AR60" s="77">
        <f t="shared" si="12"/>
        <v>-6.7599999999856664E-2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>
        <v>14</v>
      </c>
      <c r="E61" s="62">
        <v>4.6500000000000004</v>
      </c>
      <c r="F61" s="62">
        <v>8.3000000000000007</v>
      </c>
      <c r="G61" s="62">
        <f t="shared" si="0"/>
        <v>0.65100000000000013</v>
      </c>
      <c r="H61" s="63">
        <f t="shared" si="1"/>
        <v>1.1620000000000001</v>
      </c>
      <c r="I61" s="202">
        <v>1140.5399999999997</v>
      </c>
      <c r="J61" s="202">
        <v>1174.7561999999998</v>
      </c>
      <c r="K61" s="202">
        <v>4.4450795237343712</v>
      </c>
      <c r="L61" s="202">
        <v>8.3845003244077336</v>
      </c>
      <c r="M61" s="58">
        <v>0</v>
      </c>
      <c r="N61" s="58" t="s">
        <v>167</v>
      </c>
      <c r="O61" s="59">
        <v>0</v>
      </c>
      <c r="P61" s="56">
        <v>0</v>
      </c>
      <c r="Q61" s="60">
        <v>0</v>
      </c>
      <c r="R61" s="61">
        <f t="shared" si="14"/>
        <v>1174.7561999999998</v>
      </c>
      <c r="S61" s="62">
        <f t="shared" si="2"/>
        <v>52.218847299999993</v>
      </c>
      <c r="T61" s="63">
        <f t="shared" si="3"/>
        <v>98.497437399999953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>
        <v>1188</v>
      </c>
      <c r="AI61" s="66">
        <v>4.4000000000000004</v>
      </c>
      <c r="AJ61" s="66">
        <v>8.4</v>
      </c>
      <c r="AK61" s="62">
        <f t="shared" si="8"/>
        <v>52.272000000000006</v>
      </c>
      <c r="AL61" s="72">
        <f t="shared" si="9"/>
        <v>99.792000000000002</v>
      </c>
      <c r="AM61" s="73">
        <f t="shared" si="15"/>
        <v>0.75619999999980791</v>
      </c>
      <c r="AN61" s="74">
        <f t="shared" si="18"/>
        <v>0.59784729999999087</v>
      </c>
      <c r="AO61" s="74">
        <f t="shared" si="18"/>
        <v>-0.13256260000004261</v>
      </c>
      <c r="AP61" s="75">
        <f t="shared" si="16"/>
        <v>3.0871561153865703E-3</v>
      </c>
      <c r="AQ61" s="76">
        <f t="shared" si="11"/>
        <v>247.58376688268984</v>
      </c>
      <c r="AR61" s="77">
        <f t="shared" si="12"/>
        <v>0.75619999999980791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>
        <v>1188</v>
      </c>
      <c r="E62" s="62">
        <v>4.4000000000000004</v>
      </c>
      <c r="F62" s="62">
        <v>8.4</v>
      </c>
      <c r="G62" s="62">
        <f t="shared" si="0"/>
        <v>52.272000000000006</v>
      </c>
      <c r="H62" s="63">
        <f t="shared" si="1"/>
        <v>99.792000000000002</v>
      </c>
      <c r="I62" s="202">
        <v>762.24</v>
      </c>
      <c r="J62" s="202">
        <v>785.10720000000003</v>
      </c>
      <c r="K62" s="202">
        <v>4.9833621956339202</v>
      </c>
      <c r="L62" s="202">
        <v>8.4940373110831207</v>
      </c>
      <c r="M62" s="58">
        <v>0</v>
      </c>
      <c r="N62" s="58" t="s">
        <v>167</v>
      </c>
      <c r="O62" s="59">
        <v>0</v>
      </c>
      <c r="P62" s="56">
        <v>0</v>
      </c>
      <c r="Q62" s="60">
        <v>0</v>
      </c>
      <c r="R62" s="61">
        <f t="shared" si="14"/>
        <v>785.10720000000003</v>
      </c>
      <c r="S62" s="62">
        <f t="shared" si="2"/>
        <v>39.124735399999999</v>
      </c>
      <c r="T62" s="63">
        <f t="shared" si="3"/>
        <v>66.687298499999983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>
        <v>1972</v>
      </c>
      <c r="AI62" s="66">
        <v>4.6399999999999997</v>
      </c>
      <c r="AJ62" s="66">
        <v>8.44</v>
      </c>
      <c r="AK62" s="62">
        <f t="shared" si="8"/>
        <v>91.500799999999998</v>
      </c>
      <c r="AL62" s="72">
        <f t="shared" si="9"/>
        <v>166.43679999999998</v>
      </c>
      <c r="AM62" s="73">
        <f t="shared" si="15"/>
        <v>1.1071999999999207</v>
      </c>
      <c r="AN62" s="74">
        <f t="shared" si="18"/>
        <v>-0.10406459999998674</v>
      </c>
      <c r="AO62" s="74">
        <f t="shared" si="18"/>
        <v>4.2498499999993555E-2</v>
      </c>
      <c r="AP62" s="75">
        <f t="shared" si="16"/>
        <v>-5.8184402785582592E-4</v>
      </c>
      <c r="AQ62" s="76">
        <f t="shared" si="11"/>
        <v>-37.278504824127296</v>
      </c>
      <c r="AR62" s="77">
        <f t="shared" si="12"/>
        <v>1.1071999999999207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>
        <v>1972</v>
      </c>
      <c r="E63" s="62">
        <v>4.6399999999999997</v>
      </c>
      <c r="F63" s="62">
        <v>8.44</v>
      </c>
      <c r="G63" s="62">
        <f t="shared" si="0"/>
        <v>91.500799999999998</v>
      </c>
      <c r="H63" s="63">
        <f t="shared" si="1"/>
        <v>166.43679999999998</v>
      </c>
      <c r="I63" s="202">
        <v>1100.7799999999997</v>
      </c>
      <c r="J63" s="202">
        <v>1133.8033999999998</v>
      </c>
      <c r="K63" s="202">
        <v>4.5430776358582099</v>
      </c>
      <c r="L63" s="202">
        <v>8.3951370846127311</v>
      </c>
      <c r="M63" s="58" t="s">
        <v>185</v>
      </c>
      <c r="N63" s="58" t="s">
        <v>926</v>
      </c>
      <c r="O63" s="59">
        <v>2150</v>
      </c>
      <c r="P63" s="56">
        <v>4.5</v>
      </c>
      <c r="Q63" s="60">
        <v>8.18</v>
      </c>
      <c r="R63" s="61">
        <f t="shared" si="14"/>
        <v>3283.8033999999998</v>
      </c>
      <c r="S63" s="62">
        <f t="shared" si="2"/>
        <v>148.25956869999999</v>
      </c>
      <c r="T63" s="63">
        <f t="shared" si="3"/>
        <v>271.05434969999999</v>
      </c>
      <c r="U63" s="64" t="s">
        <v>171</v>
      </c>
      <c r="V63" s="65" t="s">
        <v>928</v>
      </c>
      <c r="W63" s="66" t="s">
        <v>369</v>
      </c>
      <c r="X63" s="67">
        <v>3150</v>
      </c>
      <c r="Y63" s="68">
        <v>4.6500000000000004</v>
      </c>
      <c r="Z63" s="68">
        <v>8.2200000000000006</v>
      </c>
      <c r="AA63" s="62">
        <f t="shared" si="4"/>
        <v>146.47500000000002</v>
      </c>
      <c r="AB63" s="63">
        <f t="shared" si="5"/>
        <v>258.93</v>
      </c>
      <c r="AC63" s="221">
        <v>3150</v>
      </c>
      <c r="AD63" s="222">
        <v>4.6500000000000004</v>
      </c>
      <c r="AE63" s="222">
        <v>8.2200000000000006</v>
      </c>
      <c r="AF63" s="62">
        <f t="shared" si="6"/>
        <v>146.47500000000002</v>
      </c>
      <c r="AG63" s="63">
        <f t="shared" si="7"/>
        <v>258.93</v>
      </c>
      <c r="AH63" s="89">
        <v>2106</v>
      </c>
      <c r="AI63" s="66">
        <v>4.55</v>
      </c>
      <c r="AJ63" s="66">
        <v>8.32</v>
      </c>
      <c r="AK63" s="62">
        <f t="shared" si="8"/>
        <v>95.822999999999993</v>
      </c>
      <c r="AL63" s="72">
        <f t="shared" si="9"/>
        <v>175.2192</v>
      </c>
      <c r="AM63" s="73">
        <f t="shared" si="15"/>
        <v>-0.19660000000021682</v>
      </c>
      <c r="AN63" s="74">
        <f t="shared" si="18"/>
        <v>-2.5376313000000295</v>
      </c>
      <c r="AO63" s="74">
        <f t="shared" si="18"/>
        <v>3.3419496999999296</v>
      </c>
      <c r="AP63" s="75">
        <f t="shared" si="16"/>
        <v>1.9181772049661117E-3</v>
      </c>
      <c r="AQ63" s="76">
        <f t="shared" si="11"/>
        <v>-218.53024707256259</v>
      </c>
      <c r="AR63" s="77">
        <f t="shared" si="12"/>
        <v>-0.19660000000021682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52164.957699999992</v>
      </c>
      <c r="X66" s="77"/>
      <c r="AH66" s="77"/>
      <c r="AI66" s="77"/>
      <c r="AJ66" s="77"/>
      <c r="AM66" s="83">
        <f>-SUM(AM4:AM65)</f>
        <v>752.04230000000041</v>
      </c>
      <c r="AN66" s="83">
        <f t="shared" ref="AN66:AO66" si="19">-SUM(AN4:AN65)</f>
        <v>9.7370266999996513</v>
      </c>
      <c r="AO66" s="83">
        <f t="shared" si="19"/>
        <v>9.5984027000001717</v>
      </c>
      <c r="AP66" s="83" t="e">
        <f>-SUM(AP4:AP65)</f>
        <v>#DIV/0!</v>
      </c>
      <c r="AQ66" s="126">
        <f>-SUM(AQ4:AQ65)</f>
        <v>7553.5943935293544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1" priority="1" operator="lessThan">
      <formula>0.1</formula>
    </cfRule>
    <cfRule type="cellIs" dxfId="120" priority="2" operator="greaterThan">
      <formula>0.1</formula>
    </cfRule>
  </conditionalFormatting>
  <conditionalFormatting sqref="AP1:AQ1">
    <cfRule type="cellIs" dxfId="119" priority="5" operator="lessThan">
      <formula>1</formula>
    </cfRule>
  </conditionalFormatting>
  <conditionalFormatting sqref="AQ4:AQ65">
    <cfRule type="cellIs" dxfId="118" priority="3" operator="lessThan">
      <formula>0</formula>
    </cfRule>
    <cfRule type="cellIs" dxfId="117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9"/>
  <sheetViews>
    <sheetView topLeftCell="A30" zoomScale="80" zoomScaleNormal="80" workbookViewId="0">
      <selection activeCell="AH50" sqref="AH50:AJ63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161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0" t="s">
        <v>64</v>
      </c>
      <c r="C2" s="242" t="s">
        <v>65</v>
      </c>
      <c r="D2" s="244" t="s">
        <v>66</v>
      </c>
      <c r="E2" s="245"/>
      <c r="F2" s="245"/>
      <c r="G2" s="245"/>
      <c r="H2" s="246"/>
      <c r="I2" s="237" t="s">
        <v>67</v>
      </c>
      <c r="J2" s="238"/>
      <c r="K2" s="238"/>
      <c r="L2" s="239"/>
      <c r="M2" s="237" t="s">
        <v>68</v>
      </c>
      <c r="N2" s="238"/>
      <c r="O2" s="238"/>
      <c r="P2" s="238"/>
      <c r="Q2" s="239"/>
      <c r="R2" s="237" t="s">
        <v>69</v>
      </c>
      <c r="S2" s="238"/>
      <c r="T2" s="239"/>
      <c r="U2" s="234" t="s">
        <v>70</v>
      </c>
      <c r="V2" s="235"/>
      <c r="W2" s="235"/>
      <c r="X2" s="235"/>
      <c r="Y2" s="235"/>
      <c r="Z2" s="235"/>
      <c r="AA2" s="235"/>
      <c r="AB2" s="236"/>
      <c r="AC2" s="237" t="s">
        <v>71</v>
      </c>
      <c r="AD2" s="238"/>
      <c r="AE2" s="238"/>
      <c r="AF2" s="238"/>
      <c r="AG2" s="239"/>
      <c r="AH2" s="237" t="s">
        <v>72</v>
      </c>
      <c r="AI2" s="238"/>
      <c r="AJ2" s="238"/>
      <c r="AK2" s="238"/>
      <c r="AL2" s="239"/>
      <c r="AM2" s="234" t="s">
        <v>73</v>
      </c>
      <c r="AN2" s="235"/>
      <c r="AO2" s="235"/>
      <c r="AP2" s="235"/>
      <c r="AQ2" s="236"/>
    </row>
    <row r="3" spans="1:46" x14ac:dyDescent="0.25">
      <c r="B3" s="241"/>
      <c r="C3" s="24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2544</v>
      </c>
      <c r="E4" s="54">
        <v>4.51</v>
      </c>
      <c r="F4" s="55">
        <v>8.24</v>
      </c>
      <c r="G4" s="62">
        <f t="shared" ref="G4:G65" si="0">+D4*E4%</f>
        <v>114.73440000000001</v>
      </c>
      <c r="H4" s="63">
        <f t="shared" ref="H4:H65" si="1">+D4*F4%</f>
        <v>209.62559999999999</v>
      </c>
      <c r="I4" s="202">
        <v>309.95</v>
      </c>
      <c r="J4" s="202">
        <v>319.24849999999998</v>
      </c>
      <c r="K4" s="202">
        <v>5.5309404742700439</v>
      </c>
      <c r="L4" s="202">
        <v>8.5948636876915643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319.24849999999998</v>
      </c>
      <c r="S4" s="62">
        <f t="shared" ref="S4:S65" si="2">+J4*K4%+O4*P4%</f>
        <v>17.6574445</v>
      </c>
      <c r="T4" s="63">
        <f t="shared" ref="T4:T65" si="3">+J4*L4%+O4*Q4%</f>
        <v>27.438973400000002</v>
      </c>
      <c r="U4" s="64" t="s">
        <v>186</v>
      </c>
      <c r="V4" s="65" t="s">
        <v>219</v>
      </c>
      <c r="W4" s="66" t="s">
        <v>149</v>
      </c>
      <c r="X4" s="67">
        <v>1280</v>
      </c>
      <c r="Y4" s="68">
        <v>4.2</v>
      </c>
      <c r="Z4" s="68">
        <v>8</v>
      </c>
      <c r="AA4" s="62">
        <f t="shared" ref="AA4:AA65" si="4">X4*Y4%</f>
        <v>53.760000000000005</v>
      </c>
      <c r="AB4" s="63">
        <f t="shared" ref="AB4:AB65" si="5">X4*Z4%</f>
        <v>102.4</v>
      </c>
      <c r="AC4" s="69">
        <v>1280</v>
      </c>
      <c r="AD4" s="70">
        <v>4.2</v>
      </c>
      <c r="AE4" s="70">
        <v>8</v>
      </c>
      <c r="AF4" s="62">
        <f t="shared" ref="AF4:AF65" si="6">AC4*AD4%</f>
        <v>53.760000000000005</v>
      </c>
      <c r="AG4" s="63">
        <f t="shared" ref="AG4:AG65" si="7">AC4*AE4%</f>
        <v>102.4</v>
      </c>
      <c r="AH4" s="71">
        <v>1580</v>
      </c>
      <c r="AI4" s="66">
        <v>4.62</v>
      </c>
      <c r="AJ4" s="66">
        <v>8.2799999999999994</v>
      </c>
      <c r="AK4" s="62">
        <f t="shared" ref="AK4:AK65" si="8">AH4*AI4%</f>
        <v>72.995999999999995</v>
      </c>
      <c r="AL4" s="72">
        <f t="shared" ref="AL4:AL65" si="9">AH4*AJ4%</f>
        <v>130.82399999999998</v>
      </c>
      <c r="AM4" s="73">
        <f>+D4+R4-AC4-AH4</f>
        <v>3.2485000000001492</v>
      </c>
      <c r="AN4" s="74">
        <f t="shared" ref="AN4:AO19" si="10">+G4+S4-AF4-AK4</f>
        <v>5.6358445000000188</v>
      </c>
      <c r="AO4" s="74">
        <f t="shared" si="10"/>
        <v>3.8405734000000109</v>
      </c>
      <c r="AP4" s="75">
        <f>(AN4+AO4)/(S4+T4)</f>
        <v>0.21013682108884371</v>
      </c>
      <c r="AQ4" s="76">
        <f t="shared" ref="AQ4:AQ65" si="11">($AP$1*AN4+$AQ$1*AO4)</f>
        <v>3858.4242513968779</v>
      </c>
      <c r="AR4" s="77">
        <f t="shared" ref="AR4:AR65" si="12">(D4+J4+O4)-(X4+AH4)</f>
        <v>3.2485000000001492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1580</v>
      </c>
      <c r="E5" s="62">
        <v>4.62</v>
      </c>
      <c r="F5" s="62">
        <v>8.2799999999999994</v>
      </c>
      <c r="G5" s="62">
        <f t="shared" si="0"/>
        <v>72.995999999999995</v>
      </c>
      <c r="H5" s="63">
        <f t="shared" si="1"/>
        <v>130.82399999999998</v>
      </c>
      <c r="I5" s="202">
        <v>1000.6299999999999</v>
      </c>
      <c r="J5" s="202">
        <v>1030.6488999999999</v>
      </c>
      <c r="K5" s="202">
        <v>4.434939987807681</v>
      </c>
      <c r="L5" s="202">
        <v>8.1493269240378581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1030.6488999999999</v>
      </c>
      <c r="S5" s="62">
        <f t="shared" si="2"/>
        <v>45.708660199999997</v>
      </c>
      <c r="T5" s="63">
        <f t="shared" si="3"/>
        <v>83.990948300000014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2611</v>
      </c>
      <c r="AI5" s="66">
        <v>4.53</v>
      </c>
      <c r="AJ5" s="66">
        <v>8.25</v>
      </c>
      <c r="AK5" s="62">
        <f t="shared" si="8"/>
        <v>118.2783</v>
      </c>
      <c r="AL5" s="72">
        <f t="shared" si="9"/>
        <v>215.4075</v>
      </c>
      <c r="AM5" s="73">
        <f t="shared" ref="AM5:AM65" si="15">+D5+R5-AC5-AH5</f>
        <v>-0.3510999999998603</v>
      </c>
      <c r="AN5" s="74">
        <f t="shared" si="10"/>
        <v>0.42636019999999064</v>
      </c>
      <c r="AO5" s="74">
        <f t="shared" si="10"/>
        <v>-0.59255170000000135</v>
      </c>
      <c r="AP5" s="75">
        <f t="shared" ref="AP5:AP65" si="16">(AN5+AO5)/(S5+T5)</f>
        <v>-1.2813569903721853E-3</v>
      </c>
      <c r="AQ5" s="76">
        <f t="shared" si="11"/>
        <v>27.415993648594821</v>
      </c>
      <c r="AR5" s="77">
        <f t="shared" si="12"/>
        <v>-0.3510999999998603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2611</v>
      </c>
      <c r="E6" s="62">
        <v>4.53</v>
      </c>
      <c r="F6" s="62">
        <v>8.25</v>
      </c>
      <c r="G6" s="62">
        <f t="shared" si="0"/>
        <v>118.2783</v>
      </c>
      <c r="H6" s="63">
        <f t="shared" si="1"/>
        <v>215.4075</v>
      </c>
      <c r="I6" s="202">
        <v>274.96999999999997</v>
      </c>
      <c r="J6" s="202">
        <v>283.21909999999997</v>
      </c>
      <c r="K6" s="202">
        <v>5.4145797723388007</v>
      </c>
      <c r="L6" s="202">
        <v>8.6891551805651535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283.21909999999997</v>
      </c>
      <c r="S6" s="62">
        <f t="shared" si="2"/>
        <v>15.335124099999998</v>
      </c>
      <c r="T6" s="63">
        <f t="shared" si="3"/>
        <v>24.609347099999997</v>
      </c>
      <c r="U6" s="64" t="s">
        <v>186</v>
      </c>
      <c r="V6" s="65" t="s">
        <v>220</v>
      </c>
      <c r="W6" s="66" t="s">
        <v>149</v>
      </c>
      <c r="X6" s="67">
        <v>1010</v>
      </c>
      <c r="Y6" s="68">
        <v>4.0999999999999996</v>
      </c>
      <c r="Z6" s="68">
        <v>8</v>
      </c>
      <c r="AA6" s="62">
        <f t="shared" si="4"/>
        <v>41.41</v>
      </c>
      <c r="AB6" s="63">
        <f t="shared" si="5"/>
        <v>80.8</v>
      </c>
      <c r="AC6" s="69">
        <v>1010</v>
      </c>
      <c r="AD6" s="70">
        <v>4.0999999999999996</v>
      </c>
      <c r="AE6" s="70">
        <v>8</v>
      </c>
      <c r="AF6" s="62">
        <f t="shared" si="6"/>
        <v>41.41</v>
      </c>
      <c r="AG6" s="63">
        <f t="shared" si="7"/>
        <v>80.8</v>
      </c>
      <c r="AH6" s="71">
        <v>1885</v>
      </c>
      <c r="AI6" s="66">
        <v>4.6100000000000003</v>
      </c>
      <c r="AJ6" s="66">
        <v>8.2899999999999991</v>
      </c>
      <c r="AK6" s="62">
        <f t="shared" si="8"/>
        <v>86.898499999999999</v>
      </c>
      <c r="AL6" s="72">
        <f t="shared" si="9"/>
        <v>156.26649999999998</v>
      </c>
      <c r="AM6" s="73">
        <f t="shared" si="15"/>
        <v>-0.78090000000020154</v>
      </c>
      <c r="AN6" s="74">
        <f t="shared" si="10"/>
        <v>5.304924100000008</v>
      </c>
      <c r="AO6" s="74">
        <f t="shared" si="10"/>
        <v>2.9503471000000161</v>
      </c>
      <c r="AP6" s="75">
        <f t="shared" si="16"/>
        <v>0.20666868159716745</v>
      </c>
      <c r="AQ6" s="76">
        <f t="shared" si="11"/>
        <v>3432.7913773201471</v>
      </c>
      <c r="AR6" s="77">
        <f t="shared" si="12"/>
        <v>-0.78090000000020154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1885</v>
      </c>
      <c r="E7" s="62">
        <v>4.6100000000000003</v>
      </c>
      <c r="F7" s="62">
        <v>8.2899999999999991</v>
      </c>
      <c r="G7" s="62">
        <f t="shared" si="0"/>
        <v>86.898499999999999</v>
      </c>
      <c r="H7" s="63">
        <f t="shared" si="1"/>
        <v>156.26649999999998</v>
      </c>
      <c r="I7" s="202">
        <v>1184.79</v>
      </c>
      <c r="J7" s="202">
        <v>1220.3336999999999</v>
      </c>
      <c r="K7" s="202">
        <v>4.3576296221271269</v>
      </c>
      <c r="L7" s="202">
        <v>8.1737911359819027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1220.3336999999999</v>
      </c>
      <c r="S7" s="62">
        <f t="shared" si="2"/>
        <v>53.17762279999998</v>
      </c>
      <c r="T7" s="63">
        <f t="shared" si="3"/>
        <v>99.747527799999986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3105</v>
      </c>
      <c r="AI7" s="71">
        <v>4.5199999999999996</v>
      </c>
      <c r="AJ7" s="71">
        <v>8.25</v>
      </c>
      <c r="AK7" s="62">
        <f t="shared" si="8"/>
        <v>140.346</v>
      </c>
      <c r="AL7" s="72">
        <f t="shared" si="9"/>
        <v>256.16250000000002</v>
      </c>
      <c r="AM7" s="73">
        <f t="shared" si="15"/>
        <v>0.33370000000013533</v>
      </c>
      <c r="AN7" s="74">
        <f t="shared" si="10"/>
        <v>-0.26987720000002469</v>
      </c>
      <c r="AO7" s="74">
        <f t="shared" si="10"/>
        <v>-0.14847220000007155</v>
      </c>
      <c r="AP7" s="75">
        <f t="shared" si="16"/>
        <v>-2.7356481151642321E-3</v>
      </c>
      <c r="AQ7" s="76">
        <f t="shared" si="11"/>
        <v>-174.1508802628565</v>
      </c>
      <c r="AR7" s="77">
        <f t="shared" si="12"/>
        <v>0.33370000000013533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3105</v>
      </c>
      <c r="E8" s="62">
        <v>4.5199999999999996</v>
      </c>
      <c r="F8" s="62">
        <v>8.25</v>
      </c>
      <c r="G8" s="62">
        <f t="shared" si="0"/>
        <v>140.346</v>
      </c>
      <c r="H8" s="63">
        <f t="shared" si="1"/>
        <v>256.16250000000002</v>
      </c>
      <c r="I8" s="202">
        <v>264.57</v>
      </c>
      <c r="J8" s="202">
        <v>272.50709999999998</v>
      </c>
      <c r="K8" s="202">
        <v>5.4372151037532594</v>
      </c>
      <c r="L8" s="202">
        <v>8.5982575499867711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272.50709999999998</v>
      </c>
      <c r="S8" s="62">
        <f t="shared" si="2"/>
        <v>14.816797199999998</v>
      </c>
      <c r="T8" s="63">
        <f t="shared" si="3"/>
        <v>23.430862299999998</v>
      </c>
      <c r="U8" s="64" t="s">
        <v>186</v>
      </c>
      <c r="V8" s="65" t="s">
        <v>295</v>
      </c>
      <c r="W8" s="66" t="s">
        <v>149</v>
      </c>
      <c r="X8" s="67">
        <v>1670</v>
      </c>
      <c r="Y8" s="68">
        <v>4</v>
      </c>
      <c r="Z8" s="68">
        <v>8</v>
      </c>
      <c r="AA8" s="62">
        <f t="shared" si="4"/>
        <v>66.8</v>
      </c>
      <c r="AB8" s="63">
        <f t="shared" si="5"/>
        <v>133.6</v>
      </c>
      <c r="AC8" s="69">
        <v>1670</v>
      </c>
      <c r="AD8" s="70">
        <v>4</v>
      </c>
      <c r="AE8" s="70">
        <v>8</v>
      </c>
      <c r="AF8" s="62">
        <f t="shared" si="6"/>
        <v>66.8</v>
      </c>
      <c r="AG8" s="63">
        <f t="shared" si="7"/>
        <v>133.6</v>
      </c>
      <c r="AH8" s="71">
        <v>1507</v>
      </c>
      <c r="AI8" s="71">
        <v>4.5999999999999996</v>
      </c>
      <c r="AJ8" s="71">
        <v>8.2799999999999994</v>
      </c>
      <c r="AK8" s="62">
        <f t="shared" si="8"/>
        <v>69.322000000000003</v>
      </c>
      <c r="AL8" s="72">
        <f t="shared" si="9"/>
        <v>124.7796</v>
      </c>
      <c r="AM8" s="73">
        <f t="shared" si="15"/>
        <v>200.50709999999981</v>
      </c>
      <c r="AN8" s="74">
        <f t="shared" si="10"/>
        <v>19.0407972</v>
      </c>
      <c r="AO8" s="74">
        <f t="shared" si="10"/>
        <v>21.213762300000027</v>
      </c>
      <c r="AP8" s="75">
        <f t="shared" si="16"/>
        <v>1.0524711845439858</v>
      </c>
      <c r="AQ8" s="76">
        <f t="shared" si="11"/>
        <v>15503.055717587184</v>
      </c>
      <c r="AR8" s="90">
        <f t="shared" si="12"/>
        <v>200.50709999999981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1507</v>
      </c>
      <c r="E9" s="62">
        <v>4.5999999999999996</v>
      </c>
      <c r="F9" s="62">
        <v>8.2799999999999994</v>
      </c>
      <c r="G9" s="62">
        <f t="shared" si="0"/>
        <v>69.322000000000003</v>
      </c>
      <c r="H9" s="63">
        <f t="shared" si="1"/>
        <v>124.7796</v>
      </c>
      <c r="I9" s="202">
        <v>939.01</v>
      </c>
      <c r="J9" s="202">
        <v>967.18029999999999</v>
      </c>
      <c r="K9" s="202">
        <v>4.3473275044994191</v>
      </c>
      <c r="L9" s="202">
        <v>8.2749076154673542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967.18029999999999</v>
      </c>
      <c r="S9" s="62">
        <f t="shared" si="2"/>
        <v>42.046495199999988</v>
      </c>
      <c r="T9" s="63">
        <f t="shared" si="3"/>
        <v>80.033276299999997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2475</v>
      </c>
      <c r="AI9" s="82">
        <v>4.4800000000000004</v>
      </c>
      <c r="AJ9" s="82">
        <v>8.2799999999999994</v>
      </c>
      <c r="AK9" s="62">
        <f t="shared" si="8"/>
        <v>110.88000000000001</v>
      </c>
      <c r="AL9" s="72">
        <f t="shared" si="9"/>
        <v>204.93</v>
      </c>
      <c r="AM9" s="73">
        <f t="shared" si="15"/>
        <v>-0.81970000000001164</v>
      </c>
      <c r="AN9" s="74">
        <f t="shared" si="10"/>
        <v>0.48849519999997426</v>
      </c>
      <c r="AO9" s="74">
        <f t="shared" si="10"/>
        <v>-0.1171237000000076</v>
      </c>
      <c r="AP9" s="75">
        <f t="shared" si="16"/>
        <v>3.0420396060453526E-3</v>
      </c>
      <c r="AQ9" s="76">
        <f t="shared" si="11"/>
        <v>199.66033691772279</v>
      </c>
      <c r="AR9" s="90">
        <f t="shared" si="12"/>
        <v>-0.81970000000001164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2475</v>
      </c>
      <c r="E10" s="62">
        <v>4.4800000000000004</v>
      </c>
      <c r="F10" s="62">
        <v>8.2799999999999994</v>
      </c>
      <c r="G10" s="62">
        <f t="shared" si="0"/>
        <v>110.88000000000001</v>
      </c>
      <c r="H10" s="63">
        <f t="shared" si="1"/>
        <v>204.93</v>
      </c>
      <c r="I10" s="202">
        <v>538.92999999999995</v>
      </c>
      <c r="J10" s="202">
        <v>555.09789999999998</v>
      </c>
      <c r="K10" s="202">
        <v>4.994012209377841</v>
      </c>
      <c r="L10" s="202">
        <v>8.3658879631863137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555.09789999999998</v>
      </c>
      <c r="S10" s="62">
        <f t="shared" si="2"/>
        <v>27.721656899999999</v>
      </c>
      <c r="T10" s="63">
        <f t="shared" si="3"/>
        <v>46.438868399999997</v>
      </c>
      <c r="U10" s="64" t="s">
        <v>186</v>
      </c>
      <c r="V10" s="65" t="s">
        <v>296</v>
      </c>
      <c r="W10" s="66" t="s">
        <v>149</v>
      </c>
      <c r="X10" s="67">
        <v>1030</v>
      </c>
      <c r="Y10" s="68">
        <v>4.0999999999999996</v>
      </c>
      <c r="Z10" s="68">
        <v>8</v>
      </c>
      <c r="AA10" s="62">
        <f t="shared" si="4"/>
        <v>42.23</v>
      </c>
      <c r="AB10" s="63">
        <f t="shared" si="5"/>
        <v>82.4</v>
      </c>
      <c r="AC10" s="69">
        <v>1030</v>
      </c>
      <c r="AD10" s="70">
        <v>4.0999999999999996</v>
      </c>
      <c r="AE10" s="70">
        <v>8</v>
      </c>
      <c r="AF10" s="62">
        <f t="shared" si="6"/>
        <v>42.23</v>
      </c>
      <c r="AG10" s="63">
        <f t="shared" si="7"/>
        <v>82.4</v>
      </c>
      <c r="AH10" s="71">
        <v>2000</v>
      </c>
      <c r="AI10" s="71">
        <v>4.57</v>
      </c>
      <c r="AJ10" s="71">
        <v>8.3000000000000007</v>
      </c>
      <c r="AK10" s="62">
        <f t="shared" si="8"/>
        <v>91.4</v>
      </c>
      <c r="AL10" s="72">
        <f t="shared" si="9"/>
        <v>166</v>
      </c>
      <c r="AM10" s="73">
        <f t="shared" si="15"/>
        <v>9.7899999999754073E-2</v>
      </c>
      <c r="AN10" s="74">
        <f t="shared" si="10"/>
        <v>4.9716569000000277</v>
      </c>
      <c r="AO10" s="74">
        <f t="shared" si="10"/>
        <v>2.968868399999991</v>
      </c>
      <c r="AP10" s="75">
        <f t="shared" si="16"/>
        <v>0.10707212857350162</v>
      </c>
      <c r="AQ10" s="76">
        <f t="shared" si="11"/>
        <v>3278.1926055279264</v>
      </c>
      <c r="AR10" s="90">
        <f t="shared" si="12"/>
        <v>9.7899999999754073E-2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2000</v>
      </c>
      <c r="E11" s="62">
        <v>4.57</v>
      </c>
      <c r="F11" s="62">
        <v>8.3000000000000007</v>
      </c>
      <c r="G11" s="62">
        <f t="shared" si="0"/>
        <v>91.4</v>
      </c>
      <c r="H11" s="63">
        <f t="shared" si="1"/>
        <v>166</v>
      </c>
      <c r="I11" s="202">
        <v>641.6</v>
      </c>
      <c r="J11" s="202">
        <v>660.84800000000007</v>
      </c>
      <c r="K11" s="202">
        <v>4.2500903990024934</v>
      </c>
      <c r="L11" s="202">
        <v>8.070829177057357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660.84800000000007</v>
      </c>
      <c r="S11" s="62">
        <f t="shared" si="2"/>
        <v>28.086637400000001</v>
      </c>
      <c r="T11" s="63">
        <f t="shared" si="3"/>
        <v>53.335913200000007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2661</v>
      </c>
      <c r="AI11" s="71">
        <v>4.4800000000000004</v>
      </c>
      <c r="AJ11" s="71">
        <v>8.25</v>
      </c>
      <c r="AK11" s="62">
        <f t="shared" si="8"/>
        <v>119.21280000000002</v>
      </c>
      <c r="AL11" s="72">
        <f t="shared" si="9"/>
        <v>219.5325</v>
      </c>
      <c r="AM11" s="73">
        <f t="shared" si="15"/>
        <v>-0.15200000000004366</v>
      </c>
      <c r="AN11" s="74">
        <f t="shared" si="10"/>
        <v>0.27383739999999079</v>
      </c>
      <c r="AO11" s="74">
        <f t="shared" si="10"/>
        <v>-0.19658680000000572</v>
      </c>
      <c r="AP11" s="75">
        <f t="shared" si="16"/>
        <v>9.4876173038953E-4</v>
      </c>
      <c r="AQ11" s="76">
        <f t="shared" si="11"/>
        <v>72.711786644729628</v>
      </c>
      <c r="AR11" s="90">
        <f t="shared" si="12"/>
        <v>-0.15200000000004366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2661</v>
      </c>
      <c r="E12" s="62">
        <v>4.4800000000000004</v>
      </c>
      <c r="F12" s="62">
        <v>8.25</v>
      </c>
      <c r="G12" s="62">
        <f t="shared" si="0"/>
        <v>119.21280000000002</v>
      </c>
      <c r="H12" s="63">
        <f t="shared" si="1"/>
        <v>219.5325</v>
      </c>
      <c r="I12" s="202">
        <v>223.4</v>
      </c>
      <c r="J12" s="202">
        <v>230.102</v>
      </c>
      <c r="K12" s="202">
        <v>5.110689346463742</v>
      </c>
      <c r="L12" s="202">
        <v>8.5202282900626667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230.102</v>
      </c>
      <c r="S12" s="62">
        <f t="shared" si="2"/>
        <v>11.759798399999999</v>
      </c>
      <c r="T12" s="63">
        <f t="shared" si="3"/>
        <v>19.605215699999995</v>
      </c>
      <c r="U12" s="64" t="s">
        <v>186</v>
      </c>
      <c r="V12" s="65" t="s">
        <v>297</v>
      </c>
      <c r="W12" s="66" t="s">
        <v>149</v>
      </c>
      <c r="X12" s="67">
        <v>1300</v>
      </c>
      <c r="Y12" s="68">
        <v>4.0999999999999996</v>
      </c>
      <c r="Z12" s="68">
        <v>7.8</v>
      </c>
      <c r="AA12" s="62">
        <f t="shared" si="4"/>
        <v>53.29999999999999</v>
      </c>
      <c r="AB12" s="63">
        <f t="shared" si="5"/>
        <v>101.4</v>
      </c>
      <c r="AC12" s="69">
        <v>1300</v>
      </c>
      <c r="AD12" s="70">
        <v>4.0999999999999996</v>
      </c>
      <c r="AE12" s="70">
        <v>7.8</v>
      </c>
      <c r="AF12" s="62">
        <f t="shared" si="6"/>
        <v>53.29999999999999</v>
      </c>
      <c r="AG12" s="63">
        <f t="shared" si="7"/>
        <v>101.4</v>
      </c>
      <c r="AH12" s="71">
        <v>1591</v>
      </c>
      <c r="AI12" s="71">
        <v>4.53</v>
      </c>
      <c r="AJ12" s="71">
        <v>8.27</v>
      </c>
      <c r="AK12" s="62">
        <f t="shared" si="8"/>
        <v>72.072299999999998</v>
      </c>
      <c r="AL12" s="72">
        <f t="shared" si="9"/>
        <v>131.57569999999998</v>
      </c>
      <c r="AM12" s="73">
        <f t="shared" si="15"/>
        <v>0.10199999999986176</v>
      </c>
      <c r="AN12" s="74">
        <f t="shared" si="10"/>
        <v>5.6002984000000282</v>
      </c>
      <c r="AO12" s="74">
        <f t="shared" si="10"/>
        <v>6.162015700000012</v>
      </c>
      <c r="AP12" s="75">
        <f t="shared" si="16"/>
        <v>0.37501383109532993</v>
      </c>
      <c r="AQ12" s="76">
        <f t="shared" si="11"/>
        <v>4536.594495632673</v>
      </c>
      <c r="AR12" s="90">
        <f t="shared" si="12"/>
        <v>0.10199999999986176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1591</v>
      </c>
      <c r="E13" s="62">
        <v>4.53</v>
      </c>
      <c r="F13" s="62">
        <v>8.27</v>
      </c>
      <c r="G13" s="62">
        <f t="shared" si="0"/>
        <v>72.072299999999998</v>
      </c>
      <c r="H13" s="63">
        <f t="shared" si="1"/>
        <v>131.57569999999998</v>
      </c>
      <c r="I13" s="202">
        <v>891.43000000000006</v>
      </c>
      <c r="J13" s="202">
        <v>918.17290000000014</v>
      </c>
      <c r="K13" s="202">
        <v>4.2672559819615667</v>
      </c>
      <c r="L13" s="202">
        <v>8.2670888347935332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918.17290000000014</v>
      </c>
      <c r="S13" s="62">
        <f t="shared" si="2"/>
        <v>39.180788</v>
      </c>
      <c r="T13" s="63">
        <f t="shared" si="3"/>
        <v>75.906169300000002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2509</v>
      </c>
      <c r="AI13" s="71">
        <v>4.45</v>
      </c>
      <c r="AJ13" s="71">
        <v>8.2799999999999994</v>
      </c>
      <c r="AK13" s="62">
        <f t="shared" si="8"/>
        <v>111.65050000000001</v>
      </c>
      <c r="AL13" s="72">
        <f t="shared" si="9"/>
        <v>207.74519999999998</v>
      </c>
      <c r="AM13" s="73">
        <f t="shared" si="15"/>
        <v>0.17290000000002692</v>
      </c>
      <c r="AN13" s="74">
        <f t="shared" si="10"/>
        <v>-0.39741200000001697</v>
      </c>
      <c r="AO13" s="74">
        <f t="shared" si="10"/>
        <v>-0.26333070000001157</v>
      </c>
      <c r="AP13" s="75">
        <f t="shared" si="16"/>
        <v>-5.7412474488977442E-3</v>
      </c>
      <c r="AQ13" s="76">
        <f t="shared" si="11"/>
        <v>-269.83460068565569</v>
      </c>
      <c r="AR13" s="90">
        <f t="shared" si="12"/>
        <v>0.17290000000002692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2509</v>
      </c>
      <c r="E14" s="62">
        <v>4.45</v>
      </c>
      <c r="F14" s="62">
        <v>8.2799999999999994</v>
      </c>
      <c r="G14" s="62">
        <f t="shared" si="0"/>
        <v>111.65050000000001</v>
      </c>
      <c r="H14" s="63">
        <f t="shared" si="1"/>
        <v>207.74519999999998</v>
      </c>
      <c r="I14" s="202">
        <v>263.51</v>
      </c>
      <c r="J14" s="202">
        <v>271.4153</v>
      </c>
      <c r="K14" s="202">
        <v>5.8492087586808861</v>
      </c>
      <c r="L14" s="202">
        <v>8.7953360403779755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271.4153</v>
      </c>
      <c r="S14" s="62">
        <f t="shared" si="2"/>
        <v>15.875647500000003</v>
      </c>
      <c r="T14" s="63">
        <f t="shared" si="3"/>
        <v>23.871887700000002</v>
      </c>
      <c r="U14" s="64" t="s">
        <v>186</v>
      </c>
      <c r="V14" s="65" t="s">
        <v>298</v>
      </c>
      <c r="W14" s="66" t="s">
        <v>149</v>
      </c>
      <c r="X14" s="67">
        <v>1070</v>
      </c>
      <c r="Y14" s="68">
        <v>4.3</v>
      </c>
      <c r="Z14" s="68">
        <v>8</v>
      </c>
      <c r="AA14" s="62">
        <f t="shared" si="4"/>
        <v>46.01</v>
      </c>
      <c r="AB14" s="63">
        <f t="shared" si="5"/>
        <v>85.600000000000009</v>
      </c>
      <c r="AC14" s="69">
        <v>1070</v>
      </c>
      <c r="AD14" s="70">
        <v>4.3</v>
      </c>
      <c r="AE14" s="70">
        <v>8</v>
      </c>
      <c r="AF14" s="62">
        <f t="shared" si="6"/>
        <v>46.01</v>
      </c>
      <c r="AG14" s="63">
        <f t="shared" si="7"/>
        <v>85.600000000000009</v>
      </c>
      <c r="AH14" s="89">
        <v>1710</v>
      </c>
      <c r="AI14" s="71">
        <v>4.5999999999999996</v>
      </c>
      <c r="AJ14" s="71">
        <v>8.33</v>
      </c>
      <c r="AK14" s="62">
        <f t="shared" si="8"/>
        <v>78.66</v>
      </c>
      <c r="AL14" s="72">
        <f t="shared" si="9"/>
        <v>142.44300000000001</v>
      </c>
      <c r="AM14" s="73">
        <f t="shared" si="15"/>
        <v>0.41530000000011569</v>
      </c>
      <c r="AN14" s="74">
        <f t="shared" si="10"/>
        <v>2.85614750000002</v>
      </c>
      <c r="AO14" s="74">
        <f t="shared" si="10"/>
        <v>3.5740876999999784</v>
      </c>
      <c r="AP14" s="75">
        <f t="shared" si="16"/>
        <v>0.16177695466258743</v>
      </c>
      <c r="AQ14" s="76">
        <f t="shared" si="11"/>
        <v>2442.8792789370291</v>
      </c>
      <c r="AR14" s="90">
        <f t="shared" si="12"/>
        <v>0.41530000000011569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1710</v>
      </c>
      <c r="E15" s="62">
        <v>4.5999999999999996</v>
      </c>
      <c r="F15" s="62">
        <v>8.33</v>
      </c>
      <c r="G15" s="62">
        <f t="shared" si="0"/>
        <v>78.66</v>
      </c>
      <c r="H15" s="63">
        <f t="shared" si="1"/>
        <v>142.44300000000001</v>
      </c>
      <c r="I15" s="202">
        <v>582.39</v>
      </c>
      <c r="J15" s="202">
        <v>599.86170000000004</v>
      </c>
      <c r="K15" s="202">
        <v>4.3363004172461741</v>
      </c>
      <c r="L15" s="202">
        <v>8.365153934648605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599.86170000000004</v>
      </c>
      <c r="S15" s="62">
        <f t="shared" si="2"/>
        <v>26.011805399999997</v>
      </c>
      <c r="T15" s="63">
        <f t="shared" si="3"/>
        <v>50.179354600000011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2310</v>
      </c>
      <c r="AI15" s="66">
        <v>4.5199999999999996</v>
      </c>
      <c r="AJ15" s="66">
        <v>8.35</v>
      </c>
      <c r="AK15" s="62">
        <f t="shared" si="8"/>
        <v>104.41199999999999</v>
      </c>
      <c r="AL15" s="72">
        <f t="shared" si="9"/>
        <v>192.88499999999999</v>
      </c>
      <c r="AM15" s="73">
        <f t="shared" si="15"/>
        <v>-0.13830000000007203</v>
      </c>
      <c r="AN15" s="74">
        <f t="shared" si="10"/>
        <v>0.25980540000000474</v>
      </c>
      <c r="AO15" s="74">
        <f t="shared" si="10"/>
        <v>-0.26264539999996828</v>
      </c>
      <c r="AP15" s="75">
        <f t="shared" si="16"/>
        <v>-3.7274665459398939E-5</v>
      </c>
      <c r="AQ15" s="76">
        <f t="shared" si="11"/>
        <v>46.18499134071881</v>
      </c>
      <c r="AR15" s="90">
        <f t="shared" si="12"/>
        <v>-0.13830000000007203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2310</v>
      </c>
      <c r="E16" s="62">
        <v>4.5199999999999996</v>
      </c>
      <c r="F16" s="62">
        <v>8.35</v>
      </c>
      <c r="G16" s="62">
        <f t="shared" si="0"/>
        <v>104.41199999999999</v>
      </c>
      <c r="H16" s="63">
        <f t="shared" si="1"/>
        <v>192.88499999999999</v>
      </c>
      <c r="I16" s="202">
        <v>292.84000000000003</v>
      </c>
      <c r="J16" s="202">
        <v>301.62520000000006</v>
      </c>
      <c r="K16" s="202">
        <v>5.4990950689796474</v>
      </c>
      <c r="L16" s="202">
        <v>8.6391749760961609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301.62520000000006</v>
      </c>
      <c r="S16" s="62">
        <f t="shared" si="2"/>
        <v>16.586656500000004</v>
      </c>
      <c r="T16" s="63">
        <f t="shared" si="3"/>
        <v>26.057928800000003</v>
      </c>
      <c r="U16" s="64" t="s">
        <v>186</v>
      </c>
      <c r="V16" s="65" t="s">
        <v>308</v>
      </c>
      <c r="W16" s="66" t="s">
        <v>149</v>
      </c>
      <c r="X16" s="67">
        <v>1730</v>
      </c>
      <c r="Y16" s="68">
        <v>4.2</v>
      </c>
      <c r="Z16" s="68">
        <v>8</v>
      </c>
      <c r="AA16" s="62">
        <f t="shared" si="4"/>
        <v>72.660000000000011</v>
      </c>
      <c r="AB16" s="63">
        <f t="shared" si="5"/>
        <v>138.4</v>
      </c>
      <c r="AC16" s="69">
        <v>1730</v>
      </c>
      <c r="AD16" s="70">
        <v>4.2</v>
      </c>
      <c r="AE16" s="70">
        <v>8</v>
      </c>
      <c r="AF16" s="62">
        <f t="shared" si="6"/>
        <v>72.660000000000011</v>
      </c>
      <c r="AG16" s="63">
        <f t="shared" si="7"/>
        <v>138.4</v>
      </c>
      <c r="AH16" s="96">
        <v>881</v>
      </c>
      <c r="AI16" s="71">
        <v>4.63</v>
      </c>
      <c r="AJ16" s="71">
        <v>8.3800000000000008</v>
      </c>
      <c r="AK16" s="62">
        <f t="shared" si="8"/>
        <v>40.790300000000002</v>
      </c>
      <c r="AL16" s="72">
        <f t="shared" si="9"/>
        <v>73.827800000000011</v>
      </c>
      <c r="AM16" s="73">
        <f t="shared" si="15"/>
        <v>0.6251999999999498</v>
      </c>
      <c r="AN16" s="74">
        <f t="shared" si="10"/>
        <v>7.5483564999999828</v>
      </c>
      <c r="AO16" s="74">
        <f t="shared" si="10"/>
        <v>6.715128799999988</v>
      </c>
      <c r="AP16" s="75">
        <f t="shared" si="16"/>
        <v>0.33447353748800485</v>
      </c>
      <c r="AQ16" s="76">
        <f t="shared" si="11"/>
        <v>5638.3522643652677</v>
      </c>
      <c r="AR16" s="90">
        <f t="shared" si="12"/>
        <v>0.6251999999999498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881</v>
      </c>
      <c r="E17" s="62">
        <v>4.63</v>
      </c>
      <c r="F17" s="62">
        <v>8.3800000000000008</v>
      </c>
      <c r="G17" s="62">
        <f t="shared" si="0"/>
        <v>40.790300000000002</v>
      </c>
      <c r="H17" s="63">
        <f t="shared" si="1"/>
        <v>73.827800000000011</v>
      </c>
      <c r="I17" s="202">
        <v>1420.6000000000001</v>
      </c>
      <c r="J17" s="202">
        <v>1463.2180000000001</v>
      </c>
      <c r="K17" s="202">
        <v>4.5097099816978741</v>
      </c>
      <c r="L17" s="202">
        <v>8.4243495706039706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1463.2180000000001</v>
      </c>
      <c r="S17" s="62">
        <f t="shared" si="2"/>
        <v>65.98688820000001</v>
      </c>
      <c r="T17" s="63">
        <f t="shared" si="3"/>
        <v>123.26659930000001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6">
        <v>2344</v>
      </c>
      <c r="AI17" s="66">
        <v>4.55</v>
      </c>
      <c r="AJ17" s="66">
        <v>8.39</v>
      </c>
      <c r="AK17" s="62">
        <f t="shared" si="8"/>
        <v>106.652</v>
      </c>
      <c r="AL17" s="72">
        <f>AH17*AJ17%</f>
        <v>196.66159999999999</v>
      </c>
      <c r="AM17" s="73">
        <f t="shared" si="15"/>
        <v>0.2179999999998472</v>
      </c>
      <c r="AN17" s="74">
        <f t="shared" si="10"/>
        <v>0.12518820000001085</v>
      </c>
      <c r="AO17" s="74">
        <f t="shared" si="10"/>
        <v>0.43279930000002764</v>
      </c>
      <c r="AP17" s="75">
        <f t="shared" si="16"/>
        <v>2.9483604628424008E-3</v>
      </c>
      <c r="AQ17" s="76">
        <f t="shared" si="11"/>
        <v>189.77654187790915</v>
      </c>
      <c r="AR17" s="90">
        <f t="shared" si="12"/>
        <v>0.2179999999998472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2344</v>
      </c>
      <c r="E18" s="62">
        <v>4.55</v>
      </c>
      <c r="F18" s="62">
        <v>8.39</v>
      </c>
      <c r="G18" s="62">
        <f t="shared" si="0"/>
        <v>106.652</v>
      </c>
      <c r="H18" s="63">
        <f t="shared" si="1"/>
        <v>196.66159999999999</v>
      </c>
      <c r="I18" s="202">
        <v>300.40999999999997</v>
      </c>
      <c r="J18" s="202">
        <v>309.42229999999995</v>
      </c>
      <c r="K18" s="202">
        <v>5.5115641955993482</v>
      </c>
      <c r="L18" s="202">
        <v>8.6965613661329524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309.42229999999995</v>
      </c>
      <c r="S18" s="62">
        <f t="shared" si="2"/>
        <v>17.054008699999997</v>
      </c>
      <c r="T18" s="63">
        <f t="shared" si="3"/>
        <v>26.909100200000001</v>
      </c>
      <c r="U18" s="64" t="s">
        <v>186</v>
      </c>
      <c r="V18" s="65" t="s">
        <v>302</v>
      </c>
      <c r="W18" s="66" t="s">
        <v>149</v>
      </c>
      <c r="X18" s="67">
        <v>1310</v>
      </c>
      <c r="Y18" s="68">
        <v>4.2</v>
      </c>
      <c r="Z18" s="68">
        <v>8</v>
      </c>
      <c r="AA18" s="62">
        <f t="shared" si="4"/>
        <v>55.02</v>
      </c>
      <c r="AB18" s="63">
        <f t="shared" si="5"/>
        <v>104.8</v>
      </c>
      <c r="AC18" s="69">
        <v>1310</v>
      </c>
      <c r="AD18" s="70">
        <v>4.2</v>
      </c>
      <c r="AE18" s="70">
        <v>8</v>
      </c>
      <c r="AF18" s="62">
        <f t="shared" si="6"/>
        <v>55.02</v>
      </c>
      <c r="AG18" s="63">
        <f t="shared" si="7"/>
        <v>104.8</v>
      </c>
      <c r="AH18" s="96">
        <v>1343</v>
      </c>
      <c r="AI18" s="71">
        <v>4.66</v>
      </c>
      <c r="AJ18" s="71">
        <v>8.43</v>
      </c>
      <c r="AK18" s="62">
        <f t="shared" si="8"/>
        <v>62.583800000000004</v>
      </c>
      <c r="AL18" s="72">
        <f t="shared" si="9"/>
        <v>113.2149</v>
      </c>
      <c r="AM18" s="73">
        <f t="shared" si="15"/>
        <v>0.42230000000017753</v>
      </c>
      <c r="AN18" s="74">
        <f t="shared" si="10"/>
        <v>6.1022086999999985</v>
      </c>
      <c r="AO18" s="74">
        <f t="shared" si="10"/>
        <v>5.5558002000000073</v>
      </c>
      <c r="AP18" s="75">
        <f t="shared" si="16"/>
        <v>0.26517708123230582</v>
      </c>
      <c r="AQ18" s="76">
        <f t="shared" si="11"/>
        <v>4596.2225847590989</v>
      </c>
      <c r="AR18" s="90">
        <f t="shared" si="12"/>
        <v>0.42230000000017753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1343</v>
      </c>
      <c r="E19" s="62">
        <v>4.66</v>
      </c>
      <c r="F19" s="62">
        <v>8.43</v>
      </c>
      <c r="G19" s="62">
        <f t="shared" si="0"/>
        <v>62.583800000000004</v>
      </c>
      <c r="H19" s="63">
        <f t="shared" si="1"/>
        <v>113.2149</v>
      </c>
      <c r="I19" s="202">
        <v>1308.8500000000001</v>
      </c>
      <c r="J19" s="202">
        <v>1348.1155000000001</v>
      </c>
      <c r="K19" s="202">
        <v>4.4776345646941982</v>
      </c>
      <c r="L19" s="202">
        <v>8.1877289223364045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1348.1155000000001</v>
      </c>
      <c r="S19" s="62">
        <f t="shared" si="2"/>
        <v>60.363685600000018</v>
      </c>
      <c r="T19" s="63">
        <f t="shared" si="3"/>
        <v>110.38004270000003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6">
        <v>2691</v>
      </c>
      <c r="AI19" s="71">
        <v>4.58</v>
      </c>
      <c r="AJ19" s="71">
        <v>8.31</v>
      </c>
      <c r="AK19" s="62">
        <f t="shared" si="8"/>
        <v>123.2478</v>
      </c>
      <c r="AL19" s="72">
        <f t="shared" si="9"/>
        <v>223.62210000000002</v>
      </c>
      <c r="AM19" s="73">
        <f t="shared" si="15"/>
        <v>0.11549999999988358</v>
      </c>
      <c r="AN19" s="74">
        <f t="shared" si="10"/>
        <v>-0.30031439999997644</v>
      </c>
      <c r="AO19" s="74">
        <f t="shared" si="10"/>
        <v>-2.7157299999970519E-2</v>
      </c>
      <c r="AP19" s="75">
        <f t="shared" si="16"/>
        <v>-1.9179134909399005E-3</v>
      </c>
      <c r="AQ19" s="76">
        <f t="shared" si="11"/>
        <v>-152.44421294210653</v>
      </c>
      <c r="AR19" s="90">
        <f t="shared" si="12"/>
        <v>0.11549999999988358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2691</v>
      </c>
      <c r="E20" s="62">
        <v>4.58</v>
      </c>
      <c r="F20" s="62">
        <v>8.31</v>
      </c>
      <c r="G20" s="62">
        <f t="shared" si="0"/>
        <v>123.2478</v>
      </c>
      <c r="H20" s="63">
        <f t="shared" si="1"/>
        <v>223.62210000000002</v>
      </c>
      <c r="I20" s="202">
        <v>317.39999999999998</v>
      </c>
      <c r="J20" s="202">
        <v>326.92199999999997</v>
      </c>
      <c r="K20" s="202">
        <v>5.5121235034656584</v>
      </c>
      <c r="L20" s="202">
        <v>8.6463169502205428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326.92199999999997</v>
      </c>
      <c r="S20" s="62">
        <f t="shared" si="2"/>
        <v>18.020344399999995</v>
      </c>
      <c r="T20" s="63">
        <f t="shared" si="3"/>
        <v>28.266712299999998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7"/>
        <v>0</v>
      </c>
      <c r="AH20" s="96">
        <v>3018</v>
      </c>
      <c r="AI20" s="66">
        <v>4.68</v>
      </c>
      <c r="AJ20" s="66">
        <v>8.34</v>
      </c>
      <c r="AK20" s="62">
        <f t="shared" si="8"/>
        <v>141.24239999999998</v>
      </c>
      <c r="AL20" s="72">
        <f t="shared" si="9"/>
        <v>251.7012</v>
      </c>
      <c r="AM20" s="73">
        <f t="shared" si="15"/>
        <v>-7.7999999999974534E-2</v>
      </c>
      <c r="AN20" s="74">
        <f t="shared" ref="AN20:AO65" si="18">+G20+S20-AF20-AK20</f>
        <v>2.5744400000007772E-2</v>
      </c>
      <c r="AO20" s="74">
        <f t="shared" si="18"/>
        <v>0.18761230000001206</v>
      </c>
      <c r="AP20" s="75">
        <f t="shared" si="16"/>
        <v>4.6094246472150359E-3</v>
      </c>
      <c r="AQ20" s="76">
        <f t="shared" si="11"/>
        <v>68.559235717635318</v>
      </c>
      <c r="AR20" s="90">
        <f t="shared" si="12"/>
        <v>-7.7999999999974534E-2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3018</v>
      </c>
      <c r="E21" s="62">
        <v>4.68</v>
      </c>
      <c r="F21" s="62">
        <v>8.34</v>
      </c>
      <c r="G21" s="62">
        <f t="shared" si="0"/>
        <v>141.24239999999998</v>
      </c>
      <c r="H21" s="63">
        <f t="shared" si="1"/>
        <v>251.7012</v>
      </c>
      <c r="I21" s="202">
        <v>1113.8100000000002</v>
      </c>
      <c r="J21" s="202">
        <v>1147.2243000000003</v>
      </c>
      <c r="K21" s="202">
        <v>4.5278467602194263</v>
      </c>
      <c r="L21" s="202">
        <v>8.2069607922356589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1147.2243000000003</v>
      </c>
      <c r="S21" s="62">
        <f t="shared" si="2"/>
        <v>51.944558300000004</v>
      </c>
      <c r="T21" s="63">
        <f t="shared" si="3"/>
        <v>94.152248500000013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6">
        <v>4165</v>
      </c>
      <c r="AI21" s="66">
        <v>4.63</v>
      </c>
      <c r="AJ21" s="66">
        <v>8.3000000000000007</v>
      </c>
      <c r="AK21" s="62">
        <f t="shared" si="8"/>
        <v>192.83950000000002</v>
      </c>
      <c r="AL21" s="72">
        <f t="shared" si="9"/>
        <v>345.69499999999999</v>
      </c>
      <c r="AM21" s="73">
        <f t="shared" si="15"/>
        <v>0.22429999999985739</v>
      </c>
      <c r="AN21" s="74">
        <f t="shared" si="18"/>
        <v>0.34745829999997113</v>
      </c>
      <c r="AO21" s="74">
        <f t="shared" si="18"/>
        <v>0.15844850000001998</v>
      </c>
      <c r="AP21" s="75">
        <f t="shared" si="16"/>
        <v>3.46281901077109E-3</v>
      </c>
      <c r="AQ21" s="76">
        <f t="shared" si="11"/>
        <v>214.41893683619702</v>
      </c>
      <c r="AR21" s="90">
        <f t="shared" si="12"/>
        <v>0.22429999999985739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>
        <v>4165</v>
      </c>
      <c r="E22" s="62">
        <v>4.63</v>
      </c>
      <c r="F22" s="62">
        <v>8.3000000000000007</v>
      </c>
      <c r="G22" s="62">
        <f t="shared" si="0"/>
        <v>192.83950000000002</v>
      </c>
      <c r="H22" s="63">
        <f t="shared" si="1"/>
        <v>345.69499999999999</v>
      </c>
      <c r="I22" s="202">
        <v>279.64999999999998</v>
      </c>
      <c r="J22" s="202">
        <v>288.03949999999998</v>
      </c>
      <c r="K22" s="202">
        <v>5.1169175755408558</v>
      </c>
      <c r="L22" s="202">
        <v>8.5037403897729327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288.03949999999998</v>
      </c>
      <c r="S22" s="62">
        <f t="shared" si="2"/>
        <v>14.738743800000002</v>
      </c>
      <c r="T22" s="63">
        <f t="shared" si="3"/>
        <v>24.494131300000006</v>
      </c>
      <c r="U22" s="64" t="s">
        <v>186</v>
      </c>
      <c r="V22" s="65" t="s">
        <v>516</v>
      </c>
      <c r="W22" s="66" t="s">
        <v>149</v>
      </c>
      <c r="X22" s="67">
        <v>2150</v>
      </c>
      <c r="Y22" s="68">
        <v>4.5</v>
      </c>
      <c r="Z22" s="68">
        <v>8.31</v>
      </c>
      <c r="AA22" s="62">
        <f t="shared" si="4"/>
        <v>96.75</v>
      </c>
      <c r="AB22" s="63">
        <f t="shared" si="5"/>
        <v>178.66500000000002</v>
      </c>
      <c r="AC22" s="69">
        <v>2150</v>
      </c>
      <c r="AD22" s="70">
        <v>4.4000000000000004</v>
      </c>
      <c r="AE22" s="70">
        <v>8.3000000000000007</v>
      </c>
      <c r="AF22" s="62">
        <f t="shared" si="6"/>
        <v>94.600000000000009</v>
      </c>
      <c r="AG22" s="63">
        <f t="shared" si="7"/>
        <v>178.45000000000002</v>
      </c>
      <c r="AH22" s="96">
        <v>2303</v>
      </c>
      <c r="AI22" s="66">
        <v>4.66</v>
      </c>
      <c r="AJ22" s="66">
        <v>8.31</v>
      </c>
      <c r="AK22" s="62">
        <f t="shared" si="8"/>
        <v>107.3198</v>
      </c>
      <c r="AL22" s="72">
        <f t="shared" si="9"/>
        <v>191.37930000000003</v>
      </c>
      <c r="AM22" s="73">
        <f t="shared" si="15"/>
        <v>3.9499999999861757E-2</v>
      </c>
      <c r="AN22" s="74">
        <f t="shared" si="18"/>
        <v>5.6584438000000148</v>
      </c>
      <c r="AO22" s="74">
        <f t="shared" si="18"/>
        <v>0.35983129999993935</v>
      </c>
      <c r="AP22" s="75">
        <f t="shared" si="16"/>
        <v>0.15339877805692484</v>
      </c>
      <c r="AQ22" s="76">
        <f t="shared" si="11"/>
        <v>2826.8326789682724</v>
      </c>
      <c r="AR22" s="90">
        <f t="shared" si="12"/>
        <v>3.9499999999861757E-2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>
        <v>2303</v>
      </c>
      <c r="E23" s="62">
        <v>4.66</v>
      </c>
      <c r="F23" s="62">
        <v>8.31</v>
      </c>
      <c r="G23" s="62">
        <f t="shared" si="0"/>
        <v>107.3198</v>
      </c>
      <c r="H23" s="63">
        <f t="shared" si="1"/>
        <v>191.37930000000003</v>
      </c>
      <c r="I23" s="202">
        <v>987.52</v>
      </c>
      <c r="J23" s="202">
        <v>1017.1456000000001</v>
      </c>
      <c r="K23" s="202">
        <v>4.6753848023331175</v>
      </c>
      <c r="L23" s="202">
        <v>8.3817522683084889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1017.1456000000001</v>
      </c>
      <c r="S23" s="62">
        <f t="shared" si="2"/>
        <v>47.555470800000009</v>
      </c>
      <c r="T23" s="63">
        <f t="shared" si="3"/>
        <v>85.254624399999997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6">
        <v>3306</v>
      </c>
      <c r="AI23" s="66">
        <v>4.67</v>
      </c>
      <c r="AJ23" s="84">
        <v>8.33</v>
      </c>
      <c r="AK23" s="62">
        <f t="shared" si="8"/>
        <v>154.39019999999999</v>
      </c>
      <c r="AL23" s="72">
        <f t="shared" si="9"/>
        <v>275.38979999999998</v>
      </c>
      <c r="AM23" s="73">
        <f t="shared" si="15"/>
        <v>14.145599999999831</v>
      </c>
      <c r="AN23" s="74">
        <f t="shared" si="18"/>
        <v>0.48507080000001679</v>
      </c>
      <c r="AO23" s="74">
        <f t="shared" si="18"/>
        <v>1.2441244000000324</v>
      </c>
      <c r="AP23" s="75">
        <f t="shared" si="16"/>
        <v>1.3020058433028283E-2</v>
      </c>
      <c r="AQ23" s="76">
        <f t="shared" si="11"/>
        <v>605.69648868953379</v>
      </c>
      <c r="AR23" s="90">
        <f t="shared" si="12"/>
        <v>14.145599999999831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>
        <v>3306</v>
      </c>
      <c r="E24" s="62">
        <v>4.67</v>
      </c>
      <c r="F24" s="62">
        <v>8.33</v>
      </c>
      <c r="G24" s="62">
        <f t="shared" si="0"/>
        <v>154.39019999999999</v>
      </c>
      <c r="H24" s="63">
        <f t="shared" si="1"/>
        <v>275.38979999999998</v>
      </c>
      <c r="I24" s="202">
        <v>244.45000000000002</v>
      </c>
      <c r="J24" s="202">
        <v>251.78350000000003</v>
      </c>
      <c r="K24" s="202">
        <v>5.5323051748823895</v>
      </c>
      <c r="L24" s="202">
        <v>8.7342769482511784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251.78350000000003</v>
      </c>
      <c r="S24" s="62">
        <f t="shared" si="2"/>
        <v>13.929431600000003</v>
      </c>
      <c r="T24" s="63">
        <f t="shared" si="3"/>
        <v>21.991468200000007</v>
      </c>
      <c r="U24" s="64" t="s">
        <v>186</v>
      </c>
      <c r="V24" s="65" t="s">
        <v>517</v>
      </c>
      <c r="W24" s="66" t="s">
        <v>149</v>
      </c>
      <c r="X24" s="67">
        <v>1350</v>
      </c>
      <c r="Y24" s="68">
        <v>4.25</v>
      </c>
      <c r="Z24" s="68">
        <v>8.1999999999999993</v>
      </c>
      <c r="AA24" s="62">
        <f t="shared" si="4"/>
        <v>57.375000000000007</v>
      </c>
      <c r="AB24" s="63">
        <f t="shared" si="5"/>
        <v>110.69999999999999</v>
      </c>
      <c r="AC24" s="69">
        <v>1350</v>
      </c>
      <c r="AD24" s="70">
        <v>4.25</v>
      </c>
      <c r="AE24" s="70">
        <v>8.1999999999999993</v>
      </c>
      <c r="AF24" s="62">
        <f t="shared" si="6"/>
        <v>57.375000000000007</v>
      </c>
      <c r="AG24" s="63">
        <f t="shared" si="7"/>
        <v>110.69999999999999</v>
      </c>
      <c r="AH24" s="96">
        <v>2008</v>
      </c>
      <c r="AI24" s="66">
        <v>4.7</v>
      </c>
      <c r="AJ24" s="66">
        <v>8.3000000000000007</v>
      </c>
      <c r="AK24" s="62">
        <f t="shared" si="8"/>
        <v>94.376000000000005</v>
      </c>
      <c r="AL24" s="72">
        <f t="shared" si="9"/>
        <v>166.66400000000002</v>
      </c>
      <c r="AM24" s="73">
        <f t="shared" si="15"/>
        <v>199.7835</v>
      </c>
      <c r="AN24" s="74">
        <f t="shared" si="18"/>
        <v>16.568631600000003</v>
      </c>
      <c r="AO24" s="74">
        <f t="shared" si="18"/>
        <v>20.017268199999961</v>
      </c>
      <c r="AP24" s="75">
        <f t="shared" si="16"/>
        <v>1.0185128992787635</v>
      </c>
      <c r="AQ24" s="76">
        <f t="shared" si="11"/>
        <v>13956.760355485218</v>
      </c>
      <c r="AR24" s="90">
        <f t="shared" si="12"/>
        <v>199.7835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>
        <v>2008</v>
      </c>
      <c r="E25" s="62">
        <v>4.7</v>
      </c>
      <c r="F25" s="62">
        <v>8.3000000000000007</v>
      </c>
      <c r="G25" s="62">
        <f t="shared" si="0"/>
        <v>94.376000000000005</v>
      </c>
      <c r="H25" s="63">
        <f t="shared" si="1"/>
        <v>166.66400000000002</v>
      </c>
      <c r="I25" s="202">
        <v>1077.47</v>
      </c>
      <c r="J25" s="202">
        <v>1109.7941000000001</v>
      </c>
      <c r="K25" s="202">
        <v>4.644416085830696</v>
      </c>
      <c r="L25" s="202">
        <v>8.4506854019137432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1109.7941000000001</v>
      </c>
      <c r="S25" s="62">
        <f t="shared" si="2"/>
        <v>51.543455700000003</v>
      </c>
      <c r="T25" s="63">
        <f t="shared" si="3"/>
        <v>93.785208000000011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6">
        <v>3117</v>
      </c>
      <c r="AI25" s="66">
        <v>4.66</v>
      </c>
      <c r="AJ25" s="66">
        <v>8.3699999999999992</v>
      </c>
      <c r="AK25" s="62">
        <f t="shared" si="8"/>
        <v>145.25220000000002</v>
      </c>
      <c r="AL25" s="72">
        <f t="shared" si="9"/>
        <v>260.8929</v>
      </c>
      <c r="AM25" s="73">
        <f t="shared" si="15"/>
        <v>0.7941000000000713</v>
      </c>
      <c r="AN25" s="74">
        <f t="shared" si="18"/>
        <v>0.66725569999999834</v>
      </c>
      <c r="AO25" s="74">
        <f t="shared" si="18"/>
        <v>-0.44369199999999864</v>
      </c>
      <c r="AP25" s="75">
        <f t="shared" si="16"/>
        <v>1.5383317668254295E-3</v>
      </c>
      <c r="AQ25" s="76">
        <f t="shared" si="11"/>
        <v>187.75627661095541</v>
      </c>
      <c r="AR25" s="90">
        <f t="shared" si="12"/>
        <v>0.7941000000000713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>
        <v>3117</v>
      </c>
      <c r="E26" s="62">
        <v>4.66</v>
      </c>
      <c r="F26" s="62">
        <v>8.3699999999999992</v>
      </c>
      <c r="G26" s="62">
        <f t="shared" si="0"/>
        <v>145.25220000000002</v>
      </c>
      <c r="H26" s="63">
        <f t="shared" si="1"/>
        <v>260.8929</v>
      </c>
      <c r="I26" s="202">
        <v>263.06000000000006</v>
      </c>
      <c r="J26" s="202">
        <v>270.95180000000005</v>
      </c>
      <c r="K26" s="202">
        <v>5.2337527560252433</v>
      </c>
      <c r="L26" s="202">
        <v>8.6763666083783182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270.95180000000005</v>
      </c>
      <c r="S26" s="62">
        <f t="shared" si="2"/>
        <v>14.180947300000007</v>
      </c>
      <c r="T26" s="63">
        <f t="shared" si="3"/>
        <v>23.508771500000009</v>
      </c>
      <c r="U26" s="64" t="s">
        <v>186</v>
      </c>
      <c r="V26" s="65" t="s">
        <v>518</v>
      </c>
      <c r="W26" s="66" t="s">
        <v>149</v>
      </c>
      <c r="X26" s="67">
        <v>1370</v>
      </c>
      <c r="Y26" s="68">
        <v>4.5</v>
      </c>
      <c r="Z26" s="68">
        <v>8.15</v>
      </c>
      <c r="AA26" s="62">
        <f t="shared" si="4"/>
        <v>61.65</v>
      </c>
      <c r="AB26" s="63">
        <f t="shared" si="5"/>
        <v>111.655</v>
      </c>
      <c r="AC26" s="69">
        <v>1370</v>
      </c>
      <c r="AD26" s="70">
        <v>4.4000000000000004</v>
      </c>
      <c r="AE26" s="70">
        <v>8.15</v>
      </c>
      <c r="AF26" s="62">
        <f t="shared" si="6"/>
        <v>60.280000000000008</v>
      </c>
      <c r="AG26" s="63">
        <f t="shared" si="7"/>
        <v>111.655</v>
      </c>
      <c r="AH26" s="96">
        <v>2018</v>
      </c>
      <c r="AI26" s="66">
        <v>4.7</v>
      </c>
      <c r="AJ26" s="66">
        <v>8.39</v>
      </c>
      <c r="AK26" s="62">
        <f t="shared" si="8"/>
        <v>94.846000000000004</v>
      </c>
      <c r="AL26" s="72">
        <f t="shared" si="9"/>
        <v>169.31020000000001</v>
      </c>
      <c r="AM26" s="73">
        <f t="shared" si="15"/>
        <v>-4.8200000000178989E-2</v>
      </c>
      <c r="AN26" s="74">
        <f t="shared" si="18"/>
        <v>4.3071473000000253</v>
      </c>
      <c r="AO26" s="74">
        <f t="shared" si="18"/>
        <v>3.4364715000000103</v>
      </c>
      <c r="AP26" s="75">
        <f t="shared" si="16"/>
        <v>0.20545705955227325</v>
      </c>
      <c r="AQ26" s="76">
        <f t="shared" si="11"/>
        <v>3098.9170809238831</v>
      </c>
      <c r="AR26" s="90">
        <f t="shared" si="12"/>
        <v>-4.8200000000178989E-2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>
        <v>2018</v>
      </c>
      <c r="E27" s="62">
        <v>4.7</v>
      </c>
      <c r="F27" s="62">
        <v>8.39</v>
      </c>
      <c r="G27" s="62">
        <f t="shared" si="0"/>
        <v>94.846000000000004</v>
      </c>
      <c r="H27" s="63">
        <f t="shared" si="1"/>
        <v>169.31020000000001</v>
      </c>
      <c r="I27" s="202">
        <v>1017.72</v>
      </c>
      <c r="J27" s="202">
        <v>1048.2516000000001</v>
      </c>
      <c r="K27" s="202">
        <v>4.5695387729434422</v>
      </c>
      <c r="L27" s="202">
        <v>8.4744330464174809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1048.2516000000001</v>
      </c>
      <c r="S27" s="62">
        <f t="shared" si="2"/>
        <v>47.900263299999999</v>
      </c>
      <c r="T27" s="63">
        <f t="shared" si="3"/>
        <v>88.833379999999977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6">
        <v>3066</v>
      </c>
      <c r="AI27" s="66">
        <v>4.5999999999999996</v>
      </c>
      <c r="AJ27" s="66">
        <v>8.42</v>
      </c>
      <c r="AK27" s="62">
        <f t="shared" si="8"/>
        <v>141.036</v>
      </c>
      <c r="AL27" s="72">
        <f t="shared" si="9"/>
        <v>258.15719999999999</v>
      </c>
      <c r="AM27" s="73">
        <f t="shared" si="15"/>
        <v>0.25160000000005311</v>
      </c>
      <c r="AN27" s="74">
        <f t="shared" si="18"/>
        <v>1.7102633000000083</v>
      </c>
      <c r="AO27" s="74">
        <f t="shared" si="18"/>
        <v>-1.3620000000003074E-2</v>
      </c>
      <c r="AP27" s="75">
        <f t="shared" si="16"/>
        <v>1.240838215857008E-2</v>
      </c>
      <c r="AQ27" s="76">
        <f t="shared" si="11"/>
        <v>817.7581098595308</v>
      </c>
      <c r="AR27" s="90">
        <f t="shared" si="12"/>
        <v>0.25160000000005311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>
        <v>3066</v>
      </c>
      <c r="E28" s="62">
        <v>4.5999999999999996</v>
      </c>
      <c r="F28" s="62">
        <v>8.42</v>
      </c>
      <c r="G28" s="62">
        <f t="shared" si="0"/>
        <v>141.036</v>
      </c>
      <c r="H28" s="63">
        <f t="shared" si="1"/>
        <v>258.15719999999999</v>
      </c>
      <c r="I28" s="202">
        <v>234.52</v>
      </c>
      <c r="J28" s="202">
        <v>241.55560000000003</v>
      </c>
      <c r="K28" s="202">
        <v>5.3492367388708866</v>
      </c>
      <c r="L28" s="202">
        <v>8.701466825857068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241.55560000000003</v>
      </c>
      <c r="S28" s="62">
        <f t="shared" si="2"/>
        <v>12.921380900000004</v>
      </c>
      <c r="T28" s="63">
        <f t="shared" si="3"/>
        <v>21.018880399999997</v>
      </c>
      <c r="U28" s="64" t="s">
        <v>186</v>
      </c>
      <c r="V28" s="65" t="s">
        <v>519</v>
      </c>
      <c r="W28" s="66" t="s">
        <v>149</v>
      </c>
      <c r="X28" s="67">
        <v>1260</v>
      </c>
      <c r="Y28" s="68">
        <v>4.3</v>
      </c>
      <c r="Z28" s="68">
        <v>8.11</v>
      </c>
      <c r="AA28" s="62">
        <f t="shared" si="4"/>
        <v>54.179999999999993</v>
      </c>
      <c r="AB28" s="63">
        <f t="shared" si="5"/>
        <v>102.18599999999999</v>
      </c>
      <c r="AC28" s="69">
        <v>1260</v>
      </c>
      <c r="AD28" s="70">
        <v>4.3</v>
      </c>
      <c r="AE28" s="70">
        <v>8.11</v>
      </c>
      <c r="AF28" s="62">
        <f t="shared" si="6"/>
        <v>54.179999999999993</v>
      </c>
      <c r="AG28" s="63">
        <f t="shared" si="7"/>
        <v>102.18599999999999</v>
      </c>
      <c r="AH28" s="96">
        <v>1950</v>
      </c>
      <c r="AI28" s="66">
        <v>4.6500000000000004</v>
      </c>
      <c r="AJ28" s="66">
        <v>8.44</v>
      </c>
      <c r="AK28" s="62">
        <f t="shared" si="8"/>
        <v>90.675000000000011</v>
      </c>
      <c r="AL28" s="72">
        <f t="shared" si="9"/>
        <v>164.57999999999998</v>
      </c>
      <c r="AM28" s="73">
        <f t="shared" si="15"/>
        <v>97.55560000000014</v>
      </c>
      <c r="AN28" s="74">
        <f t="shared" si="18"/>
        <v>9.1023809</v>
      </c>
      <c r="AO28" s="74">
        <f t="shared" si="18"/>
        <v>12.410080400000027</v>
      </c>
      <c r="AP28" s="75">
        <f t="shared" si="16"/>
        <v>0.63383310781994551</v>
      </c>
      <c r="AQ28" s="76">
        <f t="shared" si="11"/>
        <v>8090.6988713353694</v>
      </c>
      <c r="AR28" s="90">
        <f t="shared" si="12"/>
        <v>97.55560000000014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>
        <v>1950</v>
      </c>
      <c r="E29" s="62">
        <v>4.6500000000000004</v>
      </c>
      <c r="F29" s="62">
        <v>8.44</v>
      </c>
      <c r="G29" s="62">
        <f t="shared" si="0"/>
        <v>90.675000000000011</v>
      </c>
      <c r="H29" s="63">
        <f t="shared" si="1"/>
        <v>164.57999999999998</v>
      </c>
      <c r="I29" s="202">
        <v>967.70999999999992</v>
      </c>
      <c r="J29" s="202">
        <v>996.74129999999991</v>
      </c>
      <c r="K29" s="202">
        <v>4.8429477839435364</v>
      </c>
      <c r="L29" s="202">
        <v>8.2098417914457844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996.74129999999991</v>
      </c>
      <c r="S29" s="62">
        <f t="shared" si="2"/>
        <v>48.271660699999991</v>
      </c>
      <c r="T29" s="63">
        <f t="shared" si="3"/>
        <v>81.830883799999995</v>
      </c>
      <c r="U29" s="64" t="s">
        <v>180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6">
        <v>2946</v>
      </c>
      <c r="AI29" s="66">
        <v>4.7</v>
      </c>
      <c r="AJ29" s="66">
        <v>8.36</v>
      </c>
      <c r="AK29" s="62">
        <f t="shared" si="8"/>
        <v>138.46199999999999</v>
      </c>
      <c r="AL29" s="72">
        <f t="shared" si="9"/>
        <v>246.28559999999999</v>
      </c>
      <c r="AM29" s="73">
        <f t="shared" si="15"/>
        <v>0.74129999999968277</v>
      </c>
      <c r="AN29" s="74">
        <f t="shared" si="18"/>
        <v>0.48466070000000627</v>
      </c>
      <c r="AO29" s="74">
        <f t="shared" si="18"/>
        <v>0.12528379999997696</v>
      </c>
      <c r="AP29" s="75">
        <f t="shared" si="16"/>
        <v>4.6881827126754099E-3</v>
      </c>
      <c r="AQ29" s="76">
        <f t="shared" si="11"/>
        <v>270.41662308301898</v>
      </c>
      <c r="AR29" s="90">
        <f t="shared" si="12"/>
        <v>0.74129999999968277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>
        <v>2946</v>
      </c>
      <c r="E30" s="62">
        <v>4.7</v>
      </c>
      <c r="F30" s="62">
        <v>8.36</v>
      </c>
      <c r="G30" s="62">
        <f t="shared" si="0"/>
        <v>138.46199999999999</v>
      </c>
      <c r="H30" s="63">
        <f t="shared" si="1"/>
        <v>246.28559999999999</v>
      </c>
      <c r="I30" s="202">
        <v>255.17000000000002</v>
      </c>
      <c r="J30" s="202">
        <v>262.82510000000002</v>
      </c>
      <c r="K30" s="202">
        <v>5.4608535486146499</v>
      </c>
      <c r="L30" s="202">
        <v>8.6009562252615908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262.82510000000002</v>
      </c>
      <c r="S30" s="62">
        <f t="shared" si="2"/>
        <v>14.352493800000003</v>
      </c>
      <c r="T30" s="63">
        <f t="shared" si="3"/>
        <v>22.605471800000004</v>
      </c>
      <c r="U30" s="64" t="s">
        <v>186</v>
      </c>
      <c r="V30" s="65" t="s">
        <v>521</v>
      </c>
      <c r="W30" s="66" t="s">
        <v>149</v>
      </c>
      <c r="X30" s="67">
        <v>1270</v>
      </c>
      <c r="Y30" s="68">
        <v>4.3</v>
      </c>
      <c r="Z30" s="68">
        <v>8.0500000000000007</v>
      </c>
      <c r="AA30" s="62">
        <f t="shared" si="4"/>
        <v>54.609999999999992</v>
      </c>
      <c r="AB30" s="63">
        <f t="shared" si="5"/>
        <v>102.235</v>
      </c>
      <c r="AC30" s="69">
        <v>1270</v>
      </c>
      <c r="AD30" s="70">
        <v>4.3</v>
      </c>
      <c r="AE30" s="70">
        <v>8.0500000000000007</v>
      </c>
      <c r="AF30" s="62">
        <f t="shared" si="6"/>
        <v>54.609999999999992</v>
      </c>
      <c r="AG30" s="63">
        <f t="shared" si="7"/>
        <v>102.235</v>
      </c>
      <c r="AH30" s="96">
        <v>1935</v>
      </c>
      <c r="AI30" s="66">
        <v>4.76</v>
      </c>
      <c r="AJ30" s="66">
        <v>8.3800000000000008</v>
      </c>
      <c r="AK30" s="62">
        <f t="shared" si="8"/>
        <v>92.105999999999995</v>
      </c>
      <c r="AL30" s="72">
        <f t="shared" si="9"/>
        <v>162.15300000000002</v>
      </c>
      <c r="AM30" s="73">
        <f t="shared" si="15"/>
        <v>3.8251000000000204</v>
      </c>
      <c r="AN30" s="74">
        <f t="shared" si="18"/>
        <v>6.0984938</v>
      </c>
      <c r="AO30" s="74">
        <f t="shared" si="18"/>
        <v>4.5030717999999297</v>
      </c>
      <c r="AP30" s="75">
        <f t="shared" si="16"/>
        <v>0.28685468552955001</v>
      </c>
      <c r="AQ30" s="76">
        <f t="shared" si="11"/>
        <v>4279.1546705285655</v>
      </c>
      <c r="AR30" s="90">
        <f t="shared" si="12"/>
        <v>3.8251000000000204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>
        <v>1935</v>
      </c>
      <c r="E31" s="62">
        <v>4.76</v>
      </c>
      <c r="F31" s="62">
        <v>8.3800000000000008</v>
      </c>
      <c r="G31" s="62">
        <f t="shared" si="0"/>
        <v>92.105999999999995</v>
      </c>
      <c r="H31" s="63">
        <f t="shared" si="1"/>
        <v>162.15300000000002</v>
      </c>
      <c r="I31" s="202">
        <v>1322.2</v>
      </c>
      <c r="J31" s="202">
        <v>1361.866</v>
      </c>
      <c r="K31" s="202">
        <v>4.5384351837846015</v>
      </c>
      <c r="L31" s="202">
        <v>8.3343752836182148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1361.866</v>
      </c>
      <c r="S31" s="62">
        <f t="shared" si="2"/>
        <v>61.807405700000004</v>
      </c>
      <c r="T31" s="63">
        <f t="shared" si="3"/>
        <v>113.50302330000004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6">
        <v>3297</v>
      </c>
      <c r="AI31" s="66">
        <v>4.6500000000000004</v>
      </c>
      <c r="AJ31" s="66">
        <v>8.34</v>
      </c>
      <c r="AK31" s="62">
        <f t="shared" si="8"/>
        <v>153.31050000000002</v>
      </c>
      <c r="AL31" s="72">
        <f t="shared" si="9"/>
        <v>274.96980000000002</v>
      </c>
      <c r="AM31" s="73">
        <f t="shared" si="15"/>
        <v>-0.13400000000001455</v>
      </c>
      <c r="AN31" s="74">
        <f t="shared" si="18"/>
        <v>0.60290569999997956</v>
      </c>
      <c r="AO31" s="74">
        <f t="shared" si="18"/>
        <v>0.68622330000005149</v>
      </c>
      <c r="AP31" s="75">
        <f t="shared" si="16"/>
        <v>7.3534073663126488E-3</v>
      </c>
      <c r="AQ31" s="76">
        <f t="shared" si="11"/>
        <v>495.23358051503612</v>
      </c>
      <c r="AR31" s="90">
        <f t="shared" si="12"/>
        <v>-0.13400000000001455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>
        <v>3297</v>
      </c>
      <c r="E32" s="62">
        <v>4.6500000000000004</v>
      </c>
      <c r="F32" s="62">
        <v>8.34</v>
      </c>
      <c r="G32" s="62">
        <f t="shared" si="0"/>
        <v>153.31050000000002</v>
      </c>
      <c r="H32" s="63">
        <f t="shared" si="1"/>
        <v>274.96980000000002</v>
      </c>
      <c r="I32" s="202">
        <v>731.08999999999992</v>
      </c>
      <c r="J32" s="202">
        <v>753.02269999999999</v>
      </c>
      <c r="K32" s="202">
        <v>5.1904868073698189</v>
      </c>
      <c r="L32" s="202">
        <v>8.2448932415981613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753.02269999999999</v>
      </c>
      <c r="S32" s="62">
        <f t="shared" si="2"/>
        <v>39.085543900000005</v>
      </c>
      <c r="T32" s="63">
        <f t="shared" si="3"/>
        <v>62.085917699999996</v>
      </c>
      <c r="U32" s="64" t="s">
        <v>186</v>
      </c>
      <c r="V32" s="85" t="s">
        <v>522</v>
      </c>
      <c r="W32" s="66" t="s">
        <v>149</v>
      </c>
      <c r="X32" s="67">
        <v>1660</v>
      </c>
      <c r="Y32" s="68">
        <v>4.3</v>
      </c>
      <c r="Z32" s="68">
        <v>8.1</v>
      </c>
      <c r="AA32" s="62">
        <f t="shared" si="4"/>
        <v>71.38</v>
      </c>
      <c r="AB32" s="63">
        <f t="shared" si="5"/>
        <v>134.46</v>
      </c>
      <c r="AC32" s="69">
        <v>1660</v>
      </c>
      <c r="AD32" s="70">
        <v>4.3</v>
      </c>
      <c r="AE32" s="70">
        <v>8.1</v>
      </c>
      <c r="AF32" s="62">
        <f t="shared" si="6"/>
        <v>71.38</v>
      </c>
      <c r="AG32" s="63">
        <f t="shared" si="7"/>
        <v>134.46</v>
      </c>
      <c r="AH32" s="96">
        <v>2390</v>
      </c>
      <c r="AI32" s="66">
        <v>4.7</v>
      </c>
      <c r="AJ32" s="66">
        <v>8.3000000000000007</v>
      </c>
      <c r="AK32" s="62">
        <f t="shared" si="8"/>
        <v>112.33</v>
      </c>
      <c r="AL32" s="72">
        <f t="shared" si="9"/>
        <v>198.37</v>
      </c>
      <c r="AM32" s="73">
        <f t="shared" si="15"/>
        <v>2.2699999999986176E-2</v>
      </c>
      <c r="AN32" s="74">
        <f t="shared" si="18"/>
        <v>8.6860439000000298</v>
      </c>
      <c r="AO32" s="74">
        <f t="shared" si="18"/>
        <v>4.2257176999999899</v>
      </c>
      <c r="AP32" s="75">
        <f t="shared" si="16"/>
        <v>0.12762256663889118</v>
      </c>
      <c r="AQ32" s="76">
        <f t="shared" si="11"/>
        <v>5439.4916252834691</v>
      </c>
      <c r="AR32" s="90">
        <f t="shared" si="12"/>
        <v>2.2699999999986176E-2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>
        <v>2390</v>
      </c>
      <c r="E33" s="62">
        <v>4.7</v>
      </c>
      <c r="F33" s="62">
        <v>8.3000000000000007</v>
      </c>
      <c r="G33" s="62">
        <f t="shared" si="0"/>
        <v>112.33</v>
      </c>
      <c r="H33" s="63">
        <f t="shared" si="1"/>
        <v>198.37</v>
      </c>
      <c r="I33" s="202">
        <v>907.41999999999985</v>
      </c>
      <c r="J33" s="202">
        <v>934.6425999999999</v>
      </c>
      <c r="K33" s="202">
        <v>4.6702728615194724</v>
      </c>
      <c r="L33" s="202">
        <v>8.4285589914262413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934.6425999999999</v>
      </c>
      <c r="S33" s="62">
        <f t="shared" si="2"/>
        <v>43.650359699999996</v>
      </c>
      <c r="T33" s="63">
        <f t="shared" si="3"/>
        <v>78.776902899999982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6">
        <v>3324.6</v>
      </c>
      <c r="AI33" s="66">
        <v>4.7</v>
      </c>
      <c r="AJ33" s="66">
        <v>8.33</v>
      </c>
      <c r="AK33" s="62">
        <f t="shared" si="8"/>
        <v>156.25620000000001</v>
      </c>
      <c r="AL33" s="72">
        <f t="shared" si="9"/>
        <v>276.93917999999996</v>
      </c>
      <c r="AM33" s="73">
        <f t="shared" si="15"/>
        <v>4.2600000000220462E-2</v>
      </c>
      <c r="AN33" s="74">
        <f t="shared" si="18"/>
        <v>-0.27584029999999871</v>
      </c>
      <c r="AO33" s="74">
        <f t="shared" si="18"/>
        <v>0.20772290000002158</v>
      </c>
      <c r="AP33" s="75">
        <f t="shared" si="16"/>
        <v>-5.5639077892751269E-4</v>
      </c>
      <c r="AQ33" s="76">
        <f t="shared" si="11"/>
        <v>-70.339082471217807</v>
      </c>
      <c r="AR33" s="90">
        <f t="shared" si="12"/>
        <v>4.2600000000220462E-2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>
        <v>3324.6</v>
      </c>
      <c r="E34" s="62">
        <v>4.7</v>
      </c>
      <c r="F34" s="62">
        <v>8.33</v>
      </c>
      <c r="G34" s="62">
        <f t="shared" si="0"/>
        <v>156.25620000000001</v>
      </c>
      <c r="H34" s="63">
        <f t="shared" si="1"/>
        <v>276.93917999999996</v>
      </c>
      <c r="I34" s="202">
        <v>257.23999999999995</v>
      </c>
      <c r="J34" s="202">
        <v>264.95719999999994</v>
      </c>
      <c r="K34" s="202">
        <v>5.3709687451407255</v>
      </c>
      <c r="L34" s="202">
        <v>8.4721349712330909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264.95719999999994</v>
      </c>
      <c r="S34" s="62">
        <f t="shared" si="2"/>
        <v>14.230768400000001</v>
      </c>
      <c r="T34" s="63">
        <f t="shared" si="3"/>
        <v>22.447531599999998</v>
      </c>
      <c r="U34" s="64" t="s">
        <v>186</v>
      </c>
      <c r="V34" s="65" t="s">
        <v>568</v>
      </c>
      <c r="W34" s="66" t="s">
        <v>149</v>
      </c>
      <c r="X34" s="67">
        <v>1620</v>
      </c>
      <c r="Y34" s="68">
        <v>4.4000000000000004</v>
      </c>
      <c r="Z34" s="68">
        <v>7.9</v>
      </c>
      <c r="AA34" s="62">
        <f t="shared" si="4"/>
        <v>71.28</v>
      </c>
      <c r="AB34" s="63">
        <f t="shared" si="5"/>
        <v>127.98</v>
      </c>
      <c r="AC34" s="69">
        <v>1620</v>
      </c>
      <c r="AD34" s="70">
        <v>4.4000000000000004</v>
      </c>
      <c r="AE34" s="70">
        <v>7.9</v>
      </c>
      <c r="AF34" s="62">
        <f t="shared" si="6"/>
        <v>71.28</v>
      </c>
      <c r="AG34" s="63">
        <f t="shared" si="7"/>
        <v>127.98</v>
      </c>
      <c r="AH34" s="96">
        <v>1968</v>
      </c>
      <c r="AI34" s="66">
        <v>4.8099999999999996</v>
      </c>
      <c r="AJ34" s="66">
        <v>8.35</v>
      </c>
      <c r="AK34" s="62">
        <f t="shared" si="8"/>
        <v>94.660799999999995</v>
      </c>
      <c r="AL34" s="72">
        <f t="shared" si="9"/>
        <v>164.32799999999997</v>
      </c>
      <c r="AM34" s="73">
        <f t="shared" si="15"/>
        <v>1.5571999999997388</v>
      </c>
      <c r="AN34" s="74">
        <f t="shared" si="18"/>
        <v>4.5461683999999991</v>
      </c>
      <c r="AO34" s="74">
        <f t="shared" si="18"/>
        <v>7.0787115999999628</v>
      </c>
      <c r="AP34" s="75">
        <f t="shared" si="16"/>
        <v>0.31694162488446742</v>
      </c>
      <c r="AQ34" s="76">
        <f t="shared" si="11"/>
        <v>4304.5929836236064</v>
      </c>
      <c r="AR34" s="77">
        <f>(D34+J34+O34)-(X34+AH34)</f>
        <v>1.5571999999997388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>
        <v>1968</v>
      </c>
      <c r="E35" s="62">
        <v>4.8099999999999996</v>
      </c>
      <c r="F35" s="62">
        <v>8.35</v>
      </c>
      <c r="G35" s="62">
        <f t="shared" si="0"/>
        <v>94.660799999999995</v>
      </c>
      <c r="H35" s="63">
        <f t="shared" si="1"/>
        <v>164.32799999999997</v>
      </c>
      <c r="I35" s="202">
        <v>1304.02</v>
      </c>
      <c r="J35" s="202">
        <v>1343.1405999999999</v>
      </c>
      <c r="K35" s="202">
        <v>4.6192704099630371</v>
      </c>
      <c r="L35" s="202">
        <v>8.3422301805187047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1343.1405999999999</v>
      </c>
      <c r="S35" s="62">
        <f t="shared" si="2"/>
        <v>62.043296299999987</v>
      </c>
      <c r="T35" s="63">
        <f t="shared" si="3"/>
        <v>112.04788050000001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6">
        <v>3311</v>
      </c>
      <c r="AI35" s="66">
        <v>4.72</v>
      </c>
      <c r="AJ35" s="66">
        <v>8.33</v>
      </c>
      <c r="AK35" s="62">
        <f t="shared" si="8"/>
        <v>156.2792</v>
      </c>
      <c r="AL35" s="72">
        <f t="shared" si="9"/>
        <v>275.80630000000002</v>
      </c>
      <c r="AM35" s="73">
        <f t="shared" si="15"/>
        <v>0.14059999999972206</v>
      </c>
      <c r="AN35" s="74">
        <f t="shared" si="18"/>
        <v>0.42489629999997192</v>
      </c>
      <c r="AO35" s="74">
        <f t="shared" si="18"/>
        <v>0.56958049999997229</v>
      </c>
      <c r="AP35" s="75">
        <f t="shared" si="16"/>
        <v>5.7123905891130963E-3</v>
      </c>
      <c r="AQ35" s="76">
        <f t="shared" si="11"/>
        <v>374.76079005912243</v>
      </c>
      <c r="AR35" s="77">
        <f t="shared" si="12"/>
        <v>0.14059999999972206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>
        <v>3311</v>
      </c>
      <c r="E36" s="62">
        <v>4.72</v>
      </c>
      <c r="F36" s="62">
        <v>8.33</v>
      </c>
      <c r="G36" s="62">
        <f t="shared" si="0"/>
        <v>156.2792</v>
      </c>
      <c r="H36" s="63">
        <f t="shared" si="1"/>
        <v>275.80630000000002</v>
      </c>
      <c r="I36" s="202">
        <v>293.19000000000005</v>
      </c>
      <c r="J36" s="202">
        <v>301.98570000000007</v>
      </c>
      <c r="K36" s="202">
        <v>5.2396295917323252</v>
      </c>
      <c r="L36" s="202">
        <v>8.5065895835465071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301.98570000000007</v>
      </c>
      <c r="S36" s="62">
        <f t="shared" si="2"/>
        <v>15.822932100000008</v>
      </c>
      <c r="T36" s="63">
        <f t="shared" si="3"/>
        <v>25.68868410000001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6">
        <v>3612</v>
      </c>
      <c r="AI36" s="66">
        <v>4.76</v>
      </c>
      <c r="AJ36" s="66">
        <v>8.35</v>
      </c>
      <c r="AK36" s="62">
        <f t="shared" si="8"/>
        <v>171.93119999999999</v>
      </c>
      <c r="AL36" s="72">
        <f t="shared" si="9"/>
        <v>301.60199999999998</v>
      </c>
      <c r="AM36" s="73">
        <f t="shared" si="15"/>
        <v>0.98570000000017899</v>
      </c>
      <c r="AN36" s="74">
        <f t="shared" si="18"/>
        <v>0.17093210000001591</v>
      </c>
      <c r="AO36" s="74">
        <f t="shared" si="18"/>
        <v>-0.10701589999996486</v>
      </c>
      <c r="AP36" s="75">
        <f t="shared" si="16"/>
        <v>1.5397184174209776E-3</v>
      </c>
      <c r="AQ36" s="76">
        <f t="shared" si="11"/>
        <v>50.088127939132661</v>
      </c>
      <c r="AR36" s="90">
        <f t="shared" si="12"/>
        <v>0.98570000000017899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>
        <v>3612</v>
      </c>
      <c r="E37" s="62">
        <v>4.76</v>
      </c>
      <c r="F37" s="62">
        <v>8.35</v>
      </c>
      <c r="G37" s="62">
        <f t="shared" si="0"/>
        <v>171.93119999999999</v>
      </c>
      <c r="H37" s="63">
        <f t="shared" si="1"/>
        <v>301.60199999999998</v>
      </c>
      <c r="I37" s="202">
        <v>969.1</v>
      </c>
      <c r="J37" s="202">
        <v>998.173</v>
      </c>
      <c r="K37" s="202">
        <v>4.804276132494067</v>
      </c>
      <c r="L37" s="202">
        <v>8.4733959343720979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998.173</v>
      </c>
      <c r="S37" s="62">
        <f t="shared" si="2"/>
        <v>47.954987199999998</v>
      </c>
      <c r="T37" s="63">
        <f t="shared" si="3"/>
        <v>84.579150400000003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6">
        <v>4610</v>
      </c>
      <c r="AI37" s="66">
        <v>4.7</v>
      </c>
      <c r="AJ37" s="66">
        <v>8.3800000000000008</v>
      </c>
      <c r="AK37" s="62">
        <f t="shared" si="8"/>
        <v>216.67</v>
      </c>
      <c r="AL37" s="72">
        <f t="shared" si="9"/>
        <v>386.31800000000004</v>
      </c>
      <c r="AM37" s="73">
        <f t="shared" si="15"/>
        <v>0.17299999999977445</v>
      </c>
      <c r="AN37" s="74">
        <f t="shared" si="18"/>
        <v>3.2161872000000074</v>
      </c>
      <c r="AO37" s="74">
        <f t="shared" si="18"/>
        <v>-0.13684960000006186</v>
      </c>
      <c r="AP37" s="75">
        <f t="shared" si="16"/>
        <v>2.3234297636535457E-2</v>
      </c>
      <c r="AQ37" s="76">
        <f t="shared" si="11"/>
        <v>1504.4973881026262</v>
      </c>
      <c r="AR37" s="90">
        <f t="shared" si="12"/>
        <v>0.17299999999977445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>
        <v>4610</v>
      </c>
      <c r="E38" s="62">
        <v>4.7</v>
      </c>
      <c r="F38" s="62">
        <v>8.3800000000000008</v>
      </c>
      <c r="G38" s="62">
        <f t="shared" si="0"/>
        <v>216.67</v>
      </c>
      <c r="H38" s="63">
        <f t="shared" si="1"/>
        <v>386.31800000000004</v>
      </c>
      <c r="I38" s="202">
        <v>260.26</v>
      </c>
      <c r="J38" s="202">
        <v>268.06779999999998</v>
      </c>
      <c r="K38" s="202">
        <v>5.4442365326980715</v>
      </c>
      <c r="L38" s="202">
        <v>8.5956082379159309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268.06779999999998</v>
      </c>
      <c r="S38" s="62">
        <f t="shared" si="2"/>
        <v>14.594245099999998</v>
      </c>
      <c r="T38" s="63">
        <f t="shared" si="3"/>
        <v>23.0420579</v>
      </c>
      <c r="U38" s="64" t="s">
        <v>186</v>
      </c>
      <c r="V38" s="65" t="s">
        <v>689</v>
      </c>
      <c r="W38" s="66" t="s">
        <v>149</v>
      </c>
      <c r="X38" s="67">
        <v>1620</v>
      </c>
      <c r="Y38" s="68">
        <v>4.2</v>
      </c>
      <c r="Z38" s="68">
        <v>8</v>
      </c>
      <c r="AA38" s="62">
        <f t="shared" si="4"/>
        <v>68.040000000000006</v>
      </c>
      <c r="AB38" s="63">
        <f t="shared" si="5"/>
        <v>129.6</v>
      </c>
      <c r="AC38" s="69">
        <v>1620</v>
      </c>
      <c r="AD38" s="70">
        <v>4.2</v>
      </c>
      <c r="AE38" s="70">
        <v>8</v>
      </c>
      <c r="AF38" s="62">
        <f t="shared" si="6"/>
        <v>68.040000000000006</v>
      </c>
      <c r="AG38" s="63">
        <f t="shared" si="7"/>
        <v>129.6</v>
      </c>
      <c r="AH38" s="96">
        <v>3258</v>
      </c>
      <c r="AI38" s="66">
        <v>4.8</v>
      </c>
      <c r="AJ38" s="66">
        <v>8.4499999999999993</v>
      </c>
      <c r="AK38" s="62">
        <f t="shared" si="8"/>
        <v>156.38400000000001</v>
      </c>
      <c r="AL38" s="72">
        <f t="shared" si="9"/>
        <v>275.30099999999999</v>
      </c>
      <c r="AM38" s="73">
        <f t="shared" si="15"/>
        <v>6.779999999980646E-2</v>
      </c>
      <c r="AN38" s="74">
        <f t="shared" si="18"/>
        <v>6.8402450999999473</v>
      </c>
      <c r="AO38" s="74">
        <f t="shared" si="18"/>
        <v>4.4590579000000048</v>
      </c>
      <c r="AP38" s="75">
        <f t="shared" si="16"/>
        <v>0.30022351026348026</v>
      </c>
      <c r="AQ38" s="76">
        <f t="shared" si="11"/>
        <v>4622.4085403163263</v>
      </c>
      <c r="AR38" s="90">
        <f t="shared" si="12"/>
        <v>6.779999999980646E-2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>
        <v>3258</v>
      </c>
      <c r="E39" s="62">
        <v>4.8</v>
      </c>
      <c r="F39" s="62">
        <v>8.4499999999999993</v>
      </c>
      <c r="G39" s="62">
        <f t="shared" si="0"/>
        <v>156.38400000000001</v>
      </c>
      <c r="H39" s="63">
        <f t="shared" si="1"/>
        <v>275.30099999999999</v>
      </c>
      <c r="I39" s="202">
        <v>1540.48</v>
      </c>
      <c r="J39" s="202">
        <v>1586.6944000000001</v>
      </c>
      <c r="K39" s="202">
        <v>4.793509815122559</v>
      </c>
      <c r="L39" s="202">
        <v>8.4379888086830075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1586.6944000000001</v>
      </c>
      <c r="S39" s="62">
        <f t="shared" si="2"/>
        <v>76.058351799999997</v>
      </c>
      <c r="T39" s="63">
        <f t="shared" si="3"/>
        <v>133.88509589999998</v>
      </c>
      <c r="U39" s="64" t="s">
        <v>186</v>
      </c>
      <c r="V39" s="65" t="s">
        <v>683</v>
      </c>
      <c r="W39" s="66" t="s">
        <v>149</v>
      </c>
      <c r="X39" s="67">
        <v>3200</v>
      </c>
      <c r="Y39" s="68">
        <v>4.5</v>
      </c>
      <c r="Z39" s="68">
        <v>8.15</v>
      </c>
      <c r="AA39" s="62">
        <f t="shared" si="4"/>
        <v>144</v>
      </c>
      <c r="AB39" s="63">
        <f t="shared" si="5"/>
        <v>260.8</v>
      </c>
      <c r="AC39" s="69">
        <v>3200</v>
      </c>
      <c r="AD39" s="70">
        <v>4.5</v>
      </c>
      <c r="AE39" s="70">
        <v>8.15</v>
      </c>
      <c r="AF39" s="62">
        <f t="shared" si="6"/>
        <v>144</v>
      </c>
      <c r="AG39" s="63">
        <f t="shared" si="7"/>
        <v>260.8</v>
      </c>
      <c r="AH39" s="96">
        <v>1600</v>
      </c>
      <c r="AI39" s="66">
        <v>4.8</v>
      </c>
      <c r="AJ39" s="66">
        <v>8.4</v>
      </c>
      <c r="AK39" s="62">
        <f t="shared" si="8"/>
        <v>76.8</v>
      </c>
      <c r="AL39" s="72">
        <f t="shared" si="9"/>
        <v>134.4</v>
      </c>
      <c r="AM39" s="73">
        <f t="shared" si="15"/>
        <v>44.694400000000314</v>
      </c>
      <c r="AN39" s="74">
        <f t="shared" si="18"/>
        <v>11.642351800000014</v>
      </c>
      <c r="AO39" s="74">
        <f t="shared" si="18"/>
        <v>13.986095899999924</v>
      </c>
      <c r="AP39" s="75">
        <f t="shared" si="16"/>
        <v>0.12207310102205177</v>
      </c>
      <c r="AQ39" s="76">
        <f t="shared" si="11"/>
        <v>9783.2401675139918</v>
      </c>
      <c r="AR39" s="90">
        <f t="shared" si="12"/>
        <v>44.694400000000314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>
        <v>1600</v>
      </c>
      <c r="E40" s="62">
        <v>4.8</v>
      </c>
      <c r="F40" s="62">
        <v>8.4</v>
      </c>
      <c r="G40" s="62">
        <f t="shared" si="0"/>
        <v>76.8</v>
      </c>
      <c r="H40" s="63">
        <f t="shared" si="1"/>
        <v>134.4</v>
      </c>
      <c r="I40" s="202">
        <v>889.41000000000008</v>
      </c>
      <c r="J40" s="202">
        <v>916.09230000000014</v>
      </c>
      <c r="K40" s="202">
        <v>5.4683430588817306</v>
      </c>
      <c r="L40" s="202">
        <v>8.5263837825075051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916.09230000000014</v>
      </c>
      <c r="S40" s="62">
        <f t="shared" si="2"/>
        <v>50.09506970000001</v>
      </c>
      <c r="T40" s="63">
        <f t="shared" si="3"/>
        <v>78.109545300000008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6">
        <v>2516</v>
      </c>
      <c r="AI40" s="66">
        <v>5</v>
      </c>
      <c r="AJ40" s="66">
        <v>8.43</v>
      </c>
      <c r="AK40" s="62">
        <f t="shared" si="8"/>
        <v>125.80000000000001</v>
      </c>
      <c r="AL40" s="72">
        <f t="shared" si="9"/>
        <v>212.09880000000001</v>
      </c>
      <c r="AM40" s="73">
        <f t="shared" si="15"/>
        <v>9.2300000000250293E-2</v>
      </c>
      <c r="AN40" s="74">
        <f t="shared" si="18"/>
        <v>1.0950696999999963</v>
      </c>
      <c r="AO40" s="74">
        <f t="shared" si="18"/>
        <v>0.41074530000000209</v>
      </c>
      <c r="AP40" s="75">
        <f t="shared" si="16"/>
        <v>1.1745404016852265E-2</v>
      </c>
      <c r="AQ40" s="76">
        <f t="shared" si="11"/>
        <v>649.23119213999757</v>
      </c>
      <c r="AR40" s="90">
        <f t="shared" si="12"/>
        <v>9.2300000000250293E-2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>
        <v>2516</v>
      </c>
      <c r="E41" s="62">
        <v>5</v>
      </c>
      <c r="F41" s="62">
        <v>8.43</v>
      </c>
      <c r="G41" s="62">
        <f t="shared" si="0"/>
        <v>125.80000000000001</v>
      </c>
      <c r="H41" s="63">
        <f t="shared" si="1"/>
        <v>212.09880000000001</v>
      </c>
      <c r="I41" s="202">
        <v>1106.9000000000001</v>
      </c>
      <c r="J41" s="202">
        <v>1140.1070000000002</v>
      </c>
      <c r="K41" s="202">
        <v>4.6228114554160271</v>
      </c>
      <c r="L41" s="202">
        <v>8.2862498870720032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1140.1070000000002</v>
      </c>
      <c r="S41" s="62">
        <f t="shared" si="2"/>
        <v>52.70499700000002</v>
      </c>
      <c r="T41" s="63">
        <f t="shared" si="3"/>
        <v>94.472115000000016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6">
        <v>3656</v>
      </c>
      <c r="AI41" s="66">
        <v>4.87</v>
      </c>
      <c r="AJ41" s="66">
        <v>8.32</v>
      </c>
      <c r="AK41" s="62">
        <f t="shared" si="8"/>
        <v>178.0472</v>
      </c>
      <c r="AL41" s="72">
        <f t="shared" si="9"/>
        <v>304.17919999999998</v>
      </c>
      <c r="AM41" s="73">
        <f t="shared" si="15"/>
        <v>0.1069999999999709</v>
      </c>
      <c r="AN41" s="74">
        <f t="shared" si="18"/>
        <v>0.45779700000002777</v>
      </c>
      <c r="AO41" s="74">
        <f t="shared" si="18"/>
        <v>2.3917150000000333</v>
      </c>
      <c r="AP41" s="75">
        <f t="shared" si="16"/>
        <v>1.9361108267976209E-2</v>
      </c>
      <c r="AQ41" s="76">
        <f t="shared" si="11"/>
        <v>936.28370838684714</v>
      </c>
      <c r="AR41" s="90">
        <f t="shared" si="12"/>
        <v>0.1069999999999709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>
        <v>3656</v>
      </c>
      <c r="E42" s="62">
        <v>4.87</v>
      </c>
      <c r="F42" s="62">
        <v>8.32</v>
      </c>
      <c r="G42" s="62">
        <f t="shared" si="0"/>
        <v>178.0472</v>
      </c>
      <c r="H42" s="63">
        <f t="shared" si="1"/>
        <v>304.17919999999998</v>
      </c>
      <c r="I42" s="202">
        <v>661.59999999999991</v>
      </c>
      <c r="J42" s="202">
        <v>681.44799999999998</v>
      </c>
      <c r="K42" s="202">
        <v>5.4532496977025389</v>
      </c>
      <c r="L42" s="202">
        <v>8.7289298669891178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681.44799999999998</v>
      </c>
      <c r="S42" s="62">
        <f t="shared" si="2"/>
        <v>37.161060999999997</v>
      </c>
      <c r="T42" s="63">
        <f t="shared" si="3"/>
        <v>59.483117999999997</v>
      </c>
      <c r="U42" s="64" t="s">
        <v>186</v>
      </c>
      <c r="V42" s="65" t="s">
        <v>690</v>
      </c>
      <c r="W42" s="66" t="s">
        <v>149</v>
      </c>
      <c r="X42" s="67">
        <v>1880</v>
      </c>
      <c r="Y42" s="68">
        <v>4.4000000000000004</v>
      </c>
      <c r="Z42" s="68">
        <v>8.1</v>
      </c>
      <c r="AA42" s="62">
        <f t="shared" si="4"/>
        <v>82.720000000000013</v>
      </c>
      <c r="AB42" s="63">
        <f t="shared" si="5"/>
        <v>152.28</v>
      </c>
      <c r="AC42" s="69">
        <v>1880</v>
      </c>
      <c r="AD42" s="70">
        <v>4.4000000000000004</v>
      </c>
      <c r="AE42" s="70">
        <v>8.1</v>
      </c>
      <c r="AF42" s="62">
        <f t="shared" si="6"/>
        <v>82.720000000000013</v>
      </c>
      <c r="AG42" s="63">
        <f t="shared" si="7"/>
        <v>152.28</v>
      </c>
      <c r="AH42" s="96">
        <v>2450</v>
      </c>
      <c r="AI42" s="66">
        <v>5</v>
      </c>
      <c r="AJ42" s="66">
        <v>8.4</v>
      </c>
      <c r="AK42" s="62">
        <f t="shared" si="8"/>
        <v>122.5</v>
      </c>
      <c r="AL42" s="72">
        <f t="shared" si="9"/>
        <v>205.8</v>
      </c>
      <c r="AM42" s="73">
        <f t="shared" si="15"/>
        <v>7.4480000000003201</v>
      </c>
      <c r="AN42" s="74">
        <f t="shared" si="18"/>
        <v>9.9882609999999659</v>
      </c>
      <c r="AO42" s="74">
        <f t="shared" si="18"/>
        <v>5.5823179999999581</v>
      </c>
      <c r="AP42" s="75">
        <f t="shared" si="16"/>
        <v>0.16111243492481761</v>
      </c>
      <c r="AQ42" s="76">
        <f t="shared" si="11"/>
        <v>6471.5390370462974</v>
      </c>
      <c r="AR42" s="90">
        <f t="shared" si="12"/>
        <v>7.4480000000003201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>
        <v>2450</v>
      </c>
      <c r="E43" s="62">
        <v>5</v>
      </c>
      <c r="F43" s="62">
        <v>8.4</v>
      </c>
      <c r="G43" s="62">
        <f t="shared" si="0"/>
        <v>122.5</v>
      </c>
      <c r="H43" s="63">
        <f t="shared" si="1"/>
        <v>205.8</v>
      </c>
      <c r="I43" s="202">
        <v>833.3900000000001</v>
      </c>
      <c r="J43" s="202">
        <v>858.39170000000013</v>
      </c>
      <c r="K43" s="202">
        <v>4.8770335617178029</v>
      </c>
      <c r="L43" s="202">
        <v>8.5634996820216216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858.39170000000013</v>
      </c>
      <c r="S43" s="62">
        <f t="shared" si="2"/>
        <v>41.864051300000007</v>
      </c>
      <c r="T43" s="63">
        <f t="shared" si="3"/>
        <v>73.508370500000012</v>
      </c>
      <c r="U43" s="64" t="s">
        <v>186</v>
      </c>
      <c r="V43" s="65" t="s">
        <v>684</v>
      </c>
      <c r="W43" s="66" t="s">
        <v>149</v>
      </c>
      <c r="X43" s="67">
        <v>2640</v>
      </c>
      <c r="Y43" s="68">
        <v>4.7</v>
      </c>
      <c r="Z43" s="68">
        <v>8.35</v>
      </c>
      <c r="AA43" s="62">
        <f t="shared" si="4"/>
        <v>124.08</v>
      </c>
      <c r="AB43" s="63">
        <f t="shared" si="5"/>
        <v>220.43999999999997</v>
      </c>
      <c r="AC43" s="69">
        <v>2640</v>
      </c>
      <c r="AD43" s="70">
        <v>4.7</v>
      </c>
      <c r="AE43" s="70">
        <v>8.35</v>
      </c>
      <c r="AF43" s="62">
        <f t="shared" si="6"/>
        <v>124.08</v>
      </c>
      <c r="AG43" s="63">
        <f t="shared" si="7"/>
        <v>220.43999999999997</v>
      </c>
      <c r="AH43" s="96">
        <v>668</v>
      </c>
      <c r="AI43" s="66">
        <v>4.97</v>
      </c>
      <c r="AJ43" s="66">
        <v>8.4499999999999993</v>
      </c>
      <c r="AK43" s="62">
        <f t="shared" si="8"/>
        <v>33.199599999999997</v>
      </c>
      <c r="AL43" s="72">
        <f t="shared" si="9"/>
        <v>56.445999999999998</v>
      </c>
      <c r="AM43" s="73">
        <f t="shared" si="15"/>
        <v>0.39170000000012806</v>
      </c>
      <c r="AN43" s="74">
        <f t="shared" si="18"/>
        <v>7.0844513000000049</v>
      </c>
      <c r="AO43" s="74">
        <f t="shared" si="18"/>
        <v>2.4223705000000564</v>
      </c>
      <c r="AP43" s="75">
        <f t="shared" si="16"/>
        <v>8.2401163568190439E-2</v>
      </c>
      <c r="AQ43" s="76">
        <f t="shared" si="11"/>
        <v>4129.787822787368</v>
      </c>
      <c r="AR43" s="90">
        <f t="shared" si="12"/>
        <v>0.39170000000012806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>
        <v>668</v>
      </c>
      <c r="E44" s="62">
        <v>4.97</v>
      </c>
      <c r="F44" s="62">
        <v>8.4499999999999993</v>
      </c>
      <c r="G44" s="62">
        <f t="shared" si="0"/>
        <v>33.199599999999997</v>
      </c>
      <c r="H44" s="63">
        <f t="shared" si="1"/>
        <v>56.445999999999998</v>
      </c>
      <c r="I44" s="202">
        <v>309.54999999999995</v>
      </c>
      <c r="J44" s="202">
        <v>318.83649999999994</v>
      </c>
      <c r="K44" s="202">
        <v>5.424147956711356</v>
      </c>
      <c r="L44" s="202">
        <v>8.6176578904861909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318.83649999999994</v>
      </c>
      <c r="S44" s="62">
        <f t="shared" si="2"/>
        <v>17.2941635</v>
      </c>
      <c r="T44" s="63">
        <f t="shared" si="3"/>
        <v>27.476238800000001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>
        <v>986</v>
      </c>
      <c r="AI44" s="66">
        <v>5.1100000000000003</v>
      </c>
      <c r="AJ44" s="66">
        <v>8.5</v>
      </c>
      <c r="AK44" s="62">
        <f t="shared" si="8"/>
        <v>50.384600000000006</v>
      </c>
      <c r="AL44" s="72">
        <f t="shared" si="9"/>
        <v>83.81</v>
      </c>
      <c r="AM44" s="73">
        <f t="shared" si="15"/>
        <v>0.83649999999988722</v>
      </c>
      <c r="AN44" s="74">
        <f t="shared" si="18"/>
        <v>0.10916349999999397</v>
      </c>
      <c r="AO44" s="74">
        <f t="shared" si="18"/>
        <v>0.11223880000000008</v>
      </c>
      <c r="AP44" s="75">
        <f t="shared" si="16"/>
        <v>4.9452827900988965E-3</v>
      </c>
      <c r="AQ44" s="76">
        <f t="shared" si="11"/>
        <v>86.071136024576703</v>
      </c>
      <c r="AR44" s="90">
        <f t="shared" si="12"/>
        <v>0.83649999999988722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>
        <v>986</v>
      </c>
      <c r="E45" s="62">
        <v>5.1100000000000003</v>
      </c>
      <c r="F45" s="62">
        <v>8.5</v>
      </c>
      <c r="G45" s="62">
        <f t="shared" si="0"/>
        <v>50.384600000000006</v>
      </c>
      <c r="H45" s="63">
        <f t="shared" si="1"/>
        <v>83.81</v>
      </c>
      <c r="I45" s="202">
        <v>1448.33</v>
      </c>
      <c r="J45" s="202">
        <v>1491.7799</v>
      </c>
      <c r="K45" s="202">
        <v>4.7838538178453804</v>
      </c>
      <c r="L45" s="202">
        <v>8.3156725331934034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1491.7799</v>
      </c>
      <c r="S45" s="62">
        <f t="shared" si="2"/>
        <v>71.364569700000004</v>
      </c>
      <c r="T45" s="63">
        <f t="shared" si="3"/>
        <v>124.05153140000003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>
        <v>2477</v>
      </c>
      <c r="AI45" s="66">
        <v>4.92</v>
      </c>
      <c r="AJ45" s="66">
        <v>8.3800000000000008</v>
      </c>
      <c r="AK45" s="62">
        <f t="shared" si="8"/>
        <v>121.86840000000001</v>
      </c>
      <c r="AL45" s="72">
        <f t="shared" si="9"/>
        <v>207.57260000000002</v>
      </c>
      <c r="AM45" s="73">
        <f t="shared" si="15"/>
        <v>0.77989999999999782</v>
      </c>
      <c r="AN45" s="74">
        <f t="shared" si="18"/>
        <v>-0.11923029999999812</v>
      </c>
      <c r="AO45" s="74">
        <f t="shared" si="18"/>
        <v>0.28893140000002404</v>
      </c>
      <c r="AP45" s="75">
        <f t="shared" si="16"/>
        <v>8.6840899518911686E-4</v>
      </c>
      <c r="AQ45" s="76">
        <f t="shared" si="11"/>
        <v>29.238342414935545</v>
      </c>
      <c r="AR45" s="90">
        <f t="shared" si="12"/>
        <v>0.77989999999999782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>
        <v>2477</v>
      </c>
      <c r="E46" s="62">
        <v>4.92</v>
      </c>
      <c r="F46" s="62">
        <v>8.3800000000000008</v>
      </c>
      <c r="G46" s="62">
        <f t="shared" si="0"/>
        <v>121.86840000000001</v>
      </c>
      <c r="H46" s="63">
        <f t="shared" si="1"/>
        <v>207.57260000000002</v>
      </c>
      <c r="I46" s="202">
        <v>1111.25</v>
      </c>
      <c r="J46" s="202">
        <v>1144.5875000000001</v>
      </c>
      <c r="K46" s="202">
        <v>4.8088854893138349</v>
      </c>
      <c r="L46" s="202">
        <v>8.5265718785151847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1144.5875000000001</v>
      </c>
      <c r="S46" s="62">
        <f t="shared" si="2"/>
        <v>55.041902199999996</v>
      </c>
      <c r="T46" s="63">
        <f t="shared" si="3"/>
        <v>97.594075900000007</v>
      </c>
      <c r="U46" s="64" t="s">
        <v>186</v>
      </c>
      <c r="V46" s="65" t="s">
        <v>749</v>
      </c>
      <c r="W46" s="66" t="s">
        <v>149</v>
      </c>
      <c r="X46" s="67">
        <v>2210</v>
      </c>
      <c r="Y46" s="68">
        <v>4.5</v>
      </c>
      <c r="Z46" s="68">
        <v>8.1</v>
      </c>
      <c r="AA46" s="62">
        <f t="shared" si="4"/>
        <v>99.45</v>
      </c>
      <c r="AB46" s="63">
        <f t="shared" si="5"/>
        <v>179.01000000000002</v>
      </c>
      <c r="AC46" s="69">
        <v>2210</v>
      </c>
      <c r="AD46" s="70">
        <v>4.5</v>
      </c>
      <c r="AE46" s="70">
        <v>8.1</v>
      </c>
      <c r="AF46" s="62">
        <f t="shared" si="6"/>
        <v>99.45</v>
      </c>
      <c r="AG46" s="63">
        <f t="shared" si="7"/>
        <v>179.01000000000002</v>
      </c>
      <c r="AH46" s="89">
        <v>1412</v>
      </c>
      <c r="AI46" s="66">
        <v>4.88</v>
      </c>
      <c r="AJ46" s="66">
        <v>8.41</v>
      </c>
      <c r="AK46" s="62">
        <f t="shared" si="8"/>
        <v>68.905599999999993</v>
      </c>
      <c r="AL46" s="72">
        <f t="shared" si="9"/>
        <v>118.74920000000002</v>
      </c>
      <c r="AM46" s="73">
        <f t="shared" si="15"/>
        <v>-0.41249999999990905</v>
      </c>
      <c r="AN46" s="74">
        <f t="shared" si="18"/>
        <v>8.5547021999999941</v>
      </c>
      <c r="AO46" s="74">
        <f t="shared" si="18"/>
        <v>7.4074758999999943</v>
      </c>
      <c r="AP46" s="75">
        <f t="shared" si="16"/>
        <v>0.10457677343635399</v>
      </c>
      <c r="AQ46" s="76">
        <f t="shared" si="11"/>
        <v>6329.2859189930714</v>
      </c>
      <c r="AR46" s="90">
        <f t="shared" si="12"/>
        <v>-0.41249999999990905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>
        <v>1412</v>
      </c>
      <c r="E47" s="62">
        <v>4.88</v>
      </c>
      <c r="F47" s="62">
        <v>8.41</v>
      </c>
      <c r="G47" s="62">
        <f t="shared" si="0"/>
        <v>68.905599999999993</v>
      </c>
      <c r="H47" s="63">
        <f t="shared" si="1"/>
        <v>118.74920000000002</v>
      </c>
      <c r="I47" s="202">
        <v>861.62999999999988</v>
      </c>
      <c r="J47" s="202">
        <v>887.47889999999995</v>
      </c>
      <c r="K47" s="202">
        <v>4.6369242018035575</v>
      </c>
      <c r="L47" s="202">
        <v>8.4976706939173425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887.47889999999995</v>
      </c>
      <c r="S47" s="62">
        <f t="shared" si="2"/>
        <v>41.151723899999993</v>
      </c>
      <c r="T47" s="63">
        <f t="shared" si="3"/>
        <v>75.415034399999982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>
        <v>2299</v>
      </c>
      <c r="AI47" s="66">
        <v>4.7699999999999996</v>
      </c>
      <c r="AJ47" s="66">
        <v>8.44</v>
      </c>
      <c r="AK47" s="62">
        <f t="shared" si="8"/>
        <v>109.66229999999999</v>
      </c>
      <c r="AL47" s="72">
        <f t="shared" si="9"/>
        <v>194.03559999999999</v>
      </c>
      <c r="AM47" s="73">
        <f t="shared" si="15"/>
        <v>0.47890000000006694</v>
      </c>
      <c r="AN47" s="74">
        <f t="shared" si="18"/>
        <v>0.39502389999999821</v>
      </c>
      <c r="AO47" s="74">
        <f t="shared" si="18"/>
        <v>0.12863440000000992</v>
      </c>
      <c r="AP47" s="75">
        <f t="shared" si="16"/>
        <v>4.4923467688129763E-3</v>
      </c>
      <c r="AQ47" s="76">
        <f t="shared" si="11"/>
        <v>228.34669819682517</v>
      </c>
      <c r="AR47" s="90">
        <f t="shared" si="12"/>
        <v>0.47890000000006694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>
        <v>2299</v>
      </c>
      <c r="E48" s="62">
        <v>4.7699999999999996</v>
      </c>
      <c r="F48" s="62">
        <v>8.44</v>
      </c>
      <c r="G48" s="62">
        <f t="shared" si="0"/>
        <v>109.66229999999999</v>
      </c>
      <c r="H48" s="63">
        <f t="shared" si="1"/>
        <v>194.03559999999999</v>
      </c>
      <c r="I48" s="202">
        <v>302.59000000000003</v>
      </c>
      <c r="J48" s="202">
        <v>311.66770000000002</v>
      </c>
      <c r="K48" s="202">
        <v>4.985759608711458</v>
      </c>
      <c r="L48" s="202">
        <v>8.2899864503123037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311.66770000000002</v>
      </c>
      <c r="S48" s="62">
        <f t="shared" si="2"/>
        <v>15.539002300000002</v>
      </c>
      <c r="T48" s="63">
        <f t="shared" si="3"/>
        <v>25.8372101</v>
      </c>
      <c r="U48" s="64" t="s">
        <v>186</v>
      </c>
      <c r="V48" s="65" t="s">
        <v>750</v>
      </c>
      <c r="W48" s="66" t="s">
        <v>149</v>
      </c>
      <c r="X48" s="67">
        <v>1730</v>
      </c>
      <c r="Y48" s="68">
        <v>4.5999999999999996</v>
      </c>
      <c r="Z48" s="68">
        <v>8.3000000000000007</v>
      </c>
      <c r="AA48" s="62">
        <f t="shared" si="4"/>
        <v>79.58</v>
      </c>
      <c r="AB48" s="63">
        <f t="shared" si="5"/>
        <v>143.59</v>
      </c>
      <c r="AC48" s="69">
        <v>1730</v>
      </c>
      <c r="AD48" s="70">
        <v>4.5999999999999996</v>
      </c>
      <c r="AE48" s="70">
        <v>8.3000000000000007</v>
      </c>
      <c r="AF48" s="62">
        <f t="shared" si="6"/>
        <v>79.58</v>
      </c>
      <c r="AG48" s="63">
        <f t="shared" si="7"/>
        <v>143.59</v>
      </c>
      <c r="AH48" s="89">
        <v>880</v>
      </c>
      <c r="AI48" s="66">
        <v>4.8</v>
      </c>
      <c r="AJ48" s="66">
        <v>8.42</v>
      </c>
      <c r="AK48" s="62">
        <f t="shared" si="8"/>
        <v>42.24</v>
      </c>
      <c r="AL48" s="72">
        <f t="shared" si="9"/>
        <v>74.096000000000004</v>
      </c>
      <c r="AM48" s="73">
        <f t="shared" si="15"/>
        <v>0.66769999999996799</v>
      </c>
      <c r="AN48" s="74">
        <f t="shared" si="18"/>
        <v>3.3813022999999944</v>
      </c>
      <c r="AO48" s="74">
        <f t="shared" si="18"/>
        <v>2.186810099999974</v>
      </c>
      <c r="AP48" s="75">
        <f t="shared" si="16"/>
        <v>0.1345727913945059</v>
      </c>
      <c r="AQ48" s="76">
        <f t="shared" si="11"/>
        <v>2279.7559613028184</v>
      </c>
      <c r="AR48" s="90">
        <f t="shared" si="12"/>
        <v>0.66769999999996799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>
        <v>880</v>
      </c>
      <c r="E49" s="62">
        <v>4.8</v>
      </c>
      <c r="F49" s="62">
        <v>8.42</v>
      </c>
      <c r="G49" s="62">
        <f t="shared" si="0"/>
        <v>42.24</v>
      </c>
      <c r="H49" s="63">
        <f t="shared" si="1"/>
        <v>74.096000000000004</v>
      </c>
      <c r="I49" s="202">
        <v>1174.46</v>
      </c>
      <c r="J49" s="202">
        <v>1209.6938</v>
      </c>
      <c r="K49" s="202">
        <v>5.2424731365904327</v>
      </c>
      <c r="L49" s="202">
        <v>8.52509919452344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1209.6938</v>
      </c>
      <c r="S49" s="62">
        <f t="shared" si="2"/>
        <v>63.417872500000001</v>
      </c>
      <c r="T49" s="63">
        <f t="shared" si="3"/>
        <v>103.1275964</v>
      </c>
      <c r="U49" s="64" t="s">
        <v>167</v>
      </c>
      <c r="V49" s="65" t="s">
        <v>180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>
        <v>2089</v>
      </c>
      <c r="AI49" s="66">
        <v>5.03</v>
      </c>
      <c r="AJ49" s="66">
        <v>8.4600000000000009</v>
      </c>
      <c r="AK49" s="62">
        <f t="shared" si="8"/>
        <v>105.0767</v>
      </c>
      <c r="AL49" s="72">
        <f t="shared" si="9"/>
        <v>176.72940000000003</v>
      </c>
      <c r="AM49" s="73">
        <f t="shared" si="15"/>
        <v>0.69380000000001019</v>
      </c>
      <c r="AN49" s="74">
        <f t="shared" si="18"/>
        <v>0.58117249999999387</v>
      </c>
      <c r="AO49" s="74">
        <f t="shared" si="18"/>
        <v>0.49419639999999276</v>
      </c>
      <c r="AP49" s="75">
        <f t="shared" si="16"/>
        <v>6.4569087775403697E-3</v>
      </c>
      <c r="AQ49" s="76">
        <f t="shared" si="11"/>
        <v>427.27972354864522</v>
      </c>
      <c r="AR49" s="90">
        <f t="shared" si="12"/>
        <v>0.69380000000001019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>
        <v>2089</v>
      </c>
      <c r="E50" s="62">
        <v>5.03</v>
      </c>
      <c r="F50" s="62">
        <v>8.4600000000000009</v>
      </c>
      <c r="G50" s="62">
        <f t="shared" si="0"/>
        <v>105.0767</v>
      </c>
      <c r="H50" s="63">
        <f t="shared" si="1"/>
        <v>176.72940000000003</v>
      </c>
      <c r="I50" s="202">
        <v>634.31000000000006</v>
      </c>
      <c r="J50" s="202">
        <v>653.33930000000009</v>
      </c>
      <c r="K50" s="202">
        <v>5.1549258249121088</v>
      </c>
      <c r="L50" s="202">
        <v>8.397185918557172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653.33930000000009</v>
      </c>
      <c r="S50" s="62">
        <f t="shared" si="2"/>
        <v>33.679156300000002</v>
      </c>
      <c r="T50" s="63">
        <f t="shared" si="3"/>
        <v>54.862115700000004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>
        <v>2742</v>
      </c>
      <c r="AI50" s="66">
        <v>5.07</v>
      </c>
      <c r="AJ50" s="66">
        <v>8.44</v>
      </c>
      <c r="AK50" s="62">
        <f t="shared" si="8"/>
        <v>139.01940000000002</v>
      </c>
      <c r="AL50" s="72">
        <f t="shared" si="9"/>
        <v>231.42479999999998</v>
      </c>
      <c r="AM50" s="73">
        <f t="shared" si="15"/>
        <v>0.33930000000009386</v>
      </c>
      <c r="AN50" s="74">
        <f t="shared" si="18"/>
        <v>-0.26354370000001381</v>
      </c>
      <c r="AO50" s="74">
        <f t="shared" si="18"/>
        <v>0.16671570000005431</v>
      </c>
      <c r="AP50" s="75">
        <f t="shared" si="16"/>
        <v>-1.0935916981174552E-3</v>
      </c>
      <c r="AQ50" s="76">
        <f t="shared" si="11"/>
        <v>-76.711457293786879</v>
      </c>
      <c r="AR50" s="90">
        <f t="shared" si="12"/>
        <v>0.33930000000009386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>
        <v>2742</v>
      </c>
      <c r="E51" s="62">
        <v>5.07</v>
      </c>
      <c r="F51" s="62">
        <v>8.44</v>
      </c>
      <c r="G51" s="62">
        <f t="shared" si="0"/>
        <v>139.01940000000002</v>
      </c>
      <c r="H51" s="63">
        <f t="shared" si="1"/>
        <v>231.42479999999998</v>
      </c>
      <c r="I51" s="202">
        <v>1608.44</v>
      </c>
      <c r="J51" s="202">
        <v>1656.6932000000002</v>
      </c>
      <c r="K51" s="202">
        <v>4.8228886374375177</v>
      </c>
      <c r="L51" s="202">
        <v>8.2095950113153116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1656.6932000000002</v>
      </c>
      <c r="S51" s="62">
        <f t="shared" si="2"/>
        <v>79.900468100000012</v>
      </c>
      <c r="T51" s="63">
        <f t="shared" si="3"/>
        <v>136.00780230000001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>
        <v>4399</v>
      </c>
      <c r="AI51" s="66">
        <v>4.96</v>
      </c>
      <c r="AJ51" s="66">
        <v>8.34</v>
      </c>
      <c r="AK51" s="62">
        <f t="shared" si="8"/>
        <v>218.19039999999998</v>
      </c>
      <c r="AL51" s="72">
        <f t="shared" si="9"/>
        <v>366.8766</v>
      </c>
      <c r="AM51" s="73">
        <f t="shared" si="15"/>
        <v>-0.30680000000029395</v>
      </c>
      <c r="AN51" s="74">
        <f t="shared" si="18"/>
        <v>0.72946810000004803</v>
      </c>
      <c r="AO51" s="74">
        <f t="shared" si="18"/>
        <v>0.55600229999998874</v>
      </c>
      <c r="AP51" s="75">
        <f t="shared" si="16"/>
        <v>5.9537802679745641E-3</v>
      </c>
      <c r="AQ51" s="76">
        <f t="shared" si="11"/>
        <v>517.05090266268178</v>
      </c>
      <c r="AR51" s="90">
        <f t="shared" si="12"/>
        <v>-0.30680000000029395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>
        <v>4399</v>
      </c>
      <c r="E52" s="62">
        <v>4.96</v>
      </c>
      <c r="F52" s="62">
        <v>8.34</v>
      </c>
      <c r="G52" s="62">
        <f t="shared" si="0"/>
        <v>218.19039999999998</v>
      </c>
      <c r="H52" s="63">
        <f t="shared" si="1"/>
        <v>366.8766</v>
      </c>
      <c r="I52" s="202">
        <v>861.4799999999999</v>
      </c>
      <c r="J52" s="202">
        <v>887.32439999999997</v>
      </c>
      <c r="K52" s="202">
        <v>4.872299995356828</v>
      </c>
      <c r="L52" s="202">
        <v>8.378867762455311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887.32439999999997</v>
      </c>
      <c r="S52" s="62">
        <f t="shared" si="2"/>
        <v>43.2331067</v>
      </c>
      <c r="T52" s="63">
        <f t="shared" si="3"/>
        <v>74.347738100000015</v>
      </c>
      <c r="U52" s="64" t="s">
        <v>186</v>
      </c>
      <c r="V52" s="85" t="s">
        <v>796</v>
      </c>
      <c r="W52" s="66" t="s">
        <v>149</v>
      </c>
      <c r="X52" s="67">
        <v>2370</v>
      </c>
      <c r="Y52" s="68">
        <v>4.5</v>
      </c>
      <c r="Z52" s="68">
        <v>8.1</v>
      </c>
      <c r="AA52" s="62">
        <f t="shared" si="4"/>
        <v>106.64999999999999</v>
      </c>
      <c r="AB52" s="63">
        <f t="shared" si="5"/>
        <v>191.97</v>
      </c>
      <c r="AC52" s="69">
        <v>2370</v>
      </c>
      <c r="AD52" s="70">
        <v>4.5</v>
      </c>
      <c r="AE52" s="70">
        <v>8.1</v>
      </c>
      <c r="AF52" s="62">
        <f t="shared" si="6"/>
        <v>106.64999999999999</v>
      </c>
      <c r="AG52" s="63">
        <f t="shared" si="7"/>
        <v>191.97</v>
      </c>
      <c r="AH52" s="89">
        <v>2916</v>
      </c>
      <c r="AI52" s="66">
        <v>4.92</v>
      </c>
      <c r="AJ52" s="66">
        <v>8.36</v>
      </c>
      <c r="AK52" s="62">
        <f t="shared" si="8"/>
        <v>143.46719999999999</v>
      </c>
      <c r="AL52" s="72">
        <f t="shared" si="9"/>
        <v>243.77759999999998</v>
      </c>
      <c r="AM52" s="73">
        <f t="shared" si="15"/>
        <v>0.32439999999951397</v>
      </c>
      <c r="AN52" s="74">
        <f t="shared" si="18"/>
        <v>11.306306699999993</v>
      </c>
      <c r="AO52" s="74">
        <f t="shared" si="18"/>
        <v>5.4767381000000341</v>
      </c>
      <c r="AP52" s="75">
        <f t="shared" si="16"/>
        <v>0.14273621548260915</v>
      </c>
      <c r="AQ52" s="76">
        <f t="shared" si="11"/>
        <v>7073.2826534489304</v>
      </c>
      <c r="AR52" s="90">
        <f t="shared" si="12"/>
        <v>0.32439999999951397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>
        <v>2916</v>
      </c>
      <c r="E53" s="62">
        <v>4.92</v>
      </c>
      <c r="F53" s="62">
        <v>8.36</v>
      </c>
      <c r="G53" s="62">
        <f t="shared" si="0"/>
        <v>143.46719999999999</v>
      </c>
      <c r="H53" s="63">
        <f t="shared" si="1"/>
        <v>243.77759999999998</v>
      </c>
      <c r="I53" s="202">
        <v>1316.08</v>
      </c>
      <c r="J53" s="202">
        <v>1355.5624</v>
      </c>
      <c r="K53" s="202">
        <v>4.793349948331409</v>
      </c>
      <c r="L53" s="202">
        <v>8.4658273053309827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1355.5624</v>
      </c>
      <c r="S53" s="62">
        <f t="shared" si="2"/>
        <v>64.976849600000008</v>
      </c>
      <c r="T53" s="63">
        <f t="shared" si="3"/>
        <v>114.75957179999999</v>
      </c>
      <c r="U53" s="64" t="s">
        <v>186</v>
      </c>
      <c r="V53" s="65" t="s">
        <v>797</v>
      </c>
      <c r="W53" s="66" t="s">
        <v>149</v>
      </c>
      <c r="X53" s="67">
        <v>3010</v>
      </c>
      <c r="Y53" s="68">
        <v>4.8</v>
      </c>
      <c r="Z53" s="68">
        <v>8.4</v>
      </c>
      <c r="AA53" s="62">
        <f t="shared" si="4"/>
        <v>144.47999999999999</v>
      </c>
      <c r="AB53" s="63">
        <f t="shared" si="5"/>
        <v>252.84</v>
      </c>
      <c r="AC53" s="69">
        <v>3010</v>
      </c>
      <c r="AD53" s="70">
        <v>4.8</v>
      </c>
      <c r="AE53" s="70">
        <v>8.4</v>
      </c>
      <c r="AF53" s="62">
        <f t="shared" si="6"/>
        <v>144.47999999999999</v>
      </c>
      <c r="AG53" s="63">
        <f t="shared" si="7"/>
        <v>252.84</v>
      </c>
      <c r="AH53" s="89">
        <v>1260</v>
      </c>
      <c r="AI53" s="66">
        <v>4.88</v>
      </c>
      <c r="AJ53" s="66">
        <v>8.4</v>
      </c>
      <c r="AK53" s="62">
        <f t="shared" si="8"/>
        <v>61.487999999999992</v>
      </c>
      <c r="AL53" s="72">
        <f t="shared" si="9"/>
        <v>105.84</v>
      </c>
      <c r="AM53" s="73">
        <f t="shared" si="15"/>
        <v>1.5623999999997977</v>
      </c>
      <c r="AN53" s="74">
        <f t="shared" si="18"/>
        <v>2.4760496000000174</v>
      </c>
      <c r="AO53" s="74">
        <f t="shared" si="18"/>
        <v>-0.14282820000005358</v>
      </c>
      <c r="AP53" s="75">
        <f t="shared" si="16"/>
        <v>1.2981350033710886E-2</v>
      </c>
      <c r="AQ53" s="76">
        <f t="shared" si="11"/>
        <v>1147.0466449938203</v>
      </c>
      <c r="AR53" s="90">
        <f t="shared" si="12"/>
        <v>1.5623999999997977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>
        <v>1260</v>
      </c>
      <c r="E54" s="62">
        <v>4.88</v>
      </c>
      <c r="F54" s="62">
        <v>8.4</v>
      </c>
      <c r="G54" s="62">
        <f t="shared" si="0"/>
        <v>61.487999999999992</v>
      </c>
      <c r="H54" s="63">
        <f t="shared" si="1"/>
        <v>105.84</v>
      </c>
      <c r="I54" s="202">
        <v>744.92</v>
      </c>
      <c r="J54" s="202">
        <v>767.26760000000002</v>
      </c>
      <c r="K54" s="202">
        <v>5.5028848735434686</v>
      </c>
      <c r="L54" s="202">
        <v>8.4728440637920865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4"/>
        <v>767.26760000000002</v>
      </c>
      <c r="S54" s="62">
        <f t="shared" si="2"/>
        <v>42.221852700000007</v>
      </c>
      <c r="T54" s="63">
        <f t="shared" si="3"/>
        <v>65.009387300000014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>
        <v>2027</v>
      </c>
      <c r="AI54" s="66">
        <v>5.1100000000000003</v>
      </c>
      <c r="AJ54" s="66">
        <v>8.43</v>
      </c>
      <c r="AK54" s="62">
        <f t="shared" si="8"/>
        <v>103.57970000000002</v>
      </c>
      <c r="AL54" s="72">
        <f t="shared" si="9"/>
        <v>170.87610000000001</v>
      </c>
      <c r="AM54" s="73">
        <f t="shared" si="15"/>
        <v>0.26760000000012951</v>
      </c>
      <c r="AN54" s="74">
        <f t="shared" si="18"/>
        <v>0.13015269999998225</v>
      </c>
      <c r="AO54" s="74">
        <f t="shared" si="18"/>
        <v>-2.6712699999990264E-2</v>
      </c>
      <c r="AP54" s="75">
        <f t="shared" si="16"/>
        <v>9.6464425852011012E-4</v>
      </c>
      <c r="AQ54" s="76">
        <f t="shared" si="11"/>
        <v>54.542392515274187</v>
      </c>
      <c r="AR54" s="90">
        <f t="shared" si="12"/>
        <v>0.26760000000012951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>
        <v>2027</v>
      </c>
      <c r="E55" s="62">
        <v>5.1100000000000003</v>
      </c>
      <c r="F55" s="62">
        <v>8.43</v>
      </c>
      <c r="G55" s="62">
        <f t="shared" si="0"/>
        <v>103.57970000000002</v>
      </c>
      <c r="H55" s="63">
        <f t="shared" si="1"/>
        <v>170.87610000000001</v>
      </c>
      <c r="I55" s="202">
        <v>717.82999999999993</v>
      </c>
      <c r="J55" s="202">
        <v>739.36489999999992</v>
      </c>
      <c r="K55" s="202">
        <v>4.5375896800078026</v>
      </c>
      <c r="L55" s="202">
        <v>8.1706323224161697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4"/>
        <v>739.36489999999992</v>
      </c>
      <c r="S55" s="62">
        <f t="shared" si="2"/>
        <v>33.549345400000007</v>
      </c>
      <c r="T55" s="63">
        <f t="shared" si="3"/>
        <v>60.410787499999984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>
        <v>2766</v>
      </c>
      <c r="AI55" s="66">
        <v>4.9400000000000004</v>
      </c>
      <c r="AJ55" s="66">
        <v>8.36</v>
      </c>
      <c r="AK55" s="62">
        <f t="shared" si="8"/>
        <v>136.64040000000003</v>
      </c>
      <c r="AL55" s="72">
        <f t="shared" si="9"/>
        <v>231.23759999999999</v>
      </c>
      <c r="AM55" s="73">
        <f t="shared" si="15"/>
        <v>0.3649000000000342</v>
      </c>
      <c r="AN55" s="74">
        <f t="shared" si="18"/>
        <v>0.48864539999999579</v>
      </c>
      <c r="AO55" s="74">
        <f t="shared" si="18"/>
        <v>4.9287499999991269E-2</v>
      </c>
      <c r="AP55" s="75">
        <f t="shared" si="16"/>
        <v>5.7251185518489948E-3</v>
      </c>
      <c r="AQ55" s="76">
        <f t="shared" si="11"/>
        <v>249.57118582866039</v>
      </c>
      <c r="AR55" s="90">
        <f t="shared" si="12"/>
        <v>0.3649000000000342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>
        <v>2766</v>
      </c>
      <c r="E56" s="62">
        <v>4.9400000000000004</v>
      </c>
      <c r="F56" s="62">
        <v>8.36</v>
      </c>
      <c r="G56" s="62">
        <f t="shared" si="0"/>
        <v>136.64040000000003</v>
      </c>
      <c r="H56" s="63">
        <f t="shared" si="1"/>
        <v>231.23759999999999</v>
      </c>
      <c r="I56" s="202">
        <v>568.75</v>
      </c>
      <c r="J56" s="202">
        <v>585.8125</v>
      </c>
      <c r="K56" s="202">
        <v>5.4353230769230771</v>
      </c>
      <c r="L56" s="202">
        <v>8.3917362637362647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4"/>
        <v>585.8125</v>
      </c>
      <c r="S56" s="62">
        <f t="shared" si="2"/>
        <v>31.840802</v>
      </c>
      <c r="T56" s="63">
        <f t="shared" si="3"/>
        <v>49.159840000000003</v>
      </c>
      <c r="U56" s="64" t="s">
        <v>186</v>
      </c>
      <c r="V56" s="65" t="s">
        <v>902</v>
      </c>
      <c r="W56" s="66" t="s">
        <v>149</v>
      </c>
      <c r="X56" s="67">
        <v>2190</v>
      </c>
      <c r="Y56" s="68">
        <v>4.7</v>
      </c>
      <c r="Z56" s="68">
        <v>8.17</v>
      </c>
      <c r="AA56" s="62">
        <f t="shared" si="4"/>
        <v>102.93</v>
      </c>
      <c r="AB56" s="63">
        <f t="shared" si="5"/>
        <v>178.923</v>
      </c>
      <c r="AC56" s="69">
        <v>2190</v>
      </c>
      <c r="AD56" s="70">
        <v>4.7</v>
      </c>
      <c r="AE56" s="70">
        <v>8.17</v>
      </c>
      <c r="AF56" s="62">
        <f t="shared" si="6"/>
        <v>102.93</v>
      </c>
      <c r="AG56" s="63">
        <f t="shared" si="7"/>
        <v>178.923</v>
      </c>
      <c r="AH56" s="89">
        <v>1162</v>
      </c>
      <c r="AI56" s="66">
        <v>5.0199999999999996</v>
      </c>
      <c r="AJ56" s="66">
        <v>8.3699999999999992</v>
      </c>
      <c r="AK56" s="62">
        <f t="shared" si="8"/>
        <v>58.332399999999993</v>
      </c>
      <c r="AL56" s="72">
        <f t="shared" si="9"/>
        <v>97.259399999999999</v>
      </c>
      <c r="AM56" s="73">
        <f t="shared" si="15"/>
        <v>-0.1875</v>
      </c>
      <c r="AN56" s="74">
        <f t="shared" si="18"/>
        <v>7.218802000000025</v>
      </c>
      <c r="AO56" s="74">
        <f t="shared" si="18"/>
        <v>4.2150399999999593</v>
      </c>
      <c r="AP56" s="75">
        <f t="shared" si="16"/>
        <v>0.1411574244065866</v>
      </c>
      <c r="AQ56" s="76">
        <f t="shared" si="11"/>
        <v>4731.236262762397</v>
      </c>
      <c r="AR56" s="90">
        <f t="shared" si="12"/>
        <v>-0.1875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>
        <v>1162</v>
      </c>
      <c r="E57" s="62">
        <v>5.0199999999999996</v>
      </c>
      <c r="F57" s="62">
        <v>8.3699999999999992</v>
      </c>
      <c r="G57" s="62">
        <f t="shared" si="0"/>
        <v>58.332399999999993</v>
      </c>
      <c r="H57" s="63">
        <f t="shared" si="1"/>
        <v>97.259399999999999</v>
      </c>
      <c r="I57" s="202">
        <v>738.06999999999994</v>
      </c>
      <c r="J57" s="202">
        <v>760.21209999999996</v>
      </c>
      <c r="K57" s="202">
        <v>4.9880201064939644</v>
      </c>
      <c r="L57" s="202">
        <v>8.2196918991423562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4"/>
        <v>760.21209999999996</v>
      </c>
      <c r="S57" s="62">
        <f t="shared" si="2"/>
        <v>37.919532400000001</v>
      </c>
      <c r="T57" s="63">
        <f t="shared" si="3"/>
        <v>62.487092399999987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>
        <v>1922</v>
      </c>
      <c r="AI57" s="66">
        <v>5</v>
      </c>
      <c r="AJ57" s="66">
        <v>8.25</v>
      </c>
      <c r="AK57" s="62">
        <f t="shared" si="8"/>
        <v>96.100000000000009</v>
      </c>
      <c r="AL57" s="72">
        <f t="shared" si="9"/>
        <v>158.565</v>
      </c>
      <c r="AM57" s="73">
        <f t="shared" si="15"/>
        <v>0.21209999999996398</v>
      </c>
      <c r="AN57" s="74">
        <f t="shared" si="18"/>
        <v>0.15193239999997843</v>
      </c>
      <c r="AO57" s="74">
        <f t="shared" si="18"/>
        <v>1.1814923999999962</v>
      </c>
      <c r="AP57" s="75">
        <f t="shared" si="16"/>
        <v>1.3280247221296644E-2</v>
      </c>
      <c r="AQ57" s="76">
        <f t="shared" si="11"/>
        <v>426.85491860741092</v>
      </c>
      <c r="AR57" s="90">
        <f t="shared" si="12"/>
        <v>0.21209999999996398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>
        <v>1922</v>
      </c>
      <c r="E58" s="62">
        <v>5</v>
      </c>
      <c r="F58" s="62">
        <v>8.25</v>
      </c>
      <c r="G58" s="62">
        <f t="shared" si="0"/>
        <v>96.100000000000009</v>
      </c>
      <c r="H58" s="63">
        <f t="shared" si="1"/>
        <v>158.565</v>
      </c>
      <c r="I58" s="202">
        <v>842.26</v>
      </c>
      <c r="J58" s="202">
        <v>867.52779999999996</v>
      </c>
      <c r="K58" s="202">
        <v>5.2732778476954865</v>
      </c>
      <c r="L58" s="202">
        <v>8.4722460997791647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4"/>
        <v>867.52779999999996</v>
      </c>
      <c r="S58" s="62">
        <f t="shared" si="2"/>
        <v>45.747151300000006</v>
      </c>
      <c r="T58" s="63">
        <f t="shared" si="3"/>
        <v>73.499090199999983</v>
      </c>
      <c r="U58" s="64" t="s">
        <v>186</v>
      </c>
      <c r="V58" s="65" t="s">
        <v>903</v>
      </c>
      <c r="W58" s="66" t="s">
        <v>149</v>
      </c>
      <c r="X58" s="67">
        <v>2710</v>
      </c>
      <c r="Y58" s="68">
        <v>4.3</v>
      </c>
      <c r="Z58" s="68">
        <v>8</v>
      </c>
      <c r="AA58" s="62">
        <f t="shared" si="4"/>
        <v>116.52999999999999</v>
      </c>
      <c r="AB58" s="63">
        <f t="shared" si="5"/>
        <v>216.8</v>
      </c>
      <c r="AC58" s="69">
        <v>2710</v>
      </c>
      <c r="AD58" s="70">
        <v>4.3</v>
      </c>
      <c r="AE58" s="70">
        <v>8</v>
      </c>
      <c r="AF58" s="62">
        <f t="shared" si="6"/>
        <v>116.52999999999999</v>
      </c>
      <c r="AG58" s="63">
        <f t="shared" si="7"/>
        <v>216.8</v>
      </c>
      <c r="AH58" s="89">
        <v>0</v>
      </c>
      <c r="AI58" s="66">
        <v>0</v>
      </c>
      <c r="AJ58" s="66">
        <v>0</v>
      </c>
      <c r="AK58" s="62">
        <f t="shared" si="8"/>
        <v>0</v>
      </c>
      <c r="AL58" s="72">
        <f t="shared" si="9"/>
        <v>0</v>
      </c>
      <c r="AM58" s="73">
        <f t="shared" si="15"/>
        <v>79.527799999999843</v>
      </c>
      <c r="AN58" s="74">
        <f t="shared" si="18"/>
        <v>25.31715130000002</v>
      </c>
      <c r="AO58" s="74">
        <f t="shared" si="18"/>
        <v>15.26409019999997</v>
      </c>
      <c r="AP58" s="75">
        <f t="shared" si="16"/>
        <v>0.34031463792508709</v>
      </c>
      <c r="AQ58" s="76">
        <f t="shared" si="11"/>
        <v>16737.174308600785</v>
      </c>
      <c r="AR58" s="77">
        <f t="shared" si="12"/>
        <v>79.527799999999843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>
        <v>0</v>
      </c>
      <c r="E59" s="62">
        <v>0</v>
      </c>
      <c r="F59" s="62">
        <v>0</v>
      </c>
      <c r="G59" s="62">
        <f t="shared" si="0"/>
        <v>0</v>
      </c>
      <c r="H59" s="63">
        <f t="shared" si="1"/>
        <v>0</v>
      </c>
      <c r="I59" s="202">
        <v>1626.0199999999998</v>
      </c>
      <c r="J59" s="202">
        <v>1674.8005999999998</v>
      </c>
      <c r="K59" s="202">
        <v>4.3457835696977885</v>
      </c>
      <c r="L59" s="202">
        <v>8.0013290119432732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4"/>
        <v>1674.8005999999998</v>
      </c>
      <c r="S59" s="62">
        <f t="shared" si="2"/>
        <v>72.783209299999967</v>
      </c>
      <c r="T59" s="63">
        <f t="shared" si="3"/>
        <v>134.00630629999998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>
        <v>1675</v>
      </c>
      <c r="AI59" s="66">
        <v>4.3</v>
      </c>
      <c r="AJ59" s="66">
        <v>8</v>
      </c>
      <c r="AK59" s="62">
        <f t="shared" si="8"/>
        <v>72.024999999999991</v>
      </c>
      <c r="AL59" s="72">
        <f t="shared" si="9"/>
        <v>134</v>
      </c>
      <c r="AM59" s="73">
        <f t="shared" si="15"/>
        <v>-0.19940000000019609</v>
      </c>
      <c r="AN59" s="74">
        <f t="shared" si="18"/>
        <v>0.75820929999997588</v>
      </c>
      <c r="AO59" s="74">
        <f t="shared" si="18"/>
        <v>6.3062999999772273E-3</v>
      </c>
      <c r="AP59" s="75">
        <f t="shared" si="16"/>
        <v>3.6970713809242719E-3</v>
      </c>
      <c r="AQ59" s="76">
        <f t="shared" si="11"/>
        <v>366.23292636068226</v>
      </c>
      <c r="AR59" s="77">
        <f t="shared" si="12"/>
        <v>-0.19940000000019609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>
        <v>1675</v>
      </c>
      <c r="E60" s="62">
        <v>4.3</v>
      </c>
      <c r="F60" s="62">
        <v>8</v>
      </c>
      <c r="G60" s="62">
        <f t="shared" si="0"/>
        <v>72.024999999999991</v>
      </c>
      <c r="H60" s="63">
        <f t="shared" si="1"/>
        <v>134</v>
      </c>
      <c r="I60" s="202">
        <v>618.17000000000007</v>
      </c>
      <c r="J60" s="202">
        <v>636.71510000000012</v>
      </c>
      <c r="K60" s="202">
        <v>5.2922464694177984</v>
      </c>
      <c r="L60" s="202">
        <v>8.4057104032871219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4"/>
        <v>636.71510000000012</v>
      </c>
      <c r="S60" s="62">
        <f t="shared" si="2"/>
        <v>33.696532400000009</v>
      </c>
      <c r="T60" s="63">
        <f t="shared" si="3"/>
        <v>53.52042740000001</v>
      </c>
      <c r="U60" s="64" t="s">
        <v>186</v>
      </c>
      <c r="V60" s="65" t="s">
        <v>925</v>
      </c>
      <c r="W60" s="66" t="s">
        <v>149</v>
      </c>
      <c r="X60" s="67">
        <v>1310</v>
      </c>
      <c r="Y60" s="68">
        <v>4.5999999999999996</v>
      </c>
      <c r="Z60" s="68">
        <v>8.1999999999999993</v>
      </c>
      <c r="AA60" s="62">
        <f t="shared" si="4"/>
        <v>60.26</v>
      </c>
      <c r="AB60" s="63">
        <f t="shared" si="5"/>
        <v>107.41999999999999</v>
      </c>
      <c r="AC60" s="69">
        <v>1310</v>
      </c>
      <c r="AD60" s="70">
        <v>4.5999999999999996</v>
      </c>
      <c r="AE60" s="70">
        <v>8.1999999999999993</v>
      </c>
      <c r="AF60" s="62">
        <f t="shared" si="6"/>
        <v>60.26</v>
      </c>
      <c r="AG60" s="63">
        <f t="shared" si="7"/>
        <v>107.41999999999999</v>
      </c>
      <c r="AH60" s="89">
        <v>1002</v>
      </c>
      <c r="AI60" s="66">
        <v>4.57</v>
      </c>
      <c r="AJ60" s="66">
        <v>8.1</v>
      </c>
      <c r="AK60" s="62">
        <f t="shared" si="8"/>
        <v>45.791400000000003</v>
      </c>
      <c r="AL60" s="72">
        <f t="shared" si="9"/>
        <v>81.162000000000006</v>
      </c>
      <c r="AM60" s="73">
        <f t="shared" si="15"/>
        <v>-0.28489999999965221</v>
      </c>
      <c r="AN60" s="74">
        <f t="shared" si="18"/>
        <v>-0.32986760000000004</v>
      </c>
      <c r="AO60" s="74">
        <f t="shared" si="18"/>
        <v>-1.0615725999999768</v>
      </c>
      <c r="AP60" s="75">
        <f t="shared" si="16"/>
        <v>-1.5953780127061671E-2</v>
      </c>
      <c r="AQ60" s="76">
        <f t="shared" si="11"/>
        <v>-476.44366084951565</v>
      </c>
      <c r="AR60" s="77">
        <f t="shared" si="12"/>
        <v>-0.28489999999965221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>
        <v>1002</v>
      </c>
      <c r="E61" s="62">
        <v>4.57</v>
      </c>
      <c r="F61" s="62">
        <v>8.1</v>
      </c>
      <c r="G61" s="62">
        <f t="shared" si="0"/>
        <v>45.791400000000003</v>
      </c>
      <c r="H61" s="63">
        <f t="shared" si="1"/>
        <v>81.162000000000006</v>
      </c>
      <c r="I61" s="202">
        <v>651.74</v>
      </c>
      <c r="J61" s="202">
        <v>671.29219999999998</v>
      </c>
      <c r="K61" s="202">
        <v>4.3570672354006188</v>
      </c>
      <c r="L61" s="202">
        <v>8.0525255469972681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4"/>
        <v>671.29219999999998</v>
      </c>
      <c r="S61" s="62">
        <f t="shared" si="2"/>
        <v>29.248652499999995</v>
      </c>
      <c r="T61" s="63">
        <f t="shared" si="3"/>
        <v>54.055975899999993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>
        <v>1673</v>
      </c>
      <c r="AI61" s="66">
        <v>4.45</v>
      </c>
      <c r="AJ61" s="66">
        <v>8.1</v>
      </c>
      <c r="AK61" s="62">
        <f t="shared" si="8"/>
        <v>74.44850000000001</v>
      </c>
      <c r="AL61" s="72">
        <f t="shared" si="9"/>
        <v>135.51300000000001</v>
      </c>
      <c r="AM61" s="73">
        <f t="shared" si="15"/>
        <v>0.29219999999986612</v>
      </c>
      <c r="AN61" s="74">
        <f t="shared" si="18"/>
        <v>0.59155249999999171</v>
      </c>
      <c r="AO61" s="74">
        <f t="shared" si="18"/>
        <v>-0.29502410000000623</v>
      </c>
      <c r="AP61" s="75">
        <f t="shared" si="16"/>
        <v>3.5595669255753565E-3</v>
      </c>
      <c r="AQ61" s="76">
        <f t="shared" si="11"/>
        <v>195.90313767475863</v>
      </c>
      <c r="AR61" s="77">
        <f t="shared" si="12"/>
        <v>0.29219999999986612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>
        <v>1673</v>
      </c>
      <c r="E62" s="62">
        <v>4.45</v>
      </c>
      <c r="F62" s="62">
        <v>8.1</v>
      </c>
      <c r="G62" s="62">
        <f t="shared" si="0"/>
        <v>74.44850000000001</v>
      </c>
      <c r="H62" s="63">
        <f t="shared" si="1"/>
        <v>135.51300000000001</v>
      </c>
      <c r="I62" s="202">
        <v>710.71</v>
      </c>
      <c r="J62" s="202">
        <v>732.0313000000001</v>
      </c>
      <c r="K62" s="202">
        <v>5.4014140788788678</v>
      </c>
      <c r="L62" s="202">
        <v>8.3664377875645481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4"/>
        <v>732.0313000000001</v>
      </c>
      <c r="S62" s="62">
        <f t="shared" si="2"/>
        <v>39.540041700000003</v>
      </c>
      <c r="T62" s="63">
        <f t="shared" si="3"/>
        <v>61.24494330000001</v>
      </c>
      <c r="U62" s="64" t="s">
        <v>186</v>
      </c>
      <c r="V62" s="65" t="s">
        <v>926</v>
      </c>
      <c r="W62" s="66" t="s">
        <v>149</v>
      </c>
      <c r="X62" s="67">
        <v>2150</v>
      </c>
      <c r="Y62" s="68">
        <v>4.5</v>
      </c>
      <c r="Z62" s="68">
        <v>8.18</v>
      </c>
      <c r="AA62" s="62">
        <f t="shared" si="4"/>
        <v>96.75</v>
      </c>
      <c r="AB62" s="63">
        <f t="shared" si="5"/>
        <v>175.87</v>
      </c>
      <c r="AC62" s="69">
        <v>2150</v>
      </c>
      <c r="AD62" s="70">
        <v>4.5</v>
      </c>
      <c r="AE62" s="70">
        <v>8.18</v>
      </c>
      <c r="AF62" s="62">
        <f t="shared" si="6"/>
        <v>96.75</v>
      </c>
      <c r="AG62" s="63">
        <f t="shared" si="7"/>
        <v>175.87</v>
      </c>
      <c r="AH62" s="89">
        <v>255</v>
      </c>
      <c r="AI62" s="66">
        <v>4.74</v>
      </c>
      <c r="AJ62" s="66">
        <v>8.19</v>
      </c>
      <c r="AK62" s="62">
        <f t="shared" si="8"/>
        <v>12.087000000000002</v>
      </c>
      <c r="AL62" s="72">
        <f t="shared" si="9"/>
        <v>20.884499999999999</v>
      </c>
      <c r="AM62" s="73">
        <f t="shared" si="15"/>
        <v>3.1300000000101136E-2</v>
      </c>
      <c r="AN62" s="74">
        <f t="shared" si="18"/>
        <v>5.1515417000000117</v>
      </c>
      <c r="AO62" s="74">
        <f t="shared" si="18"/>
        <v>3.4433000000184677E-3</v>
      </c>
      <c r="AP62" s="75">
        <f t="shared" si="16"/>
        <v>5.1148343178302101E-2</v>
      </c>
      <c r="AQ62" s="76">
        <f t="shared" si="11"/>
        <v>2476.5146888148925</v>
      </c>
      <c r="AR62" s="77">
        <f t="shared" si="12"/>
        <v>3.1300000000101136E-2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>
        <v>255</v>
      </c>
      <c r="E63" s="62">
        <v>4.74</v>
      </c>
      <c r="F63" s="62">
        <v>8.19</v>
      </c>
      <c r="G63" s="62">
        <f t="shared" si="0"/>
        <v>12.087000000000002</v>
      </c>
      <c r="H63" s="63">
        <f t="shared" si="1"/>
        <v>20.884499999999999</v>
      </c>
      <c r="I63" s="202">
        <v>1254.56</v>
      </c>
      <c r="J63" s="202">
        <v>1292.1967999999999</v>
      </c>
      <c r="K63" s="202">
        <v>4.305511892615737</v>
      </c>
      <c r="L63" s="202">
        <v>8.2322654954725145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4"/>
        <v>1292.1967999999999</v>
      </c>
      <c r="S63" s="62">
        <f t="shared" si="2"/>
        <v>55.635686899999989</v>
      </c>
      <c r="T63" s="63">
        <f t="shared" si="3"/>
        <v>106.37707129999997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>
        <v>1547</v>
      </c>
      <c r="AI63" s="66">
        <v>4.37</v>
      </c>
      <c r="AJ63" s="66">
        <v>8.1999999999999993</v>
      </c>
      <c r="AK63" s="62">
        <f t="shared" si="8"/>
        <v>67.60390000000001</v>
      </c>
      <c r="AL63" s="72">
        <f t="shared" si="9"/>
        <v>126.85399999999998</v>
      </c>
      <c r="AM63" s="73">
        <f t="shared" si="15"/>
        <v>0.19679999999993925</v>
      </c>
      <c r="AN63" s="74">
        <f t="shared" si="18"/>
        <v>0.11878689999997505</v>
      </c>
      <c r="AO63" s="74">
        <f t="shared" si="18"/>
        <v>0.40757129999998654</v>
      </c>
      <c r="AP63" s="75">
        <f t="shared" si="16"/>
        <v>3.2488688288991908E-3</v>
      </c>
      <c r="AQ63" s="76">
        <f t="shared" si="11"/>
        <v>179.14494748099372</v>
      </c>
      <c r="AR63" s="77">
        <f t="shared" si="12"/>
        <v>0.19679999999993925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47765.024300000019</v>
      </c>
      <c r="X66" s="77"/>
      <c r="AH66" s="77"/>
      <c r="AI66" s="77"/>
      <c r="AJ66" s="77"/>
      <c r="AM66" s="83">
        <f>-SUM(AM4:AM65)</f>
        <v>-662.02429999999845</v>
      </c>
      <c r="AN66" s="83">
        <f t="shared" ref="AN66:AO66" si="19">-SUM(AN4:AN65)</f>
        <v>-224.3486578000001</v>
      </c>
      <c r="AO66" s="83">
        <f t="shared" si="19"/>
        <v>-171.98562489999983</v>
      </c>
      <c r="AP66" s="83" t="e">
        <f>-SUM(AP4:AP65)</f>
        <v>#DIV/0!</v>
      </c>
      <c r="AQ66" s="126">
        <f>-SUM(AQ4:AQ65)</f>
        <v>-159314.99537343494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6" priority="1" operator="lessThan">
      <formula>0.1</formula>
    </cfRule>
    <cfRule type="cellIs" dxfId="115" priority="2" operator="greaterThan">
      <formula>0.1</formula>
    </cfRule>
  </conditionalFormatting>
  <conditionalFormatting sqref="AP1:AQ1">
    <cfRule type="cellIs" dxfId="114" priority="5" operator="lessThan">
      <formula>1</formula>
    </cfRule>
  </conditionalFormatting>
  <conditionalFormatting sqref="AQ4:AQ65">
    <cfRule type="cellIs" dxfId="113" priority="3" operator="lessThan">
      <formula>0</formula>
    </cfRule>
    <cfRule type="cellIs" dxfId="11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71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V62" sqref="V62"/>
    </sheetView>
  </sheetViews>
  <sheetFormatPr defaultRowHeight="15" x14ac:dyDescent="0.25"/>
  <cols>
    <col min="1" max="1" width="3.42578125" customWidth="1"/>
    <col min="2" max="2" width="11.7109375" bestFit="1" customWidth="1"/>
    <col min="3" max="3" width="4.7109375" bestFit="1" customWidth="1"/>
    <col min="4" max="4" width="7.140625" bestFit="1" customWidth="1"/>
    <col min="5" max="5" width="6.28515625" customWidth="1"/>
    <col min="6" max="6" width="5.5703125" bestFit="1" customWidth="1"/>
    <col min="7" max="7" width="7.28515625" customWidth="1"/>
    <col min="8" max="9" width="7.5703125" bestFit="1" customWidth="1"/>
    <col min="10" max="10" width="8.7109375" bestFit="1" customWidth="1"/>
    <col min="11" max="12" width="7.28515625" bestFit="1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8.7109375" bestFit="1" customWidth="1"/>
    <col min="19" max="19" width="7.28515625" customWidth="1"/>
    <col min="20" max="20" width="7.5703125" customWidth="1"/>
    <col min="21" max="21" width="6.7109375" bestFit="1" customWidth="1"/>
    <col min="22" max="22" width="7.140625" bestFit="1" customWidth="1"/>
    <col min="23" max="23" width="12.42578125" bestFit="1" customWidth="1"/>
    <col min="24" max="24" width="7.42578125" bestFit="1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.42578125" customWidth="1"/>
    <col min="36" max="36" width="5.5703125" bestFit="1" customWidth="1"/>
    <col min="37" max="37" width="7.28515625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89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1474</v>
      </c>
      <c r="E4" s="88">
        <v>4.05</v>
      </c>
      <c r="F4" s="88">
        <v>8.18</v>
      </c>
      <c r="G4" s="62">
        <f t="shared" ref="G4" si="0">+D4*E4%</f>
        <v>59.697000000000003</v>
      </c>
      <c r="H4" s="63">
        <f t="shared" ref="H4" si="1">+D4*F4%</f>
        <v>120.5732</v>
      </c>
      <c r="I4" s="202">
        <v>4463.5</v>
      </c>
      <c r="J4" s="202">
        <v>4597.4049999999997</v>
      </c>
      <c r="K4" s="202">
        <v>4.054148090063852</v>
      </c>
      <c r="L4" s="202">
        <v>8.2085807102049984</v>
      </c>
      <c r="M4" s="58" t="s">
        <v>159</v>
      </c>
      <c r="N4" s="58" t="s">
        <v>221</v>
      </c>
      <c r="O4" s="59">
        <v>11290</v>
      </c>
      <c r="P4" s="56">
        <v>3.96</v>
      </c>
      <c r="Q4" s="60">
        <v>8.08</v>
      </c>
      <c r="R4" s="61">
        <f>+J4+O4</f>
        <v>15887.404999999999</v>
      </c>
      <c r="S4" s="62">
        <f t="shared" ref="S4" si="2">+J4*K4%+O4*P4%</f>
        <v>633.469607</v>
      </c>
      <c r="T4" s="63">
        <f t="shared" ref="T4" si="3">+J4*L4%+O4*Q4%</f>
        <v>1289.6137000000001</v>
      </c>
      <c r="U4" s="64" t="s">
        <v>213</v>
      </c>
      <c r="V4" s="65" t="s">
        <v>222</v>
      </c>
      <c r="W4" s="66" t="s">
        <v>182</v>
      </c>
      <c r="X4" s="67">
        <v>13020</v>
      </c>
      <c r="Y4" s="68">
        <v>4.0599999999999996</v>
      </c>
      <c r="Z4" s="68">
        <v>8.1199999999999992</v>
      </c>
      <c r="AA4" s="62">
        <f t="shared" ref="AA4" si="4">X4*Y4%</f>
        <v>528.61199999999997</v>
      </c>
      <c r="AB4" s="63">
        <f t="shared" ref="AB4" si="5">X4*Z4%</f>
        <v>1057.2239999999999</v>
      </c>
      <c r="AC4" s="69">
        <v>12980</v>
      </c>
      <c r="AD4" s="70">
        <v>4.0113636363636358</v>
      </c>
      <c r="AE4" s="70">
        <v>8.0822727272727271</v>
      </c>
      <c r="AF4" s="62">
        <f t="shared" ref="AF4" si="6">AC4*AD4%</f>
        <v>520.67499999999995</v>
      </c>
      <c r="AG4" s="62">
        <f t="shared" ref="AG4" si="7">AC4*AE4%</f>
        <v>1049.079</v>
      </c>
      <c r="AH4" s="89">
        <v>4342</v>
      </c>
      <c r="AI4" s="66">
        <v>3.99</v>
      </c>
      <c r="AJ4" s="66">
        <v>8.14</v>
      </c>
      <c r="AK4" s="62">
        <f t="shared" ref="AK4" si="8">AH4*AI4%</f>
        <v>173.24580000000003</v>
      </c>
      <c r="AL4" s="72">
        <f t="shared" ref="AL4" si="9">AH4*AJ4%</f>
        <v>353.43880000000001</v>
      </c>
      <c r="AM4" s="73">
        <f t="shared" ref="AM4" si="10">+D4+R4-AC4-AH4</f>
        <v>39.404999999998836</v>
      </c>
      <c r="AN4" s="74">
        <f t="shared" ref="AN4:AO4" si="11">+G4+S4-AF4-AK4</f>
        <v>-0.75419299999998657</v>
      </c>
      <c r="AO4" s="74">
        <f t="shared" si="11"/>
        <v>7.669100000000185</v>
      </c>
      <c r="AP4" s="75">
        <f t="shared" ref="AP4" si="12">(AN4+AO4)/(S4+T4)</f>
        <v>3.595739703438754E-3</v>
      </c>
      <c r="AQ4" s="76">
        <f t="shared" ref="AQ4" si="13">($AP$1*AN4+$AQ$1*AO4)</f>
        <v>1934.4128929662315</v>
      </c>
      <c r="AR4" s="90">
        <f t="shared" ref="AR4:AR65" si="14">(D4+J4+O4)-(X4+AH4)</f>
        <v>-0.59500000000116415</v>
      </c>
    </row>
    <row r="5" spans="1:44" x14ac:dyDescent="0.25">
      <c r="A5" t="str">
        <f t="shared" ref="A5:A65" si="15">CONCATENATE(B5,C5)</f>
        <v>46204E</v>
      </c>
      <c r="B5" s="51">
        <f>+B4</f>
        <v>46204</v>
      </c>
      <c r="C5" s="52" t="s">
        <v>88</v>
      </c>
      <c r="D5" s="91">
        <v>4342</v>
      </c>
      <c r="E5" s="62">
        <v>3.99</v>
      </c>
      <c r="F5" s="62">
        <v>8.14</v>
      </c>
      <c r="G5" s="62">
        <f t="shared" ref="G5:G65" si="16">+D5*E5%</f>
        <v>173.24580000000003</v>
      </c>
      <c r="H5" s="63">
        <f t="shared" ref="H5:H65" si="17">+D5*F5%</f>
        <v>353.43880000000001</v>
      </c>
      <c r="I5" s="202">
        <v>4842.3999999999987</v>
      </c>
      <c r="J5" s="202">
        <v>4987.6719999999987</v>
      </c>
      <c r="K5" s="202">
        <v>4.1320398975714516</v>
      </c>
      <c r="L5" s="202">
        <v>8.3110998678341321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4987.6719999999987</v>
      </c>
      <c r="S5" s="62">
        <f t="shared" ref="S5:S65" si="19">+J5*K5%+O5*P5%</f>
        <v>206.09259699999993</v>
      </c>
      <c r="T5" s="63">
        <f t="shared" ref="T5:T65" si="20">+J5*L5%+O5*Q5%</f>
        <v>414.53040099999987</v>
      </c>
      <c r="U5" s="64" t="s">
        <v>168</v>
      </c>
      <c r="V5" s="65" t="s">
        <v>223</v>
      </c>
      <c r="W5" s="66" t="s">
        <v>187</v>
      </c>
      <c r="X5" s="67">
        <v>9470</v>
      </c>
      <c r="Y5" s="68">
        <v>4.0999999999999996</v>
      </c>
      <c r="Z5" s="68">
        <v>8.23</v>
      </c>
      <c r="AA5" s="62">
        <f t="shared" ref="AA5:AA65" si="21">X5*Y5%</f>
        <v>388.26999999999992</v>
      </c>
      <c r="AB5" s="63">
        <f t="shared" ref="AB5:AB65" si="22">X5*Z5%</f>
        <v>779.38099999999997</v>
      </c>
      <c r="AC5" s="69">
        <v>9400</v>
      </c>
      <c r="AD5" s="70">
        <v>4.05</v>
      </c>
      <c r="AE5" s="70">
        <v>8.16</v>
      </c>
      <c r="AF5" s="62">
        <f t="shared" ref="AF5:AF65" si="23">AC5*AD5%</f>
        <v>380.7</v>
      </c>
      <c r="AG5" s="62">
        <f t="shared" ref="AG5:AG65" si="24">AC5*AE5%</f>
        <v>767.04000000000008</v>
      </c>
      <c r="AH5" s="89">
        <v>0</v>
      </c>
      <c r="AI5" s="66">
        <v>0</v>
      </c>
      <c r="AJ5" s="66">
        <v>0</v>
      </c>
      <c r="AK5" s="62">
        <f t="shared" ref="AK5:AK65" si="25">AH5*AI5%</f>
        <v>0</v>
      </c>
      <c r="AL5" s="72">
        <f t="shared" ref="AL5:AL65" si="26">AH5*AJ5%</f>
        <v>0</v>
      </c>
      <c r="AM5" s="73">
        <f t="shared" ref="AM5:AM65" si="27">+D5+R5-AC5-AH5</f>
        <v>-70.328000000001339</v>
      </c>
      <c r="AN5" s="74">
        <f t="shared" ref="AN5:AN65" si="28">+G5+S5-AF5-AK5</f>
        <v>-1.3616030000000023</v>
      </c>
      <c r="AO5" s="74">
        <f t="shared" ref="AO5:AO65" si="29">+H5+T5-AG5-AL5</f>
        <v>0.92920099999980721</v>
      </c>
      <c r="AP5" s="75">
        <f t="shared" ref="AP5:AP65" si="30">(AN5+AO5)/(S5+T5)</f>
        <v>-6.9672248916595133E-4</v>
      </c>
      <c r="AQ5" s="76">
        <f t="shared" ref="AQ5:AQ65" si="31">($AP$1*AN5+$AQ$1*AO5)</f>
        <v>-376.00712953301968</v>
      </c>
      <c r="AR5" s="90">
        <f t="shared" si="14"/>
        <v>-140.32800000000134</v>
      </c>
    </row>
    <row r="6" spans="1:44" x14ac:dyDescent="0.25">
      <c r="A6" t="str">
        <f t="shared" si="15"/>
        <v>46205M</v>
      </c>
      <c r="B6" s="51">
        <f>+B4+1</f>
        <v>46205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16"/>
        <v>0</v>
      </c>
      <c r="H6" s="63">
        <f t="shared" si="17"/>
        <v>0</v>
      </c>
      <c r="I6" s="202">
        <v>4351.7999999999993</v>
      </c>
      <c r="J6" s="202">
        <v>4482.3539999999994</v>
      </c>
      <c r="K6" s="202">
        <v>4.1616043935842635</v>
      </c>
      <c r="L6" s="202">
        <v>8.1799783997426356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4482.3539999999994</v>
      </c>
      <c r="S6" s="62">
        <f t="shared" si="19"/>
        <v>186.53784099999996</v>
      </c>
      <c r="T6" s="63">
        <f t="shared" si="20"/>
        <v>366.65558899999996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21"/>
        <v>0</v>
      </c>
      <c r="AB6" s="63">
        <f t="shared" si="22"/>
        <v>0</v>
      </c>
      <c r="AC6" s="69"/>
      <c r="AD6" s="70"/>
      <c r="AE6" s="70"/>
      <c r="AF6" s="62">
        <f t="shared" si="23"/>
        <v>0</v>
      </c>
      <c r="AG6" s="62">
        <f t="shared" si="24"/>
        <v>0</v>
      </c>
      <c r="AH6" s="89">
        <v>4377</v>
      </c>
      <c r="AI6" s="66">
        <v>4.1399999999999997</v>
      </c>
      <c r="AJ6" s="66">
        <v>8.17</v>
      </c>
      <c r="AK6" s="62">
        <f t="shared" si="25"/>
        <v>181.20779999999999</v>
      </c>
      <c r="AL6" s="72">
        <f t="shared" si="26"/>
        <v>357.60089999999997</v>
      </c>
      <c r="AM6" s="73">
        <f t="shared" si="27"/>
        <v>105.35399999999936</v>
      </c>
      <c r="AN6" s="74">
        <f t="shared" si="28"/>
        <v>5.3300409999999658</v>
      </c>
      <c r="AO6" s="74">
        <f t="shared" si="29"/>
        <v>9.0546889999999962</v>
      </c>
      <c r="AP6" s="75">
        <f t="shared" si="30"/>
        <v>2.600307454844495E-2</v>
      </c>
      <c r="AQ6" s="76">
        <f t="shared" si="31"/>
        <v>5273.0569203142695</v>
      </c>
      <c r="AR6" s="90">
        <f t="shared" si="14"/>
        <v>105.35399999999936</v>
      </c>
    </row>
    <row r="7" spans="1:44" x14ac:dyDescent="0.25">
      <c r="A7" t="str">
        <f t="shared" si="15"/>
        <v>46205E</v>
      </c>
      <c r="B7" s="51">
        <f>+B5+1</f>
        <v>46205</v>
      </c>
      <c r="C7" s="52" t="s">
        <v>88</v>
      </c>
      <c r="D7" s="91">
        <v>4377</v>
      </c>
      <c r="E7" s="62">
        <v>4.1399999999999997</v>
      </c>
      <c r="F7" s="62">
        <v>8.17</v>
      </c>
      <c r="G7" s="62">
        <f t="shared" si="16"/>
        <v>181.20779999999999</v>
      </c>
      <c r="H7" s="63">
        <f t="shared" si="17"/>
        <v>357.60089999999997</v>
      </c>
      <c r="I7" s="202">
        <v>4341.2999999999993</v>
      </c>
      <c r="J7" s="202">
        <v>4471.5389999999998</v>
      </c>
      <c r="K7" s="202">
        <v>3.8669085297030823</v>
      </c>
      <c r="L7" s="202">
        <v>8.1581784258171481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4471.5389999999998</v>
      </c>
      <c r="S7" s="62">
        <f t="shared" si="19"/>
        <v>172.91032299999989</v>
      </c>
      <c r="T7" s="63">
        <f t="shared" si="20"/>
        <v>364.79612999999978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21"/>
        <v>0</v>
      </c>
      <c r="AB7" s="63">
        <f t="shared" si="22"/>
        <v>0</v>
      </c>
      <c r="AC7" s="69"/>
      <c r="AD7" s="70"/>
      <c r="AE7" s="70"/>
      <c r="AF7" s="62">
        <f t="shared" si="23"/>
        <v>0</v>
      </c>
      <c r="AG7" s="62">
        <f t="shared" si="24"/>
        <v>0</v>
      </c>
      <c r="AH7" s="89">
        <v>8850</v>
      </c>
      <c r="AI7" s="66">
        <v>4</v>
      </c>
      <c r="AJ7" s="66">
        <v>8.17</v>
      </c>
      <c r="AK7" s="62">
        <f t="shared" si="25"/>
        <v>354</v>
      </c>
      <c r="AL7" s="72">
        <f t="shared" si="26"/>
        <v>723.04499999999996</v>
      </c>
      <c r="AM7" s="73">
        <f t="shared" si="27"/>
        <v>-1.4609999999993306</v>
      </c>
      <c r="AN7" s="74">
        <f t="shared" si="28"/>
        <v>0.11812299999985498</v>
      </c>
      <c r="AO7" s="74">
        <f t="shared" si="29"/>
        <v>-0.64797000000021399</v>
      </c>
      <c r="AP7" s="75">
        <f t="shared" si="30"/>
        <v>-9.853833760859838E-4</v>
      </c>
      <c r="AQ7" s="76">
        <f t="shared" si="31"/>
        <v>-137.29930045861727</v>
      </c>
      <c r="AR7" s="90">
        <f t="shared" si="14"/>
        <v>-1.4609999999993306</v>
      </c>
    </row>
    <row r="8" spans="1:44" x14ac:dyDescent="0.25">
      <c r="A8" t="str">
        <f t="shared" si="15"/>
        <v>46206M</v>
      </c>
      <c r="B8" s="51">
        <f>+B6+1</f>
        <v>46206</v>
      </c>
      <c r="C8" s="52" t="s">
        <v>87</v>
      </c>
      <c r="D8" s="91">
        <v>8850</v>
      </c>
      <c r="E8" s="62">
        <v>4</v>
      </c>
      <c r="F8" s="62">
        <v>8.17</v>
      </c>
      <c r="G8" s="62">
        <f t="shared" si="16"/>
        <v>354</v>
      </c>
      <c r="H8" s="63">
        <f t="shared" si="17"/>
        <v>723.04499999999996</v>
      </c>
      <c r="I8" s="202">
        <v>5235.5</v>
      </c>
      <c r="J8" s="202">
        <v>5392.5650000000005</v>
      </c>
      <c r="K8" s="202">
        <v>4.0472275809378306</v>
      </c>
      <c r="L8" s="202">
        <v>8.1323694012033201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5392.5650000000005</v>
      </c>
      <c r="S8" s="62">
        <f t="shared" si="19"/>
        <v>218.24937800000018</v>
      </c>
      <c r="T8" s="63">
        <f t="shared" si="20"/>
        <v>438.54330599999986</v>
      </c>
      <c r="U8" s="64" t="s">
        <v>311</v>
      </c>
      <c r="V8" s="65" t="s">
        <v>312</v>
      </c>
      <c r="W8" s="66" t="s">
        <v>187</v>
      </c>
      <c r="X8" s="67">
        <v>10070</v>
      </c>
      <c r="Y8" s="68">
        <v>4.2</v>
      </c>
      <c r="Z8" s="68">
        <v>8.25</v>
      </c>
      <c r="AA8" s="62">
        <f t="shared" si="21"/>
        <v>422.94000000000005</v>
      </c>
      <c r="AB8" s="63">
        <f t="shared" si="22"/>
        <v>830.77500000000009</v>
      </c>
      <c r="AC8" s="69">
        <v>10330</v>
      </c>
      <c r="AD8" s="70">
        <v>4.1500000000000004</v>
      </c>
      <c r="AE8" s="70">
        <v>8.17</v>
      </c>
      <c r="AF8" s="62">
        <f t="shared" si="23"/>
        <v>428.69500000000005</v>
      </c>
      <c r="AG8" s="62">
        <f t="shared" si="24"/>
        <v>843.9609999999999</v>
      </c>
      <c r="AH8" s="89">
        <v>4174</v>
      </c>
      <c r="AI8" s="66">
        <v>4.0199999999999996</v>
      </c>
      <c r="AJ8" s="66">
        <v>8.15</v>
      </c>
      <c r="AK8" s="62">
        <f t="shared" si="25"/>
        <v>167.79479999999998</v>
      </c>
      <c r="AL8" s="72">
        <f t="shared" si="26"/>
        <v>340.18100000000004</v>
      </c>
      <c r="AM8" s="73">
        <f t="shared" si="27"/>
        <v>-261.43499999999949</v>
      </c>
      <c r="AN8" s="74">
        <f t="shared" si="28"/>
        <v>-24.240421999999825</v>
      </c>
      <c r="AO8" s="74">
        <f t="shared" si="29"/>
        <v>-22.553694000000064</v>
      </c>
      <c r="AP8" s="75">
        <f t="shared" si="30"/>
        <v>-7.1246402616750054E-2</v>
      </c>
      <c r="AQ8" s="76">
        <f t="shared" si="31"/>
        <v>-18402.94227858229</v>
      </c>
      <c r="AR8" s="90">
        <f t="shared" ref="AR8:AR15" si="32">(D8+J8+O8)-(X8+AH8)</f>
        <v>-1.4349999999994907</v>
      </c>
    </row>
    <row r="9" spans="1:44" x14ac:dyDescent="0.25">
      <c r="A9" t="str">
        <f t="shared" si="15"/>
        <v>46206E</v>
      </c>
      <c r="B9" s="51">
        <f t="shared" ref="B9:B65" si="33">+B7+1</f>
        <v>46206</v>
      </c>
      <c r="C9" s="52" t="s">
        <v>88</v>
      </c>
      <c r="D9" s="91">
        <v>4174</v>
      </c>
      <c r="E9" s="62">
        <v>4.0199999999999996</v>
      </c>
      <c r="F9" s="62">
        <v>8.15</v>
      </c>
      <c r="G9" s="62">
        <f t="shared" si="16"/>
        <v>167.79479999999998</v>
      </c>
      <c r="H9" s="63">
        <f t="shared" si="17"/>
        <v>340.18100000000004</v>
      </c>
      <c r="I9" s="202">
        <v>4401</v>
      </c>
      <c r="J9" s="202">
        <v>4533.03</v>
      </c>
      <c r="K9" s="202">
        <v>3.9655532833446943</v>
      </c>
      <c r="L9" s="202">
        <v>8.2206339468302669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4533.03</v>
      </c>
      <c r="S9" s="62">
        <f t="shared" si="19"/>
        <v>179.75971999999999</v>
      </c>
      <c r="T9" s="63">
        <f t="shared" si="20"/>
        <v>372.64380299999999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21"/>
        <v>0</v>
      </c>
      <c r="AB9" s="63">
        <f t="shared" si="22"/>
        <v>0</v>
      </c>
      <c r="AC9" s="69"/>
      <c r="AD9" s="70"/>
      <c r="AE9" s="70"/>
      <c r="AF9" s="62">
        <f t="shared" si="23"/>
        <v>0</v>
      </c>
      <c r="AG9" s="62">
        <f t="shared" si="24"/>
        <v>0</v>
      </c>
      <c r="AH9" s="89">
        <v>8708</v>
      </c>
      <c r="AI9" s="66">
        <v>3.99</v>
      </c>
      <c r="AJ9" s="66">
        <v>8.19</v>
      </c>
      <c r="AK9" s="62">
        <f t="shared" si="25"/>
        <v>347.44920000000002</v>
      </c>
      <c r="AL9" s="72">
        <f t="shared" si="26"/>
        <v>713.18520000000001</v>
      </c>
      <c r="AM9" s="73">
        <f t="shared" si="27"/>
        <v>-0.97000000000116415</v>
      </c>
      <c r="AN9" s="74">
        <f t="shared" si="28"/>
        <v>0.10531999999994923</v>
      </c>
      <c r="AO9" s="74">
        <f t="shared" si="29"/>
        <v>-0.3603970000000345</v>
      </c>
      <c r="AP9" s="75">
        <f t="shared" si="30"/>
        <v>-4.617584598570442E-4</v>
      </c>
      <c r="AQ9" s="76">
        <f t="shared" si="31"/>
        <v>-57.326005272213678</v>
      </c>
      <c r="AR9" s="90">
        <f t="shared" si="32"/>
        <v>-0.97000000000116415</v>
      </c>
    </row>
    <row r="10" spans="1:44" x14ac:dyDescent="0.25">
      <c r="A10" t="str">
        <f t="shared" si="15"/>
        <v>46207M</v>
      </c>
      <c r="B10" s="51">
        <f t="shared" si="33"/>
        <v>46207</v>
      </c>
      <c r="C10" s="52" t="s">
        <v>87</v>
      </c>
      <c r="D10" s="91">
        <v>8708</v>
      </c>
      <c r="E10" s="62">
        <v>3.99</v>
      </c>
      <c r="F10" s="62">
        <v>8.19</v>
      </c>
      <c r="G10" s="62">
        <f t="shared" si="16"/>
        <v>347.44920000000002</v>
      </c>
      <c r="H10" s="63">
        <f t="shared" si="17"/>
        <v>713.18520000000001</v>
      </c>
      <c r="I10" s="202">
        <v>4145.3</v>
      </c>
      <c r="J10" s="202">
        <v>4269.6590000000006</v>
      </c>
      <c r="K10" s="202">
        <v>4.2052420813933846</v>
      </c>
      <c r="L10" s="202">
        <v>8.2220201191711055</v>
      </c>
      <c r="M10" s="58" t="s">
        <v>159</v>
      </c>
      <c r="N10" s="58" t="s">
        <v>309</v>
      </c>
      <c r="O10" s="59">
        <v>5900</v>
      </c>
      <c r="P10" s="56">
        <v>4.05</v>
      </c>
      <c r="Q10" s="60">
        <v>8.15</v>
      </c>
      <c r="R10" s="61">
        <f t="shared" si="18"/>
        <v>10169.659</v>
      </c>
      <c r="S10" s="62">
        <f t="shared" si="19"/>
        <v>418.49949700000002</v>
      </c>
      <c r="T10" s="63">
        <f t="shared" si="20"/>
        <v>831.90222199999994</v>
      </c>
      <c r="U10" s="64" t="s">
        <v>213</v>
      </c>
      <c r="V10" s="65" t="s">
        <v>313</v>
      </c>
      <c r="W10" s="66" t="s">
        <v>314</v>
      </c>
      <c r="X10" s="67">
        <v>15970</v>
      </c>
      <c r="Y10" s="68">
        <v>4.1900000000000004</v>
      </c>
      <c r="Z10" s="68">
        <v>8.2899999999999991</v>
      </c>
      <c r="AA10" s="62">
        <f t="shared" si="21"/>
        <v>669.14300000000014</v>
      </c>
      <c r="AB10" s="63">
        <f t="shared" si="22"/>
        <v>1323.9129999999998</v>
      </c>
      <c r="AC10" s="69">
        <v>15910</v>
      </c>
      <c r="AD10" s="70">
        <v>4.1443746071653038</v>
      </c>
      <c r="AE10" s="70">
        <v>8.2129164047768697</v>
      </c>
      <c r="AF10" s="62">
        <f t="shared" si="23"/>
        <v>659.36999999999989</v>
      </c>
      <c r="AG10" s="62">
        <f t="shared" si="24"/>
        <v>1306.675</v>
      </c>
      <c r="AH10" s="89">
        <v>2915</v>
      </c>
      <c r="AI10" s="66">
        <v>4.0599999999999996</v>
      </c>
      <c r="AJ10" s="66">
        <v>8.18</v>
      </c>
      <c r="AK10" s="62">
        <f t="shared" si="25"/>
        <v>118.34899999999999</v>
      </c>
      <c r="AL10" s="72">
        <f t="shared" si="26"/>
        <v>238.447</v>
      </c>
      <c r="AM10" s="73">
        <f t="shared" si="27"/>
        <v>52.658999999999651</v>
      </c>
      <c r="AN10" s="74">
        <f t="shared" si="28"/>
        <v>-11.770302999999842</v>
      </c>
      <c r="AO10" s="74">
        <f t="shared" si="29"/>
        <v>-3.4577999999896747E-2</v>
      </c>
      <c r="AP10" s="75">
        <f t="shared" si="30"/>
        <v>-9.4408707382781024E-3</v>
      </c>
      <c r="AQ10" s="76">
        <f t="shared" si="31"/>
        <v>-5666.3694759602786</v>
      </c>
      <c r="AR10" s="90">
        <f t="shared" si="32"/>
        <v>-7.3410000000003492</v>
      </c>
    </row>
    <row r="11" spans="1:44" ht="14.25" customHeight="1" x14ac:dyDescent="0.25">
      <c r="A11" t="str">
        <f t="shared" si="15"/>
        <v>46207E</v>
      </c>
      <c r="B11" s="51">
        <f t="shared" si="33"/>
        <v>46207</v>
      </c>
      <c r="C11" s="52" t="s">
        <v>88</v>
      </c>
      <c r="D11" s="91">
        <v>2915</v>
      </c>
      <c r="E11" s="62">
        <v>4.0599999999999996</v>
      </c>
      <c r="F11" s="62">
        <v>8.18</v>
      </c>
      <c r="G11" s="62">
        <f t="shared" si="16"/>
        <v>118.34899999999999</v>
      </c>
      <c r="H11" s="63">
        <f t="shared" si="17"/>
        <v>238.447</v>
      </c>
      <c r="I11" s="202">
        <v>4211.3</v>
      </c>
      <c r="J11" s="202">
        <v>4337.6390000000001</v>
      </c>
      <c r="K11" s="202">
        <v>4.0602474295348232</v>
      </c>
      <c r="L11" s="202">
        <v>8.1991570298957601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4337.6390000000001</v>
      </c>
      <c r="S11" s="62">
        <f t="shared" si="19"/>
        <v>176.118876</v>
      </c>
      <c r="T11" s="63">
        <f t="shared" si="20"/>
        <v>355.64983300000011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1"/>
        <v>0</v>
      </c>
      <c r="AB11" s="63">
        <f t="shared" si="22"/>
        <v>0</v>
      </c>
      <c r="AC11" s="69"/>
      <c r="AD11" s="70"/>
      <c r="AE11" s="70"/>
      <c r="AF11" s="62">
        <f t="shared" si="23"/>
        <v>0</v>
      </c>
      <c r="AG11" s="62">
        <f t="shared" si="24"/>
        <v>0</v>
      </c>
      <c r="AH11" s="89">
        <v>7254</v>
      </c>
      <c r="AI11" s="66">
        <v>4.0599999999999996</v>
      </c>
      <c r="AJ11" s="66">
        <v>8.19</v>
      </c>
      <c r="AK11" s="62">
        <f t="shared" si="25"/>
        <v>294.51239999999996</v>
      </c>
      <c r="AL11" s="72">
        <f t="shared" si="26"/>
        <v>594.10260000000005</v>
      </c>
      <c r="AM11" s="73">
        <f t="shared" si="27"/>
        <v>-1.3609999999998763</v>
      </c>
      <c r="AN11" s="74">
        <f t="shared" si="28"/>
        <v>-4.4523999999967145E-2</v>
      </c>
      <c r="AO11" s="74">
        <f t="shared" si="29"/>
        <v>-5.7669999999916399E-3</v>
      </c>
      <c r="AP11" s="75">
        <f t="shared" si="30"/>
        <v>-9.4573071240938269E-5</v>
      </c>
      <c r="AQ11" s="76">
        <f t="shared" si="31"/>
        <v>-23.122396256255961</v>
      </c>
      <c r="AR11" s="90">
        <f t="shared" si="32"/>
        <v>-1.3609999999998763</v>
      </c>
    </row>
    <row r="12" spans="1:44" x14ac:dyDescent="0.25">
      <c r="A12" t="str">
        <f t="shared" si="15"/>
        <v>46208M</v>
      </c>
      <c r="B12" s="51">
        <f t="shared" si="33"/>
        <v>46208</v>
      </c>
      <c r="C12" s="52" t="s">
        <v>87</v>
      </c>
      <c r="D12" s="91">
        <v>7254</v>
      </c>
      <c r="E12" s="62">
        <v>4.0599999999999996</v>
      </c>
      <c r="F12" s="62">
        <v>8.19</v>
      </c>
      <c r="G12" s="62">
        <f t="shared" si="16"/>
        <v>294.51239999999996</v>
      </c>
      <c r="H12" s="63">
        <f t="shared" si="17"/>
        <v>594.10260000000005</v>
      </c>
      <c r="I12" s="202">
        <v>4097.8</v>
      </c>
      <c r="J12" s="202">
        <v>4220.7340000000004</v>
      </c>
      <c r="K12" s="202">
        <v>4.4225974913368145</v>
      </c>
      <c r="L12" s="202">
        <v>8.2752623358875503</v>
      </c>
      <c r="M12" s="58" t="s">
        <v>159</v>
      </c>
      <c r="N12" s="58" t="s">
        <v>310</v>
      </c>
      <c r="O12" s="59">
        <v>6575</v>
      </c>
      <c r="P12" s="56">
        <v>3.65</v>
      </c>
      <c r="Q12" s="60">
        <v>8.15</v>
      </c>
      <c r="R12" s="61">
        <f t="shared" si="18"/>
        <v>10795.734</v>
      </c>
      <c r="S12" s="62">
        <f t="shared" si="19"/>
        <v>426.65357599999999</v>
      </c>
      <c r="T12" s="63">
        <f t="shared" si="20"/>
        <v>885.13931100000013</v>
      </c>
      <c r="U12" s="64" t="s">
        <v>311</v>
      </c>
      <c r="V12" s="65" t="s">
        <v>315</v>
      </c>
      <c r="W12" s="66" t="s">
        <v>187</v>
      </c>
      <c r="X12" s="67">
        <v>10070</v>
      </c>
      <c r="Y12" s="68">
        <v>4.3</v>
      </c>
      <c r="Z12" s="68">
        <v>8.33</v>
      </c>
      <c r="AA12" s="62">
        <f t="shared" si="21"/>
        <v>433.01</v>
      </c>
      <c r="AB12" s="63">
        <f t="shared" si="22"/>
        <v>838.83100000000002</v>
      </c>
      <c r="AC12" s="69">
        <v>10020</v>
      </c>
      <c r="AD12" s="70">
        <v>4.2516966067864272</v>
      </c>
      <c r="AE12" s="70">
        <v>8.1983033932135729</v>
      </c>
      <c r="AF12" s="62">
        <f t="shared" si="23"/>
        <v>426.02000000000004</v>
      </c>
      <c r="AG12" s="62">
        <f t="shared" si="24"/>
        <v>821.47</v>
      </c>
      <c r="AH12" s="89">
        <v>8235</v>
      </c>
      <c r="AI12" s="66">
        <v>4.0199999999999996</v>
      </c>
      <c r="AJ12" s="66">
        <v>8.1999999999999993</v>
      </c>
      <c r="AK12" s="62">
        <f t="shared" si="25"/>
        <v>331.04699999999991</v>
      </c>
      <c r="AL12" s="72">
        <f t="shared" si="26"/>
        <v>675.26999999999987</v>
      </c>
      <c r="AM12" s="73">
        <f t="shared" si="27"/>
        <v>-205.26599999999962</v>
      </c>
      <c r="AN12" s="74">
        <f t="shared" si="28"/>
        <v>-35.90102399999995</v>
      </c>
      <c r="AO12" s="74">
        <f t="shared" si="29"/>
        <v>-17.498088999999823</v>
      </c>
      <c r="AP12" s="75">
        <f t="shared" si="30"/>
        <v>-4.0706969468420187E-2</v>
      </c>
      <c r="AQ12" s="76">
        <f t="shared" si="31"/>
        <v>-22492.132360577591</v>
      </c>
      <c r="AR12" s="90">
        <f t="shared" si="32"/>
        <v>-255.26599999999962</v>
      </c>
    </row>
    <row r="13" spans="1:44" x14ac:dyDescent="0.25">
      <c r="A13" t="str">
        <f t="shared" si="15"/>
        <v>46208E</v>
      </c>
      <c r="B13" s="51">
        <f t="shared" si="33"/>
        <v>46208</v>
      </c>
      <c r="C13" s="52" t="s">
        <v>88</v>
      </c>
      <c r="D13" s="91">
        <v>8235</v>
      </c>
      <c r="E13" s="62">
        <v>4.0199999999999996</v>
      </c>
      <c r="F13" s="62">
        <v>8.1999999999999993</v>
      </c>
      <c r="G13" s="62">
        <f t="shared" si="16"/>
        <v>331.04699999999991</v>
      </c>
      <c r="H13" s="63">
        <f t="shared" si="17"/>
        <v>675.26999999999987</v>
      </c>
      <c r="I13" s="202">
        <v>5341.8000000000011</v>
      </c>
      <c r="J13" s="202">
        <v>5502.054000000001</v>
      </c>
      <c r="K13" s="202">
        <v>4.0856565202740649</v>
      </c>
      <c r="L13" s="202">
        <v>8.1371915833614121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5502.054000000001</v>
      </c>
      <c r="S13" s="62">
        <f t="shared" si="19"/>
        <v>224.79502800000003</v>
      </c>
      <c r="T13" s="63">
        <f t="shared" si="20"/>
        <v>447.71267499999999</v>
      </c>
      <c r="U13" s="64" t="s">
        <v>168</v>
      </c>
      <c r="V13" s="65" t="s">
        <v>316</v>
      </c>
      <c r="W13" s="66" t="s">
        <v>182</v>
      </c>
      <c r="X13" s="67">
        <v>9870</v>
      </c>
      <c r="Y13" s="68">
        <v>4.05</v>
      </c>
      <c r="Z13" s="68">
        <v>8.2799999999999994</v>
      </c>
      <c r="AA13" s="62">
        <f t="shared" si="21"/>
        <v>399.73500000000001</v>
      </c>
      <c r="AB13" s="63">
        <f t="shared" si="22"/>
        <v>817.23599999999999</v>
      </c>
      <c r="AC13" s="69">
        <v>9840</v>
      </c>
      <c r="AD13" s="70">
        <v>3.8499999999999996</v>
      </c>
      <c r="AE13" s="70">
        <v>8.1799999999999979</v>
      </c>
      <c r="AF13" s="62">
        <f t="shared" si="23"/>
        <v>378.84</v>
      </c>
      <c r="AG13" s="62">
        <f t="shared" si="24"/>
        <v>804.91199999999981</v>
      </c>
      <c r="AH13" s="89">
        <v>3918</v>
      </c>
      <c r="AI13" s="66">
        <v>4.05</v>
      </c>
      <c r="AJ13" s="66">
        <v>8.18</v>
      </c>
      <c r="AK13" s="62">
        <f t="shared" si="25"/>
        <v>158.679</v>
      </c>
      <c r="AL13" s="72">
        <f t="shared" si="26"/>
        <v>320.49239999999998</v>
      </c>
      <c r="AM13" s="73">
        <f t="shared" si="27"/>
        <v>-20.945999999999913</v>
      </c>
      <c r="AN13" s="74">
        <f t="shared" si="28"/>
        <v>18.323027999999937</v>
      </c>
      <c r="AO13" s="74">
        <f t="shared" si="29"/>
        <v>-2.4217250000000377</v>
      </c>
      <c r="AP13" s="75">
        <f t="shared" si="30"/>
        <v>2.3644789389125998E-2</v>
      </c>
      <c r="AQ13" s="76">
        <f t="shared" si="31"/>
        <v>8079.5262250019114</v>
      </c>
      <c r="AR13" s="90">
        <f t="shared" si="32"/>
        <v>-50.945999999999913</v>
      </c>
    </row>
    <row r="14" spans="1:44" x14ac:dyDescent="0.25">
      <c r="A14" t="str">
        <f t="shared" si="15"/>
        <v>46209M</v>
      </c>
      <c r="B14" s="51">
        <f t="shared" si="33"/>
        <v>46209</v>
      </c>
      <c r="C14" s="52" t="s">
        <v>87</v>
      </c>
      <c r="D14" s="91">
        <v>3918</v>
      </c>
      <c r="E14" s="62">
        <v>4.05</v>
      </c>
      <c r="F14" s="62">
        <v>8.18</v>
      </c>
      <c r="G14" s="62">
        <f t="shared" si="16"/>
        <v>158.679</v>
      </c>
      <c r="H14" s="63">
        <f t="shared" si="17"/>
        <v>320.49239999999998</v>
      </c>
      <c r="I14" s="202">
        <v>4272</v>
      </c>
      <c r="J14" s="202">
        <v>4400.16</v>
      </c>
      <c r="K14" s="202">
        <v>4.3904049625468184</v>
      </c>
      <c r="L14" s="202">
        <v>8.3346722846441974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4400.16</v>
      </c>
      <c r="S14" s="62">
        <f t="shared" si="19"/>
        <v>193.18484300000009</v>
      </c>
      <c r="T14" s="63">
        <f t="shared" si="20"/>
        <v>366.73891600000007</v>
      </c>
      <c r="U14" s="64" t="s">
        <v>311</v>
      </c>
      <c r="V14" s="65" t="s">
        <v>317</v>
      </c>
      <c r="W14" s="66" t="s">
        <v>187</v>
      </c>
      <c r="X14" s="67">
        <v>10070</v>
      </c>
      <c r="Y14" s="68">
        <v>4.3</v>
      </c>
      <c r="Z14" s="68">
        <v>8.33</v>
      </c>
      <c r="AA14" s="62">
        <f t="shared" si="21"/>
        <v>433.01</v>
      </c>
      <c r="AB14" s="63">
        <f t="shared" si="22"/>
        <v>838.83100000000002</v>
      </c>
      <c r="AC14" s="69">
        <v>10030</v>
      </c>
      <c r="AD14" s="70">
        <v>4.1257228315054837</v>
      </c>
      <c r="AE14" s="70">
        <v>7.9902891326021939</v>
      </c>
      <c r="AF14" s="62">
        <f t="shared" si="23"/>
        <v>413.81</v>
      </c>
      <c r="AG14" s="62">
        <f t="shared" si="24"/>
        <v>801.42600000000004</v>
      </c>
      <c r="AH14" s="89">
        <v>0</v>
      </c>
      <c r="AI14" s="66">
        <v>0</v>
      </c>
      <c r="AJ14" s="66">
        <v>0</v>
      </c>
      <c r="AK14" s="62">
        <f t="shared" si="25"/>
        <v>0</v>
      </c>
      <c r="AL14" s="72">
        <f t="shared" si="26"/>
        <v>0</v>
      </c>
      <c r="AM14" s="73">
        <f t="shared" si="27"/>
        <v>-1711.8400000000001</v>
      </c>
      <c r="AN14" s="74">
        <f t="shared" si="28"/>
        <v>-61.946156999999914</v>
      </c>
      <c r="AO14" s="74">
        <f t="shared" si="29"/>
        <v>-114.19468399999994</v>
      </c>
      <c r="AP14" s="75">
        <f t="shared" si="30"/>
        <v>-0.3145800444592311</v>
      </c>
      <c r="AQ14" s="76">
        <f t="shared" si="31"/>
        <v>-63967.43580305748</v>
      </c>
      <c r="AR14" s="90">
        <f t="shared" si="32"/>
        <v>-1751.8400000000001</v>
      </c>
    </row>
    <row r="15" spans="1:44" x14ac:dyDescent="0.25">
      <c r="A15" t="str">
        <f t="shared" si="15"/>
        <v>46209E</v>
      </c>
      <c r="B15" s="51">
        <f t="shared" si="33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16"/>
        <v>0</v>
      </c>
      <c r="H15" s="63">
        <f t="shared" si="17"/>
        <v>0</v>
      </c>
      <c r="I15" s="202">
        <v>4406</v>
      </c>
      <c r="J15" s="202">
        <v>4538.18</v>
      </c>
      <c r="K15" s="202">
        <v>4.0982682705401707</v>
      </c>
      <c r="L15" s="202">
        <v>8.2560485701316395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4538.18</v>
      </c>
      <c r="S15" s="62">
        <f t="shared" si="19"/>
        <v>185.98679099999993</v>
      </c>
      <c r="T15" s="63">
        <f t="shared" si="20"/>
        <v>374.67434500000007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1"/>
        <v>0</v>
      </c>
      <c r="AB15" s="63">
        <f t="shared" si="22"/>
        <v>0</v>
      </c>
      <c r="AC15" s="69"/>
      <c r="AD15" s="70"/>
      <c r="AE15" s="70"/>
      <c r="AF15" s="62">
        <f t="shared" si="23"/>
        <v>0</v>
      </c>
      <c r="AG15" s="62">
        <f t="shared" si="24"/>
        <v>0</v>
      </c>
      <c r="AH15" s="89">
        <v>4539</v>
      </c>
      <c r="AI15" s="66">
        <v>4.0999999999999996</v>
      </c>
      <c r="AJ15" s="66">
        <v>8.26</v>
      </c>
      <c r="AK15" s="62">
        <f t="shared" si="25"/>
        <v>186.09899999999999</v>
      </c>
      <c r="AL15" s="72">
        <f t="shared" si="26"/>
        <v>374.92139999999995</v>
      </c>
      <c r="AM15" s="73">
        <f t="shared" si="27"/>
        <v>-0.81999999999970896</v>
      </c>
      <c r="AN15" s="74">
        <f t="shared" si="28"/>
        <v>-0.11220900000006395</v>
      </c>
      <c r="AO15" s="74">
        <f t="shared" si="29"/>
        <v>-0.24705499999987524</v>
      </c>
      <c r="AP15" s="75">
        <f t="shared" si="30"/>
        <v>-6.4078634478409652E-4</v>
      </c>
      <c r="AQ15" s="76">
        <f t="shared" si="31"/>
        <v>-127.91084959200307</v>
      </c>
      <c r="AR15" s="90">
        <f t="shared" si="32"/>
        <v>-0.81999999999970896</v>
      </c>
    </row>
    <row r="16" spans="1:44" x14ac:dyDescent="0.25">
      <c r="A16" t="str">
        <f t="shared" si="15"/>
        <v>46210M</v>
      </c>
      <c r="B16" s="51">
        <f t="shared" si="33"/>
        <v>46210</v>
      </c>
      <c r="C16" s="52" t="s">
        <v>87</v>
      </c>
      <c r="D16" s="91">
        <v>4539</v>
      </c>
      <c r="E16" s="62">
        <v>4.0999999999999996</v>
      </c>
      <c r="F16" s="62">
        <v>8.26</v>
      </c>
      <c r="G16" s="62">
        <f t="shared" si="16"/>
        <v>186.09899999999999</v>
      </c>
      <c r="H16" s="63">
        <f t="shared" si="17"/>
        <v>374.92139999999995</v>
      </c>
      <c r="I16" s="202">
        <v>4827.7000000000016</v>
      </c>
      <c r="J16" s="202">
        <v>4972.5310000000018</v>
      </c>
      <c r="K16" s="202">
        <v>4.1540775110300983</v>
      </c>
      <c r="L16" s="202">
        <v>8.2609669200654565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4972.5310000000018</v>
      </c>
      <c r="S16" s="62">
        <f t="shared" si="19"/>
        <v>206.56279200000014</v>
      </c>
      <c r="T16" s="63">
        <f t="shared" si="20"/>
        <v>410.77914100000015</v>
      </c>
      <c r="U16" s="64" t="s">
        <v>189</v>
      </c>
      <c r="V16" s="65" t="s">
        <v>385</v>
      </c>
      <c r="W16" s="66" t="s">
        <v>187</v>
      </c>
      <c r="X16" s="67">
        <v>10000</v>
      </c>
      <c r="Y16" s="68">
        <v>4.25</v>
      </c>
      <c r="Z16" s="68">
        <v>8.26</v>
      </c>
      <c r="AA16" s="62">
        <f t="shared" si="21"/>
        <v>425.00000000000006</v>
      </c>
      <c r="AB16" s="63">
        <f t="shared" si="22"/>
        <v>825.99999999999989</v>
      </c>
      <c r="AC16" s="69">
        <v>9970</v>
      </c>
      <c r="AD16" s="70">
        <v>4.2</v>
      </c>
      <c r="AE16" s="70">
        <v>8.19</v>
      </c>
      <c r="AF16" s="62">
        <f t="shared" si="23"/>
        <v>418.74</v>
      </c>
      <c r="AG16" s="62">
        <f t="shared" si="24"/>
        <v>816.54300000000001</v>
      </c>
      <c r="AH16" s="89">
        <v>150</v>
      </c>
      <c r="AI16" s="66">
        <v>4.17</v>
      </c>
      <c r="AJ16" s="66">
        <v>8.27</v>
      </c>
      <c r="AK16" s="62">
        <f t="shared" si="25"/>
        <v>6.2549999999999999</v>
      </c>
      <c r="AL16" s="72">
        <f t="shared" si="26"/>
        <v>12.404999999999999</v>
      </c>
      <c r="AM16" s="73">
        <f t="shared" si="27"/>
        <v>-608.46899999999732</v>
      </c>
      <c r="AN16" s="74">
        <f t="shared" si="28"/>
        <v>-32.333207999999907</v>
      </c>
      <c r="AO16" s="74">
        <f t="shared" si="29"/>
        <v>-43.24745899999985</v>
      </c>
      <c r="AP16" s="75">
        <f t="shared" si="30"/>
        <v>-0.12242918058832028</v>
      </c>
      <c r="AQ16" s="76">
        <f t="shared" si="31"/>
        <v>-28489.387733868662</v>
      </c>
      <c r="AR16" s="90">
        <f t="shared" si="14"/>
        <v>-638.46899999999732</v>
      </c>
    </row>
    <row r="17" spans="1:48" x14ac:dyDescent="0.25">
      <c r="A17" t="str">
        <f t="shared" si="15"/>
        <v>46210E</v>
      </c>
      <c r="B17" s="51">
        <f t="shared" si="33"/>
        <v>46210</v>
      </c>
      <c r="C17" s="52" t="s">
        <v>88</v>
      </c>
      <c r="D17" s="91">
        <v>150</v>
      </c>
      <c r="E17" s="62">
        <v>4.17</v>
      </c>
      <c r="F17" s="62">
        <v>8.27</v>
      </c>
      <c r="G17" s="62">
        <f t="shared" si="16"/>
        <v>6.2549999999999999</v>
      </c>
      <c r="H17" s="63">
        <f t="shared" si="17"/>
        <v>12.404999999999999</v>
      </c>
      <c r="I17" s="202">
        <v>4737</v>
      </c>
      <c r="J17" s="202">
        <v>4879.1099999999997</v>
      </c>
      <c r="K17" s="202">
        <v>4.022581802828797</v>
      </c>
      <c r="L17" s="202">
        <v>8.2189972556470359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4879.1099999999997</v>
      </c>
      <c r="S17" s="62">
        <f t="shared" si="19"/>
        <v>196.26619100000011</v>
      </c>
      <c r="T17" s="63">
        <f t="shared" si="20"/>
        <v>401.01391700000005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21"/>
        <v>0</v>
      </c>
      <c r="AB17" s="63">
        <f t="shared" si="22"/>
        <v>0</v>
      </c>
      <c r="AC17" s="69"/>
      <c r="AD17" s="70"/>
      <c r="AE17" s="70"/>
      <c r="AF17" s="62">
        <f t="shared" si="23"/>
        <v>0</v>
      </c>
      <c r="AG17" s="62">
        <f t="shared" si="24"/>
        <v>0</v>
      </c>
      <c r="AH17" s="89">
        <v>5030</v>
      </c>
      <c r="AI17" s="66">
        <v>4.03</v>
      </c>
      <c r="AJ17" s="66">
        <v>8.2200000000000006</v>
      </c>
      <c r="AK17" s="62">
        <f t="shared" si="25"/>
        <v>202.709</v>
      </c>
      <c r="AL17" s="72">
        <f t="shared" si="26"/>
        <v>413.46600000000007</v>
      </c>
      <c r="AM17" s="73">
        <f t="shared" si="27"/>
        <v>-0.89000000000032742</v>
      </c>
      <c r="AN17" s="74">
        <f t="shared" si="28"/>
        <v>-0.18780899999990197</v>
      </c>
      <c r="AO17" s="74">
        <f t="shared" si="29"/>
        <v>-4.7083000000043285E-2</v>
      </c>
      <c r="AP17" s="75">
        <f t="shared" si="30"/>
        <v>-3.9326941723621776E-4</v>
      </c>
      <c r="AQ17" s="76">
        <f t="shared" si="31"/>
        <v>-104.34927635469248</v>
      </c>
      <c r="AR17" s="90">
        <f t="shared" si="14"/>
        <v>-0.89000000000032742</v>
      </c>
    </row>
    <row r="18" spans="1:48" x14ac:dyDescent="0.25">
      <c r="A18" t="str">
        <f t="shared" si="15"/>
        <v>46211M</v>
      </c>
      <c r="B18" s="51">
        <f t="shared" si="33"/>
        <v>46211</v>
      </c>
      <c r="C18" s="52" t="s">
        <v>87</v>
      </c>
      <c r="D18" s="91">
        <v>5030</v>
      </c>
      <c r="E18" s="62">
        <v>4.03</v>
      </c>
      <c r="F18" s="62">
        <v>8.2200000000000006</v>
      </c>
      <c r="G18" s="62">
        <f t="shared" si="16"/>
        <v>202.709</v>
      </c>
      <c r="H18" s="63">
        <f t="shared" si="17"/>
        <v>413.46600000000007</v>
      </c>
      <c r="I18" s="202">
        <v>5330.0000000000018</v>
      </c>
      <c r="J18" s="202">
        <v>5489.9000000000024</v>
      </c>
      <c r="K18" s="202">
        <v>4.2379793621013135</v>
      </c>
      <c r="L18" s="202">
        <v>8.1835459662288965</v>
      </c>
      <c r="M18" s="58" t="s">
        <v>159</v>
      </c>
      <c r="N18" s="58" t="s">
        <v>384</v>
      </c>
      <c r="O18" s="59">
        <v>2274</v>
      </c>
      <c r="P18" s="56">
        <v>3.7</v>
      </c>
      <c r="Q18" s="60">
        <v>8.14</v>
      </c>
      <c r="R18" s="61">
        <f t="shared" si="18"/>
        <v>7763.9000000000024</v>
      </c>
      <c r="S18" s="62">
        <f t="shared" si="19"/>
        <v>316.79882900000013</v>
      </c>
      <c r="T18" s="63">
        <f t="shared" si="20"/>
        <v>634.3720900000003</v>
      </c>
      <c r="U18" s="64" t="s">
        <v>168</v>
      </c>
      <c r="V18" s="65" t="s">
        <v>386</v>
      </c>
      <c r="W18" s="66" t="s">
        <v>187</v>
      </c>
      <c r="X18" s="67">
        <v>9870</v>
      </c>
      <c r="Y18" s="68">
        <v>4.0999999999999996</v>
      </c>
      <c r="Z18" s="68">
        <v>8.2899999999999991</v>
      </c>
      <c r="AA18" s="62">
        <f t="shared" si="21"/>
        <v>404.66999999999996</v>
      </c>
      <c r="AB18" s="63">
        <f t="shared" si="22"/>
        <v>818.22299999999984</v>
      </c>
      <c r="AC18" s="69">
        <v>9830</v>
      </c>
      <c r="AD18" s="70">
        <v>4.05</v>
      </c>
      <c r="AE18" s="70">
        <v>8.2200000000000006</v>
      </c>
      <c r="AF18" s="62">
        <f t="shared" si="23"/>
        <v>398.11500000000001</v>
      </c>
      <c r="AG18" s="62">
        <f t="shared" si="24"/>
        <v>808.02600000000007</v>
      </c>
      <c r="AH18" s="89">
        <v>2924</v>
      </c>
      <c r="AI18" s="66">
        <v>4.0599999999999996</v>
      </c>
      <c r="AJ18" s="66">
        <v>8.19</v>
      </c>
      <c r="AK18" s="62">
        <f t="shared" si="25"/>
        <v>118.7144</v>
      </c>
      <c r="AL18" s="72">
        <f t="shared" si="26"/>
        <v>239.47560000000001</v>
      </c>
      <c r="AM18" s="73">
        <f t="shared" si="27"/>
        <v>39.900000000001455</v>
      </c>
      <c r="AN18" s="74">
        <f t="shared" si="28"/>
        <v>2.6784290000001221</v>
      </c>
      <c r="AO18" s="74">
        <f t="shared" si="29"/>
        <v>0.3364900000003388</v>
      </c>
      <c r="AP18" s="75">
        <f t="shared" si="30"/>
        <v>3.1696921549810961E-3</v>
      </c>
      <c r="AQ18" s="76">
        <f t="shared" si="31"/>
        <v>1387.8480671845141</v>
      </c>
      <c r="AR18" s="90">
        <f>(D18+J18+O18)-(X18+AH18)</f>
        <v>-9.9999999998544808E-2</v>
      </c>
    </row>
    <row r="19" spans="1:48" x14ac:dyDescent="0.25">
      <c r="A19" t="str">
        <f t="shared" si="15"/>
        <v>46211E</v>
      </c>
      <c r="B19" s="51">
        <f t="shared" si="33"/>
        <v>46211</v>
      </c>
      <c r="C19" s="52" t="s">
        <v>88</v>
      </c>
      <c r="D19" s="91">
        <v>2924</v>
      </c>
      <c r="E19" s="62">
        <v>4.0599999999999996</v>
      </c>
      <c r="F19" s="62">
        <v>8.19</v>
      </c>
      <c r="G19" s="62">
        <f t="shared" si="16"/>
        <v>118.7144</v>
      </c>
      <c r="H19" s="63">
        <f t="shared" si="17"/>
        <v>239.47560000000001</v>
      </c>
      <c r="I19" s="202">
        <v>4775.5000000000009</v>
      </c>
      <c r="J19" s="202">
        <v>4918.7650000000012</v>
      </c>
      <c r="K19" s="202">
        <v>4.1291466862108672</v>
      </c>
      <c r="L19" s="202">
        <v>8.1674714689561299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4918.7650000000012</v>
      </c>
      <c r="S19" s="62">
        <f t="shared" si="19"/>
        <v>203.10302200000004</v>
      </c>
      <c r="T19" s="63">
        <f t="shared" si="20"/>
        <v>401.73872800000004</v>
      </c>
      <c r="U19" s="64" t="s">
        <v>210</v>
      </c>
      <c r="V19" s="65" t="s">
        <v>387</v>
      </c>
      <c r="W19" s="66" t="s">
        <v>182</v>
      </c>
      <c r="X19" s="67">
        <v>5200</v>
      </c>
      <c r="Y19" s="68">
        <v>4.25</v>
      </c>
      <c r="Z19" s="68">
        <v>8.32</v>
      </c>
      <c r="AA19" s="62">
        <f t="shared" si="21"/>
        <v>221.00000000000003</v>
      </c>
      <c r="AB19" s="63">
        <f t="shared" si="22"/>
        <v>432.64</v>
      </c>
      <c r="AC19" s="69">
        <v>5230</v>
      </c>
      <c r="AD19" s="70">
        <v>4.2</v>
      </c>
      <c r="AE19" s="70">
        <v>8.25</v>
      </c>
      <c r="AF19" s="62">
        <f t="shared" si="23"/>
        <v>219.66000000000003</v>
      </c>
      <c r="AG19" s="62">
        <f t="shared" si="24"/>
        <v>431.47500000000002</v>
      </c>
      <c r="AH19" s="89">
        <v>2646</v>
      </c>
      <c r="AI19" s="66">
        <v>4.0999999999999996</v>
      </c>
      <c r="AJ19" s="66">
        <v>8.18</v>
      </c>
      <c r="AK19" s="62">
        <f t="shared" si="25"/>
        <v>108.48599999999999</v>
      </c>
      <c r="AL19" s="72">
        <f t="shared" si="26"/>
        <v>216.44280000000001</v>
      </c>
      <c r="AM19" s="73">
        <f t="shared" si="27"/>
        <v>-33.234999999998763</v>
      </c>
      <c r="AN19" s="74">
        <f t="shared" si="28"/>
        <v>-6.3285779999999932</v>
      </c>
      <c r="AO19" s="74">
        <f t="shared" si="29"/>
        <v>-6.703472000000005</v>
      </c>
      <c r="AP19" s="75">
        <f t="shared" si="30"/>
        <v>-2.1546214361029142E-2</v>
      </c>
      <c r="AQ19" s="76">
        <f t="shared" si="31"/>
        <v>-5048.7178878598152</v>
      </c>
      <c r="AR19" s="90">
        <f>(D19+J19+O19)-(X19+AH19)</f>
        <v>-3.2349999999987631</v>
      </c>
    </row>
    <row r="20" spans="1:48" x14ac:dyDescent="0.25">
      <c r="A20" t="str">
        <f t="shared" si="15"/>
        <v>46212M</v>
      </c>
      <c r="B20" s="51">
        <f t="shared" si="33"/>
        <v>46212</v>
      </c>
      <c r="C20" s="52" t="s">
        <v>87</v>
      </c>
      <c r="D20" s="91">
        <v>2646</v>
      </c>
      <c r="E20" s="62">
        <v>4.0999999999999996</v>
      </c>
      <c r="F20" s="62">
        <v>8.18</v>
      </c>
      <c r="G20" s="62">
        <f t="shared" si="16"/>
        <v>108.48599999999999</v>
      </c>
      <c r="H20" s="63">
        <f t="shared" si="17"/>
        <v>216.44280000000001</v>
      </c>
      <c r="I20" s="202">
        <v>5505.6999999999989</v>
      </c>
      <c r="J20" s="202">
        <v>5670.8709999999992</v>
      </c>
      <c r="K20" s="202">
        <v>4.2201645567321133</v>
      </c>
      <c r="L20" s="202">
        <v>8.1765661042192637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5670.8709999999992</v>
      </c>
      <c r="S20" s="62">
        <f t="shared" si="19"/>
        <v>239.32008799999991</v>
      </c>
      <c r="T20" s="63">
        <f t="shared" si="20"/>
        <v>463.68251599999996</v>
      </c>
      <c r="U20" s="64" t="s">
        <v>167</v>
      </c>
      <c r="V20" s="65" t="s">
        <v>180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1"/>
        <v>0</v>
      </c>
      <c r="AB20" s="63">
        <f t="shared" si="22"/>
        <v>0</v>
      </c>
      <c r="AC20" s="69"/>
      <c r="AD20" s="70"/>
      <c r="AE20" s="70"/>
      <c r="AF20" s="62">
        <f t="shared" si="23"/>
        <v>0</v>
      </c>
      <c r="AG20" s="62">
        <f t="shared" si="24"/>
        <v>0</v>
      </c>
      <c r="AH20" s="89">
        <v>8332</v>
      </c>
      <c r="AI20" s="66">
        <v>4.18</v>
      </c>
      <c r="AJ20" s="66">
        <v>8.18</v>
      </c>
      <c r="AK20" s="62">
        <f t="shared" si="25"/>
        <v>348.27759999999995</v>
      </c>
      <c r="AL20" s="72">
        <f t="shared" si="26"/>
        <v>681.55759999999998</v>
      </c>
      <c r="AM20" s="73">
        <f t="shared" si="27"/>
        <v>-15.129000000000815</v>
      </c>
      <c r="AN20" s="74">
        <f t="shared" si="28"/>
        <v>-0.47151200000001836</v>
      </c>
      <c r="AO20" s="74">
        <f t="shared" si="29"/>
        <v>-1.4322839999999815</v>
      </c>
      <c r="AP20" s="75">
        <f t="shared" si="30"/>
        <v>-2.7080923870944867E-3</v>
      </c>
      <c r="AQ20" s="76">
        <f t="shared" si="31"/>
        <v>-655.53316910612659</v>
      </c>
      <c r="AR20" s="90">
        <f>(D20+J20+O20)-(X20+AH20)</f>
        <v>-15.129000000000815</v>
      </c>
    </row>
    <row r="21" spans="1:48" x14ac:dyDescent="0.25">
      <c r="A21" t="str">
        <f t="shared" si="15"/>
        <v>46212E</v>
      </c>
      <c r="B21" s="51">
        <f t="shared" si="33"/>
        <v>46212</v>
      </c>
      <c r="C21" s="52" t="s">
        <v>88</v>
      </c>
      <c r="D21" s="91">
        <v>8332</v>
      </c>
      <c r="E21" s="62">
        <v>4.18</v>
      </c>
      <c r="F21" s="62">
        <v>8.18</v>
      </c>
      <c r="G21" s="62">
        <f t="shared" si="16"/>
        <v>348.27759999999995</v>
      </c>
      <c r="H21" s="63">
        <f t="shared" si="17"/>
        <v>681.55759999999998</v>
      </c>
      <c r="I21" s="202">
        <v>6786.0000000000027</v>
      </c>
      <c r="J21" s="202">
        <v>6989.5800000000027</v>
      </c>
      <c r="K21" s="202">
        <v>4.1389419392867648</v>
      </c>
      <c r="L21" s="202">
        <v>8.2670453875626251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6989.5800000000027</v>
      </c>
      <c r="S21" s="62">
        <f t="shared" si="19"/>
        <v>289.29465799999997</v>
      </c>
      <c r="T21" s="63">
        <f t="shared" si="20"/>
        <v>577.83175099999994</v>
      </c>
      <c r="U21" s="64" t="s">
        <v>168</v>
      </c>
      <c r="V21" s="65" t="s">
        <v>388</v>
      </c>
      <c r="W21" s="66" t="s">
        <v>182</v>
      </c>
      <c r="X21" s="67">
        <v>9870</v>
      </c>
      <c r="Y21" s="68">
        <v>4.3</v>
      </c>
      <c r="Z21" s="68">
        <v>8.39</v>
      </c>
      <c r="AA21" s="62">
        <f t="shared" si="21"/>
        <v>424.40999999999997</v>
      </c>
      <c r="AB21" s="63">
        <f t="shared" si="22"/>
        <v>828.09300000000007</v>
      </c>
      <c r="AC21" s="69">
        <v>9760</v>
      </c>
      <c r="AD21" s="70">
        <v>4.25</v>
      </c>
      <c r="AE21" s="70">
        <v>8.3800000000000008</v>
      </c>
      <c r="AF21" s="62">
        <f t="shared" si="23"/>
        <v>414.8</v>
      </c>
      <c r="AG21" s="62">
        <f t="shared" si="24"/>
        <v>817.88800000000015</v>
      </c>
      <c r="AH21" s="89">
        <v>3047</v>
      </c>
      <c r="AI21" s="66">
        <v>4.12</v>
      </c>
      <c r="AJ21" s="66">
        <v>8.2100000000000009</v>
      </c>
      <c r="AK21" s="62">
        <f t="shared" si="25"/>
        <v>125.5364</v>
      </c>
      <c r="AL21" s="72">
        <f t="shared" si="26"/>
        <v>250.15870000000001</v>
      </c>
      <c r="AM21" s="73">
        <f t="shared" si="27"/>
        <v>2514.5800000000017</v>
      </c>
      <c r="AN21" s="74">
        <f t="shared" si="28"/>
        <v>97.235857999999908</v>
      </c>
      <c r="AO21" s="74">
        <f t="shared" si="29"/>
        <v>191.34265099999965</v>
      </c>
      <c r="AP21" s="75">
        <f t="shared" si="30"/>
        <v>0.33279866234589511</v>
      </c>
      <c r="AQ21" s="76">
        <f t="shared" si="31"/>
        <v>104030.41499305893</v>
      </c>
      <c r="AR21" s="90">
        <f>(D21+J21+O21)-(X21+AH21)</f>
        <v>2404.5800000000017</v>
      </c>
    </row>
    <row r="22" spans="1:48" x14ac:dyDescent="0.25">
      <c r="A22" t="str">
        <f t="shared" si="15"/>
        <v>46213M</v>
      </c>
      <c r="B22" s="51">
        <f t="shared" si="33"/>
        <v>46213</v>
      </c>
      <c r="C22" s="52" t="s">
        <v>87</v>
      </c>
      <c r="D22" s="91">
        <v>3047</v>
      </c>
      <c r="E22" s="62">
        <v>4.12</v>
      </c>
      <c r="F22" s="62">
        <v>8.2100000000000009</v>
      </c>
      <c r="G22" s="62">
        <f t="shared" si="16"/>
        <v>125.5364</v>
      </c>
      <c r="H22" s="63">
        <f t="shared" si="17"/>
        <v>250.15870000000001</v>
      </c>
      <c r="I22" s="202">
        <v>5875.4999999999991</v>
      </c>
      <c r="J22" s="202">
        <v>6051.7649999999994</v>
      </c>
      <c r="K22" s="202">
        <v>4.3369517487873379</v>
      </c>
      <c r="L22" s="202">
        <v>8.2421853459280054</v>
      </c>
      <c r="M22" s="58" t="s">
        <v>159</v>
      </c>
      <c r="N22" s="58" t="s">
        <v>469</v>
      </c>
      <c r="O22" s="59">
        <v>3650</v>
      </c>
      <c r="P22" s="56">
        <v>3.7</v>
      </c>
      <c r="Q22" s="60">
        <v>8.2100000000000009</v>
      </c>
      <c r="R22" s="61">
        <f t="shared" si="18"/>
        <v>9701.7649999999994</v>
      </c>
      <c r="S22" s="62">
        <f t="shared" si="19"/>
        <v>397.51212800000002</v>
      </c>
      <c r="T22" s="63">
        <f t="shared" si="20"/>
        <v>798.46268799999984</v>
      </c>
      <c r="U22" s="64" t="s">
        <v>189</v>
      </c>
      <c r="V22" s="65" t="s">
        <v>471</v>
      </c>
      <c r="W22" s="66" t="s">
        <v>187</v>
      </c>
      <c r="X22" s="67">
        <v>9430</v>
      </c>
      <c r="Y22" s="68">
        <v>4.25</v>
      </c>
      <c r="Z22" s="68">
        <v>8.32</v>
      </c>
      <c r="AA22" s="62">
        <f t="shared" si="21"/>
        <v>400.77500000000003</v>
      </c>
      <c r="AB22" s="63">
        <f t="shared" si="22"/>
        <v>784.57599999999991</v>
      </c>
      <c r="AC22" s="69">
        <v>9370</v>
      </c>
      <c r="AD22" s="70">
        <v>4.2</v>
      </c>
      <c r="AE22" s="70">
        <v>8.18</v>
      </c>
      <c r="AF22" s="62">
        <f t="shared" si="23"/>
        <v>393.54</v>
      </c>
      <c r="AG22" s="62">
        <f t="shared" si="24"/>
        <v>766.46600000000001</v>
      </c>
      <c r="AH22" s="89">
        <v>3320</v>
      </c>
      <c r="AI22" s="66">
        <v>4.0999999999999996</v>
      </c>
      <c r="AJ22" s="66">
        <v>8.2200000000000006</v>
      </c>
      <c r="AK22" s="62">
        <f t="shared" si="25"/>
        <v>136.11999999999998</v>
      </c>
      <c r="AL22" s="72">
        <f t="shared" si="26"/>
        <v>272.90400000000005</v>
      </c>
      <c r="AM22" s="73">
        <f t="shared" si="27"/>
        <v>58.764999999999418</v>
      </c>
      <c r="AN22" s="74">
        <f t="shared" si="28"/>
        <v>-6.6114719999999636</v>
      </c>
      <c r="AO22" s="74">
        <f t="shared" si="29"/>
        <v>9.2513879999997357</v>
      </c>
      <c r="AP22" s="75">
        <f t="shared" si="30"/>
        <v>2.2073341049346747E-3</v>
      </c>
      <c r="AQ22" s="76">
        <f t="shared" si="31"/>
        <v>-406.31913036574133</v>
      </c>
      <c r="AR22" s="90">
        <f t="shared" si="14"/>
        <v>-1.2350000000005821</v>
      </c>
      <c r="AT22" s="83"/>
      <c r="AU22" s="83"/>
    </row>
    <row r="23" spans="1:48" x14ac:dyDescent="0.25">
      <c r="A23" t="str">
        <f t="shared" si="15"/>
        <v>46213E</v>
      </c>
      <c r="B23" s="51">
        <f t="shared" si="33"/>
        <v>46213</v>
      </c>
      <c r="C23" s="52" t="s">
        <v>88</v>
      </c>
      <c r="D23" s="91">
        <v>3320</v>
      </c>
      <c r="E23" s="62">
        <v>4.0999999999999996</v>
      </c>
      <c r="F23" s="62">
        <v>8.2200000000000006</v>
      </c>
      <c r="G23" s="62">
        <f t="shared" si="16"/>
        <v>136.11999999999998</v>
      </c>
      <c r="H23" s="63">
        <f t="shared" si="17"/>
        <v>272.90400000000005</v>
      </c>
      <c r="I23" s="202">
        <v>4708.3</v>
      </c>
      <c r="J23" s="202">
        <v>4849.549</v>
      </c>
      <c r="K23" s="202">
        <v>4.124119108807851</v>
      </c>
      <c r="L23" s="202">
        <v>8.2430962343096237</v>
      </c>
      <c r="M23" s="58" t="s">
        <v>159</v>
      </c>
      <c r="N23" s="58" t="s">
        <v>470</v>
      </c>
      <c r="O23" s="59">
        <v>2950</v>
      </c>
      <c r="P23" s="56">
        <v>4.1500000000000004</v>
      </c>
      <c r="Q23" s="60">
        <v>8.0500000000000007</v>
      </c>
      <c r="R23" s="61">
        <f t="shared" si="18"/>
        <v>7799.549</v>
      </c>
      <c r="S23" s="62">
        <f t="shared" si="19"/>
        <v>322.42617700000005</v>
      </c>
      <c r="T23" s="63">
        <f t="shared" si="20"/>
        <v>637.22799100000009</v>
      </c>
      <c r="U23" s="64" t="s">
        <v>311</v>
      </c>
      <c r="V23" s="65" t="s">
        <v>472</v>
      </c>
      <c r="W23" s="66" t="s">
        <v>187</v>
      </c>
      <c r="X23" s="67">
        <v>10070</v>
      </c>
      <c r="Y23" s="68">
        <v>4.25</v>
      </c>
      <c r="Z23" s="68">
        <v>8.26</v>
      </c>
      <c r="AA23" s="62">
        <f t="shared" si="21"/>
        <v>427.97500000000002</v>
      </c>
      <c r="AB23" s="63">
        <f t="shared" si="22"/>
        <v>831.78199999999993</v>
      </c>
      <c r="AC23" s="69">
        <v>10030</v>
      </c>
      <c r="AD23" s="70">
        <v>4.2</v>
      </c>
      <c r="AE23" s="70">
        <v>8.1610468594217362</v>
      </c>
      <c r="AF23" s="62">
        <f t="shared" si="23"/>
        <v>421.26000000000005</v>
      </c>
      <c r="AG23" s="62">
        <f t="shared" si="24"/>
        <v>818.55300000000011</v>
      </c>
      <c r="AH23" s="89">
        <v>1051</v>
      </c>
      <c r="AI23" s="66">
        <v>4.12</v>
      </c>
      <c r="AJ23" s="66">
        <v>8.18</v>
      </c>
      <c r="AK23" s="62">
        <f t="shared" si="25"/>
        <v>43.301200000000001</v>
      </c>
      <c r="AL23" s="72">
        <f t="shared" si="26"/>
        <v>85.971800000000002</v>
      </c>
      <c r="AM23" s="73">
        <f t="shared" si="27"/>
        <v>38.548999999999069</v>
      </c>
      <c r="AN23" s="74">
        <f t="shared" si="28"/>
        <v>-6.0150229999999922</v>
      </c>
      <c r="AO23" s="74">
        <f t="shared" si="29"/>
        <v>5.6071910000000855</v>
      </c>
      <c r="AP23" s="75">
        <f t="shared" si="30"/>
        <v>-4.2497809481707651E-4</v>
      </c>
      <c r="AQ23" s="76">
        <f t="shared" si="31"/>
        <v>-1211.1105325785879</v>
      </c>
      <c r="AR23" s="90">
        <f t="shared" si="14"/>
        <v>-1.4510000000009313</v>
      </c>
      <c r="AU23" s="83"/>
    </row>
    <row r="24" spans="1:48" x14ac:dyDescent="0.25">
      <c r="A24" t="str">
        <f t="shared" si="15"/>
        <v>46214M</v>
      </c>
      <c r="B24" s="51">
        <f t="shared" si="33"/>
        <v>46214</v>
      </c>
      <c r="C24" s="52" t="s">
        <v>87</v>
      </c>
      <c r="D24" s="91">
        <v>1051</v>
      </c>
      <c r="E24" s="62">
        <v>4.12</v>
      </c>
      <c r="F24" s="62">
        <v>8.18</v>
      </c>
      <c r="G24" s="62">
        <f t="shared" si="16"/>
        <v>43.301200000000001</v>
      </c>
      <c r="H24" s="63">
        <f t="shared" si="17"/>
        <v>85.971800000000002</v>
      </c>
      <c r="I24" s="202">
        <v>5795</v>
      </c>
      <c r="J24" s="202">
        <v>5968.85</v>
      </c>
      <c r="K24" s="202">
        <v>4.0639758412424491</v>
      </c>
      <c r="L24" s="202">
        <v>8.2822277825711765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5968.85</v>
      </c>
      <c r="S24" s="62">
        <f t="shared" si="19"/>
        <v>242.57262199999991</v>
      </c>
      <c r="T24" s="63">
        <f t="shared" si="20"/>
        <v>494.3537529999997</v>
      </c>
      <c r="U24" s="64" t="s">
        <v>169</v>
      </c>
      <c r="V24" s="65" t="s">
        <v>473</v>
      </c>
      <c r="W24" s="66" t="s">
        <v>182</v>
      </c>
      <c r="X24" s="67">
        <v>5900</v>
      </c>
      <c r="Y24" s="68">
        <v>4.2</v>
      </c>
      <c r="Z24" s="68">
        <v>8.31</v>
      </c>
      <c r="AA24" s="62">
        <f t="shared" si="21"/>
        <v>247.8</v>
      </c>
      <c r="AB24" s="63">
        <f t="shared" si="22"/>
        <v>490.29</v>
      </c>
      <c r="AC24" s="69">
        <v>5950</v>
      </c>
      <c r="AD24" s="70">
        <v>4.1500000000000004</v>
      </c>
      <c r="AE24" s="70">
        <v>8.24</v>
      </c>
      <c r="AF24" s="62">
        <f t="shared" si="23"/>
        <v>246.92500000000001</v>
      </c>
      <c r="AG24" s="62">
        <f t="shared" si="24"/>
        <v>490.28000000000003</v>
      </c>
      <c r="AH24" s="89">
        <v>1121</v>
      </c>
      <c r="AI24" s="66">
        <v>4.07</v>
      </c>
      <c r="AJ24" s="66">
        <v>8.26</v>
      </c>
      <c r="AK24" s="62">
        <f t="shared" si="25"/>
        <v>45.624699999999997</v>
      </c>
      <c r="AL24" s="72">
        <f t="shared" si="26"/>
        <v>92.594599999999986</v>
      </c>
      <c r="AM24" s="73">
        <f t="shared" si="27"/>
        <v>-51.149999999999636</v>
      </c>
      <c r="AN24" s="74">
        <f t="shared" si="28"/>
        <v>-6.6758780000001039</v>
      </c>
      <c r="AO24" s="74">
        <f t="shared" si="29"/>
        <v>-2.5490470000003427</v>
      </c>
      <c r="AP24" s="75">
        <f t="shared" si="30"/>
        <v>-1.25181094244326E-2</v>
      </c>
      <c r="AQ24" s="76">
        <f t="shared" si="31"/>
        <v>-3971.3935385480318</v>
      </c>
      <c r="AR24" s="90">
        <f t="shared" si="14"/>
        <v>-1.1499999999996362</v>
      </c>
      <c r="AT24" s="77"/>
      <c r="AU24" s="77"/>
      <c r="AV24" s="77"/>
    </row>
    <row r="25" spans="1:48" x14ac:dyDescent="0.25">
      <c r="A25" t="str">
        <f t="shared" si="15"/>
        <v>46214E</v>
      </c>
      <c r="B25" s="51">
        <f t="shared" si="33"/>
        <v>46214</v>
      </c>
      <c r="C25" s="52" t="s">
        <v>88</v>
      </c>
      <c r="D25" s="91">
        <v>1121</v>
      </c>
      <c r="E25" s="62">
        <v>4.07</v>
      </c>
      <c r="F25" s="62">
        <v>8.26</v>
      </c>
      <c r="G25" s="62">
        <f t="shared" si="16"/>
        <v>45.624699999999997</v>
      </c>
      <c r="H25" s="63">
        <f t="shared" si="17"/>
        <v>92.594599999999986</v>
      </c>
      <c r="I25" s="202">
        <v>4321.7999999999993</v>
      </c>
      <c r="J25" s="202">
        <v>4451.4539999999997</v>
      </c>
      <c r="K25" s="202">
        <v>4.1780484983108881</v>
      </c>
      <c r="L25" s="202">
        <v>8.2470197602850668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8"/>
        <v>4451.4539999999997</v>
      </c>
      <c r="S25" s="62">
        <f t="shared" si="19"/>
        <v>185.98390699999993</v>
      </c>
      <c r="T25" s="63">
        <f t="shared" si="20"/>
        <v>367.11229099999997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1"/>
        <v>0</v>
      </c>
      <c r="AB25" s="63">
        <f t="shared" si="22"/>
        <v>0</v>
      </c>
      <c r="AC25" s="69"/>
      <c r="AD25" s="70"/>
      <c r="AE25" s="70"/>
      <c r="AF25" s="62">
        <f t="shared" si="23"/>
        <v>0</v>
      </c>
      <c r="AG25" s="62">
        <f t="shared" si="24"/>
        <v>0</v>
      </c>
      <c r="AH25" s="89">
        <v>5573</v>
      </c>
      <c r="AI25" s="66">
        <v>4.16</v>
      </c>
      <c r="AJ25" s="66">
        <v>8.26</v>
      </c>
      <c r="AK25" s="62">
        <f t="shared" si="25"/>
        <v>231.83679999999998</v>
      </c>
      <c r="AL25" s="72">
        <f t="shared" si="26"/>
        <v>460.32979999999998</v>
      </c>
      <c r="AM25" s="73">
        <f t="shared" si="27"/>
        <v>-0.54600000000027649</v>
      </c>
      <c r="AN25" s="74">
        <f t="shared" si="28"/>
        <v>-0.22819300000006137</v>
      </c>
      <c r="AO25" s="74">
        <f t="shared" si="29"/>
        <v>-0.62290900000004967</v>
      </c>
      <c r="AP25" s="75">
        <f t="shared" si="30"/>
        <v>-1.5387956074869116E-3</v>
      </c>
      <c r="AQ25" s="76">
        <f t="shared" si="31"/>
        <v>-296.20986341230088</v>
      </c>
      <c r="AR25" s="90">
        <f t="shared" si="14"/>
        <v>-0.54600000000027649</v>
      </c>
    </row>
    <row r="26" spans="1:48" x14ac:dyDescent="0.25">
      <c r="A26" t="str">
        <f t="shared" si="15"/>
        <v>46215M</v>
      </c>
      <c r="B26" s="51">
        <f t="shared" si="33"/>
        <v>46215</v>
      </c>
      <c r="C26" s="52" t="s">
        <v>87</v>
      </c>
      <c r="D26" s="91">
        <v>5573</v>
      </c>
      <c r="E26" s="62">
        <v>4.16</v>
      </c>
      <c r="F26" s="62">
        <v>8.26</v>
      </c>
      <c r="G26" s="62">
        <f t="shared" si="16"/>
        <v>231.83679999999998</v>
      </c>
      <c r="H26" s="63">
        <f t="shared" si="17"/>
        <v>460.32979999999998</v>
      </c>
      <c r="I26" s="202">
        <v>5760.2</v>
      </c>
      <c r="J26" s="202">
        <v>5933.0060000000003</v>
      </c>
      <c r="K26" s="202">
        <v>4.3546977535502238</v>
      </c>
      <c r="L26" s="202">
        <v>8.185543904725531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5933.0060000000003</v>
      </c>
      <c r="S26" s="62">
        <f t="shared" si="19"/>
        <v>258.36447900000002</v>
      </c>
      <c r="T26" s="63">
        <f t="shared" si="20"/>
        <v>485.64881100000008</v>
      </c>
      <c r="U26" s="64" t="s">
        <v>311</v>
      </c>
      <c r="V26" s="65" t="s">
        <v>474</v>
      </c>
      <c r="W26" s="66" t="s">
        <v>201</v>
      </c>
      <c r="X26" s="67">
        <v>10070</v>
      </c>
      <c r="Y26" s="68">
        <v>4.3</v>
      </c>
      <c r="Z26" s="68">
        <v>8.4600000000000009</v>
      </c>
      <c r="AA26" s="62">
        <f t="shared" si="21"/>
        <v>433.01</v>
      </c>
      <c r="AB26" s="63">
        <f t="shared" si="22"/>
        <v>851.92200000000014</v>
      </c>
      <c r="AC26" s="69">
        <v>10030</v>
      </c>
      <c r="AD26" s="70">
        <v>4.275722831505484</v>
      </c>
      <c r="AE26" s="70">
        <v>8.2973978065802605</v>
      </c>
      <c r="AF26" s="62">
        <f t="shared" si="23"/>
        <v>428.85500000000002</v>
      </c>
      <c r="AG26" s="62">
        <f t="shared" si="24"/>
        <v>832.22900000000016</v>
      </c>
      <c r="AH26" s="89">
        <v>1437</v>
      </c>
      <c r="AI26" s="66">
        <v>4.26</v>
      </c>
      <c r="AJ26" s="66">
        <v>8.2200000000000006</v>
      </c>
      <c r="AK26" s="62">
        <f t="shared" si="25"/>
        <v>61.216200000000001</v>
      </c>
      <c r="AL26" s="72">
        <f t="shared" si="26"/>
        <v>118.12140000000001</v>
      </c>
      <c r="AM26" s="73">
        <f t="shared" si="27"/>
        <v>39.006000000001222</v>
      </c>
      <c r="AN26" s="74">
        <f t="shared" si="28"/>
        <v>0.13007899999998074</v>
      </c>
      <c r="AO26" s="74">
        <f t="shared" si="29"/>
        <v>-4.3717890000001631</v>
      </c>
      <c r="AP26" s="75">
        <f t="shared" si="30"/>
        <v>-5.7011212797021165E-3</v>
      </c>
      <c r="AQ26" s="76">
        <f t="shared" si="31"/>
        <v>-1246.80469249371</v>
      </c>
      <c r="AR26" s="90">
        <f t="shared" si="14"/>
        <v>-0.99399999999877764</v>
      </c>
    </row>
    <row r="27" spans="1:48" x14ac:dyDescent="0.25">
      <c r="A27" t="str">
        <f t="shared" si="15"/>
        <v>46215E</v>
      </c>
      <c r="B27" s="51">
        <f t="shared" si="33"/>
        <v>46215</v>
      </c>
      <c r="C27" s="52" t="s">
        <v>88</v>
      </c>
      <c r="D27" s="91">
        <v>1437</v>
      </c>
      <c r="E27" s="62">
        <v>4.26</v>
      </c>
      <c r="F27" s="62">
        <v>8.2200000000000006</v>
      </c>
      <c r="G27" s="62">
        <f t="shared" si="16"/>
        <v>61.216200000000001</v>
      </c>
      <c r="H27" s="63">
        <f t="shared" si="17"/>
        <v>118.12140000000001</v>
      </c>
      <c r="I27" s="202">
        <v>4305.5999999999995</v>
      </c>
      <c r="J27" s="202">
        <v>4434.7679999999991</v>
      </c>
      <c r="K27" s="202">
        <v>4.217981233742103</v>
      </c>
      <c r="L27" s="202">
        <v>8.1995447788926068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4434.7679999999991</v>
      </c>
      <c r="S27" s="62">
        <f t="shared" si="19"/>
        <v>187.05768199999997</v>
      </c>
      <c r="T27" s="63">
        <f t="shared" si="20"/>
        <v>363.630788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1"/>
        <v>0</v>
      </c>
      <c r="AB27" s="63">
        <f t="shared" si="22"/>
        <v>0</v>
      </c>
      <c r="AC27" s="69"/>
      <c r="AD27" s="70"/>
      <c r="AE27" s="70"/>
      <c r="AF27" s="62">
        <f t="shared" si="23"/>
        <v>0</v>
      </c>
      <c r="AG27" s="62">
        <f t="shared" si="24"/>
        <v>0</v>
      </c>
      <c r="AH27" s="89">
        <v>5871</v>
      </c>
      <c r="AI27" s="66">
        <v>4.2300000000000004</v>
      </c>
      <c r="AJ27" s="66">
        <v>8.2100000000000009</v>
      </c>
      <c r="AK27" s="62">
        <f t="shared" si="25"/>
        <v>248.34330000000003</v>
      </c>
      <c r="AL27" s="72">
        <f t="shared" si="26"/>
        <v>482.00910000000005</v>
      </c>
      <c r="AM27" s="73">
        <f t="shared" si="27"/>
        <v>0.76799999999911961</v>
      </c>
      <c r="AN27" s="74">
        <f t="shared" si="28"/>
        <v>-6.9418000000069924E-2</v>
      </c>
      <c r="AO27" s="74">
        <f t="shared" si="29"/>
        <v>-0.25691200000005665</v>
      </c>
      <c r="AP27" s="75">
        <f t="shared" si="30"/>
        <v>-5.9258549575248341E-4</v>
      </c>
      <c r="AQ27" s="76">
        <f t="shared" si="31"/>
        <v>-110.30046514590913</v>
      </c>
      <c r="AR27" s="90">
        <f t="shared" si="14"/>
        <v>0.76799999999911961</v>
      </c>
    </row>
    <row r="28" spans="1:48" x14ac:dyDescent="0.25">
      <c r="A28" t="str">
        <f t="shared" si="15"/>
        <v>46216M</v>
      </c>
      <c r="B28" s="51">
        <f t="shared" si="33"/>
        <v>46216</v>
      </c>
      <c r="C28" s="52" t="s">
        <v>87</v>
      </c>
      <c r="D28" s="91">
        <v>5871</v>
      </c>
      <c r="E28" s="62">
        <v>4.2300000000000004</v>
      </c>
      <c r="F28" s="62">
        <v>8.2100000000000009</v>
      </c>
      <c r="G28" s="62">
        <f t="shared" si="16"/>
        <v>248.34330000000003</v>
      </c>
      <c r="H28" s="63">
        <f t="shared" si="17"/>
        <v>482.00910000000005</v>
      </c>
      <c r="I28" s="202">
        <v>5679</v>
      </c>
      <c r="J28" s="202">
        <v>5849.37</v>
      </c>
      <c r="K28" s="202">
        <v>4.3341785525620695</v>
      </c>
      <c r="L28" s="202">
        <v>8.2237629864412725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5849.37</v>
      </c>
      <c r="S28" s="62">
        <f t="shared" si="19"/>
        <v>253.52213999999992</v>
      </c>
      <c r="T28" s="63">
        <f t="shared" si="20"/>
        <v>481.03832499999987</v>
      </c>
      <c r="U28" s="64" t="s">
        <v>168</v>
      </c>
      <c r="V28" s="65" t="s">
        <v>475</v>
      </c>
      <c r="W28" s="66" t="s">
        <v>187</v>
      </c>
      <c r="X28" s="67">
        <v>9870</v>
      </c>
      <c r="Y28" s="68">
        <v>4.3499999999999996</v>
      </c>
      <c r="Z28" s="68">
        <v>8.58</v>
      </c>
      <c r="AA28" s="62">
        <f t="shared" si="21"/>
        <v>429.34499999999997</v>
      </c>
      <c r="AB28" s="63">
        <f t="shared" si="22"/>
        <v>846.846</v>
      </c>
      <c r="AC28" s="224">
        <v>9870</v>
      </c>
      <c r="AD28" s="223">
        <v>4.28</v>
      </c>
      <c r="AE28" s="223">
        <v>8.2200000000000006</v>
      </c>
      <c r="AF28" s="62">
        <f t="shared" si="23"/>
        <v>422.43600000000004</v>
      </c>
      <c r="AG28" s="62">
        <f t="shared" si="24"/>
        <v>811.31400000000008</v>
      </c>
      <c r="AH28" s="89">
        <v>1851</v>
      </c>
      <c r="AI28" s="66">
        <v>4.28</v>
      </c>
      <c r="AJ28" s="66">
        <v>8.2200000000000006</v>
      </c>
      <c r="AK28" s="62">
        <f t="shared" si="25"/>
        <v>79.222800000000007</v>
      </c>
      <c r="AL28" s="72">
        <f t="shared" si="26"/>
        <v>152.15220000000002</v>
      </c>
      <c r="AM28" s="73">
        <f t="shared" si="27"/>
        <v>-0.63000000000101863</v>
      </c>
      <c r="AN28" s="74">
        <f t="shared" si="28"/>
        <v>0.20663999999987936</v>
      </c>
      <c r="AO28" s="74">
        <f t="shared" si="29"/>
        <v>-0.41877500000012446</v>
      </c>
      <c r="AP28" s="75">
        <f t="shared" si="30"/>
        <v>-2.8879174704868598E-4</v>
      </c>
      <c r="AQ28" s="76">
        <f t="shared" si="31"/>
        <v>-26.122138957638199</v>
      </c>
      <c r="AR28" s="90">
        <f t="shared" si="14"/>
        <v>-0.63000000000101863</v>
      </c>
    </row>
    <row r="29" spans="1:48" x14ac:dyDescent="0.25">
      <c r="A29" t="str">
        <f t="shared" si="15"/>
        <v>46216E</v>
      </c>
      <c r="B29" s="51">
        <f t="shared" si="33"/>
        <v>46216</v>
      </c>
      <c r="C29" s="52" t="s">
        <v>88</v>
      </c>
      <c r="D29" s="91">
        <v>1851</v>
      </c>
      <c r="E29" s="62">
        <v>4.28</v>
      </c>
      <c r="F29" s="62">
        <v>8.2200000000000006</v>
      </c>
      <c r="G29" s="62">
        <f t="shared" si="16"/>
        <v>79.222800000000007</v>
      </c>
      <c r="H29" s="63">
        <f t="shared" si="17"/>
        <v>152.15220000000002</v>
      </c>
      <c r="I29" s="202">
        <v>6158.0000000000009</v>
      </c>
      <c r="J29" s="202">
        <v>6342.7400000000007</v>
      </c>
      <c r="K29" s="202">
        <v>4.3380302046118837</v>
      </c>
      <c r="L29" s="202">
        <v>8.3324667099707685</v>
      </c>
      <c r="M29" s="58" t="s">
        <v>159</v>
      </c>
      <c r="N29" s="58" t="s">
        <v>384</v>
      </c>
      <c r="O29" s="59">
        <v>2595</v>
      </c>
      <c r="P29" s="56">
        <v>3.82</v>
      </c>
      <c r="Q29" s="60">
        <v>8.15</v>
      </c>
      <c r="R29" s="61">
        <f t="shared" si="18"/>
        <v>8937.7400000000016</v>
      </c>
      <c r="S29" s="62">
        <f t="shared" si="19"/>
        <v>374.27897699999983</v>
      </c>
      <c r="T29" s="63">
        <f t="shared" si="20"/>
        <v>739.99919900000009</v>
      </c>
      <c r="U29" s="64" t="s">
        <v>311</v>
      </c>
      <c r="V29" s="65" t="s">
        <v>529</v>
      </c>
      <c r="W29" s="66" t="s">
        <v>187</v>
      </c>
      <c r="X29" s="67">
        <v>10070</v>
      </c>
      <c r="Y29" s="68">
        <v>4.3</v>
      </c>
      <c r="Z29" s="68">
        <v>8.33</v>
      </c>
      <c r="AA29" s="62">
        <f t="shared" si="21"/>
        <v>433.01</v>
      </c>
      <c r="AB29" s="63">
        <f t="shared" si="22"/>
        <v>838.83100000000002</v>
      </c>
      <c r="AC29" s="69">
        <v>10020</v>
      </c>
      <c r="AD29" s="70">
        <v>4.0999999999999996</v>
      </c>
      <c r="AE29" s="70">
        <v>7.9799999999999995</v>
      </c>
      <c r="AF29" s="62">
        <f t="shared" si="23"/>
        <v>410.81999999999994</v>
      </c>
      <c r="AG29" s="62">
        <f t="shared" si="24"/>
        <v>799.596</v>
      </c>
      <c r="AH29" s="89">
        <v>720</v>
      </c>
      <c r="AI29" s="66">
        <v>4.21</v>
      </c>
      <c r="AJ29" s="66">
        <v>8.27</v>
      </c>
      <c r="AK29" s="62">
        <f t="shared" si="25"/>
        <v>30.311999999999998</v>
      </c>
      <c r="AL29" s="72">
        <f t="shared" si="26"/>
        <v>59.543999999999997</v>
      </c>
      <c r="AM29" s="73">
        <f t="shared" si="27"/>
        <v>48.740000000001601</v>
      </c>
      <c r="AN29" s="74">
        <f t="shared" si="28"/>
        <v>12.3697769999999</v>
      </c>
      <c r="AO29" s="74">
        <f t="shared" si="29"/>
        <v>33.011399000000083</v>
      </c>
      <c r="AP29" s="75">
        <f t="shared" si="30"/>
        <v>4.0726971933442935E-2</v>
      </c>
      <c r="AQ29" s="76">
        <f t="shared" si="31"/>
        <v>15830.700556683241</v>
      </c>
      <c r="AR29" s="90">
        <f t="shared" si="14"/>
        <v>-1.2599999999983993</v>
      </c>
    </row>
    <row r="30" spans="1:48" x14ac:dyDescent="0.25">
      <c r="A30" t="str">
        <f t="shared" si="15"/>
        <v>46217M</v>
      </c>
      <c r="B30" s="51">
        <f t="shared" si="33"/>
        <v>46217</v>
      </c>
      <c r="C30" s="52" t="s">
        <v>87</v>
      </c>
      <c r="D30" s="91">
        <v>720</v>
      </c>
      <c r="E30" s="62">
        <v>4.21</v>
      </c>
      <c r="F30" s="62">
        <v>8.27</v>
      </c>
      <c r="G30" s="62">
        <f t="shared" si="16"/>
        <v>30.311999999999998</v>
      </c>
      <c r="H30" s="63">
        <f t="shared" si="17"/>
        <v>59.543999999999997</v>
      </c>
      <c r="I30" s="202">
        <v>4567.6000000000013</v>
      </c>
      <c r="J30" s="202">
        <v>4704.6280000000015</v>
      </c>
      <c r="K30" s="202">
        <v>4.3678036605657233</v>
      </c>
      <c r="L30" s="202">
        <v>8.2381184867326365</v>
      </c>
      <c r="M30" s="58" t="s">
        <v>527</v>
      </c>
      <c r="N30" s="58" t="s">
        <v>528</v>
      </c>
      <c r="O30" s="59">
        <v>9870</v>
      </c>
      <c r="P30" s="56">
        <v>4.28</v>
      </c>
      <c r="Q30" s="60">
        <v>8.2200000000000006</v>
      </c>
      <c r="R30" s="61">
        <f t="shared" si="18"/>
        <v>14574.628000000001</v>
      </c>
      <c r="S30" s="62">
        <f t="shared" si="19"/>
        <v>627.92491400000006</v>
      </c>
      <c r="T30" s="63">
        <f t="shared" si="20"/>
        <v>1198.886829</v>
      </c>
      <c r="U30" s="64" t="s">
        <v>168</v>
      </c>
      <c r="V30" s="65" t="s">
        <v>530</v>
      </c>
      <c r="W30" s="66" t="s">
        <v>182</v>
      </c>
      <c r="X30" s="67">
        <v>9870</v>
      </c>
      <c r="Y30" s="68">
        <v>4.3</v>
      </c>
      <c r="Z30" s="68">
        <v>8.27</v>
      </c>
      <c r="AA30" s="62">
        <f t="shared" si="21"/>
        <v>424.40999999999997</v>
      </c>
      <c r="AB30" s="63">
        <f t="shared" si="22"/>
        <v>816.24899999999991</v>
      </c>
      <c r="AC30" s="69">
        <v>9850</v>
      </c>
      <c r="AD30" s="70">
        <v>4.2500000000000009</v>
      </c>
      <c r="AE30" s="70">
        <v>8.26</v>
      </c>
      <c r="AF30" s="62">
        <f t="shared" si="23"/>
        <v>418.62500000000011</v>
      </c>
      <c r="AG30" s="62">
        <f t="shared" si="24"/>
        <v>813.6099999999999</v>
      </c>
      <c r="AH30" s="89">
        <v>5426</v>
      </c>
      <c r="AI30" s="66">
        <v>4.3</v>
      </c>
      <c r="AJ30" s="66">
        <v>8.23</v>
      </c>
      <c r="AK30" s="62">
        <f t="shared" si="25"/>
        <v>233.31799999999998</v>
      </c>
      <c r="AL30" s="72">
        <f t="shared" si="26"/>
        <v>446.5598</v>
      </c>
      <c r="AM30" s="73">
        <f t="shared" si="27"/>
        <v>18.628000000000611</v>
      </c>
      <c r="AN30" s="74">
        <f t="shared" si="28"/>
        <v>6.2939139999999725</v>
      </c>
      <c r="AO30" s="74">
        <f t="shared" si="29"/>
        <v>-1.7389709999997649</v>
      </c>
      <c r="AP30" s="75">
        <f t="shared" si="30"/>
        <v>2.4933839063898591E-3</v>
      </c>
      <c r="AQ30" s="76">
        <f t="shared" si="31"/>
        <v>2503.6241881126061</v>
      </c>
      <c r="AR30" s="90">
        <f t="shared" si="14"/>
        <v>-1.3719999999993888</v>
      </c>
    </row>
    <row r="31" spans="1:48" x14ac:dyDescent="0.25">
      <c r="A31" t="str">
        <f t="shared" si="15"/>
        <v>46217E</v>
      </c>
      <c r="B31" s="51">
        <f t="shared" si="33"/>
        <v>46217</v>
      </c>
      <c r="C31" s="52" t="s">
        <v>88</v>
      </c>
      <c r="D31" s="91">
        <v>5426</v>
      </c>
      <c r="E31" s="62">
        <v>4.3</v>
      </c>
      <c r="F31" s="62">
        <v>8.23</v>
      </c>
      <c r="G31" s="62">
        <f t="shared" si="16"/>
        <v>233.31799999999998</v>
      </c>
      <c r="H31" s="63">
        <f t="shared" si="17"/>
        <v>446.5598</v>
      </c>
      <c r="I31" s="202">
        <v>5636.7000000000007</v>
      </c>
      <c r="J31" s="202">
        <v>5805.8010000000013</v>
      </c>
      <c r="K31" s="202">
        <v>4.2064417123494273</v>
      </c>
      <c r="L31" s="202">
        <v>8.3756293576028575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5805.8010000000013</v>
      </c>
      <c r="S31" s="62">
        <f t="shared" si="19"/>
        <v>244.2176350000002</v>
      </c>
      <c r="T31" s="63">
        <f t="shared" si="20"/>
        <v>486.27237300000041</v>
      </c>
      <c r="U31" s="64" t="s">
        <v>189</v>
      </c>
      <c r="V31" s="65" t="s">
        <v>531</v>
      </c>
      <c r="W31" s="66" t="s">
        <v>187</v>
      </c>
      <c r="X31" s="67">
        <v>10000</v>
      </c>
      <c r="Y31" s="68">
        <v>4.3</v>
      </c>
      <c r="Z31" s="68">
        <v>8.33</v>
      </c>
      <c r="AA31" s="62">
        <f t="shared" si="21"/>
        <v>429.99999999999994</v>
      </c>
      <c r="AB31" s="63">
        <f t="shared" si="22"/>
        <v>833</v>
      </c>
      <c r="AC31" s="69">
        <v>9970</v>
      </c>
      <c r="AD31" s="70">
        <v>4.2002507522567702</v>
      </c>
      <c r="AE31" s="70">
        <v>8.0898996990972911</v>
      </c>
      <c r="AF31" s="62">
        <f t="shared" si="23"/>
        <v>418.76500000000004</v>
      </c>
      <c r="AG31" s="62">
        <f t="shared" si="24"/>
        <v>806.56299999999999</v>
      </c>
      <c r="AH31" s="89">
        <v>1233</v>
      </c>
      <c r="AI31" s="66">
        <v>4.25</v>
      </c>
      <c r="AJ31" s="66">
        <v>8.31</v>
      </c>
      <c r="AK31" s="62">
        <f t="shared" si="25"/>
        <v>52.402500000000003</v>
      </c>
      <c r="AL31" s="72">
        <f t="shared" si="26"/>
        <v>102.46230000000001</v>
      </c>
      <c r="AM31" s="73">
        <f t="shared" si="27"/>
        <v>28.801000000001295</v>
      </c>
      <c r="AN31" s="74">
        <f t="shared" si="28"/>
        <v>6.3681350000001373</v>
      </c>
      <c r="AO31" s="74">
        <f t="shared" si="29"/>
        <v>23.806873000000465</v>
      </c>
      <c r="AP31" s="75">
        <f t="shared" si="30"/>
        <v>4.1307899724208924E-2</v>
      </c>
      <c r="AQ31" s="76">
        <f t="shared" si="31"/>
        <v>10190.04265008272</v>
      </c>
      <c r="AR31" s="90">
        <f t="shared" si="14"/>
        <v>-1.1989999999987049</v>
      </c>
    </row>
    <row r="32" spans="1:48" x14ac:dyDescent="0.25">
      <c r="A32" t="str">
        <f t="shared" si="15"/>
        <v>46218M</v>
      </c>
      <c r="B32" s="51">
        <f t="shared" si="33"/>
        <v>46218</v>
      </c>
      <c r="C32" s="52" t="s">
        <v>87</v>
      </c>
      <c r="D32" s="91">
        <v>1233</v>
      </c>
      <c r="E32" s="62">
        <v>4.25</v>
      </c>
      <c r="F32" s="62">
        <v>8.31</v>
      </c>
      <c r="G32" s="62">
        <f t="shared" si="16"/>
        <v>52.402500000000003</v>
      </c>
      <c r="H32" s="63">
        <f t="shared" si="17"/>
        <v>102.46230000000001</v>
      </c>
      <c r="I32" s="202">
        <v>6558.4</v>
      </c>
      <c r="J32" s="202">
        <v>6755.152</v>
      </c>
      <c r="K32" s="202">
        <v>4.2551094779214456</v>
      </c>
      <c r="L32" s="202">
        <v>8.1183337399365687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8"/>
        <v>6755.152</v>
      </c>
      <c r="S32" s="62">
        <f t="shared" si="19"/>
        <v>287.43911300000008</v>
      </c>
      <c r="T32" s="63">
        <f t="shared" si="20"/>
        <v>548.40578399999993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21"/>
        <v>0</v>
      </c>
      <c r="AB32" s="63">
        <f t="shared" si="22"/>
        <v>0</v>
      </c>
      <c r="AC32" s="69"/>
      <c r="AD32" s="70"/>
      <c r="AE32" s="70"/>
      <c r="AF32" s="62">
        <f t="shared" si="23"/>
        <v>0</v>
      </c>
      <c r="AG32" s="62">
        <f t="shared" si="24"/>
        <v>0</v>
      </c>
      <c r="AH32" s="89">
        <v>7989</v>
      </c>
      <c r="AI32" s="66">
        <v>4.26</v>
      </c>
      <c r="AJ32" s="66">
        <v>8.15</v>
      </c>
      <c r="AK32" s="62">
        <f t="shared" si="25"/>
        <v>340.33139999999997</v>
      </c>
      <c r="AL32" s="72">
        <f t="shared" si="26"/>
        <v>651.10350000000005</v>
      </c>
      <c r="AM32" s="73">
        <f t="shared" si="27"/>
        <v>-0.84799999999995634</v>
      </c>
      <c r="AN32" s="74">
        <f t="shared" si="28"/>
        <v>-0.48978699999992159</v>
      </c>
      <c r="AO32" s="74">
        <f t="shared" si="29"/>
        <v>-0.23541600000010021</v>
      </c>
      <c r="AP32" s="75">
        <f t="shared" si="30"/>
        <v>-8.6762867441424587E-4</v>
      </c>
      <c r="AQ32" s="76">
        <f t="shared" si="31"/>
        <v>-305.86359052263037</v>
      </c>
      <c r="AR32" s="90">
        <f t="shared" si="14"/>
        <v>-0.84799999999995634</v>
      </c>
    </row>
    <row r="33" spans="1:44" x14ac:dyDescent="0.25">
      <c r="A33" t="str">
        <f t="shared" si="15"/>
        <v>46218E</v>
      </c>
      <c r="B33" s="51">
        <f t="shared" si="33"/>
        <v>46218</v>
      </c>
      <c r="C33" s="52" t="s">
        <v>88</v>
      </c>
      <c r="D33" s="91">
        <v>7989</v>
      </c>
      <c r="E33" s="62">
        <v>4.26</v>
      </c>
      <c r="F33" s="62">
        <v>8.15</v>
      </c>
      <c r="G33" s="62">
        <f t="shared" si="16"/>
        <v>340.33139999999997</v>
      </c>
      <c r="H33" s="63">
        <f t="shared" si="17"/>
        <v>651.10350000000005</v>
      </c>
      <c r="I33" s="202">
        <v>4716.5</v>
      </c>
      <c r="J33" s="202">
        <v>4857.9949999999999</v>
      </c>
      <c r="K33" s="202">
        <v>4.1742436128485094</v>
      </c>
      <c r="L33" s="202">
        <v>8.0665938725749999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4857.9949999999999</v>
      </c>
      <c r="S33" s="62">
        <f t="shared" si="19"/>
        <v>202.78454599999992</v>
      </c>
      <c r="T33" s="63">
        <f t="shared" si="20"/>
        <v>391.87472699999984</v>
      </c>
      <c r="U33" s="64" t="s">
        <v>168</v>
      </c>
      <c r="V33" s="65" t="s">
        <v>532</v>
      </c>
      <c r="W33" s="66" t="s">
        <v>187</v>
      </c>
      <c r="X33" s="67">
        <v>9870</v>
      </c>
      <c r="Y33" s="68">
        <v>4.3499999999999996</v>
      </c>
      <c r="Z33" s="68">
        <v>8.2799999999999994</v>
      </c>
      <c r="AA33" s="62">
        <f t="shared" si="21"/>
        <v>429.34499999999997</v>
      </c>
      <c r="AB33" s="63">
        <f t="shared" si="22"/>
        <v>817.23599999999999</v>
      </c>
      <c r="AC33" s="69">
        <v>9840</v>
      </c>
      <c r="AD33" s="70">
        <v>4.2999999999999989</v>
      </c>
      <c r="AE33" s="70">
        <v>8.15</v>
      </c>
      <c r="AF33" s="62">
        <f t="shared" si="23"/>
        <v>423.11999999999989</v>
      </c>
      <c r="AG33" s="62">
        <f t="shared" si="24"/>
        <v>801.96</v>
      </c>
      <c r="AH33" s="89">
        <v>2978</v>
      </c>
      <c r="AI33" s="66">
        <v>4.2300000000000004</v>
      </c>
      <c r="AJ33" s="66">
        <v>8.1199999999999992</v>
      </c>
      <c r="AK33" s="62">
        <f t="shared" si="25"/>
        <v>125.96940000000001</v>
      </c>
      <c r="AL33" s="72">
        <f t="shared" si="26"/>
        <v>241.81359999999998</v>
      </c>
      <c r="AM33" s="73">
        <f t="shared" si="27"/>
        <v>28.994999999998981</v>
      </c>
      <c r="AN33" s="74">
        <f t="shared" si="28"/>
        <v>-5.9734540000000038</v>
      </c>
      <c r="AO33" s="74">
        <f t="shared" si="29"/>
        <v>-0.79537300000018263</v>
      </c>
      <c r="AP33" s="75">
        <f t="shared" si="30"/>
        <v>-1.1382698138804924E-2</v>
      </c>
      <c r="AQ33" s="76">
        <f t="shared" si="31"/>
        <v>-3108.6461942595984</v>
      </c>
      <c r="AR33" s="90">
        <f t="shared" si="14"/>
        <v>-1.0050000000010186</v>
      </c>
    </row>
    <row r="34" spans="1:44" x14ac:dyDescent="0.25">
      <c r="A34" t="str">
        <f t="shared" si="15"/>
        <v>46219M</v>
      </c>
      <c r="B34" s="51">
        <f t="shared" si="33"/>
        <v>46219</v>
      </c>
      <c r="C34" s="52" t="s">
        <v>87</v>
      </c>
      <c r="D34" s="91">
        <v>2978</v>
      </c>
      <c r="E34" s="62">
        <v>4.2300000000000004</v>
      </c>
      <c r="F34" s="62">
        <v>8.1199999999999992</v>
      </c>
      <c r="G34" s="62">
        <f t="shared" si="16"/>
        <v>125.96940000000001</v>
      </c>
      <c r="H34" s="63">
        <f t="shared" si="17"/>
        <v>241.81359999999998</v>
      </c>
      <c r="I34" s="202">
        <v>6080.5</v>
      </c>
      <c r="J34" s="202">
        <v>6262.915</v>
      </c>
      <c r="K34" s="202">
        <v>4.1108346353095975</v>
      </c>
      <c r="L34" s="202">
        <v>8.1334380396348998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6262.915</v>
      </c>
      <c r="S34" s="62">
        <f t="shared" si="19"/>
        <v>257.45807900000005</v>
      </c>
      <c r="T34" s="63">
        <f t="shared" si="20"/>
        <v>509.39031100000005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1"/>
        <v>0</v>
      </c>
      <c r="AB34" s="63">
        <f t="shared" si="22"/>
        <v>0</v>
      </c>
      <c r="AC34" s="69"/>
      <c r="AD34" s="70"/>
      <c r="AE34" s="70"/>
      <c r="AF34" s="62">
        <f t="shared" si="23"/>
        <v>0</v>
      </c>
      <c r="AG34" s="62">
        <f t="shared" si="24"/>
        <v>0</v>
      </c>
      <c r="AH34" s="89">
        <v>9242</v>
      </c>
      <c r="AI34" s="66">
        <v>4.1500000000000004</v>
      </c>
      <c r="AJ34" s="66">
        <v>8.1300000000000008</v>
      </c>
      <c r="AK34" s="62">
        <f t="shared" si="25"/>
        <v>383.54300000000001</v>
      </c>
      <c r="AL34" s="72">
        <f t="shared" si="26"/>
        <v>751.3746000000001</v>
      </c>
      <c r="AM34" s="73">
        <f t="shared" si="27"/>
        <v>-1.0849999999991269</v>
      </c>
      <c r="AN34" s="74">
        <f t="shared" si="28"/>
        <v>-0.11552099999994425</v>
      </c>
      <c r="AO34" s="74">
        <f t="shared" si="29"/>
        <v>-0.1706890000000385</v>
      </c>
      <c r="AP34" s="75">
        <f t="shared" si="30"/>
        <v>-3.7322892469003258E-4</v>
      </c>
      <c r="AQ34" s="76">
        <f t="shared" si="31"/>
        <v>-106.63143623491442</v>
      </c>
      <c r="AR34" s="90">
        <f t="shared" si="14"/>
        <v>-1.0849999999991269</v>
      </c>
    </row>
    <row r="35" spans="1:44" x14ac:dyDescent="0.25">
      <c r="A35" t="str">
        <f t="shared" si="15"/>
        <v>46219E</v>
      </c>
      <c r="B35" s="51">
        <f t="shared" si="33"/>
        <v>46219</v>
      </c>
      <c r="C35" s="52" t="s">
        <v>88</v>
      </c>
      <c r="D35" s="91">
        <v>9242</v>
      </c>
      <c r="E35" s="62">
        <v>4.1500000000000004</v>
      </c>
      <c r="F35" s="62">
        <v>8.1300000000000008</v>
      </c>
      <c r="G35" s="62">
        <f t="shared" si="16"/>
        <v>383.54300000000001</v>
      </c>
      <c r="H35" s="63">
        <f t="shared" si="17"/>
        <v>751.3746000000001</v>
      </c>
      <c r="I35" s="202">
        <v>7729.2999999999993</v>
      </c>
      <c r="J35" s="202">
        <v>7961.1789999999992</v>
      </c>
      <c r="K35" s="202">
        <v>4.1742137062864675</v>
      </c>
      <c r="L35" s="202">
        <v>8.2142393230952369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7961.1789999999992</v>
      </c>
      <c r="S35" s="62">
        <f t="shared" si="19"/>
        <v>332.31662499999993</v>
      </c>
      <c r="T35" s="63">
        <f t="shared" si="20"/>
        <v>653.95029599999998</v>
      </c>
      <c r="U35" s="64" t="s">
        <v>189</v>
      </c>
      <c r="V35" s="65" t="s">
        <v>570</v>
      </c>
      <c r="W35" s="66" t="s">
        <v>181</v>
      </c>
      <c r="X35" s="67">
        <v>10000</v>
      </c>
      <c r="Y35" s="68">
        <v>4.2</v>
      </c>
      <c r="Z35" s="68">
        <v>8.25</v>
      </c>
      <c r="AA35" s="62">
        <f t="shared" si="21"/>
        <v>420</v>
      </c>
      <c r="AB35" s="63">
        <f t="shared" si="22"/>
        <v>825</v>
      </c>
      <c r="AC35" s="69">
        <v>9990</v>
      </c>
      <c r="AD35" s="70">
        <v>4.1500000000000004</v>
      </c>
      <c r="AE35" s="70">
        <v>7.919999999999999</v>
      </c>
      <c r="AF35" s="62">
        <f t="shared" si="23"/>
        <v>414.58500000000004</v>
      </c>
      <c r="AG35" s="62">
        <f t="shared" si="24"/>
        <v>791.20799999999997</v>
      </c>
      <c r="AH35" s="89">
        <v>7224</v>
      </c>
      <c r="AI35" s="66">
        <v>4.1500000000000004</v>
      </c>
      <c r="AJ35" s="66">
        <v>8.16</v>
      </c>
      <c r="AK35" s="62">
        <f t="shared" si="25"/>
        <v>299.79599999999999</v>
      </c>
      <c r="AL35" s="72">
        <f t="shared" si="26"/>
        <v>589.47840000000008</v>
      </c>
      <c r="AM35" s="73">
        <f t="shared" si="27"/>
        <v>-10.820999999999913</v>
      </c>
      <c r="AN35" s="74">
        <f t="shared" si="28"/>
        <v>1.4786249999999086</v>
      </c>
      <c r="AO35" s="74">
        <f t="shared" si="29"/>
        <v>24.638496000000032</v>
      </c>
      <c r="AP35" s="75">
        <f t="shared" si="30"/>
        <v>2.6480783694457843E-2</v>
      </c>
      <c r="AQ35" s="76">
        <f t="shared" si="31"/>
        <v>8089.537643975882</v>
      </c>
      <c r="AR35" s="90">
        <f t="shared" si="14"/>
        <v>-20.820999999999913</v>
      </c>
    </row>
    <row r="36" spans="1:44" x14ac:dyDescent="0.25">
      <c r="A36" t="str">
        <f t="shared" si="15"/>
        <v>46220M</v>
      </c>
      <c r="B36" s="51">
        <f t="shared" si="33"/>
        <v>46220</v>
      </c>
      <c r="C36" s="52" t="s">
        <v>87</v>
      </c>
      <c r="D36" s="91">
        <v>7224</v>
      </c>
      <c r="E36" s="62">
        <v>4.1500000000000004</v>
      </c>
      <c r="F36" s="62">
        <v>8.16</v>
      </c>
      <c r="G36" s="62">
        <f t="shared" si="16"/>
        <v>299.79599999999999</v>
      </c>
      <c r="H36" s="63">
        <f t="shared" si="17"/>
        <v>589.47840000000008</v>
      </c>
      <c r="I36" s="202">
        <v>6086.2999999999993</v>
      </c>
      <c r="J36" s="202">
        <v>6268.8889999999992</v>
      </c>
      <c r="K36" s="202">
        <v>4.2102114585215986</v>
      </c>
      <c r="L36" s="202">
        <v>8.1047631565976044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6268.8889999999992</v>
      </c>
      <c r="S36" s="62">
        <f t="shared" si="19"/>
        <v>263.93348300000002</v>
      </c>
      <c r="T36" s="63">
        <f t="shared" si="20"/>
        <v>508.07860599999992</v>
      </c>
      <c r="U36" s="64" t="s">
        <v>168</v>
      </c>
      <c r="V36" s="85" t="s">
        <v>604</v>
      </c>
      <c r="W36" s="66" t="s">
        <v>182</v>
      </c>
      <c r="X36" s="67">
        <v>8870</v>
      </c>
      <c r="Y36" s="68">
        <v>4.3</v>
      </c>
      <c r="Z36" s="68">
        <v>8.33</v>
      </c>
      <c r="AA36" s="62">
        <f t="shared" si="21"/>
        <v>381.40999999999997</v>
      </c>
      <c r="AB36" s="63">
        <f t="shared" si="22"/>
        <v>738.87099999999998</v>
      </c>
      <c r="AC36" s="69">
        <v>8900</v>
      </c>
      <c r="AD36" s="70">
        <v>4.25</v>
      </c>
      <c r="AE36" s="70">
        <v>8.1300000000000008</v>
      </c>
      <c r="AF36" s="62">
        <f t="shared" si="23"/>
        <v>378.25</v>
      </c>
      <c r="AG36" s="62">
        <f t="shared" si="24"/>
        <v>723.57</v>
      </c>
      <c r="AH36" s="89">
        <v>4624</v>
      </c>
      <c r="AI36" s="66">
        <v>4.18</v>
      </c>
      <c r="AJ36" s="66">
        <v>8.1300000000000008</v>
      </c>
      <c r="AK36" s="62">
        <f t="shared" si="25"/>
        <v>193.28319999999999</v>
      </c>
      <c r="AL36" s="72">
        <f t="shared" si="26"/>
        <v>375.93120000000005</v>
      </c>
      <c r="AM36" s="73">
        <f t="shared" si="27"/>
        <v>-31.111000000000786</v>
      </c>
      <c r="AN36" s="74">
        <f t="shared" si="28"/>
        <v>-7.8037169999999207</v>
      </c>
      <c r="AO36" s="74">
        <f t="shared" si="29"/>
        <v>-1.9441940000000955</v>
      </c>
      <c r="AP36" s="75">
        <f t="shared" si="30"/>
        <v>-1.2626629995686527E-2</v>
      </c>
      <c r="AQ36" s="76">
        <f t="shared" si="31"/>
        <v>-4332.2087963865351</v>
      </c>
      <c r="AR36" s="90">
        <f t="shared" si="14"/>
        <v>-1.1110000000007858</v>
      </c>
    </row>
    <row r="37" spans="1:44" x14ac:dyDescent="0.25">
      <c r="A37" t="str">
        <f t="shared" si="15"/>
        <v>46220E</v>
      </c>
      <c r="B37" s="51">
        <f t="shared" si="33"/>
        <v>46220</v>
      </c>
      <c r="C37" s="52" t="s">
        <v>88</v>
      </c>
      <c r="D37" s="91">
        <v>4624</v>
      </c>
      <c r="E37" s="62">
        <v>4.18</v>
      </c>
      <c r="F37" s="62">
        <v>8.1300000000000008</v>
      </c>
      <c r="G37" s="62">
        <f t="shared" si="16"/>
        <v>193.28319999999999</v>
      </c>
      <c r="H37" s="63">
        <f t="shared" si="17"/>
        <v>375.93120000000005</v>
      </c>
      <c r="I37" s="202">
        <v>4783.6000000000013</v>
      </c>
      <c r="J37" s="202">
        <v>4927.1080000000011</v>
      </c>
      <c r="K37" s="202">
        <v>4.2151747637762371</v>
      </c>
      <c r="L37" s="202">
        <v>8.2540116230454093</v>
      </c>
      <c r="M37" s="58" t="s">
        <v>159</v>
      </c>
      <c r="N37" s="58" t="s">
        <v>384</v>
      </c>
      <c r="O37" s="59">
        <v>2930</v>
      </c>
      <c r="P37" s="56">
        <v>4</v>
      </c>
      <c r="Q37" s="60">
        <v>8</v>
      </c>
      <c r="R37" s="61">
        <f t="shared" si="18"/>
        <v>7857.1080000000011</v>
      </c>
      <c r="S37" s="62">
        <f t="shared" si="19"/>
        <v>324.88621300000017</v>
      </c>
      <c r="T37" s="63">
        <f t="shared" si="20"/>
        <v>641.08406700000035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21"/>
        <v>0</v>
      </c>
      <c r="AB37" s="63">
        <f t="shared" si="22"/>
        <v>0</v>
      </c>
      <c r="AC37" s="69"/>
      <c r="AD37" s="70"/>
      <c r="AE37" s="70"/>
      <c r="AF37" s="62">
        <f t="shared" si="23"/>
        <v>0</v>
      </c>
      <c r="AG37" s="62">
        <f t="shared" si="24"/>
        <v>0</v>
      </c>
      <c r="AH37" s="89">
        <v>12485</v>
      </c>
      <c r="AI37" s="66">
        <v>4.1500000000000004</v>
      </c>
      <c r="AJ37" s="66">
        <v>8.15</v>
      </c>
      <c r="AK37" s="62">
        <f t="shared" si="25"/>
        <v>518.12750000000005</v>
      </c>
      <c r="AL37" s="72">
        <f t="shared" si="26"/>
        <v>1017.5275</v>
      </c>
      <c r="AM37" s="73">
        <f t="shared" si="27"/>
        <v>-3.8919999999998254</v>
      </c>
      <c r="AN37" s="74">
        <f t="shared" si="28"/>
        <v>4.191300000013598E-2</v>
      </c>
      <c r="AO37" s="74">
        <f t="shared" si="29"/>
        <v>-0.51223299999958272</v>
      </c>
      <c r="AP37" s="75">
        <f t="shared" si="30"/>
        <v>-4.8688868564304743E-4</v>
      </c>
      <c r="AQ37" s="76">
        <f t="shared" si="31"/>
        <v>-133.26866272153293</v>
      </c>
      <c r="AR37" s="90">
        <f t="shared" si="14"/>
        <v>-3.8919999999998254</v>
      </c>
    </row>
    <row r="38" spans="1:44" x14ac:dyDescent="0.25">
      <c r="A38" t="str">
        <f t="shared" si="15"/>
        <v>46221M</v>
      </c>
      <c r="B38" s="51">
        <f t="shared" si="33"/>
        <v>46221</v>
      </c>
      <c r="C38" s="52" t="s">
        <v>87</v>
      </c>
      <c r="D38" s="91">
        <v>12485</v>
      </c>
      <c r="E38" s="62">
        <v>4.1500000000000004</v>
      </c>
      <c r="F38" s="62">
        <v>8.15</v>
      </c>
      <c r="G38" s="62">
        <f t="shared" si="16"/>
        <v>518.12750000000005</v>
      </c>
      <c r="H38" s="63">
        <f t="shared" si="17"/>
        <v>1017.5275</v>
      </c>
      <c r="I38" s="202">
        <v>7101.3</v>
      </c>
      <c r="J38" s="202">
        <v>7314.3389999999999</v>
      </c>
      <c r="K38" s="202">
        <v>4.0771746018334678</v>
      </c>
      <c r="L38" s="202">
        <v>8.2687423429512901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7314.3389999999999</v>
      </c>
      <c r="S38" s="62">
        <f t="shared" si="19"/>
        <v>298.21837200000004</v>
      </c>
      <c r="T38" s="63">
        <f t="shared" si="20"/>
        <v>604.80384600000002</v>
      </c>
      <c r="U38" s="64" t="s">
        <v>605</v>
      </c>
      <c r="V38" s="65" t="s">
        <v>606</v>
      </c>
      <c r="W38" s="66" t="s">
        <v>607</v>
      </c>
      <c r="X38" s="67">
        <v>17000</v>
      </c>
      <c r="Y38" s="68">
        <v>4.29</v>
      </c>
      <c r="Z38" s="68">
        <v>8.2899999999999991</v>
      </c>
      <c r="AA38" s="62">
        <f t="shared" si="21"/>
        <v>729.3</v>
      </c>
      <c r="AB38" s="63">
        <f t="shared" si="22"/>
        <v>1409.2999999999997</v>
      </c>
      <c r="AC38" s="221">
        <v>16990</v>
      </c>
      <c r="AD38" s="223">
        <v>4.2528251912889941</v>
      </c>
      <c r="AE38" s="223">
        <v>8.1692054149499711</v>
      </c>
      <c r="AF38" s="62">
        <f t="shared" si="23"/>
        <v>722.55500000000006</v>
      </c>
      <c r="AG38" s="62">
        <f t="shared" si="24"/>
        <v>1387.9479999999999</v>
      </c>
      <c r="AH38" s="89">
        <v>2801</v>
      </c>
      <c r="AI38" s="66">
        <v>4.12</v>
      </c>
      <c r="AJ38" s="66">
        <v>8.19</v>
      </c>
      <c r="AK38" s="62">
        <f t="shared" si="25"/>
        <v>115.4012</v>
      </c>
      <c r="AL38" s="72">
        <f t="shared" si="26"/>
        <v>229.40190000000001</v>
      </c>
      <c r="AM38" s="73">
        <f t="shared" si="27"/>
        <v>8.3389999999999418</v>
      </c>
      <c r="AN38" s="74">
        <f t="shared" si="28"/>
        <v>-21.610327999999967</v>
      </c>
      <c r="AO38" s="74">
        <f t="shared" si="29"/>
        <v>4.9814460000000622</v>
      </c>
      <c r="AP38" s="75">
        <f t="shared" si="30"/>
        <v>-1.8414698629264405E-2</v>
      </c>
      <c r="AQ38" s="76">
        <f t="shared" si="31"/>
        <v>-8892.5672133114094</v>
      </c>
      <c r="AR38" s="90">
        <f t="shared" si="14"/>
        <v>-1.6610000000000582</v>
      </c>
    </row>
    <row r="39" spans="1:44" x14ac:dyDescent="0.25">
      <c r="A39" t="str">
        <f t="shared" si="15"/>
        <v>46221E</v>
      </c>
      <c r="B39" s="51">
        <f t="shared" si="33"/>
        <v>46221</v>
      </c>
      <c r="C39" s="52" t="s">
        <v>88</v>
      </c>
      <c r="D39" s="91">
        <v>2801</v>
      </c>
      <c r="E39" s="62">
        <v>4.12</v>
      </c>
      <c r="F39" s="62">
        <v>8.19</v>
      </c>
      <c r="G39" s="62">
        <f t="shared" si="16"/>
        <v>115.4012</v>
      </c>
      <c r="H39" s="63">
        <f t="shared" si="17"/>
        <v>229.40190000000001</v>
      </c>
      <c r="I39" s="202">
        <v>4571.6000000000013</v>
      </c>
      <c r="J39" s="202">
        <v>4708.7480000000014</v>
      </c>
      <c r="K39" s="202">
        <v>4.1366151894303975</v>
      </c>
      <c r="L39" s="202">
        <v>8.2887763583865635</v>
      </c>
      <c r="M39" s="58" t="s">
        <v>527</v>
      </c>
      <c r="N39" s="58" t="s">
        <v>603</v>
      </c>
      <c r="O39" s="59">
        <v>3650</v>
      </c>
      <c r="P39" s="56">
        <v>4.3499999999999996</v>
      </c>
      <c r="Q39" s="60">
        <v>8.34</v>
      </c>
      <c r="R39" s="61">
        <f t="shared" si="18"/>
        <v>8358.7480000000014</v>
      </c>
      <c r="S39" s="62">
        <f t="shared" si="19"/>
        <v>353.55778500000008</v>
      </c>
      <c r="T39" s="63">
        <f t="shared" si="20"/>
        <v>694.70759100000032</v>
      </c>
      <c r="U39" s="64" t="s">
        <v>311</v>
      </c>
      <c r="V39" s="65" t="s">
        <v>608</v>
      </c>
      <c r="W39" s="66" t="s">
        <v>159</v>
      </c>
      <c r="X39" s="67">
        <v>5200</v>
      </c>
      <c r="Y39" s="68">
        <v>4.25</v>
      </c>
      <c r="Z39" s="68">
        <v>8.26</v>
      </c>
      <c r="AA39" s="62">
        <f t="shared" si="21"/>
        <v>221.00000000000003</v>
      </c>
      <c r="AB39" s="63">
        <f t="shared" si="22"/>
        <v>429.52</v>
      </c>
      <c r="AC39" s="69">
        <v>5200</v>
      </c>
      <c r="AD39" s="70">
        <v>4.2</v>
      </c>
      <c r="AE39" s="70">
        <v>8</v>
      </c>
      <c r="AF39" s="62">
        <f t="shared" si="23"/>
        <v>218.4</v>
      </c>
      <c r="AG39" s="62">
        <f t="shared" si="24"/>
        <v>416</v>
      </c>
      <c r="AH39" s="89">
        <v>5961</v>
      </c>
      <c r="AI39" s="66">
        <v>4.2</v>
      </c>
      <c r="AJ39" s="66">
        <v>8.2799999999999994</v>
      </c>
      <c r="AK39" s="62">
        <f t="shared" si="25"/>
        <v>250.36200000000002</v>
      </c>
      <c r="AL39" s="72">
        <f t="shared" si="26"/>
        <v>493.57080000000002</v>
      </c>
      <c r="AM39" s="73">
        <f t="shared" si="27"/>
        <v>-1.2519999999985885</v>
      </c>
      <c r="AN39" s="74">
        <f t="shared" si="28"/>
        <v>0.19698500000006902</v>
      </c>
      <c r="AO39" s="74">
        <f t="shared" si="29"/>
        <v>14.53869100000037</v>
      </c>
      <c r="AP39" s="75">
        <f t="shared" si="30"/>
        <v>1.4057199958496421E-2</v>
      </c>
      <c r="AQ39" s="76">
        <f t="shared" si="31"/>
        <v>4448.866227300633</v>
      </c>
      <c r="AR39" s="90">
        <f t="shared" si="14"/>
        <v>-1.2519999999985885</v>
      </c>
    </row>
    <row r="40" spans="1:44" x14ac:dyDescent="0.25">
      <c r="A40" t="str">
        <f t="shared" si="15"/>
        <v>46222M</v>
      </c>
      <c r="B40" s="51">
        <f t="shared" si="33"/>
        <v>46222</v>
      </c>
      <c r="C40" s="52" t="s">
        <v>87</v>
      </c>
      <c r="D40" s="91">
        <v>5961</v>
      </c>
      <c r="E40" s="62">
        <v>4.2</v>
      </c>
      <c r="F40" s="62">
        <v>8.2799999999999994</v>
      </c>
      <c r="G40" s="62">
        <f t="shared" si="16"/>
        <v>250.36200000000002</v>
      </c>
      <c r="H40" s="63">
        <f t="shared" si="17"/>
        <v>493.57080000000002</v>
      </c>
      <c r="I40" s="202">
        <v>6821.3000000000011</v>
      </c>
      <c r="J40" s="202">
        <v>7025.9390000000012</v>
      </c>
      <c r="K40" s="202">
        <v>4.2200387023001475</v>
      </c>
      <c r="L40" s="202">
        <v>8.154545321273071</v>
      </c>
      <c r="M40" s="58" t="s">
        <v>159</v>
      </c>
      <c r="N40" s="58" t="s">
        <v>384</v>
      </c>
      <c r="O40" s="59">
        <v>2565</v>
      </c>
      <c r="P40" s="56">
        <v>4</v>
      </c>
      <c r="Q40" s="60">
        <v>8</v>
      </c>
      <c r="R40" s="61">
        <f t="shared" si="18"/>
        <v>9590.9390000000021</v>
      </c>
      <c r="S40" s="62">
        <f t="shared" si="19"/>
        <v>399.09734500000002</v>
      </c>
      <c r="T40" s="63">
        <f t="shared" si="20"/>
        <v>778.1333800000001</v>
      </c>
      <c r="U40" s="64" t="s">
        <v>174</v>
      </c>
      <c r="V40" s="65" t="s">
        <v>609</v>
      </c>
      <c r="W40" s="66" t="s">
        <v>182</v>
      </c>
      <c r="X40" s="67">
        <v>7130</v>
      </c>
      <c r="Y40" s="68">
        <v>4.3</v>
      </c>
      <c r="Z40" s="68">
        <v>8.33</v>
      </c>
      <c r="AA40" s="62">
        <f t="shared" si="21"/>
        <v>306.58999999999997</v>
      </c>
      <c r="AB40" s="63">
        <f t="shared" si="22"/>
        <v>593.92899999999997</v>
      </c>
      <c r="AC40" s="69">
        <v>7150</v>
      </c>
      <c r="AD40" s="70">
        <v>4.2492307692307687</v>
      </c>
      <c r="AE40" s="70">
        <v>8.2598461538461532</v>
      </c>
      <c r="AF40" s="62">
        <f t="shared" si="23"/>
        <v>303.82</v>
      </c>
      <c r="AG40" s="62">
        <f t="shared" si="24"/>
        <v>590.57899999999995</v>
      </c>
      <c r="AH40" s="89">
        <v>8456</v>
      </c>
      <c r="AI40" s="66">
        <v>4.18</v>
      </c>
      <c r="AJ40" s="66">
        <v>8.18</v>
      </c>
      <c r="AK40" s="62">
        <f t="shared" si="25"/>
        <v>353.46079999999995</v>
      </c>
      <c r="AL40" s="72">
        <f t="shared" si="26"/>
        <v>691.70079999999996</v>
      </c>
      <c r="AM40" s="73">
        <f t="shared" si="27"/>
        <v>-54.060999999997875</v>
      </c>
      <c r="AN40" s="74">
        <f t="shared" si="28"/>
        <v>-7.8214549999999576</v>
      </c>
      <c r="AO40" s="74">
        <f t="shared" si="29"/>
        <v>-10.575619999999731</v>
      </c>
      <c r="AP40" s="75">
        <f t="shared" si="30"/>
        <v>-1.5627416622174626E-2</v>
      </c>
      <c r="AQ40" s="76">
        <f t="shared" si="31"/>
        <v>-6925.7677283296662</v>
      </c>
      <c r="AR40" s="90">
        <f t="shared" si="14"/>
        <v>-34.060999999997875</v>
      </c>
    </row>
    <row r="41" spans="1:44" x14ac:dyDescent="0.25">
      <c r="A41" t="str">
        <f t="shared" si="15"/>
        <v>46222E</v>
      </c>
      <c r="B41" s="51">
        <f t="shared" si="33"/>
        <v>46222</v>
      </c>
      <c r="C41" s="52" t="s">
        <v>88</v>
      </c>
      <c r="D41" s="91">
        <v>8456</v>
      </c>
      <c r="E41" s="62">
        <v>4.18</v>
      </c>
      <c r="F41" s="62">
        <v>8.18</v>
      </c>
      <c r="G41" s="62">
        <f t="shared" si="16"/>
        <v>353.46079999999995</v>
      </c>
      <c r="H41" s="63">
        <f t="shared" si="17"/>
        <v>691.70079999999996</v>
      </c>
      <c r="I41" s="202">
        <v>3829</v>
      </c>
      <c r="J41" s="202">
        <v>3943.87</v>
      </c>
      <c r="K41" s="202">
        <v>4.1471036824236096</v>
      </c>
      <c r="L41" s="202">
        <v>8.241028989292241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8"/>
        <v>3943.87</v>
      </c>
      <c r="S41" s="62">
        <f t="shared" si="19"/>
        <v>163.55637800000002</v>
      </c>
      <c r="T41" s="63">
        <f t="shared" si="20"/>
        <v>325.01546999999994</v>
      </c>
      <c r="U41" s="64" t="s">
        <v>168</v>
      </c>
      <c r="V41" s="65" t="s">
        <v>610</v>
      </c>
      <c r="W41" s="66" t="s">
        <v>182</v>
      </c>
      <c r="X41" s="67">
        <v>9870</v>
      </c>
      <c r="Y41" s="68">
        <v>4.3</v>
      </c>
      <c r="Z41" s="68">
        <v>8.33</v>
      </c>
      <c r="AA41" s="62">
        <f t="shared" si="21"/>
        <v>424.40999999999997</v>
      </c>
      <c r="AB41" s="63">
        <f t="shared" si="22"/>
        <v>822.17099999999994</v>
      </c>
      <c r="AC41" s="69">
        <v>9820</v>
      </c>
      <c r="AD41" s="70">
        <v>4.3</v>
      </c>
      <c r="AE41" s="70">
        <v>8.27</v>
      </c>
      <c r="AF41" s="62">
        <f t="shared" si="23"/>
        <v>422.26</v>
      </c>
      <c r="AG41" s="62">
        <f t="shared" si="24"/>
        <v>812.11399999999992</v>
      </c>
      <c r="AH41" s="89">
        <v>2954</v>
      </c>
      <c r="AI41" s="66">
        <v>4.16</v>
      </c>
      <c r="AJ41" s="66">
        <v>8.2100000000000009</v>
      </c>
      <c r="AK41" s="62">
        <f t="shared" si="25"/>
        <v>122.88639999999999</v>
      </c>
      <c r="AL41" s="72">
        <f t="shared" si="26"/>
        <v>242.52340000000001</v>
      </c>
      <c r="AM41" s="73">
        <f t="shared" si="27"/>
        <v>-374.13000000000102</v>
      </c>
      <c r="AN41" s="74">
        <f t="shared" si="28"/>
        <v>-28.129222000000041</v>
      </c>
      <c r="AO41" s="74">
        <f t="shared" si="29"/>
        <v>-37.921130000000034</v>
      </c>
      <c r="AP41" s="75">
        <f t="shared" si="30"/>
        <v>-0.13519066288895157</v>
      </c>
      <c r="AQ41" s="76">
        <f t="shared" si="31"/>
        <v>-24874.047518353756</v>
      </c>
      <c r="AR41" s="90">
        <f t="shared" si="14"/>
        <v>-424.13000000000102</v>
      </c>
    </row>
    <row r="42" spans="1:44" x14ac:dyDescent="0.25">
      <c r="A42" t="str">
        <f t="shared" si="15"/>
        <v>46223M</v>
      </c>
      <c r="B42" s="51">
        <f t="shared" si="33"/>
        <v>46223</v>
      </c>
      <c r="C42" s="52" t="s">
        <v>87</v>
      </c>
      <c r="D42" s="91">
        <v>2954</v>
      </c>
      <c r="E42" s="62">
        <v>4.16</v>
      </c>
      <c r="F42" s="62">
        <v>8.2100000000000009</v>
      </c>
      <c r="G42" s="62">
        <f t="shared" si="16"/>
        <v>122.88639999999999</v>
      </c>
      <c r="H42" s="63">
        <f t="shared" si="17"/>
        <v>242.52340000000001</v>
      </c>
      <c r="I42" s="202">
        <v>5279.4000000000005</v>
      </c>
      <c r="J42" s="202">
        <v>5437.7820000000011</v>
      </c>
      <c r="K42" s="202">
        <v>4.3225574875932873</v>
      </c>
      <c r="L42" s="202">
        <v>8.2004527029586693</v>
      </c>
      <c r="M42" s="58" t="s">
        <v>159</v>
      </c>
      <c r="N42" s="58" t="s">
        <v>384</v>
      </c>
      <c r="O42" s="59">
        <v>2647</v>
      </c>
      <c r="P42" s="56">
        <v>4.0999999999999996</v>
      </c>
      <c r="Q42" s="60">
        <v>8</v>
      </c>
      <c r="R42" s="61">
        <f t="shared" si="18"/>
        <v>8084.7820000000011</v>
      </c>
      <c r="S42" s="62">
        <f t="shared" si="19"/>
        <v>343.57825300000002</v>
      </c>
      <c r="T42" s="63">
        <f t="shared" si="20"/>
        <v>657.68274100000008</v>
      </c>
      <c r="U42" s="64" t="s">
        <v>174</v>
      </c>
      <c r="V42" s="65" t="s">
        <v>611</v>
      </c>
      <c r="W42" s="66" t="s">
        <v>182</v>
      </c>
      <c r="X42" s="67">
        <v>7130</v>
      </c>
      <c r="Y42" s="68">
        <v>4.3499999999999996</v>
      </c>
      <c r="Z42" s="68">
        <v>8.34</v>
      </c>
      <c r="AA42" s="62">
        <f t="shared" si="21"/>
        <v>310.15499999999997</v>
      </c>
      <c r="AB42" s="63">
        <f t="shared" si="22"/>
        <v>594.64200000000005</v>
      </c>
      <c r="AC42" s="69">
        <v>7130</v>
      </c>
      <c r="AD42" s="70">
        <v>4.2500000000000009</v>
      </c>
      <c r="AE42" s="70">
        <v>8.26</v>
      </c>
      <c r="AF42" s="62">
        <f t="shared" si="23"/>
        <v>303.02500000000009</v>
      </c>
      <c r="AG42" s="62">
        <f t="shared" si="24"/>
        <v>588.93799999999999</v>
      </c>
      <c r="AH42" s="89">
        <v>3910</v>
      </c>
      <c r="AI42" s="66">
        <v>4.22</v>
      </c>
      <c r="AJ42" s="66">
        <v>8.15</v>
      </c>
      <c r="AK42" s="62">
        <f t="shared" si="25"/>
        <v>165.00199999999998</v>
      </c>
      <c r="AL42" s="72">
        <f t="shared" si="26"/>
        <v>318.66500000000002</v>
      </c>
      <c r="AM42" s="73">
        <f t="shared" si="27"/>
        <v>-1.2179999999989377</v>
      </c>
      <c r="AN42" s="74">
        <f t="shared" si="28"/>
        <v>-1.5623470000000736</v>
      </c>
      <c r="AO42" s="74">
        <f t="shared" si="29"/>
        <v>-7.3968589999998926</v>
      </c>
      <c r="AP42" s="75">
        <f t="shared" si="30"/>
        <v>-8.9479227231336299E-3</v>
      </c>
      <c r="AQ42" s="76">
        <f t="shared" si="31"/>
        <v>-2966.0520021915454</v>
      </c>
      <c r="AR42" s="90">
        <f t="shared" si="14"/>
        <v>-1.2179999999989377</v>
      </c>
    </row>
    <row r="43" spans="1:44" x14ac:dyDescent="0.25">
      <c r="A43" t="str">
        <f t="shared" si="15"/>
        <v>46223E</v>
      </c>
      <c r="B43" s="51">
        <f t="shared" si="33"/>
        <v>46223</v>
      </c>
      <c r="C43" s="52" t="s">
        <v>88</v>
      </c>
      <c r="D43" s="91">
        <v>3910</v>
      </c>
      <c r="E43" s="62">
        <v>4.22</v>
      </c>
      <c r="F43" s="62">
        <v>8.15</v>
      </c>
      <c r="G43" s="62">
        <f t="shared" si="16"/>
        <v>165.00199999999998</v>
      </c>
      <c r="H43" s="63">
        <f t="shared" si="17"/>
        <v>318.66500000000002</v>
      </c>
      <c r="I43" s="202">
        <v>5298.1000000000013</v>
      </c>
      <c r="J43" s="202">
        <v>5457.0430000000015</v>
      </c>
      <c r="K43" s="202">
        <v>4.3302561295558784</v>
      </c>
      <c r="L43" s="202">
        <v>8.2093561842924814</v>
      </c>
      <c r="M43" s="58" t="s">
        <v>159</v>
      </c>
      <c r="N43" s="58" t="s">
        <v>384</v>
      </c>
      <c r="O43" s="59">
        <v>2231</v>
      </c>
      <c r="P43" s="56">
        <v>4.0999999999999996</v>
      </c>
      <c r="Q43" s="60">
        <v>8</v>
      </c>
      <c r="R43" s="61">
        <f t="shared" si="18"/>
        <v>7688.0430000000015</v>
      </c>
      <c r="S43" s="62">
        <f t="shared" si="19"/>
        <v>327.77493900000002</v>
      </c>
      <c r="T43" s="63">
        <f t="shared" si="20"/>
        <v>626.46809700000006</v>
      </c>
      <c r="U43" s="64" t="s">
        <v>168</v>
      </c>
      <c r="V43" s="65" t="s">
        <v>612</v>
      </c>
      <c r="W43" s="66" t="s">
        <v>187</v>
      </c>
      <c r="X43" s="67">
        <v>9870</v>
      </c>
      <c r="Y43" s="68">
        <v>4.3499999999999996</v>
      </c>
      <c r="Z43" s="68">
        <v>8.34</v>
      </c>
      <c r="AA43" s="62">
        <f t="shared" si="21"/>
        <v>429.34499999999997</v>
      </c>
      <c r="AB43" s="63">
        <f t="shared" si="22"/>
        <v>823.15800000000002</v>
      </c>
      <c r="AC43" s="224">
        <v>9870</v>
      </c>
      <c r="AD43" s="223">
        <v>4.25</v>
      </c>
      <c r="AE43" s="223">
        <v>8.1300000000000008</v>
      </c>
      <c r="AF43" s="62">
        <f t="shared" si="23"/>
        <v>419.47500000000002</v>
      </c>
      <c r="AG43" s="62">
        <f t="shared" si="24"/>
        <v>802.43100000000015</v>
      </c>
      <c r="AH43" s="89">
        <v>1729</v>
      </c>
      <c r="AI43" s="66">
        <v>4.25</v>
      </c>
      <c r="AJ43" s="66">
        <v>8.1300000000000008</v>
      </c>
      <c r="AK43" s="62">
        <f t="shared" si="25"/>
        <v>73.482500000000002</v>
      </c>
      <c r="AL43" s="72">
        <f t="shared" si="26"/>
        <v>140.56770000000003</v>
      </c>
      <c r="AM43" s="73">
        <f t="shared" si="27"/>
        <v>-0.9569999999985157</v>
      </c>
      <c r="AN43" s="74">
        <f t="shared" si="28"/>
        <v>-0.18056100000005415</v>
      </c>
      <c r="AO43" s="74">
        <f t="shared" si="29"/>
        <v>2.1343969999999501</v>
      </c>
      <c r="AP43" s="75">
        <f t="shared" si="30"/>
        <v>2.0475245050673818E-3</v>
      </c>
      <c r="AQ43" s="76">
        <f t="shared" si="31"/>
        <v>552.4674628919372</v>
      </c>
      <c r="AR43" s="90">
        <f t="shared" si="14"/>
        <v>-0.9569999999985157</v>
      </c>
    </row>
    <row r="44" spans="1:44" x14ac:dyDescent="0.25">
      <c r="A44" t="str">
        <f t="shared" si="15"/>
        <v>46224M</v>
      </c>
      <c r="B44" s="51">
        <f t="shared" si="33"/>
        <v>46224</v>
      </c>
      <c r="C44" s="52" t="s">
        <v>87</v>
      </c>
      <c r="D44" s="91">
        <v>1729</v>
      </c>
      <c r="E44" s="62">
        <v>4.25</v>
      </c>
      <c r="F44" s="62">
        <v>8.1300000000000008</v>
      </c>
      <c r="G44" s="62">
        <f t="shared" si="16"/>
        <v>73.482500000000002</v>
      </c>
      <c r="H44" s="63">
        <f t="shared" si="17"/>
        <v>140.56770000000003</v>
      </c>
      <c r="I44" s="202">
        <v>6560.9999999999982</v>
      </c>
      <c r="J44" s="202">
        <v>6757.8299999999981</v>
      </c>
      <c r="K44" s="202">
        <v>4.2568510897729013</v>
      </c>
      <c r="L44" s="202">
        <v>8.2926002133821086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8"/>
        <v>6757.8299999999981</v>
      </c>
      <c r="S44" s="62">
        <f t="shared" si="19"/>
        <v>287.67075999999997</v>
      </c>
      <c r="T44" s="63">
        <f t="shared" si="20"/>
        <v>560.39982500000008</v>
      </c>
      <c r="U44" s="64" t="s">
        <v>311</v>
      </c>
      <c r="V44" s="65" t="s">
        <v>691</v>
      </c>
      <c r="W44" s="66" t="s">
        <v>182</v>
      </c>
      <c r="X44" s="67">
        <v>4870</v>
      </c>
      <c r="Y44" s="68">
        <v>4.3</v>
      </c>
      <c r="Z44" s="68">
        <v>8.33</v>
      </c>
      <c r="AA44" s="62">
        <f t="shared" si="21"/>
        <v>209.41</v>
      </c>
      <c r="AB44" s="63">
        <f t="shared" si="22"/>
        <v>405.67099999999999</v>
      </c>
      <c r="AC44" s="69">
        <v>4900</v>
      </c>
      <c r="AD44" s="70">
        <v>4.25</v>
      </c>
      <c r="AE44" s="70">
        <v>8.26</v>
      </c>
      <c r="AF44" s="62">
        <f t="shared" si="23"/>
        <v>208.25000000000003</v>
      </c>
      <c r="AG44" s="62">
        <f t="shared" si="24"/>
        <v>404.73999999999995</v>
      </c>
      <c r="AH44" s="89">
        <v>3162</v>
      </c>
      <c r="AI44" s="66">
        <v>4.2699999999999996</v>
      </c>
      <c r="AJ44" s="66">
        <v>8.26</v>
      </c>
      <c r="AK44" s="62">
        <f t="shared" si="25"/>
        <v>135.01739999999998</v>
      </c>
      <c r="AL44" s="72">
        <f t="shared" si="26"/>
        <v>261.18119999999999</v>
      </c>
      <c r="AM44" s="73">
        <f t="shared" si="27"/>
        <v>424.82999999999811</v>
      </c>
      <c r="AN44" s="74">
        <f t="shared" si="28"/>
        <v>17.88585999999998</v>
      </c>
      <c r="AO44" s="74">
        <f t="shared" si="29"/>
        <v>35.046325000000195</v>
      </c>
      <c r="AP44" s="75">
        <f t="shared" si="30"/>
        <v>6.2414834255806871E-2</v>
      </c>
      <c r="AQ44" s="76">
        <f t="shared" si="31"/>
        <v>19090.80018801734</v>
      </c>
      <c r="AR44" s="90">
        <f t="shared" si="14"/>
        <v>454.82999999999811</v>
      </c>
    </row>
    <row r="45" spans="1:44" x14ac:dyDescent="0.25">
      <c r="A45" t="str">
        <f t="shared" si="15"/>
        <v>46224E</v>
      </c>
      <c r="B45" s="51">
        <f t="shared" si="33"/>
        <v>46224</v>
      </c>
      <c r="C45" s="52" t="s">
        <v>88</v>
      </c>
      <c r="D45" s="91">
        <v>3162</v>
      </c>
      <c r="E45" s="62">
        <v>4.2699999999999996</v>
      </c>
      <c r="F45" s="62">
        <v>8.26</v>
      </c>
      <c r="G45" s="62">
        <f t="shared" si="16"/>
        <v>135.01739999999998</v>
      </c>
      <c r="H45" s="63">
        <f t="shared" si="17"/>
        <v>261.18119999999999</v>
      </c>
      <c r="I45" s="202">
        <v>4412.9999999999991</v>
      </c>
      <c r="J45" s="202">
        <v>4545.3899999999994</v>
      </c>
      <c r="K45" s="202">
        <v>4.0744754135508714</v>
      </c>
      <c r="L45" s="202">
        <v>8.2915522320416954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8"/>
        <v>4545.3899999999994</v>
      </c>
      <c r="S45" s="62">
        <f t="shared" si="19"/>
        <v>185.20079799999993</v>
      </c>
      <c r="T45" s="63">
        <f t="shared" si="20"/>
        <v>376.88338599999992</v>
      </c>
      <c r="U45" s="64" t="s">
        <v>189</v>
      </c>
      <c r="V45" s="65" t="s">
        <v>692</v>
      </c>
      <c r="W45" s="66" t="s">
        <v>181</v>
      </c>
      <c r="X45" s="67">
        <v>5000</v>
      </c>
      <c r="Y45" s="68">
        <v>4.3</v>
      </c>
      <c r="Z45" s="68">
        <v>8.33</v>
      </c>
      <c r="AA45" s="62">
        <f t="shared" si="21"/>
        <v>214.99999999999997</v>
      </c>
      <c r="AB45" s="63">
        <f t="shared" si="22"/>
        <v>416.5</v>
      </c>
      <c r="AC45" s="69">
        <v>4990</v>
      </c>
      <c r="AD45" s="70">
        <v>4.25</v>
      </c>
      <c r="AE45" s="70">
        <v>7.94</v>
      </c>
      <c r="AF45" s="62">
        <f t="shared" si="23"/>
        <v>212.07500000000002</v>
      </c>
      <c r="AG45" s="62">
        <f t="shared" si="24"/>
        <v>396.20600000000002</v>
      </c>
      <c r="AH45" s="89">
        <v>2708</v>
      </c>
      <c r="AI45" s="66">
        <v>4.1500000000000004</v>
      </c>
      <c r="AJ45" s="66">
        <v>8.2799999999999994</v>
      </c>
      <c r="AK45" s="62">
        <f t="shared" si="25"/>
        <v>112.38200000000001</v>
      </c>
      <c r="AL45" s="72">
        <f t="shared" si="26"/>
        <v>224.22239999999999</v>
      </c>
      <c r="AM45" s="73">
        <f t="shared" si="27"/>
        <v>9.3899999999994179</v>
      </c>
      <c r="AN45" s="74">
        <f t="shared" si="28"/>
        <v>-4.2388020000001063</v>
      </c>
      <c r="AO45" s="74">
        <f t="shared" si="29"/>
        <v>17.636185999999952</v>
      </c>
      <c r="AP45" s="75">
        <f t="shared" si="30"/>
        <v>2.3835191206874183E-2</v>
      </c>
      <c r="AQ45" s="76">
        <f t="shared" si="31"/>
        <v>3244.9983818052087</v>
      </c>
      <c r="AR45" s="90">
        <f t="shared" si="14"/>
        <v>-0.61000000000058208</v>
      </c>
    </row>
    <row r="46" spans="1:44" x14ac:dyDescent="0.25">
      <c r="A46" t="str">
        <f t="shared" si="15"/>
        <v>46225M</v>
      </c>
      <c r="B46" s="51">
        <f t="shared" si="33"/>
        <v>46225</v>
      </c>
      <c r="C46" s="52" t="s">
        <v>87</v>
      </c>
      <c r="D46" s="91">
        <v>2708</v>
      </c>
      <c r="E46" s="62">
        <v>4.1500000000000004</v>
      </c>
      <c r="F46" s="62">
        <v>8.2799999999999994</v>
      </c>
      <c r="G46" s="62">
        <f t="shared" si="16"/>
        <v>112.38200000000001</v>
      </c>
      <c r="H46" s="63">
        <f t="shared" si="17"/>
        <v>224.22239999999999</v>
      </c>
      <c r="I46" s="202">
        <v>4871.1000000000013</v>
      </c>
      <c r="J46" s="202">
        <v>5017.2330000000011</v>
      </c>
      <c r="K46" s="202">
        <v>4.4519040873724611</v>
      </c>
      <c r="L46" s="202">
        <v>8.2960501734721106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8"/>
        <v>5017.2330000000011</v>
      </c>
      <c r="S46" s="62">
        <f t="shared" si="19"/>
        <v>223.36240099999998</v>
      </c>
      <c r="T46" s="63">
        <f t="shared" si="20"/>
        <v>416.23216700000006</v>
      </c>
      <c r="U46" s="64" t="s">
        <v>311</v>
      </c>
      <c r="V46" s="65" t="s">
        <v>693</v>
      </c>
      <c r="W46" s="66" t="s">
        <v>182</v>
      </c>
      <c r="X46" s="67">
        <v>4870</v>
      </c>
      <c r="Y46" s="68">
        <v>4.3499999999999996</v>
      </c>
      <c r="Z46" s="68">
        <v>8.4</v>
      </c>
      <c r="AA46" s="62">
        <f t="shared" si="21"/>
        <v>211.845</v>
      </c>
      <c r="AB46" s="63">
        <f t="shared" si="22"/>
        <v>409.08000000000004</v>
      </c>
      <c r="AC46" s="69">
        <v>4860</v>
      </c>
      <c r="AD46" s="70">
        <v>4.3</v>
      </c>
      <c r="AE46" s="70">
        <v>8.27</v>
      </c>
      <c r="AF46" s="62">
        <f t="shared" si="23"/>
        <v>208.98</v>
      </c>
      <c r="AG46" s="62">
        <f t="shared" si="24"/>
        <v>401.92199999999997</v>
      </c>
      <c r="AH46" s="89">
        <v>2856</v>
      </c>
      <c r="AI46" s="66">
        <v>4.34</v>
      </c>
      <c r="AJ46" s="66">
        <v>8.2899999999999991</v>
      </c>
      <c r="AK46" s="62">
        <f t="shared" si="25"/>
        <v>123.9504</v>
      </c>
      <c r="AL46" s="72">
        <f t="shared" si="26"/>
        <v>236.76239999999996</v>
      </c>
      <c r="AM46" s="73">
        <f t="shared" si="27"/>
        <v>9.2330000000010841</v>
      </c>
      <c r="AN46" s="74">
        <f t="shared" si="28"/>
        <v>2.8140009999999904</v>
      </c>
      <c r="AO46" s="74">
        <f t="shared" si="29"/>
        <v>1.7701670000000718</v>
      </c>
      <c r="AP46" s="75">
        <f t="shared" si="30"/>
        <v>7.1673028967939303E-3</v>
      </c>
      <c r="AQ46" s="76">
        <f t="shared" si="31"/>
        <v>1882.368323743065</v>
      </c>
      <c r="AR46" s="90">
        <f t="shared" si="14"/>
        <v>-0.76699999999891588</v>
      </c>
    </row>
    <row r="47" spans="1:44" x14ac:dyDescent="0.25">
      <c r="A47" t="str">
        <f t="shared" si="15"/>
        <v>46225E</v>
      </c>
      <c r="B47" s="51">
        <f t="shared" si="33"/>
        <v>46225</v>
      </c>
      <c r="C47" s="52" t="s">
        <v>88</v>
      </c>
      <c r="D47" s="91">
        <v>2856</v>
      </c>
      <c r="E47" s="62">
        <v>4.34</v>
      </c>
      <c r="F47" s="62">
        <v>8.2899999999999991</v>
      </c>
      <c r="G47" s="62">
        <f t="shared" si="16"/>
        <v>123.9504</v>
      </c>
      <c r="H47" s="63">
        <f t="shared" si="17"/>
        <v>236.76239999999996</v>
      </c>
      <c r="I47" s="202">
        <v>6668.2</v>
      </c>
      <c r="J47" s="202">
        <v>6868.2460000000001</v>
      </c>
      <c r="K47" s="202">
        <v>4.0196529798146425</v>
      </c>
      <c r="L47" s="202">
        <v>8.1827089769353023</v>
      </c>
      <c r="M47" s="58" t="s">
        <v>159</v>
      </c>
      <c r="N47" s="58" t="s">
        <v>384</v>
      </c>
      <c r="O47" s="59">
        <v>2667</v>
      </c>
      <c r="P47" s="56">
        <v>3.9</v>
      </c>
      <c r="Q47" s="60">
        <v>8</v>
      </c>
      <c r="R47" s="61">
        <f t="shared" si="18"/>
        <v>9535.2459999999992</v>
      </c>
      <c r="S47" s="62">
        <f t="shared" si="19"/>
        <v>380.09265500000004</v>
      </c>
      <c r="T47" s="63">
        <f t="shared" si="20"/>
        <v>775.36858199999983</v>
      </c>
      <c r="U47" s="64" t="s">
        <v>189</v>
      </c>
      <c r="V47" s="65" t="s">
        <v>694</v>
      </c>
      <c r="W47" s="66" t="s">
        <v>115</v>
      </c>
      <c r="X47" s="67">
        <v>5000</v>
      </c>
      <c r="Y47" s="68">
        <v>4.3499999999999996</v>
      </c>
      <c r="Z47" s="68">
        <v>8.4</v>
      </c>
      <c r="AA47" s="62">
        <f t="shared" si="21"/>
        <v>217.49999999999997</v>
      </c>
      <c r="AB47" s="63">
        <f t="shared" si="22"/>
        <v>420</v>
      </c>
      <c r="AC47" s="69">
        <v>4980</v>
      </c>
      <c r="AD47" s="70">
        <v>4.3499999999999996</v>
      </c>
      <c r="AE47" s="70">
        <v>8.0299999999999994</v>
      </c>
      <c r="AF47" s="62">
        <f t="shared" si="23"/>
        <v>216.63</v>
      </c>
      <c r="AG47" s="62">
        <f t="shared" si="24"/>
        <v>399.89400000000001</v>
      </c>
      <c r="AH47" s="89">
        <v>7393</v>
      </c>
      <c r="AI47" s="66">
        <v>4.0599999999999996</v>
      </c>
      <c r="AJ47" s="66">
        <v>8.17</v>
      </c>
      <c r="AK47" s="62">
        <f t="shared" si="25"/>
        <v>300.1558</v>
      </c>
      <c r="AL47" s="72">
        <f t="shared" si="26"/>
        <v>604.00810000000001</v>
      </c>
      <c r="AM47" s="73">
        <f t="shared" si="27"/>
        <v>18.245999999999185</v>
      </c>
      <c r="AN47" s="74">
        <f t="shared" si="28"/>
        <v>-12.742744999999957</v>
      </c>
      <c r="AO47" s="74">
        <f t="shared" si="29"/>
        <v>8.2288819999997713</v>
      </c>
      <c r="AP47" s="75">
        <f t="shared" si="30"/>
        <v>-3.9065464556126738E-3</v>
      </c>
      <c r="AQ47" s="76">
        <f t="shared" si="31"/>
        <v>-3658.826802015577</v>
      </c>
      <c r="AR47" s="90">
        <f t="shared" si="14"/>
        <v>-1.7540000000008149</v>
      </c>
    </row>
    <row r="48" spans="1:44" x14ac:dyDescent="0.25">
      <c r="A48" t="str">
        <f t="shared" si="15"/>
        <v>46226M</v>
      </c>
      <c r="B48" s="51">
        <f t="shared" si="33"/>
        <v>46226</v>
      </c>
      <c r="C48" s="52" t="s">
        <v>87</v>
      </c>
      <c r="D48" s="91">
        <v>7393</v>
      </c>
      <c r="E48" s="62">
        <v>4.0599999999999996</v>
      </c>
      <c r="F48" s="62">
        <v>8.17</v>
      </c>
      <c r="G48" s="62">
        <f t="shared" si="16"/>
        <v>300.1558</v>
      </c>
      <c r="H48" s="63">
        <f t="shared" si="17"/>
        <v>604.00810000000001</v>
      </c>
      <c r="I48" s="202">
        <v>5642.8000000000011</v>
      </c>
      <c r="J48" s="202">
        <v>5812.0840000000017</v>
      </c>
      <c r="K48" s="202">
        <v>4.4182161338342656</v>
      </c>
      <c r="L48" s="202">
        <v>8.2339707237541635</v>
      </c>
      <c r="M48" s="58" t="s">
        <v>753</v>
      </c>
      <c r="N48" s="58" t="s">
        <v>612</v>
      </c>
      <c r="O48" s="59">
        <v>9870</v>
      </c>
      <c r="P48" s="56">
        <v>4.25</v>
      </c>
      <c r="Q48" s="60">
        <v>8.1300000000000008</v>
      </c>
      <c r="R48" s="61">
        <f t="shared" si="18"/>
        <v>15682.084000000003</v>
      </c>
      <c r="S48" s="62">
        <f t="shared" si="19"/>
        <v>676.26543300000003</v>
      </c>
      <c r="T48" s="63">
        <f t="shared" si="20"/>
        <v>1280.9962950000004</v>
      </c>
      <c r="U48" s="64" t="s">
        <v>754</v>
      </c>
      <c r="V48" s="65" t="s">
        <v>755</v>
      </c>
      <c r="W48" s="66" t="s">
        <v>756</v>
      </c>
      <c r="X48" s="67">
        <v>19740</v>
      </c>
      <c r="Y48" s="68">
        <v>4.26</v>
      </c>
      <c r="Z48" s="68">
        <v>8.24</v>
      </c>
      <c r="AA48" s="62">
        <f t="shared" si="21"/>
        <v>840.92399999999998</v>
      </c>
      <c r="AB48" s="63">
        <f t="shared" si="22"/>
        <v>1626.576</v>
      </c>
      <c r="AC48" s="69">
        <v>19750</v>
      </c>
      <c r="AD48" s="70">
        <v>4.1626075949367092</v>
      </c>
      <c r="AE48" s="70">
        <v>8.1259999999999994</v>
      </c>
      <c r="AF48" s="62">
        <f t="shared" si="23"/>
        <v>822.11500000000001</v>
      </c>
      <c r="AG48" s="62">
        <f t="shared" si="24"/>
        <v>1604.885</v>
      </c>
      <c r="AH48" s="89">
        <v>3336</v>
      </c>
      <c r="AI48" s="66">
        <v>4.2300000000000004</v>
      </c>
      <c r="AJ48" s="66">
        <v>8.17</v>
      </c>
      <c r="AK48" s="62">
        <f t="shared" si="25"/>
        <v>141.11280000000002</v>
      </c>
      <c r="AL48" s="72">
        <f t="shared" si="26"/>
        <v>272.55119999999999</v>
      </c>
      <c r="AM48" s="73">
        <f t="shared" si="27"/>
        <v>-10.915999999997439</v>
      </c>
      <c r="AN48" s="74">
        <f t="shared" si="28"/>
        <v>13.193432999999999</v>
      </c>
      <c r="AO48" s="74">
        <f t="shared" si="29"/>
        <v>7.5681950000004008</v>
      </c>
      <c r="AP48" s="75">
        <f t="shared" si="30"/>
        <v>1.0607486828660043E-2</v>
      </c>
      <c r="AQ48" s="76">
        <f t="shared" si="31"/>
        <v>8606.4809821467024</v>
      </c>
      <c r="AR48" s="90">
        <f t="shared" si="14"/>
        <v>-0.91599999999743886</v>
      </c>
    </row>
    <row r="49" spans="1:44" x14ac:dyDescent="0.25">
      <c r="A49" t="str">
        <f t="shared" si="15"/>
        <v>46226E</v>
      </c>
      <c r="B49" s="51">
        <f t="shared" si="33"/>
        <v>46226</v>
      </c>
      <c r="C49" s="52" t="s">
        <v>88</v>
      </c>
      <c r="D49" s="91">
        <v>3336</v>
      </c>
      <c r="E49" s="62">
        <v>4.2300000000000004</v>
      </c>
      <c r="F49" s="62">
        <v>8.17</v>
      </c>
      <c r="G49" s="62">
        <f t="shared" si="16"/>
        <v>141.11280000000002</v>
      </c>
      <c r="H49" s="63">
        <f t="shared" si="17"/>
        <v>272.55119999999999</v>
      </c>
      <c r="I49" s="202">
        <v>4692.3999999999987</v>
      </c>
      <c r="J49" s="202">
        <v>4833.1719999999987</v>
      </c>
      <c r="K49" s="202">
        <v>4.1887967777683093</v>
      </c>
      <c r="L49" s="202">
        <v>8.2228305344812895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8"/>
        <v>4833.1719999999987</v>
      </c>
      <c r="S49" s="62">
        <f t="shared" si="19"/>
        <v>202.45175300000008</v>
      </c>
      <c r="T49" s="63">
        <f t="shared" si="20"/>
        <v>397.42354299999994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21"/>
        <v>0</v>
      </c>
      <c r="AB49" s="63">
        <f t="shared" si="22"/>
        <v>0</v>
      </c>
      <c r="AC49" s="69"/>
      <c r="AD49" s="70"/>
      <c r="AE49" s="70"/>
      <c r="AF49" s="62">
        <f t="shared" si="23"/>
        <v>0</v>
      </c>
      <c r="AG49" s="62">
        <f t="shared" si="24"/>
        <v>0</v>
      </c>
      <c r="AH49" s="89">
        <v>8170</v>
      </c>
      <c r="AI49" s="66">
        <v>4.21</v>
      </c>
      <c r="AJ49" s="66">
        <v>8.1999999999999993</v>
      </c>
      <c r="AK49" s="62">
        <f t="shared" si="25"/>
        <v>343.95699999999999</v>
      </c>
      <c r="AL49" s="72">
        <f t="shared" si="26"/>
        <v>669.93999999999994</v>
      </c>
      <c r="AM49" s="73">
        <f t="shared" si="27"/>
        <v>-0.82800000000133878</v>
      </c>
      <c r="AN49" s="74">
        <f t="shared" si="28"/>
        <v>-0.39244699999989052</v>
      </c>
      <c r="AO49" s="74">
        <f t="shared" si="29"/>
        <v>3.4743000000048596E-2</v>
      </c>
      <c r="AP49" s="75">
        <f t="shared" si="30"/>
        <v>-5.962972677572005E-4</v>
      </c>
      <c r="AQ49" s="76">
        <f t="shared" si="31"/>
        <v>-178.17833704697921</v>
      </c>
      <c r="AR49" s="90">
        <f t="shared" si="14"/>
        <v>-0.82800000000133878</v>
      </c>
    </row>
    <row r="50" spans="1:44" x14ac:dyDescent="0.25">
      <c r="A50" t="str">
        <f t="shared" si="15"/>
        <v>46227M</v>
      </c>
      <c r="B50" s="51">
        <f t="shared" si="33"/>
        <v>46227</v>
      </c>
      <c r="C50" s="52" t="s">
        <v>87</v>
      </c>
      <c r="D50" s="91">
        <v>8170</v>
      </c>
      <c r="E50" s="62">
        <v>4.21</v>
      </c>
      <c r="F50" s="62">
        <v>8.1999999999999993</v>
      </c>
      <c r="G50" s="62">
        <f t="shared" si="16"/>
        <v>343.95699999999999</v>
      </c>
      <c r="H50" s="63">
        <f t="shared" si="17"/>
        <v>669.93999999999994</v>
      </c>
      <c r="I50" s="202">
        <v>4768.7999999999984</v>
      </c>
      <c r="J50" s="202">
        <v>4911.8639999999987</v>
      </c>
      <c r="K50" s="202">
        <v>4.3354051333668853</v>
      </c>
      <c r="L50" s="202">
        <v>8.2708668847508804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8"/>
        <v>4911.8639999999987</v>
      </c>
      <c r="S50" s="62">
        <f t="shared" si="19"/>
        <v>212.94920399999998</v>
      </c>
      <c r="T50" s="63">
        <f t="shared" si="20"/>
        <v>406.25373299999984</v>
      </c>
      <c r="U50" s="64" t="s">
        <v>168</v>
      </c>
      <c r="V50" s="65" t="s">
        <v>800</v>
      </c>
      <c r="W50" s="66" t="s">
        <v>182</v>
      </c>
      <c r="X50" s="67">
        <v>9870</v>
      </c>
      <c r="Y50" s="68">
        <v>4.25</v>
      </c>
      <c r="Z50" s="68">
        <v>8.32</v>
      </c>
      <c r="AA50" s="62">
        <f t="shared" si="21"/>
        <v>419.47500000000002</v>
      </c>
      <c r="AB50" s="63">
        <f t="shared" si="22"/>
        <v>821.18399999999997</v>
      </c>
      <c r="AC50" s="69">
        <v>9840</v>
      </c>
      <c r="AD50" s="70">
        <v>4.0999999999999988</v>
      </c>
      <c r="AE50" s="70">
        <v>8.1</v>
      </c>
      <c r="AF50" s="62">
        <f t="shared" si="23"/>
        <v>403.43999999999988</v>
      </c>
      <c r="AG50" s="62">
        <f t="shared" si="24"/>
        <v>797.04000000000008</v>
      </c>
      <c r="AH50" s="89">
        <v>3312</v>
      </c>
      <c r="AI50" s="66">
        <v>4.25</v>
      </c>
      <c r="AJ50" s="66">
        <v>8.23</v>
      </c>
      <c r="AK50" s="62">
        <f t="shared" si="25"/>
        <v>140.76000000000002</v>
      </c>
      <c r="AL50" s="72">
        <f t="shared" si="26"/>
        <v>272.57760000000002</v>
      </c>
      <c r="AM50" s="73">
        <f t="shared" si="27"/>
        <v>-70.136000000002241</v>
      </c>
      <c r="AN50" s="74">
        <f t="shared" si="28"/>
        <v>12.706204000000099</v>
      </c>
      <c r="AO50" s="74">
        <f t="shared" si="29"/>
        <v>6.5761329999997429</v>
      </c>
      <c r="AP50" s="75">
        <f t="shared" si="30"/>
        <v>3.114057742268081E-2</v>
      </c>
      <c r="AQ50" s="76">
        <f t="shared" si="31"/>
        <v>8075.2378529270427</v>
      </c>
      <c r="AR50" s="90">
        <f t="shared" ref="AR50:AR62" si="34">(D50+J50+O50)-(X50+AH50)</f>
        <v>-100.13600000000224</v>
      </c>
    </row>
    <row r="51" spans="1:44" x14ac:dyDescent="0.25">
      <c r="A51" t="str">
        <f t="shared" si="15"/>
        <v>46227E</v>
      </c>
      <c r="B51" s="51">
        <f t="shared" si="33"/>
        <v>46227</v>
      </c>
      <c r="C51" s="52" t="s">
        <v>88</v>
      </c>
      <c r="D51" s="91">
        <v>3312</v>
      </c>
      <c r="E51" s="62">
        <v>4.25</v>
      </c>
      <c r="F51" s="62">
        <v>8.23</v>
      </c>
      <c r="G51" s="62">
        <f t="shared" si="16"/>
        <v>140.76000000000002</v>
      </c>
      <c r="H51" s="63">
        <f t="shared" si="17"/>
        <v>272.57760000000002</v>
      </c>
      <c r="I51" s="202">
        <v>5965.1</v>
      </c>
      <c r="J51" s="202">
        <v>6144.0530000000008</v>
      </c>
      <c r="K51" s="202">
        <v>4.2061742468692893</v>
      </c>
      <c r="L51" s="202">
        <v>8.3843556688068954</v>
      </c>
      <c r="M51" s="58" t="s">
        <v>159</v>
      </c>
      <c r="N51" s="58" t="s">
        <v>384</v>
      </c>
      <c r="O51" s="59">
        <v>5031</v>
      </c>
      <c r="P51" s="56">
        <v>4.05</v>
      </c>
      <c r="Q51" s="60">
        <v>8</v>
      </c>
      <c r="R51" s="61">
        <f t="shared" si="18"/>
        <v>11175.053</v>
      </c>
      <c r="S51" s="62">
        <f t="shared" si="19"/>
        <v>462.18507499999998</v>
      </c>
      <c r="T51" s="63">
        <f t="shared" si="20"/>
        <v>917.61925600000018</v>
      </c>
      <c r="U51" s="64" t="s">
        <v>801</v>
      </c>
      <c r="V51" s="85" t="s">
        <v>802</v>
      </c>
      <c r="W51" s="66" t="s">
        <v>803</v>
      </c>
      <c r="X51" s="67">
        <v>14740</v>
      </c>
      <c r="Y51" s="68">
        <v>4.3</v>
      </c>
      <c r="Z51" s="68">
        <v>8.39</v>
      </c>
      <c r="AA51" s="62">
        <f t="shared" si="21"/>
        <v>633.81999999999994</v>
      </c>
      <c r="AB51" s="63">
        <f t="shared" si="22"/>
        <v>1236.6859999999999</v>
      </c>
      <c r="AC51" s="69">
        <v>14730</v>
      </c>
      <c r="AD51" s="70">
        <v>4.2</v>
      </c>
      <c r="AE51" s="70">
        <v>8.0798370672097768</v>
      </c>
      <c r="AF51" s="62">
        <f t="shared" si="23"/>
        <v>618.66000000000008</v>
      </c>
      <c r="AG51" s="62">
        <f t="shared" si="24"/>
        <v>1190.1600000000003</v>
      </c>
      <c r="AH51" s="89">
        <v>0</v>
      </c>
      <c r="AI51" s="66">
        <v>0</v>
      </c>
      <c r="AJ51" s="66">
        <v>0</v>
      </c>
      <c r="AK51" s="62">
        <f t="shared" si="25"/>
        <v>0</v>
      </c>
      <c r="AL51" s="72">
        <f t="shared" si="26"/>
        <v>0</v>
      </c>
      <c r="AM51" s="73">
        <f t="shared" si="27"/>
        <v>-242.94700000000012</v>
      </c>
      <c r="AN51" s="74">
        <f t="shared" si="28"/>
        <v>-15.714925000000108</v>
      </c>
      <c r="AO51" s="74">
        <f t="shared" si="29"/>
        <v>3.6855999999943378E-2</v>
      </c>
      <c r="AP51" s="75">
        <f t="shared" si="30"/>
        <v>-1.1362530648557705E-2</v>
      </c>
      <c r="AQ51" s="76">
        <f t="shared" si="31"/>
        <v>-7540.49488324905</v>
      </c>
      <c r="AR51" s="90">
        <f t="shared" si="34"/>
        <v>-252.94700000000012</v>
      </c>
    </row>
    <row r="52" spans="1:44" x14ac:dyDescent="0.25">
      <c r="A52" t="str">
        <f t="shared" si="15"/>
        <v>46228M</v>
      </c>
      <c r="B52" s="51">
        <f t="shared" si="33"/>
        <v>46228</v>
      </c>
      <c r="C52" s="52" t="s">
        <v>87</v>
      </c>
      <c r="D52" s="91">
        <v>0</v>
      </c>
      <c r="E52" s="62">
        <v>0</v>
      </c>
      <c r="F52" s="62">
        <v>0</v>
      </c>
      <c r="G52" s="62">
        <f t="shared" si="16"/>
        <v>0</v>
      </c>
      <c r="H52" s="63">
        <f t="shared" si="17"/>
        <v>0</v>
      </c>
      <c r="I52" s="118">
        <v>8220.2000000000007</v>
      </c>
      <c r="J52" s="118">
        <v>8466.8060000000005</v>
      </c>
      <c r="K52" s="202">
        <v>4.3609364735651193</v>
      </c>
      <c r="L52" s="202">
        <v>8.3258229726770612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8"/>
        <v>8466.8060000000005</v>
      </c>
      <c r="S52" s="62">
        <f t="shared" si="19"/>
        <v>369.23203099999995</v>
      </c>
      <c r="T52" s="63">
        <f t="shared" si="20"/>
        <v>704.93127899999979</v>
      </c>
      <c r="U52" s="64" t="s">
        <v>311</v>
      </c>
      <c r="V52" s="65" t="s">
        <v>834</v>
      </c>
      <c r="W52" s="66" t="s">
        <v>182</v>
      </c>
      <c r="X52" s="67">
        <v>4870</v>
      </c>
      <c r="Y52" s="68">
        <v>4.2</v>
      </c>
      <c r="Z52" s="68">
        <v>8.31</v>
      </c>
      <c r="AA52" s="62">
        <f t="shared" si="21"/>
        <v>204.54000000000002</v>
      </c>
      <c r="AB52" s="63">
        <f t="shared" si="22"/>
        <v>404.69700000000006</v>
      </c>
      <c r="AC52" s="69">
        <v>4870</v>
      </c>
      <c r="AD52" s="70">
        <v>4.05</v>
      </c>
      <c r="AE52" s="70">
        <v>8.09</v>
      </c>
      <c r="AF52" s="62">
        <f t="shared" si="23"/>
        <v>197.23500000000001</v>
      </c>
      <c r="AG52" s="62">
        <f t="shared" si="24"/>
        <v>393.983</v>
      </c>
      <c r="AH52" s="89">
        <v>3598</v>
      </c>
      <c r="AI52" s="66">
        <v>4.3600000000000003</v>
      </c>
      <c r="AJ52" s="66">
        <v>8.33</v>
      </c>
      <c r="AK52" s="62">
        <f t="shared" si="25"/>
        <v>156.87280000000001</v>
      </c>
      <c r="AL52" s="72">
        <f t="shared" si="26"/>
        <v>299.71339999999998</v>
      </c>
      <c r="AM52" s="73">
        <f t="shared" si="27"/>
        <v>-1.1939999999995052</v>
      </c>
      <c r="AN52" s="74">
        <f t="shared" si="28"/>
        <v>15.124230999999924</v>
      </c>
      <c r="AO52" s="74">
        <f t="shared" si="29"/>
        <v>11.234878999999808</v>
      </c>
      <c r="AP52" s="75">
        <f t="shared" si="30"/>
        <v>2.4539201585650639E-2</v>
      </c>
      <c r="AQ52" s="76">
        <f t="shared" si="31"/>
        <v>10632.431477025235</v>
      </c>
      <c r="AR52" s="90">
        <f t="shared" si="34"/>
        <v>-1.1939999999995052</v>
      </c>
    </row>
    <row r="53" spans="1:44" x14ac:dyDescent="0.25">
      <c r="A53" t="str">
        <f t="shared" si="15"/>
        <v>46228E</v>
      </c>
      <c r="B53" s="51">
        <f t="shared" si="33"/>
        <v>46228</v>
      </c>
      <c r="C53" s="52" t="s">
        <v>88</v>
      </c>
      <c r="D53" s="91">
        <v>3598</v>
      </c>
      <c r="E53" s="62">
        <v>4.3600000000000003</v>
      </c>
      <c r="F53" s="62">
        <v>8.33</v>
      </c>
      <c r="G53" s="62">
        <f t="shared" si="16"/>
        <v>156.87280000000001</v>
      </c>
      <c r="H53" s="63">
        <f t="shared" si="17"/>
        <v>299.71339999999998</v>
      </c>
      <c r="I53" s="118">
        <v>4807.0999999999995</v>
      </c>
      <c r="J53" s="118">
        <v>4951.3129999999992</v>
      </c>
      <c r="K53" s="202">
        <v>4.3058725634998218</v>
      </c>
      <c r="L53" s="202">
        <v>8.5204364377691348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8"/>
        <v>4951.3129999999992</v>
      </c>
      <c r="S53" s="62">
        <f t="shared" si="19"/>
        <v>213.19722799999991</v>
      </c>
      <c r="T53" s="63">
        <f t="shared" si="20"/>
        <v>421.87347700000004</v>
      </c>
      <c r="U53" s="64" t="s">
        <v>210</v>
      </c>
      <c r="V53" s="65" t="s">
        <v>835</v>
      </c>
      <c r="W53" s="66" t="s">
        <v>182</v>
      </c>
      <c r="X53" s="67">
        <v>4850</v>
      </c>
      <c r="Y53" s="68">
        <v>4.25</v>
      </c>
      <c r="Z53" s="68">
        <v>8.32</v>
      </c>
      <c r="AA53" s="62">
        <f t="shared" si="21"/>
        <v>206.12500000000003</v>
      </c>
      <c r="AB53" s="63">
        <f t="shared" si="22"/>
        <v>403.52</v>
      </c>
      <c r="AC53" s="69">
        <v>4870</v>
      </c>
      <c r="AD53" s="70">
        <v>4.05</v>
      </c>
      <c r="AE53" s="70">
        <v>8.09</v>
      </c>
      <c r="AF53" s="62">
        <f t="shared" si="23"/>
        <v>197.23500000000001</v>
      </c>
      <c r="AG53" s="62">
        <f t="shared" si="24"/>
        <v>393.983</v>
      </c>
      <c r="AH53" s="89">
        <v>3701</v>
      </c>
      <c r="AI53" s="66">
        <v>4.33</v>
      </c>
      <c r="AJ53" s="66">
        <v>8.44</v>
      </c>
      <c r="AK53" s="62">
        <f t="shared" si="25"/>
        <v>160.2533</v>
      </c>
      <c r="AL53" s="72">
        <f t="shared" si="26"/>
        <v>312.36439999999993</v>
      </c>
      <c r="AM53" s="73">
        <f t="shared" si="27"/>
        <v>-21.687000000001717</v>
      </c>
      <c r="AN53" s="74">
        <f t="shared" si="28"/>
        <v>12.581727999999913</v>
      </c>
      <c r="AO53" s="74">
        <f t="shared" si="29"/>
        <v>15.239477000000022</v>
      </c>
      <c r="AP53" s="75">
        <f t="shared" si="30"/>
        <v>4.3808043389436356E-2</v>
      </c>
      <c r="AQ53" s="76">
        <f t="shared" si="31"/>
        <v>10610.017486162536</v>
      </c>
      <c r="AR53" s="90">
        <f t="shared" si="34"/>
        <v>-1.6870000000017171</v>
      </c>
    </row>
    <row r="54" spans="1:44" x14ac:dyDescent="0.25">
      <c r="A54" t="str">
        <f t="shared" si="15"/>
        <v>46229M</v>
      </c>
      <c r="B54" s="51">
        <f t="shared" si="33"/>
        <v>46229</v>
      </c>
      <c r="C54" s="52" t="s">
        <v>87</v>
      </c>
      <c r="D54" s="91">
        <v>3701</v>
      </c>
      <c r="E54" s="62">
        <v>4.33</v>
      </c>
      <c r="F54" s="62">
        <v>8.44</v>
      </c>
      <c r="G54" s="62">
        <f t="shared" si="16"/>
        <v>160.2533</v>
      </c>
      <c r="H54" s="63">
        <f t="shared" si="17"/>
        <v>312.36439999999993</v>
      </c>
      <c r="I54" s="118">
        <v>4216.0000000000009</v>
      </c>
      <c r="J54" s="118">
        <v>4342.4800000000014</v>
      </c>
      <c r="K54" s="202">
        <v>4.1481024667931674</v>
      </c>
      <c r="L54" s="202">
        <v>8.0371537001897497</v>
      </c>
      <c r="M54" s="58" t="s">
        <v>159</v>
      </c>
      <c r="N54" s="58" t="s">
        <v>384</v>
      </c>
      <c r="O54" s="59">
        <v>2290</v>
      </c>
      <c r="P54" s="56">
        <v>3.2</v>
      </c>
      <c r="Q54" s="60">
        <v>8</v>
      </c>
      <c r="R54" s="61">
        <f t="shared" si="18"/>
        <v>6632.4800000000014</v>
      </c>
      <c r="S54" s="62">
        <f t="shared" si="19"/>
        <v>253.41051999999999</v>
      </c>
      <c r="T54" s="63">
        <f t="shared" si="20"/>
        <v>532.21179199999995</v>
      </c>
      <c r="U54" s="64" t="s">
        <v>189</v>
      </c>
      <c r="V54" s="65" t="s">
        <v>836</v>
      </c>
      <c r="W54" s="66" t="s">
        <v>187</v>
      </c>
      <c r="X54" s="67">
        <v>10000</v>
      </c>
      <c r="Y54" s="68">
        <v>4.25</v>
      </c>
      <c r="Z54" s="68">
        <v>8.26</v>
      </c>
      <c r="AA54" s="62">
        <f t="shared" si="21"/>
        <v>425.00000000000006</v>
      </c>
      <c r="AB54" s="63">
        <f t="shared" si="22"/>
        <v>825.99999999999989</v>
      </c>
      <c r="AC54" s="69">
        <v>9970</v>
      </c>
      <c r="AD54" s="70">
        <v>4.2</v>
      </c>
      <c r="AE54" s="70">
        <v>8.1300000000000008</v>
      </c>
      <c r="AF54" s="62">
        <f t="shared" si="23"/>
        <v>418.74</v>
      </c>
      <c r="AG54" s="62">
        <f t="shared" si="24"/>
        <v>810.56100000000015</v>
      </c>
      <c r="AH54" s="89">
        <v>334</v>
      </c>
      <c r="AI54" s="66">
        <v>4</v>
      </c>
      <c r="AJ54" s="66">
        <v>8.17</v>
      </c>
      <c r="AK54" s="62">
        <f t="shared" si="25"/>
        <v>13.36</v>
      </c>
      <c r="AL54" s="72">
        <f t="shared" si="26"/>
        <v>27.287799999999997</v>
      </c>
      <c r="AM54" s="73">
        <f t="shared" si="27"/>
        <v>29.480000000001382</v>
      </c>
      <c r="AN54" s="74">
        <f t="shared" si="28"/>
        <v>-18.436180000000022</v>
      </c>
      <c r="AO54" s="74">
        <f t="shared" si="29"/>
        <v>6.7273919999997318</v>
      </c>
      <c r="AP54" s="75">
        <f t="shared" si="30"/>
        <v>-1.4903838423571007E-2</v>
      </c>
      <c r="AQ54" s="76">
        <f t="shared" si="31"/>
        <v>-6844.3905084432099</v>
      </c>
      <c r="AR54" s="90">
        <f t="shared" si="34"/>
        <v>-0.51999999999861757</v>
      </c>
    </row>
    <row r="55" spans="1:44" x14ac:dyDescent="0.25">
      <c r="A55" t="str">
        <f t="shared" si="15"/>
        <v>46229E</v>
      </c>
      <c r="B55" s="51">
        <f t="shared" si="33"/>
        <v>46229</v>
      </c>
      <c r="C55" s="52" t="s">
        <v>88</v>
      </c>
      <c r="D55" s="91">
        <v>334</v>
      </c>
      <c r="E55" s="62">
        <v>4</v>
      </c>
      <c r="F55" s="62">
        <v>8.17</v>
      </c>
      <c r="G55" s="62">
        <f t="shared" si="16"/>
        <v>13.36</v>
      </c>
      <c r="H55" s="63">
        <f t="shared" si="17"/>
        <v>27.287799999999997</v>
      </c>
      <c r="I55" s="118">
        <v>6437.1000000000013</v>
      </c>
      <c r="J55" s="118">
        <v>6630.2130000000016</v>
      </c>
      <c r="K55" s="202">
        <v>3.8739199328890321</v>
      </c>
      <c r="L55" s="202">
        <v>8.0371673579717537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8"/>
        <v>6630.2130000000016</v>
      </c>
      <c r="S55" s="62">
        <f t="shared" si="19"/>
        <v>256.84914299999991</v>
      </c>
      <c r="T55" s="63">
        <f t="shared" si="20"/>
        <v>532.88131499999986</v>
      </c>
      <c r="U55" s="64" t="s">
        <v>176</v>
      </c>
      <c r="V55" s="65" t="s">
        <v>837</v>
      </c>
      <c r="W55" s="66" t="s">
        <v>182</v>
      </c>
      <c r="X55" s="67">
        <v>3000</v>
      </c>
      <c r="Y55" s="68">
        <v>4.1500000000000004</v>
      </c>
      <c r="Z55" s="68">
        <v>8.24</v>
      </c>
      <c r="AA55" s="62">
        <f t="shared" si="21"/>
        <v>124.5</v>
      </c>
      <c r="AB55" s="63">
        <f t="shared" si="22"/>
        <v>247.20000000000002</v>
      </c>
      <c r="AC55" s="69">
        <v>3030</v>
      </c>
      <c r="AD55" s="70">
        <v>4.0999999999999996</v>
      </c>
      <c r="AE55" s="70">
        <v>8.23</v>
      </c>
      <c r="AF55" s="62">
        <f t="shared" si="23"/>
        <v>124.22999999999999</v>
      </c>
      <c r="AG55" s="62">
        <f t="shared" si="24"/>
        <v>249.369</v>
      </c>
      <c r="AH55" s="89">
        <v>3966</v>
      </c>
      <c r="AI55" s="66">
        <v>3.88</v>
      </c>
      <c r="AJ55" s="66">
        <v>8.0500000000000007</v>
      </c>
      <c r="AK55" s="62">
        <f t="shared" si="25"/>
        <v>153.88079999999999</v>
      </c>
      <c r="AL55" s="72">
        <f t="shared" si="26"/>
        <v>319.26300000000003</v>
      </c>
      <c r="AM55" s="73">
        <f t="shared" si="27"/>
        <v>-31.786999999998443</v>
      </c>
      <c r="AN55" s="74">
        <f t="shared" si="28"/>
        <v>-7.901657000000057</v>
      </c>
      <c r="AO55" s="74">
        <f t="shared" si="29"/>
        <v>-8.4628850000002558</v>
      </c>
      <c r="AP55" s="75">
        <f t="shared" si="30"/>
        <v>-2.0721680206489283E-2</v>
      </c>
      <c r="AQ55" s="76">
        <f t="shared" si="31"/>
        <v>-6331.5620757649685</v>
      </c>
      <c r="AR55" s="90">
        <f t="shared" si="34"/>
        <v>-1.7869999999984429</v>
      </c>
    </row>
    <row r="56" spans="1:44" x14ac:dyDescent="0.25">
      <c r="A56" t="str">
        <f t="shared" si="15"/>
        <v>46230M</v>
      </c>
      <c r="B56" s="51">
        <f t="shared" si="33"/>
        <v>46230</v>
      </c>
      <c r="C56" s="52" t="s">
        <v>87</v>
      </c>
      <c r="D56" s="91">
        <v>3966</v>
      </c>
      <c r="E56" s="62">
        <v>3.88</v>
      </c>
      <c r="F56" s="62">
        <v>8.0500000000000007</v>
      </c>
      <c r="G56" s="62">
        <f t="shared" si="16"/>
        <v>153.88079999999999</v>
      </c>
      <c r="H56" s="63">
        <f t="shared" si="17"/>
        <v>319.26300000000003</v>
      </c>
      <c r="I56" s="118">
        <v>5552.0000000000009</v>
      </c>
      <c r="J56" s="118">
        <v>5718.5600000000013</v>
      </c>
      <c r="K56" s="202">
        <v>4.427465778097984</v>
      </c>
      <c r="L56" s="202">
        <v>8.3003602305475503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8"/>
        <v>5718.5600000000013</v>
      </c>
      <c r="S56" s="62">
        <f t="shared" si="19"/>
        <v>253.18728700000011</v>
      </c>
      <c r="T56" s="63">
        <f t="shared" si="20"/>
        <v>474.66108000000008</v>
      </c>
      <c r="U56" s="64" t="s">
        <v>168</v>
      </c>
      <c r="V56" s="65" t="s">
        <v>838</v>
      </c>
      <c r="W56" s="66" t="s">
        <v>182</v>
      </c>
      <c r="X56" s="67">
        <v>9870</v>
      </c>
      <c r="Y56" s="68">
        <v>4.2</v>
      </c>
      <c r="Z56" s="68">
        <v>8.26</v>
      </c>
      <c r="AA56" s="62">
        <f t="shared" si="21"/>
        <v>414.54</v>
      </c>
      <c r="AB56" s="63">
        <f t="shared" si="22"/>
        <v>815.26199999999994</v>
      </c>
      <c r="AC56" s="69">
        <v>9860</v>
      </c>
      <c r="AD56" s="70">
        <v>4.2</v>
      </c>
      <c r="AE56" s="70">
        <v>8.1199999999999992</v>
      </c>
      <c r="AF56" s="62">
        <f t="shared" si="23"/>
        <v>414.12</v>
      </c>
      <c r="AG56" s="62">
        <f t="shared" si="24"/>
        <v>800.63199999999995</v>
      </c>
      <c r="AH56" s="89">
        <v>0</v>
      </c>
      <c r="AI56" s="66">
        <v>0</v>
      </c>
      <c r="AJ56" s="66">
        <v>0</v>
      </c>
      <c r="AK56" s="62">
        <f t="shared" si="25"/>
        <v>0</v>
      </c>
      <c r="AL56" s="72">
        <f t="shared" si="26"/>
        <v>0</v>
      </c>
      <c r="AM56" s="73">
        <f t="shared" si="27"/>
        <v>-175.43999999999869</v>
      </c>
      <c r="AN56" s="74">
        <f t="shared" si="28"/>
        <v>-7.0519129999998995</v>
      </c>
      <c r="AO56" s="74">
        <f t="shared" si="29"/>
        <v>-6.7079199999998309</v>
      </c>
      <c r="AP56" s="75">
        <f t="shared" si="30"/>
        <v>-1.8904807132719345E-2</v>
      </c>
      <c r="AQ56" s="76">
        <f t="shared" si="31"/>
        <v>-5397.636033730143</v>
      </c>
      <c r="AR56" s="90">
        <f t="shared" si="34"/>
        <v>-185.43999999999869</v>
      </c>
    </row>
    <row r="57" spans="1:44" x14ac:dyDescent="0.25">
      <c r="A57" t="str">
        <f t="shared" si="15"/>
        <v>46230E</v>
      </c>
      <c r="B57" s="51">
        <f t="shared" si="33"/>
        <v>46230</v>
      </c>
      <c r="C57" s="52" t="s">
        <v>88</v>
      </c>
      <c r="D57" s="91">
        <v>0</v>
      </c>
      <c r="E57" s="62">
        <v>0</v>
      </c>
      <c r="F57" s="62">
        <v>0</v>
      </c>
      <c r="G57" s="62">
        <f t="shared" si="16"/>
        <v>0</v>
      </c>
      <c r="H57" s="63">
        <f t="shared" si="17"/>
        <v>0</v>
      </c>
      <c r="I57" s="118">
        <v>5047.1000000000004</v>
      </c>
      <c r="J57" s="118">
        <v>5198.5130000000008</v>
      </c>
      <c r="K57" s="202">
        <v>4.0671732281904465</v>
      </c>
      <c r="L57" s="202">
        <v>8.1380515543579524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8"/>
        <v>5198.5130000000008</v>
      </c>
      <c r="S57" s="62">
        <f t="shared" si="19"/>
        <v>211.43252900000007</v>
      </c>
      <c r="T57" s="63">
        <f t="shared" si="20"/>
        <v>423.05766800000032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21"/>
        <v>0</v>
      </c>
      <c r="AB57" s="63">
        <f t="shared" si="22"/>
        <v>0</v>
      </c>
      <c r="AC57" s="69"/>
      <c r="AD57" s="70"/>
      <c r="AE57" s="70"/>
      <c r="AF57" s="62">
        <f t="shared" si="23"/>
        <v>0</v>
      </c>
      <c r="AG57" s="62">
        <f t="shared" si="24"/>
        <v>0</v>
      </c>
      <c r="AH57" s="89">
        <v>5200</v>
      </c>
      <c r="AI57" s="66">
        <v>4.07</v>
      </c>
      <c r="AJ57" s="66">
        <v>8.14</v>
      </c>
      <c r="AK57" s="62">
        <f t="shared" si="25"/>
        <v>211.64</v>
      </c>
      <c r="AL57" s="72">
        <f t="shared" si="26"/>
        <v>423.28</v>
      </c>
      <c r="AM57" s="73">
        <f t="shared" si="27"/>
        <v>-1.4869999999991705</v>
      </c>
      <c r="AN57" s="74">
        <f t="shared" si="28"/>
        <v>-0.20747099999991292</v>
      </c>
      <c r="AO57" s="74">
        <f t="shared" si="29"/>
        <v>-0.22233199999965336</v>
      </c>
      <c r="AP57" s="75">
        <f t="shared" si="30"/>
        <v>-6.7739896066442459E-4</v>
      </c>
      <c r="AQ57" s="76">
        <f t="shared" si="31"/>
        <v>-166.28302262624436</v>
      </c>
      <c r="AR57" s="90">
        <f t="shared" si="34"/>
        <v>-1.4869999999991705</v>
      </c>
    </row>
    <row r="58" spans="1:44" x14ac:dyDescent="0.25">
      <c r="A58" t="str">
        <f t="shared" si="15"/>
        <v>46231M</v>
      </c>
      <c r="B58" s="51">
        <f t="shared" si="33"/>
        <v>46231</v>
      </c>
      <c r="C58" s="52" t="s">
        <v>87</v>
      </c>
      <c r="D58" s="91">
        <v>5200</v>
      </c>
      <c r="E58" s="62">
        <v>4.07</v>
      </c>
      <c r="F58" s="62">
        <v>8.14</v>
      </c>
      <c r="G58" s="62">
        <f t="shared" si="16"/>
        <v>211.64</v>
      </c>
      <c r="H58" s="63">
        <f t="shared" si="17"/>
        <v>423.28</v>
      </c>
      <c r="I58" s="118">
        <v>4704.2</v>
      </c>
      <c r="J58" s="118">
        <v>4845.326</v>
      </c>
      <c r="K58" s="202">
        <v>4.2419816334339515</v>
      </c>
      <c r="L58" s="202">
        <v>8.1253858254325912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8"/>
        <v>4845.326</v>
      </c>
      <c r="S58" s="62">
        <f t="shared" si="19"/>
        <v>205.53783899999993</v>
      </c>
      <c r="T58" s="63">
        <f t="shared" si="20"/>
        <v>393.7014319999999</v>
      </c>
      <c r="U58" s="64" t="s">
        <v>168</v>
      </c>
      <c r="V58" s="65" t="s">
        <v>906</v>
      </c>
      <c r="W58" s="66" t="s">
        <v>181</v>
      </c>
      <c r="X58" s="67">
        <v>9870</v>
      </c>
      <c r="Y58" s="68">
        <v>4.3</v>
      </c>
      <c r="Z58" s="68">
        <v>8.1999999999999993</v>
      </c>
      <c r="AA58" s="62">
        <f t="shared" si="21"/>
        <v>424.40999999999997</v>
      </c>
      <c r="AB58" s="63">
        <f t="shared" si="22"/>
        <v>809.33999999999992</v>
      </c>
      <c r="AC58" s="69">
        <v>9830</v>
      </c>
      <c r="AD58" s="70">
        <v>4.2500000000000009</v>
      </c>
      <c r="AE58" s="70">
        <v>8.01</v>
      </c>
      <c r="AF58" s="62">
        <f t="shared" si="23"/>
        <v>417.77500000000009</v>
      </c>
      <c r="AG58" s="62">
        <f t="shared" si="24"/>
        <v>787.38300000000004</v>
      </c>
      <c r="AH58" s="89">
        <v>177</v>
      </c>
      <c r="AI58" s="66">
        <v>4.1500000000000004</v>
      </c>
      <c r="AJ58" s="66">
        <v>8.14</v>
      </c>
      <c r="AK58" s="62">
        <f t="shared" si="25"/>
        <v>7.3455000000000004</v>
      </c>
      <c r="AL58" s="72">
        <f t="shared" si="26"/>
        <v>14.4078</v>
      </c>
      <c r="AM58" s="73">
        <f t="shared" si="27"/>
        <v>38.326000000000931</v>
      </c>
      <c r="AN58" s="74">
        <f t="shared" si="28"/>
        <v>-7.9426610000001423</v>
      </c>
      <c r="AO58" s="74">
        <f t="shared" si="29"/>
        <v>15.190631999999775</v>
      </c>
      <c r="AP58" s="75">
        <f t="shared" si="30"/>
        <v>1.209528705938172E-2</v>
      </c>
      <c r="AQ58" s="76">
        <f t="shared" si="31"/>
        <v>732.7519335050838</v>
      </c>
      <c r="AR58" s="90">
        <f t="shared" si="34"/>
        <v>-1.6739999999990687</v>
      </c>
    </row>
    <row r="59" spans="1:44" x14ac:dyDescent="0.25">
      <c r="A59" t="str">
        <f t="shared" si="15"/>
        <v>46231E</v>
      </c>
      <c r="B59" s="51">
        <f t="shared" si="33"/>
        <v>46231</v>
      </c>
      <c r="C59" s="52" t="s">
        <v>88</v>
      </c>
      <c r="D59" s="91">
        <v>177</v>
      </c>
      <c r="E59" s="62">
        <v>4.1500000000000004</v>
      </c>
      <c r="F59" s="62">
        <v>8.14</v>
      </c>
      <c r="G59" s="62">
        <f t="shared" si="16"/>
        <v>7.3455000000000004</v>
      </c>
      <c r="H59" s="63">
        <f t="shared" si="17"/>
        <v>14.4078</v>
      </c>
      <c r="I59" s="118">
        <v>4148.1000000000004</v>
      </c>
      <c r="J59" s="118">
        <v>4272.5430000000006</v>
      </c>
      <c r="K59" s="202">
        <v>4.0806441503338871</v>
      </c>
      <c r="L59" s="202">
        <v>8.1002362527422225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8"/>
        <v>4272.5430000000006</v>
      </c>
      <c r="S59" s="62">
        <f t="shared" si="19"/>
        <v>174.34727599999999</v>
      </c>
      <c r="T59" s="63">
        <f t="shared" si="20"/>
        <v>346.08607700000016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21"/>
        <v>0</v>
      </c>
      <c r="AB59" s="63">
        <f t="shared" si="22"/>
        <v>0</v>
      </c>
      <c r="AC59" s="69"/>
      <c r="AD59" s="70"/>
      <c r="AE59" s="70"/>
      <c r="AF59" s="62">
        <f t="shared" si="23"/>
        <v>0</v>
      </c>
      <c r="AG59" s="62">
        <f t="shared" si="24"/>
        <v>0</v>
      </c>
      <c r="AH59" s="89">
        <v>4482</v>
      </c>
      <c r="AI59" s="66">
        <v>4.08</v>
      </c>
      <c r="AJ59" s="66">
        <v>8.1</v>
      </c>
      <c r="AK59" s="62">
        <f t="shared" si="25"/>
        <v>182.8656</v>
      </c>
      <c r="AL59" s="72">
        <f t="shared" si="26"/>
        <v>363.04200000000003</v>
      </c>
      <c r="AM59" s="73">
        <f t="shared" si="27"/>
        <v>-32.456999999999425</v>
      </c>
      <c r="AN59" s="74">
        <f t="shared" si="28"/>
        <v>-1.1728240000000199</v>
      </c>
      <c r="AO59" s="74">
        <f t="shared" si="29"/>
        <v>-2.5481229999998618</v>
      </c>
      <c r="AP59" s="75">
        <f t="shared" si="30"/>
        <v>-7.1497089464976713E-3</v>
      </c>
      <c r="AQ59" s="76">
        <f t="shared" si="31"/>
        <v>-1326.7202570359348</v>
      </c>
      <c r="AR59" s="90">
        <f t="shared" si="34"/>
        <v>-32.456999999999425</v>
      </c>
    </row>
    <row r="60" spans="1:44" x14ac:dyDescent="0.25">
      <c r="A60" t="str">
        <f t="shared" si="15"/>
        <v>46232M</v>
      </c>
      <c r="B60" s="51">
        <f t="shared" si="33"/>
        <v>46232</v>
      </c>
      <c r="C60" s="52" t="s">
        <v>87</v>
      </c>
      <c r="D60" s="91">
        <v>4482</v>
      </c>
      <c r="E60" s="62">
        <v>4.08</v>
      </c>
      <c r="F60" s="62">
        <v>8.1</v>
      </c>
      <c r="G60" s="62">
        <f t="shared" si="16"/>
        <v>182.8656</v>
      </c>
      <c r="H60" s="63">
        <f t="shared" si="17"/>
        <v>363.04200000000003</v>
      </c>
      <c r="I60" s="118">
        <v>7054.2000000000025</v>
      </c>
      <c r="J60" s="118">
        <v>7265.8260000000028</v>
      </c>
      <c r="K60" s="202">
        <v>4.2048992089818835</v>
      </c>
      <c r="L60" s="202">
        <v>8.0704644041847384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8"/>
        <v>7265.8260000000028</v>
      </c>
      <c r="S60" s="62">
        <f t="shared" si="19"/>
        <v>305.52066000000013</v>
      </c>
      <c r="T60" s="63">
        <f t="shared" si="20"/>
        <v>586.38590099999999</v>
      </c>
      <c r="U60" s="64" t="s">
        <v>189</v>
      </c>
      <c r="V60" s="65" t="s">
        <v>929</v>
      </c>
      <c r="W60" s="66" t="s">
        <v>187</v>
      </c>
      <c r="X60" s="67">
        <v>10000</v>
      </c>
      <c r="Y60" s="68">
        <v>4.25</v>
      </c>
      <c r="Z60" s="68">
        <v>8.19</v>
      </c>
      <c r="AA60" s="62">
        <f t="shared" si="21"/>
        <v>425.00000000000006</v>
      </c>
      <c r="AB60" s="63">
        <f t="shared" si="22"/>
        <v>819</v>
      </c>
      <c r="AC60" s="69">
        <v>9940</v>
      </c>
      <c r="AD60" s="70">
        <v>4.2</v>
      </c>
      <c r="AE60" s="70">
        <v>8</v>
      </c>
      <c r="AF60" s="62">
        <f t="shared" si="23"/>
        <v>417.48</v>
      </c>
      <c r="AG60" s="62">
        <f t="shared" si="24"/>
        <v>795.2</v>
      </c>
      <c r="AH60" s="89">
        <v>1749</v>
      </c>
      <c r="AI60" s="66">
        <v>4.1500000000000004</v>
      </c>
      <c r="AJ60" s="66">
        <v>8.08</v>
      </c>
      <c r="AK60" s="62">
        <f t="shared" si="25"/>
        <v>72.583500000000001</v>
      </c>
      <c r="AL60" s="72">
        <f t="shared" si="26"/>
        <v>141.3192</v>
      </c>
      <c r="AM60" s="73">
        <f t="shared" si="27"/>
        <v>58.82600000000275</v>
      </c>
      <c r="AN60" s="74">
        <f t="shared" si="28"/>
        <v>-1.6772399999999124</v>
      </c>
      <c r="AO60" s="74">
        <f t="shared" si="29"/>
        <v>12.908700999999979</v>
      </c>
      <c r="AP60" s="75">
        <f t="shared" si="30"/>
        <v>1.259264309863067E-2</v>
      </c>
      <c r="AQ60" s="76">
        <f t="shared" si="31"/>
        <v>3060.0726214798933</v>
      </c>
      <c r="AR60" s="90">
        <f t="shared" si="34"/>
        <v>-1.1739999999972497</v>
      </c>
    </row>
    <row r="61" spans="1:44" x14ac:dyDescent="0.25">
      <c r="A61" t="str">
        <f t="shared" si="15"/>
        <v>46232E</v>
      </c>
      <c r="B61" s="51">
        <f t="shared" si="33"/>
        <v>46232</v>
      </c>
      <c r="C61" s="52" t="s">
        <v>88</v>
      </c>
      <c r="D61" s="91">
        <v>1749</v>
      </c>
      <c r="E61" s="62">
        <v>4.1500000000000004</v>
      </c>
      <c r="F61" s="62">
        <v>8.08</v>
      </c>
      <c r="G61" s="62">
        <f t="shared" si="16"/>
        <v>72.583500000000001</v>
      </c>
      <c r="H61" s="63">
        <f t="shared" si="17"/>
        <v>141.3192</v>
      </c>
      <c r="I61" s="118">
        <v>3900.2</v>
      </c>
      <c r="J61" s="118">
        <v>4017.2060000000001</v>
      </c>
      <c r="K61" s="202">
        <v>4.0937285267422174</v>
      </c>
      <c r="L61" s="202">
        <v>8.1645889954361319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8"/>
        <v>4017.2060000000001</v>
      </c>
      <c r="S61" s="62">
        <f t="shared" si="19"/>
        <v>164.45350799999997</v>
      </c>
      <c r="T61" s="63">
        <f t="shared" si="20"/>
        <v>327.98835900000006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21"/>
        <v>0</v>
      </c>
      <c r="AB61" s="63">
        <f t="shared" si="22"/>
        <v>0</v>
      </c>
      <c r="AC61" s="69"/>
      <c r="AD61" s="70"/>
      <c r="AE61" s="70"/>
      <c r="AF61" s="62">
        <f t="shared" si="23"/>
        <v>0</v>
      </c>
      <c r="AG61" s="62">
        <f t="shared" si="24"/>
        <v>0</v>
      </c>
      <c r="AH61" s="89">
        <v>5767</v>
      </c>
      <c r="AI61" s="66">
        <v>4.1100000000000003</v>
      </c>
      <c r="AJ61" s="66">
        <v>8.14</v>
      </c>
      <c r="AK61" s="62">
        <f t="shared" si="25"/>
        <v>237.02370000000002</v>
      </c>
      <c r="AL61" s="72">
        <f t="shared" si="26"/>
        <v>469.43380000000002</v>
      </c>
      <c r="AM61" s="73">
        <f t="shared" si="27"/>
        <v>-0.79399999999986903</v>
      </c>
      <c r="AN61" s="74">
        <f t="shared" si="28"/>
        <v>1.3307999999938147E-2</v>
      </c>
      <c r="AO61" s="74">
        <f t="shared" si="29"/>
        <v>-0.12624099999993632</v>
      </c>
      <c r="AP61" s="75">
        <f t="shared" si="30"/>
        <v>-2.2933265339114266E-4</v>
      </c>
      <c r="AQ61" s="76">
        <f t="shared" si="31"/>
        <v>-31.41312851028168</v>
      </c>
      <c r="AR61" s="90">
        <f t="shared" si="34"/>
        <v>-0.79399999999986903</v>
      </c>
    </row>
    <row r="62" spans="1:44" x14ac:dyDescent="0.25">
      <c r="A62" t="str">
        <f t="shared" si="15"/>
        <v>46233M</v>
      </c>
      <c r="B62" s="51">
        <f t="shared" si="33"/>
        <v>46233</v>
      </c>
      <c r="C62" s="52" t="s">
        <v>87</v>
      </c>
      <c r="D62" s="91">
        <v>5767</v>
      </c>
      <c r="E62" s="62">
        <v>4.1100000000000003</v>
      </c>
      <c r="F62" s="62">
        <v>8.14</v>
      </c>
      <c r="G62" s="62">
        <f t="shared" si="16"/>
        <v>237.02370000000002</v>
      </c>
      <c r="H62" s="63">
        <f t="shared" si="17"/>
        <v>469.43380000000002</v>
      </c>
      <c r="I62" s="118">
        <v>5295.5</v>
      </c>
      <c r="J62" s="118">
        <v>5454.3649999999998</v>
      </c>
      <c r="K62" s="202">
        <v>4.1410801624020399</v>
      </c>
      <c r="L62" s="202">
        <v>8.2013690869606268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8"/>
        <v>5454.3649999999998</v>
      </c>
      <c r="S62" s="62">
        <f t="shared" si="19"/>
        <v>225.86962700000004</v>
      </c>
      <c r="T62" s="63">
        <f t="shared" si="20"/>
        <v>447.33260499999994</v>
      </c>
      <c r="U62" s="64" t="s">
        <v>311</v>
      </c>
      <c r="V62" s="65">
        <v>86451</v>
      </c>
      <c r="W62" s="66" t="s">
        <v>181</v>
      </c>
      <c r="X62" s="67">
        <v>10070</v>
      </c>
      <c r="Y62" s="68">
        <v>4.25</v>
      </c>
      <c r="Z62" s="68">
        <v>8.26</v>
      </c>
      <c r="AA62" s="62">
        <f t="shared" si="21"/>
        <v>427.97500000000002</v>
      </c>
      <c r="AB62" s="63">
        <f t="shared" si="22"/>
        <v>831.78199999999993</v>
      </c>
      <c r="AC62" s="221">
        <v>10070</v>
      </c>
      <c r="AD62" s="222">
        <v>4.25</v>
      </c>
      <c r="AE62" s="222">
        <v>8.26</v>
      </c>
      <c r="AF62" s="62">
        <f t="shared" si="23"/>
        <v>427.97500000000002</v>
      </c>
      <c r="AG62" s="62">
        <f t="shared" si="24"/>
        <v>831.78199999999993</v>
      </c>
      <c r="AH62" s="89">
        <v>1163</v>
      </c>
      <c r="AI62" s="66">
        <v>4.12</v>
      </c>
      <c r="AJ62" s="66">
        <v>8.17</v>
      </c>
      <c r="AK62" s="62">
        <f t="shared" si="25"/>
        <v>47.915599999999998</v>
      </c>
      <c r="AL62" s="72">
        <f t="shared" si="26"/>
        <v>95.017099999999999</v>
      </c>
      <c r="AM62" s="73">
        <f t="shared" si="27"/>
        <v>-11.635000000000218</v>
      </c>
      <c r="AN62" s="74">
        <f t="shared" si="28"/>
        <v>-12.997272999999964</v>
      </c>
      <c r="AO62" s="74">
        <f t="shared" si="29"/>
        <v>-10.032694999999961</v>
      </c>
      <c r="AP62" s="75">
        <f t="shared" si="30"/>
        <v>-3.4209583547548203E-2</v>
      </c>
      <c r="AQ62" s="76">
        <f t="shared" si="31"/>
        <v>-9250.3155276012367</v>
      </c>
      <c r="AR62" s="90">
        <f t="shared" si="34"/>
        <v>-11.635000000000218</v>
      </c>
    </row>
    <row r="63" spans="1:44" x14ac:dyDescent="0.25">
      <c r="A63" t="str">
        <f t="shared" si="15"/>
        <v>46233E</v>
      </c>
      <c r="B63" s="51">
        <f t="shared" si="33"/>
        <v>46233</v>
      </c>
      <c r="C63" s="52" t="s">
        <v>88</v>
      </c>
      <c r="D63" s="91">
        <v>1163</v>
      </c>
      <c r="E63" s="62">
        <v>4.12</v>
      </c>
      <c r="F63" s="62">
        <v>8.17</v>
      </c>
      <c r="G63" s="62">
        <f t="shared" si="16"/>
        <v>47.915599999999998</v>
      </c>
      <c r="H63" s="63">
        <f t="shared" si="17"/>
        <v>95.017099999999999</v>
      </c>
      <c r="I63" s="118">
        <v>4585.7</v>
      </c>
      <c r="J63" s="118">
        <v>4723.2709999999997</v>
      </c>
      <c r="K63" s="202">
        <v>4.0674618924046486</v>
      </c>
      <c r="L63" s="202">
        <v>8.0863401443618166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8"/>
        <v>4723.2709999999997</v>
      </c>
      <c r="S63" s="62">
        <f t="shared" si="19"/>
        <v>192.11724799999996</v>
      </c>
      <c r="T63" s="63">
        <f t="shared" si="20"/>
        <v>381.93975899999981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21"/>
        <v>0</v>
      </c>
      <c r="AB63" s="63">
        <f t="shared" si="22"/>
        <v>0</v>
      </c>
      <c r="AC63" s="69"/>
      <c r="AD63" s="70"/>
      <c r="AE63" s="70"/>
      <c r="AF63" s="62">
        <f t="shared" si="23"/>
        <v>0</v>
      </c>
      <c r="AG63" s="62">
        <f t="shared" si="24"/>
        <v>0</v>
      </c>
      <c r="AH63" s="89">
        <v>5846</v>
      </c>
      <c r="AI63" s="66">
        <v>4.08</v>
      </c>
      <c r="AJ63" s="66">
        <v>8.11</v>
      </c>
      <c r="AK63" s="62">
        <f t="shared" si="25"/>
        <v>238.51680000000002</v>
      </c>
      <c r="AL63" s="72">
        <f t="shared" si="26"/>
        <v>474.11059999999998</v>
      </c>
      <c r="AM63" s="73">
        <f t="shared" si="27"/>
        <v>40.270999999999731</v>
      </c>
      <c r="AN63" s="74">
        <f t="shared" si="28"/>
        <v>1.5160479999999268</v>
      </c>
      <c r="AO63" s="74">
        <f t="shared" si="29"/>
        <v>2.8462589999998045</v>
      </c>
      <c r="AP63" s="75">
        <f t="shared" si="30"/>
        <v>7.5990832736229155E-3</v>
      </c>
      <c r="AQ63" s="76">
        <f t="shared" si="31"/>
        <v>1580.9396375912365</v>
      </c>
      <c r="AR63" s="90">
        <v>0</v>
      </c>
    </row>
    <row r="64" spans="1:44" x14ac:dyDescent="0.25">
      <c r="A64" t="str">
        <f t="shared" si="15"/>
        <v>46234M</v>
      </c>
      <c r="B64" s="51">
        <f t="shared" si="33"/>
        <v>46234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8"/>
      <c r="J64" s="118"/>
      <c r="K64" s="202"/>
      <c r="L64" s="202"/>
      <c r="M64" s="57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21"/>
        <v>0</v>
      </c>
      <c r="AB64" s="63">
        <f t="shared" si="22"/>
        <v>0</v>
      </c>
      <c r="AC64" s="69"/>
      <c r="AD64" s="70"/>
      <c r="AE64" s="70"/>
      <c r="AF64" s="62">
        <f t="shared" si="23"/>
        <v>0</v>
      </c>
      <c r="AG64" s="62">
        <f t="shared" si="24"/>
        <v>0</v>
      </c>
      <c r="AH64" s="89"/>
      <c r="AI64" s="71"/>
      <c r="AJ64" s="71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90">
        <f t="shared" si="14"/>
        <v>0</v>
      </c>
    </row>
    <row r="65" spans="1:44" x14ac:dyDescent="0.25">
      <c r="A65" t="str">
        <f t="shared" si="15"/>
        <v>46234E</v>
      </c>
      <c r="B65" s="51">
        <f t="shared" si="33"/>
        <v>46234</v>
      </c>
      <c r="C65" s="5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8"/>
      <c r="J65" s="118"/>
      <c r="K65" s="202"/>
      <c r="L65" s="202"/>
      <c r="M65" s="57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21"/>
        <v>0</v>
      </c>
      <c r="AB65" s="63">
        <f t="shared" si="22"/>
        <v>0</v>
      </c>
      <c r="AC65" s="69"/>
      <c r="AD65" s="70"/>
      <c r="AE65" s="70"/>
      <c r="AF65" s="62">
        <f t="shared" si="23"/>
        <v>0</v>
      </c>
      <c r="AG65" s="62">
        <f t="shared" si="24"/>
        <v>0</v>
      </c>
      <c r="AH65" s="89"/>
      <c r="AI65" s="71"/>
      <c r="AJ65" s="71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90">
        <f t="shared" si="14"/>
        <v>0</v>
      </c>
    </row>
    <row r="66" spans="1:44" x14ac:dyDescent="0.25">
      <c r="J66" s="83">
        <f>SUM(J4:J65)</f>
        <v>324742.93200000003</v>
      </c>
      <c r="R66" s="83">
        <f>SUM(R4:R65)</f>
        <v>403727.93200000009</v>
      </c>
      <c r="S66" s="83">
        <f t="shared" ref="S66:T66" si="35">SUM(S4:S65)</f>
        <v>16777.398423999995</v>
      </c>
      <c r="T66" s="83">
        <f t="shared" si="35"/>
        <v>33094.473869000001</v>
      </c>
      <c r="AH66" s="90"/>
      <c r="AI66" s="77"/>
      <c r="AJ66" s="77"/>
      <c r="AM66" s="83">
        <f>-SUM(AM4:AM65)</f>
        <v>414.06799999998657</v>
      </c>
      <c r="AN66" s="83">
        <f>-SUM(AN4:AN65)</f>
        <v>132.50237599999994</v>
      </c>
      <c r="AO66" s="83">
        <f>-SUM(AO4:AO65)</f>
        <v>-161.34246900000056</v>
      </c>
      <c r="AQ66" s="126">
        <f>-SUM(AQ4:AQ65)</f>
        <v>15351.071034339962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1" priority="2" operator="lessThan">
      <formula>0.1</formula>
    </cfRule>
    <cfRule type="cellIs" dxfId="110" priority="3" operator="greaterThan">
      <formula>0.1</formula>
    </cfRule>
  </conditionalFormatting>
  <conditionalFormatting sqref="AP1:AQ1">
    <cfRule type="cellIs" dxfId="109" priority="1" operator="lessThan">
      <formula>1</formula>
    </cfRule>
  </conditionalFormatting>
  <conditionalFormatting sqref="AQ4:AQ65">
    <cfRule type="cellIs" dxfId="108" priority="12" operator="lessThan">
      <formula>0</formula>
    </cfRule>
    <cfRule type="cellIs" dxfId="107" priority="1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1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V62" sqref="V62"/>
    </sheetView>
  </sheetViews>
  <sheetFormatPr defaultRowHeight="15" x14ac:dyDescent="0.25"/>
  <cols>
    <col min="1" max="1" width="5.28515625" customWidth="1"/>
    <col min="2" max="2" width="9.7109375" customWidth="1"/>
    <col min="3" max="3" width="4.7109375" bestFit="1" customWidth="1"/>
    <col min="4" max="4" width="7.5703125" bestFit="1" customWidth="1"/>
    <col min="5" max="5" width="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8.5703125" bestFit="1" customWidth="1"/>
    <col min="10" max="10" width="8" customWidth="1"/>
    <col min="11" max="11" width="6.140625" customWidth="1"/>
    <col min="12" max="12" width="5.7109375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7.5703125" customWidth="1"/>
    <col min="19" max="19" width="6.140625" customWidth="1"/>
    <col min="20" max="20" width="7.5703125" bestFit="1" customWidth="1"/>
    <col min="21" max="21" width="6.7109375" bestFit="1" customWidth="1"/>
    <col min="22" max="22" width="7.140625" bestFit="1" customWidth="1"/>
    <col min="23" max="23" width="8.85546875" customWidth="1"/>
    <col min="24" max="24" width="6.42578125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" bestFit="1" customWidth="1"/>
    <col min="36" max="37" width="6.5703125" bestFit="1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137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:G65" si="0">+D4*E4%</f>
        <v>0</v>
      </c>
      <c r="H4" s="63">
        <f t="shared" ref="H4:H65" si="1">+D4*F4%</f>
        <v>0</v>
      </c>
      <c r="I4" s="202">
        <v>1151.5000000000002</v>
      </c>
      <c r="J4" s="202">
        <v>1186.0450000000003</v>
      </c>
      <c r="K4" s="202">
        <v>4.4469821971341732</v>
      </c>
      <c r="L4" s="202">
        <v>8.2826139817629176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1186.0450000000003</v>
      </c>
      <c r="S4" s="62">
        <f t="shared" ref="S4:S65" si="3">+J4*K4%+O4*P4%</f>
        <v>52.743210000000012</v>
      </c>
      <c r="T4" s="63">
        <f t="shared" ref="T4:T65" si="4">+J4*L4%+O4*Q4%</f>
        <v>98.235529000000028</v>
      </c>
      <c r="U4" s="64" t="s">
        <v>180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1187</v>
      </c>
      <c r="AI4" s="66">
        <v>4.45</v>
      </c>
      <c r="AJ4" s="66">
        <v>8.2799999999999994</v>
      </c>
      <c r="AK4" s="62">
        <f t="shared" ref="AK4:AK65" si="9">AH4*AI4%</f>
        <v>52.821500000000007</v>
      </c>
      <c r="AL4" s="72">
        <f t="shared" ref="AL4:AL65" si="10">AH4*AJ4%</f>
        <v>98.283599999999993</v>
      </c>
      <c r="AM4" s="73">
        <f t="shared" ref="AM4:AM65" si="11">+D4+R4-AC4-AH4</f>
        <v>-0.95499999999969987</v>
      </c>
      <c r="AN4" s="74">
        <f t="shared" ref="AN4:AO19" si="12">+G4+S4-AF4-AK4</f>
        <v>-7.828999999999553E-2</v>
      </c>
      <c r="AO4" s="74">
        <f t="shared" si="12"/>
        <v>-4.807099999996467E-2</v>
      </c>
      <c r="AP4" s="75">
        <f t="shared" ref="AP4:AP65" si="13">(AN4+AO4)/(S4+T4)</f>
        <v>-8.3694565762640371E-4</v>
      </c>
      <c r="AQ4" s="76">
        <f t="shared" ref="AQ4:AQ65" si="14">($AP$1*AN4+$AQ$1*AO4)</f>
        <v>-52.017729607042739</v>
      </c>
      <c r="AR4" s="90">
        <f t="shared" ref="AR4:AR65" si="15">(D4+J4+O4)-(X4+AH4)</f>
        <v>-0.95499999999969987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1187</v>
      </c>
      <c r="E5" s="62">
        <v>4.45</v>
      </c>
      <c r="F5" s="62">
        <v>8.2799999999999994</v>
      </c>
      <c r="G5" s="62">
        <f t="shared" si="0"/>
        <v>52.821500000000007</v>
      </c>
      <c r="H5" s="63">
        <f t="shared" si="1"/>
        <v>98.283599999999993</v>
      </c>
      <c r="I5" s="202">
        <v>3189.8000000000006</v>
      </c>
      <c r="J5" s="202">
        <v>3285.4940000000006</v>
      </c>
      <c r="K5" s="202">
        <v>3.8768888331556841</v>
      </c>
      <c r="L5" s="202">
        <v>8.0946360273371383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3285.4940000000006</v>
      </c>
      <c r="S5" s="62">
        <f t="shared" si="3"/>
        <v>127.37495000000003</v>
      </c>
      <c r="T5" s="63">
        <f t="shared" si="4"/>
        <v>265.94878100000005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4473</v>
      </c>
      <c r="AI5" s="66">
        <v>4.03</v>
      </c>
      <c r="AJ5" s="66">
        <v>8.14</v>
      </c>
      <c r="AK5" s="62">
        <f t="shared" si="9"/>
        <v>180.2619</v>
      </c>
      <c r="AL5" s="72">
        <f t="shared" si="10"/>
        <v>364.10219999999998</v>
      </c>
      <c r="AM5" s="73">
        <f t="shared" si="11"/>
        <v>-0.50599999999940337</v>
      </c>
      <c r="AN5" s="74">
        <f t="shared" si="12"/>
        <v>-6.5449999999970032E-2</v>
      </c>
      <c r="AO5" s="74">
        <f t="shared" si="12"/>
        <v>0.13018100000005006</v>
      </c>
      <c r="AP5" s="75">
        <f t="shared" si="13"/>
        <v>1.6457435668960441E-4</v>
      </c>
      <c r="AQ5" s="76">
        <f t="shared" si="14"/>
        <v>7.5371953986809217</v>
      </c>
      <c r="AR5" s="90">
        <f t="shared" si="15"/>
        <v>-0.50599999999940337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4473</v>
      </c>
      <c r="E6" s="62">
        <v>4.03</v>
      </c>
      <c r="F6" s="62">
        <v>8.14</v>
      </c>
      <c r="G6" s="62">
        <f t="shared" si="0"/>
        <v>180.2619</v>
      </c>
      <c r="H6" s="63">
        <f t="shared" si="1"/>
        <v>364.10219999999998</v>
      </c>
      <c r="I6" s="202">
        <v>787.30000000000007</v>
      </c>
      <c r="J6" s="202">
        <v>810.9190000000001</v>
      </c>
      <c r="K6" s="202">
        <v>4.4900038104915536</v>
      </c>
      <c r="L6" s="202">
        <v>8.4000762098310684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810.9190000000001</v>
      </c>
      <c r="S6" s="62">
        <f t="shared" si="3"/>
        <v>36.410294000000007</v>
      </c>
      <c r="T6" s="63">
        <f t="shared" si="4"/>
        <v>68.11781400000001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5281</v>
      </c>
      <c r="AI6" s="66">
        <v>4.0999999999999996</v>
      </c>
      <c r="AJ6" s="66">
        <v>8.18</v>
      </c>
      <c r="AK6" s="62">
        <f t="shared" si="9"/>
        <v>216.52099999999999</v>
      </c>
      <c r="AL6" s="72">
        <f t="shared" si="10"/>
        <v>431.98579999999998</v>
      </c>
      <c r="AM6" s="73">
        <f t="shared" si="11"/>
        <v>2.918999999999869</v>
      </c>
      <c r="AN6" s="74">
        <f t="shared" si="12"/>
        <v>0.15119400000000383</v>
      </c>
      <c r="AO6" s="74">
        <f t="shared" si="12"/>
        <v>0.23421400000000858</v>
      </c>
      <c r="AP6" s="75">
        <f t="shared" si="13"/>
        <v>3.6871230846349228E-3</v>
      </c>
      <c r="AQ6" s="76">
        <f t="shared" si="14"/>
        <v>142.79864573156217</v>
      </c>
      <c r="AR6" s="90">
        <f t="shared" si="15"/>
        <v>2.918999999999869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5281</v>
      </c>
      <c r="E7" s="62">
        <v>4.0999999999999996</v>
      </c>
      <c r="F7" s="62">
        <v>8.18</v>
      </c>
      <c r="G7" s="62">
        <f t="shared" si="0"/>
        <v>216.52099999999999</v>
      </c>
      <c r="H7" s="63">
        <f t="shared" si="1"/>
        <v>431.98579999999998</v>
      </c>
      <c r="I7" s="202">
        <v>4210.3</v>
      </c>
      <c r="J7" s="202">
        <v>4336.6090000000004</v>
      </c>
      <c r="K7" s="202">
        <v>4.0064864736479588</v>
      </c>
      <c r="L7" s="202">
        <v>8.101596085789609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4336.6090000000004</v>
      </c>
      <c r="S7" s="62">
        <f t="shared" si="3"/>
        <v>173.74565300000003</v>
      </c>
      <c r="T7" s="63">
        <f t="shared" si="4"/>
        <v>351.33454499999993</v>
      </c>
      <c r="U7" s="64" t="s">
        <v>174</v>
      </c>
      <c r="V7" s="65" t="s">
        <v>224</v>
      </c>
      <c r="W7" s="66" t="s">
        <v>188</v>
      </c>
      <c r="X7" s="67">
        <v>7130</v>
      </c>
      <c r="Y7" s="68">
        <v>4.0999999999999996</v>
      </c>
      <c r="Z7" s="68">
        <v>8.11</v>
      </c>
      <c r="AA7" s="62">
        <f t="shared" si="5"/>
        <v>292.33</v>
      </c>
      <c r="AB7" s="63">
        <f t="shared" si="6"/>
        <v>578.24299999999994</v>
      </c>
      <c r="AC7" s="69">
        <v>7160</v>
      </c>
      <c r="AD7" s="70">
        <v>4.0000000000000009</v>
      </c>
      <c r="AE7" s="70">
        <v>8.0411173184357558</v>
      </c>
      <c r="AF7" s="62">
        <f t="shared" si="7"/>
        <v>286.40000000000003</v>
      </c>
      <c r="AG7" s="62">
        <f t="shared" si="8"/>
        <v>575.74400000000014</v>
      </c>
      <c r="AH7" s="89">
        <v>2488</v>
      </c>
      <c r="AI7" s="66">
        <v>4.0599999999999996</v>
      </c>
      <c r="AJ7" s="66">
        <v>8.14</v>
      </c>
      <c r="AK7" s="62">
        <f t="shared" si="9"/>
        <v>101.0128</v>
      </c>
      <c r="AL7" s="72">
        <f t="shared" si="10"/>
        <v>202.5232</v>
      </c>
      <c r="AM7" s="73">
        <f t="shared" si="11"/>
        <v>-30.390999999999622</v>
      </c>
      <c r="AN7" s="74">
        <f t="shared" si="12"/>
        <v>2.8538529999999867</v>
      </c>
      <c r="AO7" s="74">
        <f t="shared" si="12"/>
        <v>5.0531449999997164</v>
      </c>
      <c r="AP7" s="75">
        <f t="shared" si="13"/>
        <v>1.505864824100585E-2</v>
      </c>
      <c r="AQ7" s="76">
        <f t="shared" si="14"/>
        <v>2884.7411910352157</v>
      </c>
      <c r="AR7" s="90">
        <f t="shared" si="15"/>
        <v>-0.39099999999962165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2488</v>
      </c>
      <c r="E8" s="62">
        <v>4.0599999999999996</v>
      </c>
      <c r="F8" s="62">
        <v>8.14</v>
      </c>
      <c r="G8" s="62">
        <f t="shared" si="0"/>
        <v>101.0128</v>
      </c>
      <c r="H8" s="63">
        <f t="shared" si="1"/>
        <v>202.5232</v>
      </c>
      <c r="I8" s="202">
        <v>731.39999999999975</v>
      </c>
      <c r="J8" s="202">
        <v>753.34199999999976</v>
      </c>
      <c r="K8" s="202">
        <v>4.5911402789171438</v>
      </c>
      <c r="L8" s="202">
        <v>8.4923981405523641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753.34199999999976</v>
      </c>
      <c r="S8" s="62">
        <f t="shared" si="3"/>
        <v>34.586987999999977</v>
      </c>
      <c r="T8" s="63">
        <f t="shared" si="4"/>
        <v>63.976801999999971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>
        <v>3242</v>
      </c>
      <c r="AI8" s="66">
        <v>4.18</v>
      </c>
      <c r="AJ8" s="66">
        <v>8.2200000000000006</v>
      </c>
      <c r="AK8" s="62">
        <f t="shared" si="9"/>
        <v>135.51559999999998</v>
      </c>
      <c r="AL8" s="72">
        <f t="shared" si="10"/>
        <v>266.49240000000003</v>
      </c>
      <c r="AM8" s="73">
        <f t="shared" si="11"/>
        <v>-0.65800000000035652</v>
      </c>
      <c r="AN8" s="74">
        <f t="shared" si="12"/>
        <v>8.4188000000011698E-2</v>
      </c>
      <c r="AO8" s="74">
        <f t="shared" si="12"/>
        <v>7.6019999999630272E-3</v>
      </c>
      <c r="AP8" s="75">
        <f t="shared" si="13"/>
        <v>9.3127506561968413E-4</v>
      </c>
      <c r="AQ8" s="76">
        <f t="shared" si="14"/>
        <v>42.73180534158783</v>
      </c>
      <c r="AR8" s="90">
        <f t="shared" si="15"/>
        <v>-0.65800000000035652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3242</v>
      </c>
      <c r="E9" s="62">
        <v>4.18</v>
      </c>
      <c r="F9" s="62">
        <v>8.2200000000000006</v>
      </c>
      <c r="G9" s="62">
        <f t="shared" si="0"/>
        <v>135.51559999999998</v>
      </c>
      <c r="H9" s="63">
        <f t="shared" si="1"/>
        <v>266.49240000000003</v>
      </c>
      <c r="I9" s="202">
        <v>5595.9999999999991</v>
      </c>
      <c r="J9" s="202">
        <v>5763.8799999999992</v>
      </c>
      <c r="K9" s="202">
        <v>3.9045157255182277</v>
      </c>
      <c r="L9" s="202">
        <v>8.0822837741243738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5763.8799999999992</v>
      </c>
      <c r="S9" s="62">
        <f t="shared" si="3"/>
        <v>225.05160099999998</v>
      </c>
      <c r="T9" s="63">
        <f t="shared" si="4"/>
        <v>465.85313799999989</v>
      </c>
      <c r="U9" s="64" t="s">
        <v>169</v>
      </c>
      <c r="V9" s="65" t="s">
        <v>259</v>
      </c>
      <c r="W9" s="66" t="s">
        <v>260</v>
      </c>
      <c r="X9" s="67">
        <v>5900</v>
      </c>
      <c r="Y9" s="68">
        <v>4.05</v>
      </c>
      <c r="Z9" s="68">
        <v>8.15</v>
      </c>
      <c r="AA9" s="62">
        <f t="shared" si="5"/>
        <v>238.95000000000002</v>
      </c>
      <c r="AB9" s="63">
        <f t="shared" si="6"/>
        <v>480.85</v>
      </c>
      <c r="AC9" s="69">
        <v>5900</v>
      </c>
      <c r="AD9" s="70">
        <v>4.05</v>
      </c>
      <c r="AE9" s="70">
        <v>8.15</v>
      </c>
      <c r="AF9" s="62">
        <f t="shared" si="7"/>
        <v>238.95000000000002</v>
      </c>
      <c r="AG9" s="62">
        <f t="shared" si="8"/>
        <v>480.85</v>
      </c>
      <c r="AH9" s="89">
        <v>3106</v>
      </c>
      <c r="AI9" s="66">
        <v>4</v>
      </c>
      <c r="AJ9" s="66">
        <v>8.1300000000000008</v>
      </c>
      <c r="AK9" s="62">
        <f t="shared" si="9"/>
        <v>124.24000000000001</v>
      </c>
      <c r="AL9" s="72">
        <f t="shared" si="10"/>
        <v>252.51780000000002</v>
      </c>
      <c r="AM9" s="73">
        <f t="shared" si="11"/>
        <v>-0.12000000000080036</v>
      </c>
      <c r="AN9" s="74">
        <f t="shared" si="12"/>
        <v>-2.6227990000000716</v>
      </c>
      <c r="AO9" s="74">
        <f t="shared" si="12"/>
        <v>-1.0222620000001257</v>
      </c>
      <c r="AP9" s="75">
        <f t="shared" si="13"/>
        <v>-5.2757794153734964E-3</v>
      </c>
      <c r="AQ9" s="76">
        <f t="shared" si="14"/>
        <v>-1566.498650533965</v>
      </c>
      <c r="AR9" s="90">
        <f t="shared" si="15"/>
        <v>-0.12000000000080036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3106</v>
      </c>
      <c r="E10" s="62">
        <v>4</v>
      </c>
      <c r="F10" s="62">
        <v>8.1300000000000008</v>
      </c>
      <c r="G10" s="62">
        <f t="shared" si="0"/>
        <v>124.24000000000001</v>
      </c>
      <c r="H10" s="63">
        <f t="shared" si="1"/>
        <v>252.51780000000002</v>
      </c>
      <c r="I10" s="202">
        <v>726.30000000000007</v>
      </c>
      <c r="J10" s="202">
        <v>748.08900000000006</v>
      </c>
      <c r="K10" s="202">
        <v>4.7815916288035245</v>
      </c>
      <c r="L10" s="202">
        <v>8.4429161503510937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748.08900000000006</v>
      </c>
      <c r="S10" s="62">
        <f t="shared" si="3"/>
        <v>35.770561000000001</v>
      </c>
      <c r="T10" s="63">
        <f t="shared" si="4"/>
        <v>63.160526999999995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3855</v>
      </c>
      <c r="AI10" s="66">
        <v>4.1500000000000004</v>
      </c>
      <c r="AJ10" s="66">
        <v>8.19</v>
      </c>
      <c r="AK10" s="62">
        <f t="shared" si="9"/>
        <v>159.98250000000002</v>
      </c>
      <c r="AL10" s="72">
        <f t="shared" si="10"/>
        <v>315.72449999999998</v>
      </c>
      <c r="AM10" s="73">
        <f t="shared" si="11"/>
        <v>-0.91100000000005821</v>
      </c>
      <c r="AN10" s="74">
        <f t="shared" si="12"/>
        <v>2.8060999999979686E-2</v>
      </c>
      <c r="AO10" s="74">
        <f t="shared" si="12"/>
        <v>-4.617299999995339E-2</v>
      </c>
      <c r="AP10" s="75">
        <f t="shared" si="13"/>
        <v>-1.8307693128750093E-4</v>
      </c>
      <c r="AQ10" s="76">
        <f t="shared" si="14"/>
        <v>-0.34417865910341838</v>
      </c>
      <c r="AR10" s="90">
        <f t="shared" si="15"/>
        <v>-0.91100000000005821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3855</v>
      </c>
      <c r="E11" s="62">
        <v>4.1500000000000004</v>
      </c>
      <c r="F11" s="62">
        <v>8.19</v>
      </c>
      <c r="G11" s="62">
        <f t="shared" si="0"/>
        <v>159.98250000000002</v>
      </c>
      <c r="H11" s="63">
        <f t="shared" si="1"/>
        <v>315.72449999999998</v>
      </c>
      <c r="I11" s="202">
        <v>2135.6999999999998</v>
      </c>
      <c r="J11" s="202">
        <v>2199.7709999999997</v>
      </c>
      <c r="K11" s="202">
        <v>3.7745891276864736</v>
      </c>
      <c r="L11" s="202">
        <v>8.2267406470946298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2199.7709999999997</v>
      </c>
      <c r="S11" s="62">
        <f t="shared" si="3"/>
        <v>83.032317000000006</v>
      </c>
      <c r="T11" s="63">
        <f t="shared" si="4"/>
        <v>180.96945499999998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6138</v>
      </c>
      <c r="AI11" s="66">
        <v>4.01</v>
      </c>
      <c r="AJ11" s="66">
        <v>8.1999999999999993</v>
      </c>
      <c r="AK11" s="62">
        <f t="shared" si="9"/>
        <v>246.13379999999998</v>
      </c>
      <c r="AL11" s="72">
        <f t="shared" si="10"/>
        <v>503.31599999999992</v>
      </c>
      <c r="AM11" s="73">
        <f t="shared" si="11"/>
        <v>-83.229000000000269</v>
      </c>
      <c r="AN11" s="74">
        <f t="shared" si="12"/>
        <v>-3.1189829999999574</v>
      </c>
      <c r="AO11" s="74">
        <f t="shared" si="12"/>
        <v>-6.6220449999999573</v>
      </c>
      <c r="AP11" s="75">
        <f t="shared" si="13"/>
        <v>-3.6897585672265552E-2</v>
      </c>
      <c r="AQ11" s="76">
        <f t="shared" si="14"/>
        <v>-3482.0163679195307</v>
      </c>
      <c r="AR11" s="90">
        <f t="shared" si="15"/>
        <v>-83.229000000000269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6138</v>
      </c>
      <c r="E12" s="62">
        <v>4.01</v>
      </c>
      <c r="F12" s="62">
        <v>8.1999999999999993</v>
      </c>
      <c r="G12" s="62">
        <f t="shared" si="0"/>
        <v>246.13379999999998</v>
      </c>
      <c r="H12" s="63">
        <f t="shared" si="1"/>
        <v>503.31599999999992</v>
      </c>
      <c r="I12" s="202">
        <v>3654.8000000000015</v>
      </c>
      <c r="J12" s="202">
        <v>3764.4440000000018</v>
      </c>
      <c r="K12" s="202">
        <v>3.4305543394987419</v>
      </c>
      <c r="L12" s="202">
        <v>8.0671007989493297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3764.4440000000018</v>
      </c>
      <c r="S12" s="62">
        <f t="shared" si="3"/>
        <v>129.14129700000007</v>
      </c>
      <c r="T12" s="63">
        <f t="shared" si="4"/>
        <v>303.68149200000022</v>
      </c>
      <c r="U12" s="64" t="s">
        <v>174</v>
      </c>
      <c r="V12" s="65" t="s">
        <v>261</v>
      </c>
      <c r="W12" s="66" t="s">
        <v>187</v>
      </c>
      <c r="X12" s="67">
        <v>7130</v>
      </c>
      <c r="Y12" s="68">
        <v>3.6</v>
      </c>
      <c r="Z12" s="68">
        <v>8.16</v>
      </c>
      <c r="AA12" s="62">
        <f t="shared" si="5"/>
        <v>256.68</v>
      </c>
      <c r="AB12" s="63">
        <f t="shared" si="6"/>
        <v>581.80799999999999</v>
      </c>
      <c r="AC12" s="221">
        <v>7130</v>
      </c>
      <c r="AD12" s="223">
        <v>3.6023842917251061</v>
      </c>
      <c r="AE12" s="223">
        <v>8.1611921458625538</v>
      </c>
      <c r="AF12" s="62">
        <f t="shared" si="7"/>
        <v>256.85000000000008</v>
      </c>
      <c r="AG12" s="62">
        <f t="shared" si="8"/>
        <v>581.89300000000014</v>
      </c>
      <c r="AH12" s="89">
        <v>2990</v>
      </c>
      <c r="AI12" s="66">
        <v>3.79</v>
      </c>
      <c r="AJ12" s="66">
        <v>8.15</v>
      </c>
      <c r="AK12" s="62">
        <f t="shared" si="9"/>
        <v>113.32100000000001</v>
      </c>
      <c r="AL12" s="72">
        <f t="shared" si="10"/>
        <v>243.685</v>
      </c>
      <c r="AM12" s="73">
        <f t="shared" si="11"/>
        <v>-217.55599999999868</v>
      </c>
      <c r="AN12" s="74">
        <f t="shared" si="12"/>
        <v>5.1040969999999817</v>
      </c>
      <c r="AO12" s="74">
        <f t="shared" si="12"/>
        <v>-18.580507999999952</v>
      </c>
      <c r="AP12" s="75">
        <f t="shared" si="13"/>
        <v>-3.1136093899159181E-2</v>
      </c>
      <c r="AQ12" s="76">
        <f t="shared" si="14"/>
        <v>-3112.0120042088574</v>
      </c>
      <c r="AR12" s="90">
        <f t="shared" si="15"/>
        <v>-217.55599999999868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2990</v>
      </c>
      <c r="E13" s="62">
        <v>3.79</v>
      </c>
      <c r="F13" s="62">
        <v>8.15</v>
      </c>
      <c r="G13" s="62">
        <f t="shared" si="0"/>
        <v>113.32100000000001</v>
      </c>
      <c r="H13" s="63">
        <f t="shared" si="1"/>
        <v>243.685</v>
      </c>
      <c r="I13" s="202">
        <v>3432.3000000000006</v>
      </c>
      <c r="J13" s="202">
        <v>3535.2690000000007</v>
      </c>
      <c r="K13" s="202">
        <v>3.4545960434693934</v>
      </c>
      <c r="L13" s="202">
        <v>8.0693062960696906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3535.2690000000007</v>
      </c>
      <c r="S13" s="62">
        <f t="shared" si="3"/>
        <v>122.12926300000001</v>
      </c>
      <c r="T13" s="63">
        <f t="shared" si="4"/>
        <v>285.27168400000005</v>
      </c>
      <c r="U13" s="64" t="s">
        <v>168</v>
      </c>
      <c r="V13" s="65" t="s">
        <v>262</v>
      </c>
      <c r="W13" s="66" t="s">
        <v>260</v>
      </c>
      <c r="X13" s="67">
        <v>6575</v>
      </c>
      <c r="Y13" s="68">
        <v>3.65</v>
      </c>
      <c r="Z13" s="68">
        <v>8.15</v>
      </c>
      <c r="AA13" s="62">
        <f t="shared" si="5"/>
        <v>239.98749999999998</v>
      </c>
      <c r="AB13" s="63">
        <f t="shared" si="6"/>
        <v>535.86250000000007</v>
      </c>
      <c r="AC13" s="69">
        <v>6575</v>
      </c>
      <c r="AD13" s="70">
        <v>3.65</v>
      </c>
      <c r="AE13" s="70">
        <v>8.15</v>
      </c>
      <c r="AF13" s="62">
        <f t="shared" si="7"/>
        <v>239.98749999999998</v>
      </c>
      <c r="AG13" s="62">
        <f t="shared" si="8"/>
        <v>535.86250000000007</v>
      </c>
      <c r="AH13" s="89">
        <v>0</v>
      </c>
      <c r="AI13" s="66">
        <v>0</v>
      </c>
      <c r="AJ13" s="66">
        <v>0</v>
      </c>
      <c r="AK13" s="62">
        <f t="shared" si="9"/>
        <v>0</v>
      </c>
      <c r="AL13" s="72">
        <f t="shared" si="10"/>
        <v>0</v>
      </c>
      <c r="AM13" s="73">
        <f t="shared" si="11"/>
        <v>-49.730999999999767</v>
      </c>
      <c r="AN13" s="74">
        <f t="shared" si="12"/>
        <v>-4.5372369999999762</v>
      </c>
      <c r="AO13" s="74">
        <f t="shared" si="12"/>
        <v>-6.9058160000000726</v>
      </c>
      <c r="AP13" s="75">
        <f t="shared" si="13"/>
        <v>-2.8087939127937389E-2</v>
      </c>
      <c r="AQ13" s="76">
        <f t="shared" si="14"/>
        <v>-4248.5204622434703</v>
      </c>
      <c r="AR13" s="90">
        <f t="shared" si="15"/>
        <v>-49.730999999999767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0</v>
      </c>
      <c r="E14" s="62">
        <v>0</v>
      </c>
      <c r="F14" s="62">
        <v>0</v>
      </c>
      <c r="G14" s="62">
        <f t="shared" si="0"/>
        <v>0</v>
      </c>
      <c r="H14" s="63">
        <f t="shared" si="1"/>
        <v>0</v>
      </c>
      <c r="I14" s="202">
        <v>737.9</v>
      </c>
      <c r="J14" s="202">
        <v>760.03700000000003</v>
      </c>
      <c r="K14" s="202">
        <v>4.5558341238650231</v>
      </c>
      <c r="L14" s="202">
        <v>8.3826805800243971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760.03700000000003</v>
      </c>
      <c r="S14" s="62">
        <f t="shared" si="3"/>
        <v>34.626025000000013</v>
      </c>
      <c r="T14" s="63">
        <f t="shared" si="4"/>
        <v>63.711474000000031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761</v>
      </c>
      <c r="AI14" s="66">
        <v>4.5599999999999996</v>
      </c>
      <c r="AJ14" s="66">
        <v>8.3800000000000008</v>
      </c>
      <c r="AK14" s="62">
        <f t="shared" si="9"/>
        <v>34.701599999999999</v>
      </c>
      <c r="AL14" s="72">
        <f t="shared" si="10"/>
        <v>63.771800000000013</v>
      </c>
      <c r="AM14" s="73">
        <f t="shared" si="11"/>
        <v>-0.96299999999996544</v>
      </c>
      <c r="AN14" s="74">
        <f t="shared" si="12"/>
        <v>-7.5574999999986403E-2</v>
      </c>
      <c r="AO14" s="74">
        <f t="shared" si="12"/>
        <v>-6.0325999999982116E-2</v>
      </c>
      <c r="AP14" s="75">
        <f t="shared" si="13"/>
        <v>-1.3819855231417719E-3</v>
      </c>
      <c r="AQ14" s="76">
        <f t="shared" si="14"/>
        <v>-54.383347143225123</v>
      </c>
      <c r="AR14" s="90">
        <f t="shared" si="15"/>
        <v>-0.96299999999996544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761</v>
      </c>
      <c r="E15" s="62">
        <v>4.5599999999999996</v>
      </c>
      <c r="F15" s="62">
        <v>8.3800000000000008</v>
      </c>
      <c r="G15" s="62">
        <f t="shared" si="0"/>
        <v>34.701599999999999</v>
      </c>
      <c r="H15" s="63">
        <f t="shared" si="1"/>
        <v>63.771800000000013</v>
      </c>
      <c r="I15" s="202">
        <v>1280.2</v>
      </c>
      <c r="J15" s="202">
        <v>1318.606</v>
      </c>
      <c r="K15" s="202">
        <v>4.1088423683799409</v>
      </c>
      <c r="L15" s="202">
        <v>8.306444305577255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1318.606</v>
      </c>
      <c r="S15" s="62">
        <f t="shared" si="3"/>
        <v>54.179442000000009</v>
      </c>
      <c r="T15" s="63">
        <f t="shared" si="4"/>
        <v>109.52927300000003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2081</v>
      </c>
      <c r="AI15" s="66">
        <v>4.2699999999999996</v>
      </c>
      <c r="AJ15" s="66">
        <v>8.34</v>
      </c>
      <c r="AK15" s="62">
        <f t="shared" si="9"/>
        <v>88.858699999999985</v>
      </c>
      <c r="AL15" s="72">
        <f t="shared" si="10"/>
        <v>173.55539999999999</v>
      </c>
      <c r="AM15" s="73">
        <f t="shared" si="11"/>
        <v>-1.3940000000002328</v>
      </c>
      <c r="AN15" s="74">
        <f t="shared" si="12"/>
        <v>2.2342000000023177E-2</v>
      </c>
      <c r="AO15" s="74">
        <f t="shared" si="12"/>
        <v>-0.25432699999996089</v>
      </c>
      <c r="AP15" s="75">
        <f t="shared" si="13"/>
        <v>-1.417059562161597E-3</v>
      </c>
      <c r="AQ15" s="76">
        <f t="shared" si="14"/>
        <v>-65.432614198809546</v>
      </c>
      <c r="AR15" s="90">
        <f t="shared" si="15"/>
        <v>-1.3940000000002328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2081</v>
      </c>
      <c r="E16" s="62">
        <v>4.2699999999999996</v>
      </c>
      <c r="F16" s="62">
        <v>8.34</v>
      </c>
      <c r="G16" s="62">
        <f t="shared" si="0"/>
        <v>88.858699999999985</v>
      </c>
      <c r="H16" s="63">
        <f t="shared" si="1"/>
        <v>173.55539999999999</v>
      </c>
      <c r="I16" s="202">
        <v>1225.5999999999999</v>
      </c>
      <c r="J16" s="202">
        <v>1262.3679999999999</v>
      </c>
      <c r="K16" s="202">
        <v>4.317460835509138</v>
      </c>
      <c r="L16" s="202">
        <v>8.0875897519582249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1262.3679999999999</v>
      </c>
      <c r="S16" s="62">
        <f t="shared" si="3"/>
        <v>54.50224399999999</v>
      </c>
      <c r="T16" s="63">
        <f t="shared" si="4"/>
        <v>102.095145</v>
      </c>
      <c r="U16" s="64" t="s">
        <v>169</v>
      </c>
      <c r="V16" s="65" t="s">
        <v>362</v>
      </c>
      <c r="W16" s="66" t="s">
        <v>30</v>
      </c>
      <c r="X16" s="67">
        <v>2950</v>
      </c>
      <c r="Y16" s="68">
        <v>4.25</v>
      </c>
      <c r="Z16" s="68">
        <v>8.51</v>
      </c>
      <c r="AA16" s="62">
        <f t="shared" si="5"/>
        <v>125.37500000000001</v>
      </c>
      <c r="AB16" s="63">
        <f t="shared" si="6"/>
        <v>251.04499999999999</v>
      </c>
      <c r="AC16" s="69">
        <v>2960</v>
      </c>
      <c r="AD16" s="70">
        <v>4.2</v>
      </c>
      <c r="AE16" s="70">
        <v>8.31</v>
      </c>
      <c r="AF16" s="62">
        <f t="shared" si="7"/>
        <v>124.32000000000001</v>
      </c>
      <c r="AG16" s="62">
        <f t="shared" si="8"/>
        <v>245.97600000000003</v>
      </c>
      <c r="AH16" s="89">
        <v>394</v>
      </c>
      <c r="AI16" s="66">
        <v>4.29</v>
      </c>
      <c r="AJ16" s="66">
        <v>8.25</v>
      </c>
      <c r="AK16" s="62">
        <f t="shared" si="9"/>
        <v>16.9026</v>
      </c>
      <c r="AL16" s="72">
        <f t="shared" si="10"/>
        <v>32.505000000000003</v>
      </c>
      <c r="AM16" s="73">
        <f t="shared" si="11"/>
        <v>-10.632000000000062</v>
      </c>
      <c r="AN16" s="74">
        <f t="shared" si="12"/>
        <v>2.1383439999999538</v>
      </c>
      <c r="AO16" s="74">
        <f t="shared" si="12"/>
        <v>-2.8304550000000646</v>
      </c>
      <c r="AP16" s="75">
        <f t="shared" si="13"/>
        <v>-4.419684162167677E-3</v>
      </c>
      <c r="AQ16" s="76">
        <f t="shared" si="14"/>
        <v>179.84781311085055</v>
      </c>
      <c r="AR16" s="90">
        <f t="shared" si="15"/>
        <v>-0.63200000000006185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394</v>
      </c>
      <c r="E17" s="62">
        <v>4.29</v>
      </c>
      <c r="F17" s="62">
        <v>8.25</v>
      </c>
      <c r="G17" s="62">
        <f t="shared" si="0"/>
        <v>16.9026</v>
      </c>
      <c r="H17" s="63">
        <f t="shared" si="1"/>
        <v>32.505000000000003</v>
      </c>
      <c r="I17" s="202">
        <v>3250.5</v>
      </c>
      <c r="J17" s="202">
        <v>3348.0149999999999</v>
      </c>
      <c r="K17" s="202">
        <v>3.9693770189201674</v>
      </c>
      <c r="L17" s="202">
        <v>8.1275557606522106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3348.0149999999999</v>
      </c>
      <c r="S17" s="62">
        <f t="shared" si="3"/>
        <v>132.89533800000004</v>
      </c>
      <c r="T17" s="63">
        <f t="shared" si="4"/>
        <v>272.11178600000011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3743</v>
      </c>
      <c r="AI17" s="66">
        <v>4</v>
      </c>
      <c r="AJ17" s="66">
        <v>8.14</v>
      </c>
      <c r="AK17" s="62">
        <f t="shared" si="9"/>
        <v>149.72</v>
      </c>
      <c r="AL17" s="72">
        <f t="shared" si="10"/>
        <v>304.68020000000001</v>
      </c>
      <c r="AM17" s="73">
        <f t="shared" si="11"/>
        <v>-0.98500000000012733</v>
      </c>
      <c r="AN17" s="74">
        <f t="shared" si="12"/>
        <v>7.7938000000045804E-2</v>
      </c>
      <c r="AO17" s="74">
        <f t="shared" si="12"/>
        <v>-6.3413999999909265E-2</v>
      </c>
      <c r="AP17" s="75">
        <f t="shared" si="13"/>
        <v>3.5861097594264871E-5</v>
      </c>
      <c r="AQ17" s="76">
        <f t="shared" si="14"/>
        <v>18.459817147206355</v>
      </c>
      <c r="AR17" s="90">
        <f t="shared" si="15"/>
        <v>-0.98500000000012733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3743</v>
      </c>
      <c r="E18" s="62">
        <v>4</v>
      </c>
      <c r="F18" s="62">
        <v>8.14</v>
      </c>
      <c r="G18" s="62">
        <f t="shared" si="0"/>
        <v>149.72</v>
      </c>
      <c r="H18" s="63">
        <f t="shared" si="1"/>
        <v>304.68020000000001</v>
      </c>
      <c r="I18" s="202">
        <v>810.19999999999993</v>
      </c>
      <c r="J18" s="202">
        <v>834.50599999999997</v>
      </c>
      <c r="K18" s="202">
        <v>4.539274253270797</v>
      </c>
      <c r="L18" s="202">
        <v>8.4101333004196484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834.50599999999997</v>
      </c>
      <c r="S18" s="62">
        <f t="shared" si="3"/>
        <v>37.880515999999993</v>
      </c>
      <c r="T18" s="63">
        <f t="shared" si="4"/>
        <v>70.18306699999998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4579</v>
      </c>
      <c r="AI18" s="66">
        <v>4.0999999999999996</v>
      </c>
      <c r="AJ18" s="66">
        <v>8.19</v>
      </c>
      <c r="AK18" s="62">
        <f t="shared" si="9"/>
        <v>187.73899999999998</v>
      </c>
      <c r="AL18" s="72">
        <f t="shared" si="10"/>
        <v>375.02010000000001</v>
      </c>
      <c r="AM18" s="73">
        <f t="shared" si="11"/>
        <v>-1.4939999999996871</v>
      </c>
      <c r="AN18" s="74">
        <f t="shared" si="12"/>
        <v>-0.13848399999997696</v>
      </c>
      <c r="AO18" s="74">
        <f t="shared" si="12"/>
        <v>-0.156833000000006</v>
      </c>
      <c r="AP18" s="75">
        <f t="shared" si="13"/>
        <v>-2.7328077766955315E-3</v>
      </c>
      <c r="AQ18" s="76">
        <f t="shared" si="14"/>
        <v>-113.5161564516855</v>
      </c>
      <c r="AR18" s="90">
        <f>(D18+J18+O18)-(X18+AH18)</f>
        <v>-1.4939999999996871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4579</v>
      </c>
      <c r="E19" s="62">
        <v>4.0999999999999996</v>
      </c>
      <c r="F19" s="62">
        <v>8.19</v>
      </c>
      <c r="G19" s="62">
        <f t="shared" si="0"/>
        <v>187.73899999999998</v>
      </c>
      <c r="H19" s="63">
        <f t="shared" si="1"/>
        <v>375.02010000000001</v>
      </c>
      <c r="I19" s="202">
        <v>6111.8999999999987</v>
      </c>
      <c r="J19" s="202">
        <v>6295.2569999999987</v>
      </c>
      <c r="K19" s="202">
        <v>3.274119340957804</v>
      </c>
      <c r="L19" s="202">
        <v>8.0660661987270785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6295.2569999999987</v>
      </c>
      <c r="S19" s="62">
        <f t="shared" si="3"/>
        <v>206.11422699999997</v>
      </c>
      <c r="T19" s="63">
        <f t="shared" si="4"/>
        <v>507.77959700000025</v>
      </c>
      <c r="U19" s="64" t="s">
        <v>171</v>
      </c>
      <c r="V19" s="65" t="s">
        <v>363</v>
      </c>
      <c r="W19" s="66" t="s">
        <v>364</v>
      </c>
      <c r="X19" s="67">
        <v>8554</v>
      </c>
      <c r="Y19" s="68">
        <v>3.64</v>
      </c>
      <c r="Z19" s="68">
        <v>8.18</v>
      </c>
      <c r="AA19" s="62">
        <f t="shared" si="5"/>
        <v>311.36560000000003</v>
      </c>
      <c r="AB19" s="63">
        <f t="shared" si="6"/>
        <v>699.71719999999993</v>
      </c>
      <c r="AC19" s="69">
        <v>8544</v>
      </c>
      <c r="AD19" s="70">
        <v>3.5344452247191018</v>
      </c>
      <c r="AE19" s="70">
        <v>8.0886657303370786</v>
      </c>
      <c r="AF19" s="62">
        <f t="shared" si="7"/>
        <v>301.98300000000006</v>
      </c>
      <c r="AG19" s="62">
        <f t="shared" si="8"/>
        <v>691.09559999999999</v>
      </c>
      <c r="AH19" s="89">
        <v>2321</v>
      </c>
      <c r="AI19" s="66">
        <v>3.62</v>
      </c>
      <c r="AJ19" s="66">
        <v>8.1199999999999992</v>
      </c>
      <c r="AK19" s="62">
        <f t="shared" si="9"/>
        <v>84.020200000000003</v>
      </c>
      <c r="AL19" s="72">
        <f t="shared" si="10"/>
        <v>188.46519999999998</v>
      </c>
      <c r="AM19" s="73">
        <f t="shared" si="11"/>
        <v>9.2569999999977881</v>
      </c>
      <c r="AN19" s="74">
        <f t="shared" si="12"/>
        <v>7.8500269999998835</v>
      </c>
      <c r="AO19" s="74">
        <f t="shared" si="12"/>
        <v>3.2388970000002928</v>
      </c>
      <c r="AP19" s="75">
        <f t="shared" si="13"/>
        <v>1.5533015733163385E-2</v>
      </c>
      <c r="AQ19" s="76">
        <f t="shared" si="14"/>
        <v>4742.214281003794</v>
      </c>
      <c r="AR19" s="90">
        <f>(D19+J19+O19)-(X19+AH19)</f>
        <v>-0.74300000000221189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2321</v>
      </c>
      <c r="E20" s="62">
        <v>3.62</v>
      </c>
      <c r="F20" s="62">
        <v>8.1199999999999992</v>
      </c>
      <c r="G20" s="62">
        <f t="shared" si="0"/>
        <v>84.020200000000003</v>
      </c>
      <c r="H20" s="63">
        <f t="shared" si="1"/>
        <v>188.46519999999998</v>
      </c>
      <c r="I20" s="202">
        <v>4456.2000000000007</v>
      </c>
      <c r="J20" s="202">
        <v>4589.8860000000004</v>
      </c>
      <c r="K20" s="202">
        <v>4.1443292491360344</v>
      </c>
      <c r="L20" s="202">
        <v>8.0855257843005255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4589.8860000000004</v>
      </c>
      <c r="S20" s="62">
        <f t="shared" si="3"/>
        <v>190.21998799999997</v>
      </c>
      <c r="T20" s="63">
        <f t="shared" si="4"/>
        <v>371.11641600000002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6912</v>
      </c>
      <c r="AI20" s="66">
        <v>3.97</v>
      </c>
      <c r="AJ20" s="66">
        <v>8.1</v>
      </c>
      <c r="AK20" s="62">
        <f t="shared" si="9"/>
        <v>274.40640000000002</v>
      </c>
      <c r="AL20" s="72">
        <f t="shared" si="10"/>
        <v>559.87200000000007</v>
      </c>
      <c r="AM20" s="73">
        <f t="shared" si="11"/>
        <v>-1.113999999999578</v>
      </c>
      <c r="AN20" s="74">
        <f t="shared" ref="AN20:AO65" si="18">+G20+S20-AF20-AK20</f>
        <v>-0.16621200000003</v>
      </c>
      <c r="AO20" s="74">
        <f t="shared" si="18"/>
        <v>-0.29038400000013098</v>
      </c>
      <c r="AP20" s="75">
        <f t="shared" si="13"/>
        <v>-8.1340885206540245E-4</v>
      </c>
      <c r="AQ20" s="76">
        <f t="shared" si="14"/>
        <v>-166.83769845978651</v>
      </c>
      <c r="AR20" s="90">
        <f>(D20+J20+O20)-(X20+AH20)</f>
        <v>-1.113999999999578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6912</v>
      </c>
      <c r="E21" s="62">
        <v>3.97</v>
      </c>
      <c r="F21" s="62">
        <v>8.1</v>
      </c>
      <c r="G21" s="62">
        <f t="shared" si="0"/>
        <v>274.40640000000002</v>
      </c>
      <c r="H21" s="63">
        <f t="shared" si="1"/>
        <v>559.87200000000007</v>
      </c>
      <c r="I21" s="202">
        <v>4632.4000000000015</v>
      </c>
      <c r="J21" s="202">
        <v>4771.3720000000012</v>
      </c>
      <c r="K21" s="202">
        <v>3.9065624730161472</v>
      </c>
      <c r="L21" s="202">
        <v>8.1355733529056238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4771.3720000000012</v>
      </c>
      <c r="S21" s="62">
        <f t="shared" si="3"/>
        <v>186.39662800000005</v>
      </c>
      <c r="T21" s="63">
        <f t="shared" si="4"/>
        <v>388.17846900000023</v>
      </c>
      <c r="U21" s="64" t="s">
        <v>174</v>
      </c>
      <c r="V21" s="65" t="s">
        <v>389</v>
      </c>
      <c r="W21" s="66" t="s">
        <v>181</v>
      </c>
      <c r="X21" s="67">
        <v>7130</v>
      </c>
      <c r="Y21" s="68">
        <v>4</v>
      </c>
      <c r="Z21" s="68">
        <v>8.02</v>
      </c>
      <c r="AA21" s="62">
        <f t="shared" si="5"/>
        <v>285.2</v>
      </c>
      <c r="AB21" s="63">
        <f t="shared" si="6"/>
        <v>571.82599999999991</v>
      </c>
      <c r="AC21" s="69">
        <v>7120</v>
      </c>
      <c r="AD21" s="70">
        <v>4</v>
      </c>
      <c r="AE21" s="70">
        <v>7.89</v>
      </c>
      <c r="AF21" s="62">
        <f t="shared" si="7"/>
        <v>284.8</v>
      </c>
      <c r="AG21" s="62">
        <f t="shared" si="8"/>
        <v>561.76800000000003</v>
      </c>
      <c r="AH21" s="89">
        <v>4456</v>
      </c>
      <c r="AI21" s="66">
        <v>3.94</v>
      </c>
      <c r="AJ21" s="66">
        <v>8.11</v>
      </c>
      <c r="AK21" s="62">
        <f t="shared" si="9"/>
        <v>175.56639999999999</v>
      </c>
      <c r="AL21" s="72">
        <f t="shared" si="10"/>
        <v>361.38159999999993</v>
      </c>
      <c r="AM21" s="73">
        <f t="shared" si="11"/>
        <v>107.37200000000121</v>
      </c>
      <c r="AN21" s="74">
        <f t="shared" si="18"/>
        <v>0.43662800000004154</v>
      </c>
      <c r="AO21" s="74">
        <f t="shared" si="18"/>
        <v>24.900869000000284</v>
      </c>
      <c r="AP21" s="75">
        <f t="shared" si="13"/>
        <v>4.4097798759977089E-2</v>
      </c>
      <c r="AQ21" s="76">
        <f t="shared" si="14"/>
        <v>7667.4025499196086</v>
      </c>
      <c r="AR21" s="90">
        <f>(D21+J21+O21)-(X21+AH21)</f>
        <v>97.372000000001208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>
        <v>4456</v>
      </c>
      <c r="E22" s="62">
        <v>3.94</v>
      </c>
      <c r="F22" s="62">
        <v>8.11</v>
      </c>
      <c r="G22" s="62">
        <f t="shared" si="0"/>
        <v>175.56639999999999</v>
      </c>
      <c r="H22" s="63">
        <f t="shared" si="1"/>
        <v>361.38159999999993</v>
      </c>
      <c r="I22" s="202">
        <v>4747.1000000000004</v>
      </c>
      <c r="J22" s="202">
        <v>4889.5130000000008</v>
      </c>
      <c r="K22" s="202">
        <v>3.8361357460344219</v>
      </c>
      <c r="L22" s="202">
        <v>8.0625308082829523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4889.5130000000008</v>
      </c>
      <c r="S22" s="62">
        <f t="shared" si="3"/>
        <v>187.56835600000008</v>
      </c>
      <c r="T22" s="63">
        <f t="shared" si="4"/>
        <v>394.21849200000014</v>
      </c>
      <c r="U22" s="64" t="s">
        <v>169</v>
      </c>
      <c r="V22" s="65" t="s">
        <v>476</v>
      </c>
      <c r="W22" s="66" t="s">
        <v>188</v>
      </c>
      <c r="X22" s="67">
        <v>2950</v>
      </c>
      <c r="Y22" s="68">
        <v>4.1500000000000004</v>
      </c>
      <c r="Z22" s="68">
        <v>8.0500000000000007</v>
      </c>
      <c r="AA22" s="62">
        <f t="shared" si="5"/>
        <v>122.42500000000001</v>
      </c>
      <c r="AB22" s="63">
        <f t="shared" si="6"/>
        <v>237.47499999999999</v>
      </c>
      <c r="AC22" s="69">
        <v>2950</v>
      </c>
      <c r="AD22" s="70">
        <v>4.1500000000000004</v>
      </c>
      <c r="AE22" s="70">
        <v>8.0500000000000007</v>
      </c>
      <c r="AF22" s="62">
        <f t="shared" si="7"/>
        <v>122.42500000000001</v>
      </c>
      <c r="AG22" s="62">
        <f t="shared" si="8"/>
        <v>237.47499999999999</v>
      </c>
      <c r="AH22" s="89">
        <v>6396</v>
      </c>
      <c r="AI22" s="66">
        <v>3.89</v>
      </c>
      <c r="AJ22" s="66">
        <v>8.08</v>
      </c>
      <c r="AK22" s="62">
        <f t="shared" si="9"/>
        <v>248.80440000000002</v>
      </c>
      <c r="AL22" s="72">
        <f t="shared" si="10"/>
        <v>516.79679999999996</v>
      </c>
      <c r="AM22" s="73">
        <f t="shared" si="11"/>
        <v>-0.48699999999917054</v>
      </c>
      <c r="AN22" s="74">
        <f t="shared" si="18"/>
        <v>-8.0946439999999882</v>
      </c>
      <c r="AO22" s="74">
        <f t="shared" si="18"/>
        <v>1.3282920000001468</v>
      </c>
      <c r="AP22" s="75">
        <f t="shared" si="13"/>
        <v>-1.1630293849474987E-2</v>
      </c>
      <c r="AQ22" s="76">
        <f t="shared" si="14"/>
        <v>-3491.9282648632188</v>
      </c>
      <c r="AR22" s="90">
        <f t="shared" si="15"/>
        <v>-0.48699999999917054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>
        <v>6396</v>
      </c>
      <c r="E23" s="62">
        <v>3.89</v>
      </c>
      <c r="F23" s="62">
        <v>8.08</v>
      </c>
      <c r="G23" s="62">
        <f t="shared" si="0"/>
        <v>248.80440000000002</v>
      </c>
      <c r="H23" s="63">
        <f t="shared" si="1"/>
        <v>516.79679999999996</v>
      </c>
      <c r="I23" s="202">
        <v>1510.1999999999998</v>
      </c>
      <c r="J23" s="202">
        <v>1555.5059999999999</v>
      </c>
      <c r="K23" s="202">
        <v>4.2594623228711441</v>
      </c>
      <c r="L23" s="202">
        <v>8.2935703880280762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1555.5059999999999</v>
      </c>
      <c r="S23" s="62">
        <f t="shared" si="3"/>
        <v>66.256192000000013</v>
      </c>
      <c r="T23" s="63">
        <f t="shared" si="4"/>
        <v>129.00698499999999</v>
      </c>
      <c r="U23" s="64" t="s">
        <v>174</v>
      </c>
      <c r="V23" s="65" t="s">
        <v>477</v>
      </c>
      <c r="W23" s="66" t="s">
        <v>181</v>
      </c>
      <c r="X23" s="67">
        <v>7130</v>
      </c>
      <c r="Y23" s="68">
        <v>4.1500000000000004</v>
      </c>
      <c r="Z23" s="68">
        <v>8.08</v>
      </c>
      <c r="AA23" s="62">
        <f t="shared" si="5"/>
        <v>295.89500000000004</v>
      </c>
      <c r="AB23" s="63">
        <f t="shared" si="6"/>
        <v>576.10399999999993</v>
      </c>
      <c r="AC23" s="69">
        <v>7140</v>
      </c>
      <c r="AD23" s="70">
        <v>4.0512605042016805</v>
      </c>
      <c r="AE23" s="70">
        <v>7.8710084033613441</v>
      </c>
      <c r="AF23" s="62">
        <f t="shared" si="7"/>
        <v>289.26</v>
      </c>
      <c r="AG23" s="62">
        <f t="shared" si="8"/>
        <v>561.99</v>
      </c>
      <c r="AH23" s="89">
        <v>823</v>
      </c>
      <c r="AI23" s="66">
        <v>3.96</v>
      </c>
      <c r="AJ23" s="66">
        <v>8.1199999999999992</v>
      </c>
      <c r="AK23" s="62">
        <f t="shared" si="9"/>
        <v>32.590799999999994</v>
      </c>
      <c r="AL23" s="72">
        <f t="shared" si="10"/>
        <v>66.82759999999999</v>
      </c>
      <c r="AM23" s="73">
        <f t="shared" si="11"/>
        <v>-11.494000000000597</v>
      </c>
      <c r="AN23" s="74">
        <f t="shared" si="18"/>
        <v>-6.790207999999943</v>
      </c>
      <c r="AO23" s="74">
        <f t="shared" si="18"/>
        <v>16.986184999999949</v>
      </c>
      <c r="AP23" s="75">
        <f t="shared" si="13"/>
        <v>5.2216588691476669E-2</v>
      </c>
      <c r="AQ23" s="76">
        <f t="shared" si="14"/>
        <v>1824.2952468006965</v>
      </c>
      <c r="AR23" s="90">
        <f t="shared" si="15"/>
        <v>-1.4940000000005966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>
        <v>823</v>
      </c>
      <c r="E24" s="62">
        <v>3.96</v>
      </c>
      <c r="F24" s="62">
        <v>8.1199999999999992</v>
      </c>
      <c r="G24" s="62">
        <f t="shared" si="0"/>
        <v>32.590799999999994</v>
      </c>
      <c r="H24" s="63">
        <f t="shared" si="1"/>
        <v>66.82759999999999</v>
      </c>
      <c r="I24" s="202">
        <v>1722.3000000000002</v>
      </c>
      <c r="J24" s="202">
        <v>1773.9690000000003</v>
      </c>
      <c r="K24" s="202">
        <v>4.1655576844916675</v>
      </c>
      <c r="L24" s="202">
        <v>8.1381989200487705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1773.9690000000003</v>
      </c>
      <c r="S24" s="62">
        <f t="shared" si="3"/>
        <v>73.895702</v>
      </c>
      <c r="T24" s="63">
        <f t="shared" si="4"/>
        <v>144.36912599999999</v>
      </c>
      <c r="U24" s="64" t="s">
        <v>167</v>
      </c>
      <c r="V24" s="65" t="s">
        <v>180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2624</v>
      </c>
      <c r="AI24" s="66">
        <v>4.0999999999999996</v>
      </c>
      <c r="AJ24" s="66">
        <v>8.14</v>
      </c>
      <c r="AK24" s="62">
        <f t="shared" si="9"/>
        <v>107.58399999999999</v>
      </c>
      <c r="AL24" s="72">
        <f t="shared" si="10"/>
        <v>213.59360000000001</v>
      </c>
      <c r="AM24" s="73">
        <f t="shared" si="11"/>
        <v>-27.030999999999949</v>
      </c>
      <c r="AN24" s="74">
        <f t="shared" si="18"/>
        <v>-1.0974979999999874</v>
      </c>
      <c r="AO24" s="74">
        <f t="shared" si="18"/>
        <v>-2.3968740000000253</v>
      </c>
      <c r="AP24" s="75">
        <f t="shared" si="13"/>
        <v>-1.6009780558872328E-2</v>
      </c>
      <c r="AQ24" s="76">
        <f t="shared" si="14"/>
        <v>-1245.2259334398027</v>
      </c>
      <c r="AR24" s="90">
        <f t="shared" si="15"/>
        <v>-27.030999999999949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>
        <v>2624</v>
      </c>
      <c r="E25" s="62">
        <v>4.0999999999999996</v>
      </c>
      <c r="F25" s="62">
        <v>8.14</v>
      </c>
      <c r="G25" s="62">
        <f t="shared" si="0"/>
        <v>107.58399999999999</v>
      </c>
      <c r="H25" s="63">
        <f t="shared" si="1"/>
        <v>213.59360000000001</v>
      </c>
      <c r="I25" s="202">
        <v>1315.8</v>
      </c>
      <c r="J25" s="202">
        <v>1355.2739999999999</v>
      </c>
      <c r="K25" s="202">
        <v>4.2342453260373905</v>
      </c>
      <c r="L25" s="202">
        <v>8.2759309925520572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1355.2739999999999</v>
      </c>
      <c r="S25" s="62">
        <f t="shared" si="3"/>
        <v>57.385625999999981</v>
      </c>
      <c r="T25" s="63">
        <f t="shared" si="4"/>
        <v>112.16154099999996</v>
      </c>
      <c r="U25" s="64" t="s">
        <v>174</v>
      </c>
      <c r="V25" s="65" t="s">
        <v>478</v>
      </c>
      <c r="W25" s="66" t="s">
        <v>187</v>
      </c>
      <c r="X25" s="67">
        <v>3650</v>
      </c>
      <c r="Y25" s="68">
        <v>4.2</v>
      </c>
      <c r="Z25" s="68">
        <v>8.08</v>
      </c>
      <c r="AA25" s="62">
        <f t="shared" si="5"/>
        <v>153.30000000000001</v>
      </c>
      <c r="AB25" s="63">
        <f t="shared" si="6"/>
        <v>294.92</v>
      </c>
      <c r="AC25" s="69">
        <v>3640</v>
      </c>
      <c r="AD25" s="70">
        <v>4.1500000000000004</v>
      </c>
      <c r="AE25" s="70">
        <v>7.99</v>
      </c>
      <c r="AF25" s="62">
        <f t="shared" si="7"/>
        <v>151.06</v>
      </c>
      <c r="AG25" s="62">
        <f t="shared" si="8"/>
        <v>290.83600000000001</v>
      </c>
      <c r="AH25" s="89">
        <v>330</v>
      </c>
      <c r="AI25" s="66">
        <v>4.1399999999999997</v>
      </c>
      <c r="AJ25" s="66">
        <v>8.2799999999999994</v>
      </c>
      <c r="AK25" s="62">
        <f t="shared" si="9"/>
        <v>13.661999999999999</v>
      </c>
      <c r="AL25" s="72">
        <f t="shared" si="10"/>
        <v>27.323999999999998</v>
      </c>
      <c r="AM25" s="73">
        <f t="shared" si="11"/>
        <v>9.2739999999998872</v>
      </c>
      <c r="AN25" s="74">
        <f t="shared" si="18"/>
        <v>0.24762599999997548</v>
      </c>
      <c r="AO25" s="74">
        <f t="shared" si="18"/>
        <v>7.5951409999999697</v>
      </c>
      <c r="AP25" s="75">
        <f t="shared" si="13"/>
        <v>4.6257139760996109E-2</v>
      </c>
      <c r="AQ25" s="76">
        <f t="shared" si="14"/>
        <v>2393.6694660145563</v>
      </c>
      <c r="AR25" s="90">
        <f t="shared" si="15"/>
        <v>-0.72600000000011278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>
        <v>330</v>
      </c>
      <c r="E26" s="62">
        <v>4.1399999999999997</v>
      </c>
      <c r="F26" s="62">
        <v>8.2799999999999994</v>
      </c>
      <c r="G26" s="62">
        <f t="shared" si="0"/>
        <v>13.661999999999999</v>
      </c>
      <c r="H26" s="63">
        <f t="shared" si="1"/>
        <v>27.323999999999998</v>
      </c>
      <c r="I26" s="202">
        <v>805.2</v>
      </c>
      <c r="J26" s="202">
        <v>829.35600000000011</v>
      </c>
      <c r="K26" s="202">
        <v>4.3755837059115734</v>
      </c>
      <c r="L26" s="202">
        <v>8.4160457029309477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829.35600000000011</v>
      </c>
      <c r="S26" s="62">
        <f t="shared" si="3"/>
        <v>36.289165999999994</v>
      </c>
      <c r="T26" s="63">
        <f t="shared" si="4"/>
        <v>69.79898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>
        <v>1161</v>
      </c>
      <c r="AI26" s="66">
        <v>4.3099999999999996</v>
      </c>
      <c r="AJ26" s="66">
        <v>8.3800000000000008</v>
      </c>
      <c r="AK26" s="62">
        <f t="shared" si="9"/>
        <v>50.039099999999998</v>
      </c>
      <c r="AL26" s="72">
        <f t="shared" si="10"/>
        <v>97.291800000000009</v>
      </c>
      <c r="AM26" s="73">
        <f t="shared" si="11"/>
        <v>-1.6439999999997781</v>
      </c>
      <c r="AN26" s="74">
        <f t="shared" si="18"/>
        <v>-8.7934000000004175E-2</v>
      </c>
      <c r="AO26" s="74">
        <f t="shared" si="18"/>
        <v>-0.16882000000001085</v>
      </c>
      <c r="AP26" s="75">
        <f t="shared" si="13"/>
        <v>-2.4201949952072405E-3</v>
      </c>
      <c r="AQ26" s="76">
        <f t="shared" si="14"/>
        <v>-92.815236015483805</v>
      </c>
      <c r="AR26" s="90">
        <f t="shared" si="15"/>
        <v>-1.6439999999997781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>
        <v>1161</v>
      </c>
      <c r="E27" s="62">
        <v>4.3099999999999996</v>
      </c>
      <c r="F27" s="62">
        <v>8.3800000000000008</v>
      </c>
      <c r="G27" s="62">
        <f t="shared" si="0"/>
        <v>50.039099999999998</v>
      </c>
      <c r="H27" s="63">
        <f t="shared" si="1"/>
        <v>97.291800000000009</v>
      </c>
      <c r="I27" s="202">
        <v>4593.4999999999991</v>
      </c>
      <c r="J27" s="202">
        <v>4731.3049999999994</v>
      </c>
      <c r="K27" s="202">
        <v>3.8072123652987915</v>
      </c>
      <c r="L27" s="202">
        <v>8.1075759224991799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4731.3049999999994</v>
      </c>
      <c r="S27" s="62">
        <f t="shared" si="3"/>
        <v>180.13082899999995</v>
      </c>
      <c r="T27" s="63">
        <f t="shared" si="4"/>
        <v>383.5941449999998</v>
      </c>
      <c r="U27" s="64" t="s">
        <v>169</v>
      </c>
      <c r="V27" s="65" t="s">
        <v>479</v>
      </c>
      <c r="W27" s="66" t="s">
        <v>181</v>
      </c>
      <c r="X27" s="67">
        <v>5900</v>
      </c>
      <c r="Y27" s="68">
        <v>4.1500000000000004</v>
      </c>
      <c r="Z27" s="68">
        <v>8.0500000000000007</v>
      </c>
      <c r="AA27" s="62">
        <f t="shared" si="5"/>
        <v>244.85000000000002</v>
      </c>
      <c r="AB27" s="63">
        <f t="shared" si="6"/>
        <v>474.95</v>
      </c>
      <c r="AC27" s="69">
        <v>5930</v>
      </c>
      <c r="AD27" s="70">
        <v>4.0749578414839798</v>
      </c>
      <c r="AE27" s="70">
        <v>7.9049915682967971</v>
      </c>
      <c r="AF27" s="62">
        <f t="shared" si="7"/>
        <v>241.64499999999998</v>
      </c>
      <c r="AG27" s="62">
        <f t="shared" si="8"/>
        <v>468.76600000000008</v>
      </c>
      <c r="AH27" s="89">
        <v>0</v>
      </c>
      <c r="AI27" s="66">
        <v>0</v>
      </c>
      <c r="AJ27" s="66">
        <v>0</v>
      </c>
      <c r="AK27" s="62">
        <f t="shared" si="9"/>
        <v>0</v>
      </c>
      <c r="AL27" s="72">
        <f t="shared" si="10"/>
        <v>0</v>
      </c>
      <c r="AM27" s="73">
        <f t="shared" si="11"/>
        <v>-37.695000000000618</v>
      </c>
      <c r="AN27" s="74">
        <f t="shared" si="18"/>
        <v>-11.475071000000042</v>
      </c>
      <c r="AO27" s="74">
        <f t="shared" si="18"/>
        <v>12.119944999999746</v>
      </c>
      <c r="AP27" s="75">
        <f t="shared" si="13"/>
        <v>1.1439514475008932E-3</v>
      </c>
      <c r="AQ27" s="76">
        <f t="shared" si="14"/>
        <v>-1884.3294584893661</v>
      </c>
      <c r="AR27" s="90">
        <f t="shared" si="15"/>
        <v>-7.6950000000006185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>
        <v>0</v>
      </c>
      <c r="E28" s="62">
        <v>0</v>
      </c>
      <c r="F28" s="62">
        <v>0</v>
      </c>
      <c r="G28" s="62">
        <f t="shared" si="0"/>
        <v>0</v>
      </c>
      <c r="H28" s="63">
        <f t="shared" si="1"/>
        <v>0</v>
      </c>
      <c r="I28" s="202">
        <v>3636.9</v>
      </c>
      <c r="J28" s="202">
        <v>3746.0070000000001</v>
      </c>
      <c r="K28" s="202">
        <v>3.9635018834721878</v>
      </c>
      <c r="L28" s="202">
        <v>8.1403502983309952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3746.0070000000001</v>
      </c>
      <c r="S28" s="62">
        <f t="shared" si="3"/>
        <v>148.47305799999998</v>
      </c>
      <c r="T28" s="63">
        <f t="shared" si="4"/>
        <v>304.93809199999998</v>
      </c>
      <c r="U28" s="64" t="s">
        <v>167</v>
      </c>
      <c r="V28" s="65" t="s">
        <v>167</v>
      </c>
      <c r="W28" s="66" t="s">
        <v>167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3720</v>
      </c>
      <c r="AI28" s="66">
        <v>3.96</v>
      </c>
      <c r="AJ28" s="66">
        <v>8.14</v>
      </c>
      <c r="AK28" s="62">
        <f t="shared" si="9"/>
        <v>147.31199999999998</v>
      </c>
      <c r="AL28" s="72">
        <f t="shared" si="10"/>
        <v>302.80799999999999</v>
      </c>
      <c r="AM28" s="73">
        <f t="shared" si="11"/>
        <v>26.007000000000062</v>
      </c>
      <c r="AN28" s="74">
        <f t="shared" si="18"/>
        <v>1.161057999999997</v>
      </c>
      <c r="AO28" s="74">
        <f t="shared" si="18"/>
        <v>2.1300919999999905</v>
      </c>
      <c r="AP28" s="75">
        <f t="shared" si="13"/>
        <v>7.2586437276630448E-3</v>
      </c>
      <c r="AQ28" s="76">
        <f t="shared" si="14"/>
        <v>1195.8697481203117</v>
      </c>
      <c r="AR28" s="90">
        <f t="shared" si="15"/>
        <v>26.007000000000062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>
        <v>3720</v>
      </c>
      <c r="E29" s="62">
        <v>3.96</v>
      </c>
      <c r="F29" s="62">
        <v>8.14</v>
      </c>
      <c r="G29" s="62">
        <f t="shared" si="0"/>
        <v>147.31199999999998</v>
      </c>
      <c r="H29" s="63">
        <f t="shared" si="1"/>
        <v>302.80799999999999</v>
      </c>
      <c r="I29" s="202">
        <v>3201.8999999999996</v>
      </c>
      <c r="J29" s="202">
        <v>3297.9569999999999</v>
      </c>
      <c r="K29" s="202">
        <v>4.2270152097192293</v>
      </c>
      <c r="L29" s="202">
        <v>8.2133483244323688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3297.9569999999999</v>
      </c>
      <c r="S29" s="62">
        <f t="shared" si="3"/>
        <v>139.40514400000001</v>
      </c>
      <c r="T29" s="63">
        <f t="shared" si="4"/>
        <v>270.87269600000002</v>
      </c>
      <c r="U29" s="64" t="s">
        <v>167</v>
      </c>
      <c r="V29" s="65" t="s">
        <v>480</v>
      </c>
      <c r="W29" s="66" t="s">
        <v>260</v>
      </c>
      <c r="X29" s="67">
        <v>2595</v>
      </c>
      <c r="Y29" s="68">
        <v>3.82</v>
      </c>
      <c r="Z29" s="68">
        <v>8.15</v>
      </c>
      <c r="AA29" s="62">
        <f t="shared" si="5"/>
        <v>99.128999999999991</v>
      </c>
      <c r="AB29" s="63">
        <f t="shared" si="6"/>
        <v>211.49250000000001</v>
      </c>
      <c r="AC29" s="69">
        <v>2595</v>
      </c>
      <c r="AD29" s="70">
        <v>3.82</v>
      </c>
      <c r="AE29" s="70">
        <v>8.15</v>
      </c>
      <c r="AF29" s="62">
        <f t="shared" si="7"/>
        <v>99.128999999999991</v>
      </c>
      <c r="AG29" s="63">
        <f t="shared" si="8"/>
        <v>211.49250000000001</v>
      </c>
      <c r="AH29" s="89">
        <v>4524</v>
      </c>
      <c r="AI29" s="66">
        <v>4.09</v>
      </c>
      <c r="AJ29" s="66">
        <v>8.17</v>
      </c>
      <c r="AK29" s="62">
        <f t="shared" si="9"/>
        <v>185.0316</v>
      </c>
      <c r="AL29" s="72">
        <f t="shared" si="10"/>
        <v>369.61079999999998</v>
      </c>
      <c r="AM29" s="73">
        <f t="shared" si="11"/>
        <v>-101.04299999999967</v>
      </c>
      <c r="AN29" s="74">
        <f t="shared" si="18"/>
        <v>2.5565439999999739</v>
      </c>
      <c r="AO29" s="74">
        <f t="shared" si="18"/>
        <v>-7.4226039999999784</v>
      </c>
      <c r="AP29" s="75">
        <f t="shared" si="13"/>
        <v>-1.1860401721916066E-2</v>
      </c>
      <c r="AQ29" s="76">
        <f t="shared" si="14"/>
        <v>-994.50121981672942</v>
      </c>
      <c r="AR29" s="90">
        <f t="shared" si="15"/>
        <v>-101.04299999999967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>
        <v>4524</v>
      </c>
      <c r="E30" s="62">
        <v>4.09</v>
      </c>
      <c r="F30" s="62">
        <v>8.17</v>
      </c>
      <c r="G30" s="62">
        <f t="shared" si="0"/>
        <v>185.0316</v>
      </c>
      <c r="H30" s="63">
        <f t="shared" si="1"/>
        <v>369.61079999999998</v>
      </c>
      <c r="I30" s="202">
        <v>3081.8</v>
      </c>
      <c r="J30" s="202">
        <v>3174.2540000000004</v>
      </c>
      <c r="K30" s="202">
        <v>4.1728502823025506</v>
      </c>
      <c r="L30" s="202">
        <v>8.0943993769874751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3174.2540000000004</v>
      </c>
      <c r="S30" s="62">
        <f t="shared" si="3"/>
        <v>132.45686700000002</v>
      </c>
      <c r="T30" s="63">
        <f t="shared" si="4"/>
        <v>256.93679600000002</v>
      </c>
      <c r="U30" s="64" t="s">
        <v>174</v>
      </c>
      <c r="V30" s="65" t="s">
        <v>481</v>
      </c>
      <c r="W30" s="66" t="s">
        <v>30</v>
      </c>
      <c r="X30" s="67">
        <v>3650</v>
      </c>
      <c r="Y30" s="68">
        <v>4.3</v>
      </c>
      <c r="Z30" s="68">
        <v>8.27</v>
      </c>
      <c r="AA30" s="62">
        <f t="shared" si="5"/>
        <v>156.94999999999999</v>
      </c>
      <c r="AB30" s="63">
        <f t="shared" si="6"/>
        <v>301.85499999999996</v>
      </c>
      <c r="AC30" s="69">
        <v>3640</v>
      </c>
      <c r="AD30" s="70">
        <v>4.25</v>
      </c>
      <c r="AE30" s="70">
        <v>8.19</v>
      </c>
      <c r="AF30" s="62">
        <f t="shared" si="7"/>
        <v>154.70000000000002</v>
      </c>
      <c r="AG30" s="63">
        <f t="shared" si="8"/>
        <v>298.11599999999999</v>
      </c>
      <c r="AH30" s="89">
        <v>4049</v>
      </c>
      <c r="AI30" s="66">
        <v>4.12</v>
      </c>
      <c r="AJ30" s="66">
        <v>8.14</v>
      </c>
      <c r="AK30" s="62">
        <f t="shared" si="9"/>
        <v>166.81880000000001</v>
      </c>
      <c r="AL30" s="72">
        <f t="shared" si="10"/>
        <v>329.58859999999999</v>
      </c>
      <c r="AM30" s="73">
        <f t="shared" si="11"/>
        <v>9.2540000000008149</v>
      </c>
      <c r="AN30" s="74">
        <f t="shared" si="18"/>
        <v>-4.030333000000013</v>
      </c>
      <c r="AO30" s="74">
        <f t="shared" si="18"/>
        <v>-1.1570039999999722</v>
      </c>
      <c r="AP30" s="75">
        <f t="shared" si="13"/>
        <v>-1.3321575292302547E-2</v>
      </c>
      <c r="AQ30" s="76">
        <f t="shared" si="14"/>
        <v>-2283.2185771924223</v>
      </c>
      <c r="AR30" s="90">
        <f t="shared" si="15"/>
        <v>-0.74599999999918509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>
        <v>4049</v>
      </c>
      <c r="E31" s="62">
        <v>4.12</v>
      </c>
      <c r="F31" s="62">
        <v>8.14</v>
      </c>
      <c r="G31" s="62">
        <f t="shared" si="0"/>
        <v>166.81880000000001</v>
      </c>
      <c r="H31" s="63">
        <f t="shared" si="1"/>
        <v>329.58859999999999</v>
      </c>
      <c r="I31" s="202">
        <v>2251.3000000000002</v>
      </c>
      <c r="J31" s="202">
        <v>2318.8390000000004</v>
      </c>
      <c r="K31" s="202">
        <v>4.1399369253320302</v>
      </c>
      <c r="L31" s="202">
        <v>8.3033580597876782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2318.8390000000004</v>
      </c>
      <c r="S31" s="62">
        <f t="shared" si="3"/>
        <v>95.998472000000007</v>
      </c>
      <c r="T31" s="63">
        <f t="shared" si="4"/>
        <v>192.54150500000003</v>
      </c>
      <c r="U31" s="64" t="s">
        <v>169</v>
      </c>
      <c r="V31" s="65" t="s">
        <v>482</v>
      </c>
      <c r="W31" s="66" t="s">
        <v>188</v>
      </c>
      <c r="X31" s="67">
        <v>5900</v>
      </c>
      <c r="Y31" s="68">
        <v>4.2300000000000004</v>
      </c>
      <c r="Z31" s="68">
        <v>8.23</v>
      </c>
      <c r="AA31" s="62">
        <f t="shared" si="5"/>
        <v>249.57000000000002</v>
      </c>
      <c r="AB31" s="63">
        <f t="shared" si="6"/>
        <v>485.57</v>
      </c>
      <c r="AC31" s="69">
        <v>5930</v>
      </c>
      <c r="AD31" s="70">
        <v>4.1500000000000004</v>
      </c>
      <c r="AE31" s="70">
        <v>8.11</v>
      </c>
      <c r="AF31" s="62">
        <f t="shared" si="7"/>
        <v>246.095</v>
      </c>
      <c r="AG31" s="63">
        <f t="shared" si="8"/>
        <v>480.92299999999994</v>
      </c>
      <c r="AH31" s="89">
        <v>468</v>
      </c>
      <c r="AI31" s="66">
        <v>4.13</v>
      </c>
      <c r="AJ31" s="66">
        <v>8.2100000000000009</v>
      </c>
      <c r="AK31" s="62">
        <f t="shared" si="9"/>
        <v>19.328399999999998</v>
      </c>
      <c r="AL31" s="72">
        <f t="shared" si="10"/>
        <v>38.422800000000002</v>
      </c>
      <c r="AM31" s="73">
        <f t="shared" si="11"/>
        <v>-30.161000000000058</v>
      </c>
      <c r="AN31" s="74">
        <f t="shared" si="18"/>
        <v>-2.6061279999999947</v>
      </c>
      <c r="AO31" s="74">
        <f t="shared" si="18"/>
        <v>2.7843050000000105</v>
      </c>
      <c r="AP31" s="75">
        <f t="shared" si="13"/>
        <v>6.1751235254314785E-4</v>
      </c>
      <c r="AQ31" s="76">
        <f t="shared" si="14"/>
        <v>-418.45476395717594</v>
      </c>
      <c r="AR31" s="90">
        <f t="shared" si="15"/>
        <v>-0.16100000000005821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>
        <v>468</v>
      </c>
      <c r="E32" s="62">
        <v>4.13</v>
      </c>
      <c r="F32" s="62">
        <v>8.2100000000000009</v>
      </c>
      <c r="G32" s="62">
        <f t="shared" si="0"/>
        <v>19.328399999999998</v>
      </c>
      <c r="H32" s="63">
        <f t="shared" si="1"/>
        <v>38.422800000000002</v>
      </c>
      <c r="I32" s="202">
        <v>867.3</v>
      </c>
      <c r="J32" s="202">
        <v>893.31899999999996</v>
      </c>
      <c r="K32" s="202">
        <v>4.501153003574311</v>
      </c>
      <c r="L32" s="202">
        <v>8.3990084169260939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893.31899999999996</v>
      </c>
      <c r="S32" s="62">
        <f t="shared" si="3"/>
        <v>40.209654999999998</v>
      </c>
      <c r="T32" s="63">
        <f t="shared" si="4"/>
        <v>75.029938000000016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1363</v>
      </c>
      <c r="AI32" s="66">
        <v>4.37</v>
      </c>
      <c r="AJ32" s="66">
        <v>8.33</v>
      </c>
      <c r="AK32" s="62">
        <f t="shared" si="9"/>
        <v>59.563100000000006</v>
      </c>
      <c r="AL32" s="72">
        <f t="shared" si="10"/>
        <v>113.53789999999999</v>
      </c>
      <c r="AM32" s="73">
        <f t="shared" si="11"/>
        <v>-1.68100000000004</v>
      </c>
      <c r="AN32" s="74">
        <f t="shared" si="18"/>
        <v>-2.5045000000005757E-2</v>
      </c>
      <c r="AO32" s="74">
        <f t="shared" si="18"/>
        <v>-8.516199999998264E-2</v>
      </c>
      <c r="AP32" s="75">
        <f t="shared" si="13"/>
        <v>-9.5632930602235276E-4</v>
      </c>
      <c r="AQ32" s="76">
        <f t="shared" si="14"/>
        <v>-37.540198469582478</v>
      </c>
      <c r="AR32" s="90">
        <f t="shared" si="15"/>
        <v>-1.68100000000004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>
        <v>1363</v>
      </c>
      <c r="E33" s="62">
        <v>4.37</v>
      </c>
      <c r="F33" s="62">
        <v>8.33</v>
      </c>
      <c r="G33" s="62">
        <f t="shared" si="0"/>
        <v>59.563100000000006</v>
      </c>
      <c r="H33" s="63">
        <f t="shared" si="1"/>
        <v>113.53789999999999</v>
      </c>
      <c r="I33" s="202">
        <v>1673.5000000000002</v>
      </c>
      <c r="J33" s="202">
        <v>1723.7050000000004</v>
      </c>
      <c r="K33" s="202">
        <v>4.1061906184642947</v>
      </c>
      <c r="L33" s="202">
        <v>8.265443680908275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1723.7050000000004</v>
      </c>
      <c r="S33" s="62">
        <f t="shared" si="3"/>
        <v>70.778612999999993</v>
      </c>
      <c r="T33" s="63">
        <f t="shared" si="4"/>
        <v>142.47186600000001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>
        <v>3088</v>
      </c>
      <c r="AI33" s="66">
        <v>4.22</v>
      </c>
      <c r="AJ33" s="66">
        <v>8.2899999999999991</v>
      </c>
      <c r="AK33" s="62">
        <f t="shared" si="9"/>
        <v>130.31359999999998</v>
      </c>
      <c r="AL33" s="72">
        <f t="shared" si="10"/>
        <v>255.99519999999995</v>
      </c>
      <c r="AM33" s="73">
        <f t="shared" si="11"/>
        <v>-1.294999999999618</v>
      </c>
      <c r="AN33" s="74">
        <f t="shared" si="18"/>
        <v>2.8113000000018928E-2</v>
      </c>
      <c r="AO33" s="74">
        <f t="shared" si="18"/>
        <v>1.4566000000058921E-2</v>
      </c>
      <c r="AP33" s="75">
        <f t="shared" si="13"/>
        <v>2.0013554107926694E-4</v>
      </c>
      <c r="AQ33" s="76">
        <f t="shared" si="14"/>
        <v>17.871598803715067</v>
      </c>
      <c r="AR33" s="90">
        <f t="shared" si="15"/>
        <v>-1.294999999999618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>
        <v>3088</v>
      </c>
      <c r="E34" s="62">
        <v>4.22</v>
      </c>
      <c r="F34" s="62">
        <v>8.2899999999999991</v>
      </c>
      <c r="G34" s="62">
        <f t="shared" si="0"/>
        <v>130.31359999999998</v>
      </c>
      <c r="H34" s="63">
        <f t="shared" si="1"/>
        <v>255.99519999999995</v>
      </c>
      <c r="I34" s="202">
        <v>952.3</v>
      </c>
      <c r="J34" s="202">
        <v>980.86900000000003</v>
      </c>
      <c r="K34" s="202">
        <v>4.1876299485456254</v>
      </c>
      <c r="L34" s="202">
        <v>8.4188386012811076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980.86900000000003</v>
      </c>
      <c r="S34" s="62">
        <f t="shared" si="3"/>
        <v>41.075163999999994</v>
      </c>
      <c r="T34" s="63">
        <f t="shared" si="4"/>
        <v>82.577777999999995</v>
      </c>
      <c r="U34" s="64" t="s">
        <v>167</v>
      </c>
      <c r="V34" s="65" t="s">
        <v>167</v>
      </c>
      <c r="W34" s="66" t="s">
        <v>180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4069</v>
      </c>
      <c r="AI34" s="66">
        <v>4.21</v>
      </c>
      <c r="AJ34" s="66">
        <v>8.32</v>
      </c>
      <c r="AK34" s="62">
        <f t="shared" si="9"/>
        <v>171.3049</v>
      </c>
      <c r="AL34" s="72">
        <f t="shared" si="10"/>
        <v>338.54079999999999</v>
      </c>
      <c r="AM34" s="73">
        <f t="shared" si="11"/>
        <v>-0.13099999999985812</v>
      </c>
      <c r="AN34" s="74">
        <f t="shared" si="18"/>
        <v>8.3863999999977068E-2</v>
      </c>
      <c r="AO34" s="74">
        <f t="shared" si="18"/>
        <v>3.2177999999930762E-2</v>
      </c>
      <c r="AP34" s="75">
        <f t="shared" si="13"/>
        <v>9.3844916362691828E-4</v>
      </c>
      <c r="AQ34" s="76">
        <f t="shared" si="14"/>
        <v>49.936406008408248</v>
      </c>
      <c r="AR34" s="90">
        <f t="shared" si="15"/>
        <v>-0.13099999999985812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>
        <v>4069</v>
      </c>
      <c r="E35" s="62">
        <v>4.21</v>
      </c>
      <c r="F35" s="62">
        <v>8.32</v>
      </c>
      <c r="G35" s="62">
        <f t="shared" si="0"/>
        <v>171.3049</v>
      </c>
      <c r="H35" s="63">
        <f t="shared" si="1"/>
        <v>338.54079999999999</v>
      </c>
      <c r="I35" s="202">
        <v>5182.2</v>
      </c>
      <c r="J35" s="202">
        <v>5337.6660000000002</v>
      </c>
      <c r="K35" s="202">
        <v>4.1086816410018896</v>
      </c>
      <c r="L35" s="202">
        <v>8.1854521245802925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5337.6660000000002</v>
      </c>
      <c r="S35" s="62">
        <f t="shared" si="3"/>
        <v>219.30770299999995</v>
      </c>
      <c r="T35" s="63">
        <f t="shared" si="4"/>
        <v>436.91209499999991</v>
      </c>
      <c r="U35" s="64" t="s">
        <v>169</v>
      </c>
      <c r="V35" s="65" t="s">
        <v>571</v>
      </c>
      <c r="W35" s="66" t="s">
        <v>188</v>
      </c>
      <c r="X35" s="67">
        <v>5900</v>
      </c>
      <c r="Y35" s="68">
        <v>4.25</v>
      </c>
      <c r="Z35" s="68">
        <v>8.32</v>
      </c>
      <c r="AA35" s="62">
        <f t="shared" si="5"/>
        <v>250.75000000000003</v>
      </c>
      <c r="AB35" s="63">
        <f t="shared" si="6"/>
        <v>490.88</v>
      </c>
      <c r="AC35" s="69">
        <v>5920</v>
      </c>
      <c r="AD35" s="70">
        <v>4.1750844594594598</v>
      </c>
      <c r="AE35" s="70">
        <v>8.2450168918918916</v>
      </c>
      <c r="AF35" s="62">
        <f t="shared" si="7"/>
        <v>247.16500000000002</v>
      </c>
      <c r="AG35" s="63">
        <f t="shared" si="8"/>
        <v>488.10500000000002</v>
      </c>
      <c r="AH35" s="89">
        <v>3508</v>
      </c>
      <c r="AI35" s="66">
        <v>4.1500000000000004</v>
      </c>
      <c r="AJ35" s="66">
        <v>8.25</v>
      </c>
      <c r="AK35" s="62">
        <f t="shared" si="9"/>
        <v>145.58199999999999</v>
      </c>
      <c r="AL35" s="72">
        <f t="shared" si="10"/>
        <v>289.41000000000003</v>
      </c>
      <c r="AM35" s="73">
        <f t="shared" si="11"/>
        <v>-21.333999999998923</v>
      </c>
      <c r="AN35" s="74">
        <f t="shared" si="18"/>
        <v>-2.1343970000000922</v>
      </c>
      <c r="AO35" s="74">
        <f t="shared" si="18"/>
        <v>-2.0621050000001446</v>
      </c>
      <c r="AP35" s="75">
        <f t="shared" si="13"/>
        <v>-6.39496402392943E-3</v>
      </c>
      <c r="AQ35" s="76">
        <f t="shared" si="14"/>
        <v>-1643.229315080813</v>
      </c>
      <c r="AR35" s="90">
        <f t="shared" si="15"/>
        <v>-1.3339999999989232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>
        <v>3508</v>
      </c>
      <c r="E36" s="62">
        <v>4.1500000000000004</v>
      </c>
      <c r="F36" s="62">
        <v>8.25</v>
      </c>
      <c r="G36" s="62">
        <f t="shared" si="0"/>
        <v>145.58199999999999</v>
      </c>
      <c r="H36" s="63">
        <f t="shared" si="1"/>
        <v>289.41000000000003</v>
      </c>
      <c r="I36" s="202">
        <v>3182.7000000000007</v>
      </c>
      <c r="J36" s="202">
        <v>3278.1810000000009</v>
      </c>
      <c r="K36" s="202">
        <v>3.9876551355767118</v>
      </c>
      <c r="L36" s="202">
        <v>8.112002387909639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3278.1810000000009</v>
      </c>
      <c r="S36" s="62">
        <f t="shared" si="3"/>
        <v>130.72255300000006</v>
      </c>
      <c r="T36" s="63">
        <f t="shared" si="4"/>
        <v>265.92612100000019</v>
      </c>
      <c r="U36" s="64" t="s">
        <v>174</v>
      </c>
      <c r="V36" s="85" t="s">
        <v>613</v>
      </c>
      <c r="W36" s="66" t="s">
        <v>181</v>
      </c>
      <c r="X36" s="67">
        <v>3480</v>
      </c>
      <c r="Y36" s="68">
        <v>4.25</v>
      </c>
      <c r="Z36" s="68">
        <v>8.26</v>
      </c>
      <c r="AA36" s="62">
        <f t="shared" si="5"/>
        <v>147.9</v>
      </c>
      <c r="AB36" s="63">
        <f t="shared" si="6"/>
        <v>287.44799999999998</v>
      </c>
      <c r="AC36" s="69">
        <v>3490</v>
      </c>
      <c r="AD36" s="70">
        <v>4.2</v>
      </c>
      <c r="AE36" s="70">
        <v>8.18</v>
      </c>
      <c r="AF36" s="62">
        <f t="shared" si="7"/>
        <v>146.58000000000001</v>
      </c>
      <c r="AG36" s="63">
        <f t="shared" si="8"/>
        <v>285.48199999999997</v>
      </c>
      <c r="AH36" s="89">
        <v>3307</v>
      </c>
      <c r="AI36" s="66">
        <v>4.07</v>
      </c>
      <c r="AJ36" s="66">
        <v>8.18</v>
      </c>
      <c r="AK36" s="62">
        <f t="shared" si="9"/>
        <v>134.5949</v>
      </c>
      <c r="AL36" s="72">
        <f t="shared" si="10"/>
        <v>270.51260000000002</v>
      </c>
      <c r="AM36" s="73">
        <f t="shared" si="11"/>
        <v>-10.818999999999505</v>
      </c>
      <c r="AN36" s="74">
        <f t="shared" si="18"/>
        <v>-4.8703469999999527</v>
      </c>
      <c r="AO36" s="74">
        <f t="shared" si="18"/>
        <v>-0.6584789999997156</v>
      </c>
      <c r="AP36" s="75">
        <f t="shared" si="13"/>
        <v>-1.3938849068230251E-2</v>
      </c>
      <c r="AQ36" s="76">
        <f t="shared" si="14"/>
        <v>-2537.5688442698261</v>
      </c>
      <c r="AR36" s="90">
        <f t="shared" si="15"/>
        <v>-0.81899999999950523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>
        <v>3307</v>
      </c>
      <c r="E37" s="62">
        <v>4.07</v>
      </c>
      <c r="F37" s="62">
        <v>8.18</v>
      </c>
      <c r="G37" s="62">
        <f t="shared" si="0"/>
        <v>134.5949</v>
      </c>
      <c r="H37" s="63">
        <f t="shared" si="1"/>
        <v>270.51260000000002</v>
      </c>
      <c r="I37" s="202">
        <v>1600.6999999999996</v>
      </c>
      <c r="J37" s="202">
        <v>1648.7209999999995</v>
      </c>
      <c r="K37" s="202">
        <v>3.9695320797151248</v>
      </c>
      <c r="L37" s="202">
        <v>8.2749859436496536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1648.7209999999995</v>
      </c>
      <c r="S37" s="62">
        <f t="shared" si="3"/>
        <v>65.446508999999978</v>
      </c>
      <c r="T37" s="63">
        <f t="shared" si="4"/>
        <v>136.43143099999998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4956</v>
      </c>
      <c r="AI37" s="66">
        <v>4.04</v>
      </c>
      <c r="AJ37" s="66">
        <v>8.2100000000000009</v>
      </c>
      <c r="AK37" s="62">
        <f t="shared" si="9"/>
        <v>200.22239999999999</v>
      </c>
      <c r="AL37" s="72">
        <f t="shared" si="10"/>
        <v>406.88760000000002</v>
      </c>
      <c r="AM37" s="73">
        <f t="shared" si="11"/>
        <v>-0.27900000000045111</v>
      </c>
      <c r="AN37" s="74">
        <f t="shared" si="18"/>
        <v>-0.1809910000000059</v>
      </c>
      <c r="AO37" s="74">
        <f t="shared" si="18"/>
        <v>5.6430999999975029E-2</v>
      </c>
      <c r="AP37" s="75">
        <f t="shared" si="13"/>
        <v>-6.1700649412229432E-4</v>
      </c>
      <c r="AQ37" s="76">
        <f t="shared" si="14"/>
        <v>-70.071483987734908</v>
      </c>
      <c r="AR37" s="90">
        <f t="shared" si="15"/>
        <v>-0.27900000000045111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>
        <v>4956</v>
      </c>
      <c r="E38" s="62">
        <v>4.04</v>
      </c>
      <c r="F38" s="62">
        <v>8.2100000000000009</v>
      </c>
      <c r="G38" s="62">
        <f t="shared" si="0"/>
        <v>200.22239999999999</v>
      </c>
      <c r="H38" s="63">
        <f t="shared" si="1"/>
        <v>406.88760000000002</v>
      </c>
      <c r="I38" s="202">
        <v>3703.3</v>
      </c>
      <c r="J38" s="202">
        <v>3814.3990000000003</v>
      </c>
      <c r="K38" s="202">
        <v>3.8726811222423247</v>
      </c>
      <c r="L38" s="202">
        <v>8.0627413388059299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3814.3990000000003</v>
      </c>
      <c r="S38" s="62">
        <f t="shared" si="3"/>
        <v>147.71951000000001</v>
      </c>
      <c r="T38" s="63">
        <f t="shared" si="4"/>
        <v>307.54512500000004</v>
      </c>
      <c r="U38" s="64" t="s">
        <v>311</v>
      </c>
      <c r="V38" s="65" t="s">
        <v>614</v>
      </c>
      <c r="W38" s="66" t="s">
        <v>188</v>
      </c>
      <c r="X38" s="67">
        <v>4870</v>
      </c>
      <c r="Y38" s="68">
        <v>3.95</v>
      </c>
      <c r="Z38" s="68">
        <v>8.08</v>
      </c>
      <c r="AA38" s="62">
        <f t="shared" si="5"/>
        <v>192.36500000000001</v>
      </c>
      <c r="AB38" s="63">
        <f t="shared" si="6"/>
        <v>393.49599999999998</v>
      </c>
      <c r="AC38" s="69">
        <v>4850</v>
      </c>
      <c r="AD38" s="70">
        <v>3.9</v>
      </c>
      <c r="AE38" s="70">
        <v>7.94</v>
      </c>
      <c r="AF38" s="62">
        <f t="shared" si="7"/>
        <v>189.15</v>
      </c>
      <c r="AG38" s="63">
        <f t="shared" si="8"/>
        <v>385.09</v>
      </c>
      <c r="AH38" s="89">
        <v>3902</v>
      </c>
      <c r="AI38" s="66">
        <v>3.97</v>
      </c>
      <c r="AJ38" s="66">
        <v>8.14</v>
      </c>
      <c r="AK38" s="62">
        <f t="shared" si="9"/>
        <v>154.90940000000001</v>
      </c>
      <c r="AL38" s="72">
        <f t="shared" si="10"/>
        <v>317.62279999999998</v>
      </c>
      <c r="AM38" s="73">
        <f t="shared" si="11"/>
        <v>18.399000000001251</v>
      </c>
      <c r="AN38" s="74">
        <f t="shared" si="18"/>
        <v>3.8825099999999964</v>
      </c>
      <c r="AO38" s="74">
        <f t="shared" si="18"/>
        <v>11.71992500000016</v>
      </c>
      <c r="AP38" s="75">
        <f t="shared" si="13"/>
        <v>3.4271133315681671E-2</v>
      </c>
      <c r="AQ38" s="76">
        <f t="shared" si="14"/>
        <v>5375.685617561352</v>
      </c>
      <c r="AR38" s="90">
        <f t="shared" si="15"/>
        <v>-1.6009999999987485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>
        <v>3902</v>
      </c>
      <c r="E39" s="62">
        <v>3.97</v>
      </c>
      <c r="F39" s="62">
        <v>8.14</v>
      </c>
      <c r="G39" s="62">
        <f t="shared" si="0"/>
        <v>154.90940000000001</v>
      </c>
      <c r="H39" s="63">
        <f t="shared" si="1"/>
        <v>317.62279999999998</v>
      </c>
      <c r="I39" s="202">
        <v>1769.6000000000001</v>
      </c>
      <c r="J39" s="202">
        <v>1822.6880000000001</v>
      </c>
      <c r="K39" s="202">
        <v>4.0231803797468348</v>
      </c>
      <c r="L39" s="202">
        <v>8.160861211573236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1822.6880000000001</v>
      </c>
      <c r="S39" s="62">
        <f t="shared" si="3"/>
        <v>73.330026000000004</v>
      </c>
      <c r="T39" s="63">
        <f t="shared" si="4"/>
        <v>148.747038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5726</v>
      </c>
      <c r="AI39" s="66">
        <v>3.99</v>
      </c>
      <c r="AJ39" s="66">
        <v>8.15</v>
      </c>
      <c r="AK39" s="62">
        <f t="shared" si="9"/>
        <v>228.46740000000003</v>
      </c>
      <c r="AL39" s="72">
        <f t="shared" si="10"/>
        <v>466.66900000000004</v>
      </c>
      <c r="AM39" s="73">
        <f t="shared" si="11"/>
        <v>-1.3119999999998981</v>
      </c>
      <c r="AN39" s="74">
        <f t="shared" si="18"/>
        <v>-0.22797400000001744</v>
      </c>
      <c r="AO39" s="74">
        <f t="shared" si="18"/>
        <v>-0.29916200000008075</v>
      </c>
      <c r="AP39" s="75">
        <f t="shared" si="13"/>
        <v>-2.3736625048325485E-3</v>
      </c>
      <c r="AQ39" s="76">
        <f t="shared" si="14"/>
        <v>-199.14528244586421</v>
      </c>
      <c r="AR39" s="90">
        <f t="shared" si="15"/>
        <v>-1.3119999999998981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>
        <v>5726</v>
      </c>
      <c r="E40" s="62">
        <v>3.99</v>
      </c>
      <c r="F40" s="62">
        <v>8.15</v>
      </c>
      <c r="G40" s="62">
        <f t="shared" si="0"/>
        <v>228.46740000000003</v>
      </c>
      <c r="H40" s="63">
        <f t="shared" si="1"/>
        <v>466.66900000000004</v>
      </c>
      <c r="I40" s="202">
        <v>837.79999999999984</v>
      </c>
      <c r="J40" s="202">
        <v>862.93399999999986</v>
      </c>
      <c r="K40" s="202">
        <v>4.2828121269992829</v>
      </c>
      <c r="L40" s="202">
        <v>8.4181666268799216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862.93399999999986</v>
      </c>
      <c r="S40" s="62">
        <f t="shared" si="3"/>
        <v>36.957841999999985</v>
      </c>
      <c r="T40" s="63">
        <f t="shared" si="4"/>
        <v>72.64322199999998</v>
      </c>
      <c r="U40" s="64" t="s">
        <v>311</v>
      </c>
      <c r="V40" s="65" t="s">
        <v>615</v>
      </c>
      <c r="W40" s="66" t="s">
        <v>181</v>
      </c>
      <c r="X40" s="67">
        <v>4870</v>
      </c>
      <c r="Y40" s="68">
        <v>4.25</v>
      </c>
      <c r="Z40" s="68">
        <v>8.14</v>
      </c>
      <c r="AA40" s="62">
        <f t="shared" si="5"/>
        <v>206.97500000000002</v>
      </c>
      <c r="AB40" s="63">
        <f t="shared" si="6"/>
        <v>396.41800000000001</v>
      </c>
      <c r="AC40" s="69">
        <v>4840</v>
      </c>
      <c r="AD40" s="70">
        <v>4.2</v>
      </c>
      <c r="AE40" s="70">
        <v>8</v>
      </c>
      <c r="AF40" s="62">
        <f t="shared" si="7"/>
        <v>203.28</v>
      </c>
      <c r="AG40" s="63">
        <f t="shared" si="8"/>
        <v>387.2</v>
      </c>
      <c r="AH40" s="89">
        <v>1720</v>
      </c>
      <c r="AI40" s="66">
        <v>4.03</v>
      </c>
      <c r="AJ40" s="66">
        <v>8.19</v>
      </c>
      <c r="AK40" s="62">
        <f t="shared" si="9"/>
        <v>69.316000000000003</v>
      </c>
      <c r="AL40" s="72">
        <f t="shared" si="10"/>
        <v>140.86799999999999</v>
      </c>
      <c r="AM40" s="73">
        <f t="shared" si="11"/>
        <v>28.934000000000196</v>
      </c>
      <c r="AN40" s="74">
        <f t="shared" si="18"/>
        <v>-7.170757999999978</v>
      </c>
      <c r="AO40" s="74">
        <f t="shared" si="18"/>
        <v>11.244222000000036</v>
      </c>
      <c r="AP40" s="75">
        <f t="shared" si="13"/>
        <v>3.716628152442078E-2</v>
      </c>
      <c r="AQ40" s="76">
        <f t="shared" si="14"/>
        <v>-78.238214352561954</v>
      </c>
      <c r="AR40" s="90">
        <f t="shared" si="15"/>
        <v>-1.0659999999998035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>
        <v>1720</v>
      </c>
      <c r="E41" s="62">
        <v>4.03</v>
      </c>
      <c r="F41" s="62">
        <v>8.19</v>
      </c>
      <c r="G41" s="62">
        <f t="shared" si="0"/>
        <v>69.316000000000003</v>
      </c>
      <c r="H41" s="63">
        <f t="shared" si="1"/>
        <v>140.86799999999999</v>
      </c>
      <c r="I41" s="202">
        <v>7154.7999999999993</v>
      </c>
      <c r="J41" s="202">
        <v>7369.4439999999995</v>
      </c>
      <c r="K41" s="202">
        <v>4.0157866047967783</v>
      </c>
      <c r="L41" s="202">
        <v>8.1016003242578414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7369.4439999999995</v>
      </c>
      <c r="S41" s="62">
        <f t="shared" si="3"/>
        <v>295.94114499999989</v>
      </c>
      <c r="T41" s="63">
        <f t="shared" si="4"/>
        <v>597.04289900000003</v>
      </c>
      <c r="U41" s="64"/>
      <c r="V41" s="65" t="s">
        <v>480</v>
      </c>
      <c r="W41" s="66" t="s">
        <v>260</v>
      </c>
      <c r="X41" s="67">
        <v>5495</v>
      </c>
      <c r="Y41" s="68">
        <v>4</v>
      </c>
      <c r="Z41" s="68">
        <v>8</v>
      </c>
      <c r="AA41" s="62">
        <f t="shared" si="5"/>
        <v>219.8</v>
      </c>
      <c r="AB41" s="63">
        <f t="shared" si="6"/>
        <v>439.6</v>
      </c>
      <c r="AC41" s="69">
        <v>5495</v>
      </c>
      <c r="AD41" s="70">
        <v>4</v>
      </c>
      <c r="AE41" s="70">
        <v>8</v>
      </c>
      <c r="AF41" s="62">
        <f t="shared" si="7"/>
        <v>219.8</v>
      </c>
      <c r="AG41" s="63">
        <f t="shared" si="8"/>
        <v>439.6</v>
      </c>
      <c r="AH41" s="89">
        <v>3695</v>
      </c>
      <c r="AI41" s="66">
        <v>4.0199999999999996</v>
      </c>
      <c r="AJ41" s="66">
        <v>8.1199999999999992</v>
      </c>
      <c r="AK41" s="62">
        <f t="shared" si="9"/>
        <v>148.53899999999996</v>
      </c>
      <c r="AL41" s="72">
        <f t="shared" si="10"/>
        <v>300.03399999999999</v>
      </c>
      <c r="AM41" s="73">
        <f t="shared" si="11"/>
        <v>-100.55600000000049</v>
      </c>
      <c r="AN41" s="74">
        <f t="shared" si="18"/>
        <v>-3.0818550000000471</v>
      </c>
      <c r="AO41" s="74">
        <f t="shared" si="18"/>
        <v>-1.7231010000000424</v>
      </c>
      <c r="AP41" s="75">
        <f t="shared" si="13"/>
        <v>-5.3807859527667994E-3</v>
      </c>
      <c r="AQ41" s="76">
        <f t="shared" si="14"/>
        <v>-1996.9850404389631</v>
      </c>
      <c r="AR41" s="90">
        <f t="shared" si="15"/>
        <v>-100.55600000000049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>
        <v>3695</v>
      </c>
      <c r="E42" s="62">
        <v>4.0199999999999996</v>
      </c>
      <c r="F42" s="62">
        <v>8.1199999999999992</v>
      </c>
      <c r="G42" s="62">
        <f t="shared" si="0"/>
        <v>148.53899999999996</v>
      </c>
      <c r="H42" s="63">
        <f t="shared" si="1"/>
        <v>300.03399999999999</v>
      </c>
      <c r="I42" s="202">
        <v>3133.7</v>
      </c>
      <c r="J42" s="202">
        <v>3227.7109999999998</v>
      </c>
      <c r="K42" s="202">
        <v>3.9607045983980607</v>
      </c>
      <c r="L42" s="202">
        <v>8.1199476656986942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3227.7109999999998</v>
      </c>
      <c r="S42" s="62">
        <f t="shared" si="3"/>
        <v>127.84009800000001</v>
      </c>
      <c r="T42" s="63">
        <f t="shared" si="4"/>
        <v>262.08844399999998</v>
      </c>
      <c r="U42" s="64" t="s">
        <v>311</v>
      </c>
      <c r="V42" s="65" t="s">
        <v>616</v>
      </c>
      <c r="W42" s="66" t="s">
        <v>188</v>
      </c>
      <c r="X42" s="67">
        <v>4870</v>
      </c>
      <c r="Y42" s="68">
        <v>4.1500000000000004</v>
      </c>
      <c r="Z42" s="68">
        <v>8.24</v>
      </c>
      <c r="AA42" s="62">
        <f t="shared" si="5"/>
        <v>202.10500000000002</v>
      </c>
      <c r="AB42" s="63">
        <f t="shared" si="6"/>
        <v>401.28800000000001</v>
      </c>
      <c r="AC42" s="69">
        <v>4890</v>
      </c>
      <c r="AD42" s="70">
        <v>4.0999999999999996</v>
      </c>
      <c r="AE42" s="70">
        <v>8.23</v>
      </c>
      <c r="AF42" s="62">
        <f t="shared" si="7"/>
        <v>200.48999999999998</v>
      </c>
      <c r="AG42" s="63">
        <f t="shared" si="8"/>
        <v>402.447</v>
      </c>
      <c r="AH42" s="89">
        <v>2054</v>
      </c>
      <c r="AI42" s="66">
        <v>3.99</v>
      </c>
      <c r="AJ42" s="66">
        <v>8.1199999999999992</v>
      </c>
      <c r="AK42" s="62">
        <f t="shared" si="9"/>
        <v>81.954600000000013</v>
      </c>
      <c r="AL42" s="72">
        <f t="shared" si="10"/>
        <v>166.78479999999999</v>
      </c>
      <c r="AM42" s="73">
        <f t="shared" si="11"/>
        <v>-21.289000000000669</v>
      </c>
      <c r="AN42" s="74">
        <f t="shared" si="18"/>
        <v>-6.0655019999999951</v>
      </c>
      <c r="AO42" s="74">
        <f t="shared" si="18"/>
        <v>-7.1093560000000195</v>
      </c>
      <c r="AP42" s="75">
        <f t="shared" si="13"/>
        <v>-3.3787877985089934E-2</v>
      </c>
      <c r="AQ42" s="76">
        <f t="shared" si="14"/>
        <v>-5043.8599522895547</v>
      </c>
      <c r="AR42" s="90">
        <f t="shared" si="15"/>
        <v>-1.2890000000006694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>
        <v>2054</v>
      </c>
      <c r="E43" s="62">
        <v>3.99</v>
      </c>
      <c r="F43" s="62">
        <v>8.1199999999999992</v>
      </c>
      <c r="G43" s="62">
        <f t="shared" si="0"/>
        <v>81.954600000000013</v>
      </c>
      <c r="H43" s="63">
        <f t="shared" si="1"/>
        <v>166.78479999999999</v>
      </c>
      <c r="I43" s="202">
        <v>8262.5</v>
      </c>
      <c r="J43" s="202">
        <v>8510.375</v>
      </c>
      <c r="K43" s="202">
        <v>3.6463237518910749</v>
      </c>
      <c r="L43" s="202">
        <v>8.0544133131618771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8510.375</v>
      </c>
      <c r="S43" s="62">
        <f t="shared" si="3"/>
        <v>310.31582500000007</v>
      </c>
      <c r="T43" s="63">
        <f t="shared" si="4"/>
        <v>685.46077700000012</v>
      </c>
      <c r="U43" s="64"/>
      <c r="V43" s="65" t="s">
        <v>480</v>
      </c>
      <c r="W43" s="66" t="s">
        <v>260</v>
      </c>
      <c r="X43" s="67">
        <v>4878</v>
      </c>
      <c r="Y43" s="68">
        <v>4.0999999999999996</v>
      </c>
      <c r="Z43" s="68">
        <v>8</v>
      </c>
      <c r="AA43" s="62">
        <f t="shared" si="5"/>
        <v>199.99799999999996</v>
      </c>
      <c r="AB43" s="63">
        <f t="shared" si="6"/>
        <v>390.24</v>
      </c>
      <c r="AC43" s="69">
        <v>4878</v>
      </c>
      <c r="AD43" s="70">
        <v>4.0999999999999996</v>
      </c>
      <c r="AE43" s="70">
        <v>8</v>
      </c>
      <c r="AF43" s="62">
        <f t="shared" si="7"/>
        <v>199.99799999999996</v>
      </c>
      <c r="AG43" s="63">
        <f t="shared" si="8"/>
        <v>390.24</v>
      </c>
      <c r="AH43" s="89">
        <v>5917</v>
      </c>
      <c r="AI43" s="66">
        <v>3.71</v>
      </c>
      <c r="AJ43" s="66">
        <v>8.07</v>
      </c>
      <c r="AK43" s="62">
        <f t="shared" si="9"/>
        <v>219.52070000000001</v>
      </c>
      <c r="AL43" s="72">
        <f t="shared" si="10"/>
        <v>477.50190000000003</v>
      </c>
      <c r="AM43" s="73">
        <f t="shared" si="11"/>
        <v>-230.625</v>
      </c>
      <c r="AN43" s="74">
        <f t="shared" si="18"/>
        <v>-27.248274999999865</v>
      </c>
      <c r="AO43" s="74">
        <f t="shared" si="18"/>
        <v>-15.496322999999904</v>
      </c>
      <c r="AP43" s="75">
        <f t="shared" si="13"/>
        <v>-4.2925891122715658E-2</v>
      </c>
      <c r="AQ43" s="76">
        <f t="shared" si="14"/>
        <v>-17734.693753769534</v>
      </c>
      <c r="AR43" s="90">
        <f t="shared" si="15"/>
        <v>-230.625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>
        <v>5917</v>
      </c>
      <c r="E44" s="62">
        <v>3.71</v>
      </c>
      <c r="F44" s="62">
        <v>8.07</v>
      </c>
      <c r="G44" s="62">
        <f t="shared" si="0"/>
        <v>219.52070000000001</v>
      </c>
      <c r="H44" s="63">
        <f t="shared" si="1"/>
        <v>477.50190000000003</v>
      </c>
      <c r="I44" s="202">
        <v>756.69999999999993</v>
      </c>
      <c r="J44" s="202">
        <v>779.40099999999995</v>
      </c>
      <c r="K44" s="202">
        <v>4.3364213030262988</v>
      </c>
      <c r="L44" s="202">
        <v>8.3912382714417859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779.40099999999995</v>
      </c>
      <c r="S44" s="62">
        <f t="shared" si="3"/>
        <v>33.798110999999999</v>
      </c>
      <c r="T44" s="63">
        <f t="shared" si="4"/>
        <v>65.401394999999994</v>
      </c>
      <c r="U44" s="64" t="s">
        <v>167</v>
      </c>
      <c r="V44" s="65" t="s">
        <v>180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>
        <v>6697</v>
      </c>
      <c r="AI44" s="66">
        <v>3.78</v>
      </c>
      <c r="AJ44" s="66">
        <v>8.11</v>
      </c>
      <c r="AK44" s="62">
        <f t="shared" si="9"/>
        <v>253.14660000000001</v>
      </c>
      <c r="AL44" s="72">
        <f t="shared" si="10"/>
        <v>543.12669999999991</v>
      </c>
      <c r="AM44" s="73">
        <f t="shared" si="11"/>
        <v>-0.59900000000016007</v>
      </c>
      <c r="AN44" s="74">
        <f t="shared" si="18"/>
        <v>0.17221100000000433</v>
      </c>
      <c r="AO44" s="74">
        <f t="shared" si="18"/>
        <v>-0.22340499999984331</v>
      </c>
      <c r="AP44" s="75">
        <f t="shared" si="13"/>
        <v>-5.1607111833640567E-4</v>
      </c>
      <c r="AQ44" s="76">
        <f t="shared" si="14"/>
        <v>15.845181718035207</v>
      </c>
      <c r="AR44" s="90">
        <f t="shared" si="15"/>
        <v>-0.59900000000016007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>
        <v>6697</v>
      </c>
      <c r="E45" s="62">
        <v>3.78</v>
      </c>
      <c r="F45" s="62">
        <v>8.11</v>
      </c>
      <c r="G45" s="62">
        <f t="shared" si="0"/>
        <v>253.14660000000001</v>
      </c>
      <c r="H45" s="63">
        <f t="shared" si="1"/>
        <v>543.12669999999991</v>
      </c>
      <c r="I45" s="202">
        <v>1926.3999999999996</v>
      </c>
      <c r="J45" s="202">
        <v>1984.1919999999998</v>
      </c>
      <c r="K45" s="202">
        <v>4.0005969684385381</v>
      </c>
      <c r="L45" s="202">
        <v>8.4214752906976766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1984.1919999999998</v>
      </c>
      <c r="S45" s="62">
        <f t="shared" si="3"/>
        <v>79.379525000000001</v>
      </c>
      <c r="T45" s="63">
        <f t="shared" si="4"/>
        <v>167.09823900000001</v>
      </c>
      <c r="U45" s="64" t="s">
        <v>311</v>
      </c>
      <c r="V45" s="65" t="s">
        <v>695</v>
      </c>
      <c r="W45" s="66" t="s">
        <v>260</v>
      </c>
      <c r="X45" s="67">
        <v>5200</v>
      </c>
      <c r="Y45" s="68">
        <v>3.95</v>
      </c>
      <c r="Z45" s="68">
        <v>8.51</v>
      </c>
      <c r="AA45" s="62">
        <f t="shared" si="5"/>
        <v>205.4</v>
      </c>
      <c r="AB45" s="63">
        <f t="shared" si="6"/>
        <v>442.52</v>
      </c>
      <c r="AC45" s="69">
        <v>5230</v>
      </c>
      <c r="AD45" s="70">
        <v>3.9</v>
      </c>
      <c r="AE45" s="70">
        <v>8.4499999999999993</v>
      </c>
      <c r="AF45" s="62">
        <f t="shared" si="7"/>
        <v>203.97</v>
      </c>
      <c r="AG45" s="63">
        <f t="shared" si="8"/>
        <v>441.93499999999995</v>
      </c>
      <c r="AH45" s="89">
        <v>3499</v>
      </c>
      <c r="AI45" s="66">
        <v>3.83</v>
      </c>
      <c r="AJ45" s="66">
        <v>8.18</v>
      </c>
      <c r="AK45" s="62">
        <f t="shared" si="9"/>
        <v>134.01169999999999</v>
      </c>
      <c r="AL45" s="72">
        <f t="shared" si="10"/>
        <v>286.21819999999997</v>
      </c>
      <c r="AM45" s="73">
        <f t="shared" si="11"/>
        <v>-47.808000000000902</v>
      </c>
      <c r="AN45" s="74">
        <f t="shared" si="18"/>
        <v>-5.4555750000000103</v>
      </c>
      <c r="AO45" s="74">
        <f t="shared" si="18"/>
        <v>-17.928260999999964</v>
      </c>
      <c r="AP45" s="75">
        <f t="shared" si="13"/>
        <v>-9.4871990156483135E-2</v>
      </c>
      <c r="AQ45" s="76">
        <f t="shared" si="14"/>
        <v>-7990.935909924563</v>
      </c>
      <c r="AR45" s="90">
        <f t="shared" si="15"/>
        <v>-17.808000000000902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>
        <v>3499</v>
      </c>
      <c r="E46" s="62">
        <v>3.83</v>
      </c>
      <c r="F46" s="62">
        <v>8.18</v>
      </c>
      <c r="G46" s="62">
        <f t="shared" si="0"/>
        <v>134.01169999999999</v>
      </c>
      <c r="H46" s="63">
        <f t="shared" si="1"/>
        <v>286.21819999999997</v>
      </c>
      <c r="I46" s="202">
        <v>10907.4</v>
      </c>
      <c r="J46" s="202">
        <v>11234.621999999999</v>
      </c>
      <c r="K46" s="202">
        <v>4.0330601243192694</v>
      </c>
      <c r="L46" s="202">
        <v>8.2171589929772448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11234.621999999999</v>
      </c>
      <c r="S46" s="62">
        <f t="shared" si="3"/>
        <v>453.09906000000001</v>
      </c>
      <c r="T46" s="63">
        <f t="shared" si="4"/>
        <v>923.16675199999986</v>
      </c>
      <c r="U46" s="64" t="s">
        <v>696</v>
      </c>
      <c r="V46" s="65" t="s">
        <v>697</v>
      </c>
      <c r="W46" s="66" t="s">
        <v>260</v>
      </c>
      <c r="X46" s="67">
        <v>10817</v>
      </c>
      <c r="Y46" s="68">
        <v>4.07</v>
      </c>
      <c r="Z46" s="68">
        <v>8.2200000000000006</v>
      </c>
      <c r="AA46" s="62">
        <f t="shared" si="5"/>
        <v>440.25189999999998</v>
      </c>
      <c r="AB46" s="63">
        <f t="shared" si="6"/>
        <v>889.15740000000005</v>
      </c>
      <c r="AC46" s="69">
        <v>10817</v>
      </c>
      <c r="AD46" s="70">
        <v>3.8389849311269306</v>
      </c>
      <c r="AE46" s="70">
        <v>8.0107700841268379</v>
      </c>
      <c r="AF46" s="62">
        <f t="shared" si="7"/>
        <v>415.26300000000009</v>
      </c>
      <c r="AG46" s="63">
        <f t="shared" si="8"/>
        <v>866.52500000000009</v>
      </c>
      <c r="AH46" s="89">
        <v>3918</v>
      </c>
      <c r="AI46" s="66">
        <v>3.96</v>
      </c>
      <c r="AJ46" s="66">
        <v>8.2100000000000009</v>
      </c>
      <c r="AK46" s="62">
        <f t="shared" si="9"/>
        <v>155.15279999999998</v>
      </c>
      <c r="AL46" s="72">
        <f t="shared" si="10"/>
        <v>321.6678</v>
      </c>
      <c r="AM46" s="73">
        <f t="shared" si="11"/>
        <v>-1.3780000000006112</v>
      </c>
      <c r="AN46" s="74">
        <f t="shared" si="18"/>
        <v>16.694959999999952</v>
      </c>
      <c r="AO46" s="74">
        <f t="shared" si="18"/>
        <v>21.192151999999794</v>
      </c>
      <c r="AP46" s="75">
        <f t="shared" si="13"/>
        <v>2.7528920408872112E-2</v>
      </c>
      <c r="AQ46" s="76">
        <f t="shared" si="14"/>
        <v>14369.332501907018</v>
      </c>
      <c r="AR46" s="90">
        <f t="shared" si="15"/>
        <v>-1.3780000000006112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>
        <v>3918</v>
      </c>
      <c r="E47" s="62">
        <v>3.96</v>
      </c>
      <c r="F47" s="62">
        <v>8.2100000000000009</v>
      </c>
      <c r="G47" s="62">
        <f t="shared" si="0"/>
        <v>155.15279999999998</v>
      </c>
      <c r="H47" s="63">
        <f t="shared" si="1"/>
        <v>321.6678</v>
      </c>
      <c r="I47" s="202">
        <v>1946.5999999999997</v>
      </c>
      <c r="J47" s="202">
        <v>2004.9979999999998</v>
      </c>
      <c r="K47" s="202">
        <v>4.1251875064214527</v>
      </c>
      <c r="L47" s="202">
        <v>8.3718843111065482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2004.9979999999998</v>
      </c>
      <c r="S47" s="62">
        <f t="shared" si="3"/>
        <v>82.709926999999993</v>
      </c>
      <c r="T47" s="63">
        <f t="shared" si="4"/>
        <v>167.85611300000005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5924</v>
      </c>
      <c r="AI47" s="66">
        <v>4.0199999999999996</v>
      </c>
      <c r="AJ47" s="66">
        <v>8.26</v>
      </c>
      <c r="AK47" s="62">
        <f t="shared" si="9"/>
        <v>238.14479999999995</v>
      </c>
      <c r="AL47" s="72">
        <f t="shared" si="10"/>
        <v>489.32239999999996</v>
      </c>
      <c r="AM47" s="73">
        <f t="shared" si="11"/>
        <v>-1.0020000000004075</v>
      </c>
      <c r="AN47" s="74">
        <f t="shared" si="18"/>
        <v>-0.28207299999996849</v>
      </c>
      <c r="AO47" s="74">
        <f t="shared" si="18"/>
        <v>0.20151300000009087</v>
      </c>
      <c r="AP47" s="75">
        <f t="shared" si="13"/>
        <v>-3.2151204528705328E-4</v>
      </c>
      <c r="AQ47" s="76">
        <f t="shared" si="14"/>
        <v>-75.193907439586354</v>
      </c>
      <c r="AR47" s="90">
        <f t="shared" si="15"/>
        <v>-1.0020000000004075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>
        <v>5924</v>
      </c>
      <c r="E48" s="62">
        <v>4.0199999999999996</v>
      </c>
      <c r="F48" s="62">
        <v>8.26</v>
      </c>
      <c r="G48" s="62">
        <f t="shared" si="0"/>
        <v>238.14479999999995</v>
      </c>
      <c r="H48" s="63">
        <f t="shared" si="1"/>
        <v>489.32239999999996</v>
      </c>
      <c r="I48" s="202">
        <v>740</v>
      </c>
      <c r="J48" s="202">
        <v>762.2</v>
      </c>
      <c r="K48" s="202">
        <v>4.6591351351351351</v>
      </c>
      <c r="L48" s="202">
        <v>8.5150810810810817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762.2</v>
      </c>
      <c r="S48" s="62">
        <f t="shared" si="3"/>
        <v>35.511928000000005</v>
      </c>
      <c r="T48" s="63">
        <f t="shared" si="4"/>
        <v>64.901948000000004</v>
      </c>
      <c r="U48" s="64" t="s">
        <v>311</v>
      </c>
      <c r="V48" s="65" t="s">
        <v>757</v>
      </c>
      <c r="W48" s="66" t="s">
        <v>260</v>
      </c>
      <c r="X48" s="67">
        <v>5190</v>
      </c>
      <c r="Y48" s="68">
        <v>4.25</v>
      </c>
      <c r="Z48" s="68">
        <v>8.3800000000000008</v>
      </c>
      <c r="AA48" s="62">
        <f t="shared" si="5"/>
        <v>220.57500000000002</v>
      </c>
      <c r="AB48" s="63">
        <f t="shared" si="6"/>
        <v>434.92200000000008</v>
      </c>
      <c r="AC48" s="69">
        <v>5240</v>
      </c>
      <c r="AD48" s="70">
        <v>4.2</v>
      </c>
      <c r="AE48" s="70">
        <v>8.3699999999999992</v>
      </c>
      <c r="AF48" s="62">
        <f t="shared" si="7"/>
        <v>220.08</v>
      </c>
      <c r="AG48" s="63">
        <f t="shared" si="8"/>
        <v>438.58799999999997</v>
      </c>
      <c r="AH48" s="89">
        <v>1497</v>
      </c>
      <c r="AI48" s="66">
        <v>4.09</v>
      </c>
      <c r="AJ48" s="66">
        <v>8.2899999999999991</v>
      </c>
      <c r="AK48" s="62">
        <f t="shared" si="9"/>
        <v>61.2273</v>
      </c>
      <c r="AL48" s="72">
        <f t="shared" si="10"/>
        <v>124.10129999999998</v>
      </c>
      <c r="AM48" s="73">
        <f t="shared" si="11"/>
        <v>-50.800000000000182</v>
      </c>
      <c r="AN48" s="74">
        <f t="shared" si="18"/>
        <v>-7.6505720000000821</v>
      </c>
      <c r="AO48" s="74">
        <f t="shared" si="18"/>
        <v>-8.4649519999999825</v>
      </c>
      <c r="AP48" s="75">
        <f t="shared" si="13"/>
        <v>-0.16049100624300233</v>
      </c>
      <c r="AQ48" s="76">
        <f t="shared" si="14"/>
        <v>-6211.5266094441249</v>
      </c>
      <c r="AR48" s="90">
        <f t="shared" si="15"/>
        <v>-0.8000000000001819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>
        <v>1497</v>
      </c>
      <c r="E49" s="62">
        <v>4.09</v>
      </c>
      <c r="F49" s="62">
        <v>8.2899999999999991</v>
      </c>
      <c r="G49" s="62">
        <f t="shared" si="0"/>
        <v>61.2273</v>
      </c>
      <c r="H49" s="63">
        <f t="shared" si="1"/>
        <v>124.10129999999998</v>
      </c>
      <c r="I49" s="202">
        <v>4463.3999999999996</v>
      </c>
      <c r="J49" s="202">
        <v>4597.3019999999997</v>
      </c>
      <c r="K49" s="202">
        <v>3.8621700945467587</v>
      </c>
      <c r="L49" s="202">
        <v>8.2209862436707439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4597.3019999999997</v>
      </c>
      <c r="S49" s="62">
        <f t="shared" si="3"/>
        <v>177.55562300000003</v>
      </c>
      <c r="T49" s="63">
        <f t="shared" si="4"/>
        <v>377.94356499999998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5857</v>
      </c>
      <c r="AI49" s="66">
        <v>3.93</v>
      </c>
      <c r="AJ49" s="66">
        <v>8.25</v>
      </c>
      <c r="AK49" s="62">
        <f t="shared" si="9"/>
        <v>230.18010000000001</v>
      </c>
      <c r="AL49" s="72">
        <f t="shared" si="10"/>
        <v>483.20250000000004</v>
      </c>
      <c r="AM49" s="73">
        <f t="shared" si="11"/>
        <v>237.30199999999968</v>
      </c>
      <c r="AN49" s="74">
        <f t="shared" si="18"/>
        <v>8.6028230000000292</v>
      </c>
      <c r="AO49" s="74">
        <f t="shared" si="18"/>
        <v>18.842364999999916</v>
      </c>
      <c r="AP49" s="75">
        <f t="shared" si="13"/>
        <v>4.9406351247447626E-2</v>
      </c>
      <c r="AQ49" s="76">
        <f t="shared" si="14"/>
        <v>9777.0570157766233</v>
      </c>
      <c r="AR49" s="90">
        <f t="shared" si="15"/>
        <v>237.30199999999968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>
        <v>5857</v>
      </c>
      <c r="E50" s="62">
        <v>3.93</v>
      </c>
      <c r="F50" s="62">
        <v>8.25</v>
      </c>
      <c r="G50" s="62">
        <f t="shared" si="0"/>
        <v>230.18010000000001</v>
      </c>
      <c r="H50" s="63">
        <f t="shared" si="1"/>
        <v>483.20250000000004</v>
      </c>
      <c r="I50" s="202">
        <v>3188.2999999999997</v>
      </c>
      <c r="J50" s="202">
        <v>3283.9489999999996</v>
      </c>
      <c r="K50" s="202">
        <v>4.1181162374933349</v>
      </c>
      <c r="L50" s="202">
        <v>8.0783897374776519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3283.9489999999996</v>
      </c>
      <c r="S50" s="62">
        <f t="shared" si="3"/>
        <v>135.23683699999998</v>
      </c>
      <c r="T50" s="63">
        <f t="shared" si="4"/>
        <v>265.29019899999997</v>
      </c>
      <c r="U50" s="64" t="s">
        <v>311</v>
      </c>
      <c r="V50" s="65" t="s">
        <v>839</v>
      </c>
      <c r="W50" s="66" t="s">
        <v>260</v>
      </c>
      <c r="X50" s="67">
        <v>5200</v>
      </c>
      <c r="Y50" s="68">
        <v>4.25</v>
      </c>
      <c r="Z50" s="68">
        <v>8.39</v>
      </c>
      <c r="AA50" s="62">
        <f t="shared" si="5"/>
        <v>221.00000000000003</v>
      </c>
      <c r="AB50" s="63">
        <f t="shared" si="6"/>
        <v>436.28000000000003</v>
      </c>
      <c r="AC50" s="69">
        <v>5190</v>
      </c>
      <c r="AD50" s="70">
        <v>4.05</v>
      </c>
      <c r="AE50" s="70">
        <v>8.09</v>
      </c>
      <c r="AF50" s="62">
        <f t="shared" si="7"/>
        <v>210.19499999999999</v>
      </c>
      <c r="AG50" s="63">
        <f t="shared" si="8"/>
        <v>419.87099999999998</v>
      </c>
      <c r="AH50" s="89">
        <v>3941</v>
      </c>
      <c r="AI50" s="66">
        <v>4</v>
      </c>
      <c r="AJ50" s="66">
        <v>8.19</v>
      </c>
      <c r="AK50" s="62">
        <f t="shared" si="9"/>
        <v>157.64000000000001</v>
      </c>
      <c r="AL50" s="72">
        <f t="shared" si="10"/>
        <v>322.7679</v>
      </c>
      <c r="AM50" s="73">
        <f t="shared" si="11"/>
        <v>9.9490000000005239</v>
      </c>
      <c r="AN50" s="74">
        <f t="shared" si="18"/>
        <v>-2.4180630000000463</v>
      </c>
      <c r="AO50" s="74">
        <f t="shared" si="18"/>
        <v>5.8537990000000377</v>
      </c>
      <c r="AP50" s="75">
        <f t="shared" si="13"/>
        <v>8.5780376633551193E-3</v>
      </c>
      <c r="AQ50" s="76">
        <f t="shared" si="14"/>
        <v>591.20271618211746</v>
      </c>
      <c r="AR50" s="90">
        <f t="shared" si="15"/>
        <v>-5.0999999999476131E-2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>
        <v>3941</v>
      </c>
      <c r="E51" s="62">
        <v>4</v>
      </c>
      <c r="F51" s="62">
        <v>8.19</v>
      </c>
      <c r="G51" s="62">
        <f t="shared" si="0"/>
        <v>157.64000000000001</v>
      </c>
      <c r="H51" s="63">
        <f t="shared" si="1"/>
        <v>322.7679</v>
      </c>
      <c r="I51" s="202">
        <v>1439.7</v>
      </c>
      <c r="J51" s="202">
        <v>1482.8910000000001</v>
      </c>
      <c r="K51" s="202">
        <v>4.2093838994234902</v>
      </c>
      <c r="L51" s="202">
        <v>8.5733277766201272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1482.8910000000001</v>
      </c>
      <c r="S51" s="62">
        <f t="shared" si="3"/>
        <v>62.420574999999992</v>
      </c>
      <c r="T51" s="63">
        <f t="shared" si="4"/>
        <v>127.13310599999997</v>
      </c>
      <c r="U51" s="64"/>
      <c r="V51" s="85" t="s">
        <v>480</v>
      </c>
      <c r="W51" s="66" t="s">
        <v>260</v>
      </c>
      <c r="X51" s="67">
        <v>5031</v>
      </c>
      <c r="Y51" s="68">
        <v>4.05</v>
      </c>
      <c r="Z51" s="68">
        <v>8</v>
      </c>
      <c r="AA51" s="62">
        <f t="shared" si="5"/>
        <v>203.75550000000001</v>
      </c>
      <c r="AB51" s="63">
        <f t="shared" si="6"/>
        <v>402.48</v>
      </c>
      <c r="AC51" s="69">
        <v>5031</v>
      </c>
      <c r="AD51" s="70">
        <v>4.05</v>
      </c>
      <c r="AE51" s="70">
        <v>8</v>
      </c>
      <c r="AF51" s="62">
        <f t="shared" si="7"/>
        <v>203.75550000000001</v>
      </c>
      <c r="AG51" s="63">
        <f t="shared" si="8"/>
        <v>402.48</v>
      </c>
      <c r="AH51" s="89">
        <v>5675</v>
      </c>
      <c r="AI51" s="66">
        <v>4.0599999999999996</v>
      </c>
      <c r="AJ51" s="66">
        <v>8.15</v>
      </c>
      <c r="AK51" s="62">
        <f t="shared" si="9"/>
        <v>230.40499999999997</v>
      </c>
      <c r="AL51" s="72">
        <f t="shared" si="10"/>
        <v>462.51249999999999</v>
      </c>
      <c r="AM51" s="73">
        <f t="shared" si="11"/>
        <v>-5282.1090000000004</v>
      </c>
      <c r="AN51" s="74">
        <f t="shared" si="18"/>
        <v>-214.09992499999998</v>
      </c>
      <c r="AO51" s="74">
        <f t="shared" si="18"/>
        <v>-415.09149400000007</v>
      </c>
      <c r="AP51" s="75">
        <f t="shared" si="13"/>
        <v>-3.3193310500786324</v>
      </c>
      <c r="AQ51" s="76">
        <f t="shared" si="14"/>
        <v>-227198.18924618082</v>
      </c>
      <c r="AR51" s="90">
        <f t="shared" si="15"/>
        <v>-5282.1090000000004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>
        <v>5675</v>
      </c>
      <c r="E52" s="62">
        <v>4.0599999999999996</v>
      </c>
      <c r="F52" s="62">
        <v>8.15</v>
      </c>
      <c r="G52" s="62">
        <f t="shared" si="0"/>
        <v>230.40499999999997</v>
      </c>
      <c r="H52" s="63">
        <f t="shared" si="1"/>
        <v>462.51249999999999</v>
      </c>
      <c r="I52" s="118">
        <v>5793.3</v>
      </c>
      <c r="J52" s="118">
        <v>5967.0990000000002</v>
      </c>
      <c r="K52" s="118">
        <v>4.1297602402775624</v>
      </c>
      <c r="L52" s="118">
        <v>8.0748105570227686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5967.0990000000002</v>
      </c>
      <c r="S52" s="62">
        <f t="shared" si="3"/>
        <v>246.42688200000001</v>
      </c>
      <c r="T52" s="63">
        <f t="shared" si="4"/>
        <v>481.83194000000009</v>
      </c>
      <c r="U52" s="64" t="s">
        <v>311</v>
      </c>
      <c r="V52" s="65" t="s">
        <v>840</v>
      </c>
      <c r="W52" s="66" t="s">
        <v>260</v>
      </c>
      <c r="X52" s="67">
        <v>5200</v>
      </c>
      <c r="Y52" s="68">
        <v>4.4000000000000004</v>
      </c>
      <c r="Z52" s="68">
        <v>8.23</v>
      </c>
      <c r="AA52" s="62">
        <f t="shared" si="5"/>
        <v>228.8</v>
      </c>
      <c r="AB52" s="63">
        <f t="shared" si="6"/>
        <v>427.96</v>
      </c>
      <c r="AC52" s="69">
        <v>5210</v>
      </c>
      <c r="AD52" s="70">
        <v>4.25</v>
      </c>
      <c r="AE52" s="70">
        <v>8.26</v>
      </c>
      <c r="AF52" s="62">
        <f t="shared" si="7"/>
        <v>221.42500000000001</v>
      </c>
      <c r="AG52" s="63">
        <f t="shared" si="8"/>
        <v>430.34599999999995</v>
      </c>
      <c r="AH52" s="89">
        <v>1261</v>
      </c>
      <c r="AI52" s="66">
        <v>4.13</v>
      </c>
      <c r="AJ52" s="66">
        <v>8.1999999999999993</v>
      </c>
      <c r="AK52" s="62">
        <f t="shared" si="9"/>
        <v>52.079299999999996</v>
      </c>
      <c r="AL52" s="72">
        <f t="shared" si="10"/>
        <v>103.40199999999999</v>
      </c>
      <c r="AM52" s="73">
        <f t="shared" si="11"/>
        <v>5171.0990000000002</v>
      </c>
      <c r="AN52" s="74">
        <f t="shared" si="18"/>
        <v>203.32758199999995</v>
      </c>
      <c r="AO52" s="74">
        <f t="shared" si="18"/>
        <v>410.59644000000009</v>
      </c>
      <c r="AP52" s="75">
        <f t="shared" si="13"/>
        <v>0.84300251978272622</v>
      </c>
      <c r="AQ52" s="76">
        <f t="shared" si="14"/>
        <v>220675.49917768821</v>
      </c>
      <c r="AR52" s="90">
        <f t="shared" si="15"/>
        <v>5181.0990000000002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>
        <v>1261</v>
      </c>
      <c r="E53" s="62">
        <v>4.13</v>
      </c>
      <c r="F53" s="62">
        <v>8.1999999999999993</v>
      </c>
      <c r="G53" s="62">
        <f t="shared" si="0"/>
        <v>52.079299999999996</v>
      </c>
      <c r="H53" s="63">
        <f t="shared" si="1"/>
        <v>103.40199999999999</v>
      </c>
      <c r="I53" s="118">
        <v>1493.3</v>
      </c>
      <c r="J53" s="118">
        <v>1538.0989999999999</v>
      </c>
      <c r="K53" s="118">
        <v>4.1140695104801441</v>
      </c>
      <c r="L53" s="118">
        <v>8.4418000401794693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1538.0989999999999</v>
      </c>
      <c r="S53" s="62">
        <f t="shared" si="3"/>
        <v>63.27846199999999</v>
      </c>
      <c r="T53" s="63">
        <f t="shared" si="4"/>
        <v>129.843242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2800</v>
      </c>
      <c r="AI53" s="66">
        <v>4.12</v>
      </c>
      <c r="AJ53" s="66">
        <v>8.33</v>
      </c>
      <c r="AK53" s="62">
        <f t="shared" si="9"/>
        <v>115.36</v>
      </c>
      <c r="AL53" s="72">
        <f t="shared" si="10"/>
        <v>233.24</v>
      </c>
      <c r="AM53" s="73">
        <f t="shared" si="11"/>
        <v>-0.90099999999983993</v>
      </c>
      <c r="AN53" s="74">
        <f t="shared" si="18"/>
        <v>-2.2380000000197242E-3</v>
      </c>
      <c r="AO53" s="74">
        <f t="shared" si="18"/>
        <v>5.2419999999813172E-3</v>
      </c>
      <c r="AP53" s="75">
        <f t="shared" si="13"/>
        <v>1.5554958027719107E-5</v>
      </c>
      <c r="AQ53" s="76">
        <f t="shared" si="14"/>
        <v>0.49450049412144903</v>
      </c>
      <c r="AR53" s="90">
        <f t="shared" si="15"/>
        <v>-0.90099999999983993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>
        <v>2800</v>
      </c>
      <c r="E54" s="62">
        <v>4.12</v>
      </c>
      <c r="F54" s="62">
        <v>8.33</v>
      </c>
      <c r="G54" s="62">
        <f t="shared" si="0"/>
        <v>115.36</v>
      </c>
      <c r="H54" s="63">
        <f t="shared" si="1"/>
        <v>233.24</v>
      </c>
      <c r="I54" s="118">
        <v>662.5999999999998</v>
      </c>
      <c r="J54" s="118">
        <v>682.47799999999984</v>
      </c>
      <c r="K54" s="118">
        <v>4.7891186236039855</v>
      </c>
      <c r="L54" s="118">
        <v>8.5831119830968881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682.47799999999984</v>
      </c>
      <c r="S54" s="62">
        <f t="shared" si="3"/>
        <v>32.684681000000005</v>
      </c>
      <c r="T54" s="63">
        <f t="shared" si="4"/>
        <v>58.57785099999996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>
        <v>3483</v>
      </c>
      <c r="AI54" s="66">
        <v>4.25</v>
      </c>
      <c r="AJ54" s="66">
        <v>8.3800000000000008</v>
      </c>
      <c r="AK54" s="62">
        <f t="shared" si="9"/>
        <v>148.0275</v>
      </c>
      <c r="AL54" s="72">
        <f t="shared" si="10"/>
        <v>291.87540000000007</v>
      </c>
      <c r="AM54" s="73">
        <f t="shared" si="11"/>
        <v>-0.52199999999993452</v>
      </c>
      <c r="AN54" s="74">
        <f t="shared" si="18"/>
        <v>1.7180999999993674E-2</v>
      </c>
      <c r="AO54" s="74">
        <f t="shared" si="18"/>
        <v>-5.7549000000108208E-2</v>
      </c>
      <c r="AP54" s="75">
        <f t="shared" si="13"/>
        <v>-4.4232829306242071E-4</v>
      </c>
      <c r="AQ54" s="76">
        <f t="shared" si="14"/>
        <v>-8.9793834892884679</v>
      </c>
      <c r="AR54" s="90">
        <f t="shared" si="15"/>
        <v>-0.52199999999993452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>
        <v>3483</v>
      </c>
      <c r="E55" s="62">
        <v>4.25</v>
      </c>
      <c r="F55" s="62">
        <v>8.3800000000000008</v>
      </c>
      <c r="G55" s="62">
        <f t="shared" si="0"/>
        <v>148.0275</v>
      </c>
      <c r="H55" s="63">
        <f t="shared" si="1"/>
        <v>291.87540000000007</v>
      </c>
      <c r="I55" s="118">
        <v>4015.5</v>
      </c>
      <c r="J55" s="118">
        <v>4135.9650000000001</v>
      </c>
      <c r="K55" s="118">
        <v>3.8007769891669785</v>
      </c>
      <c r="L55" s="118">
        <v>8.1365857302951046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2"/>
        <v>4135.9650000000001</v>
      </c>
      <c r="S55" s="62">
        <f t="shared" si="3"/>
        <v>157.19880600000002</v>
      </c>
      <c r="T55" s="63">
        <f t="shared" si="4"/>
        <v>336.5263379999999</v>
      </c>
      <c r="U55" s="64" t="s">
        <v>169</v>
      </c>
      <c r="V55" s="65" t="s">
        <v>841</v>
      </c>
      <c r="W55" s="66" t="s">
        <v>188</v>
      </c>
      <c r="X55" s="67">
        <v>5900</v>
      </c>
      <c r="Y55" s="68">
        <v>3.95</v>
      </c>
      <c r="Z55" s="68">
        <v>8.01</v>
      </c>
      <c r="AA55" s="62">
        <f t="shared" si="5"/>
        <v>233.05</v>
      </c>
      <c r="AB55" s="63">
        <f t="shared" si="6"/>
        <v>472.59000000000003</v>
      </c>
      <c r="AC55" s="69">
        <v>5930</v>
      </c>
      <c r="AD55" s="70">
        <v>3.9249578414839799</v>
      </c>
      <c r="AE55" s="70">
        <v>7.9449915682967962</v>
      </c>
      <c r="AF55" s="62">
        <f t="shared" si="7"/>
        <v>232.75000000000003</v>
      </c>
      <c r="AG55" s="63">
        <f t="shared" si="8"/>
        <v>471.13799999999998</v>
      </c>
      <c r="AH55" s="89">
        <v>1720</v>
      </c>
      <c r="AI55" s="66">
        <v>4.01</v>
      </c>
      <c r="AJ55" s="66">
        <v>8.25</v>
      </c>
      <c r="AK55" s="62">
        <f t="shared" si="9"/>
        <v>68.971999999999994</v>
      </c>
      <c r="AL55" s="72">
        <f t="shared" si="10"/>
        <v>141.9</v>
      </c>
      <c r="AM55" s="73">
        <f t="shared" si="11"/>
        <v>-31.034999999999854</v>
      </c>
      <c r="AN55" s="74">
        <f t="shared" si="18"/>
        <v>3.5043059999999997</v>
      </c>
      <c r="AO55" s="74">
        <f t="shared" si="18"/>
        <v>15.363738000000041</v>
      </c>
      <c r="AP55" s="75">
        <f t="shared" si="13"/>
        <v>3.821568382589817E-2</v>
      </c>
      <c r="AQ55" s="76">
        <f t="shared" si="14"/>
        <v>6285.2358407874854</v>
      </c>
      <c r="AR55" s="90">
        <f t="shared" si="15"/>
        <v>-1.0349999999998545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>
        <v>1720</v>
      </c>
      <c r="E56" s="62">
        <v>4.01</v>
      </c>
      <c r="F56" s="62">
        <v>8.25</v>
      </c>
      <c r="G56" s="62">
        <f t="shared" si="0"/>
        <v>68.971999999999994</v>
      </c>
      <c r="H56" s="63">
        <f t="shared" si="1"/>
        <v>141.9</v>
      </c>
      <c r="I56" s="118">
        <v>738.40000000000009</v>
      </c>
      <c r="J56" s="118">
        <v>760.55200000000013</v>
      </c>
      <c r="K56" s="118">
        <v>4.8394772481040089</v>
      </c>
      <c r="L56" s="118">
        <v>8.537296858071505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760.55200000000013</v>
      </c>
      <c r="S56" s="62">
        <f t="shared" si="3"/>
        <v>36.806741000000009</v>
      </c>
      <c r="T56" s="63">
        <f t="shared" si="4"/>
        <v>64.930582000000001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>
        <v>2482</v>
      </c>
      <c r="AI56" s="66">
        <v>4.26</v>
      </c>
      <c r="AJ56" s="66">
        <v>8.34</v>
      </c>
      <c r="AK56" s="62">
        <f t="shared" si="9"/>
        <v>105.7332</v>
      </c>
      <c r="AL56" s="72">
        <f t="shared" si="10"/>
        <v>206.99880000000002</v>
      </c>
      <c r="AM56" s="73">
        <f t="shared" si="11"/>
        <v>-1.4479999999998654</v>
      </c>
      <c r="AN56" s="74">
        <f t="shared" si="18"/>
        <v>4.5541000000000054E-2</v>
      </c>
      <c r="AO56" s="74">
        <f t="shared" si="18"/>
        <v>-0.1682180000000244</v>
      </c>
      <c r="AP56" s="75">
        <f t="shared" si="13"/>
        <v>-1.2058209945235571E-3</v>
      </c>
      <c r="AQ56" s="76">
        <f t="shared" si="14"/>
        <v>-28.495860740634477</v>
      </c>
      <c r="AR56" s="90">
        <f t="shared" si="15"/>
        <v>-1.4479999999998654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>
        <v>2482</v>
      </c>
      <c r="E57" s="62">
        <v>4.26</v>
      </c>
      <c r="F57" s="62">
        <v>8.34</v>
      </c>
      <c r="G57" s="62">
        <f t="shared" si="0"/>
        <v>105.7332</v>
      </c>
      <c r="H57" s="63">
        <f t="shared" si="1"/>
        <v>206.99880000000002</v>
      </c>
      <c r="I57" s="118">
        <v>5673.9999999999982</v>
      </c>
      <c r="J57" s="118">
        <v>5844.2199999999984</v>
      </c>
      <c r="K57" s="118">
        <v>3.3921060979908346</v>
      </c>
      <c r="L57" s="118">
        <v>8.0927247091998602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5844.2199999999984</v>
      </c>
      <c r="S57" s="62">
        <f t="shared" si="3"/>
        <v>198.24214299999988</v>
      </c>
      <c r="T57" s="63">
        <f t="shared" si="4"/>
        <v>472.95663599999989</v>
      </c>
      <c r="U57" s="64" t="s">
        <v>169</v>
      </c>
      <c r="V57" s="65" t="s">
        <v>842</v>
      </c>
      <c r="W57" s="66" t="s">
        <v>843</v>
      </c>
      <c r="X57" s="67">
        <v>8190</v>
      </c>
      <c r="Y57" s="68">
        <v>3.96</v>
      </c>
      <c r="Z57" s="68">
        <v>8.23</v>
      </c>
      <c r="AA57" s="62">
        <f t="shared" si="5"/>
        <v>324.32399999999996</v>
      </c>
      <c r="AB57" s="63">
        <f t="shared" si="6"/>
        <v>674.03700000000003</v>
      </c>
      <c r="AC57" s="69">
        <v>8220</v>
      </c>
      <c r="AD57" s="70">
        <v>3.9214111922141122</v>
      </c>
      <c r="AE57" s="70">
        <v>8.086569343065694</v>
      </c>
      <c r="AF57" s="62">
        <f t="shared" si="7"/>
        <v>322.34000000000003</v>
      </c>
      <c r="AG57" s="63">
        <f t="shared" si="8"/>
        <v>664.71600000000012</v>
      </c>
      <c r="AH57" s="89">
        <v>138</v>
      </c>
      <c r="AI57" s="66">
        <v>3.65</v>
      </c>
      <c r="AJ57" s="66">
        <v>8.16</v>
      </c>
      <c r="AK57" s="62">
        <f t="shared" si="9"/>
        <v>5.0369999999999999</v>
      </c>
      <c r="AL57" s="72">
        <f t="shared" si="10"/>
        <v>11.260800000000001</v>
      </c>
      <c r="AM57" s="73">
        <f t="shared" si="11"/>
        <v>-31.780000000002474</v>
      </c>
      <c r="AN57" s="74">
        <f t="shared" si="18"/>
        <v>-23.401657000000135</v>
      </c>
      <c r="AO57" s="74">
        <f t="shared" si="18"/>
        <v>3.97863599999984</v>
      </c>
      <c r="AP57" s="75">
        <f t="shared" si="13"/>
        <v>-2.893780740921208E-2</v>
      </c>
      <c r="AQ57" s="76">
        <f t="shared" si="14"/>
        <v>-10053.691766640562</v>
      </c>
      <c r="AR57" s="90">
        <f t="shared" si="15"/>
        <v>-1.7800000000024738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>
        <v>138</v>
      </c>
      <c r="E58" s="62">
        <v>3.65</v>
      </c>
      <c r="F58" s="62">
        <v>8.16</v>
      </c>
      <c r="G58" s="62">
        <f t="shared" si="0"/>
        <v>5.0369999999999999</v>
      </c>
      <c r="H58" s="63">
        <f t="shared" si="1"/>
        <v>11.260800000000001</v>
      </c>
      <c r="I58" s="118">
        <v>706.1</v>
      </c>
      <c r="J58" s="118">
        <v>727.28300000000002</v>
      </c>
      <c r="K58" s="118">
        <v>4.7405183401784452</v>
      </c>
      <c r="L58" s="118">
        <v>8.439442005381677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727.28300000000002</v>
      </c>
      <c r="S58" s="62">
        <f t="shared" si="3"/>
        <v>34.476984000000002</v>
      </c>
      <c r="T58" s="63">
        <f t="shared" si="4"/>
        <v>61.378627000000023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>
        <v>867</v>
      </c>
      <c r="AI58" s="66">
        <v>4.57</v>
      </c>
      <c r="AJ58" s="66">
        <v>8.4</v>
      </c>
      <c r="AK58" s="62">
        <f t="shared" si="9"/>
        <v>39.621900000000004</v>
      </c>
      <c r="AL58" s="72">
        <f t="shared" si="10"/>
        <v>72.828000000000003</v>
      </c>
      <c r="AM58" s="73">
        <f t="shared" si="11"/>
        <v>-1.7169999999999845</v>
      </c>
      <c r="AN58" s="74">
        <f t="shared" si="18"/>
        <v>-0.10791600000000301</v>
      </c>
      <c r="AO58" s="74">
        <f t="shared" si="18"/>
        <v>-0.18857299999997679</v>
      </c>
      <c r="AP58" s="75">
        <f t="shared" si="13"/>
        <v>-3.0930792356013434E-3</v>
      </c>
      <c r="AQ58" s="76">
        <f t="shared" si="14"/>
        <v>-108.33308500684967</v>
      </c>
      <c r="AR58" s="90">
        <f t="shared" si="15"/>
        <v>-1.7169999999999845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>
        <v>867</v>
      </c>
      <c r="E59" s="62">
        <v>4.57</v>
      </c>
      <c r="F59" s="62">
        <v>8.4</v>
      </c>
      <c r="G59" s="62">
        <f t="shared" si="0"/>
        <v>39.621900000000004</v>
      </c>
      <c r="H59" s="63">
        <f t="shared" si="1"/>
        <v>72.828000000000003</v>
      </c>
      <c r="I59" s="118">
        <v>10101.700000000004</v>
      </c>
      <c r="J59" s="118">
        <v>10404.751000000006</v>
      </c>
      <c r="K59" s="118">
        <v>3.8350782541552415</v>
      </c>
      <c r="L59" s="118">
        <v>8.1379470782145589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10404.751000000006</v>
      </c>
      <c r="S59" s="62">
        <f t="shared" si="3"/>
        <v>399.03034300000024</v>
      </c>
      <c r="T59" s="63">
        <f t="shared" si="4"/>
        <v>846.73313000000064</v>
      </c>
      <c r="U59" s="64" t="s">
        <v>174</v>
      </c>
      <c r="V59" s="65" t="s">
        <v>907</v>
      </c>
      <c r="W59" s="66" t="s">
        <v>181</v>
      </c>
      <c r="X59" s="67">
        <v>3650</v>
      </c>
      <c r="Y59" s="68">
        <v>4.2</v>
      </c>
      <c r="Z59" s="68">
        <v>8.19</v>
      </c>
      <c r="AA59" s="62">
        <f t="shared" si="5"/>
        <v>153.30000000000001</v>
      </c>
      <c r="AB59" s="63">
        <f t="shared" si="6"/>
        <v>298.935</v>
      </c>
      <c r="AC59" s="69">
        <v>3610</v>
      </c>
      <c r="AD59" s="70">
        <v>4.1500000000000004</v>
      </c>
      <c r="AE59" s="70">
        <v>7.86</v>
      </c>
      <c r="AF59" s="62">
        <f t="shared" si="7"/>
        <v>149.815</v>
      </c>
      <c r="AG59" s="63">
        <f t="shared" si="8"/>
        <v>283.74600000000004</v>
      </c>
      <c r="AH59" s="89">
        <v>7622</v>
      </c>
      <c r="AI59" s="66">
        <v>3.9</v>
      </c>
      <c r="AJ59" s="66">
        <v>8.16</v>
      </c>
      <c r="AK59" s="62">
        <f t="shared" si="9"/>
        <v>297.25799999999998</v>
      </c>
      <c r="AL59" s="72">
        <f t="shared" si="10"/>
        <v>621.95519999999999</v>
      </c>
      <c r="AM59" s="73">
        <f t="shared" si="11"/>
        <v>39.751000000005661</v>
      </c>
      <c r="AN59" s="74">
        <f t="shared" si="18"/>
        <v>-8.4207569999997531</v>
      </c>
      <c r="AO59" s="74">
        <f t="shared" si="18"/>
        <v>13.859930000000645</v>
      </c>
      <c r="AP59" s="75">
        <f t="shared" si="13"/>
        <v>4.366136203128897E-3</v>
      </c>
      <c r="AQ59" s="76">
        <f t="shared" si="14"/>
        <v>104.47784277886467</v>
      </c>
      <c r="AR59" s="90">
        <f t="shared" si="15"/>
        <v>-0.2489999999943393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>
        <v>7622</v>
      </c>
      <c r="E60" s="62">
        <v>3.9</v>
      </c>
      <c r="F60" s="62">
        <v>8.16</v>
      </c>
      <c r="G60" s="62">
        <f t="shared" si="0"/>
        <v>297.25799999999998</v>
      </c>
      <c r="H60" s="63">
        <f t="shared" si="1"/>
        <v>621.95519999999999</v>
      </c>
      <c r="I60" s="118">
        <v>593.9</v>
      </c>
      <c r="J60" s="118">
        <v>611.71699999999998</v>
      </c>
      <c r="K60" s="118">
        <v>4.8232867486108777</v>
      </c>
      <c r="L60" s="118">
        <v>8.6741033844081503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2"/>
        <v>611.71699999999998</v>
      </c>
      <c r="S60" s="62">
        <f t="shared" si="3"/>
        <v>29.504865000000002</v>
      </c>
      <c r="T60" s="63">
        <f t="shared" si="4"/>
        <v>53.06096500000001</v>
      </c>
      <c r="U60" s="64" t="s">
        <v>169</v>
      </c>
      <c r="V60" s="65" t="s">
        <v>930</v>
      </c>
      <c r="W60" s="66" t="s">
        <v>181</v>
      </c>
      <c r="X60" s="67">
        <v>5900</v>
      </c>
      <c r="Y60" s="68">
        <v>4.1500000000000004</v>
      </c>
      <c r="Z60" s="68">
        <v>8.43</v>
      </c>
      <c r="AA60" s="62">
        <f t="shared" si="5"/>
        <v>244.85000000000002</v>
      </c>
      <c r="AB60" s="63">
        <f t="shared" si="6"/>
        <v>497.37</v>
      </c>
      <c r="AC60" s="69">
        <v>5940</v>
      </c>
      <c r="AD60" s="70">
        <v>4.0500000000000007</v>
      </c>
      <c r="AE60" s="70">
        <v>8.15</v>
      </c>
      <c r="AF60" s="62">
        <f t="shared" si="7"/>
        <v>240.57000000000005</v>
      </c>
      <c r="AG60" s="63">
        <f t="shared" si="8"/>
        <v>484.11</v>
      </c>
      <c r="AH60" s="89">
        <v>2334</v>
      </c>
      <c r="AI60" s="66">
        <v>3.97</v>
      </c>
      <c r="AJ60" s="66">
        <v>8.1999999999999993</v>
      </c>
      <c r="AK60" s="62">
        <f t="shared" si="9"/>
        <v>92.659800000000004</v>
      </c>
      <c r="AL60" s="72">
        <f t="shared" si="10"/>
        <v>191.38799999999998</v>
      </c>
      <c r="AM60" s="73">
        <f t="shared" si="11"/>
        <v>-40.282999999999447</v>
      </c>
      <c r="AN60" s="74">
        <f t="shared" si="18"/>
        <v>-6.4669350000000776</v>
      </c>
      <c r="AO60" s="74">
        <f t="shared" si="18"/>
        <v>-0.48183499999998958</v>
      </c>
      <c r="AP60" s="75">
        <f t="shared" si="13"/>
        <v>-8.416036028463672E-2</v>
      </c>
      <c r="AQ60" s="76">
        <f t="shared" si="14"/>
        <v>-3251.8780360777564</v>
      </c>
      <c r="AR60" s="90">
        <f t="shared" si="15"/>
        <v>-0.28299999999944703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>
        <v>2334</v>
      </c>
      <c r="E61" s="62">
        <v>3.97</v>
      </c>
      <c r="F61" s="62">
        <v>8.1999999999999993</v>
      </c>
      <c r="G61" s="62">
        <f t="shared" si="0"/>
        <v>92.659800000000004</v>
      </c>
      <c r="H61" s="63">
        <f t="shared" si="1"/>
        <v>191.38799999999998</v>
      </c>
      <c r="I61" s="118">
        <v>1148.5</v>
      </c>
      <c r="J61" s="118">
        <v>1182.9549999999999</v>
      </c>
      <c r="K61" s="118">
        <v>4.2342446669569007</v>
      </c>
      <c r="L61" s="118">
        <v>8.4415150195907707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1182.9549999999999</v>
      </c>
      <c r="S61" s="62">
        <f t="shared" si="3"/>
        <v>50.089209000000004</v>
      </c>
      <c r="T61" s="63">
        <f t="shared" si="4"/>
        <v>99.859323999999987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>
        <v>3518</v>
      </c>
      <c r="AI61" s="66">
        <v>4.0599999999999996</v>
      </c>
      <c r="AJ61" s="66">
        <v>8.2799999999999994</v>
      </c>
      <c r="AK61" s="62">
        <f t="shared" si="9"/>
        <v>142.83079999999998</v>
      </c>
      <c r="AL61" s="72">
        <f t="shared" si="10"/>
        <v>291.29039999999998</v>
      </c>
      <c r="AM61" s="73">
        <f t="shared" si="11"/>
        <v>-1.0450000000000728</v>
      </c>
      <c r="AN61" s="74">
        <f t="shared" si="18"/>
        <v>-8.1790999999981295E-2</v>
      </c>
      <c r="AO61" s="74">
        <f t="shared" si="18"/>
        <v>-4.3076000000041859E-2</v>
      </c>
      <c r="AP61" s="75">
        <f t="shared" si="13"/>
        <v>-8.3273238825232892E-4</v>
      </c>
      <c r="AQ61" s="76">
        <f t="shared" si="14"/>
        <v>-52.204116020137853</v>
      </c>
      <c r="AR61" s="90">
        <f t="shared" si="15"/>
        <v>-1.0450000000000728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>
        <v>3518</v>
      </c>
      <c r="E62" s="62">
        <v>4.0599999999999996</v>
      </c>
      <c r="F62" s="62">
        <v>8.2799999999999994</v>
      </c>
      <c r="G62" s="62">
        <f t="shared" si="0"/>
        <v>142.83079999999998</v>
      </c>
      <c r="H62" s="63">
        <f t="shared" si="1"/>
        <v>291.29039999999998</v>
      </c>
      <c r="I62" s="118">
        <v>2459.1</v>
      </c>
      <c r="J62" s="118">
        <v>2532.873</v>
      </c>
      <c r="K62" s="118">
        <v>4.2151234191370817</v>
      </c>
      <c r="L62" s="118">
        <v>8.1904558578341646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2532.873</v>
      </c>
      <c r="S62" s="62">
        <f t="shared" si="3"/>
        <v>106.76372299999998</v>
      </c>
      <c r="T62" s="63">
        <f t="shared" si="4"/>
        <v>207.45384499999994</v>
      </c>
      <c r="U62" s="64" t="s">
        <v>169</v>
      </c>
      <c r="V62" s="65" t="s">
        <v>931</v>
      </c>
      <c r="W62" s="66" t="s">
        <v>181</v>
      </c>
      <c r="X62" s="67">
        <v>5900</v>
      </c>
      <c r="Y62" s="68">
        <v>4.25</v>
      </c>
      <c r="Z62" s="68">
        <v>8.14</v>
      </c>
      <c r="AA62" s="62">
        <f t="shared" si="5"/>
        <v>250.75000000000003</v>
      </c>
      <c r="AB62" s="63">
        <f t="shared" si="6"/>
        <v>480.26</v>
      </c>
      <c r="AC62" s="221">
        <v>5900</v>
      </c>
      <c r="AD62" s="222">
        <v>4.25</v>
      </c>
      <c r="AE62" s="222">
        <v>8.14</v>
      </c>
      <c r="AF62" s="62">
        <f t="shared" si="7"/>
        <v>250.75000000000003</v>
      </c>
      <c r="AG62" s="63">
        <f t="shared" si="8"/>
        <v>480.26</v>
      </c>
      <c r="AH62" s="89">
        <v>258</v>
      </c>
      <c r="AI62" s="66">
        <v>4.12</v>
      </c>
      <c r="AJ62" s="66">
        <v>8.23</v>
      </c>
      <c r="AK62" s="62">
        <f t="shared" si="9"/>
        <v>10.6296</v>
      </c>
      <c r="AL62" s="72">
        <f t="shared" si="10"/>
        <v>21.2334</v>
      </c>
      <c r="AM62" s="73">
        <f t="shared" si="11"/>
        <v>-107.12700000000041</v>
      </c>
      <c r="AN62" s="74">
        <f t="shared" si="18"/>
        <v>-11.785077000000047</v>
      </c>
      <c r="AO62" s="74">
        <f t="shared" si="18"/>
        <v>-2.7491550000000693</v>
      </c>
      <c r="AP62" s="75">
        <f t="shared" si="13"/>
        <v>-4.6255313133860547E-2</v>
      </c>
      <c r="AQ62" s="76">
        <f t="shared" si="14"/>
        <v>-6486.4605087496038</v>
      </c>
      <c r="AR62" s="90">
        <f t="shared" si="15"/>
        <v>-107.12700000000041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>
        <v>258</v>
      </c>
      <c r="E63" s="62">
        <v>4.12</v>
      </c>
      <c r="F63" s="62">
        <v>8.23</v>
      </c>
      <c r="G63" s="62">
        <f t="shared" si="0"/>
        <v>10.6296</v>
      </c>
      <c r="H63" s="63">
        <f t="shared" si="1"/>
        <v>21.2334</v>
      </c>
      <c r="I63" s="118">
        <v>3695.2000000000003</v>
      </c>
      <c r="J63" s="118">
        <v>3806.0560000000005</v>
      </c>
      <c r="K63" s="118">
        <v>4.351829400303096</v>
      </c>
      <c r="L63" s="118">
        <v>8.2911615068196589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3806.0560000000005</v>
      </c>
      <c r="S63" s="62">
        <f t="shared" si="3"/>
        <v>165.63306400000002</v>
      </c>
      <c r="T63" s="63">
        <f t="shared" si="4"/>
        <v>315.56625000000008</v>
      </c>
      <c r="U63" s="64" t="s">
        <v>167</v>
      </c>
      <c r="V63" s="65" t="s">
        <v>167</v>
      </c>
      <c r="W63" s="66" t="s">
        <v>167</v>
      </c>
      <c r="X63" s="67">
        <v>0</v>
      </c>
      <c r="Y63" s="68">
        <v>0</v>
      </c>
      <c r="Z63" s="68">
        <v>0</v>
      </c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>
        <v>4065</v>
      </c>
      <c r="AI63" s="66">
        <v>4.34</v>
      </c>
      <c r="AJ63" s="66">
        <v>8.2899999999999991</v>
      </c>
      <c r="AK63" s="62">
        <f t="shared" si="9"/>
        <v>176.42099999999999</v>
      </c>
      <c r="AL63" s="72">
        <f t="shared" si="10"/>
        <v>336.98849999999993</v>
      </c>
      <c r="AM63" s="73">
        <f t="shared" si="11"/>
        <v>-0.94399999999950523</v>
      </c>
      <c r="AN63" s="74">
        <f t="shared" si="18"/>
        <v>-0.15833599999996295</v>
      </c>
      <c r="AO63" s="74">
        <f t="shared" si="18"/>
        <v>-0.18884999999983165</v>
      </c>
      <c r="AP63" s="75">
        <f t="shared" si="13"/>
        <v>-7.2150144420154874E-4</v>
      </c>
      <c r="AQ63" s="76">
        <f t="shared" si="14"/>
        <v>-132.64449503157243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181029.50399999999</v>
      </c>
      <c r="R66" s="83">
        <f>SUM(R4:R65)</f>
        <v>181029.50399999999</v>
      </c>
      <c r="S66" s="83">
        <f t="shared" ref="S66:T66" si="19">SUM(S4:S65)</f>
        <v>7174.1520859999991</v>
      </c>
      <c r="T66" s="83">
        <f t="shared" si="19"/>
        <v>14790.080132999999</v>
      </c>
      <c r="AH66" s="90"/>
      <c r="AI66" s="77"/>
      <c r="AJ66" s="77"/>
      <c r="AM66" s="83">
        <f>-SUM(AM4:AM65)</f>
        <v>930.49599999999452</v>
      </c>
      <c r="AN66" s="83">
        <f>-SUM(AN4:AN65)</f>
        <v>117.24991400000017</v>
      </c>
      <c r="AO66" s="83">
        <f>-SUM(AO4:AO65)</f>
        <v>-68.425033000000852</v>
      </c>
      <c r="AQ66" s="126">
        <f>-SUM(AQ4:AQ65)</f>
        <v>35849.711513719572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6" priority="2" operator="lessThan">
      <formula>0.1</formula>
    </cfRule>
    <cfRule type="cellIs" dxfId="105" priority="3" operator="greaterThan">
      <formula>0.1</formula>
    </cfRule>
  </conditionalFormatting>
  <conditionalFormatting sqref="AP1:AQ1">
    <cfRule type="cellIs" dxfId="104" priority="1" operator="lessThan">
      <formula>1</formula>
    </cfRule>
  </conditionalFormatting>
  <conditionalFormatting sqref="AQ4:AQ65">
    <cfRule type="cellIs" dxfId="103" priority="4" operator="lessThan">
      <formula>0</formula>
    </cfRule>
    <cfRule type="cellIs" dxfId="102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O65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2.75" x14ac:dyDescent="0.25"/>
  <cols>
    <col min="1" max="1" width="11.7109375" style="129" customWidth="1"/>
    <col min="2" max="2" width="4.7109375" style="129" customWidth="1"/>
    <col min="3" max="6" width="9.28515625" style="129" bestFit="1" customWidth="1"/>
    <col min="7" max="7" width="8.7109375" style="129"/>
    <col min="8" max="9" width="9.28515625" style="129" bestFit="1" customWidth="1"/>
    <col min="10" max="10" width="10.28515625" style="129" bestFit="1" customWidth="1"/>
    <col min="11" max="15" width="9.28515625" style="129" bestFit="1" customWidth="1"/>
    <col min="16" max="16384" width="8.7109375" style="129"/>
  </cols>
  <sheetData>
    <row r="1" spans="1:15" ht="14.65" customHeight="1" x14ac:dyDescent="0.25">
      <c r="A1" s="261" t="s">
        <v>64</v>
      </c>
      <c r="B1" s="261" t="s">
        <v>65</v>
      </c>
      <c r="C1" s="261" t="s">
        <v>105</v>
      </c>
      <c r="D1" s="261"/>
      <c r="E1" s="261"/>
      <c r="F1" s="261"/>
      <c r="G1" s="261"/>
      <c r="H1" s="261"/>
      <c r="I1" s="261" t="s">
        <v>106</v>
      </c>
      <c r="J1" s="261"/>
      <c r="K1" s="261"/>
      <c r="L1" s="261"/>
      <c r="M1" s="261"/>
      <c r="N1" s="261"/>
      <c r="O1" s="261"/>
    </row>
    <row r="2" spans="1:15" x14ac:dyDescent="0.25">
      <c r="A2" s="261"/>
      <c r="B2" s="261"/>
      <c r="C2" s="130" t="s">
        <v>17</v>
      </c>
      <c r="D2" s="130" t="s">
        <v>18</v>
      </c>
      <c r="E2" s="130" t="s">
        <v>19</v>
      </c>
      <c r="F2" s="130" t="s">
        <v>20</v>
      </c>
      <c r="G2" s="130" t="s">
        <v>104</v>
      </c>
      <c r="H2" s="130" t="s">
        <v>21</v>
      </c>
      <c r="I2" s="130" t="s">
        <v>24</v>
      </c>
      <c r="J2" s="130" t="s">
        <v>25</v>
      </c>
      <c r="K2" s="130" t="s">
        <v>27</v>
      </c>
      <c r="L2" s="130" t="s">
        <v>28</v>
      </c>
      <c r="M2" s="130" t="s">
        <v>29</v>
      </c>
      <c r="N2" s="130" t="s">
        <v>30</v>
      </c>
      <c r="O2" s="130" t="s">
        <v>31</v>
      </c>
    </row>
    <row r="3" spans="1:15" x14ac:dyDescent="0.25">
      <c r="A3" s="131">
        <f>Manjhaul!B4</f>
        <v>46204</v>
      </c>
      <c r="B3" s="132" t="str">
        <f>Manjhaul!C4</f>
        <v>M</v>
      </c>
      <c r="C3" s="133">
        <f>Manjhaul!AQ4</f>
        <v>37.686645751957407</v>
      </c>
      <c r="D3" s="133">
        <f>'Sahibpur Kamal'!AQ4</f>
        <v>1934.4128929662315</v>
      </c>
      <c r="E3" s="133">
        <f>Dalsingsarai!AQ4</f>
        <v>290.7093430248616</v>
      </c>
      <c r="F3" s="133">
        <f>Musrigharari!AQ4</f>
        <v>-8245.021407499873</v>
      </c>
      <c r="G3" s="133"/>
      <c r="H3" s="133">
        <f>Buxar!AQ4</f>
        <v>432.9925914675776</v>
      </c>
      <c r="I3" s="133">
        <f>Laldiyara!AQ4</f>
        <v>25639.228581335428</v>
      </c>
      <c r="J3" s="133">
        <f>Asarganj!AQ4</f>
        <v>-4068.8079810492432</v>
      </c>
      <c r="K3" s="133">
        <f>Madhatpur!AQ4</f>
        <v>106.97099276453659</v>
      </c>
      <c r="L3" s="133">
        <f>Sonvarsha!AQ4</f>
        <v>375.39198397134476</v>
      </c>
      <c r="M3" s="133">
        <f>Araiya!AQ4</f>
        <v>8555.6573321296364</v>
      </c>
      <c r="N3" s="133">
        <f>Teghra!AQ4</f>
        <v>394.75266866765014</v>
      </c>
      <c r="O3" s="133">
        <f>Halsi!AQ4</f>
        <v>7459.7783148497838</v>
      </c>
    </row>
    <row r="4" spans="1:15" x14ac:dyDescent="0.25">
      <c r="A4" s="131">
        <f>Manjhaul!B5</f>
        <v>46204</v>
      </c>
      <c r="B4" s="132" t="str">
        <f>Manjhaul!C5</f>
        <v>E</v>
      </c>
      <c r="C4" s="133">
        <f>Manjhaul!AQ5</f>
        <v>-214.43811586794902</v>
      </c>
      <c r="D4" s="133">
        <f>'Sahibpur Kamal'!AQ5</f>
        <v>-376.00712953301968</v>
      </c>
      <c r="E4" s="133">
        <f>Dalsingsarai!AQ5</f>
        <v>8860.8144977166776</v>
      </c>
      <c r="F4" s="133">
        <f>Musrigharari!AQ5</f>
        <v>612.80881328256385</v>
      </c>
      <c r="G4" s="133"/>
      <c r="H4" s="133">
        <f>Buxar!AQ5</f>
        <v>8718.5860268423512</v>
      </c>
      <c r="I4" s="133">
        <f>Laldiyara!AQ5</f>
        <v>224.22356181820257</v>
      </c>
      <c r="J4" s="133">
        <f>Asarganj!AQ5</f>
        <v>-9362.7808191763033</v>
      </c>
      <c r="K4" s="133">
        <f>Madhatpur!AQ5</f>
        <v>1855.0641064529464</v>
      </c>
      <c r="L4" s="133">
        <f>Sonvarsha!AQ5</f>
        <v>-109.21127321018992</v>
      </c>
      <c r="M4" s="133">
        <f>Araiya!AQ5</f>
        <v>7650.9561107756708</v>
      </c>
      <c r="N4" s="133">
        <f>Teghra!AQ5</f>
        <v>-272.66843037730729</v>
      </c>
      <c r="O4" s="133">
        <f>Halsi!AQ5</f>
        <v>-42075.23869705847</v>
      </c>
    </row>
    <row r="5" spans="1:15" x14ac:dyDescent="0.25">
      <c r="A5" s="131">
        <f>Manjhaul!B6</f>
        <v>46205</v>
      </c>
      <c r="B5" s="132" t="str">
        <f>Manjhaul!C6</f>
        <v>M</v>
      </c>
      <c r="C5" s="133">
        <f>Manjhaul!AQ6</f>
        <v>1645.1555360804982</v>
      </c>
      <c r="D5" s="133">
        <f>'Sahibpur Kamal'!AQ6</f>
        <v>5273.0569203142695</v>
      </c>
      <c r="E5" s="133">
        <f>Dalsingsarai!AQ6</f>
        <v>-43484.112254801585</v>
      </c>
      <c r="F5" s="133">
        <f>Musrigharari!AQ6</f>
        <v>-136.1067811223482</v>
      </c>
      <c r="G5" s="133"/>
      <c r="H5" s="133">
        <f>Buxar!AQ6</f>
        <v>346.59154028900781</v>
      </c>
      <c r="I5" s="133">
        <f>Laldiyara!AQ6</f>
        <v>21599.578073240245</v>
      </c>
      <c r="J5" s="133">
        <f>Asarganj!AQ6</f>
        <v>572.362763041108</v>
      </c>
      <c r="K5" s="133">
        <f>Madhatpur!AQ6</f>
        <v>56.590284128640249</v>
      </c>
      <c r="L5" s="133">
        <f>Sonvarsha!AQ6</f>
        <v>-3.5333533741577412</v>
      </c>
      <c r="M5" s="133">
        <f>Araiya!AQ6</f>
        <v>700.16339011473804</v>
      </c>
      <c r="N5" s="133">
        <f>Teghra!AQ6</f>
        <v>3995.414466298188</v>
      </c>
      <c r="O5" s="133">
        <f>Halsi!AQ6</f>
        <v>5160.4690228401232</v>
      </c>
    </row>
    <row r="6" spans="1:15" x14ac:dyDescent="0.25">
      <c r="A6" s="131">
        <f>Manjhaul!B7</f>
        <v>46205</v>
      </c>
      <c r="B6" s="132" t="str">
        <f>Manjhaul!C7</f>
        <v>E</v>
      </c>
      <c r="C6" s="133">
        <f>Manjhaul!AQ7</f>
        <v>643.14464924064134</v>
      </c>
      <c r="D6" s="133">
        <f>'Sahibpur Kamal'!AQ7</f>
        <v>-137.29930045861727</v>
      </c>
      <c r="E6" s="133">
        <f>Dalsingsarai!AQ7</f>
        <v>35814.210566597219</v>
      </c>
      <c r="F6" s="133">
        <f>Musrigharari!AQ7</f>
        <v>1292.2710897318348</v>
      </c>
      <c r="G6" s="133"/>
      <c r="H6" s="133">
        <f>Buxar!AQ7</f>
        <v>15868.193481791539</v>
      </c>
      <c r="I6" s="133">
        <f>Laldiyara!AQ7</f>
        <v>-46538.986307726693</v>
      </c>
      <c r="J6" s="133">
        <f>Asarganj!AQ7</f>
        <v>13264.538476444704</v>
      </c>
      <c r="K6" s="133">
        <f>Madhatpur!AQ7</f>
        <v>154.83747181304639</v>
      </c>
      <c r="L6" s="133">
        <f>Sonvarsha!AQ7</f>
        <v>5644.9409099109043</v>
      </c>
      <c r="M6" s="133">
        <f>Araiya!AQ7</f>
        <v>-15363.69416792614</v>
      </c>
      <c r="N6" s="133">
        <f>Teghra!AQ7</f>
        <v>-5410.9993832773735</v>
      </c>
      <c r="O6" s="133">
        <f>Halsi!AQ7</f>
        <v>27726.019188918315</v>
      </c>
    </row>
    <row r="7" spans="1:15" x14ac:dyDescent="0.25">
      <c r="A7" s="131">
        <f>Manjhaul!B8</f>
        <v>46206</v>
      </c>
      <c r="B7" s="132" t="str">
        <f>Manjhaul!C8</f>
        <v>M</v>
      </c>
      <c r="C7" s="133">
        <f>Manjhaul!AQ8</f>
        <v>967.54383914055597</v>
      </c>
      <c r="D7" s="133">
        <f>'Sahibpur Kamal'!AQ8</f>
        <v>-18402.94227858229</v>
      </c>
      <c r="E7" s="133">
        <f>Dalsingsarai!AQ8</f>
        <v>856.25202886304169</v>
      </c>
      <c r="F7" s="133">
        <f>Musrigharari!AQ8</f>
        <v>604.98656329825542</v>
      </c>
      <c r="G7" s="133"/>
      <c r="H7" s="133">
        <f>Buxar!AQ8</f>
        <v>42.516957159854897</v>
      </c>
      <c r="I7" s="133">
        <f>Laldiyara!AQ8</f>
        <v>22051.461105183287</v>
      </c>
      <c r="J7" s="133">
        <f>Asarganj!AQ8</f>
        <v>792.44043297015151</v>
      </c>
      <c r="K7" s="133">
        <f>Madhatpur!AQ8</f>
        <v>44.971747923860875</v>
      </c>
      <c r="L7" s="133">
        <f>Sonvarsha!AQ8</f>
        <v>348.34051916533855</v>
      </c>
      <c r="M7" s="133">
        <f>Araiya!AQ8</f>
        <v>-3976.8466954205915</v>
      </c>
      <c r="N7" s="133">
        <f>Teghra!AQ8</f>
        <v>425.5501606510486</v>
      </c>
      <c r="O7" s="133">
        <f>Halsi!AQ8</f>
        <v>-6823.6488809885541</v>
      </c>
    </row>
    <row r="8" spans="1:15" x14ac:dyDescent="0.25">
      <c r="A8" s="131">
        <f>Manjhaul!B9</f>
        <v>46206</v>
      </c>
      <c r="B8" s="132" t="str">
        <f>Manjhaul!C9</f>
        <v>E</v>
      </c>
      <c r="C8" s="133">
        <f>Manjhaul!AQ9</f>
        <v>361.39389930905531</v>
      </c>
      <c r="D8" s="133">
        <f>'Sahibpur Kamal'!AQ9</f>
        <v>-57.326005272213678</v>
      </c>
      <c r="E8" s="133">
        <f>Dalsingsarai!AQ9</f>
        <v>-18123.41610341832</v>
      </c>
      <c r="F8" s="133">
        <f>Musrigharari!AQ9</f>
        <v>333.3411635625734</v>
      </c>
      <c r="G8" s="133"/>
      <c r="H8" s="133">
        <f>Buxar!AQ9</f>
        <v>291.34247488751578</v>
      </c>
      <c r="I8" s="133">
        <f>Laldiyara!AQ9</f>
        <v>10510.304320067062</v>
      </c>
      <c r="J8" s="133">
        <f>Asarganj!AQ9</f>
        <v>8268.4920064386388</v>
      </c>
      <c r="K8" s="133">
        <f>Madhatpur!AQ9</f>
        <v>140.3034939446473</v>
      </c>
      <c r="L8" s="133">
        <f>Sonvarsha!AQ9</f>
        <v>327.0847613656847</v>
      </c>
      <c r="M8" s="133">
        <f>Araiya!AQ9</f>
        <v>158.07874244957048</v>
      </c>
      <c r="N8" s="133">
        <f>Teghra!AQ9</f>
        <v>-1135.2108958719548</v>
      </c>
      <c r="O8" s="133">
        <f>Halsi!AQ9</f>
        <v>13138.982736025382</v>
      </c>
    </row>
    <row r="9" spans="1:15" x14ac:dyDescent="0.25">
      <c r="A9" s="131">
        <f>Manjhaul!B10</f>
        <v>46207</v>
      </c>
      <c r="B9" s="132" t="str">
        <f>Manjhaul!C10</f>
        <v>M</v>
      </c>
      <c r="C9" s="133">
        <f>Manjhaul!AQ10</f>
        <v>-199.37013246092556</v>
      </c>
      <c r="D9" s="133">
        <f>'Sahibpur Kamal'!AQ10</f>
        <v>-5666.3694759602786</v>
      </c>
      <c r="E9" s="133">
        <f>Dalsingsarai!AQ10</f>
        <v>314.05562193368723</v>
      </c>
      <c r="F9" s="133">
        <f>Musrigharari!AQ10</f>
        <v>396.40114325481187</v>
      </c>
      <c r="G9" s="133"/>
      <c r="H9" s="133">
        <f>Buxar!AQ10</f>
        <v>-21882.087185458662</v>
      </c>
      <c r="I9" s="133">
        <f>Laldiyara!AQ10</f>
        <v>56.437609055309139</v>
      </c>
      <c r="J9" s="133">
        <f>Asarganj!AQ10</f>
        <v>-2934.4288279315033</v>
      </c>
      <c r="K9" s="133">
        <f>Madhatpur!AQ10</f>
        <v>2222.0154186381915</v>
      </c>
      <c r="L9" s="133">
        <f>Sonvarsha!AQ10</f>
        <v>-128.34837296878572</v>
      </c>
      <c r="M9" s="133">
        <f>Araiya!AQ10</f>
        <v>-3382.3510010700447</v>
      </c>
      <c r="N9" s="133">
        <f>Teghra!AQ10</f>
        <v>-2240.4008320750545</v>
      </c>
      <c r="O9" s="133">
        <f>Halsi!AQ10</f>
        <v>-12710.957771737925</v>
      </c>
    </row>
    <row r="10" spans="1:15" x14ac:dyDescent="0.25">
      <c r="A10" s="131">
        <f>Manjhaul!B11</f>
        <v>46207</v>
      </c>
      <c r="B10" s="132" t="str">
        <f>Manjhaul!C11</f>
        <v>E</v>
      </c>
      <c r="C10" s="133">
        <f>Manjhaul!AQ11</f>
        <v>166.43532247951819</v>
      </c>
      <c r="D10" s="133">
        <f>'Sahibpur Kamal'!AQ11</f>
        <v>-23.122396256255961</v>
      </c>
      <c r="E10" s="133">
        <f>Dalsingsarai!AQ11</f>
        <v>699.7055611784283</v>
      </c>
      <c r="F10" s="133">
        <f>Musrigharari!AQ11</f>
        <v>249.85243620976365</v>
      </c>
      <c r="G10" s="133"/>
      <c r="H10" s="133">
        <f>Buxar!AQ11</f>
        <v>25.221064361284299</v>
      </c>
      <c r="I10" s="133">
        <f>Laldiyara!AQ11</f>
        <v>36681.308050543761</v>
      </c>
      <c r="J10" s="133">
        <f>Asarganj!AQ11</f>
        <v>-2232.9485373732205</v>
      </c>
      <c r="K10" s="133">
        <f>Madhatpur!AQ11</f>
        <v>71.416850547110172</v>
      </c>
      <c r="L10" s="133">
        <f>Sonvarsha!AQ11</f>
        <v>402.81387386073993</v>
      </c>
      <c r="M10" s="133">
        <f>Araiya!AQ11</f>
        <v>-3934.6377859038412</v>
      </c>
      <c r="N10" s="133">
        <f>Teghra!AQ11</f>
        <v>346.79783613054701</v>
      </c>
      <c r="O10" s="133">
        <f>Halsi!AQ11</f>
        <v>0.39596264613805943</v>
      </c>
    </row>
    <row r="11" spans="1:15" x14ac:dyDescent="0.25">
      <c r="A11" s="131">
        <f>Manjhaul!B12</f>
        <v>46208</v>
      </c>
      <c r="B11" s="132" t="str">
        <f>Manjhaul!C12</f>
        <v>M</v>
      </c>
      <c r="C11" s="133">
        <f>Manjhaul!AQ12</f>
        <v>173.31829412835091</v>
      </c>
      <c r="D11" s="133">
        <f>'Sahibpur Kamal'!AQ12</f>
        <v>-22492.132360577591</v>
      </c>
      <c r="E11" s="133">
        <f>Dalsingsarai!AQ12</f>
        <v>893.10957519375734</v>
      </c>
      <c r="F11" s="133">
        <f>Musrigharari!AQ12</f>
        <v>-2038.5399001465953</v>
      </c>
      <c r="G11" s="133"/>
      <c r="H11" s="133">
        <f>Buxar!AQ12</f>
        <v>89.788437399995942</v>
      </c>
      <c r="I11" s="133">
        <f>Laldiyara!AQ12</f>
        <v>157.55831456256738</v>
      </c>
      <c r="J11" s="133">
        <f>Asarganj!AQ12</f>
        <v>9052.3178388766719</v>
      </c>
      <c r="K11" s="133">
        <f>Madhatpur!AQ12</f>
        <v>94.219748100165447</v>
      </c>
      <c r="L11" s="133">
        <f>Sonvarsha!AQ12</f>
        <v>237.39264566949362</v>
      </c>
      <c r="M11" s="133">
        <f>Araiya!AQ12</f>
        <v>-1849.9095416846499</v>
      </c>
      <c r="N11" s="133">
        <f>Teghra!AQ12</f>
        <v>-3217.7062668341205</v>
      </c>
      <c r="O11" s="133">
        <f>Halsi!AQ12</f>
        <v>19269.991578817775</v>
      </c>
    </row>
    <row r="12" spans="1:15" x14ac:dyDescent="0.25">
      <c r="A12" s="131">
        <f>Manjhaul!B13</f>
        <v>46208</v>
      </c>
      <c r="B12" s="132" t="str">
        <f>Manjhaul!C13</f>
        <v>E</v>
      </c>
      <c r="C12" s="133">
        <f>Manjhaul!AQ13</f>
        <v>-83.902683555389643</v>
      </c>
      <c r="D12" s="133">
        <f>'Sahibpur Kamal'!AQ13</f>
        <v>8079.5262250019114</v>
      </c>
      <c r="E12" s="133">
        <f>Dalsingsarai!AQ13</f>
        <v>13815.602138885039</v>
      </c>
      <c r="F12" s="133">
        <f>Musrigharari!AQ13</f>
        <v>670.69303004356107</v>
      </c>
      <c r="G12" s="133"/>
      <c r="H12" s="133">
        <f>Buxar!AQ13</f>
        <v>-9799.5233512287905</v>
      </c>
      <c r="I12" s="133">
        <f>Laldiyara!AQ13</f>
        <v>9245.3070857990369</v>
      </c>
      <c r="J12" s="133">
        <f>Asarganj!AQ13</f>
        <v>535.94868937273759</v>
      </c>
      <c r="K12" s="133">
        <f>Madhatpur!AQ13</f>
        <v>149.09408782320972</v>
      </c>
      <c r="L12" s="133">
        <f>Sonvarsha!AQ13</f>
        <v>2037.3255823135264</v>
      </c>
      <c r="M12" s="133">
        <f>Araiya!AQ13</f>
        <v>1701.7042826047582</v>
      </c>
      <c r="N12" s="133">
        <f>Teghra!AQ13</f>
        <v>317.87378904979016</v>
      </c>
      <c r="O12" s="133">
        <f>Halsi!AQ13</f>
        <v>-25817.081180061014</v>
      </c>
    </row>
    <row r="13" spans="1:15" x14ac:dyDescent="0.25">
      <c r="A13" s="131">
        <f>Manjhaul!B14</f>
        <v>46209</v>
      </c>
      <c r="B13" s="132" t="str">
        <f>Manjhaul!C14</f>
        <v>M</v>
      </c>
      <c r="C13" s="133">
        <f>Manjhaul!AQ14</f>
        <v>443.51149123859466</v>
      </c>
      <c r="D13" s="133">
        <f>'Sahibpur Kamal'!AQ14</f>
        <v>-63967.43580305748</v>
      </c>
      <c r="E13" s="133">
        <f>Dalsingsarai!AQ14</f>
        <v>1195.1117587448366</v>
      </c>
      <c r="F13" s="133">
        <f>Musrigharari!AQ14</f>
        <v>868.85016649972499</v>
      </c>
      <c r="G13" s="133"/>
      <c r="H13" s="133">
        <f>Buxar!AQ14</f>
        <v>74.031470383886614</v>
      </c>
      <c r="I13" s="133">
        <f>Laldiyara!AQ14</f>
        <v>13126.01057740288</v>
      </c>
      <c r="J13" s="133">
        <f>Asarganj!AQ14</f>
        <v>-12440.732140925957</v>
      </c>
      <c r="K13" s="133">
        <f>Madhatpur!AQ14</f>
        <v>77.232445717438736</v>
      </c>
      <c r="L13" s="133">
        <f>Sonvarsha!AQ14</f>
        <v>1639.3627619896392</v>
      </c>
      <c r="M13" s="133">
        <f>Araiya!AQ14</f>
        <v>8691.9071976903761</v>
      </c>
      <c r="N13" s="133">
        <f>Teghra!AQ14</f>
        <v>461.51013532854483</v>
      </c>
      <c r="O13" s="133">
        <f>Halsi!AQ14</f>
        <v>21942.002594267567</v>
      </c>
    </row>
    <row r="14" spans="1:15" x14ac:dyDescent="0.25">
      <c r="A14" s="131">
        <f>Manjhaul!B15</f>
        <v>46209</v>
      </c>
      <c r="B14" s="132" t="str">
        <f>Manjhaul!C15</f>
        <v>E</v>
      </c>
      <c r="C14" s="133">
        <f>Manjhaul!AQ15</f>
        <v>-13738.417860354424</v>
      </c>
      <c r="D14" s="133">
        <f>'Sahibpur Kamal'!AQ15</f>
        <v>-127.91084959200307</v>
      </c>
      <c r="E14" s="133">
        <f>Dalsingsarai!AQ15</f>
        <v>-2041.7129092652626</v>
      </c>
      <c r="F14" s="133">
        <f>Musrigharari!AQ15</f>
        <v>-186.3707759308528</v>
      </c>
      <c r="G14" s="133"/>
      <c r="H14" s="133">
        <f>Buxar!AQ15</f>
        <v>26.03814327047106</v>
      </c>
      <c r="I14" s="133">
        <f>Laldiyara!AQ15</f>
        <v>12071.168795893493</v>
      </c>
      <c r="J14" s="133">
        <f>Asarganj!AQ15</f>
        <v>176.1960910327046</v>
      </c>
      <c r="K14" s="133">
        <f>Madhatpur!AQ15</f>
        <v>137.69977844382126</v>
      </c>
      <c r="L14" s="133">
        <f>Sonvarsha!AQ15</f>
        <v>85.291878919103056</v>
      </c>
      <c r="M14" s="133">
        <f>Araiya!AQ15</f>
        <v>363.21463475375288</v>
      </c>
      <c r="N14" s="133">
        <f>Teghra!AQ15</f>
        <v>10042.239251414825</v>
      </c>
      <c r="O14" s="133">
        <f>Halsi!AQ15</f>
        <v>-11382.99551870184</v>
      </c>
    </row>
    <row r="15" spans="1:15" x14ac:dyDescent="0.25">
      <c r="A15" s="131">
        <f>Manjhaul!B16</f>
        <v>46210</v>
      </c>
      <c r="B15" s="132" t="str">
        <f>Manjhaul!C16</f>
        <v>M</v>
      </c>
      <c r="C15" s="133">
        <f>Manjhaul!AQ16</f>
        <v>60.498356320681495</v>
      </c>
      <c r="D15" s="133">
        <f>'Sahibpur Kamal'!AQ16</f>
        <v>-28489.387733868662</v>
      </c>
      <c r="E15" s="133">
        <f>Dalsingsarai!AQ16</f>
        <v>332.79966157842432</v>
      </c>
      <c r="F15" s="133">
        <f>Musrigharari!AQ16</f>
        <v>580.47720985084288</v>
      </c>
      <c r="G15" s="133"/>
      <c r="H15" s="133">
        <f>Buxar!AQ16</f>
        <v>420.46326510896148</v>
      </c>
      <c r="I15" s="133">
        <f>Laldiyara!AQ16</f>
        <v>4628.7438792690236</v>
      </c>
      <c r="J15" s="133">
        <f>Asarganj!AQ16</f>
        <v>2166.2449577984444</v>
      </c>
      <c r="K15" s="133">
        <f>Madhatpur!AQ16</f>
        <v>93.049275324056325</v>
      </c>
      <c r="L15" s="133">
        <f>Sonvarsha!AQ16</f>
        <v>-85.155613888053267</v>
      </c>
      <c r="M15" s="133">
        <f>Araiya!AQ16</f>
        <v>-1876.3386235025407</v>
      </c>
      <c r="N15" s="133">
        <f>Teghra!AQ16</f>
        <v>249.00597281355149</v>
      </c>
      <c r="O15" s="133">
        <f>Halsi!AQ16</f>
        <v>25367.448737287887</v>
      </c>
    </row>
    <row r="16" spans="1:15" x14ac:dyDescent="0.25">
      <c r="A16" s="131">
        <f>Manjhaul!B17</f>
        <v>46210</v>
      </c>
      <c r="B16" s="132" t="str">
        <f>Manjhaul!C17</f>
        <v>E</v>
      </c>
      <c r="C16" s="133">
        <f>Manjhaul!AQ17</f>
        <v>124.3866072975819</v>
      </c>
      <c r="D16" s="133">
        <f>'Sahibpur Kamal'!AQ17</f>
        <v>-104.34927635469248</v>
      </c>
      <c r="E16" s="133">
        <f>Dalsingsarai!AQ17</f>
        <v>476.0881348125119</v>
      </c>
      <c r="F16" s="133">
        <f>Musrigharari!AQ17</f>
        <v>1903.9155628314054</v>
      </c>
      <c r="G16" s="133"/>
      <c r="H16" s="133">
        <f>Buxar!AQ17</f>
        <v>2952.082152130462</v>
      </c>
      <c r="I16" s="133">
        <f>Laldiyara!AQ17</f>
        <v>-711.40316496625474</v>
      </c>
      <c r="J16" s="133">
        <f>Asarganj!AQ17</f>
        <v>-8289.1299047834891</v>
      </c>
      <c r="K16" s="133">
        <f>Madhatpur!AQ17</f>
        <v>33.267286140233558</v>
      </c>
      <c r="L16" s="133">
        <f>Sonvarsha!AQ17</f>
        <v>184.95593096203905</v>
      </c>
      <c r="M16" s="133">
        <f>Araiya!AQ17</f>
        <v>4326.473708228471</v>
      </c>
      <c r="N16" s="133">
        <f>Teghra!AQ17</f>
        <v>-134.18442674982487</v>
      </c>
      <c r="O16" s="133">
        <f>Halsi!AQ17</f>
        <v>-16080.237549938765</v>
      </c>
    </row>
    <row r="17" spans="1:15" x14ac:dyDescent="0.25">
      <c r="A17" s="131">
        <f>Manjhaul!B18</f>
        <v>46211</v>
      </c>
      <c r="B17" s="132" t="str">
        <f>Manjhaul!C18</f>
        <v>M</v>
      </c>
      <c r="C17" s="133">
        <f>Manjhaul!AQ18</f>
        <v>-15882.128403228018</v>
      </c>
      <c r="D17" s="133">
        <f>'Sahibpur Kamal'!AQ18</f>
        <v>1387.8480671845141</v>
      </c>
      <c r="E17" s="133">
        <f>Dalsingsarai!AQ18</f>
        <v>250.86981871968857</v>
      </c>
      <c r="F17" s="133">
        <f>Musrigharari!AQ18</f>
        <v>2043.2840906610841</v>
      </c>
      <c r="G17" s="133"/>
      <c r="H17" s="133">
        <f>Buxar!AQ18</f>
        <v>210.39944953239205</v>
      </c>
      <c r="I17" s="133">
        <f>Laldiyara!AQ18</f>
        <v>28774.637899801597</v>
      </c>
      <c r="J17" s="133">
        <f>Asarganj!AQ18</f>
        <v>11101.477259107021</v>
      </c>
      <c r="K17" s="133">
        <f>Madhatpur!AQ18</f>
        <v>273.41169143497626</v>
      </c>
      <c r="L17" s="133">
        <f>Sonvarsha!AQ18</f>
        <v>120.50119463819976</v>
      </c>
      <c r="M17" s="133">
        <f>Araiya!AQ18</f>
        <v>2190.5313906077772</v>
      </c>
      <c r="N17" s="133">
        <f>Teghra!AQ18</f>
        <v>725.94329342288597</v>
      </c>
      <c r="O17" s="133">
        <f>Halsi!AQ18</f>
        <v>15342.5694155861</v>
      </c>
    </row>
    <row r="18" spans="1:15" x14ac:dyDescent="0.25">
      <c r="A18" s="131">
        <f>Manjhaul!B19</f>
        <v>46211</v>
      </c>
      <c r="B18" s="132" t="str">
        <f>Manjhaul!C19</f>
        <v>E</v>
      </c>
      <c r="C18" s="133">
        <f>Manjhaul!AQ19</f>
        <v>-304.67390210280814</v>
      </c>
      <c r="D18" s="133">
        <f>'Sahibpur Kamal'!AQ19</f>
        <v>-5048.7178878598152</v>
      </c>
      <c r="E18" s="133">
        <f>Dalsingsarai!AQ19</f>
        <v>776.65391054859901</v>
      </c>
      <c r="F18" s="133">
        <f>Musrigharari!AQ19</f>
        <v>478.29385695345286</v>
      </c>
      <c r="G18" s="133"/>
      <c r="H18" s="133">
        <f>Buxar!AQ19</f>
        <v>188.76004605212347</v>
      </c>
      <c r="I18" s="133">
        <f>Laldiyara!AQ19</f>
        <v>11166.240545063183</v>
      </c>
      <c r="J18" s="133">
        <f>Asarganj!AQ19</f>
        <v>-3363.5571381211535</v>
      </c>
      <c r="K18" s="133">
        <f>Madhatpur!AQ19</f>
        <v>4065.8973856766142</v>
      </c>
      <c r="L18" s="133">
        <f>Sonvarsha!AQ19</f>
        <v>1462.574808663521</v>
      </c>
      <c r="M18" s="133">
        <f>Araiya!AQ19</f>
        <v>118.11175728916973</v>
      </c>
      <c r="N18" s="133">
        <f>Teghra!AQ19</f>
        <v>5784.4690043285518</v>
      </c>
      <c r="O18" s="133">
        <f>Halsi!AQ19</f>
        <v>-7626.7576679266276</v>
      </c>
    </row>
    <row r="19" spans="1:15" x14ac:dyDescent="0.25">
      <c r="A19" s="131">
        <f>Manjhaul!B20</f>
        <v>46212</v>
      </c>
      <c r="B19" s="132" t="str">
        <f>Manjhaul!C20</f>
        <v>M</v>
      </c>
      <c r="C19" s="133">
        <f>Manjhaul!AQ20</f>
        <v>-276.73240810089158</v>
      </c>
      <c r="D19" s="133">
        <f>'Sahibpur Kamal'!AQ20</f>
        <v>-655.53316910612659</v>
      </c>
      <c r="E19" s="133">
        <f>Dalsingsarai!AQ20</f>
        <v>453.86591392480989</v>
      </c>
      <c r="F19" s="133">
        <f>Musrigharari!AQ20</f>
        <v>119.9879318779805</v>
      </c>
      <c r="G19" s="133"/>
      <c r="H19" s="133">
        <f>Buxar!AQ20</f>
        <v>-2554.2331909751547</v>
      </c>
      <c r="I19" s="133">
        <f>Laldiyara!AQ20</f>
        <v>120.59267587499731</v>
      </c>
      <c r="J19" s="133">
        <f>Asarganj!AQ20</f>
        <v>-2117.7616448387421</v>
      </c>
      <c r="K19" s="133">
        <f>Madhatpur!AQ20</f>
        <v>127.21376342503856</v>
      </c>
      <c r="L19" s="133">
        <f>Sonvarsha!AQ20</f>
        <v>11836.24389493046</v>
      </c>
      <c r="M19" s="133">
        <f>Araiya!AQ20</f>
        <v>5663.2758677097663</v>
      </c>
      <c r="N19" s="133">
        <f>Teghra!AQ20</f>
        <v>201.6842194538047</v>
      </c>
      <c r="O19" s="133">
        <f>Halsi!AQ20</f>
        <v>-22287.301070717796</v>
      </c>
    </row>
    <row r="20" spans="1:15" x14ac:dyDescent="0.25">
      <c r="A20" s="131">
        <f>Manjhaul!B21</f>
        <v>46212</v>
      </c>
      <c r="B20" s="132" t="str">
        <f>Manjhaul!C21</f>
        <v>E</v>
      </c>
      <c r="C20" s="133">
        <f>Manjhaul!AQ21</f>
        <v>-179.94214505979346</v>
      </c>
      <c r="D20" s="133">
        <f>'Sahibpur Kamal'!AQ21</f>
        <v>104030.41499305893</v>
      </c>
      <c r="E20" s="133">
        <f>Dalsingsarai!AQ21</f>
        <v>15438.137479014582</v>
      </c>
      <c r="F20" s="133">
        <f>Musrigharari!AQ21</f>
        <v>429.01291198110516</v>
      </c>
      <c r="G20" s="133"/>
      <c r="H20" s="133">
        <f>Buxar!AQ21</f>
        <v>272.55050606693015</v>
      </c>
      <c r="I20" s="133">
        <f>Laldiyara!AQ21</f>
        <v>-144234.74140723015</v>
      </c>
      <c r="J20" s="133">
        <f>Asarganj!AQ21</f>
        <v>728.0953083928099</v>
      </c>
      <c r="K20" s="133">
        <f>Madhatpur!AQ21</f>
        <v>171.46977580925181</v>
      </c>
      <c r="L20" s="133">
        <f>Sonvarsha!AQ21</f>
        <v>42.884859686216714</v>
      </c>
      <c r="M20" s="133">
        <f>Araiya!AQ21</f>
        <v>-7755.7291397191711</v>
      </c>
      <c r="N20" s="133">
        <f>Teghra!AQ21</f>
        <v>-11544.49208433833</v>
      </c>
      <c r="O20" s="133">
        <f>Halsi!AQ21</f>
        <v>9759.9464087557353</v>
      </c>
    </row>
    <row r="21" spans="1:15" x14ac:dyDescent="0.25">
      <c r="A21" s="131">
        <f>Manjhaul!B22</f>
        <v>46213</v>
      </c>
      <c r="B21" s="132" t="str">
        <f>Manjhaul!C22</f>
        <v>M</v>
      </c>
      <c r="C21" s="133">
        <f>Manjhaul!AQ22</f>
        <v>-2763.2250311587231</v>
      </c>
      <c r="D21" s="133">
        <f>'Sahibpur Kamal'!AQ22</f>
        <v>-406.31913036574133</v>
      </c>
      <c r="E21" s="133">
        <f>Dalsingsarai!AQ22</f>
        <v>553.23567996307941</v>
      </c>
      <c r="F21" s="133">
        <f>Musrigharari!AQ22</f>
        <v>1250.85020795899</v>
      </c>
      <c r="G21" s="133"/>
      <c r="H21" s="133">
        <f>Buxar!AQ22</f>
        <v>91.124582946142425</v>
      </c>
      <c r="I21" s="133">
        <f>Laldiyara!AQ22</f>
        <v>-1607.4913058339912</v>
      </c>
      <c r="J21" s="133">
        <f>Asarganj!AQ22</f>
        <v>-784.08209557123882</v>
      </c>
      <c r="K21" s="133">
        <f>Madhatpur!AQ22</f>
        <v>2251.3141351291879</v>
      </c>
      <c r="L21" s="133">
        <f>Sonvarsha!AQ22</f>
        <v>-9657.6060148775723</v>
      </c>
      <c r="M21" s="133">
        <f>Araiya!AQ22</f>
        <v>0.68714810348289745</v>
      </c>
      <c r="N21" s="133">
        <f>Teghra!AQ22</f>
        <v>580.84307592719949</v>
      </c>
      <c r="O21" s="133">
        <f>Halsi!AQ22</f>
        <v>19572.383179646149</v>
      </c>
    </row>
    <row r="22" spans="1:15" x14ac:dyDescent="0.25">
      <c r="A22" s="131">
        <f>Manjhaul!B23</f>
        <v>46213</v>
      </c>
      <c r="B22" s="132" t="str">
        <f>Manjhaul!C23</f>
        <v>E</v>
      </c>
      <c r="C22" s="133">
        <f>Manjhaul!AQ23</f>
        <v>102.62370107836161</v>
      </c>
      <c r="D22" s="133">
        <f>'Sahibpur Kamal'!AQ23</f>
        <v>-1211.1105325785879</v>
      </c>
      <c r="E22" s="133">
        <f>Dalsingsarai!AQ23</f>
        <v>-14867.634685107027</v>
      </c>
      <c r="F22" s="133">
        <f>Musrigharari!AQ23</f>
        <v>-4080.5923609691827</v>
      </c>
      <c r="G22" s="133"/>
      <c r="H22" s="133">
        <f>Buxar!AQ23</f>
        <v>8583.5741444710457</v>
      </c>
      <c r="I22" s="133">
        <f>Laldiyara!AQ23</f>
        <v>14051.100409261284</v>
      </c>
      <c r="J22" s="133">
        <f>Asarganj!AQ23</f>
        <v>229.36943970231371</v>
      </c>
      <c r="K22" s="133">
        <f>Madhatpur!AQ23</f>
        <v>41.63479244187846</v>
      </c>
      <c r="L22" s="133">
        <f>Sonvarsha!AQ23</f>
        <v>-1352.1435130527652</v>
      </c>
      <c r="M22" s="133">
        <f>Araiya!AQ23</f>
        <v>8427.1255251309758</v>
      </c>
      <c r="N22" s="133">
        <f>Teghra!AQ23</f>
        <v>5371.8741046003024</v>
      </c>
      <c r="O22" s="133">
        <f>Halsi!AQ23</f>
        <v>-12744.701095200329</v>
      </c>
    </row>
    <row r="23" spans="1:15" x14ac:dyDescent="0.25">
      <c r="A23" s="131">
        <f>Manjhaul!B24</f>
        <v>46214</v>
      </c>
      <c r="B23" s="132" t="str">
        <f>Manjhaul!C24</f>
        <v>M</v>
      </c>
      <c r="C23" s="133">
        <f>Manjhaul!AQ24</f>
        <v>-3842.186509464857</v>
      </c>
      <c r="D23" s="133">
        <f>'Sahibpur Kamal'!AQ24</f>
        <v>-3971.3935385480318</v>
      </c>
      <c r="E23" s="133">
        <f>Dalsingsarai!AQ24</f>
        <v>201.14613412854197</v>
      </c>
      <c r="F23" s="133">
        <f>Musrigharari!AQ24</f>
        <v>-3190.8667279811557</v>
      </c>
      <c r="G23" s="133"/>
      <c r="H23" s="133">
        <f>Buxar!AQ24</f>
        <v>272.95874919498374</v>
      </c>
      <c r="I23" s="133">
        <f>Laldiyara!AQ24</f>
        <v>20879.015031306444</v>
      </c>
      <c r="J23" s="133">
        <f>Asarganj!AQ24</f>
        <v>11218.702932669235</v>
      </c>
      <c r="K23" s="133">
        <f>Madhatpur!AQ24</f>
        <v>107.56243601604737</v>
      </c>
      <c r="L23" s="133">
        <f>Sonvarsha!AQ24</f>
        <v>1346.5839412394394</v>
      </c>
      <c r="M23" s="133">
        <f>Araiya!AQ24</f>
        <v>-6168.0204561230403</v>
      </c>
      <c r="N23" s="133">
        <f>Teghra!AQ24</f>
        <v>212.5614873429806</v>
      </c>
      <c r="O23" s="133">
        <f>Halsi!AQ24</f>
        <v>13511.752619718041</v>
      </c>
    </row>
    <row r="24" spans="1:15" x14ac:dyDescent="0.25">
      <c r="A24" s="131">
        <f>Manjhaul!B25</f>
        <v>46214</v>
      </c>
      <c r="B24" s="132" t="str">
        <f>Manjhaul!C25</f>
        <v>E</v>
      </c>
      <c r="C24" s="133">
        <f>Manjhaul!AQ25</f>
        <v>721.29531499604968</v>
      </c>
      <c r="D24" s="133">
        <f>'Sahibpur Kamal'!AQ25</f>
        <v>-296.20986341230088</v>
      </c>
      <c r="E24" s="133">
        <f>Dalsingsarai!AQ25</f>
        <v>968.19894316947602</v>
      </c>
      <c r="F24" s="133">
        <f>Musrigharari!AQ25</f>
        <v>337.10548783155519</v>
      </c>
      <c r="G24" s="133"/>
      <c r="H24" s="133">
        <f>Buxar!AQ25</f>
        <v>389.78644509535866</v>
      </c>
      <c r="I24" s="133">
        <f>Laldiyara!AQ25</f>
        <v>16312.808464607926</v>
      </c>
      <c r="J24" s="133">
        <f>Asarganj!AQ25</f>
        <v>-8161.1718532772793</v>
      </c>
      <c r="K24" s="133">
        <f>Madhatpur!AQ25</f>
        <v>91.06445777953526</v>
      </c>
      <c r="L24" s="133">
        <f>Sonvarsha!AQ25</f>
        <v>401.14260707787253</v>
      </c>
      <c r="M24" s="133">
        <f>Araiya!AQ25</f>
        <v>207.11435310562786</v>
      </c>
      <c r="N24" s="133">
        <f>Teghra!AQ25</f>
        <v>1409.1637650516502</v>
      </c>
      <c r="O24" s="133">
        <f>Halsi!AQ25</f>
        <v>6954.4738487212362</v>
      </c>
    </row>
    <row r="25" spans="1:15" x14ac:dyDescent="0.25">
      <c r="A25" s="131">
        <f>Manjhaul!B26</f>
        <v>46215</v>
      </c>
      <c r="B25" s="132" t="str">
        <f>Manjhaul!C26</f>
        <v>M</v>
      </c>
      <c r="C25" s="133">
        <f>Manjhaul!AQ26</f>
        <v>-3488.0162636640375</v>
      </c>
      <c r="D25" s="133">
        <f>'Sahibpur Kamal'!AQ26</f>
        <v>-1246.80469249371</v>
      </c>
      <c r="E25" s="133">
        <f>Dalsingsarai!AQ26</f>
        <v>-2802.5643947871768</v>
      </c>
      <c r="F25" s="133">
        <f>Musrigharari!AQ26</f>
        <v>-3056.0011407186216</v>
      </c>
      <c r="G25" s="133"/>
      <c r="H25" s="133">
        <f>Buxar!AQ26</f>
        <v>-3033.7620539805503</v>
      </c>
      <c r="I25" s="133">
        <f>Laldiyara!AQ26</f>
        <v>5982.7826093245894</v>
      </c>
      <c r="J25" s="133">
        <f>Asarganj!AQ26</f>
        <v>4829.5045919553995</v>
      </c>
      <c r="K25" s="133">
        <f>Madhatpur!AQ26</f>
        <v>130.55128915046998</v>
      </c>
      <c r="L25" s="133">
        <f>Sonvarsha!AQ26</f>
        <v>-467.52312831165909</v>
      </c>
      <c r="M25" s="133">
        <f>Araiya!AQ26</f>
        <v>1102.7825082878242</v>
      </c>
      <c r="N25" s="133">
        <f>Teghra!AQ26</f>
        <v>118.11910494907588</v>
      </c>
      <c r="O25" s="133">
        <f>Halsi!AQ26</f>
        <v>-15541.492705294731</v>
      </c>
    </row>
    <row r="26" spans="1:15" x14ac:dyDescent="0.25">
      <c r="A26" s="131">
        <f>Manjhaul!B27</f>
        <v>46215</v>
      </c>
      <c r="B26" s="132" t="str">
        <f>Manjhaul!C27</f>
        <v>E</v>
      </c>
      <c r="C26" s="133">
        <f>Manjhaul!AQ27</f>
        <v>625.66111657347597</v>
      </c>
      <c r="D26" s="133">
        <f>'Sahibpur Kamal'!AQ27</f>
        <v>-110.30046514590913</v>
      </c>
      <c r="E26" s="133">
        <f>Dalsingsarai!AQ27</f>
        <v>518.15301517869716</v>
      </c>
      <c r="F26" s="133">
        <f>Musrigharari!AQ27</f>
        <v>502.97483506270623</v>
      </c>
      <c r="G26" s="133"/>
      <c r="H26" s="133">
        <f>Buxar!AQ27</f>
        <v>-37.019114910347852</v>
      </c>
      <c r="I26" s="133">
        <f>Laldiyara!AQ27</f>
        <v>-18117.629327758754</v>
      </c>
      <c r="J26" s="133">
        <f>Asarganj!AQ27</f>
        <v>-3075.668002777139</v>
      </c>
      <c r="K26" s="133">
        <f>Madhatpur!AQ27</f>
        <v>2637.0561169449352</v>
      </c>
      <c r="L26" s="133">
        <f>Sonvarsha!AQ27</f>
        <v>3279.5357457151504</v>
      </c>
      <c r="M26" s="133">
        <f>Araiya!AQ27</f>
        <v>1219.4495461244744</v>
      </c>
      <c r="N26" s="133">
        <f>Teghra!AQ27</f>
        <v>4708.2043872941085</v>
      </c>
      <c r="O26" s="133">
        <f>Halsi!AQ27</f>
        <v>-2837.456017329222</v>
      </c>
    </row>
    <row r="27" spans="1:15" x14ac:dyDescent="0.25">
      <c r="A27" s="131">
        <f>Manjhaul!B28</f>
        <v>46216</v>
      </c>
      <c r="B27" s="132" t="str">
        <f>Manjhaul!C28</f>
        <v>M</v>
      </c>
      <c r="C27" s="133">
        <f>Manjhaul!AQ28</f>
        <v>-6246.954577989658</v>
      </c>
      <c r="D27" s="133">
        <f>'Sahibpur Kamal'!AQ28</f>
        <v>-26.122138957638199</v>
      </c>
      <c r="E27" s="133">
        <f>Dalsingsarai!AQ28</f>
        <v>-8762.378802097428</v>
      </c>
      <c r="F27" s="133">
        <f>Musrigharari!AQ28</f>
        <v>-3601.4047583147021</v>
      </c>
      <c r="G27" s="133"/>
      <c r="H27" s="133">
        <f>Buxar!AQ28</f>
        <v>185.21980892637055</v>
      </c>
      <c r="I27" s="133">
        <f>Laldiyara!AQ28</f>
        <v>39728.702727523516</v>
      </c>
      <c r="J27" s="133">
        <f>Asarganj!AQ28</f>
        <v>17481.404423688982</v>
      </c>
      <c r="K27" s="133">
        <f>Madhatpur!AQ28</f>
        <v>25.076674912812855</v>
      </c>
      <c r="L27" s="133">
        <f>Sonvarsha!AQ28</f>
        <v>799.62495322471159</v>
      </c>
      <c r="M27" s="133">
        <f>Araiya!AQ28</f>
        <v>254.63159980093252</v>
      </c>
      <c r="N27" s="133">
        <f>Teghra!AQ28</f>
        <v>404.03318001947889</v>
      </c>
      <c r="O27" s="133">
        <f>Halsi!AQ28</f>
        <v>21722.267081182556</v>
      </c>
    </row>
    <row r="28" spans="1:15" x14ac:dyDescent="0.25">
      <c r="A28" s="131">
        <f>Manjhaul!B29</f>
        <v>46216</v>
      </c>
      <c r="B28" s="132" t="str">
        <f>Manjhaul!C29</f>
        <v>E</v>
      </c>
      <c r="C28" s="133">
        <f>Manjhaul!AQ29</f>
        <v>-426.87410214988654</v>
      </c>
      <c r="D28" s="133">
        <f>'Sahibpur Kamal'!AQ29</f>
        <v>15830.700556683241</v>
      </c>
      <c r="E28" s="133">
        <f>Dalsingsarai!AQ29</f>
        <v>531.05020993384142</v>
      </c>
      <c r="F28" s="133">
        <f>Musrigharari!AQ29</f>
        <v>596.48711747171717</v>
      </c>
      <c r="G28" s="133"/>
      <c r="H28" s="133">
        <f>Buxar!AQ29</f>
        <v>7677.4253656748933</v>
      </c>
      <c r="I28" s="133">
        <f>Laldiyara!AQ29</f>
        <v>-228.14270462478325</v>
      </c>
      <c r="J28" s="133">
        <f>Asarganj!AQ29</f>
        <v>-512.39535225194174</v>
      </c>
      <c r="K28" s="133">
        <f>Madhatpur!AQ29</f>
        <v>159.31314518645289</v>
      </c>
      <c r="L28" s="133">
        <f>Sonvarsha!AQ29</f>
        <v>-231.80950242934614</v>
      </c>
      <c r="M28" s="133">
        <f>Araiya!AQ29</f>
        <v>-3649.2688784109637</v>
      </c>
      <c r="N28" s="133">
        <f>Teghra!AQ29</f>
        <v>552.20554167393266</v>
      </c>
      <c r="O28" s="133">
        <f>Halsi!AQ29</f>
        <v>-13682.00191737137</v>
      </c>
    </row>
    <row r="29" spans="1:15" x14ac:dyDescent="0.25">
      <c r="A29" s="131">
        <f>Manjhaul!B30</f>
        <v>46217</v>
      </c>
      <c r="B29" s="132" t="str">
        <f>Manjhaul!C30</f>
        <v>M</v>
      </c>
      <c r="C29" s="133">
        <f>Manjhaul!AQ30</f>
        <v>-1348.0957741377838</v>
      </c>
      <c r="D29" s="133">
        <f>'Sahibpur Kamal'!AQ30</f>
        <v>2503.6241881126061</v>
      </c>
      <c r="E29" s="133">
        <f>Dalsingsarai!AQ30</f>
        <v>12776.97102340709</v>
      </c>
      <c r="F29" s="133">
        <f>Musrigharari!AQ30</f>
        <v>235.37422408064072</v>
      </c>
      <c r="G29" s="133"/>
      <c r="H29" s="133">
        <f>Buxar!AQ30</f>
        <v>103.71970176368171</v>
      </c>
      <c r="I29" s="133">
        <f>Laldiyara!AQ30</f>
        <v>24491.688586380944</v>
      </c>
      <c r="J29" s="133">
        <f>Asarganj!AQ30</f>
        <v>-8800.6393343251984</v>
      </c>
      <c r="K29" s="133">
        <f>Madhatpur!AQ30</f>
        <v>94.60382813656723</v>
      </c>
      <c r="L29" s="133">
        <f>Sonvarsha!AQ30</f>
        <v>671.94017108957314</v>
      </c>
      <c r="M29" s="133">
        <f>Araiya!AQ30</f>
        <v>-4863.9860232688343</v>
      </c>
      <c r="N29" s="133">
        <f>Teghra!AQ30</f>
        <v>-11218.911579697975</v>
      </c>
      <c r="O29" s="133">
        <f>Halsi!AQ30</f>
        <v>-14555.782267533996</v>
      </c>
    </row>
    <row r="30" spans="1:15" x14ac:dyDescent="0.25">
      <c r="A30" s="131">
        <f>Manjhaul!B31</f>
        <v>46217</v>
      </c>
      <c r="B30" s="132" t="str">
        <f>Manjhaul!C31</f>
        <v>E</v>
      </c>
      <c r="C30" s="133">
        <f>Manjhaul!AQ31</f>
        <v>-14.256442619298099</v>
      </c>
      <c r="D30" s="133">
        <f>'Sahibpur Kamal'!AQ31</f>
        <v>10190.04265008272</v>
      </c>
      <c r="E30" s="133">
        <f>Dalsingsarai!AQ31</f>
        <v>1276.1135061945336</v>
      </c>
      <c r="F30" s="133">
        <f>Musrigharari!AQ31</f>
        <v>521.23092757899224</v>
      </c>
      <c r="G30" s="133"/>
      <c r="H30" s="133">
        <f>Buxar!AQ31</f>
        <v>-41.980654952589617</v>
      </c>
      <c r="I30" s="133">
        <f>Laldiyara!AQ31</f>
        <v>14115.51632698188</v>
      </c>
      <c r="J30" s="133">
        <f>Asarganj!AQ31</f>
        <v>258.48575209271962</v>
      </c>
      <c r="K30" s="133">
        <f>Madhatpur!AQ31</f>
        <v>114.46545360399357</v>
      </c>
      <c r="L30" s="133">
        <f>Sonvarsha!AQ31</f>
        <v>808.50003485290699</v>
      </c>
      <c r="M30" s="133">
        <f>Araiya!AQ31</f>
        <v>263.97923720159071</v>
      </c>
      <c r="N30" s="133">
        <f>Teghra!AQ31</f>
        <v>2450.4041407247591</v>
      </c>
      <c r="O30" s="133">
        <f>Halsi!AQ31</f>
        <v>-13637.073760706489</v>
      </c>
    </row>
    <row r="31" spans="1:15" x14ac:dyDescent="0.25">
      <c r="A31" s="131">
        <f>Manjhaul!B32</f>
        <v>46218</v>
      </c>
      <c r="B31" s="132" t="str">
        <f>Manjhaul!C32</f>
        <v>M</v>
      </c>
      <c r="C31" s="133">
        <f>Manjhaul!AQ32</f>
        <v>643.01400707898665</v>
      </c>
      <c r="D31" s="133">
        <f>'Sahibpur Kamal'!AQ32</f>
        <v>-305.86359052263037</v>
      </c>
      <c r="E31" s="133">
        <f>Dalsingsarai!AQ32</f>
        <v>-12305.430730121923</v>
      </c>
      <c r="F31" s="133">
        <f>Musrigharari!AQ32</f>
        <v>-2721.7184643506325</v>
      </c>
      <c r="G31" s="133"/>
      <c r="H31" s="133">
        <f>Buxar!AQ32</f>
        <v>-46876.614980021201</v>
      </c>
      <c r="I31" s="133">
        <f>Laldiyara!AQ32</f>
        <v>1561.5442921990025</v>
      </c>
      <c r="J31" s="133">
        <f>Asarganj!AQ32</f>
        <v>2852.4896870080179</v>
      </c>
      <c r="K31" s="133">
        <f>Madhatpur!AQ32</f>
        <v>-29.388758708248361</v>
      </c>
      <c r="L31" s="133">
        <f>Sonvarsha!AQ32</f>
        <v>210.68719369629298</v>
      </c>
      <c r="M31" s="133">
        <f>Araiya!AQ32</f>
        <v>5291.8554553965168</v>
      </c>
      <c r="N31" s="133">
        <f>Teghra!AQ32</f>
        <v>286.23979435140876</v>
      </c>
      <c r="O31" s="133">
        <f>Halsi!AQ32</f>
        <v>28167.714403292255</v>
      </c>
    </row>
    <row r="32" spans="1:15" x14ac:dyDescent="0.25">
      <c r="A32" s="131">
        <f>Manjhaul!B33</f>
        <v>46218</v>
      </c>
      <c r="B32" s="132" t="str">
        <f>Manjhaul!C33</f>
        <v>E</v>
      </c>
      <c r="C32" s="133">
        <f>Manjhaul!AQ33</f>
        <v>-1851.7056547258612</v>
      </c>
      <c r="D32" s="133">
        <f>'Sahibpur Kamal'!AQ33</f>
        <v>-3108.6461942595984</v>
      </c>
      <c r="E32" s="133">
        <f>Dalsingsarai!AQ33</f>
        <v>600.23271870458439</v>
      </c>
      <c r="F32" s="133">
        <f>Musrigharari!AQ33</f>
        <v>-2351.8483054596636</v>
      </c>
      <c r="G32" s="133"/>
      <c r="H32" s="133">
        <f>Buxar!AQ33</f>
        <v>-17.291154737444135</v>
      </c>
      <c r="I32" s="133">
        <f>Laldiyara!AQ33</f>
        <v>25866.332118977451</v>
      </c>
      <c r="J32" s="133">
        <f>Asarganj!AQ33</f>
        <v>-3414.5878246606826</v>
      </c>
      <c r="K32" s="133">
        <f>Madhatpur!AQ33</f>
        <v>118.69947103096936</v>
      </c>
      <c r="L32" s="133">
        <f>Sonvarsha!AQ33</f>
        <v>-3769.6577257087883</v>
      </c>
      <c r="M32" s="133">
        <f>Araiya!AQ33</f>
        <v>414.5593474720622</v>
      </c>
      <c r="N32" s="133">
        <f>Teghra!AQ33</f>
        <v>8273.743598406294</v>
      </c>
      <c r="O32" s="133">
        <f>Halsi!AQ33</f>
        <v>-5694.2825823182093</v>
      </c>
    </row>
    <row r="33" spans="1:15" x14ac:dyDescent="0.25">
      <c r="A33" s="131">
        <f>Manjhaul!B34</f>
        <v>46219</v>
      </c>
      <c r="B33" s="132" t="str">
        <f>Manjhaul!C34</f>
        <v>M</v>
      </c>
      <c r="C33" s="133">
        <f>Manjhaul!AQ34</f>
        <v>-3470.7753263879158</v>
      </c>
      <c r="D33" s="133">
        <f>'Sahibpur Kamal'!AQ34</f>
        <v>-106.63143623491442</v>
      </c>
      <c r="E33" s="133">
        <f>Dalsingsarai!AQ34</f>
        <v>689.04950362242198</v>
      </c>
      <c r="F33" s="133">
        <f>Musrigharari!AQ34</f>
        <v>343.21684689437916</v>
      </c>
      <c r="G33" s="133"/>
      <c r="H33" s="133">
        <f>Buxar!AQ34</f>
        <v>-40.508331881995652</v>
      </c>
      <c r="I33" s="133">
        <f>Laldiyara!AQ34</f>
        <v>-1312.9038788434177</v>
      </c>
      <c r="J33" s="133">
        <f>Asarganj!AQ34</f>
        <v>385.04678640933662</v>
      </c>
      <c r="K33" s="133">
        <f>Madhatpur!AQ34</f>
        <v>47.393599018270422</v>
      </c>
      <c r="L33" s="133">
        <f>Sonvarsha!AQ34</f>
        <v>-669.99225176522691</v>
      </c>
      <c r="M33" s="133">
        <f>Araiya!AQ34</f>
        <v>3877.8371224932816</v>
      </c>
      <c r="N33" s="133">
        <f>Teghra!AQ34</f>
        <v>464.27924188962504</v>
      </c>
      <c r="O33" s="133">
        <f>Halsi!AQ34</f>
        <v>-3854.4430939427148</v>
      </c>
    </row>
    <row r="34" spans="1:15" x14ac:dyDescent="0.25">
      <c r="A34" s="131">
        <f>Manjhaul!B35</f>
        <v>46219</v>
      </c>
      <c r="B34" s="132" t="str">
        <f>Manjhaul!C35</f>
        <v>E</v>
      </c>
      <c r="C34" s="133">
        <f>Manjhaul!AQ35</f>
        <v>132.0251701439712</v>
      </c>
      <c r="D34" s="133">
        <f>'Sahibpur Kamal'!AQ35</f>
        <v>8089.537643975882</v>
      </c>
      <c r="E34" s="133">
        <f>Dalsingsarai!AQ35</f>
        <v>651.09304953064361</v>
      </c>
      <c r="F34" s="133">
        <f>Musrigharari!AQ35</f>
        <v>511.7226545126</v>
      </c>
      <c r="G34" s="133"/>
      <c r="H34" s="133">
        <f>Buxar!AQ35</f>
        <v>176.80811552711953</v>
      </c>
      <c r="I34" s="133">
        <f>Laldiyara!AQ35</f>
        <v>-135419.66654641839</v>
      </c>
      <c r="J34" s="133">
        <f>Asarganj!AQ35</f>
        <v>-10297.76101399345</v>
      </c>
      <c r="K34" s="133">
        <f>Madhatpur!AQ35</f>
        <v>153.82724956915277</v>
      </c>
      <c r="L34" s="133">
        <f>Sonvarsha!AQ35</f>
        <v>-648.29003380713129</v>
      </c>
      <c r="M34" s="133">
        <f>Araiya!AQ35</f>
        <v>-6561.6750610198023</v>
      </c>
      <c r="N34" s="133">
        <f>Teghra!AQ35</f>
        <v>-13244.523779012739</v>
      </c>
      <c r="O34" s="133">
        <f>Halsi!AQ35</f>
        <v>-5141.4856302458729</v>
      </c>
    </row>
    <row r="35" spans="1:15" x14ac:dyDescent="0.25">
      <c r="A35" s="131">
        <f>Manjhaul!B36</f>
        <v>46220</v>
      </c>
      <c r="B35" s="132" t="str">
        <f>Manjhaul!C36</f>
        <v>M</v>
      </c>
      <c r="C35" s="133">
        <f>Manjhaul!AQ36</f>
        <v>-14.032480912418578</v>
      </c>
      <c r="D35" s="133">
        <f>'Sahibpur Kamal'!AQ36</f>
        <v>-4332.2087963865351</v>
      </c>
      <c r="E35" s="133">
        <f>Dalsingsarai!AQ36</f>
        <v>9256.6042771414304</v>
      </c>
      <c r="F35" s="133">
        <f>Musrigharari!AQ36</f>
        <v>-8914.0476919098892</v>
      </c>
      <c r="G35" s="133"/>
      <c r="H35" s="133">
        <f>Buxar!AQ36</f>
        <v>1211.7461025009761</v>
      </c>
      <c r="I35" s="133">
        <f>Laldiyara!AQ36</f>
        <v>59350.26701722588</v>
      </c>
      <c r="J35" s="133">
        <f>Asarganj!AQ36</f>
        <v>432.25271368603251</v>
      </c>
      <c r="K35" s="133">
        <f>Madhatpur!AQ36</f>
        <v>151.22000389381688</v>
      </c>
      <c r="L35" s="133">
        <f>Sonvarsha!AQ36</f>
        <v>2093.9622024543405</v>
      </c>
      <c r="M35" s="133">
        <f>Araiya!AQ36</f>
        <v>221.8892532378436</v>
      </c>
      <c r="N35" s="133">
        <f>Teghra!AQ36</f>
        <v>480.05367946409513</v>
      </c>
      <c r="O35" s="133">
        <f>Halsi!AQ36</f>
        <v>26248.101181023725</v>
      </c>
    </row>
    <row r="36" spans="1:15" x14ac:dyDescent="0.25">
      <c r="A36" s="131">
        <f>Manjhaul!B37</f>
        <v>46220</v>
      </c>
      <c r="B36" s="132" t="str">
        <f>Manjhaul!C37</f>
        <v>E</v>
      </c>
      <c r="C36" s="133">
        <f>Manjhaul!AQ37</f>
        <v>66.662998701340825</v>
      </c>
      <c r="D36" s="133">
        <f>'Sahibpur Kamal'!AQ37</f>
        <v>-133.26866272153293</v>
      </c>
      <c r="E36" s="133">
        <f>Dalsingsarai!AQ37</f>
        <v>548.84067319374458</v>
      </c>
      <c r="F36" s="133">
        <f>Musrigharari!AQ37</f>
        <v>1597.4039665992723</v>
      </c>
      <c r="G36" s="133"/>
      <c r="H36" s="133">
        <f>Buxar!AQ37</f>
        <v>166.85998030224712</v>
      </c>
      <c r="I36" s="133">
        <f>Laldiyara!AQ37</f>
        <v>-1033.1195570842142</v>
      </c>
      <c r="J36" s="133">
        <f>Asarganj!AQ37</f>
        <v>-4911.9611942967458</v>
      </c>
      <c r="K36" s="133">
        <f>Madhatpur!AQ37</f>
        <v>2565.0021993097607</v>
      </c>
      <c r="L36" s="133">
        <f>Sonvarsha!AQ37</f>
        <v>168.81701736120345</v>
      </c>
      <c r="M36" s="133">
        <f>Araiya!AQ37</f>
        <v>3682.3787298908742</v>
      </c>
      <c r="N36" s="133">
        <f>Teghra!AQ37</f>
        <v>7527.3609393642073</v>
      </c>
      <c r="O36" s="133">
        <f>Halsi!AQ37</f>
        <v>12946.456407382659</v>
      </c>
    </row>
    <row r="37" spans="1:15" x14ac:dyDescent="0.25">
      <c r="A37" s="131">
        <f>Manjhaul!B38</f>
        <v>46221</v>
      </c>
      <c r="B37" s="132" t="str">
        <f>Manjhaul!C38</f>
        <v>M</v>
      </c>
      <c r="C37" s="133">
        <f>Manjhaul!AQ38</f>
        <v>155.01132703514699</v>
      </c>
      <c r="D37" s="133">
        <f>'Sahibpur Kamal'!AQ38</f>
        <v>-8892.5672133114094</v>
      </c>
      <c r="E37" s="133">
        <f>Dalsingsarai!AQ38</f>
        <v>20155.10171030321</v>
      </c>
      <c r="F37" s="133">
        <f>Musrigharari!AQ38</f>
        <v>209.44659078345407</v>
      </c>
      <c r="G37" s="133"/>
      <c r="H37" s="133">
        <f>Buxar!AQ38</f>
        <v>432.54918009259836</v>
      </c>
      <c r="I37" s="133">
        <f>Laldiyara!AQ38</f>
        <v>15221.893047987764</v>
      </c>
      <c r="J37" s="133">
        <f>Asarganj!AQ38</f>
        <v>-3138.0378664668397</v>
      </c>
      <c r="K37" s="133">
        <f>Madhatpur!AQ38</f>
        <v>101.95742521575497</v>
      </c>
      <c r="L37" s="133">
        <f>Sonvarsha!AQ38</f>
        <v>1120.311174188213</v>
      </c>
      <c r="M37" s="133">
        <f>Araiya!AQ38</f>
        <v>-8557.3569680159781</v>
      </c>
      <c r="N37" s="133">
        <f>Teghra!AQ38</f>
        <v>5621.0564280294766</v>
      </c>
      <c r="O37" s="133">
        <f>Halsi!AQ38</f>
        <v>-1388.9079638645562</v>
      </c>
    </row>
    <row r="38" spans="1:15" x14ac:dyDescent="0.25">
      <c r="A38" s="131">
        <f>Manjhaul!B39</f>
        <v>46221</v>
      </c>
      <c r="B38" s="132" t="str">
        <f>Manjhaul!C39</f>
        <v>E</v>
      </c>
      <c r="C38" s="133">
        <f>Manjhaul!AQ39</f>
        <v>380.81858983790852</v>
      </c>
      <c r="D38" s="133">
        <f>'Sahibpur Kamal'!AQ39</f>
        <v>4448.866227300633</v>
      </c>
      <c r="E38" s="133">
        <f>Dalsingsarai!AQ39</f>
        <v>12154.954686321096</v>
      </c>
      <c r="F38" s="133">
        <f>Musrigharari!AQ39</f>
        <v>302.00623070004917</v>
      </c>
      <c r="G38" s="133"/>
      <c r="H38" s="133">
        <f>Buxar!AQ39</f>
        <v>4107.1953051104438</v>
      </c>
      <c r="I38" s="133">
        <f>Laldiyara!AQ39</f>
        <v>-56.739249124602807</v>
      </c>
      <c r="J38" s="133">
        <f>Asarganj!AQ39</f>
        <v>536.4414292870531</v>
      </c>
      <c r="K38" s="133">
        <f>Madhatpur!AQ39</f>
        <v>88.018917811793173</v>
      </c>
      <c r="L38" s="133">
        <f>Sonvarsha!AQ39</f>
        <v>504.94363068828716</v>
      </c>
      <c r="M38" s="133">
        <f>Araiya!AQ39</f>
        <v>1986.7664215999523</v>
      </c>
      <c r="N38" s="133">
        <f>Teghra!AQ39</f>
        <v>299.07860316708252</v>
      </c>
      <c r="O38" s="133">
        <f>Halsi!AQ39</f>
        <v>10981.379878831522</v>
      </c>
    </row>
    <row r="39" spans="1:15" x14ac:dyDescent="0.25">
      <c r="A39" s="131">
        <f>Manjhaul!B40</f>
        <v>46222</v>
      </c>
      <c r="B39" s="132" t="str">
        <f>Manjhaul!C40</f>
        <v>M</v>
      </c>
      <c r="C39" s="133">
        <f>Manjhaul!AQ40</f>
        <v>5523.2539528833786</v>
      </c>
      <c r="D39" s="133">
        <f>'Sahibpur Kamal'!AQ40</f>
        <v>-6925.7677283296662</v>
      </c>
      <c r="E39" s="133">
        <f>Dalsingsarai!AQ40</f>
        <v>18768.386197464832</v>
      </c>
      <c r="F39" s="133">
        <f>Musrigharari!AQ40</f>
        <v>-4821.9721781467906</v>
      </c>
      <c r="G39" s="133"/>
      <c r="H39" s="133">
        <f>Buxar!AQ40</f>
        <v>69.175887484072021</v>
      </c>
      <c r="I39" s="133">
        <f>Laldiyara!AQ40</f>
        <v>7726.7618618363113</v>
      </c>
      <c r="J39" s="133">
        <f>Asarganj!AQ40</f>
        <v>3033.566423685555</v>
      </c>
      <c r="K39" s="133">
        <f>Madhatpur!AQ40</f>
        <v>125.49427755255006</v>
      </c>
      <c r="L39" s="133">
        <f>Sonvarsha!AQ40</f>
        <v>328.00524166970445</v>
      </c>
      <c r="M39" s="133">
        <f>Araiya!AQ40</f>
        <v>-4970.0920618433083</v>
      </c>
      <c r="N39" s="133">
        <f>Teghra!AQ40</f>
        <v>1059.8024182594595</v>
      </c>
      <c r="O39" s="133">
        <f>Halsi!AQ40</f>
        <v>10583.741689993818</v>
      </c>
    </row>
    <row r="40" spans="1:15" x14ac:dyDescent="0.25">
      <c r="A40" s="131">
        <f>Manjhaul!B41</f>
        <v>46222</v>
      </c>
      <c r="B40" s="132" t="str">
        <f>Manjhaul!C41</f>
        <v>E</v>
      </c>
      <c r="C40" s="133">
        <f>Manjhaul!AQ41</f>
        <v>4488.2085658672422</v>
      </c>
      <c r="D40" s="133">
        <f>'Sahibpur Kamal'!AQ41</f>
        <v>-24874.047518353756</v>
      </c>
      <c r="E40" s="133">
        <f>Dalsingsarai!AQ41</f>
        <v>2540.1343186595086</v>
      </c>
      <c r="F40" s="133">
        <f>Musrigharari!AQ41</f>
        <v>223.95963862089741</v>
      </c>
      <c r="G40" s="133"/>
      <c r="H40" s="133">
        <f>Buxar!AQ41</f>
        <v>-74.351838842707764</v>
      </c>
      <c r="I40" s="133">
        <f>Laldiyara!AQ41</f>
        <v>10917.869049235323</v>
      </c>
      <c r="J40" s="133">
        <f>Asarganj!AQ41</f>
        <v>91.352794783862848</v>
      </c>
      <c r="K40" s="133">
        <f>Madhatpur!AQ41</f>
        <v>180.6410904977424</v>
      </c>
      <c r="L40" s="133">
        <f>Sonvarsha!AQ41</f>
        <v>1707.5171782707516</v>
      </c>
      <c r="M40" s="133">
        <f>Araiya!AQ41</f>
        <v>272.39369614286636</v>
      </c>
      <c r="N40" s="133">
        <f>Teghra!AQ41</f>
        <v>-1390.5653736640484</v>
      </c>
      <c r="O40" s="133">
        <f>Halsi!AQ41</f>
        <v>-8102.8610490392284</v>
      </c>
    </row>
    <row r="41" spans="1:15" x14ac:dyDescent="0.25">
      <c r="A41" s="131">
        <f>Manjhaul!B42</f>
        <v>46223</v>
      </c>
      <c r="B41" s="132" t="str">
        <f>Manjhaul!C42</f>
        <v>M</v>
      </c>
      <c r="C41" s="133">
        <f>Manjhaul!AQ42</f>
        <v>-3168.0831226842965</v>
      </c>
      <c r="D41" s="133">
        <f>'Sahibpur Kamal'!AQ42</f>
        <v>-2966.0520021915454</v>
      </c>
      <c r="E41" s="133">
        <f>Dalsingsarai!AQ42</f>
        <v>-12890.997000539344</v>
      </c>
      <c r="F41" s="133">
        <f>Musrigharari!AQ42</f>
        <v>235.67069044973508</v>
      </c>
      <c r="G41" s="133"/>
      <c r="H41" s="133">
        <f>Buxar!AQ42</f>
        <v>2426.4464080016796</v>
      </c>
      <c r="I41" s="133">
        <f>Laldiyara!AQ42</f>
        <v>12129.704986419092</v>
      </c>
      <c r="J41" s="133">
        <f>Asarganj!AQ42</f>
        <v>3190.0336008688578</v>
      </c>
      <c r="K41" s="133">
        <f>Madhatpur!AQ42</f>
        <v>2097.3076154712194</v>
      </c>
      <c r="L41" s="133">
        <f>Sonvarsha!AQ42</f>
        <v>1016.4806902084392</v>
      </c>
      <c r="M41" s="133">
        <f>Araiya!AQ42</f>
        <v>-1113.6811787570946</v>
      </c>
      <c r="N41" s="133">
        <f>Teghra!AQ42</f>
        <v>283.62587575160035</v>
      </c>
      <c r="O41" s="133">
        <f>Halsi!AQ42</f>
        <v>10982.103994280777</v>
      </c>
    </row>
    <row r="42" spans="1:15" x14ac:dyDescent="0.25">
      <c r="A42" s="131">
        <f>Manjhaul!B43</f>
        <v>46223</v>
      </c>
      <c r="B42" s="132" t="str">
        <f>Manjhaul!C43</f>
        <v>E</v>
      </c>
      <c r="C42" s="133">
        <f>Manjhaul!AQ43</f>
        <v>279.09426008677622</v>
      </c>
      <c r="D42" s="133">
        <f>'Sahibpur Kamal'!AQ43</f>
        <v>552.4674628919372</v>
      </c>
      <c r="E42" s="133">
        <f>Dalsingsarai!AQ43</f>
        <v>1277.452534964772</v>
      </c>
      <c r="F42" s="133">
        <f>Musrigharari!AQ43</f>
        <v>3122.4485642716927</v>
      </c>
      <c r="G42" s="133"/>
      <c r="H42" s="133">
        <f>Buxar!AQ43</f>
        <v>80.468352927796133</v>
      </c>
      <c r="I42" s="133">
        <f>Laldiyara!AQ43</f>
        <v>16009.633405770403</v>
      </c>
      <c r="J42" s="133">
        <f>Asarganj!AQ43</f>
        <v>-4464.065099422899</v>
      </c>
      <c r="K42" s="133">
        <f>Madhatpur!AQ43</f>
        <v>57.281160167346833</v>
      </c>
      <c r="L42" s="133">
        <f>Sonvarsha!AQ43</f>
        <v>1228.2765576352576</v>
      </c>
      <c r="M42" s="133">
        <f>Araiya!AQ43</f>
        <v>2765.465059168921</v>
      </c>
      <c r="N42" s="133">
        <f>Teghra!AQ43</f>
        <v>4162.9886149274535</v>
      </c>
      <c r="O42" s="133">
        <f>Halsi!AQ43</f>
        <v>-5936.7169642233357</v>
      </c>
    </row>
    <row r="43" spans="1:15" x14ac:dyDescent="0.25">
      <c r="A43" s="131">
        <f>Manjhaul!B44</f>
        <v>46224</v>
      </c>
      <c r="B43" s="132" t="str">
        <f>Manjhaul!C44</f>
        <v>M</v>
      </c>
      <c r="C43" s="133">
        <f>Manjhaul!AQ44</f>
        <v>-70.969991737213491</v>
      </c>
      <c r="D43" s="133">
        <f>'Sahibpur Kamal'!AQ44</f>
        <v>19090.80018801734</v>
      </c>
      <c r="E43" s="133">
        <f>Dalsingsarai!AQ44</f>
        <v>-37138.348339329932</v>
      </c>
      <c r="F43" s="133">
        <f>Musrigharari!AQ44</f>
        <v>-1959.1376883796524</v>
      </c>
      <c r="G43" s="133"/>
      <c r="H43" s="133">
        <f>Buxar!AQ44</f>
        <v>14937.92427950272</v>
      </c>
      <c r="I43" s="133">
        <f>Laldiyara!AQ44</f>
        <v>-265.02159392846715</v>
      </c>
      <c r="J43" s="133">
        <f>Asarganj!AQ44</f>
        <v>-10799.028957520197</v>
      </c>
      <c r="K43" s="133">
        <f>Madhatpur!AQ44</f>
        <v>119.22178348095545</v>
      </c>
      <c r="L43" s="133">
        <f>Sonvarsha!AQ44</f>
        <v>889.05039335762717</v>
      </c>
      <c r="M43" s="133">
        <f>Araiya!AQ44</f>
        <v>-3895.0714131202485</v>
      </c>
      <c r="N43" s="133">
        <f>Teghra!AQ44</f>
        <v>2237.2526549932204</v>
      </c>
      <c r="O43" s="133">
        <f>Halsi!AQ44</f>
        <v>-16208.704008360512</v>
      </c>
    </row>
    <row r="44" spans="1:15" x14ac:dyDescent="0.25">
      <c r="A44" s="131">
        <f>Manjhaul!B45</f>
        <v>46224</v>
      </c>
      <c r="B44" s="132" t="str">
        <f>Manjhaul!C45</f>
        <v>E</v>
      </c>
      <c r="C44" s="133">
        <f>Manjhaul!AQ45</f>
        <v>1104.2782458178949</v>
      </c>
      <c r="D44" s="133">
        <f>'Sahibpur Kamal'!AQ45</f>
        <v>3244.9983818052087</v>
      </c>
      <c r="E44" s="133">
        <f>Dalsingsarai!AQ45</f>
        <v>406.76747899212853</v>
      </c>
      <c r="F44" s="133">
        <f>Musrigharari!AQ45</f>
        <v>362.34632807963834</v>
      </c>
      <c r="G44" s="133"/>
      <c r="H44" s="133">
        <f>Buxar!AQ45</f>
        <v>-41.88806095217835</v>
      </c>
      <c r="I44" s="133">
        <f>Laldiyara!AQ45</f>
        <v>-639.71159969563075</v>
      </c>
      <c r="J44" s="133">
        <f>Asarganj!AQ45</f>
        <v>29.130195041502333</v>
      </c>
      <c r="K44" s="133">
        <f>Madhatpur!AQ45</f>
        <v>113.89419385825836</v>
      </c>
      <c r="L44" s="133">
        <f>Sonvarsha!AQ45</f>
        <v>895.47948494420189</v>
      </c>
      <c r="M44" s="133">
        <f>Araiya!AQ45</f>
        <v>-906.11013020482255</v>
      </c>
      <c r="N44" s="133">
        <f>Teghra!AQ45</f>
        <v>520.49377564035603</v>
      </c>
      <c r="O44" s="133">
        <f>Halsi!AQ45</f>
        <v>715.97460032087656</v>
      </c>
    </row>
    <row r="45" spans="1:15" x14ac:dyDescent="0.25">
      <c r="A45" s="131">
        <f>Manjhaul!B46</f>
        <v>46225</v>
      </c>
      <c r="B45" s="132" t="str">
        <f>Manjhaul!C46</f>
        <v>M</v>
      </c>
      <c r="C45" s="133">
        <f>Manjhaul!AQ46</f>
        <v>-1840.8557195642293</v>
      </c>
      <c r="D45" s="133">
        <f>'Sahibpur Kamal'!AQ46</f>
        <v>1882.368323743065</v>
      </c>
      <c r="E45" s="133">
        <f>Dalsingsarai!AQ46</f>
        <v>-18687.244387904328</v>
      </c>
      <c r="F45" s="133">
        <f>Musrigharari!AQ46</f>
        <v>-8403.8728076407297</v>
      </c>
      <c r="G45" s="133"/>
      <c r="H45" s="133">
        <f>Buxar!AQ46</f>
        <v>35.214928746220323</v>
      </c>
      <c r="I45" s="133">
        <f>Laldiyara!AQ46</f>
        <v>-9537.4096116708097</v>
      </c>
      <c r="J45" s="133">
        <f>Asarganj!AQ46</f>
        <v>-3262.2842535911022</v>
      </c>
      <c r="K45" s="133">
        <f>Madhatpur!AQ46</f>
        <v>131.3674745534932</v>
      </c>
      <c r="L45" s="133">
        <f>Sonvarsha!AQ46</f>
        <v>-130.13999600574425</v>
      </c>
      <c r="M45" s="133">
        <f>Araiya!AQ46</f>
        <v>266.94096345828416</v>
      </c>
      <c r="N45" s="133">
        <f>Teghra!AQ46</f>
        <v>-247.97326423083504</v>
      </c>
      <c r="O45" s="133">
        <f>Halsi!AQ46</f>
        <v>-17426.943298802489</v>
      </c>
    </row>
    <row r="46" spans="1:15" x14ac:dyDescent="0.25">
      <c r="A46" s="131">
        <f>Manjhaul!B47</f>
        <v>46225</v>
      </c>
      <c r="B46" s="132" t="str">
        <f>Manjhaul!C47</f>
        <v>E</v>
      </c>
      <c r="C46" s="133">
        <f>Manjhaul!AQ47</f>
        <v>-62.013968249992189</v>
      </c>
      <c r="D46" s="133">
        <f>'Sahibpur Kamal'!AQ47</f>
        <v>-3658.826802015577</v>
      </c>
      <c r="E46" s="133">
        <f>Dalsingsarai!AQ47</f>
        <v>1012.4989420720231</v>
      </c>
      <c r="F46" s="133">
        <f>Musrigharari!AQ47</f>
        <v>232.75035817286596</v>
      </c>
      <c r="G46" s="133"/>
      <c r="H46" s="133">
        <f>Buxar!AQ47</f>
        <v>357.42887298091927</v>
      </c>
      <c r="I46" s="133">
        <f>Laldiyara!AQ47</f>
        <v>6585.567344790973</v>
      </c>
      <c r="J46" s="133">
        <f>Asarganj!AQ47</f>
        <v>4133.2032791018883</v>
      </c>
      <c r="K46" s="133">
        <f>Madhatpur!AQ47</f>
        <v>211.57746334636474</v>
      </c>
      <c r="L46" s="133">
        <f>Sonvarsha!AQ47</f>
        <v>-478.68508968044534</v>
      </c>
      <c r="M46" s="133">
        <f>Araiya!AQ47</f>
        <v>1949.3029958697707</v>
      </c>
      <c r="N46" s="133">
        <f>Teghra!AQ47</f>
        <v>1236.9096206307245</v>
      </c>
      <c r="O46" s="133">
        <f>Halsi!AQ47</f>
        <v>15636.201240588611</v>
      </c>
    </row>
    <row r="47" spans="1:15" x14ac:dyDescent="0.25">
      <c r="A47" s="131">
        <f>Manjhaul!B48</f>
        <v>46226</v>
      </c>
      <c r="B47" s="132" t="str">
        <f>Manjhaul!C48</f>
        <v>M</v>
      </c>
      <c r="C47" s="133">
        <f>Manjhaul!AQ48</f>
        <v>152.0496261878404</v>
      </c>
      <c r="D47" s="133">
        <f>'Sahibpur Kamal'!AQ48</f>
        <v>8606.4809821467024</v>
      </c>
      <c r="E47" s="133">
        <f>Dalsingsarai!AQ48</f>
        <v>-3530.6944192854407</v>
      </c>
      <c r="F47" s="133">
        <f>Musrigharari!AQ48</f>
        <v>481.56721118499502</v>
      </c>
      <c r="G47" s="133"/>
      <c r="H47" s="133">
        <f>Buxar!AQ48</f>
        <v>-288.82975819567309</v>
      </c>
      <c r="I47" s="133">
        <f>Laldiyara!AQ48</f>
        <v>-10245.508318662396</v>
      </c>
      <c r="J47" s="133">
        <f>Asarganj!AQ48</f>
        <v>18598.124106138486</v>
      </c>
      <c r="K47" s="133">
        <f>Madhatpur!AQ48</f>
        <v>3977.1461928189956</v>
      </c>
      <c r="L47" s="133">
        <f>Sonvarsha!AQ48</f>
        <v>327.47855933628034</v>
      </c>
      <c r="M47" s="133">
        <f>Araiya!AQ48</f>
        <v>72.488912699500446</v>
      </c>
      <c r="N47" s="133">
        <f>Teghra!AQ48</f>
        <v>457.66017603373007</v>
      </c>
      <c r="O47" s="133">
        <f>Halsi!AQ48</f>
        <v>-8605.2921319887919</v>
      </c>
    </row>
    <row r="48" spans="1:15" x14ac:dyDescent="0.25">
      <c r="A48" s="131">
        <f>Manjhaul!B49</f>
        <v>46226</v>
      </c>
      <c r="B48" s="132" t="str">
        <f>Manjhaul!C49</f>
        <v>E</v>
      </c>
      <c r="C48" s="133">
        <f>Manjhaul!AQ49</f>
        <v>-2564.483485269468</v>
      </c>
      <c r="D48" s="133">
        <f>'Sahibpur Kamal'!AQ49</f>
        <v>-178.17833704697921</v>
      </c>
      <c r="E48" s="133">
        <f>Dalsingsarai!AQ49</f>
        <v>916.80541010854472</v>
      </c>
      <c r="F48" s="133">
        <f>Musrigharari!AQ49</f>
        <v>48.218950742582095</v>
      </c>
      <c r="G48" s="133"/>
      <c r="H48" s="133">
        <f>Buxar!AQ49</f>
        <v>-55.007439581924906</v>
      </c>
      <c r="I48" s="133">
        <f>Laldiyara!AQ49</f>
        <v>-101465.25462010215</v>
      </c>
      <c r="J48" s="133">
        <f>Asarganj!AQ49</f>
        <v>-1239.208495058494</v>
      </c>
      <c r="K48" s="133">
        <f>Madhatpur!AQ49</f>
        <v>54.491386753722395</v>
      </c>
      <c r="L48" s="133">
        <f>Sonvarsha!AQ49</f>
        <v>708.72143077146939</v>
      </c>
      <c r="M48" s="133">
        <f>Araiya!AQ49</f>
        <v>7707.0130369817189</v>
      </c>
      <c r="N48" s="133">
        <f>Teghra!AQ49</f>
        <v>-22555.609214613625</v>
      </c>
      <c r="O48" s="133">
        <f>Halsi!AQ49</f>
        <v>-28477.73576024636</v>
      </c>
    </row>
    <row r="49" spans="1:15" x14ac:dyDescent="0.25">
      <c r="A49" s="131">
        <f>Manjhaul!B50</f>
        <v>46227</v>
      </c>
      <c r="B49" s="132" t="str">
        <f>Manjhaul!C50</f>
        <v>M</v>
      </c>
      <c r="C49" s="133">
        <f>Manjhaul!AQ50</f>
        <v>218.5011962330114</v>
      </c>
      <c r="D49" s="133">
        <f>'Sahibpur Kamal'!AQ50</f>
        <v>8075.2378529270427</v>
      </c>
      <c r="E49" s="133">
        <f>Dalsingsarai!AQ50</f>
        <v>-3180.5372686781461</v>
      </c>
      <c r="F49" s="133">
        <f>Musrigharari!AQ50</f>
        <v>-959.12693128591627</v>
      </c>
      <c r="G49" s="133"/>
      <c r="H49" s="133">
        <f>Buxar!AQ50</f>
        <v>-30.637933314456404</v>
      </c>
      <c r="I49" s="133">
        <f>Laldiyara!AQ50</f>
        <v>22834.959811424222</v>
      </c>
      <c r="J49" s="133">
        <f>Asarganj!AQ50</f>
        <v>11119.7932917332</v>
      </c>
      <c r="K49" s="133">
        <f>Madhatpur!AQ50</f>
        <v>104.10675572197883</v>
      </c>
      <c r="L49" s="133">
        <f>Sonvarsha!AQ50</f>
        <v>741.51158488823421</v>
      </c>
      <c r="M49" s="133">
        <f>Araiya!AQ50</f>
        <v>-3475.6947251235752</v>
      </c>
      <c r="N49" s="133">
        <f>Teghra!AQ50</f>
        <v>2922.3811680256022</v>
      </c>
      <c r="O49" s="133">
        <f>Halsi!AQ50</f>
        <v>12761.006383377449</v>
      </c>
    </row>
    <row r="50" spans="1:15" x14ac:dyDescent="0.25">
      <c r="A50" s="131">
        <f>Manjhaul!B51</f>
        <v>46227</v>
      </c>
      <c r="B50" s="132" t="str">
        <f>Manjhaul!C51</f>
        <v>E</v>
      </c>
      <c r="C50" s="133">
        <f>Manjhaul!AQ51</f>
        <v>2774.0729536276563</v>
      </c>
      <c r="D50" s="133">
        <f>'Sahibpur Kamal'!AQ51</f>
        <v>-7540.49488324905</v>
      </c>
      <c r="E50" s="133">
        <f>Dalsingsarai!AQ51</f>
        <v>-2916.4536468175029</v>
      </c>
      <c r="F50" s="133">
        <f>Musrigharari!AQ51</f>
        <v>130.65712868172091</v>
      </c>
      <c r="G50" s="133"/>
      <c r="H50" s="133">
        <f>Buxar!AQ51</f>
        <v>-112.69549797363172</v>
      </c>
      <c r="I50" s="133">
        <f>Laldiyara!AQ51</f>
        <v>-126.77386744357366</v>
      </c>
      <c r="J50" s="133">
        <f>Asarganj!AQ51</f>
        <v>68.242620213589703</v>
      </c>
      <c r="K50" s="133">
        <f>Madhatpur!AQ51</f>
        <v>85.615485320717198</v>
      </c>
      <c r="L50" s="133">
        <f>Sonvarsha!AQ51</f>
        <v>-657.02807251546437</v>
      </c>
      <c r="M50" s="133">
        <f>Araiya!AQ51</f>
        <v>3413.1836933112413</v>
      </c>
      <c r="N50" s="133">
        <f>Teghra!AQ51</f>
        <v>393.41042289844086</v>
      </c>
      <c r="O50" s="133">
        <f>Halsi!AQ51</f>
        <v>-13540.424547578396</v>
      </c>
    </row>
    <row r="51" spans="1:15" x14ac:dyDescent="0.25">
      <c r="A51" s="131">
        <f>Manjhaul!B52</f>
        <v>46228</v>
      </c>
      <c r="B51" s="132" t="str">
        <f>Manjhaul!C52</f>
        <v>M</v>
      </c>
      <c r="C51" s="133">
        <f>Manjhaul!AQ52</f>
        <v>197.31134230694022</v>
      </c>
      <c r="D51" s="133">
        <f>'Sahibpur Kamal'!AQ52</f>
        <v>10632.431477025235</v>
      </c>
      <c r="E51" s="133">
        <f>Dalsingsarai!AQ52</f>
        <v>897.95133498434598</v>
      </c>
      <c r="F51" s="133">
        <f>Musrigharari!AQ52</f>
        <v>392.8434466165225</v>
      </c>
      <c r="G51" s="133"/>
      <c r="H51" s="133">
        <f>Buxar!AQ52</f>
        <v>719.08137808075787</v>
      </c>
      <c r="I51" s="133">
        <f>Laldiyara!AQ52</f>
        <v>-37117.992985286844</v>
      </c>
      <c r="J51" s="133">
        <f>Asarganj!AQ52</f>
        <v>-9361.2001108928289</v>
      </c>
      <c r="K51" s="133">
        <f>Madhatpur!AQ52</f>
        <v>159.25423814701702</v>
      </c>
      <c r="L51" s="133">
        <f>Sonvarsha!AQ52</f>
        <v>186.03998749285256</v>
      </c>
      <c r="M51" s="133">
        <f>Araiya!AQ52</f>
        <v>488.59075481354307</v>
      </c>
      <c r="N51" s="133">
        <f>Teghra!AQ52</f>
        <v>535.74388796216692</v>
      </c>
      <c r="O51" s="133">
        <f>Halsi!AQ52</f>
        <v>26205.738742942583</v>
      </c>
    </row>
    <row r="52" spans="1:15" x14ac:dyDescent="0.25">
      <c r="A52" s="131">
        <f>Manjhaul!B53</f>
        <v>46228</v>
      </c>
      <c r="B52" s="132" t="str">
        <f>Manjhaul!C53</f>
        <v>E</v>
      </c>
      <c r="C52" s="133">
        <f>Manjhaul!AQ53</f>
        <v>463.43202415712227</v>
      </c>
      <c r="D52" s="133">
        <f>'Sahibpur Kamal'!AQ53</f>
        <v>10610.017486162536</v>
      </c>
      <c r="E52" s="133">
        <f>Dalsingsarai!AQ53</f>
        <v>1480.1483332347357</v>
      </c>
      <c r="F52" s="133">
        <f>Musrigharari!AQ53</f>
        <v>4871.6427977053118</v>
      </c>
      <c r="G52" s="133"/>
      <c r="H52" s="133">
        <f>Buxar!AQ53</f>
        <v>6144.1823550838981</v>
      </c>
      <c r="I52" s="133">
        <f>Laldiyara!AQ53</f>
        <v>4034.507219573622</v>
      </c>
      <c r="J52" s="133">
        <f>Asarganj!AQ53</f>
        <v>16382.579287953367</v>
      </c>
      <c r="K52" s="133">
        <f>Madhatpur!AQ53</f>
        <v>213.57558724658125</v>
      </c>
      <c r="L52" s="133">
        <f>Sonvarsha!AQ53</f>
        <v>249.98347990221271</v>
      </c>
      <c r="M52" s="133">
        <f>Araiya!AQ53</f>
        <v>-5292.5219537049406</v>
      </c>
      <c r="N52" s="133">
        <f>Teghra!AQ53</f>
        <v>-336.90933983164405</v>
      </c>
      <c r="O52" s="133">
        <f>Halsi!AQ53</f>
        <v>-25031.364631881712</v>
      </c>
    </row>
    <row r="53" spans="1:15" x14ac:dyDescent="0.25">
      <c r="A53" s="131">
        <f>Manjhaul!B54</f>
        <v>46229</v>
      </c>
      <c r="B53" s="132" t="str">
        <f>Manjhaul!C54</f>
        <v>M</v>
      </c>
      <c r="C53" s="133">
        <f>Manjhaul!AQ54</f>
        <v>3850.1002037906292</v>
      </c>
      <c r="D53" s="133">
        <f>'Sahibpur Kamal'!AQ54</f>
        <v>-6844.3905084432099</v>
      </c>
      <c r="E53" s="133">
        <f>Dalsingsarai!AQ54</f>
        <v>1459.5621212023359</v>
      </c>
      <c r="F53" s="133">
        <f>Musrigharari!AQ54</f>
        <v>1091.7934796173404</v>
      </c>
      <c r="G53" s="133"/>
      <c r="H53" s="133">
        <f>Buxar!AQ54</f>
        <v>91.910724678647597</v>
      </c>
      <c r="I53" s="133">
        <f>Laldiyara!AQ54</f>
        <v>-423.8708815741158</v>
      </c>
      <c r="J53" s="133">
        <f>Asarganj!AQ54</f>
        <v>2862.526301085969</v>
      </c>
      <c r="K53" s="133">
        <f>Madhatpur!AQ54</f>
        <v>2691.9179080547274</v>
      </c>
      <c r="L53" s="133">
        <f>Sonvarsha!AQ54</f>
        <v>589.81501001492688</v>
      </c>
      <c r="M53" s="133">
        <f>Araiya!AQ54</f>
        <v>-1346.8524210742471</v>
      </c>
      <c r="N53" s="133">
        <f>Teghra!AQ54</f>
        <v>4390.9692871287007</v>
      </c>
      <c r="O53" s="133">
        <f>Halsi!AQ54</f>
        <v>9367.9937118202197</v>
      </c>
    </row>
    <row r="54" spans="1:15" x14ac:dyDescent="0.25">
      <c r="A54" s="131">
        <f>Manjhaul!B55</f>
        <v>46229</v>
      </c>
      <c r="B54" s="132" t="str">
        <f>Manjhaul!C55</f>
        <v>E</v>
      </c>
      <c r="C54" s="133">
        <f>Manjhaul!AQ55</f>
        <v>509.84930656721957</v>
      </c>
      <c r="D54" s="133">
        <f>'Sahibpur Kamal'!AQ55</f>
        <v>-6331.5620757649685</v>
      </c>
      <c r="E54" s="133">
        <f>Dalsingsarai!AQ55</f>
        <v>-2173.3455605807339</v>
      </c>
      <c r="F54" s="133">
        <f>Musrigharari!AQ55</f>
        <v>528.08649235484108</v>
      </c>
      <c r="G54" s="133"/>
      <c r="H54" s="133">
        <f>Buxar!AQ55</f>
        <v>3547.7076594691634</v>
      </c>
      <c r="I54" s="133">
        <f>Laldiyara!AQ55</f>
        <v>10035.513586512723</v>
      </c>
      <c r="J54" s="133">
        <f>Asarganj!AQ55</f>
        <v>4658.604455975531</v>
      </c>
      <c r="K54" s="133">
        <f>Madhatpur!AQ55</f>
        <v>40.192638652072652</v>
      </c>
      <c r="L54" s="133">
        <f>Sonvarsha!AQ55</f>
        <v>75.761095971672376</v>
      </c>
      <c r="M54" s="133">
        <f>Araiya!AQ55</f>
        <v>-388.96455102932759</v>
      </c>
      <c r="N54" s="133">
        <f>Teghra!AQ55</f>
        <v>407.65293205117916</v>
      </c>
      <c r="O54" s="133">
        <f>Halsi!AQ55</f>
        <v>-8825.7986304301157</v>
      </c>
    </row>
    <row r="55" spans="1:15" x14ac:dyDescent="0.25">
      <c r="A55" s="131">
        <f>Manjhaul!B56</f>
        <v>46230</v>
      </c>
      <c r="B55" s="132" t="str">
        <f>Manjhaul!C56</f>
        <v>M</v>
      </c>
      <c r="C55" s="133">
        <f>Manjhaul!AQ56</f>
        <v>-56.386717426509676</v>
      </c>
      <c r="D55" s="133">
        <f>'Sahibpur Kamal'!AQ56</f>
        <v>-5397.636033730143</v>
      </c>
      <c r="E55" s="133">
        <f>Dalsingsarai!AQ56</f>
        <v>411.17493366288141</v>
      </c>
      <c r="F55" s="133">
        <f>Musrigharari!AQ56</f>
        <v>-7053.524567921334</v>
      </c>
      <c r="G55" s="133"/>
      <c r="H55" s="133">
        <f>Buxar!AQ56</f>
        <v>11.294438602873942</v>
      </c>
      <c r="I55" s="133">
        <f>Laldiyara!AQ56</f>
        <v>-1189.4000749613447</v>
      </c>
      <c r="J55" s="133">
        <f>Asarganj!AQ56</f>
        <v>2755.2789975854721</v>
      </c>
      <c r="K55" s="133">
        <f>Madhatpur!AQ56</f>
        <v>51.056600948823863</v>
      </c>
      <c r="L55" s="133">
        <f>Sonvarsha!AQ56</f>
        <v>589.81207787816584</v>
      </c>
      <c r="M55" s="133">
        <f>Araiya!AQ56</f>
        <v>-1916.1603942827303</v>
      </c>
      <c r="N55" s="133">
        <f>Teghra!AQ56</f>
        <v>-4753.0191935480543</v>
      </c>
      <c r="O55" s="133">
        <f>Halsi!AQ56</f>
        <v>-72.523467358247672</v>
      </c>
    </row>
    <row r="56" spans="1:15" x14ac:dyDescent="0.25">
      <c r="A56" s="131">
        <f>Manjhaul!B57</f>
        <v>46230</v>
      </c>
      <c r="B56" s="132" t="str">
        <f>Manjhaul!C57</f>
        <v>E</v>
      </c>
      <c r="C56" s="133">
        <f>Manjhaul!AQ57</f>
        <v>-138.51607567970458</v>
      </c>
      <c r="D56" s="133">
        <f>'Sahibpur Kamal'!AQ57</f>
        <v>-166.28302262624436</v>
      </c>
      <c r="E56" s="133">
        <f>Dalsingsarai!AQ57</f>
        <v>-7997.2973226229933</v>
      </c>
      <c r="F56" s="133">
        <f>Musrigharari!AQ57</f>
        <v>424.15942498718601</v>
      </c>
      <c r="G56" s="133"/>
      <c r="H56" s="133">
        <f>Buxar!AQ57</f>
        <v>250.10085556431892</v>
      </c>
      <c r="I56" s="133">
        <f>Laldiyara!AQ57</f>
        <v>13448.017069427955</v>
      </c>
      <c r="J56" s="133">
        <f>Asarganj!AQ57</f>
        <v>-6843.2805478310074</v>
      </c>
      <c r="K56" s="133">
        <f>Madhatpur!AQ57</f>
        <v>71.634721465125693</v>
      </c>
      <c r="L56" s="133">
        <f>Sonvarsha!AQ57</f>
        <v>121.86004273921026</v>
      </c>
      <c r="M56" s="133">
        <f>Araiya!AQ57</f>
        <v>1489.531819145981</v>
      </c>
      <c r="N56" s="133">
        <f>Teghra!AQ57</f>
        <v>357.71723292891193</v>
      </c>
      <c r="O56" s="133">
        <f>Halsi!AQ57</f>
        <v>8368.2231829605644</v>
      </c>
    </row>
    <row r="57" spans="1:15" x14ac:dyDescent="0.25">
      <c r="A57" s="131">
        <f>Manjhaul!B58</f>
        <v>46231</v>
      </c>
      <c r="B57" s="132" t="str">
        <f>Manjhaul!C58</f>
        <v>M</v>
      </c>
      <c r="C57" s="133">
        <f>Manjhaul!AQ58</f>
        <v>-3283.8286371746722</v>
      </c>
      <c r="D57" s="133">
        <f>'Sahibpur Kamal'!AQ58</f>
        <v>732.7519335050838</v>
      </c>
      <c r="E57" s="133">
        <f>Dalsingsarai!AQ58</f>
        <v>481.41878670507185</v>
      </c>
      <c r="F57" s="133">
        <f>Musrigharari!AQ58</f>
        <v>2039.7667659621407</v>
      </c>
      <c r="G57" s="133"/>
      <c r="H57" s="133">
        <f>Buxar!AQ58</f>
        <v>75.759566640567854</v>
      </c>
      <c r="I57" s="133">
        <f>Laldiyara!AQ58</f>
        <v>344.75710022411226</v>
      </c>
      <c r="J57" s="133">
        <f>Asarganj!AQ58</f>
        <v>10409.825974770498</v>
      </c>
      <c r="K57" s="133">
        <f>Madhatpur!AQ58</f>
        <v>81.57800174474653</v>
      </c>
      <c r="L57" s="133">
        <f>Sonvarsha!AQ58</f>
        <v>1641.0893165166995</v>
      </c>
      <c r="M57" s="133">
        <f>Araiya!AQ58</f>
        <v>2746.208465509741</v>
      </c>
      <c r="N57" s="133">
        <f>Teghra!AQ58</f>
        <v>-1420.3872112725735</v>
      </c>
      <c r="O57" s="133">
        <f>Halsi!AQ58</f>
        <v>5406.6592249774531</v>
      </c>
    </row>
    <row r="58" spans="1:15" x14ac:dyDescent="0.25">
      <c r="A58" s="131">
        <f>Manjhaul!B59</f>
        <v>46231</v>
      </c>
      <c r="B58" s="132" t="str">
        <f>Manjhaul!C59</f>
        <v>E</v>
      </c>
      <c r="C58" s="133">
        <f>Manjhaul!AQ59</f>
        <v>-171.14762520597156</v>
      </c>
      <c r="D58" s="133">
        <f>'Sahibpur Kamal'!AQ59</f>
        <v>-1326.7202570359348</v>
      </c>
      <c r="E58" s="133">
        <f>Dalsingsarai!AQ59</f>
        <v>-4439.8800598401995</v>
      </c>
      <c r="F58" s="133">
        <f>Musrigharari!AQ59</f>
        <v>505.53187545177877</v>
      </c>
      <c r="G58" s="133"/>
      <c r="H58" s="133">
        <f>Buxar!AQ59</f>
        <v>-13342.675048254448</v>
      </c>
      <c r="I58" s="133">
        <f>Laldiyara!AQ59</f>
        <v>-43324.032090640132</v>
      </c>
      <c r="J58" s="133">
        <f>Asarganj!AQ59</f>
        <v>-2713.4642196926488</v>
      </c>
      <c r="K58" s="133">
        <f>Madhatpur!AQ59</f>
        <v>3499.8362639642464</v>
      </c>
      <c r="L58" s="133">
        <f>Sonvarsha!AQ59</f>
        <v>59133.629281469395</v>
      </c>
      <c r="M58" s="133">
        <f>Araiya!AQ59</f>
        <v>485.52718259911705</v>
      </c>
      <c r="N58" s="133">
        <f>Teghra!AQ59</f>
        <v>33.003799620813744</v>
      </c>
      <c r="O58" s="133">
        <f>Halsi!AQ59</f>
        <v>5231.500189869168</v>
      </c>
    </row>
    <row r="59" spans="1:15" x14ac:dyDescent="0.25">
      <c r="A59" s="131">
        <f>Manjhaul!B60</f>
        <v>46232</v>
      </c>
      <c r="B59" s="132" t="str">
        <f>Manjhaul!C60</f>
        <v>M</v>
      </c>
      <c r="C59" s="133">
        <f>Manjhaul!AQ60</f>
        <v>-2440.5544952905871</v>
      </c>
      <c r="D59" s="133">
        <f>'Sahibpur Kamal'!AQ60</f>
        <v>3060.0726214798933</v>
      </c>
      <c r="E59" s="133">
        <f>Dalsingsarai!AQ60</f>
        <v>775.90388971830646</v>
      </c>
      <c r="F59" s="133">
        <f>Musrigharari!AQ60</f>
        <v>-1051.3304028751406</v>
      </c>
      <c r="G59" s="133"/>
      <c r="H59" s="133">
        <f>Buxar!AQ60</f>
        <v>15.784922758755862</v>
      </c>
      <c r="I59" s="133">
        <f>Laldiyara!AQ60</f>
        <v>20377.791343776516</v>
      </c>
      <c r="J59" s="133">
        <f>Asarganj!AQ60</f>
        <v>7414.782643020324</v>
      </c>
      <c r="K59" s="133">
        <f>Madhatpur!AQ60</f>
        <v>36.245521466578971</v>
      </c>
      <c r="L59" s="133">
        <f>Sonvarsha!AQ60</f>
        <v>447.13609063354716</v>
      </c>
      <c r="M59" s="133" t="e">
        <f>Araiya!#REF!</f>
        <v>#REF!</v>
      </c>
      <c r="N59" s="133">
        <f>Teghra!AQ60</f>
        <v>561.78400932005081</v>
      </c>
      <c r="O59" s="133" t="e">
        <f>Halsi!#REF!</f>
        <v>#REF!</v>
      </c>
    </row>
    <row r="60" spans="1:15" x14ac:dyDescent="0.25">
      <c r="A60" s="131">
        <f>Manjhaul!B61</f>
        <v>46232</v>
      </c>
      <c r="B60" s="132" t="str">
        <f>Manjhaul!C61</f>
        <v>E</v>
      </c>
      <c r="C60" s="133">
        <f>Manjhaul!AQ61</f>
        <v>-1742.5717561139027</v>
      </c>
      <c r="D60" s="133">
        <f>'Sahibpur Kamal'!AQ61</f>
        <v>-31.41312851028168</v>
      </c>
      <c r="E60" s="133">
        <f>Dalsingsarai!AQ61</f>
        <v>935.86739184255225</v>
      </c>
      <c r="F60" s="133">
        <f>Musrigharari!AQ61</f>
        <v>271.18765424652395</v>
      </c>
      <c r="G60" s="133"/>
      <c r="H60" s="133">
        <f>Buxar!AQ61</f>
        <v>-5065.8802162144138</v>
      </c>
      <c r="I60" s="133">
        <f>Laldiyara!AQ61</f>
        <v>288.11190044133696</v>
      </c>
      <c r="J60" s="133">
        <f>Asarganj!AQ61</f>
        <v>-62.047187003057758</v>
      </c>
      <c r="K60" s="133">
        <f>Madhatpur!AQ61</f>
        <v>46.922983684364759</v>
      </c>
      <c r="L60" s="133">
        <f>Sonvarsha!AQ61</f>
        <v>-4482.3680093330704</v>
      </c>
      <c r="M60" s="133" t="e">
        <f>Araiya!#REF!</f>
        <v>#REF!</v>
      </c>
      <c r="N60" s="133">
        <f>Teghra!AQ61</f>
        <v>523.4597243150115</v>
      </c>
      <c r="O60" s="133" t="e">
        <f>Halsi!#REF!</f>
        <v>#REF!</v>
      </c>
    </row>
    <row r="61" spans="1:15" x14ac:dyDescent="0.25">
      <c r="A61" s="131">
        <f>Manjhaul!B62</f>
        <v>46233</v>
      </c>
      <c r="B61" s="132" t="str">
        <f>Manjhaul!C62</f>
        <v>M</v>
      </c>
      <c r="C61" s="133">
        <f>Manjhaul!AQ62</f>
        <v>-35.799528821419287</v>
      </c>
      <c r="D61" s="133">
        <f>'Sahibpur Kamal'!AQ62</f>
        <v>-9250.3155276012367</v>
      </c>
      <c r="E61" s="133">
        <f>Dalsingsarai!AQ62</f>
        <v>-10041.644419220454</v>
      </c>
      <c r="F61" s="133">
        <f>Musrigharari!AQ62</f>
        <v>244.80637977548687</v>
      </c>
      <c r="G61" s="133"/>
      <c r="H61" s="133">
        <f>Buxar!AQ62</f>
        <v>36.421986478302429</v>
      </c>
      <c r="I61" s="133">
        <f>Laldiyara!AQ62</f>
        <v>-6616.9259647573381</v>
      </c>
      <c r="J61" s="133">
        <f>Asarganj!AQ62</f>
        <v>-5543.1380959175422</v>
      </c>
      <c r="K61" s="133">
        <f>Madhatpur!AQ62</f>
        <v>67.944388465857344</v>
      </c>
      <c r="L61" s="133">
        <f>Sonvarsha!AQ62</f>
        <v>174.38247600623828</v>
      </c>
      <c r="M61" s="133" t="e">
        <f>Araiya!#REF!</f>
        <v>#REF!</v>
      </c>
      <c r="N61" s="133">
        <f>Teghra!AQ62</f>
        <v>-4402.0536332050106</v>
      </c>
      <c r="O61" s="133" t="e">
        <f>Halsi!#REF!</f>
        <v>#REF!</v>
      </c>
    </row>
    <row r="62" spans="1:15" x14ac:dyDescent="0.25">
      <c r="A62" s="131">
        <f>Manjhaul!B63</f>
        <v>46233</v>
      </c>
      <c r="B62" s="132" t="str">
        <f>Manjhaul!C63</f>
        <v>E</v>
      </c>
      <c r="C62" s="133">
        <f>Manjhaul!AQ63</f>
        <v>-3110.6623811255176</v>
      </c>
      <c r="D62" s="133">
        <f>'Sahibpur Kamal'!AQ63</f>
        <v>1580.9396375912365</v>
      </c>
      <c r="E62" s="133">
        <f>Dalsingsarai!AQ63</f>
        <v>997.88264067034243</v>
      </c>
      <c r="F62" s="133">
        <f>Musrigharari!AQ63</f>
        <v>754.63423831727005</v>
      </c>
      <c r="G62" s="133"/>
      <c r="H62" s="133">
        <f>Buxar!AQ63</f>
        <v>-67.386470272031872</v>
      </c>
      <c r="I62" s="133">
        <f>Laldiyara!AQ63</f>
        <v>11043.753914871584</v>
      </c>
      <c r="J62" s="133">
        <f>Asarganj!AQ63</f>
        <v>-34764.887113175326</v>
      </c>
      <c r="K62" s="133">
        <f>Madhatpur!AQ63</f>
        <v>56.532896735785009</v>
      </c>
      <c r="L62" s="133">
        <f>Sonvarsha!AQ63</f>
        <v>792.20411442082877</v>
      </c>
      <c r="M62" s="133" t="e">
        <f>Araiya!#REF!</f>
        <v>#REF!</v>
      </c>
      <c r="N62" s="133">
        <f>Teghra!AQ63</f>
        <v>458.19748969198292</v>
      </c>
      <c r="O62" s="133" t="e">
        <f>Halsi!#REF!</f>
        <v>#REF!</v>
      </c>
    </row>
    <row r="63" spans="1:15" x14ac:dyDescent="0.25">
      <c r="A63" s="131">
        <f>Manjhaul!B64</f>
        <v>46234</v>
      </c>
      <c r="B63" s="132" t="str">
        <f>Manjhaul!C64</f>
        <v>M</v>
      </c>
      <c r="C63" s="133">
        <f>Manjhaul!AQ64</f>
        <v>0</v>
      </c>
      <c r="D63" s="133">
        <f>'Sahibpur Kamal'!AQ64</f>
        <v>0</v>
      </c>
      <c r="E63" s="133">
        <f>Dalsingsarai!AQ64</f>
        <v>0</v>
      </c>
      <c r="F63" s="133">
        <f>Musrigharari!AQ64</f>
        <v>0</v>
      </c>
      <c r="G63" s="133"/>
      <c r="H63" s="133">
        <f>Buxar!AQ64</f>
        <v>0</v>
      </c>
      <c r="I63" s="133">
        <f>Laldiyara!AQ64</f>
        <v>0</v>
      </c>
      <c r="J63" s="133">
        <f>Asarganj!AQ64</f>
        <v>0</v>
      </c>
      <c r="K63" s="133">
        <f>Madhatpur!AQ64</f>
        <v>0</v>
      </c>
      <c r="L63" s="133">
        <f>Sonvarsha!AQ64</f>
        <v>0</v>
      </c>
      <c r="M63" s="133" t="e">
        <f>Araiya!#REF!</f>
        <v>#REF!</v>
      </c>
      <c r="N63" s="133">
        <f>Teghra!AQ64</f>
        <v>0</v>
      </c>
      <c r="O63" s="133" t="e">
        <f>Halsi!#REF!</f>
        <v>#REF!</v>
      </c>
    </row>
    <row r="64" spans="1:15" x14ac:dyDescent="0.25">
      <c r="A64" s="131">
        <f>Manjhaul!B65</f>
        <v>46234</v>
      </c>
      <c r="B64" s="132" t="str">
        <f>Manjhaul!C65</f>
        <v>E</v>
      </c>
      <c r="C64" s="133">
        <f>Manjhaul!AQ65</f>
        <v>0</v>
      </c>
      <c r="D64" s="133">
        <f>'Sahibpur Kamal'!AQ65</f>
        <v>0</v>
      </c>
      <c r="E64" s="133">
        <f>Dalsingsarai!AQ65</f>
        <v>0</v>
      </c>
      <c r="F64" s="133">
        <f>Musrigharari!AQ65</f>
        <v>0</v>
      </c>
      <c r="G64" s="133"/>
      <c r="H64" s="133">
        <f>Buxar!AQ65</f>
        <v>0</v>
      </c>
      <c r="I64" s="133">
        <f>Laldiyara!AQ65</f>
        <v>0</v>
      </c>
      <c r="J64" s="133">
        <f>Asarganj!AQ65</f>
        <v>0</v>
      </c>
      <c r="K64" s="133">
        <f>Madhatpur!AQ65</f>
        <v>0</v>
      </c>
      <c r="L64" s="133">
        <f>Sonvarsha!AQ65</f>
        <v>0</v>
      </c>
      <c r="M64" s="133" t="e">
        <f>Araiya!#REF!</f>
        <v>#REF!</v>
      </c>
      <c r="N64" s="133">
        <f>Teghra!AQ65</f>
        <v>0</v>
      </c>
      <c r="O64" s="133" t="e">
        <f>Halsi!#REF!</f>
        <v>#REF!</v>
      </c>
    </row>
    <row r="65" spans="1:15" x14ac:dyDescent="0.25">
      <c r="A65" s="262" t="s">
        <v>107</v>
      </c>
      <c r="B65" s="262"/>
      <c r="C65" s="134">
        <f>SUM(C3:C64)</f>
        <v>-46021.262774325733</v>
      </c>
      <c r="D65" s="134">
        <f t="shared" ref="D65:O65" si="0">SUM(D3:D64)</f>
        <v>-15351.071034339962</v>
      </c>
      <c r="E65" s="134">
        <f t="shared" si="0"/>
        <v>-31673.006848606867</v>
      </c>
      <c r="F65" s="134">
        <f t="shared" si="0"/>
        <v>-29817.416405901229</v>
      </c>
      <c r="G65" s="134">
        <f t="shared" si="0"/>
        <v>0</v>
      </c>
      <c r="H65" s="134">
        <f t="shared" si="0"/>
        <v>-21204.944576397302</v>
      </c>
      <c r="I65" s="134">
        <f t="shared" si="0"/>
        <v>9178.6752426568964</v>
      </c>
      <c r="J65" s="134">
        <f t="shared" si="0"/>
        <v>2669.7999400069675</v>
      </c>
      <c r="K65" s="134">
        <f t="shared" si="0"/>
        <v>32998.934670670205</v>
      </c>
      <c r="L65" s="134">
        <f t="shared" si="0"/>
        <v>85123.896420833509</v>
      </c>
      <c r="M65" s="134" t="e">
        <f t="shared" si="0"/>
        <v>#REF!</v>
      </c>
      <c r="N65" s="134">
        <f t="shared" si="0"/>
        <v>-1278.099948606</v>
      </c>
      <c r="O65" s="134" t="e">
        <f t="shared" si="0"/>
        <v>#REF!</v>
      </c>
    </row>
  </sheetData>
  <mergeCells count="5">
    <mergeCell ref="C1:H1"/>
    <mergeCell ref="I1:O1"/>
    <mergeCell ref="A1:A2"/>
    <mergeCell ref="B1:B2"/>
    <mergeCell ref="A65:B65"/>
  </mergeCells>
  <conditionalFormatting sqref="C3:O65">
    <cfRule type="cellIs" dxfId="101" priority="1" operator="greaterThan">
      <formula>0</formula>
    </cfRule>
    <cfRule type="cellIs" dxfId="10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9"/>
  <sheetViews>
    <sheetView topLeftCell="A26" zoomScale="80" zoomScaleNormal="80" workbookViewId="0">
      <selection activeCell="B45" sqref="B45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7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164</v>
      </c>
      <c r="C1" s="44"/>
      <c r="Y1"/>
      <c r="Z1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40" t="s">
        <v>64</v>
      </c>
      <c r="C2" s="242" t="s">
        <v>65</v>
      </c>
      <c r="D2" s="244" t="s">
        <v>66</v>
      </c>
      <c r="E2" s="245"/>
      <c r="F2" s="245"/>
      <c r="G2" s="245"/>
      <c r="H2" s="246"/>
      <c r="I2" s="237" t="s">
        <v>67</v>
      </c>
      <c r="J2" s="238"/>
      <c r="K2" s="238"/>
      <c r="L2" s="239"/>
      <c r="M2" s="237" t="s">
        <v>68</v>
      </c>
      <c r="N2" s="238"/>
      <c r="O2" s="238"/>
      <c r="P2" s="238"/>
      <c r="Q2" s="239"/>
      <c r="R2" s="237" t="s">
        <v>69</v>
      </c>
      <c r="S2" s="238"/>
      <c r="T2" s="239"/>
      <c r="U2" s="234" t="s">
        <v>70</v>
      </c>
      <c r="V2" s="235"/>
      <c r="W2" s="235"/>
      <c r="X2" s="235"/>
      <c r="Y2" s="235"/>
      <c r="Z2" s="235"/>
      <c r="AA2" s="235"/>
      <c r="AB2" s="236"/>
      <c r="AC2" s="237" t="s">
        <v>71</v>
      </c>
      <c r="AD2" s="238"/>
      <c r="AE2" s="238"/>
      <c r="AF2" s="238"/>
      <c r="AG2" s="239"/>
      <c r="AH2" s="237" t="s">
        <v>72</v>
      </c>
      <c r="AI2" s="238"/>
      <c r="AJ2" s="238"/>
      <c r="AK2" s="238"/>
      <c r="AL2" s="239"/>
      <c r="AM2" s="234" t="s">
        <v>73</v>
      </c>
      <c r="AN2" s="235"/>
      <c r="AO2" s="235"/>
      <c r="AP2" s="235"/>
      <c r="AQ2" s="236"/>
    </row>
    <row r="3" spans="1:46" x14ac:dyDescent="0.25">
      <c r="B3" s="241"/>
      <c r="C3" s="243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70</v>
      </c>
      <c r="E4" s="54">
        <v>4.2</v>
      </c>
      <c r="F4" s="55">
        <v>8.1999999999999993</v>
      </c>
      <c r="G4" s="62">
        <f t="shared" ref="G4:G65" si="0">+D4*E4%</f>
        <v>2.9400000000000004</v>
      </c>
      <c r="H4" s="63">
        <f t="shared" ref="H4:H65" si="1">+D4*F4%</f>
        <v>5.7399999999999993</v>
      </c>
      <c r="I4" s="202">
        <v>344.59999999999997</v>
      </c>
      <c r="J4" s="202">
        <v>354.93799999999999</v>
      </c>
      <c r="K4" s="202">
        <v>4.3984329657573999</v>
      </c>
      <c r="L4" s="202">
        <v>8.199535693557749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354.93799999999999</v>
      </c>
      <c r="S4" s="62">
        <f t="shared" ref="S4:S65" si="2">+J4*K4%+O4*P4%</f>
        <v>15.611709999999999</v>
      </c>
      <c r="T4" s="63">
        <f t="shared" ref="T4:T65" si="3">+J4*L4%+O4*Q4%</f>
        <v>29.103268000000003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425</v>
      </c>
      <c r="AI4" s="66">
        <v>4.3499999999999996</v>
      </c>
      <c r="AJ4" s="66">
        <v>8.1999999999999993</v>
      </c>
      <c r="AK4" s="62">
        <f t="shared" ref="AK4:AK65" si="8">AH4*AI4%</f>
        <v>18.487499999999997</v>
      </c>
      <c r="AL4" s="72">
        <f t="shared" ref="AL4:AL65" si="9">AH4*AJ4%</f>
        <v>34.849999999999994</v>
      </c>
      <c r="AM4" s="73">
        <f>+D4+R4-AC4-AH4</f>
        <v>-6.2000000000011823E-2</v>
      </c>
      <c r="AN4" s="74">
        <f t="shared" ref="AN4:AO19" si="10">+G4+S4-AF4-AK4</f>
        <v>6.4210000000002765E-2</v>
      </c>
      <c r="AO4" s="74">
        <f t="shared" si="10"/>
        <v>-6.7319999999924107E-3</v>
      </c>
      <c r="AP4" s="75">
        <f>(AN4+AO4)/(S4+T4)</f>
        <v>1.285430577646943E-3</v>
      </c>
      <c r="AQ4" s="76">
        <f t="shared" ref="AQ4:AQ65" si="11">($AP$1*AN4+$AQ$1*AO4)</f>
        <v>28.838820737698622</v>
      </c>
      <c r="AR4" s="77">
        <f t="shared" ref="AR4:AR65" si="12">(D4+J4+O4)-(X4+AH4)</f>
        <v>-6.2000000000011823E-2</v>
      </c>
      <c r="AT4" s="78"/>
    </row>
    <row r="5" spans="1:46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79">
        <v>425</v>
      </c>
      <c r="E5" s="62">
        <v>4.3499999999999996</v>
      </c>
      <c r="F5" s="62">
        <v>8.1999999999999993</v>
      </c>
      <c r="G5" s="62">
        <f t="shared" si="0"/>
        <v>18.487499999999997</v>
      </c>
      <c r="H5" s="63">
        <f t="shared" si="1"/>
        <v>34.849999999999994</v>
      </c>
      <c r="I5" s="202">
        <v>421.29999999999995</v>
      </c>
      <c r="J5" s="202">
        <v>433.93899999999996</v>
      </c>
      <c r="K5" s="202">
        <v>3.9788037028245906</v>
      </c>
      <c r="L5" s="202">
        <v>8.2309755518632794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433.93899999999996</v>
      </c>
      <c r="S5" s="62">
        <f t="shared" si="2"/>
        <v>17.265580999999997</v>
      </c>
      <c r="T5" s="63">
        <f t="shared" si="3"/>
        <v>35.717412999999993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855</v>
      </c>
      <c r="AI5" s="66">
        <v>4.2</v>
      </c>
      <c r="AJ5" s="66">
        <v>8.2200000000000006</v>
      </c>
      <c r="AK5" s="62">
        <f t="shared" si="8"/>
        <v>35.910000000000004</v>
      </c>
      <c r="AL5" s="72">
        <f t="shared" si="9"/>
        <v>70.281000000000006</v>
      </c>
      <c r="AM5" s="73">
        <f t="shared" ref="AM5:AM65" si="15">+D5+R5-AC5-AH5</f>
        <v>3.9389999999999645</v>
      </c>
      <c r="AN5" s="74">
        <f t="shared" si="10"/>
        <v>-0.15691900000000913</v>
      </c>
      <c r="AO5" s="74">
        <f t="shared" si="10"/>
        <v>0.28641299999998182</v>
      </c>
      <c r="AP5" s="75">
        <f t="shared" ref="AP5:AP65" si="16">(AN5+AO5)/(S5+T5)</f>
        <v>2.4440672416506455E-3</v>
      </c>
      <c r="AQ5" s="76">
        <f t="shared" si="11"/>
        <v>10.373457052529204</v>
      </c>
      <c r="AR5" s="77">
        <f t="shared" si="12"/>
        <v>3.9389999999999645</v>
      </c>
    </row>
    <row r="6" spans="1:46" x14ac:dyDescent="0.25">
      <c r="A6" t="str">
        <f t="shared" si="13"/>
        <v>46205M</v>
      </c>
      <c r="B6" s="51">
        <f>+B4+1</f>
        <v>46205</v>
      </c>
      <c r="C6" s="52" t="s">
        <v>87</v>
      </c>
      <c r="D6" s="79">
        <v>855</v>
      </c>
      <c r="E6" s="62">
        <v>4.2</v>
      </c>
      <c r="F6" s="62">
        <v>8.2200000000000006</v>
      </c>
      <c r="G6" s="62">
        <f t="shared" si="0"/>
        <v>35.910000000000004</v>
      </c>
      <c r="H6" s="63">
        <f t="shared" si="1"/>
        <v>70.281000000000006</v>
      </c>
      <c r="I6" s="202">
        <v>379.09999999999997</v>
      </c>
      <c r="J6" s="202">
        <v>390.47299999999996</v>
      </c>
      <c r="K6" s="202">
        <v>4.1632814560801901</v>
      </c>
      <c r="L6" s="202">
        <v>8.18876285940385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390.47299999999996</v>
      </c>
      <c r="S6" s="62">
        <f t="shared" si="2"/>
        <v>16.256489999999999</v>
      </c>
      <c r="T6" s="63">
        <f t="shared" si="3"/>
        <v>31.974907999999992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1246</v>
      </c>
      <c r="AI6" s="66">
        <v>4.2</v>
      </c>
      <c r="AJ6" s="66">
        <v>8.2100000000000009</v>
      </c>
      <c r="AK6" s="62">
        <f t="shared" si="8"/>
        <v>52.332000000000001</v>
      </c>
      <c r="AL6" s="72">
        <f t="shared" si="9"/>
        <v>102.29660000000001</v>
      </c>
      <c r="AM6" s="73">
        <f t="shared" si="15"/>
        <v>-0.52700000000004366</v>
      </c>
      <c r="AN6" s="74">
        <f t="shared" si="10"/>
        <v>-0.1655099999999976</v>
      </c>
      <c r="AO6" s="74">
        <f t="shared" si="10"/>
        <v>-4.0692000000007056E-2</v>
      </c>
      <c r="AP6" s="75">
        <f t="shared" si="16"/>
        <v>-4.2752648388919741E-3</v>
      </c>
      <c r="AQ6" s="76">
        <f t="shared" si="11"/>
        <v>-91.719833497930182</v>
      </c>
      <c r="AR6" s="77">
        <f t="shared" si="12"/>
        <v>-0.52700000000004366</v>
      </c>
    </row>
    <row r="7" spans="1:46" x14ac:dyDescent="0.25">
      <c r="A7" t="str">
        <f t="shared" si="13"/>
        <v>46205E</v>
      </c>
      <c r="B7" s="51">
        <f>+B5+1</f>
        <v>46205</v>
      </c>
      <c r="C7" s="52" t="s">
        <v>88</v>
      </c>
      <c r="D7" s="79">
        <v>1246</v>
      </c>
      <c r="E7" s="62">
        <v>4.2</v>
      </c>
      <c r="F7" s="62">
        <v>8.2100000000000009</v>
      </c>
      <c r="G7" s="62">
        <f t="shared" si="0"/>
        <v>52.332000000000001</v>
      </c>
      <c r="H7" s="63">
        <f t="shared" si="1"/>
        <v>102.29660000000001</v>
      </c>
      <c r="I7" s="202">
        <v>454.80000000000007</v>
      </c>
      <c r="J7" s="202">
        <v>468.44400000000007</v>
      </c>
      <c r="K7" s="202">
        <v>3.8377088830255057</v>
      </c>
      <c r="L7" s="202">
        <v>8.0950087950747598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468.44400000000007</v>
      </c>
      <c r="S7" s="62">
        <f t="shared" si="2"/>
        <v>17.977517000000002</v>
      </c>
      <c r="T7" s="63">
        <f t="shared" si="3"/>
        <v>37.920583000000015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1756</v>
      </c>
      <c r="AI7" s="66">
        <v>4.0999999999999996</v>
      </c>
      <c r="AJ7" s="66">
        <v>8.16</v>
      </c>
      <c r="AK7" s="62">
        <f t="shared" si="8"/>
        <v>71.995999999999995</v>
      </c>
      <c r="AL7" s="72">
        <f t="shared" si="9"/>
        <v>143.28960000000001</v>
      </c>
      <c r="AM7" s="73">
        <f t="shared" si="15"/>
        <v>-41.55600000000004</v>
      </c>
      <c r="AN7" s="74">
        <f t="shared" si="10"/>
        <v>-1.6864829999999955</v>
      </c>
      <c r="AO7" s="74">
        <f t="shared" si="10"/>
        <v>-3.0724169999999731</v>
      </c>
      <c r="AP7" s="75">
        <f t="shared" si="16"/>
        <v>-8.5135272934142081E-2</v>
      </c>
      <c r="AQ7" s="76">
        <f t="shared" si="11"/>
        <v>-1730.5715097672826</v>
      </c>
      <c r="AR7" s="77">
        <f t="shared" si="12"/>
        <v>-41.55600000000004</v>
      </c>
    </row>
    <row r="8" spans="1:46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1756</v>
      </c>
      <c r="E8" s="62">
        <v>4.0999999999999996</v>
      </c>
      <c r="F8" s="62">
        <v>8.16</v>
      </c>
      <c r="G8" s="62">
        <f t="shared" si="0"/>
        <v>71.995999999999995</v>
      </c>
      <c r="H8" s="63">
        <f t="shared" si="1"/>
        <v>143.28960000000001</v>
      </c>
      <c r="I8" s="202">
        <v>299</v>
      </c>
      <c r="J8" s="202">
        <v>307.97000000000003</v>
      </c>
      <c r="K8" s="202">
        <v>4.3914046822742474</v>
      </c>
      <c r="L8" s="202">
        <v>8.1870234113712375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307.97000000000003</v>
      </c>
      <c r="S8" s="62">
        <f t="shared" si="2"/>
        <v>13.524209000000003</v>
      </c>
      <c r="T8" s="63">
        <f t="shared" si="3"/>
        <v>25.213576000000003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2064</v>
      </c>
      <c r="AI8" s="66">
        <v>4.1399999999999997</v>
      </c>
      <c r="AJ8" s="66">
        <v>8.16</v>
      </c>
      <c r="AK8" s="62">
        <f t="shared" si="8"/>
        <v>85.449600000000004</v>
      </c>
      <c r="AL8" s="72">
        <f t="shared" si="9"/>
        <v>168.42240000000001</v>
      </c>
      <c r="AM8" s="73">
        <f t="shared" si="15"/>
        <v>-2.9999999999745341E-2</v>
      </c>
      <c r="AN8" s="74">
        <f t="shared" si="10"/>
        <v>7.0608999999990374E-2</v>
      </c>
      <c r="AO8" s="74">
        <f t="shared" si="10"/>
        <v>8.077599999998597E-2</v>
      </c>
      <c r="AP8" s="75">
        <f t="shared" si="16"/>
        <v>3.9079415614490173E-3</v>
      </c>
      <c r="AQ8" s="76">
        <f t="shared" si="11"/>
        <v>58.121615461327615</v>
      </c>
      <c r="AR8" s="90">
        <f t="shared" si="12"/>
        <v>-2.9999999999745341E-2</v>
      </c>
    </row>
    <row r="9" spans="1:46" x14ac:dyDescent="0.25">
      <c r="A9" t="str">
        <f t="shared" si="13"/>
        <v>46206E</v>
      </c>
      <c r="B9" s="51">
        <f t="shared" ref="B9:B65" si="17">+B7+1</f>
        <v>46206</v>
      </c>
      <c r="C9" s="52" t="s">
        <v>88</v>
      </c>
      <c r="D9" s="91">
        <v>2064</v>
      </c>
      <c r="E9" s="62">
        <v>4.1399999999999997</v>
      </c>
      <c r="F9" s="62">
        <v>8.16</v>
      </c>
      <c r="G9" s="62">
        <f t="shared" si="0"/>
        <v>85.449600000000004</v>
      </c>
      <c r="H9" s="63">
        <f t="shared" si="1"/>
        <v>168.42240000000001</v>
      </c>
      <c r="I9" s="202">
        <v>413.2</v>
      </c>
      <c r="J9" s="202">
        <v>425.596</v>
      </c>
      <c r="K9" s="202">
        <v>3.8663359148112293</v>
      </c>
      <c r="L9" s="202">
        <v>8.1428848015488864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425.596</v>
      </c>
      <c r="S9" s="62">
        <f t="shared" si="2"/>
        <v>16.454971</v>
      </c>
      <c r="T9" s="63">
        <f t="shared" si="3"/>
        <v>34.655791999999998</v>
      </c>
      <c r="U9" s="64" t="s">
        <v>167</v>
      </c>
      <c r="V9" s="65" t="s">
        <v>180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71">
        <v>2490</v>
      </c>
      <c r="AI9" s="66">
        <v>4.0999999999999996</v>
      </c>
      <c r="AJ9" s="66">
        <v>8.16</v>
      </c>
      <c r="AK9" s="62">
        <f t="shared" si="8"/>
        <v>102.08999999999999</v>
      </c>
      <c r="AL9" s="72">
        <f t="shared" si="9"/>
        <v>203.18400000000003</v>
      </c>
      <c r="AM9" s="73">
        <f t="shared" si="15"/>
        <v>-0.40399999999999636</v>
      </c>
      <c r="AN9" s="74">
        <f t="shared" si="10"/>
        <v>-0.18542899999998497</v>
      </c>
      <c r="AO9" s="74">
        <f t="shared" si="10"/>
        <v>-0.10580800000002455</v>
      </c>
      <c r="AP9" s="75">
        <f t="shared" si="16"/>
        <v>-5.6981540267753298E-3</v>
      </c>
      <c r="AQ9" s="76">
        <f t="shared" si="11"/>
        <v>-120.79322359427276</v>
      </c>
      <c r="AR9" s="90">
        <f t="shared" si="12"/>
        <v>-0.40399999999999636</v>
      </c>
    </row>
    <row r="10" spans="1:46" x14ac:dyDescent="0.25">
      <c r="A10" t="str">
        <f t="shared" si="13"/>
        <v>46207M</v>
      </c>
      <c r="B10" s="51">
        <f t="shared" si="17"/>
        <v>46207</v>
      </c>
      <c r="C10" s="52" t="s">
        <v>87</v>
      </c>
      <c r="D10" s="91">
        <v>2490</v>
      </c>
      <c r="E10" s="62">
        <v>4.0999999999999996</v>
      </c>
      <c r="F10" s="62">
        <v>8.16</v>
      </c>
      <c r="G10" s="62">
        <f t="shared" si="0"/>
        <v>102.08999999999999</v>
      </c>
      <c r="H10" s="63">
        <f t="shared" si="1"/>
        <v>203.18400000000003</v>
      </c>
      <c r="I10" s="202">
        <v>334.8</v>
      </c>
      <c r="J10" s="202">
        <v>344.84399999999999</v>
      </c>
      <c r="K10" s="202">
        <v>4.4709677419354854</v>
      </c>
      <c r="L10" s="202">
        <v>8.2061529271206712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344.84399999999999</v>
      </c>
      <c r="S10" s="62">
        <f t="shared" si="2"/>
        <v>15.417864000000005</v>
      </c>
      <c r="T10" s="63">
        <f t="shared" si="3"/>
        <v>28.29842600000001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2835</v>
      </c>
      <c r="AI10" s="66">
        <v>4.1500000000000004</v>
      </c>
      <c r="AJ10" s="66">
        <v>8.16</v>
      </c>
      <c r="AK10" s="62">
        <f t="shared" si="8"/>
        <v>117.6525</v>
      </c>
      <c r="AL10" s="72">
        <f t="shared" si="9"/>
        <v>231.33600000000001</v>
      </c>
      <c r="AM10" s="73">
        <f t="shared" si="15"/>
        <v>-0.15599999999994907</v>
      </c>
      <c r="AN10" s="74">
        <f t="shared" si="10"/>
        <v>-0.14463600000000554</v>
      </c>
      <c r="AO10" s="74">
        <f t="shared" si="10"/>
        <v>0.14642600000001949</v>
      </c>
      <c r="AP10" s="75">
        <f t="shared" si="16"/>
        <v>4.0945835065462934E-5</v>
      </c>
      <c r="AQ10" s="76">
        <f t="shared" si="11"/>
        <v>-25.649021943898326</v>
      </c>
      <c r="AR10" s="90">
        <f t="shared" si="12"/>
        <v>-0.15599999999994907</v>
      </c>
    </row>
    <row r="11" spans="1:46" x14ac:dyDescent="0.25">
      <c r="A11" t="str">
        <f t="shared" si="13"/>
        <v>46207E</v>
      </c>
      <c r="B11" s="51">
        <f t="shared" si="17"/>
        <v>46207</v>
      </c>
      <c r="C11" s="52" t="s">
        <v>88</v>
      </c>
      <c r="D11" s="91">
        <v>2835</v>
      </c>
      <c r="E11" s="62">
        <v>4.1500000000000004</v>
      </c>
      <c r="F11" s="62">
        <v>8.16</v>
      </c>
      <c r="G11" s="62">
        <f t="shared" si="0"/>
        <v>117.6525</v>
      </c>
      <c r="H11" s="63">
        <f t="shared" si="1"/>
        <v>231.33600000000001</v>
      </c>
      <c r="I11" s="202">
        <v>413.6</v>
      </c>
      <c r="J11" s="202">
        <v>426.00800000000004</v>
      </c>
      <c r="K11" s="202">
        <v>3.9634429400386848</v>
      </c>
      <c r="L11" s="202">
        <v>8.1654738878143132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426.00800000000004</v>
      </c>
      <c r="S11" s="62">
        <f t="shared" si="2"/>
        <v>16.884584</v>
      </c>
      <c r="T11" s="63">
        <f t="shared" si="3"/>
        <v>34.785572000000002</v>
      </c>
      <c r="U11" s="64" t="s">
        <v>171</v>
      </c>
      <c r="V11" s="65" t="s">
        <v>263</v>
      </c>
      <c r="W11" s="66" t="s">
        <v>149</v>
      </c>
      <c r="X11" s="67">
        <v>3130</v>
      </c>
      <c r="Y11" s="68">
        <v>4.3499999999999996</v>
      </c>
      <c r="Z11" s="68">
        <v>8.15</v>
      </c>
      <c r="AA11" s="62">
        <f t="shared" si="4"/>
        <v>136.155</v>
      </c>
      <c r="AB11" s="63">
        <f t="shared" si="5"/>
        <v>255.095</v>
      </c>
      <c r="AC11" s="69">
        <v>3130</v>
      </c>
      <c r="AD11" s="70">
        <v>4.2</v>
      </c>
      <c r="AE11" s="70">
        <v>8.15</v>
      </c>
      <c r="AF11" s="62">
        <f t="shared" si="6"/>
        <v>131.46</v>
      </c>
      <c r="AG11" s="63">
        <f t="shared" si="7"/>
        <v>255.095</v>
      </c>
      <c r="AH11" s="71">
        <v>131</v>
      </c>
      <c r="AI11" s="66">
        <v>4.3</v>
      </c>
      <c r="AJ11" s="66">
        <v>8.1</v>
      </c>
      <c r="AK11" s="62">
        <f t="shared" si="8"/>
        <v>5.6329999999999991</v>
      </c>
      <c r="AL11" s="72">
        <f t="shared" si="9"/>
        <v>10.611000000000001</v>
      </c>
      <c r="AM11" s="73">
        <f t="shared" si="15"/>
        <v>7.9999999998108251E-3</v>
      </c>
      <c r="AN11" s="74">
        <f t="shared" si="10"/>
        <v>-2.5559160000000141</v>
      </c>
      <c r="AO11" s="74">
        <f t="shared" si="10"/>
        <v>0.41557200000001515</v>
      </c>
      <c r="AP11" s="75">
        <f t="shared" si="16"/>
        <v>-4.1423215366332526E-2</v>
      </c>
      <c r="AQ11" s="76">
        <f t="shared" si="11"/>
        <v>-1103.7407095643707</v>
      </c>
      <c r="AR11" s="90">
        <f t="shared" si="12"/>
        <v>7.9999999998108251E-3</v>
      </c>
    </row>
    <row r="12" spans="1:46" x14ac:dyDescent="0.25">
      <c r="A12" t="str">
        <f t="shared" si="13"/>
        <v>46208M</v>
      </c>
      <c r="B12" s="51">
        <f t="shared" si="17"/>
        <v>46208</v>
      </c>
      <c r="C12" s="52" t="s">
        <v>87</v>
      </c>
      <c r="D12" s="91">
        <v>131</v>
      </c>
      <c r="E12" s="62">
        <v>4.3</v>
      </c>
      <c r="F12" s="62">
        <v>8.1</v>
      </c>
      <c r="G12" s="62">
        <f t="shared" si="0"/>
        <v>5.6329999999999991</v>
      </c>
      <c r="H12" s="63">
        <f t="shared" si="1"/>
        <v>10.611000000000001</v>
      </c>
      <c r="I12" s="202">
        <v>333.5</v>
      </c>
      <c r="J12" s="202">
        <v>343.505</v>
      </c>
      <c r="K12" s="202">
        <v>4.599580209895052</v>
      </c>
      <c r="L12" s="202">
        <v>8.2233283358320843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343.505</v>
      </c>
      <c r="S12" s="62">
        <f t="shared" si="2"/>
        <v>15.799787999999998</v>
      </c>
      <c r="T12" s="63">
        <f t="shared" si="3"/>
        <v>28.247544000000001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475</v>
      </c>
      <c r="AI12" s="66">
        <v>4.5</v>
      </c>
      <c r="AJ12" s="66">
        <v>8.1999999999999993</v>
      </c>
      <c r="AK12" s="62">
        <f t="shared" si="8"/>
        <v>21.375</v>
      </c>
      <c r="AL12" s="72">
        <f t="shared" si="9"/>
        <v>38.949999999999996</v>
      </c>
      <c r="AM12" s="73">
        <f t="shared" si="15"/>
        <v>-0.49500000000000455</v>
      </c>
      <c r="AN12" s="74">
        <f t="shared" si="10"/>
        <v>5.7787999999995066E-2</v>
      </c>
      <c r="AO12" s="74">
        <f t="shared" si="10"/>
        <v>-9.1455999999993765E-2</v>
      </c>
      <c r="AP12" s="75">
        <f t="shared" si="16"/>
        <v>-7.643595757399949E-4</v>
      </c>
      <c r="AQ12" s="76">
        <f t="shared" si="11"/>
        <v>0.37875698089456478</v>
      </c>
      <c r="AR12" s="90">
        <f t="shared" si="12"/>
        <v>-0.49500000000000455</v>
      </c>
    </row>
    <row r="13" spans="1:46" x14ac:dyDescent="0.25">
      <c r="A13" t="str">
        <f t="shared" si="13"/>
        <v>46208E</v>
      </c>
      <c r="B13" s="51">
        <f t="shared" si="17"/>
        <v>46208</v>
      </c>
      <c r="C13" s="52" t="s">
        <v>88</v>
      </c>
      <c r="D13" s="91">
        <v>475</v>
      </c>
      <c r="E13" s="62">
        <v>4.5</v>
      </c>
      <c r="F13" s="62">
        <v>8.1999999999999993</v>
      </c>
      <c r="G13" s="62">
        <f t="shared" si="0"/>
        <v>21.375</v>
      </c>
      <c r="H13" s="63">
        <f t="shared" si="1"/>
        <v>38.949999999999996</v>
      </c>
      <c r="I13" s="202">
        <v>552.69999999999993</v>
      </c>
      <c r="J13" s="202">
        <v>569.28099999999995</v>
      </c>
      <c r="K13" s="202">
        <v>4.0055002713949701</v>
      </c>
      <c r="L13" s="202">
        <v>8.1142753754297079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569.28099999999995</v>
      </c>
      <c r="S13" s="62">
        <f t="shared" si="2"/>
        <v>22.802551999999999</v>
      </c>
      <c r="T13" s="63">
        <f t="shared" si="3"/>
        <v>46.193027999999991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1044</v>
      </c>
      <c r="AI13" s="66">
        <v>4.2300000000000004</v>
      </c>
      <c r="AJ13" s="66">
        <v>8.15</v>
      </c>
      <c r="AK13" s="62">
        <f t="shared" si="8"/>
        <v>44.161200000000008</v>
      </c>
      <c r="AL13" s="72">
        <f t="shared" si="9"/>
        <v>85.085999999999999</v>
      </c>
      <c r="AM13" s="73">
        <f t="shared" si="15"/>
        <v>0.28099999999994907</v>
      </c>
      <c r="AN13" s="74">
        <f t="shared" si="10"/>
        <v>1.6351999999990596E-2</v>
      </c>
      <c r="AO13" s="74">
        <f t="shared" si="10"/>
        <v>5.702799999998831E-2</v>
      </c>
      <c r="AP13" s="75">
        <f t="shared" si="16"/>
        <v>1.0635463894930503E-3</v>
      </c>
      <c r="AQ13" s="76">
        <f t="shared" si="11"/>
        <v>24.937046506744416</v>
      </c>
      <c r="AR13" s="90">
        <f t="shared" si="12"/>
        <v>0.28099999999994907</v>
      </c>
    </row>
    <row r="14" spans="1:46" x14ac:dyDescent="0.25">
      <c r="A14" t="str">
        <f t="shared" si="13"/>
        <v>46209M</v>
      </c>
      <c r="B14" s="51">
        <f t="shared" si="17"/>
        <v>46209</v>
      </c>
      <c r="C14" s="52" t="s">
        <v>87</v>
      </c>
      <c r="D14" s="91">
        <v>1044</v>
      </c>
      <c r="E14" s="62">
        <v>4.2300000000000004</v>
      </c>
      <c r="F14" s="62">
        <v>8.15</v>
      </c>
      <c r="G14" s="62">
        <f t="shared" si="0"/>
        <v>44.161200000000008</v>
      </c>
      <c r="H14" s="63">
        <f t="shared" si="1"/>
        <v>85.085999999999999</v>
      </c>
      <c r="I14" s="202">
        <v>309.60000000000002</v>
      </c>
      <c r="J14" s="202">
        <v>318.88800000000003</v>
      </c>
      <c r="K14" s="202">
        <v>4.6308139534883717</v>
      </c>
      <c r="L14" s="202">
        <v>8.2320736434108497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318.88800000000003</v>
      </c>
      <c r="S14" s="62">
        <f t="shared" si="2"/>
        <v>14.767110000000001</v>
      </c>
      <c r="T14" s="63">
        <f t="shared" si="3"/>
        <v>26.251094999999992</v>
      </c>
      <c r="U14" s="64" t="s">
        <v>180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71">
        <v>1363</v>
      </c>
      <c r="AI14" s="66">
        <v>4.32</v>
      </c>
      <c r="AJ14" s="66">
        <v>8.17</v>
      </c>
      <c r="AK14" s="62">
        <f t="shared" si="8"/>
        <v>58.881600000000006</v>
      </c>
      <c r="AL14" s="72">
        <f t="shared" si="9"/>
        <v>111.35709999999999</v>
      </c>
      <c r="AM14" s="73">
        <f t="shared" si="15"/>
        <v>-0.11200000000008004</v>
      </c>
      <c r="AN14" s="74">
        <f t="shared" si="10"/>
        <v>4.671000000000447E-2</v>
      </c>
      <c r="AO14" s="74">
        <f t="shared" si="10"/>
        <v>-2.0004999999997608E-2</v>
      </c>
      <c r="AP14" s="75">
        <f t="shared" si="16"/>
        <v>6.5105238027863156E-4</v>
      </c>
      <c r="AQ14" s="76">
        <f t="shared" si="11"/>
        <v>16.454355838278158</v>
      </c>
      <c r="AR14" s="90">
        <f t="shared" si="12"/>
        <v>-0.11200000000008004</v>
      </c>
    </row>
    <row r="15" spans="1:46" x14ac:dyDescent="0.25">
      <c r="A15" t="str">
        <f t="shared" si="13"/>
        <v>46209E</v>
      </c>
      <c r="B15" s="51">
        <f t="shared" si="17"/>
        <v>46209</v>
      </c>
      <c r="C15" s="52" t="s">
        <v>88</v>
      </c>
      <c r="D15" s="91">
        <v>1363</v>
      </c>
      <c r="E15" s="62">
        <v>4.32</v>
      </c>
      <c r="F15" s="62">
        <v>8.17</v>
      </c>
      <c r="G15" s="62">
        <f t="shared" si="0"/>
        <v>58.881600000000006</v>
      </c>
      <c r="H15" s="63">
        <f t="shared" si="1"/>
        <v>111.35709999999999</v>
      </c>
      <c r="I15" s="202">
        <v>436.20000000000005</v>
      </c>
      <c r="J15" s="202">
        <v>449.28600000000006</v>
      </c>
      <c r="K15" s="202">
        <v>4.155364511691884</v>
      </c>
      <c r="L15" s="202">
        <v>8.1894314534617152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449.28600000000006</v>
      </c>
      <c r="S15" s="62">
        <f t="shared" si="2"/>
        <v>18.669471000000001</v>
      </c>
      <c r="T15" s="63">
        <f t="shared" si="3"/>
        <v>36.793969000000004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71">
        <v>1812</v>
      </c>
      <c r="AI15" s="66">
        <v>4.28</v>
      </c>
      <c r="AJ15" s="66">
        <v>8.17</v>
      </c>
      <c r="AK15" s="62">
        <f t="shared" si="8"/>
        <v>77.553600000000003</v>
      </c>
      <c r="AL15" s="72">
        <f t="shared" si="9"/>
        <v>148.04039999999998</v>
      </c>
      <c r="AM15" s="73">
        <f t="shared" si="15"/>
        <v>0.28600000000005821</v>
      </c>
      <c r="AN15" s="74">
        <f t="shared" si="10"/>
        <v>-2.5289999999955626E-3</v>
      </c>
      <c r="AO15" s="74">
        <f t="shared" si="10"/>
        <v>0.11066900000002988</v>
      </c>
      <c r="AP15" s="75">
        <f t="shared" si="16"/>
        <v>1.9497528461998447E-3</v>
      </c>
      <c r="AQ15" s="76">
        <f t="shared" si="11"/>
        <v>31.929113458106091</v>
      </c>
      <c r="AR15" s="90">
        <f t="shared" si="12"/>
        <v>0.28600000000005821</v>
      </c>
    </row>
    <row r="16" spans="1:46" x14ac:dyDescent="0.25">
      <c r="A16" t="str">
        <f t="shared" si="13"/>
        <v>46210M</v>
      </c>
      <c r="B16" s="51">
        <f t="shared" si="17"/>
        <v>46210</v>
      </c>
      <c r="C16" s="52" t="s">
        <v>87</v>
      </c>
      <c r="D16" s="79">
        <v>1812</v>
      </c>
      <c r="E16" s="62">
        <v>4.28</v>
      </c>
      <c r="F16" s="62">
        <v>8.17</v>
      </c>
      <c r="G16" s="62">
        <f t="shared" si="0"/>
        <v>77.553600000000003</v>
      </c>
      <c r="H16" s="63">
        <f t="shared" si="1"/>
        <v>148.04039999999998</v>
      </c>
      <c r="I16" s="202">
        <v>308.8</v>
      </c>
      <c r="J16" s="202">
        <v>318.06400000000002</v>
      </c>
      <c r="K16" s="202">
        <v>4.4166774611398969</v>
      </c>
      <c r="L16" s="202">
        <v>8.2191062176165808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318.06400000000002</v>
      </c>
      <c r="S16" s="62">
        <f t="shared" si="2"/>
        <v>14.047861000000003</v>
      </c>
      <c r="T16" s="63">
        <f t="shared" si="3"/>
        <v>26.142018000000004</v>
      </c>
      <c r="U16" s="64" t="s">
        <v>174</v>
      </c>
      <c r="V16" s="65" t="s">
        <v>318</v>
      </c>
      <c r="W16" s="66" t="s">
        <v>149</v>
      </c>
      <c r="X16" s="67">
        <v>2180</v>
      </c>
      <c r="Y16" s="68">
        <v>4.3</v>
      </c>
      <c r="Z16" s="68">
        <v>8.15</v>
      </c>
      <c r="AA16" s="62">
        <f t="shared" si="4"/>
        <v>93.74</v>
      </c>
      <c r="AB16" s="63">
        <f t="shared" si="5"/>
        <v>177.67000000000002</v>
      </c>
      <c r="AC16" s="69">
        <v>2180</v>
      </c>
      <c r="AD16" s="70">
        <v>4.2</v>
      </c>
      <c r="AE16" s="70">
        <v>8.1199999999999992</v>
      </c>
      <c r="AF16" s="62">
        <f t="shared" si="6"/>
        <v>91.56</v>
      </c>
      <c r="AG16" s="63">
        <f t="shared" si="7"/>
        <v>177.01599999999999</v>
      </c>
      <c r="AH16" s="71">
        <v>0</v>
      </c>
      <c r="AI16" s="66">
        <v>0</v>
      </c>
      <c r="AJ16" s="66">
        <v>0</v>
      </c>
      <c r="AK16" s="62">
        <f t="shared" si="8"/>
        <v>0</v>
      </c>
      <c r="AL16" s="72">
        <f t="shared" si="9"/>
        <v>0</v>
      </c>
      <c r="AM16" s="73">
        <f t="shared" si="15"/>
        <v>-49.936000000000149</v>
      </c>
      <c r="AN16" s="74">
        <f t="shared" si="10"/>
        <v>4.1460999999998194E-2</v>
      </c>
      <c r="AO16" s="74">
        <f t="shared" si="10"/>
        <v>-2.8335820000000069</v>
      </c>
      <c r="AP16" s="75">
        <f t="shared" si="16"/>
        <v>-6.9473237279465513E-2</v>
      </c>
      <c r="AQ16" s="76">
        <f t="shared" si="11"/>
        <v>-828.70922309760522</v>
      </c>
      <c r="AR16" s="90">
        <f t="shared" si="12"/>
        <v>-49.936000000000149</v>
      </c>
    </row>
    <row r="17" spans="1:48" x14ac:dyDescent="0.25">
      <c r="A17" t="str">
        <f t="shared" si="13"/>
        <v>46210E</v>
      </c>
      <c r="B17" s="51">
        <f t="shared" si="17"/>
        <v>46210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2">
        <v>405.70000000000005</v>
      </c>
      <c r="J17" s="202">
        <v>417.87100000000004</v>
      </c>
      <c r="K17" s="202">
        <v>4.0474242050776441</v>
      </c>
      <c r="L17" s="202">
        <v>8.1997781612028593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417.87100000000004</v>
      </c>
      <c r="S17" s="62">
        <f t="shared" si="2"/>
        <v>16.913012000000002</v>
      </c>
      <c r="T17" s="63">
        <f t="shared" si="3"/>
        <v>34.264495000000004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71">
        <v>418</v>
      </c>
      <c r="AI17" s="66">
        <v>4.05</v>
      </c>
      <c r="AJ17" s="66">
        <v>8.1999999999999993</v>
      </c>
      <c r="AK17" s="62">
        <f t="shared" si="8"/>
        <v>16.929000000000002</v>
      </c>
      <c r="AL17" s="72">
        <f>AH17*AJ17%</f>
        <v>34.275999999999996</v>
      </c>
      <c r="AM17" s="73">
        <f t="shared" si="15"/>
        <v>-0.12899999999996226</v>
      </c>
      <c r="AN17" s="74">
        <f t="shared" si="10"/>
        <v>-1.5988000000000113E-2</v>
      </c>
      <c r="AO17" s="74">
        <f t="shared" si="10"/>
        <v>-1.1504999999992549E-2</v>
      </c>
      <c r="AP17" s="75">
        <f t="shared" si="16"/>
        <v>-5.3720866082813804E-4</v>
      </c>
      <c r="AQ17" s="76">
        <f t="shared" si="11"/>
        <v>-11.128399428861499</v>
      </c>
      <c r="AR17" s="90">
        <f t="shared" si="12"/>
        <v>-0.12899999999996226</v>
      </c>
    </row>
    <row r="18" spans="1:48" x14ac:dyDescent="0.25">
      <c r="A18" t="str">
        <f t="shared" si="13"/>
        <v>46211M</v>
      </c>
      <c r="B18" s="51">
        <f t="shared" si="17"/>
        <v>46211</v>
      </c>
      <c r="C18" s="52" t="s">
        <v>87</v>
      </c>
      <c r="D18" s="79">
        <v>418</v>
      </c>
      <c r="E18" s="62">
        <v>4.05</v>
      </c>
      <c r="F18" s="62">
        <v>8.1999999999999993</v>
      </c>
      <c r="G18" s="62">
        <f t="shared" si="0"/>
        <v>16.929000000000002</v>
      </c>
      <c r="H18" s="63">
        <f t="shared" si="1"/>
        <v>34.275999999999996</v>
      </c>
      <c r="I18" s="202">
        <v>331.40000000000003</v>
      </c>
      <c r="J18" s="202">
        <v>341.34200000000004</v>
      </c>
      <c r="K18" s="202">
        <v>4.3685274592637295</v>
      </c>
      <c r="L18" s="202">
        <v>8.1891369945684982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341.34200000000004</v>
      </c>
      <c r="S18" s="62">
        <f t="shared" si="2"/>
        <v>14.911619000000002</v>
      </c>
      <c r="T18" s="63">
        <f t="shared" si="3"/>
        <v>27.952964000000005</v>
      </c>
      <c r="U18" s="64" t="s">
        <v>180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71">
        <v>759</v>
      </c>
      <c r="AI18" s="66">
        <v>4.2</v>
      </c>
      <c r="AJ18" s="66">
        <v>8.1999999999999993</v>
      </c>
      <c r="AK18" s="62">
        <f t="shared" si="8"/>
        <v>31.878000000000004</v>
      </c>
      <c r="AL18" s="72">
        <f t="shared" si="9"/>
        <v>62.237999999999992</v>
      </c>
      <c r="AM18" s="73">
        <f t="shared" si="15"/>
        <v>0.34200000000009823</v>
      </c>
      <c r="AN18" s="74">
        <f t="shared" si="10"/>
        <v>-3.7380999999999887E-2</v>
      </c>
      <c r="AO18" s="74">
        <f t="shared" si="10"/>
        <v>-9.0359999999876095E-3</v>
      </c>
      <c r="AP18" s="75">
        <f t="shared" si="16"/>
        <v>-1.0828753425639877E-3</v>
      </c>
      <c r="AQ18" s="76">
        <f t="shared" si="11"/>
        <v>-20.668988674843504</v>
      </c>
      <c r="AR18" s="90">
        <f t="shared" si="12"/>
        <v>0.34200000000009823</v>
      </c>
    </row>
    <row r="19" spans="1:48" x14ac:dyDescent="0.25">
      <c r="A19" t="str">
        <f t="shared" si="13"/>
        <v>46211E</v>
      </c>
      <c r="B19" s="51">
        <f t="shared" si="17"/>
        <v>46211</v>
      </c>
      <c r="C19" s="52" t="s">
        <v>88</v>
      </c>
      <c r="D19" s="79">
        <v>759</v>
      </c>
      <c r="E19" s="62">
        <v>4.2</v>
      </c>
      <c r="F19" s="62">
        <v>8.1999999999999993</v>
      </c>
      <c r="G19" s="62">
        <f t="shared" si="0"/>
        <v>31.878000000000004</v>
      </c>
      <c r="H19" s="63">
        <f t="shared" si="1"/>
        <v>62.237999999999992</v>
      </c>
      <c r="I19" s="202">
        <v>450.3</v>
      </c>
      <c r="J19" s="202">
        <v>463.80900000000003</v>
      </c>
      <c r="K19" s="202">
        <v>4.061092604930046</v>
      </c>
      <c r="L19" s="202">
        <v>8.1781923162336216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463.80900000000003</v>
      </c>
      <c r="S19" s="62">
        <f t="shared" si="2"/>
        <v>18.835712999999998</v>
      </c>
      <c r="T19" s="63">
        <f t="shared" si="3"/>
        <v>37.931192000000003</v>
      </c>
      <c r="U19" s="64" t="s">
        <v>167</v>
      </c>
      <c r="V19" s="65" t="s">
        <v>180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71">
        <v>1182</v>
      </c>
      <c r="AI19" s="66">
        <v>4.1500000000000004</v>
      </c>
      <c r="AJ19" s="66">
        <v>8.19</v>
      </c>
      <c r="AK19" s="62">
        <f t="shared" si="8"/>
        <v>49.053000000000004</v>
      </c>
      <c r="AL19" s="72">
        <f t="shared" si="9"/>
        <v>96.805800000000005</v>
      </c>
      <c r="AM19" s="73">
        <f t="shared" si="15"/>
        <v>40.808999999999969</v>
      </c>
      <c r="AN19" s="74">
        <f t="shared" si="10"/>
        <v>1.6607129999999941</v>
      </c>
      <c r="AO19" s="74">
        <f t="shared" si="10"/>
        <v>3.3633919999999904</v>
      </c>
      <c r="AP19" s="75">
        <f t="shared" si="16"/>
        <v>8.8504120490627142E-2</v>
      </c>
      <c r="AQ19" s="76">
        <f t="shared" si="11"/>
        <v>1805.3326081377477</v>
      </c>
      <c r="AR19" s="90">
        <f t="shared" si="12"/>
        <v>40.808999999999969</v>
      </c>
    </row>
    <row r="20" spans="1:48" x14ac:dyDescent="0.25">
      <c r="A20" t="str">
        <f t="shared" si="13"/>
        <v>46212M</v>
      </c>
      <c r="B20" s="51">
        <f t="shared" si="17"/>
        <v>46212</v>
      </c>
      <c r="C20" s="52" t="s">
        <v>87</v>
      </c>
      <c r="D20" s="79">
        <v>1182</v>
      </c>
      <c r="E20" s="62">
        <v>4.1500000000000004</v>
      </c>
      <c r="F20" s="62">
        <v>8.19</v>
      </c>
      <c r="G20" s="62">
        <f t="shared" si="0"/>
        <v>49.053000000000004</v>
      </c>
      <c r="H20" s="63">
        <f t="shared" si="1"/>
        <v>96.805800000000005</v>
      </c>
      <c r="I20" s="202">
        <v>354.9</v>
      </c>
      <c r="J20" s="202">
        <v>365.54699999999997</v>
      </c>
      <c r="K20" s="202">
        <v>4.3678219216680754</v>
      </c>
      <c r="L20" s="202">
        <v>8.2452240067624682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365.54699999999997</v>
      </c>
      <c r="S20" s="62">
        <f t="shared" si="2"/>
        <v>15.966441999999999</v>
      </c>
      <c r="T20" s="63">
        <f t="shared" si="3"/>
        <v>30.140168999999997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7"/>
        <v>0</v>
      </c>
      <c r="AH20" s="71">
        <v>1548</v>
      </c>
      <c r="AI20" s="66">
        <v>4.2</v>
      </c>
      <c r="AJ20" s="66">
        <v>8.1999999999999993</v>
      </c>
      <c r="AK20" s="62">
        <f t="shared" si="8"/>
        <v>65.016000000000005</v>
      </c>
      <c r="AL20" s="72">
        <f t="shared" si="9"/>
        <v>126.93599999999998</v>
      </c>
      <c r="AM20" s="73">
        <f t="shared" si="15"/>
        <v>-0.45299999999997453</v>
      </c>
      <c r="AN20" s="74">
        <f t="shared" ref="AN20:AO65" si="18">+G20+S20-AF20-AK20</f>
        <v>3.4419999999926176E-3</v>
      </c>
      <c r="AO20" s="74">
        <f t="shared" si="18"/>
        <v>9.96900000002654E-3</v>
      </c>
      <c r="AP20" s="75">
        <f t="shared" si="16"/>
        <v>2.9086935060178591E-4</v>
      </c>
      <c r="AQ20" s="76">
        <f t="shared" si="11"/>
        <v>4.6396197756688924</v>
      </c>
      <c r="AR20" s="90">
        <f t="shared" si="12"/>
        <v>-0.45299999999997453</v>
      </c>
    </row>
    <row r="21" spans="1:48" x14ac:dyDescent="0.25">
      <c r="A21" t="str">
        <f t="shared" si="13"/>
        <v>46212E</v>
      </c>
      <c r="B21" s="51">
        <f t="shared" si="17"/>
        <v>46212</v>
      </c>
      <c r="C21" s="52" t="s">
        <v>88</v>
      </c>
      <c r="D21" s="79">
        <v>1548</v>
      </c>
      <c r="E21" s="62">
        <v>4.2</v>
      </c>
      <c r="F21" s="62">
        <v>8.1999999999999993</v>
      </c>
      <c r="G21" s="62">
        <f t="shared" si="0"/>
        <v>65.016000000000005</v>
      </c>
      <c r="H21" s="63">
        <f t="shared" si="1"/>
        <v>126.93599999999998</v>
      </c>
      <c r="I21" s="202">
        <v>421.3</v>
      </c>
      <c r="J21" s="202">
        <v>433.93900000000002</v>
      </c>
      <c r="K21" s="202">
        <v>4.0098504628530725</v>
      </c>
      <c r="L21" s="202">
        <v>8.1502729646332774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433.93900000000002</v>
      </c>
      <c r="S21" s="62">
        <f t="shared" si="2"/>
        <v>17.400304999999996</v>
      </c>
      <c r="T21" s="63">
        <f t="shared" si="3"/>
        <v>35.367213</v>
      </c>
      <c r="U21" s="64" t="s">
        <v>180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71">
        <v>1982</v>
      </c>
      <c r="AI21" s="66">
        <v>4.16</v>
      </c>
      <c r="AJ21" s="66">
        <v>8.1999999999999993</v>
      </c>
      <c r="AK21" s="62">
        <f t="shared" si="8"/>
        <v>82.4512</v>
      </c>
      <c r="AL21" s="72">
        <f t="shared" si="9"/>
        <v>162.52399999999997</v>
      </c>
      <c r="AM21" s="73">
        <f t="shared" si="15"/>
        <v>-6.0999999999921783E-2</v>
      </c>
      <c r="AN21" s="74">
        <f t="shared" si="18"/>
        <v>-3.4895000000005894E-2</v>
      </c>
      <c r="AO21" s="74">
        <f t="shared" si="18"/>
        <v>-0.2207870000000014</v>
      </c>
      <c r="AP21" s="75">
        <f t="shared" si="16"/>
        <v>-4.8454429863463979E-3</v>
      </c>
      <c r="AQ21" s="76">
        <f t="shared" si="11"/>
        <v>-82.891924148820664</v>
      </c>
      <c r="AR21" s="90">
        <f t="shared" si="12"/>
        <v>-6.0999999999921783E-2</v>
      </c>
    </row>
    <row r="22" spans="1:48" x14ac:dyDescent="0.25">
      <c r="A22" t="str">
        <f t="shared" si="13"/>
        <v>46213M</v>
      </c>
      <c r="B22" s="51">
        <f t="shared" si="17"/>
        <v>46213</v>
      </c>
      <c r="C22" s="52" t="s">
        <v>87</v>
      </c>
      <c r="D22" s="79">
        <v>1982</v>
      </c>
      <c r="E22" s="62">
        <v>4.16</v>
      </c>
      <c r="F22" s="62">
        <v>8.1999999999999993</v>
      </c>
      <c r="G22" s="62">
        <f t="shared" si="0"/>
        <v>82.4512</v>
      </c>
      <c r="H22" s="63">
        <f t="shared" si="1"/>
        <v>162.52399999999997</v>
      </c>
      <c r="I22" s="202">
        <v>335</v>
      </c>
      <c r="J22" s="202">
        <v>345.05</v>
      </c>
      <c r="K22" s="202">
        <v>4.2835522388059699</v>
      </c>
      <c r="L22" s="202">
        <v>8.3004179104477611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345.05</v>
      </c>
      <c r="S22" s="62">
        <f t="shared" si="2"/>
        <v>14.780396999999999</v>
      </c>
      <c r="T22" s="63">
        <f t="shared" si="3"/>
        <v>28.640591999999998</v>
      </c>
      <c r="U22" s="64" t="s">
        <v>171</v>
      </c>
      <c r="V22" s="65" t="s">
        <v>427</v>
      </c>
      <c r="W22" s="66" t="s">
        <v>369</v>
      </c>
      <c r="X22" s="67">
        <v>2367</v>
      </c>
      <c r="Y22" s="68">
        <v>4.3</v>
      </c>
      <c r="Z22" s="68">
        <v>8.27</v>
      </c>
      <c r="AA22" s="62">
        <f t="shared" si="4"/>
        <v>101.78099999999999</v>
      </c>
      <c r="AB22" s="63">
        <f t="shared" si="5"/>
        <v>195.7509</v>
      </c>
      <c r="AC22" s="69">
        <v>2370</v>
      </c>
      <c r="AD22" s="70">
        <v>4.2</v>
      </c>
      <c r="AE22" s="70">
        <v>8.15</v>
      </c>
      <c r="AF22" s="62">
        <f t="shared" si="6"/>
        <v>99.54</v>
      </c>
      <c r="AG22" s="63">
        <f t="shared" si="7"/>
        <v>193.155</v>
      </c>
      <c r="AH22" s="71">
        <v>0</v>
      </c>
      <c r="AI22" s="66">
        <v>0</v>
      </c>
      <c r="AJ22" s="66">
        <v>0</v>
      </c>
      <c r="AK22" s="62">
        <f t="shared" si="8"/>
        <v>0</v>
      </c>
      <c r="AL22" s="72">
        <f t="shared" si="9"/>
        <v>0</v>
      </c>
      <c r="AM22" s="73">
        <f t="shared" si="15"/>
        <v>-42.949999999999818</v>
      </c>
      <c r="AN22" s="74">
        <f t="shared" si="18"/>
        <v>-2.3084030000000126</v>
      </c>
      <c r="AO22" s="74">
        <f t="shared" si="18"/>
        <v>-1.9904080000000306</v>
      </c>
      <c r="AP22" s="75">
        <f t="shared" si="16"/>
        <v>-9.9003065084492747E-2</v>
      </c>
      <c r="AQ22" s="76">
        <f t="shared" si="11"/>
        <v>-1705.3722481374157</v>
      </c>
      <c r="AR22" s="90">
        <f t="shared" si="12"/>
        <v>-39.949999999999818</v>
      </c>
      <c r="AT22" s="83"/>
      <c r="AU22" s="83"/>
    </row>
    <row r="23" spans="1:48" x14ac:dyDescent="0.25">
      <c r="A23" t="str">
        <f t="shared" si="13"/>
        <v>46213E</v>
      </c>
      <c r="B23" s="51">
        <f t="shared" si="17"/>
        <v>46213</v>
      </c>
      <c r="C23" s="52" t="s">
        <v>88</v>
      </c>
      <c r="D23" s="79">
        <v>0</v>
      </c>
      <c r="E23" s="62">
        <v>0</v>
      </c>
      <c r="F23" s="62">
        <v>0</v>
      </c>
      <c r="G23" s="62">
        <f t="shared" si="0"/>
        <v>0</v>
      </c>
      <c r="H23" s="63">
        <f t="shared" si="1"/>
        <v>0</v>
      </c>
      <c r="I23" s="202">
        <v>474.6</v>
      </c>
      <c r="J23" s="202">
        <v>488.83800000000002</v>
      </c>
      <c r="K23" s="202">
        <v>4.0711967973029921</v>
      </c>
      <c r="L23" s="202">
        <v>8.064306784660765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488.83800000000002</v>
      </c>
      <c r="S23" s="62">
        <f t="shared" si="2"/>
        <v>19.901557</v>
      </c>
      <c r="T23" s="63">
        <f t="shared" si="3"/>
        <v>39.421395999999987</v>
      </c>
      <c r="U23" s="64" t="s">
        <v>180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71">
        <v>489</v>
      </c>
      <c r="AI23" s="66">
        <v>4.07</v>
      </c>
      <c r="AJ23" s="66">
        <v>8.06</v>
      </c>
      <c r="AK23" s="62">
        <f t="shared" si="8"/>
        <v>19.9023</v>
      </c>
      <c r="AL23" s="72">
        <f t="shared" si="9"/>
        <v>39.413400000000003</v>
      </c>
      <c r="AM23" s="73">
        <f t="shared" si="15"/>
        <v>-0.16199999999997772</v>
      </c>
      <c r="AN23" s="74">
        <f t="shared" si="18"/>
        <v>-7.4299999999993815E-4</v>
      </c>
      <c r="AO23" s="74">
        <f t="shared" si="18"/>
        <v>7.995999999984349E-3</v>
      </c>
      <c r="AP23" s="75">
        <f t="shared" si="16"/>
        <v>1.2226296287011222E-4</v>
      </c>
      <c r="AQ23" s="76">
        <f t="shared" si="11"/>
        <v>2.0376951335227944</v>
      </c>
      <c r="AR23" s="90">
        <f t="shared" si="12"/>
        <v>-0.16199999999997772</v>
      </c>
      <c r="AU23" s="83"/>
    </row>
    <row r="24" spans="1:48" x14ac:dyDescent="0.25">
      <c r="A24" t="str">
        <f t="shared" si="13"/>
        <v>46214M</v>
      </c>
      <c r="B24" s="51">
        <f t="shared" si="17"/>
        <v>46214</v>
      </c>
      <c r="C24" s="52" t="s">
        <v>87</v>
      </c>
      <c r="D24" s="79">
        <v>489</v>
      </c>
      <c r="E24" s="62">
        <v>4.07</v>
      </c>
      <c r="F24" s="62">
        <v>8.06</v>
      </c>
      <c r="G24" s="62">
        <f t="shared" si="0"/>
        <v>19.9023</v>
      </c>
      <c r="H24" s="63">
        <f t="shared" si="1"/>
        <v>39.413400000000003</v>
      </c>
      <c r="I24" s="202">
        <v>417</v>
      </c>
      <c r="J24" s="202">
        <v>429.51</v>
      </c>
      <c r="K24" s="202">
        <v>4.3040767386091128</v>
      </c>
      <c r="L24" s="202">
        <v>8.2395923261390891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429.51</v>
      </c>
      <c r="S24" s="62">
        <f t="shared" si="2"/>
        <v>18.486439999999998</v>
      </c>
      <c r="T24" s="63">
        <f t="shared" si="3"/>
        <v>35.389873000000001</v>
      </c>
      <c r="U24" s="64" t="s">
        <v>167</v>
      </c>
      <c r="V24" s="65" t="s">
        <v>180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71">
        <v>919</v>
      </c>
      <c r="AI24" s="66">
        <v>4.18</v>
      </c>
      <c r="AJ24" s="66">
        <v>8.14</v>
      </c>
      <c r="AK24" s="62">
        <f t="shared" si="8"/>
        <v>38.414199999999994</v>
      </c>
      <c r="AL24" s="72">
        <f t="shared" si="9"/>
        <v>74.806600000000003</v>
      </c>
      <c r="AM24" s="73">
        <f t="shared" si="15"/>
        <v>-0.49000000000000909</v>
      </c>
      <c r="AN24" s="74">
        <f t="shared" si="18"/>
        <v>-2.5459999999995375E-2</v>
      </c>
      <c r="AO24" s="74">
        <f t="shared" si="18"/>
        <v>-3.3269999999987476E-3</v>
      </c>
      <c r="AP24" s="75">
        <f t="shared" si="16"/>
        <v>-5.343164444084012E-4</v>
      </c>
      <c r="AQ24" s="76">
        <f t="shared" si="11"/>
        <v>-13.230765513340096</v>
      </c>
      <c r="AR24" s="90">
        <f t="shared" si="12"/>
        <v>-0.49000000000000909</v>
      </c>
      <c r="AT24" s="77"/>
      <c r="AU24" s="77"/>
      <c r="AV24" s="77"/>
    </row>
    <row r="25" spans="1:48" x14ac:dyDescent="0.25">
      <c r="A25" t="str">
        <f t="shared" si="13"/>
        <v>46214E</v>
      </c>
      <c r="B25" s="51">
        <f t="shared" si="17"/>
        <v>46214</v>
      </c>
      <c r="C25" s="52" t="s">
        <v>88</v>
      </c>
      <c r="D25" s="79">
        <v>919</v>
      </c>
      <c r="E25" s="62">
        <v>4.18</v>
      </c>
      <c r="F25" s="62">
        <v>8.14</v>
      </c>
      <c r="G25" s="62">
        <f t="shared" si="0"/>
        <v>38.414199999999994</v>
      </c>
      <c r="H25" s="63">
        <f t="shared" si="1"/>
        <v>74.806600000000003</v>
      </c>
      <c r="I25" s="202">
        <v>498.4</v>
      </c>
      <c r="J25" s="202">
        <v>513.35199999999998</v>
      </c>
      <c r="K25" s="202">
        <v>4.1494783306581056</v>
      </c>
      <c r="L25" s="202">
        <v>8.1481540930979151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513.35199999999998</v>
      </c>
      <c r="S25" s="62">
        <f t="shared" si="2"/>
        <v>21.301429999999996</v>
      </c>
      <c r="T25" s="63">
        <f t="shared" si="3"/>
        <v>41.828712000000003</v>
      </c>
      <c r="U25" s="64" t="s">
        <v>167</v>
      </c>
      <c r="V25" s="65" t="s">
        <v>180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71">
        <v>1432</v>
      </c>
      <c r="AI25" s="66">
        <v>4.17</v>
      </c>
      <c r="AJ25" s="66">
        <v>8.14</v>
      </c>
      <c r="AK25" s="62">
        <f t="shared" si="8"/>
        <v>59.714400000000005</v>
      </c>
      <c r="AL25" s="72">
        <f t="shared" si="9"/>
        <v>116.56480000000001</v>
      </c>
      <c r="AM25" s="73">
        <f t="shared" si="15"/>
        <v>0.35199999999986176</v>
      </c>
      <c r="AN25" s="74">
        <f t="shared" si="18"/>
        <v>1.2299999999854094E-3</v>
      </c>
      <c r="AO25" s="74">
        <f t="shared" si="18"/>
        <v>7.0511999999993691E-2</v>
      </c>
      <c r="AP25" s="75">
        <f t="shared" si="16"/>
        <v>1.1364143613042895E-3</v>
      </c>
      <c r="AQ25" s="76">
        <f t="shared" si="11"/>
        <v>21.708771298236037</v>
      </c>
      <c r="AR25" s="90">
        <f t="shared" si="12"/>
        <v>0.35199999999986176</v>
      </c>
    </row>
    <row r="26" spans="1:48" x14ac:dyDescent="0.25">
      <c r="A26" t="str">
        <f t="shared" si="13"/>
        <v>46215M</v>
      </c>
      <c r="B26" s="51">
        <f t="shared" si="17"/>
        <v>46215</v>
      </c>
      <c r="C26" s="52" t="s">
        <v>87</v>
      </c>
      <c r="D26" s="79">
        <v>1432</v>
      </c>
      <c r="E26" s="62">
        <v>4.17</v>
      </c>
      <c r="F26" s="62">
        <v>8.14</v>
      </c>
      <c r="G26" s="62">
        <f t="shared" si="0"/>
        <v>59.714400000000005</v>
      </c>
      <c r="H26" s="63">
        <f t="shared" si="1"/>
        <v>116.56480000000001</v>
      </c>
      <c r="I26" s="202">
        <v>329.20000000000005</v>
      </c>
      <c r="J26" s="202">
        <v>339.07600000000008</v>
      </c>
      <c r="K26" s="202">
        <v>4.3691676792223566</v>
      </c>
      <c r="L26" s="202">
        <v>8.2375759416767913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339.07600000000008</v>
      </c>
      <c r="S26" s="62">
        <f t="shared" si="2"/>
        <v>14.814799000000001</v>
      </c>
      <c r="T26" s="63">
        <f t="shared" si="3"/>
        <v>27.931643000000005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71">
        <v>1771</v>
      </c>
      <c r="AI26" s="66">
        <v>4.21</v>
      </c>
      <c r="AJ26" s="66">
        <v>8.16</v>
      </c>
      <c r="AK26" s="62">
        <f t="shared" si="8"/>
        <v>74.559100000000001</v>
      </c>
      <c r="AL26" s="72">
        <f t="shared" si="9"/>
        <v>144.5136</v>
      </c>
      <c r="AM26" s="73">
        <f t="shared" si="15"/>
        <v>7.6000000000021828E-2</v>
      </c>
      <c r="AN26" s="74">
        <f t="shared" si="18"/>
        <v>-2.9900999999995292E-2</v>
      </c>
      <c r="AO26" s="74">
        <f t="shared" si="18"/>
        <v>-1.7156999999997424E-2</v>
      </c>
      <c r="AP26" s="75">
        <f t="shared" si="16"/>
        <v>-1.1008635525733982E-3</v>
      </c>
      <c r="AQ26" s="76">
        <f t="shared" si="11"/>
        <v>-19.506772430288237</v>
      </c>
      <c r="AR26" s="90">
        <f t="shared" si="12"/>
        <v>7.6000000000021828E-2</v>
      </c>
    </row>
    <row r="27" spans="1:48" x14ac:dyDescent="0.25">
      <c r="A27" t="str">
        <f t="shared" si="13"/>
        <v>46215E</v>
      </c>
      <c r="B27" s="51">
        <f t="shared" si="17"/>
        <v>46215</v>
      </c>
      <c r="C27" s="52" t="s">
        <v>88</v>
      </c>
      <c r="D27" s="79">
        <v>1771</v>
      </c>
      <c r="E27" s="62">
        <v>4.21</v>
      </c>
      <c r="F27" s="62">
        <v>8.16</v>
      </c>
      <c r="G27" s="62">
        <f t="shared" si="0"/>
        <v>74.559100000000001</v>
      </c>
      <c r="H27" s="63">
        <f t="shared" si="1"/>
        <v>144.5136</v>
      </c>
      <c r="I27" s="202">
        <v>492.79999999999995</v>
      </c>
      <c r="J27" s="202">
        <v>507.58399999999995</v>
      </c>
      <c r="K27" s="202">
        <v>3.9322443181818176</v>
      </c>
      <c r="L27" s="202">
        <v>8.1293628246753222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507.58399999999995</v>
      </c>
      <c r="S27" s="62">
        <f t="shared" si="2"/>
        <v>19.959442999999997</v>
      </c>
      <c r="T27" s="63">
        <f t="shared" si="3"/>
        <v>41.26334499999998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71">
        <v>2279</v>
      </c>
      <c r="AI27" s="66">
        <v>4.1500000000000004</v>
      </c>
      <c r="AJ27" s="66">
        <v>8.15</v>
      </c>
      <c r="AK27" s="62">
        <f t="shared" si="8"/>
        <v>94.578500000000005</v>
      </c>
      <c r="AL27" s="72">
        <f t="shared" si="9"/>
        <v>185.73850000000002</v>
      </c>
      <c r="AM27" s="73">
        <f t="shared" si="15"/>
        <v>-0.41600000000016735</v>
      </c>
      <c r="AN27" s="74">
        <f t="shared" si="18"/>
        <v>-5.9957000000011362E-2</v>
      </c>
      <c r="AO27" s="74">
        <f t="shared" si="18"/>
        <v>3.8444999999967422E-2</v>
      </c>
      <c r="AP27" s="75">
        <f t="shared" si="16"/>
        <v>-3.5137243341554371E-4</v>
      </c>
      <c r="AQ27" s="76">
        <f t="shared" si="11"/>
        <v>-17.29735464309465</v>
      </c>
      <c r="AR27" s="90">
        <f t="shared" si="12"/>
        <v>-0.41600000000016735</v>
      </c>
    </row>
    <row r="28" spans="1:48" x14ac:dyDescent="0.25">
      <c r="A28" t="str">
        <f t="shared" si="13"/>
        <v>46216M</v>
      </c>
      <c r="B28" s="51">
        <f t="shared" si="17"/>
        <v>46216</v>
      </c>
      <c r="C28" s="52" t="s">
        <v>87</v>
      </c>
      <c r="D28" s="79">
        <v>2279</v>
      </c>
      <c r="E28" s="62">
        <v>4.1500000000000004</v>
      </c>
      <c r="F28" s="62">
        <v>8.15</v>
      </c>
      <c r="G28" s="62">
        <f t="shared" si="0"/>
        <v>94.578500000000005</v>
      </c>
      <c r="H28" s="63">
        <f t="shared" si="1"/>
        <v>185.73850000000002</v>
      </c>
      <c r="I28" s="202">
        <v>367.9</v>
      </c>
      <c r="J28" s="202">
        <v>378.93700000000001</v>
      </c>
      <c r="K28" s="202">
        <v>4.5574340853492794</v>
      </c>
      <c r="L28" s="202">
        <v>8.1833106822506121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378.93700000000001</v>
      </c>
      <c r="S28" s="62">
        <f t="shared" si="2"/>
        <v>17.269804000000001</v>
      </c>
      <c r="T28" s="63">
        <f t="shared" si="3"/>
        <v>31.009592000000001</v>
      </c>
      <c r="U28" s="64" t="s">
        <v>171</v>
      </c>
      <c r="V28" s="65" t="s">
        <v>483</v>
      </c>
      <c r="W28" s="66" t="s">
        <v>149</v>
      </c>
      <c r="X28" s="67">
        <v>2719</v>
      </c>
      <c r="Y28" s="68">
        <v>4.3499999999999996</v>
      </c>
      <c r="Z28" s="68">
        <v>8.2799999999999994</v>
      </c>
      <c r="AA28" s="62">
        <f t="shared" si="4"/>
        <v>118.2765</v>
      </c>
      <c r="AB28" s="63">
        <f t="shared" si="5"/>
        <v>225.13319999999999</v>
      </c>
      <c r="AC28" s="69">
        <v>2719</v>
      </c>
      <c r="AD28" s="70">
        <v>4.25</v>
      </c>
      <c r="AE28" s="70">
        <v>8.26</v>
      </c>
      <c r="AF28" s="62">
        <f t="shared" si="6"/>
        <v>115.5575</v>
      </c>
      <c r="AG28" s="63">
        <f t="shared" si="7"/>
        <v>224.58939999999998</v>
      </c>
      <c r="AH28" s="71">
        <v>0</v>
      </c>
      <c r="AI28" s="66">
        <v>0</v>
      </c>
      <c r="AJ28" s="66">
        <v>0</v>
      </c>
      <c r="AK28" s="62">
        <f t="shared" si="8"/>
        <v>0</v>
      </c>
      <c r="AL28" s="72">
        <f t="shared" si="9"/>
        <v>0</v>
      </c>
      <c r="AM28" s="73">
        <f t="shared" si="15"/>
        <v>-61.063000000000102</v>
      </c>
      <c r="AN28" s="74">
        <f t="shared" si="18"/>
        <v>-3.7091959999999915</v>
      </c>
      <c r="AO28" s="74">
        <f t="shared" si="18"/>
        <v>-7.8413079999999695</v>
      </c>
      <c r="AP28" s="75">
        <f t="shared" si="16"/>
        <v>-0.23924292673421099</v>
      </c>
      <c r="AQ28" s="76">
        <f t="shared" si="11"/>
        <v>-4130.7913377407494</v>
      </c>
      <c r="AR28" s="90">
        <f t="shared" si="12"/>
        <v>-61.063000000000102</v>
      </c>
    </row>
    <row r="29" spans="1:48" x14ac:dyDescent="0.25">
      <c r="A29" t="str">
        <f t="shared" si="13"/>
        <v>46216E</v>
      </c>
      <c r="B29" s="51">
        <f t="shared" si="17"/>
        <v>46216</v>
      </c>
      <c r="C29" s="52" t="s">
        <v>88</v>
      </c>
      <c r="D29" s="79">
        <v>0</v>
      </c>
      <c r="E29" s="62">
        <v>0</v>
      </c>
      <c r="F29" s="62">
        <v>0</v>
      </c>
      <c r="G29" s="62">
        <f t="shared" si="0"/>
        <v>0</v>
      </c>
      <c r="H29" s="63">
        <f t="shared" si="1"/>
        <v>0</v>
      </c>
      <c r="I29" s="202">
        <v>417.90000000000003</v>
      </c>
      <c r="J29" s="202">
        <v>430.43700000000007</v>
      </c>
      <c r="K29" s="202">
        <v>4.1173965063412306</v>
      </c>
      <c r="L29" s="202">
        <v>8.0726728882507768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430.43700000000007</v>
      </c>
      <c r="S29" s="62">
        <f t="shared" si="2"/>
        <v>17.722798000000004</v>
      </c>
      <c r="T29" s="63">
        <f t="shared" si="3"/>
        <v>34.747771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71">
        <v>430</v>
      </c>
      <c r="AI29" s="66">
        <v>4.12</v>
      </c>
      <c r="AJ29" s="66">
        <v>8.07</v>
      </c>
      <c r="AK29" s="62">
        <f t="shared" si="8"/>
        <v>17.716000000000001</v>
      </c>
      <c r="AL29" s="72">
        <f t="shared" si="9"/>
        <v>34.701000000000001</v>
      </c>
      <c r="AM29" s="73">
        <f t="shared" si="15"/>
        <v>0.43700000000006867</v>
      </c>
      <c r="AN29" s="74">
        <f t="shared" si="18"/>
        <v>6.7980000000034124E-3</v>
      </c>
      <c r="AO29" s="74">
        <f t="shared" si="18"/>
        <v>4.6770999999999674E-2</v>
      </c>
      <c r="AP29" s="75">
        <f t="shared" si="16"/>
        <v>1.0209342307685491E-3</v>
      </c>
      <c r="AQ29" s="76">
        <f t="shared" si="11"/>
        <v>17.274158371259123</v>
      </c>
      <c r="AR29" s="90">
        <f t="shared" si="12"/>
        <v>0.43700000000006867</v>
      </c>
    </row>
    <row r="30" spans="1:48" x14ac:dyDescent="0.25">
      <c r="A30" t="str">
        <f t="shared" si="13"/>
        <v>46217M</v>
      </c>
      <c r="B30" s="51">
        <f t="shared" si="17"/>
        <v>46217</v>
      </c>
      <c r="C30" s="52" t="s">
        <v>87</v>
      </c>
      <c r="D30" s="79">
        <v>430</v>
      </c>
      <c r="E30" s="62">
        <v>4.12</v>
      </c>
      <c r="F30" s="62">
        <v>8.07</v>
      </c>
      <c r="G30" s="62">
        <f t="shared" si="0"/>
        <v>17.716000000000001</v>
      </c>
      <c r="H30" s="63">
        <f t="shared" si="1"/>
        <v>34.701000000000001</v>
      </c>
      <c r="I30" s="202">
        <v>358.3</v>
      </c>
      <c r="J30" s="202">
        <v>369.04900000000004</v>
      </c>
      <c r="K30" s="202">
        <v>4.4189785096288032</v>
      </c>
      <c r="L30" s="202">
        <v>8.2765838682668154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369.04900000000004</v>
      </c>
      <c r="S30" s="62">
        <f t="shared" si="2"/>
        <v>16.308196000000006</v>
      </c>
      <c r="T30" s="63">
        <f t="shared" si="3"/>
        <v>30.544650000000001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71">
        <v>799</v>
      </c>
      <c r="AI30" s="66">
        <v>4.26</v>
      </c>
      <c r="AJ30" s="66">
        <v>8.17</v>
      </c>
      <c r="AK30" s="62">
        <f t="shared" si="8"/>
        <v>34.037399999999998</v>
      </c>
      <c r="AL30" s="72">
        <f t="shared" si="9"/>
        <v>65.278300000000002</v>
      </c>
      <c r="AM30" s="73">
        <f t="shared" si="15"/>
        <v>4.8999999999978172E-2</v>
      </c>
      <c r="AN30" s="74">
        <f t="shared" si="18"/>
        <v>-1.3203999999994664E-2</v>
      </c>
      <c r="AO30" s="74">
        <f t="shared" si="18"/>
        <v>-3.2650000000003843E-2</v>
      </c>
      <c r="AP30" s="75">
        <f t="shared" si="16"/>
        <v>-9.7868120967504308E-4</v>
      </c>
      <c r="AQ30" s="76">
        <f t="shared" si="11"/>
        <v>-16.123336076017281</v>
      </c>
      <c r="AR30" s="90">
        <f t="shared" si="12"/>
        <v>4.8999999999978172E-2</v>
      </c>
    </row>
    <row r="31" spans="1:48" x14ac:dyDescent="0.25">
      <c r="A31" t="str">
        <f t="shared" si="13"/>
        <v>46217E</v>
      </c>
      <c r="B31" s="51">
        <f t="shared" si="17"/>
        <v>46217</v>
      </c>
      <c r="C31" s="52" t="s">
        <v>88</v>
      </c>
      <c r="D31" s="79">
        <v>799</v>
      </c>
      <c r="E31" s="62">
        <v>4.26</v>
      </c>
      <c r="F31" s="62">
        <v>8.17</v>
      </c>
      <c r="G31" s="62">
        <f t="shared" si="0"/>
        <v>34.037399999999998</v>
      </c>
      <c r="H31" s="63">
        <f t="shared" si="1"/>
        <v>65.278300000000002</v>
      </c>
      <c r="I31" s="202">
        <v>397.5</v>
      </c>
      <c r="J31" s="202">
        <v>409.42500000000001</v>
      </c>
      <c r="K31" s="202">
        <v>4.0450314465408805</v>
      </c>
      <c r="L31" s="202">
        <v>8.1162012578616363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409.42500000000001</v>
      </c>
      <c r="S31" s="62">
        <f t="shared" si="2"/>
        <v>16.56137</v>
      </c>
      <c r="T31" s="63">
        <f t="shared" si="3"/>
        <v>33.229757000000006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71">
        <v>1208</v>
      </c>
      <c r="AI31" s="66">
        <v>4.2</v>
      </c>
      <c r="AJ31" s="66">
        <v>8.15</v>
      </c>
      <c r="AK31" s="62">
        <f t="shared" si="8"/>
        <v>50.736000000000004</v>
      </c>
      <c r="AL31" s="72">
        <f t="shared" si="9"/>
        <v>98.451999999999998</v>
      </c>
      <c r="AM31" s="73">
        <f t="shared" si="15"/>
        <v>0.42499999999995453</v>
      </c>
      <c r="AN31" s="74">
        <f t="shared" si="18"/>
        <v>-0.13723000000000241</v>
      </c>
      <c r="AO31" s="74">
        <f t="shared" si="18"/>
        <v>5.6057000000009793E-2</v>
      </c>
      <c r="AP31" s="75">
        <f t="shared" si="16"/>
        <v>-1.6302703893405065E-3</v>
      </c>
      <c r="AQ31" s="76">
        <f t="shared" si="11"/>
        <v>-49.154908894051026</v>
      </c>
      <c r="AR31" s="90">
        <f t="shared" si="12"/>
        <v>0.42499999999995453</v>
      </c>
    </row>
    <row r="32" spans="1:48" x14ac:dyDescent="0.25">
      <c r="A32" t="str">
        <f t="shared" si="13"/>
        <v>46218M</v>
      </c>
      <c r="B32" s="51">
        <f t="shared" si="17"/>
        <v>46218</v>
      </c>
      <c r="C32" s="52" t="s">
        <v>87</v>
      </c>
      <c r="D32" s="79">
        <v>1208</v>
      </c>
      <c r="E32" s="62">
        <v>4.2</v>
      </c>
      <c r="F32" s="62">
        <v>8.15</v>
      </c>
      <c r="G32" s="62">
        <f t="shared" si="0"/>
        <v>50.736000000000004</v>
      </c>
      <c r="H32" s="63">
        <f t="shared" si="1"/>
        <v>98.451999999999998</v>
      </c>
      <c r="I32" s="202">
        <v>280.29999999999995</v>
      </c>
      <c r="J32" s="202">
        <v>288.70899999999995</v>
      </c>
      <c r="K32" s="202">
        <v>4.6824473778094902</v>
      </c>
      <c r="L32" s="202">
        <v>8.3104887620406682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288.70899999999995</v>
      </c>
      <c r="S32" s="62">
        <f t="shared" si="2"/>
        <v>13.518646999999998</v>
      </c>
      <c r="T32" s="63">
        <f t="shared" si="3"/>
        <v>23.993128999999989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71">
        <v>1497</v>
      </c>
      <c r="AI32" s="66">
        <v>4.43</v>
      </c>
      <c r="AJ32" s="66">
        <v>8.18</v>
      </c>
      <c r="AK32" s="62">
        <f t="shared" si="8"/>
        <v>66.317099999999996</v>
      </c>
      <c r="AL32" s="72">
        <f t="shared" si="9"/>
        <v>122.4546</v>
      </c>
      <c r="AM32" s="73">
        <f t="shared" si="15"/>
        <v>-0.29100000000016735</v>
      </c>
      <c r="AN32" s="74">
        <f t="shared" si="18"/>
        <v>-2.0624529999999908</v>
      </c>
      <c r="AO32" s="74">
        <f t="shared" si="18"/>
        <v>-9.471000000019103E-3</v>
      </c>
      <c r="AP32" s="75">
        <f t="shared" si="16"/>
        <v>-5.523396172977816E-2</v>
      </c>
      <c r="AQ32" s="76">
        <f t="shared" si="11"/>
        <v>-993.91227215753065</v>
      </c>
      <c r="AR32" s="90">
        <f t="shared" si="12"/>
        <v>-0.29100000000016735</v>
      </c>
    </row>
    <row r="33" spans="1:44" x14ac:dyDescent="0.25">
      <c r="A33" t="str">
        <f t="shared" si="13"/>
        <v>46218E</v>
      </c>
      <c r="B33" s="51">
        <f t="shared" si="17"/>
        <v>46218</v>
      </c>
      <c r="C33" s="52" t="s">
        <v>88</v>
      </c>
      <c r="D33" s="79">
        <v>1497</v>
      </c>
      <c r="E33" s="62">
        <v>4.43</v>
      </c>
      <c r="F33" s="62">
        <v>8.18</v>
      </c>
      <c r="G33" s="62">
        <f t="shared" si="0"/>
        <v>66.317099999999996</v>
      </c>
      <c r="H33" s="63">
        <f t="shared" si="1"/>
        <v>122.4546</v>
      </c>
      <c r="I33" s="202">
        <v>403.4</v>
      </c>
      <c r="J33" s="202">
        <v>415.50200000000001</v>
      </c>
      <c r="K33" s="202">
        <v>4.2700297471492314</v>
      </c>
      <c r="L33" s="202">
        <v>8.1559990084283598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415.50200000000001</v>
      </c>
      <c r="S33" s="62">
        <f t="shared" si="2"/>
        <v>17.742059000000001</v>
      </c>
      <c r="T33" s="63">
        <f t="shared" si="3"/>
        <v>33.888339000000002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71">
        <v>1913</v>
      </c>
      <c r="AI33" s="66">
        <v>4.4000000000000004</v>
      </c>
      <c r="AJ33" s="66">
        <v>8.18</v>
      </c>
      <c r="AK33" s="62">
        <f t="shared" si="8"/>
        <v>84.172000000000011</v>
      </c>
      <c r="AL33" s="72">
        <f t="shared" si="9"/>
        <v>156.48339999999999</v>
      </c>
      <c r="AM33" s="73">
        <f t="shared" si="15"/>
        <v>-0.49800000000004729</v>
      </c>
      <c r="AN33" s="74">
        <f t="shared" si="18"/>
        <v>-0.11284100000001729</v>
      </c>
      <c r="AO33" s="74">
        <f t="shared" si="18"/>
        <v>-0.14046099999998773</v>
      </c>
      <c r="AP33" s="75">
        <f t="shared" si="16"/>
        <v>-4.9060632846565514E-3</v>
      </c>
      <c r="AQ33" s="76">
        <f t="shared" si="11"/>
        <v>-96.290592115617386</v>
      </c>
      <c r="AR33" s="90">
        <f t="shared" si="12"/>
        <v>-0.49800000000004729</v>
      </c>
    </row>
    <row r="34" spans="1:44" x14ac:dyDescent="0.25">
      <c r="A34" t="str">
        <f t="shared" si="13"/>
        <v>46219M</v>
      </c>
      <c r="B34" s="51">
        <f t="shared" si="17"/>
        <v>46219</v>
      </c>
      <c r="C34" s="52" t="s">
        <v>87</v>
      </c>
      <c r="D34" s="79">
        <v>1913</v>
      </c>
      <c r="E34" s="62">
        <v>4.4000000000000004</v>
      </c>
      <c r="F34" s="62">
        <v>8.18</v>
      </c>
      <c r="G34" s="62">
        <f t="shared" si="0"/>
        <v>84.172000000000011</v>
      </c>
      <c r="H34" s="63">
        <f t="shared" si="1"/>
        <v>156.48339999999999</v>
      </c>
      <c r="I34" s="202">
        <v>271.7</v>
      </c>
      <c r="J34" s="202">
        <v>279.851</v>
      </c>
      <c r="K34" s="202">
        <v>4.7833271991166733</v>
      </c>
      <c r="L34" s="202">
        <v>8.2995583364004428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279.851</v>
      </c>
      <c r="S34" s="62">
        <f t="shared" si="2"/>
        <v>13.386189000000002</v>
      </c>
      <c r="T34" s="63">
        <f t="shared" si="3"/>
        <v>23.226397000000002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71">
        <v>2193</v>
      </c>
      <c r="AI34" s="66">
        <v>4.45</v>
      </c>
      <c r="AJ34" s="66">
        <v>8.1999999999999993</v>
      </c>
      <c r="AK34" s="62">
        <f t="shared" si="8"/>
        <v>97.58850000000001</v>
      </c>
      <c r="AL34" s="72">
        <f t="shared" si="9"/>
        <v>179.82599999999996</v>
      </c>
      <c r="AM34" s="73">
        <f t="shared" si="15"/>
        <v>-0.14899999999988722</v>
      </c>
      <c r="AN34" s="74">
        <f t="shared" si="18"/>
        <v>-3.0310999999997534E-2</v>
      </c>
      <c r="AO34" s="74">
        <f t="shared" si="18"/>
        <v>-0.11620299999998451</v>
      </c>
      <c r="AP34" s="75">
        <f t="shared" si="16"/>
        <v>-4.0017386370900434E-3</v>
      </c>
      <c r="AQ34" s="76">
        <f t="shared" si="11"/>
        <v>-49.367186016211271</v>
      </c>
      <c r="AR34" s="77">
        <f>(D34+J34+O34)-(X34+AH34)</f>
        <v>-0.14899999999988722</v>
      </c>
    </row>
    <row r="35" spans="1:44" x14ac:dyDescent="0.25">
      <c r="A35" t="str">
        <f t="shared" si="13"/>
        <v>46219E</v>
      </c>
      <c r="B35" s="51">
        <f t="shared" si="17"/>
        <v>46219</v>
      </c>
      <c r="C35" s="52" t="s">
        <v>88</v>
      </c>
      <c r="D35" s="79">
        <v>2193</v>
      </c>
      <c r="E35" s="62">
        <v>4.45</v>
      </c>
      <c r="F35" s="62">
        <v>8.1999999999999993</v>
      </c>
      <c r="G35" s="62">
        <f t="shared" si="0"/>
        <v>97.58850000000001</v>
      </c>
      <c r="H35" s="63">
        <f t="shared" si="1"/>
        <v>179.82599999999996</v>
      </c>
      <c r="I35" s="202">
        <v>448.4</v>
      </c>
      <c r="J35" s="202">
        <v>461.85199999999998</v>
      </c>
      <c r="K35" s="202">
        <v>3.9330508474576269</v>
      </c>
      <c r="L35" s="202">
        <v>8.0593443354148082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461.85199999999998</v>
      </c>
      <c r="S35" s="62">
        <f t="shared" si="2"/>
        <v>18.164873999999998</v>
      </c>
      <c r="T35" s="63">
        <f t="shared" si="3"/>
        <v>37.222242999999999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71">
        <v>2655</v>
      </c>
      <c r="AI35" s="66">
        <v>4.3499999999999996</v>
      </c>
      <c r="AJ35" s="66">
        <v>8.18</v>
      </c>
      <c r="AK35" s="62">
        <f t="shared" si="8"/>
        <v>115.49249999999999</v>
      </c>
      <c r="AL35" s="72">
        <f t="shared" si="9"/>
        <v>217.179</v>
      </c>
      <c r="AM35" s="73">
        <f t="shared" si="15"/>
        <v>-0.14800000000013824</v>
      </c>
      <c r="AN35" s="74">
        <f t="shared" si="18"/>
        <v>0.26087400000001537</v>
      </c>
      <c r="AO35" s="74">
        <f t="shared" si="18"/>
        <v>-0.13075700000004531</v>
      </c>
      <c r="AP35" s="75">
        <f t="shared" si="16"/>
        <v>2.3492286121332162E-3</v>
      </c>
      <c r="AQ35" s="76">
        <f t="shared" si="11"/>
        <v>86.19789008187395</v>
      </c>
      <c r="AR35" s="77">
        <f t="shared" si="12"/>
        <v>-0.14800000000013824</v>
      </c>
    </row>
    <row r="36" spans="1:44" x14ac:dyDescent="0.25">
      <c r="A36" t="str">
        <f t="shared" si="13"/>
        <v>46220M</v>
      </c>
      <c r="B36" s="51">
        <f t="shared" si="17"/>
        <v>46220</v>
      </c>
      <c r="C36" s="52" t="s">
        <v>87</v>
      </c>
      <c r="D36" s="79">
        <v>2655</v>
      </c>
      <c r="E36" s="62">
        <v>4.3499999999999996</v>
      </c>
      <c r="F36" s="62">
        <v>8.18</v>
      </c>
      <c r="G36" s="62">
        <f t="shared" si="0"/>
        <v>115.49249999999999</v>
      </c>
      <c r="H36" s="63">
        <f t="shared" si="1"/>
        <v>217.179</v>
      </c>
      <c r="I36" s="202">
        <v>289.89999999999998</v>
      </c>
      <c r="J36" s="202">
        <v>298.59699999999998</v>
      </c>
      <c r="K36" s="202">
        <v>4.5781993790962403</v>
      </c>
      <c r="L36" s="202">
        <v>8.2015867540531193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298.59699999999998</v>
      </c>
      <c r="S36" s="62">
        <f t="shared" si="2"/>
        <v>13.670366</v>
      </c>
      <c r="T36" s="63">
        <f t="shared" si="3"/>
        <v>24.489691999999991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71">
        <v>2954</v>
      </c>
      <c r="AI36" s="66">
        <v>4.37</v>
      </c>
      <c r="AJ36" s="66">
        <v>8.18</v>
      </c>
      <c r="AK36" s="62">
        <f t="shared" si="8"/>
        <v>129.0898</v>
      </c>
      <c r="AL36" s="72">
        <f t="shared" si="9"/>
        <v>241.63720000000001</v>
      </c>
      <c r="AM36" s="73">
        <f t="shared" si="15"/>
        <v>-0.40300000000024738</v>
      </c>
      <c r="AN36" s="74">
        <f t="shared" si="18"/>
        <v>7.3065999999982978E-2</v>
      </c>
      <c r="AO36" s="74">
        <f t="shared" si="18"/>
        <v>3.1491999999985865E-2</v>
      </c>
      <c r="AP36" s="75">
        <f t="shared" si="16"/>
        <v>2.739985353270922E-3</v>
      </c>
      <c r="AQ36" s="76">
        <f t="shared" si="11"/>
        <v>44.542164679246042</v>
      </c>
      <c r="AR36" s="90">
        <f t="shared" si="12"/>
        <v>-0.40300000000024738</v>
      </c>
    </row>
    <row r="37" spans="1:44" x14ac:dyDescent="0.25">
      <c r="A37" t="str">
        <f t="shared" si="13"/>
        <v>46220E</v>
      </c>
      <c r="B37" s="51">
        <f t="shared" si="17"/>
        <v>46220</v>
      </c>
      <c r="C37" s="52" t="s">
        <v>88</v>
      </c>
      <c r="D37" s="79">
        <v>2954</v>
      </c>
      <c r="E37" s="62">
        <v>4.37</v>
      </c>
      <c r="F37" s="62">
        <v>8.18</v>
      </c>
      <c r="G37" s="62">
        <f t="shared" si="0"/>
        <v>129.0898</v>
      </c>
      <c r="H37" s="63">
        <f t="shared" si="1"/>
        <v>241.63720000000001</v>
      </c>
      <c r="I37" s="202">
        <v>526.09999999999991</v>
      </c>
      <c r="J37" s="202">
        <v>541.88299999999992</v>
      </c>
      <c r="K37" s="202">
        <v>3.8505037065196728</v>
      </c>
      <c r="L37" s="202">
        <v>8.0470823037445331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541.88299999999992</v>
      </c>
      <c r="S37" s="62">
        <f t="shared" si="2"/>
        <v>20.865224999999995</v>
      </c>
      <c r="T37" s="63">
        <f t="shared" si="3"/>
        <v>43.605770999999983</v>
      </c>
      <c r="U37" s="64" t="s">
        <v>171</v>
      </c>
      <c r="V37" s="85" t="s">
        <v>617</v>
      </c>
      <c r="W37" s="66" t="s">
        <v>149</v>
      </c>
      <c r="X37" s="67">
        <v>3130</v>
      </c>
      <c r="Y37" s="68">
        <v>4.3</v>
      </c>
      <c r="Z37" s="68">
        <v>8.27</v>
      </c>
      <c r="AA37" s="62">
        <f t="shared" si="4"/>
        <v>134.59</v>
      </c>
      <c r="AB37" s="63">
        <f t="shared" si="5"/>
        <v>258.851</v>
      </c>
      <c r="AC37" s="69">
        <v>3130</v>
      </c>
      <c r="AD37" s="70">
        <v>4.3</v>
      </c>
      <c r="AE37" s="70">
        <v>8.14</v>
      </c>
      <c r="AF37" s="62">
        <f t="shared" si="6"/>
        <v>134.59</v>
      </c>
      <c r="AG37" s="63">
        <f t="shared" si="7"/>
        <v>254.78200000000001</v>
      </c>
      <c r="AH37" s="71">
        <v>406</v>
      </c>
      <c r="AI37" s="66">
        <v>4.3</v>
      </c>
      <c r="AJ37" s="66">
        <v>8.16</v>
      </c>
      <c r="AK37" s="62">
        <f t="shared" si="8"/>
        <v>17.457999999999998</v>
      </c>
      <c r="AL37" s="72">
        <f t="shared" si="9"/>
        <v>33.129600000000003</v>
      </c>
      <c r="AM37" s="73">
        <f t="shared" si="15"/>
        <v>-40.117000000000189</v>
      </c>
      <c r="AN37" s="74">
        <f t="shared" si="18"/>
        <v>-2.092975000000024</v>
      </c>
      <c r="AO37" s="74">
        <f t="shared" si="18"/>
        <v>-2.6686290000000028</v>
      </c>
      <c r="AP37" s="75">
        <f t="shared" si="16"/>
        <v>-7.3856529221295542E-2</v>
      </c>
      <c r="AQ37" s="76">
        <f t="shared" si="11"/>
        <v>-1804.9732343560872</v>
      </c>
      <c r="AR37" s="90">
        <f t="shared" si="12"/>
        <v>-40.117000000000189</v>
      </c>
    </row>
    <row r="38" spans="1:44" x14ac:dyDescent="0.25">
      <c r="A38" t="str">
        <f t="shared" si="13"/>
        <v>46221M</v>
      </c>
      <c r="B38" s="51">
        <f t="shared" si="17"/>
        <v>46221</v>
      </c>
      <c r="C38" s="52" t="s">
        <v>87</v>
      </c>
      <c r="D38" s="79">
        <v>406</v>
      </c>
      <c r="E38" s="62">
        <v>4.3</v>
      </c>
      <c r="F38" s="62">
        <v>8.16</v>
      </c>
      <c r="G38" s="62">
        <f t="shared" si="0"/>
        <v>17.457999999999998</v>
      </c>
      <c r="H38" s="63">
        <f t="shared" si="1"/>
        <v>33.129600000000003</v>
      </c>
      <c r="I38" s="202">
        <v>305</v>
      </c>
      <c r="J38" s="202">
        <v>314.15000000000003</v>
      </c>
      <c r="K38" s="202">
        <v>4.620590163934426</v>
      </c>
      <c r="L38" s="202">
        <v>8.2686229508196725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314.15000000000003</v>
      </c>
      <c r="S38" s="62">
        <f t="shared" si="2"/>
        <v>14.515584</v>
      </c>
      <c r="T38" s="63">
        <f t="shared" si="3"/>
        <v>25.975879000000003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71">
        <v>720</v>
      </c>
      <c r="AI38" s="66">
        <v>4.4000000000000004</v>
      </c>
      <c r="AJ38" s="66">
        <v>8.1999999999999993</v>
      </c>
      <c r="AK38" s="62">
        <f t="shared" si="8"/>
        <v>31.680000000000003</v>
      </c>
      <c r="AL38" s="72">
        <f t="shared" si="9"/>
        <v>59.039999999999992</v>
      </c>
      <c r="AM38" s="73">
        <f t="shared" si="15"/>
        <v>0.15000000000009095</v>
      </c>
      <c r="AN38" s="74">
        <f t="shared" si="18"/>
        <v>0.29358399999999563</v>
      </c>
      <c r="AO38" s="74">
        <f t="shared" si="18"/>
        <v>6.5479000000010501E-2</v>
      </c>
      <c r="AP38" s="75">
        <f t="shared" si="16"/>
        <v>8.8676222936179428E-3</v>
      </c>
      <c r="AQ38" s="76">
        <f t="shared" si="11"/>
        <v>160.68704468230715</v>
      </c>
      <c r="AR38" s="90">
        <f t="shared" si="12"/>
        <v>0.15000000000009095</v>
      </c>
    </row>
    <row r="39" spans="1:44" x14ac:dyDescent="0.25">
      <c r="A39" t="str">
        <f t="shared" si="13"/>
        <v>46221E</v>
      </c>
      <c r="B39" s="51">
        <f t="shared" si="17"/>
        <v>46221</v>
      </c>
      <c r="C39" s="52" t="s">
        <v>88</v>
      </c>
      <c r="D39" s="79">
        <v>720</v>
      </c>
      <c r="E39" s="62">
        <v>4.4000000000000004</v>
      </c>
      <c r="F39" s="62">
        <v>8.1999999999999993</v>
      </c>
      <c r="G39" s="62">
        <f t="shared" si="0"/>
        <v>31.680000000000003</v>
      </c>
      <c r="H39" s="63">
        <f t="shared" si="1"/>
        <v>59.039999999999992</v>
      </c>
      <c r="I39" s="202">
        <v>501.6</v>
      </c>
      <c r="J39" s="202">
        <v>516.64800000000002</v>
      </c>
      <c r="K39" s="202">
        <v>4.0918062200956937</v>
      </c>
      <c r="L39" s="202">
        <v>8.1115430622009548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516.64800000000002</v>
      </c>
      <c r="S39" s="62">
        <f t="shared" si="2"/>
        <v>21.140235000000001</v>
      </c>
      <c r="T39" s="63">
        <f t="shared" si="3"/>
        <v>41.908124999999991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71">
        <v>1237</v>
      </c>
      <c r="AI39" s="66">
        <v>4.3</v>
      </c>
      <c r="AJ39" s="66">
        <v>8.16</v>
      </c>
      <c r="AK39" s="62">
        <f t="shared" si="8"/>
        <v>53.190999999999995</v>
      </c>
      <c r="AL39" s="72">
        <f t="shared" si="9"/>
        <v>100.93920000000001</v>
      </c>
      <c r="AM39" s="73">
        <f t="shared" si="15"/>
        <v>-0.35199999999986176</v>
      </c>
      <c r="AN39" s="74">
        <f t="shared" si="18"/>
        <v>-0.37076499999999157</v>
      </c>
      <c r="AO39" s="74">
        <f t="shared" si="18"/>
        <v>8.9249999999623242E-3</v>
      </c>
      <c r="AP39" s="75">
        <f t="shared" si="16"/>
        <v>-5.7390866312784236E-3</v>
      </c>
      <c r="AQ39" s="76">
        <f t="shared" si="11"/>
        <v>-175.49169153042266</v>
      </c>
      <c r="AR39" s="90">
        <f t="shared" si="12"/>
        <v>-0.35199999999986176</v>
      </c>
    </row>
    <row r="40" spans="1:44" x14ac:dyDescent="0.25">
      <c r="A40" t="str">
        <f t="shared" si="13"/>
        <v>46222M</v>
      </c>
      <c r="B40" s="51">
        <f t="shared" si="17"/>
        <v>46222</v>
      </c>
      <c r="C40" s="52" t="s">
        <v>87</v>
      </c>
      <c r="D40" s="79">
        <v>1237</v>
      </c>
      <c r="E40" s="62">
        <v>4.3</v>
      </c>
      <c r="F40" s="62">
        <v>8.16</v>
      </c>
      <c r="G40" s="62">
        <f t="shared" si="0"/>
        <v>53.190999999999995</v>
      </c>
      <c r="H40" s="63">
        <f t="shared" si="1"/>
        <v>100.93920000000001</v>
      </c>
      <c r="I40" s="202">
        <v>337.09999999999997</v>
      </c>
      <c r="J40" s="202">
        <v>347.21299999999997</v>
      </c>
      <c r="K40" s="202">
        <v>4.3668644319193124</v>
      </c>
      <c r="L40" s="202">
        <v>8.2110056363097019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347.21299999999997</v>
      </c>
      <c r="S40" s="62">
        <f t="shared" si="2"/>
        <v>15.162321</v>
      </c>
      <c r="T40" s="63">
        <f t="shared" si="3"/>
        <v>28.509679000000006</v>
      </c>
      <c r="U40" s="64" t="s">
        <v>180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71">
        <v>1584</v>
      </c>
      <c r="AI40" s="66">
        <v>4.3</v>
      </c>
      <c r="AJ40" s="66">
        <v>8.17</v>
      </c>
      <c r="AK40" s="62">
        <f t="shared" si="8"/>
        <v>68.111999999999995</v>
      </c>
      <c r="AL40" s="72">
        <f t="shared" si="9"/>
        <v>129.4128</v>
      </c>
      <c r="AM40" s="73">
        <f t="shared" si="15"/>
        <v>0.21299999999996544</v>
      </c>
      <c r="AN40" s="74">
        <f t="shared" si="18"/>
        <v>0.24132099999999923</v>
      </c>
      <c r="AO40" s="74">
        <f t="shared" si="18"/>
        <v>3.6079000000029282E-2</v>
      </c>
      <c r="AP40" s="75">
        <f t="shared" si="16"/>
        <v>6.3518959516401467E-3</v>
      </c>
      <c r="AQ40" s="76">
        <f t="shared" si="11"/>
        <v>126.76793394229566</v>
      </c>
      <c r="AR40" s="90">
        <f t="shared" si="12"/>
        <v>0.21299999999996544</v>
      </c>
    </row>
    <row r="41" spans="1:44" x14ac:dyDescent="0.25">
      <c r="A41" t="str">
        <f t="shared" si="13"/>
        <v>46222E</v>
      </c>
      <c r="B41" s="51">
        <f t="shared" si="17"/>
        <v>46222</v>
      </c>
      <c r="C41" s="52" t="s">
        <v>88</v>
      </c>
      <c r="D41" s="79">
        <v>1584</v>
      </c>
      <c r="E41" s="62">
        <v>4.3</v>
      </c>
      <c r="F41" s="62">
        <v>8.17</v>
      </c>
      <c r="G41" s="62">
        <f t="shared" si="0"/>
        <v>68.111999999999995</v>
      </c>
      <c r="H41" s="63">
        <f t="shared" si="1"/>
        <v>129.4128</v>
      </c>
      <c r="I41" s="202">
        <v>395.1</v>
      </c>
      <c r="J41" s="202">
        <v>406.95300000000003</v>
      </c>
      <c r="K41" s="202">
        <v>4.0461655277145026</v>
      </c>
      <c r="L41" s="202">
        <v>8.1103264996203492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406.95300000000003</v>
      </c>
      <c r="S41" s="62">
        <f t="shared" si="2"/>
        <v>16.465992000000004</v>
      </c>
      <c r="T41" s="63">
        <f t="shared" si="3"/>
        <v>33.005217000000002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71">
        <v>1991</v>
      </c>
      <c r="AI41" s="66">
        <v>4.25</v>
      </c>
      <c r="AJ41" s="66">
        <v>8.16</v>
      </c>
      <c r="AK41" s="62">
        <f t="shared" si="8"/>
        <v>84.617500000000007</v>
      </c>
      <c r="AL41" s="72">
        <f t="shared" si="9"/>
        <v>162.46560000000002</v>
      </c>
      <c r="AM41" s="73">
        <f t="shared" si="15"/>
        <v>-4.7000000000025466E-2</v>
      </c>
      <c r="AN41" s="74">
        <f t="shared" si="18"/>
        <v>-3.9508000000012089E-2</v>
      </c>
      <c r="AO41" s="74">
        <f t="shared" si="18"/>
        <v>-4.758300000000304E-2</v>
      </c>
      <c r="AP41" s="75">
        <f t="shared" si="16"/>
        <v>-1.760438076215504E-3</v>
      </c>
      <c r="AQ41" s="76">
        <f t="shared" si="11"/>
        <v>-33.235564736008193</v>
      </c>
      <c r="AR41" s="90">
        <f t="shared" si="12"/>
        <v>-4.7000000000025466E-2</v>
      </c>
    </row>
    <row r="42" spans="1:44" x14ac:dyDescent="0.25">
      <c r="A42" t="str">
        <f t="shared" si="13"/>
        <v>46223M</v>
      </c>
      <c r="B42" s="51">
        <f t="shared" si="17"/>
        <v>46223</v>
      </c>
      <c r="C42" s="52" t="s">
        <v>87</v>
      </c>
      <c r="D42" s="79">
        <v>1991</v>
      </c>
      <c r="E42" s="62">
        <v>4.25</v>
      </c>
      <c r="F42" s="62">
        <v>8.16</v>
      </c>
      <c r="G42" s="62">
        <f t="shared" si="0"/>
        <v>84.617500000000007</v>
      </c>
      <c r="H42" s="63">
        <f t="shared" si="1"/>
        <v>162.46560000000002</v>
      </c>
      <c r="I42" s="202">
        <v>349.09999999999997</v>
      </c>
      <c r="J42" s="202">
        <v>359.57299999999998</v>
      </c>
      <c r="K42" s="202">
        <v>4.3071326267545116</v>
      </c>
      <c r="L42" s="202">
        <v>8.1932111142939004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359.57299999999998</v>
      </c>
      <c r="S42" s="62">
        <f t="shared" si="2"/>
        <v>15.487285999999999</v>
      </c>
      <c r="T42" s="63">
        <f t="shared" si="3"/>
        <v>29.460575000000006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71">
        <v>2351</v>
      </c>
      <c r="AI42" s="66">
        <v>4.25</v>
      </c>
      <c r="AJ42" s="66">
        <v>8.17</v>
      </c>
      <c r="AK42" s="62">
        <f t="shared" si="8"/>
        <v>99.917500000000004</v>
      </c>
      <c r="AL42" s="72">
        <f t="shared" si="9"/>
        <v>192.07669999999999</v>
      </c>
      <c r="AM42" s="73">
        <f t="shared" si="15"/>
        <v>-0.42700000000013461</v>
      </c>
      <c r="AN42" s="74">
        <f t="shared" si="18"/>
        <v>0.18728600000000029</v>
      </c>
      <c r="AO42" s="74">
        <f t="shared" si="18"/>
        <v>-0.15052499999995916</v>
      </c>
      <c r="AP42" s="75">
        <f t="shared" si="16"/>
        <v>8.1785871857263952E-4</v>
      </c>
      <c r="AQ42" s="76">
        <f t="shared" si="11"/>
        <v>44.916121040360402</v>
      </c>
      <c r="AR42" s="90">
        <f t="shared" si="12"/>
        <v>-0.42700000000013461</v>
      </c>
    </row>
    <row r="43" spans="1:44" x14ac:dyDescent="0.25">
      <c r="A43" t="str">
        <f t="shared" si="13"/>
        <v>46223E</v>
      </c>
      <c r="B43" s="51">
        <f t="shared" si="17"/>
        <v>46223</v>
      </c>
      <c r="C43" s="52" t="s">
        <v>88</v>
      </c>
      <c r="D43" s="79">
        <v>2351</v>
      </c>
      <c r="E43" s="62">
        <v>4.25</v>
      </c>
      <c r="F43" s="62">
        <v>8.17</v>
      </c>
      <c r="G43" s="62">
        <f t="shared" si="0"/>
        <v>99.917500000000004</v>
      </c>
      <c r="H43" s="63">
        <f t="shared" si="1"/>
        <v>192.07669999999999</v>
      </c>
      <c r="I43" s="202">
        <v>286.89999999999998</v>
      </c>
      <c r="J43" s="202">
        <v>295.50700000000001</v>
      </c>
      <c r="K43" s="202">
        <v>4.2935517601951902</v>
      </c>
      <c r="L43" s="202">
        <v>8.2007668177065174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295.50700000000001</v>
      </c>
      <c r="S43" s="62">
        <f t="shared" si="2"/>
        <v>12.687746000000002</v>
      </c>
      <c r="T43" s="63">
        <f t="shared" si="3"/>
        <v>24.233839999999997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71">
        <v>2647</v>
      </c>
      <c r="AI43" s="66">
        <v>4.25</v>
      </c>
      <c r="AJ43" s="66">
        <v>8.17</v>
      </c>
      <c r="AK43" s="62">
        <f t="shared" si="8"/>
        <v>112.4975</v>
      </c>
      <c r="AL43" s="72">
        <f t="shared" si="9"/>
        <v>216.25989999999999</v>
      </c>
      <c r="AM43" s="73">
        <f t="shared" si="15"/>
        <v>-0.49299999999993815</v>
      </c>
      <c r="AN43" s="74">
        <f t="shared" si="18"/>
        <v>0.10774600000000589</v>
      </c>
      <c r="AO43" s="74">
        <f t="shared" si="18"/>
        <v>5.063999999998714E-2</v>
      </c>
      <c r="AP43" s="75">
        <f t="shared" si="16"/>
        <v>4.2897940516421216E-3</v>
      </c>
      <c r="AQ43" s="76">
        <f t="shared" si="11"/>
        <v>66.941688924017384</v>
      </c>
      <c r="AR43" s="90">
        <f t="shared" si="12"/>
        <v>-0.49299999999993815</v>
      </c>
    </row>
    <row r="44" spans="1:44" x14ac:dyDescent="0.25">
      <c r="A44" t="str">
        <f t="shared" si="13"/>
        <v>46224M</v>
      </c>
      <c r="B44" s="51">
        <f t="shared" si="17"/>
        <v>46224</v>
      </c>
      <c r="C44" s="52" t="s">
        <v>87</v>
      </c>
      <c r="D44" s="79">
        <v>2647</v>
      </c>
      <c r="E44" s="62">
        <v>4.25</v>
      </c>
      <c r="F44" s="62">
        <v>8.17</v>
      </c>
      <c r="G44" s="62">
        <f t="shared" si="0"/>
        <v>112.4975</v>
      </c>
      <c r="H44" s="63">
        <f t="shared" si="1"/>
        <v>216.25989999999999</v>
      </c>
      <c r="I44" s="202">
        <v>299.60000000000002</v>
      </c>
      <c r="J44" s="202">
        <v>308.58800000000002</v>
      </c>
      <c r="K44" s="202">
        <v>4.3955941255006676</v>
      </c>
      <c r="L44" s="202">
        <v>8.25841121495327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308.58800000000002</v>
      </c>
      <c r="S44" s="62">
        <f t="shared" si="2"/>
        <v>13.564276000000001</v>
      </c>
      <c r="T44" s="63">
        <f t="shared" si="3"/>
        <v>25.484466000000001</v>
      </c>
      <c r="U44" s="64" t="s">
        <v>171</v>
      </c>
      <c r="V44" s="65" t="s">
        <v>705</v>
      </c>
      <c r="W44" s="66" t="s">
        <v>369</v>
      </c>
      <c r="X44" s="67">
        <v>3000</v>
      </c>
      <c r="Y44" s="68">
        <v>4.3499999999999996</v>
      </c>
      <c r="Z44" s="68">
        <v>8.2799999999999994</v>
      </c>
      <c r="AA44" s="62">
        <f t="shared" si="4"/>
        <v>130.5</v>
      </c>
      <c r="AB44" s="63">
        <f t="shared" si="5"/>
        <v>248.4</v>
      </c>
      <c r="AC44" s="69">
        <v>3040</v>
      </c>
      <c r="AD44" s="70">
        <v>4.4000000000000004</v>
      </c>
      <c r="AE44" s="70">
        <v>8.3000000000000007</v>
      </c>
      <c r="AF44" s="62">
        <f t="shared" si="6"/>
        <v>133.76000000000002</v>
      </c>
      <c r="AG44" s="63">
        <f t="shared" si="7"/>
        <v>252.32000000000002</v>
      </c>
      <c r="AH44" s="71">
        <v>0</v>
      </c>
      <c r="AI44" s="66">
        <v>0</v>
      </c>
      <c r="AJ44" s="66">
        <v>0</v>
      </c>
      <c r="AK44" s="62">
        <f t="shared" si="8"/>
        <v>0</v>
      </c>
      <c r="AL44" s="72">
        <f t="shared" si="9"/>
        <v>0</v>
      </c>
      <c r="AM44" s="73">
        <f t="shared" si="15"/>
        <v>-84.411999999999807</v>
      </c>
      <c r="AN44" s="74">
        <f t="shared" si="18"/>
        <v>-7.6982240000000104</v>
      </c>
      <c r="AO44" s="74">
        <f t="shared" si="18"/>
        <v>-10.575634000000036</v>
      </c>
      <c r="AP44" s="75">
        <f t="shared" si="16"/>
        <v>-0.46797558804839462</v>
      </c>
      <c r="AQ44" s="76">
        <f t="shared" si="11"/>
        <v>-6866.5554149765694</v>
      </c>
      <c r="AR44" s="90">
        <f t="shared" si="12"/>
        <v>-44.411999999999807</v>
      </c>
    </row>
    <row r="45" spans="1:44" x14ac:dyDescent="0.25">
      <c r="A45" t="str">
        <f t="shared" si="13"/>
        <v>46224E</v>
      </c>
      <c r="B45" s="51">
        <f t="shared" si="17"/>
        <v>46224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2"/>
      <c r="J45" s="202"/>
      <c r="K45" s="202"/>
      <c r="L45" s="202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71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46225M</v>
      </c>
      <c r="B46" s="51">
        <f t="shared" si="17"/>
        <v>46225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2"/>
      <c r="J46" s="202"/>
      <c r="K46" s="202"/>
      <c r="L46" s="202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71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46225E</v>
      </c>
      <c r="B47" s="51">
        <f t="shared" si="17"/>
        <v>46225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2"/>
      <c r="J47" s="202"/>
      <c r="K47" s="202"/>
      <c r="L47" s="202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71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46226M</v>
      </c>
      <c r="B48" s="51">
        <f t="shared" si="17"/>
        <v>46226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2"/>
      <c r="J48" s="202"/>
      <c r="K48" s="202"/>
      <c r="L48" s="202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71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46226E</v>
      </c>
      <c r="B49" s="51">
        <f t="shared" si="17"/>
        <v>46226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2"/>
      <c r="J49" s="202"/>
      <c r="K49" s="202"/>
      <c r="L49" s="202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71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46227M</v>
      </c>
      <c r="B50" s="51">
        <f t="shared" si="17"/>
        <v>46227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2"/>
      <c r="J50" s="202"/>
      <c r="K50" s="202"/>
      <c r="L50" s="202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71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46227E</v>
      </c>
      <c r="B51" s="51">
        <f t="shared" si="17"/>
        <v>46227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2"/>
      <c r="J51" s="202"/>
      <c r="K51" s="202"/>
      <c r="L51" s="202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71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46228M</v>
      </c>
      <c r="B52" s="51">
        <f t="shared" si="17"/>
        <v>46228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2"/>
      <c r="J52" s="202"/>
      <c r="K52" s="202"/>
      <c r="L52" s="202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71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46228E</v>
      </c>
      <c r="B53" s="51">
        <f t="shared" si="17"/>
        <v>46228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2"/>
      <c r="J53" s="202"/>
      <c r="K53" s="202"/>
      <c r="L53" s="202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71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46229M</v>
      </c>
      <c r="B54" s="51">
        <f t="shared" si="17"/>
        <v>46229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2"/>
      <c r="J54" s="202"/>
      <c r="K54" s="202"/>
      <c r="L54" s="202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71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46229E</v>
      </c>
      <c r="B55" s="51">
        <f t="shared" si="17"/>
        <v>46229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2"/>
      <c r="J55" s="202"/>
      <c r="K55" s="202"/>
      <c r="L55" s="202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71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46230M</v>
      </c>
      <c r="B56" s="51">
        <f t="shared" si="17"/>
        <v>46230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2"/>
      <c r="J56" s="202"/>
      <c r="K56" s="202"/>
      <c r="L56" s="202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71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46230E</v>
      </c>
      <c r="B57" s="51">
        <f t="shared" si="17"/>
        <v>46230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2"/>
      <c r="J57" s="202"/>
      <c r="K57" s="202"/>
      <c r="L57" s="202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71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46231M</v>
      </c>
      <c r="B58" s="51">
        <f t="shared" si="17"/>
        <v>46231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2"/>
      <c r="J58" s="202"/>
      <c r="K58" s="202"/>
      <c r="L58" s="202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71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46231E</v>
      </c>
      <c r="B59" s="51">
        <f t="shared" si="17"/>
        <v>46231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2"/>
      <c r="J59" s="202"/>
      <c r="K59" s="202"/>
      <c r="L59" s="202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71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46232M</v>
      </c>
      <c r="B60" s="51">
        <f t="shared" si="17"/>
        <v>46232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2"/>
      <c r="J60" s="202"/>
      <c r="K60" s="202"/>
      <c r="L60" s="202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71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46232E</v>
      </c>
      <c r="B61" s="51">
        <f t="shared" si="17"/>
        <v>46232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2"/>
      <c r="J61" s="202"/>
      <c r="K61" s="202"/>
      <c r="L61" s="202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71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46233M</v>
      </c>
      <c r="B62" s="51">
        <f t="shared" si="17"/>
        <v>46233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2"/>
      <c r="J62" s="202"/>
      <c r="K62" s="202"/>
      <c r="L62" s="202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71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46233E</v>
      </c>
      <c r="B63" s="51">
        <f t="shared" si="17"/>
        <v>46233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2"/>
      <c r="J63" s="202"/>
      <c r="K63" s="202"/>
      <c r="L63" s="202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71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2"/>
      <c r="J64" s="202"/>
      <c r="K64" s="202"/>
      <c r="L64" s="202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2"/>
      <c r="J65" s="202"/>
      <c r="K65" s="202"/>
      <c r="L65" s="202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16220.028000000002</v>
      </c>
      <c r="X66" s="77"/>
      <c r="AH66" s="77"/>
      <c r="AI66" s="77"/>
      <c r="AJ66" s="77"/>
      <c r="AM66" s="83">
        <f>-SUM(AM4:AM65)</f>
        <v>278.97200000000061</v>
      </c>
      <c r="AN66" s="83">
        <f t="shared" ref="AN66:AO66" si="19">-SUM(AN4:AN65)</f>
        <v>20.543667000000099</v>
      </c>
      <c r="AO66" s="83">
        <f t="shared" si="19"/>
        <v>25.253492000000048</v>
      </c>
      <c r="AP66" s="83" t="e">
        <f>-SUM(AP4:AP65)</f>
        <v>#DIV/0!</v>
      </c>
      <c r="AQ66" s="126">
        <f>-SUM(AQ4:AQ65)</f>
        <v>17435.096650939173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9" priority="1" operator="lessThan">
      <formula>0.1</formula>
    </cfRule>
    <cfRule type="cellIs" dxfId="98" priority="2" operator="greaterThan">
      <formula>0.1</formula>
    </cfRule>
  </conditionalFormatting>
  <conditionalFormatting sqref="AP1:AQ1">
    <cfRule type="cellIs" dxfId="97" priority="5" operator="lessThan">
      <formula>1</formula>
    </cfRule>
  </conditionalFormatting>
  <conditionalFormatting sqref="AQ4:AQ65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71"/>
  <sheetViews>
    <sheetView topLeftCell="A30" zoomScale="80" zoomScaleNormal="80" workbookViewId="0">
      <selection activeCell="AH50" sqref="AH50:AJ63"/>
    </sheetView>
  </sheetViews>
  <sheetFormatPr defaultRowHeight="15" x14ac:dyDescent="0.25"/>
  <cols>
    <col min="1" max="1" width="4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9.285156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customWidth="1"/>
    <col min="21" max="21" width="7.85546875" bestFit="1" customWidth="1"/>
    <col min="22" max="22" width="7.7109375" customWidth="1"/>
    <col min="23" max="23" width="10.28515625" customWidth="1"/>
    <col min="24" max="24" width="7.7109375" customWidth="1"/>
    <col min="25" max="25" width="5.85546875" bestFit="1" customWidth="1"/>
    <col min="26" max="26" width="5.85546875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4.140625" bestFit="1" customWidth="1"/>
    <col min="45" max="49" width="8.7109375" bestFit="1" customWidth="1"/>
  </cols>
  <sheetData>
    <row r="1" spans="1:44" ht="15.75" thickBot="1" x14ac:dyDescent="0.3">
      <c r="B1" s="43" t="s">
        <v>114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6247.3</v>
      </c>
      <c r="E4" s="88">
        <v>4.46</v>
      </c>
      <c r="F4" s="88">
        <v>8.14</v>
      </c>
      <c r="G4" s="62">
        <f t="shared" ref="G4:G11" si="0">+D4*E4%</f>
        <v>278.62958000000003</v>
      </c>
      <c r="H4" s="63">
        <f t="shared" ref="H4:H11" si="1">+D4*F4%</f>
        <v>508.53022000000004</v>
      </c>
      <c r="I4" s="202">
        <v>2336.9999999999995</v>
      </c>
      <c r="J4" s="202">
        <v>2407.1099999999997</v>
      </c>
      <c r="K4" s="202">
        <v>4.7702011125374391</v>
      </c>
      <c r="L4" s="202">
        <v>8.2137612323491656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2407.1099999999997</v>
      </c>
      <c r="S4" s="62">
        <f t="shared" ref="S4:S65" si="3">+J4*K4%+O4*P4%</f>
        <v>114.82398799999994</v>
      </c>
      <c r="T4" s="63">
        <f t="shared" ref="T4:T65" si="4">+J4*L4%+O4*Q4%</f>
        <v>197.71426799999995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8654.4</v>
      </c>
      <c r="AI4" s="66">
        <v>4.54</v>
      </c>
      <c r="AJ4" s="66">
        <v>8.15</v>
      </c>
      <c r="AK4" s="62">
        <f t="shared" ref="AK4:AK65" si="9">AH4*AI4%</f>
        <v>392.90976000000001</v>
      </c>
      <c r="AL4" s="72">
        <f t="shared" ref="AL4:AL65" si="10">AH4*AJ4%</f>
        <v>705.33360000000005</v>
      </c>
      <c r="AM4" s="73">
        <f t="shared" ref="AM4:AM65" si="11">+D4+R4-AC4-AH4</f>
        <v>1.0000000000218279E-2</v>
      </c>
      <c r="AN4" s="74">
        <f t="shared" ref="AN4:AO19" si="12">+G4+S4-AF4-AK4</f>
        <v>0.54380799999995588</v>
      </c>
      <c r="AO4" s="74">
        <f t="shared" si="12"/>
        <v>0.91088799999999992</v>
      </c>
      <c r="AP4" s="75">
        <f t="shared" ref="AP4:AP65" si="13">(AN4+AO4)/(S4+T4)</f>
        <v>4.6544574050479005E-3</v>
      </c>
      <c r="AQ4" s="76">
        <f t="shared" ref="AQ4:AQ65" si="14">($AP$1*AN4+$AQ$1*AO4)</f>
        <v>534.12028981613798</v>
      </c>
      <c r="AR4" s="90">
        <f t="shared" ref="AR4:AR65" si="15">(D4+J4+O4)-(X4+AH4)</f>
        <v>1.0000000000218279E-2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8654.4</v>
      </c>
      <c r="E5" s="62">
        <v>4.54</v>
      </c>
      <c r="F5" s="62">
        <v>8.15</v>
      </c>
      <c r="G5" s="62">
        <f t="shared" si="0"/>
        <v>392.90976000000001</v>
      </c>
      <c r="H5" s="63">
        <f t="shared" si="1"/>
        <v>705.33360000000005</v>
      </c>
      <c r="I5" s="202">
        <v>2156.5</v>
      </c>
      <c r="J5" s="202">
        <v>2221.1950000000002</v>
      </c>
      <c r="K5" s="202">
        <v>4.2869603524229056</v>
      </c>
      <c r="L5" s="202">
        <v>8.1812566658938071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2221.1950000000002</v>
      </c>
      <c r="S5" s="62">
        <f t="shared" si="3"/>
        <v>95.22174899999996</v>
      </c>
      <c r="T5" s="63">
        <f t="shared" si="4"/>
        <v>181.72166399999998</v>
      </c>
      <c r="U5" s="64" t="s">
        <v>189</v>
      </c>
      <c r="V5" s="65" t="s">
        <v>225</v>
      </c>
      <c r="W5" s="66" t="s">
        <v>181</v>
      </c>
      <c r="X5" s="67">
        <v>10000</v>
      </c>
      <c r="Y5" s="68">
        <v>4.58</v>
      </c>
      <c r="Z5" s="68">
        <v>8.26</v>
      </c>
      <c r="AA5" s="62">
        <f t="shared" si="5"/>
        <v>458</v>
      </c>
      <c r="AB5" s="63">
        <f t="shared" si="6"/>
        <v>825.99999999999989</v>
      </c>
      <c r="AC5" s="69">
        <v>9940</v>
      </c>
      <c r="AD5" s="70">
        <v>4.4249999999999998</v>
      </c>
      <c r="AE5" s="70">
        <v>7.9799999999999995</v>
      </c>
      <c r="AF5" s="62">
        <f t="shared" si="7"/>
        <v>439.84499999999997</v>
      </c>
      <c r="AG5" s="62">
        <f t="shared" si="8"/>
        <v>793.21199999999999</v>
      </c>
      <c r="AH5" s="89">
        <v>875.5</v>
      </c>
      <c r="AI5" s="66">
        <v>4.4800000000000004</v>
      </c>
      <c r="AJ5" s="66">
        <v>8.15</v>
      </c>
      <c r="AK5" s="62">
        <f t="shared" si="9"/>
        <v>39.222400000000007</v>
      </c>
      <c r="AL5" s="72">
        <f t="shared" si="10"/>
        <v>71.353250000000003</v>
      </c>
      <c r="AM5" s="73">
        <f t="shared" si="11"/>
        <v>60.094999999999345</v>
      </c>
      <c r="AN5" s="74">
        <f t="shared" si="12"/>
        <v>9.0641089999999593</v>
      </c>
      <c r="AO5" s="74">
        <f t="shared" si="12"/>
        <v>22.490014000000087</v>
      </c>
      <c r="AP5" s="75">
        <f t="shared" si="13"/>
        <v>0.11393707710246227</v>
      </c>
      <c r="AQ5" s="76">
        <f t="shared" si="14"/>
        <v>11091.158354251642</v>
      </c>
      <c r="AR5" s="90">
        <f t="shared" si="15"/>
        <v>9.4999999999345164E-2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875.5</v>
      </c>
      <c r="E6" s="62">
        <v>4.4800000000000004</v>
      </c>
      <c r="F6" s="62">
        <v>8.15</v>
      </c>
      <c r="G6" s="62">
        <f t="shared" si="0"/>
        <v>39.222400000000007</v>
      </c>
      <c r="H6" s="63">
        <f t="shared" si="1"/>
        <v>71.353250000000003</v>
      </c>
      <c r="I6" s="202">
        <v>2546.5000000000009</v>
      </c>
      <c r="J6" s="202">
        <v>2622.8950000000009</v>
      </c>
      <c r="K6" s="202">
        <v>4.7120675436874144</v>
      </c>
      <c r="L6" s="202">
        <v>8.109656391125073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2622.8950000000009</v>
      </c>
      <c r="S6" s="62">
        <f t="shared" si="3"/>
        <v>123.59258400000004</v>
      </c>
      <c r="T6" s="63">
        <f t="shared" si="4"/>
        <v>212.70777200000003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3498.3</v>
      </c>
      <c r="AI6" s="66">
        <v>4.6500000000000004</v>
      </c>
      <c r="AJ6" s="66">
        <v>8.1199999999999992</v>
      </c>
      <c r="AK6" s="62">
        <f t="shared" si="9"/>
        <v>162.67095000000003</v>
      </c>
      <c r="AL6" s="72">
        <f t="shared" si="10"/>
        <v>284.06196</v>
      </c>
      <c r="AM6" s="73">
        <f t="shared" si="11"/>
        <v>9.5000000000709406E-2</v>
      </c>
      <c r="AN6" s="74">
        <f t="shared" si="12"/>
        <v>0.14403400000000488</v>
      </c>
      <c r="AO6" s="74">
        <f t="shared" si="12"/>
        <v>-9.3799999996235783E-4</v>
      </c>
      <c r="AP6" s="75">
        <f t="shared" si="13"/>
        <v>4.2550059031172267E-4</v>
      </c>
      <c r="AQ6" s="76">
        <f t="shared" si="14"/>
        <v>68.932102142440371</v>
      </c>
      <c r="AR6" s="90">
        <f t="shared" si="15"/>
        <v>9.5000000000709406E-2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3498.3</v>
      </c>
      <c r="E7" s="62">
        <v>4.6500000000000004</v>
      </c>
      <c r="F7" s="62">
        <v>8.1199999999999992</v>
      </c>
      <c r="G7" s="62">
        <f t="shared" si="0"/>
        <v>162.67095000000003</v>
      </c>
      <c r="H7" s="63">
        <f t="shared" si="1"/>
        <v>284.06196</v>
      </c>
      <c r="I7" s="202">
        <v>2493.1000000000008</v>
      </c>
      <c r="J7" s="202">
        <v>2567.8930000000009</v>
      </c>
      <c r="K7" s="202">
        <v>4.3036019413581492</v>
      </c>
      <c r="L7" s="202">
        <v>8.1012915647186237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2567.8930000000009</v>
      </c>
      <c r="S7" s="62">
        <f t="shared" si="3"/>
        <v>110.51189300000006</v>
      </c>
      <c r="T7" s="63">
        <f t="shared" si="4"/>
        <v>208.03249900000009</v>
      </c>
      <c r="U7" s="64" t="s">
        <v>180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6066.1</v>
      </c>
      <c r="AI7" s="66">
        <v>4.5</v>
      </c>
      <c r="AJ7" s="66">
        <v>8.11</v>
      </c>
      <c r="AK7" s="62">
        <f t="shared" si="9"/>
        <v>272.97450000000003</v>
      </c>
      <c r="AL7" s="72">
        <f t="shared" si="10"/>
        <v>491.96071000000001</v>
      </c>
      <c r="AM7" s="73">
        <f t="shared" si="11"/>
        <v>9.30000000007567E-2</v>
      </c>
      <c r="AN7" s="74">
        <f t="shared" si="12"/>
        <v>0.20834300000007033</v>
      </c>
      <c r="AO7" s="74">
        <f t="shared" si="12"/>
        <v>0.13374900000007983</v>
      </c>
      <c r="AP7" s="75">
        <f t="shared" si="13"/>
        <v>1.0739225319658116E-3</v>
      </c>
      <c r="AQ7" s="76">
        <f t="shared" si="14"/>
        <v>140.17222711806653</v>
      </c>
      <c r="AR7" s="90">
        <f t="shared" si="15"/>
        <v>9.30000000007567E-2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6066.1</v>
      </c>
      <c r="E8" s="62">
        <v>4.5</v>
      </c>
      <c r="F8" s="62">
        <v>8.11</v>
      </c>
      <c r="G8" s="62">
        <f t="shared" si="0"/>
        <v>272.97450000000003</v>
      </c>
      <c r="H8" s="63">
        <f t="shared" si="1"/>
        <v>491.96071000000001</v>
      </c>
      <c r="I8" s="202">
        <v>2532.1000000000004</v>
      </c>
      <c r="J8" s="202">
        <v>2608.0630000000006</v>
      </c>
      <c r="K8" s="202">
        <v>4.665558232297303</v>
      </c>
      <c r="L8" s="202">
        <v>8.2366968129220819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2608.0630000000006</v>
      </c>
      <c r="S8" s="62">
        <f t="shared" si="3"/>
        <v>121.68069800000004</v>
      </c>
      <c r="T8" s="63">
        <f t="shared" si="4"/>
        <v>214.81824200000005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>
        <v>8674.1</v>
      </c>
      <c r="AI8" s="66">
        <v>4.55</v>
      </c>
      <c r="AJ8" s="66">
        <v>8.14</v>
      </c>
      <c r="AK8" s="62">
        <f t="shared" si="9"/>
        <v>394.67155000000002</v>
      </c>
      <c r="AL8" s="72">
        <f t="shared" si="10"/>
        <v>706.07173999999998</v>
      </c>
      <c r="AM8" s="73">
        <f t="shared" si="11"/>
        <v>6.3000000000101863E-2</v>
      </c>
      <c r="AN8" s="74">
        <f t="shared" si="12"/>
        <v>-1.6351999999983491E-2</v>
      </c>
      <c r="AO8" s="74">
        <f t="shared" si="12"/>
        <v>0.70721200000014051</v>
      </c>
      <c r="AP8" s="75">
        <f t="shared" si="13"/>
        <v>2.0530822474512309E-3</v>
      </c>
      <c r="AQ8" s="76">
        <f t="shared" si="14"/>
        <v>203.94602983825868</v>
      </c>
      <c r="AR8" s="90">
        <f t="shared" si="15"/>
        <v>6.3000000000101863E-2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8674.1</v>
      </c>
      <c r="E9" s="62">
        <v>4.55</v>
      </c>
      <c r="F9" s="62">
        <v>8.14</v>
      </c>
      <c r="G9" s="62">
        <f t="shared" si="0"/>
        <v>394.67155000000002</v>
      </c>
      <c r="H9" s="63">
        <f t="shared" si="1"/>
        <v>706.07173999999998</v>
      </c>
      <c r="I9" s="202">
        <v>2252.0999999999995</v>
      </c>
      <c r="J9" s="202">
        <v>2319.6629999999996</v>
      </c>
      <c r="K9" s="202">
        <v>4.2561742373784464</v>
      </c>
      <c r="L9" s="202">
        <v>8.1722303627725221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2319.6629999999996</v>
      </c>
      <c r="S9" s="62">
        <f t="shared" si="3"/>
        <v>98.72889899999997</v>
      </c>
      <c r="T9" s="63">
        <f t="shared" si="4"/>
        <v>189.56820399999992</v>
      </c>
      <c r="U9" s="64" t="s">
        <v>189</v>
      </c>
      <c r="V9" s="65" t="s">
        <v>264</v>
      </c>
      <c r="W9" s="66" t="s">
        <v>182</v>
      </c>
      <c r="X9" s="67">
        <v>10000</v>
      </c>
      <c r="Y9" s="68">
        <v>4.63</v>
      </c>
      <c r="Z9" s="68">
        <v>8.3000000000000007</v>
      </c>
      <c r="AA9" s="62">
        <f t="shared" si="5"/>
        <v>463</v>
      </c>
      <c r="AB9" s="63">
        <f t="shared" si="6"/>
        <v>830</v>
      </c>
      <c r="AC9" s="69">
        <v>9960</v>
      </c>
      <c r="AD9" s="70">
        <v>4.6249497991967878</v>
      </c>
      <c r="AE9" s="70">
        <v>8.2698594377510037</v>
      </c>
      <c r="AF9" s="62">
        <f t="shared" si="7"/>
        <v>460.64500000000004</v>
      </c>
      <c r="AG9" s="62">
        <f t="shared" si="8"/>
        <v>823.678</v>
      </c>
      <c r="AH9" s="89">
        <v>1003.2</v>
      </c>
      <c r="AI9" s="66">
        <v>4.4800000000000004</v>
      </c>
      <c r="AJ9" s="66">
        <v>8.14</v>
      </c>
      <c r="AK9" s="62">
        <f t="shared" si="9"/>
        <v>44.943360000000006</v>
      </c>
      <c r="AL9" s="72">
        <f t="shared" si="10"/>
        <v>81.660480000000007</v>
      </c>
      <c r="AM9" s="73">
        <f t="shared" si="11"/>
        <v>30.562999999998965</v>
      </c>
      <c r="AN9" s="74">
        <f t="shared" si="12"/>
        <v>-12.187911000000064</v>
      </c>
      <c r="AO9" s="74">
        <f t="shared" si="12"/>
        <v>-9.6985360000001037</v>
      </c>
      <c r="AP9" s="75">
        <f t="shared" si="13"/>
        <v>-7.5916291812339776E-2</v>
      </c>
      <c r="AQ9" s="76">
        <f t="shared" si="14"/>
        <v>-8761.3130991153612</v>
      </c>
      <c r="AR9" s="90">
        <f t="shared" si="15"/>
        <v>-9.4370000000017171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1003.2</v>
      </c>
      <c r="E10" s="62">
        <v>4.4800000000000004</v>
      </c>
      <c r="F10" s="62">
        <v>8.14</v>
      </c>
      <c r="G10" s="62">
        <f t="shared" si="0"/>
        <v>44.943360000000006</v>
      </c>
      <c r="H10" s="63">
        <f t="shared" si="1"/>
        <v>81.660480000000007</v>
      </c>
      <c r="I10" s="202">
        <v>2648.6</v>
      </c>
      <c r="J10" s="202">
        <v>2728.058</v>
      </c>
      <c r="K10" s="202">
        <v>4.6655742656497772</v>
      </c>
      <c r="L10" s="202">
        <v>8.1648720078532069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2728.058</v>
      </c>
      <c r="S10" s="62">
        <f t="shared" si="3"/>
        <v>127.279572</v>
      </c>
      <c r="T10" s="63">
        <f t="shared" si="4"/>
        <v>222.74244400000003</v>
      </c>
      <c r="U10" s="64" t="s">
        <v>167</v>
      </c>
      <c r="V10" s="65" t="s">
        <v>167</v>
      </c>
      <c r="W10" s="66" t="s">
        <v>167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3731.2</v>
      </c>
      <c r="AI10" s="66">
        <v>4.6100000000000003</v>
      </c>
      <c r="AJ10" s="66">
        <v>8.15</v>
      </c>
      <c r="AK10" s="62">
        <f t="shared" si="9"/>
        <v>172.00832</v>
      </c>
      <c r="AL10" s="72">
        <f t="shared" si="10"/>
        <v>304.09280000000001</v>
      </c>
      <c r="AM10" s="73">
        <f t="shared" si="11"/>
        <v>5.7999999999992724E-2</v>
      </c>
      <c r="AN10" s="74">
        <f t="shared" si="12"/>
        <v>0.21461200000001668</v>
      </c>
      <c r="AO10" s="74">
        <f t="shared" si="12"/>
        <v>0.31012400000003026</v>
      </c>
      <c r="AP10" s="75">
        <f t="shared" si="13"/>
        <v>1.499151413378657E-3</v>
      </c>
      <c r="AQ10" s="76">
        <f t="shared" si="14"/>
        <v>196.00742797118323</v>
      </c>
      <c r="AR10" s="90">
        <f t="shared" si="15"/>
        <v>5.7999999999992724E-2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3731.2</v>
      </c>
      <c r="E11" s="62">
        <v>4.6100000000000003</v>
      </c>
      <c r="F11" s="62">
        <v>8.15</v>
      </c>
      <c r="G11" s="62">
        <f t="shared" si="0"/>
        <v>172.00832</v>
      </c>
      <c r="H11" s="63">
        <f t="shared" si="1"/>
        <v>304.09280000000001</v>
      </c>
      <c r="I11" s="202">
        <v>2482.4999999999995</v>
      </c>
      <c r="J11" s="202">
        <v>2556.9749999999995</v>
      </c>
      <c r="K11" s="202">
        <v>4.5022477341389715</v>
      </c>
      <c r="L11" s="202">
        <v>8.1174058408861995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2556.9749999999995</v>
      </c>
      <c r="S11" s="62">
        <f t="shared" si="3"/>
        <v>115.12134899999994</v>
      </c>
      <c r="T11" s="63">
        <f t="shared" si="4"/>
        <v>207.56003799999985</v>
      </c>
      <c r="U11" s="64" t="s">
        <v>167</v>
      </c>
      <c r="V11" s="65" t="s">
        <v>180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6288.1</v>
      </c>
      <c r="AI11" s="66">
        <v>4.5599999999999996</v>
      </c>
      <c r="AJ11" s="66">
        <v>8.1300000000000008</v>
      </c>
      <c r="AK11" s="62">
        <f t="shared" si="9"/>
        <v>286.73735999999997</v>
      </c>
      <c r="AL11" s="72">
        <f t="shared" si="10"/>
        <v>511.22253000000012</v>
      </c>
      <c r="AM11" s="73">
        <f t="shared" si="11"/>
        <v>7.4999999998908606E-2</v>
      </c>
      <c r="AN11" s="74">
        <f t="shared" si="12"/>
        <v>0.39230899999995472</v>
      </c>
      <c r="AO11" s="74">
        <f t="shared" si="12"/>
        <v>0.43030799999974079</v>
      </c>
      <c r="AP11" s="75">
        <f t="shared" si="13"/>
        <v>2.5493165492055359E-3</v>
      </c>
      <c r="AQ11" s="76">
        <f t="shared" si="14"/>
        <v>317.39065793387755</v>
      </c>
      <c r="AR11" s="90">
        <f t="shared" si="15"/>
        <v>7.4999999998908606E-2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6288.1</v>
      </c>
      <c r="E12" s="62">
        <v>4.5599999999999996</v>
      </c>
      <c r="F12" s="62">
        <v>8.1300000000000008</v>
      </c>
      <c r="G12" s="62">
        <f t="shared" ref="G12:G65" si="18">+D12*E12%</f>
        <v>286.73735999999997</v>
      </c>
      <c r="H12" s="63">
        <f t="shared" ref="H12:H65" si="19">+D12*F12%</f>
        <v>511.22253000000012</v>
      </c>
      <c r="I12" s="202">
        <v>2432.1</v>
      </c>
      <c r="J12" s="202">
        <v>2505.0630000000001</v>
      </c>
      <c r="K12" s="202">
        <v>4.9412236338966329</v>
      </c>
      <c r="L12" s="202">
        <v>8.3166029357345508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2505.0630000000001</v>
      </c>
      <c r="S12" s="62">
        <f t="shared" si="3"/>
        <v>123.780765</v>
      </c>
      <c r="T12" s="63">
        <f t="shared" si="4"/>
        <v>208.33614299999999</v>
      </c>
      <c r="U12" s="64" t="s">
        <v>167</v>
      </c>
      <c r="V12" s="65" t="s">
        <v>167</v>
      </c>
      <c r="W12" s="66" t="s">
        <v>180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8793.1</v>
      </c>
      <c r="AI12" s="66">
        <v>4.66</v>
      </c>
      <c r="AJ12" s="66">
        <v>8.18</v>
      </c>
      <c r="AK12" s="62">
        <f t="shared" si="9"/>
        <v>409.75846000000001</v>
      </c>
      <c r="AL12" s="72">
        <f t="shared" si="10"/>
        <v>719.27557999999999</v>
      </c>
      <c r="AM12" s="73">
        <f t="shared" si="11"/>
        <v>6.3000000000101863E-2</v>
      </c>
      <c r="AN12" s="74">
        <f t="shared" si="12"/>
        <v>0.7596649999999272</v>
      </c>
      <c r="AO12" s="74">
        <f t="shared" si="12"/>
        <v>0.28309300000012172</v>
      </c>
      <c r="AP12" s="75">
        <f t="shared" si="13"/>
        <v>3.1397317477135159E-3</v>
      </c>
      <c r="AQ12" s="76">
        <f t="shared" si="14"/>
        <v>449.82759014188082</v>
      </c>
      <c r="AR12" s="90">
        <f t="shared" si="15"/>
        <v>6.3000000000101863E-2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8793.1</v>
      </c>
      <c r="E13" s="62">
        <v>4.66</v>
      </c>
      <c r="F13" s="62">
        <v>8.18</v>
      </c>
      <c r="G13" s="62">
        <f t="shared" si="18"/>
        <v>409.75846000000001</v>
      </c>
      <c r="H13" s="63">
        <f t="shared" si="19"/>
        <v>719.27557999999999</v>
      </c>
      <c r="I13" s="202">
        <v>2440.1</v>
      </c>
      <c r="J13" s="202">
        <v>2513.3029999999999</v>
      </c>
      <c r="K13" s="202">
        <v>4.4411048727511151</v>
      </c>
      <c r="L13" s="202">
        <v>8.1557108315232956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2513.3029999999999</v>
      </c>
      <c r="S13" s="62">
        <f t="shared" si="3"/>
        <v>111.61842199999995</v>
      </c>
      <c r="T13" s="63">
        <f t="shared" si="4"/>
        <v>204.97772499999991</v>
      </c>
      <c r="U13" s="64" t="s">
        <v>189</v>
      </c>
      <c r="V13" s="65" t="s">
        <v>265</v>
      </c>
      <c r="W13" s="66" t="s">
        <v>182</v>
      </c>
      <c r="X13" s="67">
        <v>10000</v>
      </c>
      <c r="Y13" s="68">
        <v>4.63</v>
      </c>
      <c r="Z13" s="68">
        <v>8.3000000000000007</v>
      </c>
      <c r="AA13" s="62">
        <f t="shared" si="5"/>
        <v>463</v>
      </c>
      <c r="AB13" s="63">
        <f t="shared" si="6"/>
        <v>830</v>
      </c>
      <c r="AC13" s="69">
        <v>9960</v>
      </c>
      <c r="AD13" s="70">
        <v>4.5</v>
      </c>
      <c r="AE13" s="70">
        <v>8.2500000000000018</v>
      </c>
      <c r="AF13" s="62">
        <f t="shared" si="7"/>
        <v>448.2</v>
      </c>
      <c r="AG13" s="62">
        <f t="shared" si="8"/>
        <v>821.70000000000016</v>
      </c>
      <c r="AH13" s="89">
        <v>1306.4000000000001</v>
      </c>
      <c r="AI13" s="66">
        <v>4.6100000000000003</v>
      </c>
      <c r="AJ13" s="66">
        <v>8.17</v>
      </c>
      <c r="AK13" s="62">
        <f t="shared" si="9"/>
        <v>60.225040000000007</v>
      </c>
      <c r="AL13" s="72">
        <f t="shared" si="10"/>
        <v>106.73287999999999</v>
      </c>
      <c r="AM13" s="73">
        <f t="shared" si="11"/>
        <v>40.003000000000156</v>
      </c>
      <c r="AN13" s="74">
        <f t="shared" si="12"/>
        <v>12.951842000000028</v>
      </c>
      <c r="AO13" s="74">
        <f t="shared" si="12"/>
        <v>-4.1795750000001988</v>
      </c>
      <c r="AP13" s="75">
        <f t="shared" si="13"/>
        <v>2.7708066200817765E-2</v>
      </c>
      <c r="AQ13" s="76">
        <f t="shared" si="14"/>
        <v>4972.0361133751658</v>
      </c>
      <c r="AR13" s="90">
        <f t="shared" si="15"/>
        <v>3.0000000006111804E-3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1306.4000000000001</v>
      </c>
      <c r="E14" s="62">
        <v>4.6100000000000003</v>
      </c>
      <c r="F14" s="62">
        <v>8.17</v>
      </c>
      <c r="G14" s="62">
        <f t="shared" si="18"/>
        <v>60.225040000000007</v>
      </c>
      <c r="H14" s="63">
        <f t="shared" si="19"/>
        <v>106.73287999999999</v>
      </c>
      <c r="I14" s="202">
        <v>2463.2000000000003</v>
      </c>
      <c r="J14" s="202">
        <v>2537.0960000000005</v>
      </c>
      <c r="K14" s="202">
        <v>4.7666206560571602</v>
      </c>
      <c r="L14" s="202">
        <v>8.2532559272491053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2537.0960000000005</v>
      </c>
      <c r="S14" s="62">
        <f t="shared" si="3"/>
        <v>120.933742</v>
      </c>
      <c r="T14" s="63">
        <f t="shared" si="4"/>
        <v>209.39302599999999</v>
      </c>
      <c r="U14" s="64" t="s">
        <v>167</v>
      </c>
      <c r="V14" s="65" t="s">
        <v>167</v>
      </c>
      <c r="W14" s="66" t="s">
        <v>167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3843.4</v>
      </c>
      <c r="AI14" s="66">
        <v>4.71</v>
      </c>
      <c r="AJ14" s="66">
        <v>8.2200000000000006</v>
      </c>
      <c r="AK14" s="62">
        <f t="shared" si="9"/>
        <v>181.02414000000002</v>
      </c>
      <c r="AL14" s="72">
        <f t="shared" si="10"/>
        <v>315.92748000000006</v>
      </c>
      <c r="AM14" s="73">
        <f t="shared" si="11"/>
        <v>9.6000000000458385E-2</v>
      </c>
      <c r="AN14" s="74">
        <f t="shared" si="12"/>
        <v>0.13464199999998527</v>
      </c>
      <c r="AO14" s="74">
        <f t="shared" si="12"/>
        <v>0.19842599999992672</v>
      </c>
      <c r="AP14" s="75">
        <f t="shared" si="13"/>
        <v>1.0082985463651919E-3</v>
      </c>
      <c r="AQ14" s="76">
        <f t="shared" si="14"/>
        <v>124.12668362615665</v>
      </c>
      <c r="AR14" s="90">
        <f t="shared" si="15"/>
        <v>9.6000000000458385E-2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3843.4</v>
      </c>
      <c r="E15" s="62">
        <v>4.71</v>
      </c>
      <c r="F15" s="62">
        <v>8.2200000000000006</v>
      </c>
      <c r="G15" s="62">
        <f t="shared" si="18"/>
        <v>181.02414000000002</v>
      </c>
      <c r="H15" s="63">
        <f t="shared" si="19"/>
        <v>315.92748000000006</v>
      </c>
      <c r="I15" s="202">
        <v>2404.5</v>
      </c>
      <c r="J15" s="202">
        <v>2476.6350000000002</v>
      </c>
      <c r="K15" s="202">
        <v>4.4060469952173014</v>
      </c>
      <c r="L15" s="202">
        <v>8.1999667290496969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2476.6350000000002</v>
      </c>
      <c r="S15" s="62">
        <f t="shared" si="3"/>
        <v>109.12170200000001</v>
      </c>
      <c r="T15" s="63">
        <f t="shared" si="4"/>
        <v>203.08324599999997</v>
      </c>
      <c r="U15" s="64" t="s">
        <v>167</v>
      </c>
      <c r="V15" s="65" t="s">
        <v>167</v>
      </c>
      <c r="W15" s="66" t="s">
        <v>180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6320</v>
      </c>
      <c r="AI15" s="66">
        <v>4.59</v>
      </c>
      <c r="AJ15" s="66">
        <v>8.2100000000000009</v>
      </c>
      <c r="AK15" s="62">
        <f t="shared" si="9"/>
        <v>290.08799999999997</v>
      </c>
      <c r="AL15" s="72">
        <f t="shared" si="10"/>
        <v>518.87200000000007</v>
      </c>
      <c r="AM15" s="73">
        <f t="shared" si="11"/>
        <v>3.4999999999854481E-2</v>
      </c>
      <c r="AN15" s="74">
        <f t="shared" si="12"/>
        <v>5.7842000000050575E-2</v>
      </c>
      <c r="AO15" s="74">
        <f t="shared" si="12"/>
        <v>0.13872599999990598</v>
      </c>
      <c r="AP15" s="75">
        <f t="shared" si="13"/>
        <v>6.296120585505793E-4</v>
      </c>
      <c r="AQ15" s="76">
        <f t="shared" si="14"/>
        <v>69.342165540601485</v>
      </c>
      <c r="AR15" s="90">
        <f t="shared" si="15"/>
        <v>3.4999999999854481E-2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6320</v>
      </c>
      <c r="E16" s="62">
        <v>4.59</v>
      </c>
      <c r="F16" s="62">
        <v>8.2100000000000009</v>
      </c>
      <c r="G16" s="62">
        <f t="shared" si="18"/>
        <v>290.08799999999997</v>
      </c>
      <c r="H16" s="63">
        <f t="shared" si="19"/>
        <v>518.87200000000007</v>
      </c>
      <c r="I16" s="202">
        <v>2495.0000000000005</v>
      </c>
      <c r="J16" s="202">
        <v>2569.8500000000004</v>
      </c>
      <c r="K16" s="202">
        <v>4.699334669338679</v>
      </c>
      <c r="L16" s="202">
        <v>8.2297154308617255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2569.8500000000004</v>
      </c>
      <c r="S16" s="62">
        <f t="shared" si="3"/>
        <v>120.76585200000007</v>
      </c>
      <c r="T16" s="63">
        <f t="shared" si="4"/>
        <v>211.49134200000009</v>
      </c>
      <c r="U16" s="64" t="s">
        <v>167</v>
      </c>
      <c r="V16" s="65" t="s">
        <v>167</v>
      </c>
      <c r="W16" s="66" t="s">
        <v>167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>
        <v>8889.7999999999993</v>
      </c>
      <c r="AI16" s="66">
        <v>4.62</v>
      </c>
      <c r="AJ16" s="66">
        <v>8.2100000000000009</v>
      </c>
      <c r="AK16" s="62">
        <f t="shared" si="9"/>
        <v>410.70875999999993</v>
      </c>
      <c r="AL16" s="72">
        <f t="shared" si="10"/>
        <v>729.85257999999999</v>
      </c>
      <c r="AM16" s="73">
        <f t="shared" si="11"/>
        <v>5.0000000001091394E-2</v>
      </c>
      <c r="AN16" s="74">
        <f t="shared" si="12"/>
        <v>0.14509200000009059</v>
      </c>
      <c r="AO16" s="74">
        <f t="shared" si="12"/>
        <v>0.5107620000001134</v>
      </c>
      <c r="AP16" s="75">
        <f t="shared" si="13"/>
        <v>1.9739346862725979E-3</v>
      </c>
      <c r="AQ16" s="76">
        <f t="shared" si="14"/>
        <v>222.69010016172228</v>
      </c>
      <c r="AR16" s="90">
        <f t="shared" si="15"/>
        <v>5.0000000001091394E-2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8889.7999999999993</v>
      </c>
      <c r="E17" s="62">
        <v>4.62</v>
      </c>
      <c r="F17" s="62">
        <v>8.2100000000000009</v>
      </c>
      <c r="G17" s="62">
        <f t="shared" si="18"/>
        <v>410.70875999999993</v>
      </c>
      <c r="H17" s="63">
        <f t="shared" si="19"/>
        <v>729.85257999999999</v>
      </c>
      <c r="I17" s="202">
        <v>2159.6</v>
      </c>
      <c r="J17" s="202">
        <v>2224.3879999999999</v>
      </c>
      <c r="K17" s="202">
        <v>4.3510789035006487</v>
      </c>
      <c r="L17" s="202">
        <v>8.1878542322652326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2224.3879999999999</v>
      </c>
      <c r="S17" s="62">
        <f t="shared" si="3"/>
        <v>96.784876999999994</v>
      </c>
      <c r="T17" s="63">
        <f t="shared" si="4"/>
        <v>182.12964699999995</v>
      </c>
      <c r="U17" s="64" t="s">
        <v>311</v>
      </c>
      <c r="V17" s="65" t="s">
        <v>319</v>
      </c>
      <c r="W17" s="66" t="s">
        <v>182</v>
      </c>
      <c r="X17" s="67">
        <v>10070</v>
      </c>
      <c r="Y17" s="68">
        <v>4.55</v>
      </c>
      <c r="Z17" s="68">
        <v>8.2899999999999991</v>
      </c>
      <c r="AA17" s="62">
        <f t="shared" si="5"/>
        <v>458.185</v>
      </c>
      <c r="AB17" s="63">
        <f t="shared" si="6"/>
        <v>834.80299999999988</v>
      </c>
      <c r="AC17" s="69">
        <v>10100</v>
      </c>
      <c r="AD17" s="70">
        <v>4.4726237623762382</v>
      </c>
      <c r="AE17" s="70">
        <v>8.24158415841584</v>
      </c>
      <c r="AF17" s="62">
        <f t="shared" si="7"/>
        <v>451.73500000000007</v>
      </c>
      <c r="AG17" s="62">
        <f t="shared" si="8"/>
        <v>832.39999999999986</v>
      </c>
      <c r="AH17" s="89">
        <v>1044.0999999999999</v>
      </c>
      <c r="AI17" s="66">
        <v>4.5599999999999996</v>
      </c>
      <c r="AJ17" s="66">
        <v>8.1999999999999993</v>
      </c>
      <c r="AK17" s="62">
        <f t="shared" si="9"/>
        <v>47.610959999999992</v>
      </c>
      <c r="AL17" s="72">
        <f t="shared" si="10"/>
        <v>85.616199999999978</v>
      </c>
      <c r="AM17" s="73">
        <f t="shared" si="11"/>
        <v>-29.912000000001626</v>
      </c>
      <c r="AN17" s="74">
        <f t="shared" si="12"/>
        <v>8.1476769999998595</v>
      </c>
      <c r="AO17" s="74">
        <f t="shared" si="12"/>
        <v>-6.0339729999998752</v>
      </c>
      <c r="AP17" s="75">
        <f t="shared" si="13"/>
        <v>7.5783217370207117E-3</v>
      </c>
      <c r="AQ17" s="76">
        <f t="shared" si="14"/>
        <v>2108.1027802748931</v>
      </c>
      <c r="AR17" s="90">
        <f t="shared" si="15"/>
        <v>8.7999999997919076E-2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1044.0999999999999</v>
      </c>
      <c r="E18" s="62">
        <v>4.5599999999999996</v>
      </c>
      <c r="F18" s="62">
        <v>8.1999999999999993</v>
      </c>
      <c r="G18" s="62">
        <f t="shared" si="18"/>
        <v>47.610959999999992</v>
      </c>
      <c r="H18" s="63">
        <f t="shared" si="19"/>
        <v>85.616199999999978</v>
      </c>
      <c r="I18" s="202">
        <v>2201.2999999999997</v>
      </c>
      <c r="J18" s="202">
        <v>2267.3389999999999</v>
      </c>
      <c r="K18" s="202">
        <v>4.7941761686276303</v>
      </c>
      <c r="L18" s="202">
        <v>8.182478535410894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2267.3389999999999</v>
      </c>
      <c r="S18" s="62">
        <f t="shared" si="3"/>
        <v>108.70022600000003</v>
      </c>
      <c r="T18" s="63">
        <f t="shared" si="4"/>
        <v>185.52452699999998</v>
      </c>
      <c r="U18" s="64" t="s">
        <v>167</v>
      </c>
      <c r="V18" s="65" t="s">
        <v>167</v>
      </c>
      <c r="W18" s="66" t="s">
        <v>167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3311.4</v>
      </c>
      <c r="AI18" s="66">
        <v>4.71</v>
      </c>
      <c r="AJ18" s="66">
        <v>8.18</v>
      </c>
      <c r="AK18" s="62">
        <f t="shared" si="9"/>
        <v>155.96694000000002</v>
      </c>
      <c r="AL18" s="72">
        <f t="shared" si="10"/>
        <v>270.87252000000001</v>
      </c>
      <c r="AM18" s="73">
        <f t="shared" si="11"/>
        <v>3.8999999999759893E-2</v>
      </c>
      <c r="AN18" s="74">
        <f t="shared" si="12"/>
        <v>0.34424599999999828</v>
      </c>
      <c r="AO18" s="74">
        <f t="shared" si="12"/>
        <v>0.26820699999996123</v>
      </c>
      <c r="AP18" s="75">
        <f t="shared" si="13"/>
        <v>2.0815821706202924E-3</v>
      </c>
      <c r="AQ18" s="76">
        <f t="shared" si="14"/>
        <v>245.74701576105116</v>
      </c>
      <c r="AR18" s="90">
        <f>(D18+J18+O18)-(X18+AH18)</f>
        <v>3.8999999999759893E-2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3311.4</v>
      </c>
      <c r="E19" s="62">
        <v>4.71</v>
      </c>
      <c r="F19" s="62">
        <v>8.18</v>
      </c>
      <c r="G19" s="62">
        <f t="shared" si="18"/>
        <v>155.96694000000002</v>
      </c>
      <c r="H19" s="63">
        <f t="shared" si="19"/>
        <v>270.87252000000001</v>
      </c>
      <c r="I19" s="202">
        <v>2459.8000000000006</v>
      </c>
      <c r="J19" s="202">
        <v>2533.5940000000005</v>
      </c>
      <c r="K19" s="202">
        <v>4.3242987234734533</v>
      </c>
      <c r="L19" s="202">
        <v>8.1365110984632913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2533.5940000000005</v>
      </c>
      <c r="S19" s="62">
        <f t="shared" si="3"/>
        <v>109.56017300000003</v>
      </c>
      <c r="T19" s="63">
        <f t="shared" si="4"/>
        <v>206.14615700000007</v>
      </c>
      <c r="U19" s="64" t="s">
        <v>180</v>
      </c>
      <c r="V19" s="65" t="s">
        <v>167</v>
      </c>
      <c r="W19" s="66" t="s">
        <v>167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5844.9</v>
      </c>
      <c r="AI19" s="66">
        <v>4.54</v>
      </c>
      <c r="AJ19" s="66">
        <v>8.16</v>
      </c>
      <c r="AK19" s="62">
        <f t="shared" si="9"/>
        <v>265.35845999999998</v>
      </c>
      <c r="AL19" s="72">
        <f t="shared" si="10"/>
        <v>476.94384000000002</v>
      </c>
      <c r="AM19" s="73">
        <f t="shared" si="11"/>
        <v>9.4000000000960426E-2</v>
      </c>
      <c r="AN19" s="74">
        <f t="shared" si="12"/>
        <v>0.168653000000063</v>
      </c>
      <c r="AO19" s="74">
        <f t="shared" si="12"/>
        <v>7.4837000000059106E-2</v>
      </c>
      <c r="AP19" s="75">
        <f t="shared" si="13"/>
        <v>7.7125472903923726E-4</v>
      </c>
      <c r="AQ19" s="76">
        <f t="shared" si="14"/>
        <v>103.45627081515347</v>
      </c>
      <c r="AR19" s="90">
        <f>(D19+J19+O19)-(X19+AH19)</f>
        <v>9.4000000000960426E-2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5844.9</v>
      </c>
      <c r="E20" s="62">
        <v>4.54</v>
      </c>
      <c r="F20" s="62">
        <v>8.16</v>
      </c>
      <c r="G20" s="62">
        <f t="shared" si="18"/>
        <v>265.35845999999998</v>
      </c>
      <c r="H20" s="63">
        <f t="shared" si="19"/>
        <v>476.94384000000002</v>
      </c>
      <c r="I20" s="202">
        <v>2740.5000000000005</v>
      </c>
      <c r="J20" s="202">
        <v>2822.7150000000006</v>
      </c>
      <c r="K20" s="202">
        <v>4.6851705893085214</v>
      </c>
      <c r="L20" s="202">
        <v>8.249334063127165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2822.7150000000006</v>
      </c>
      <c r="S20" s="62">
        <f t="shared" si="3"/>
        <v>132.24901300000005</v>
      </c>
      <c r="T20" s="63">
        <f t="shared" si="4"/>
        <v>232.85518999999999</v>
      </c>
      <c r="U20" s="64" t="s">
        <v>167</v>
      </c>
      <c r="V20" s="65" t="s">
        <v>167</v>
      </c>
      <c r="W20" s="66" t="s">
        <v>167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8667.6</v>
      </c>
      <c r="AI20" s="66">
        <v>4.58</v>
      </c>
      <c r="AJ20" s="66">
        <v>8.18</v>
      </c>
      <c r="AK20" s="62">
        <f t="shared" si="9"/>
        <v>396.97608000000002</v>
      </c>
      <c r="AL20" s="72">
        <f t="shared" si="10"/>
        <v>709.00968</v>
      </c>
      <c r="AM20" s="73">
        <f t="shared" si="11"/>
        <v>1.4999999999417923E-2</v>
      </c>
      <c r="AN20" s="74">
        <f t="shared" ref="AN20:AO65" si="20">+G20+S20-AF20-AK20</f>
        <v>0.63139300000000276</v>
      </c>
      <c r="AO20" s="74">
        <f t="shared" si="20"/>
        <v>0.7893500000000131</v>
      </c>
      <c r="AP20" s="75">
        <f t="shared" si="13"/>
        <v>3.8913356469906638E-3</v>
      </c>
      <c r="AQ20" s="76">
        <f t="shared" si="14"/>
        <v>539.8081838882415</v>
      </c>
      <c r="AR20" s="90">
        <f>(D20+J20+O20)-(X20+AH20)</f>
        <v>1.4999999999417923E-2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8667.6</v>
      </c>
      <c r="E21" s="62">
        <v>4.58</v>
      </c>
      <c r="F21" s="62">
        <v>8.18</v>
      </c>
      <c r="G21" s="62">
        <f t="shared" si="18"/>
        <v>396.97608000000002</v>
      </c>
      <c r="H21" s="63">
        <f t="shared" si="19"/>
        <v>709.00968</v>
      </c>
      <c r="I21" s="202">
        <v>2232.3000000000006</v>
      </c>
      <c r="J21" s="202">
        <v>2299.2690000000007</v>
      </c>
      <c r="K21" s="202">
        <v>4.422510415266764</v>
      </c>
      <c r="L21" s="202">
        <v>8.1723872239394328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2299.2690000000007</v>
      </c>
      <c r="S21" s="62">
        <f t="shared" si="3"/>
        <v>101.68541100000002</v>
      </c>
      <c r="T21" s="63">
        <f t="shared" si="4"/>
        <v>187.90516600000001</v>
      </c>
      <c r="U21" s="64" t="s">
        <v>311</v>
      </c>
      <c r="V21" s="65" t="s">
        <v>390</v>
      </c>
      <c r="W21" s="66" t="s">
        <v>182</v>
      </c>
      <c r="X21" s="67">
        <v>10070</v>
      </c>
      <c r="Y21" s="68">
        <v>4.55</v>
      </c>
      <c r="Z21" s="68">
        <v>8.2799999999999994</v>
      </c>
      <c r="AA21" s="62">
        <f t="shared" si="5"/>
        <v>458.185</v>
      </c>
      <c r="AB21" s="63">
        <f t="shared" si="6"/>
        <v>833.79599999999994</v>
      </c>
      <c r="AC21" s="69">
        <v>10110</v>
      </c>
      <c r="AD21" s="70">
        <v>4.4967359050445106</v>
      </c>
      <c r="AE21" s="70">
        <v>8.2422255192878335</v>
      </c>
      <c r="AF21" s="62">
        <f t="shared" si="7"/>
        <v>454.62</v>
      </c>
      <c r="AG21" s="62">
        <f t="shared" si="8"/>
        <v>833.28899999999999</v>
      </c>
      <c r="AH21" s="89">
        <v>896.8</v>
      </c>
      <c r="AI21" s="66">
        <v>4.54</v>
      </c>
      <c r="AJ21" s="66">
        <v>8.17</v>
      </c>
      <c r="AK21" s="62">
        <f t="shared" si="9"/>
        <v>40.71472</v>
      </c>
      <c r="AL21" s="72">
        <f t="shared" si="10"/>
        <v>73.268559999999994</v>
      </c>
      <c r="AM21" s="73">
        <f t="shared" si="11"/>
        <v>-39.930999999999358</v>
      </c>
      <c r="AN21" s="74">
        <f t="shared" si="20"/>
        <v>3.3267710000000648</v>
      </c>
      <c r="AO21" s="74">
        <f t="shared" si="20"/>
        <v>-9.6427139999999696</v>
      </c>
      <c r="AP21" s="75">
        <f t="shared" si="13"/>
        <v>-2.1809905092319021E-2</v>
      </c>
      <c r="AQ21" s="76">
        <f t="shared" si="14"/>
        <v>-1289.2852586271076</v>
      </c>
      <c r="AR21" s="90">
        <f>(D21+J21+O21)-(X21+AH21)</f>
        <v>6.9000000001324224E-2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>
        <v>896.8</v>
      </c>
      <c r="E22" s="62">
        <v>4.54</v>
      </c>
      <c r="F22" s="62">
        <v>8.17</v>
      </c>
      <c r="G22" s="62">
        <f t="shared" si="18"/>
        <v>40.71472</v>
      </c>
      <c r="H22" s="63">
        <f t="shared" si="19"/>
        <v>73.268559999999994</v>
      </c>
      <c r="I22" s="202">
        <v>2559</v>
      </c>
      <c r="J22" s="202">
        <v>2635.77</v>
      </c>
      <c r="K22" s="202">
        <v>4.6790699491989072</v>
      </c>
      <c r="L22" s="202">
        <v>8.0892184447049615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2635.77</v>
      </c>
      <c r="S22" s="62">
        <f t="shared" si="3"/>
        <v>123.32952200000004</v>
      </c>
      <c r="T22" s="63">
        <f t="shared" si="4"/>
        <v>213.21319299999996</v>
      </c>
      <c r="U22" s="64" t="s">
        <v>167</v>
      </c>
      <c r="V22" s="65" t="s">
        <v>167</v>
      </c>
      <c r="W22" s="66" t="s">
        <v>180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3532.5</v>
      </c>
      <c r="AI22" s="66">
        <v>4.6399999999999997</v>
      </c>
      <c r="AJ22" s="66">
        <v>8.11</v>
      </c>
      <c r="AK22" s="62">
        <f t="shared" si="9"/>
        <v>163.90799999999999</v>
      </c>
      <c r="AL22" s="72">
        <f t="shared" si="10"/>
        <v>286.48575</v>
      </c>
      <c r="AM22" s="73">
        <f t="shared" si="11"/>
        <v>6.9999999999708962E-2</v>
      </c>
      <c r="AN22" s="74">
        <f t="shared" si="20"/>
        <v>0.13624200000006681</v>
      </c>
      <c r="AO22" s="74">
        <f t="shared" si="20"/>
        <v>-3.9970000000266737E-3</v>
      </c>
      <c r="AP22" s="75">
        <f t="shared" si="13"/>
        <v>3.9295160496949144E-4</v>
      </c>
      <c r="AQ22" s="76">
        <f t="shared" si="14"/>
        <v>64.271649273483519</v>
      </c>
      <c r="AR22" s="90">
        <f t="shared" si="15"/>
        <v>6.9999999999708962E-2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>
        <v>3532.5</v>
      </c>
      <c r="E23" s="62">
        <v>4.6399999999999997</v>
      </c>
      <c r="F23" s="62">
        <v>8.11</v>
      </c>
      <c r="G23" s="62">
        <f t="shared" si="18"/>
        <v>163.90799999999999</v>
      </c>
      <c r="H23" s="63">
        <f t="shared" si="19"/>
        <v>286.48575</v>
      </c>
      <c r="I23" s="202">
        <v>2218.5</v>
      </c>
      <c r="J23" s="202">
        <v>2285.0549999999998</v>
      </c>
      <c r="K23" s="202">
        <v>4.305715573585756</v>
      </c>
      <c r="L23" s="202">
        <v>8.1463466306062653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2285.0549999999998</v>
      </c>
      <c r="S23" s="62">
        <f t="shared" si="3"/>
        <v>98.387968999999998</v>
      </c>
      <c r="T23" s="63">
        <f t="shared" si="4"/>
        <v>186.14850100000001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>
        <v>5817.5</v>
      </c>
      <c r="AI23" s="66">
        <v>4.51</v>
      </c>
      <c r="AJ23" s="84">
        <v>8.1199999999999992</v>
      </c>
      <c r="AK23" s="62">
        <f t="shared" si="9"/>
        <v>262.36925000000002</v>
      </c>
      <c r="AL23" s="72">
        <f t="shared" si="10"/>
        <v>472.38099999999997</v>
      </c>
      <c r="AM23" s="73">
        <f t="shared" si="11"/>
        <v>5.5000000000291038E-2</v>
      </c>
      <c r="AN23" s="74">
        <f t="shared" si="20"/>
        <v>-7.3281000000008589E-2</v>
      </c>
      <c r="AO23" s="74">
        <f t="shared" si="20"/>
        <v>0.25325100000003431</v>
      </c>
      <c r="AP23" s="75">
        <f t="shared" si="13"/>
        <v>6.3250239942888771E-4</v>
      </c>
      <c r="AQ23" s="76">
        <f t="shared" si="14"/>
        <v>40.632514395564485</v>
      </c>
      <c r="AR23" s="90">
        <f t="shared" si="15"/>
        <v>5.5000000000291038E-2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>
        <v>5817.5</v>
      </c>
      <c r="E24" s="62">
        <v>4.51</v>
      </c>
      <c r="F24" s="62">
        <v>8.1199999999999992</v>
      </c>
      <c r="G24" s="62">
        <f t="shared" si="18"/>
        <v>262.36925000000002</v>
      </c>
      <c r="H24" s="63">
        <f t="shared" si="19"/>
        <v>472.38099999999997</v>
      </c>
      <c r="I24" s="202">
        <v>2636.4999999999995</v>
      </c>
      <c r="J24" s="202">
        <v>2715.5949999999998</v>
      </c>
      <c r="K24" s="202">
        <v>4.5679461407168596</v>
      </c>
      <c r="L24" s="202">
        <v>8.2253328276123625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2715.5949999999998</v>
      </c>
      <c r="S24" s="62">
        <f t="shared" si="3"/>
        <v>124.04691699999999</v>
      </c>
      <c r="T24" s="63">
        <f t="shared" si="4"/>
        <v>223.36672699999991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8533</v>
      </c>
      <c r="AI24" s="66">
        <v>4.5199999999999996</v>
      </c>
      <c r="AJ24" s="66">
        <v>8.15</v>
      </c>
      <c r="AK24" s="62">
        <f t="shared" si="9"/>
        <v>385.69159999999999</v>
      </c>
      <c r="AL24" s="72">
        <f t="shared" si="10"/>
        <v>695.43950000000007</v>
      </c>
      <c r="AM24" s="73">
        <f t="shared" si="11"/>
        <v>9.4999999999345164E-2</v>
      </c>
      <c r="AN24" s="74">
        <f t="shared" si="20"/>
        <v>0.72456700000003593</v>
      </c>
      <c r="AO24" s="74">
        <f t="shared" si="20"/>
        <v>0.30822699999987435</v>
      </c>
      <c r="AP24" s="75">
        <f t="shared" si="13"/>
        <v>2.9728078267412853E-3</v>
      </c>
      <c r="AQ24" s="76">
        <f t="shared" si="14"/>
        <v>440.4892680716992</v>
      </c>
      <c r="AR24" s="90">
        <f t="shared" si="15"/>
        <v>9.4999999999345164E-2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>
        <v>8533</v>
      </c>
      <c r="E25" s="62">
        <v>4.5199999999999996</v>
      </c>
      <c r="F25" s="62">
        <v>8.15</v>
      </c>
      <c r="G25" s="62">
        <f t="shared" si="18"/>
        <v>385.69159999999999</v>
      </c>
      <c r="H25" s="63">
        <f t="shared" si="19"/>
        <v>695.43950000000007</v>
      </c>
      <c r="I25" s="202">
        <v>2392.4</v>
      </c>
      <c r="J25" s="202">
        <v>2464.172</v>
      </c>
      <c r="K25" s="202">
        <v>4.4130621969570312</v>
      </c>
      <c r="L25" s="202">
        <v>8.1469695703059681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2464.172</v>
      </c>
      <c r="S25" s="62">
        <f t="shared" si="3"/>
        <v>108.74544300000002</v>
      </c>
      <c r="T25" s="63">
        <f t="shared" si="4"/>
        <v>200.75534299999995</v>
      </c>
      <c r="U25" s="64" t="s">
        <v>189</v>
      </c>
      <c r="V25" s="65" t="s">
        <v>428</v>
      </c>
      <c r="W25" s="66" t="s">
        <v>181</v>
      </c>
      <c r="X25" s="67">
        <v>10000</v>
      </c>
      <c r="Y25" s="68">
        <v>4.5999999999999996</v>
      </c>
      <c r="Z25" s="68">
        <v>8.33</v>
      </c>
      <c r="AA25" s="62">
        <f t="shared" si="5"/>
        <v>460</v>
      </c>
      <c r="AB25" s="63">
        <f t="shared" si="6"/>
        <v>833</v>
      </c>
      <c r="AC25" s="69">
        <v>9970</v>
      </c>
      <c r="AD25" s="70">
        <v>4.5497492477432298</v>
      </c>
      <c r="AE25" s="70">
        <v>8.1899498495486451</v>
      </c>
      <c r="AF25" s="62">
        <f t="shared" si="7"/>
        <v>453.61</v>
      </c>
      <c r="AG25" s="62">
        <f t="shared" si="8"/>
        <v>816.5379999999999</v>
      </c>
      <c r="AH25" s="89">
        <v>997.1</v>
      </c>
      <c r="AI25" s="66">
        <v>4.49</v>
      </c>
      <c r="AJ25" s="66">
        <v>8.15</v>
      </c>
      <c r="AK25" s="62">
        <f t="shared" si="9"/>
        <v>44.76979</v>
      </c>
      <c r="AL25" s="72">
        <f t="shared" si="10"/>
        <v>81.263649999999998</v>
      </c>
      <c r="AM25" s="73">
        <f t="shared" si="11"/>
        <v>30.072000000000457</v>
      </c>
      <c r="AN25" s="74">
        <f t="shared" si="20"/>
        <v>-3.9427469999999971</v>
      </c>
      <c r="AO25" s="74">
        <f t="shared" si="20"/>
        <v>-1.606806999999904</v>
      </c>
      <c r="AP25" s="75">
        <f t="shared" si="13"/>
        <v>-1.7930662056541279E-2</v>
      </c>
      <c r="AQ25" s="76">
        <f t="shared" si="14"/>
        <v>-2375.8426477049834</v>
      </c>
      <c r="AR25" s="90">
        <f t="shared" si="15"/>
        <v>7.2000000000116415E-2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>
        <v>997.1</v>
      </c>
      <c r="E26" s="62">
        <v>4.49</v>
      </c>
      <c r="F26" s="62">
        <v>8.15</v>
      </c>
      <c r="G26" s="62">
        <f t="shared" si="18"/>
        <v>44.76979</v>
      </c>
      <c r="H26" s="63">
        <f t="shared" si="19"/>
        <v>81.263649999999998</v>
      </c>
      <c r="I26" s="202">
        <v>2615.4000000000005</v>
      </c>
      <c r="J26" s="202">
        <v>2693.8620000000005</v>
      </c>
      <c r="K26" s="202">
        <v>4.5520761642578575</v>
      </c>
      <c r="L26" s="202">
        <v>8.1399021182228335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2693.8620000000005</v>
      </c>
      <c r="S26" s="62">
        <f t="shared" si="3"/>
        <v>122.62665000000003</v>
      </c>
      <c r="T26" s="63">
        <f t="shared" si="4"/>
        <v>219.27773000000002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>
        <v>3690.9</v>
      </c>
      <c r="AI26" s="66">
        <v>4.53</v>
      </c>
      <c r="AJ26" s="66">
        <v>8.14</v>
      </c>
      <c r="AK26" s="62">
        <f t="shared" si="9"/>
        <v>167.19776999999999</v>
      </c>
      <c r="AL26" s="72">
        <f t="shared" si="10"/>
        <v>300.43925999999999</v>
      </c>
      <c r="AM26" s="73">
        <f t="shared" si="11"/>
        <v>6.2000000000352884E-2</v>
      </c>
      <c r="AN26" s="74">
        <f t="shared" si="20"/>
        <v>0.19867000000004964</v>
      </c>
      <c r="AO26" s="74">
        <f t="shared" si="20"/>
        <v>0.10212000000001353</v>
      </c>
      <c r="AP26" s="75">
        <f t="shared" si="13"/>
        <v>8.7974889353585682E-4</v>
      </c>
      <c r="AQ26" s="76">
        <f t="shared" si="14"/>
        <v>126.05143187398323</v>
      </c>
      <c r="AR26" s="90">
        <f t="shared" si="15"/>
        <v>6.2000000000352884E-2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>
        <v>3690.9</v>
      </c>
      <c r="E27" s="62">
        <v>4.53</v>
      </c>
      <c r="F27" s="62">
        <v>8.14</v>
      </c>
      <c r="G27" s="62">
        <f t="shared" si="18"/>
        <v>167.19776999999999</v>
      </c>
      <c r="H27" s="63">
        <f t="shared" si="19"/>
        <v>300.43925999999999</v>
      </c>
      <c r="I27" s="202">
        <v>2116.0000000000005</v>
      </c>
      <c r="J27" s="202">
        <v>2179.4800000000005</v>
      </c>
      <c r="K27" s="202">
        <v>4.3069423440453702</v>
      </c>
      <c r="L27" s="202">
        <v>8.1312476370510431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2179.4800000000005</v>
      </c>
      <c r="S27" s="62">
        <f t="shared" si="3"/>
        <v>93.868947000000063</v>
      </c>
      <c r="T27" s="63">
        <f t="shared" si="4"/>
        <v>177.21891600000012</v>
      </c>
      <c r="U27" s="64" t="s">
        <v>167</v>
      </c>
      <c r="V27" s="65" t="s">
        <v>167</v>
      </c>
      <c r="W27" s="66" t="s">
        <v>167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>
        <v>5870.3</v>
      </c>
      <c r="AI27" s="66">
        <v>4.4400000000000004</v>
      </c>
      <c r="AJ27" s="66">
        <v>8.1300000000000008</v>
      </c>
      <c r="AK27" s="62">
        <f t="shared" si="9"/>
        <v>260.64132000000001</v>
      </c>
      <c r="AL27" s="72">
        <f t="shared" si="10"/>
        <v>477.25539000000009</v>
      </c>
      <c r="AM27" s="73">
        <f t="shared" si="11"/>
        <v>8.0000000000836735E-2</v>
      </c>
      <c r="AN27" s="74">
        <f t="shared" si="20"/>
        <v>0.42539700000003222</v>
      </c>
      <c r="AO27" s="74">
        <f t="shared" si="20"/>
        <v>0.40278600000004872</v>
      </c>
      <c r="AP27" s="75">
        <f t="shared" si="13"/>
        <v>3.0550353336920889E-3</v>
      </c>
      <c r="AQ27" s="76">
        <f t="shared" si="14"/>
        <v>325.04792484504765</v>
      </c>
      <c r="AR27" s="90">
        <f t="shared" si="15"/>
        <v>8.0000000000836735E-2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>
        <v>5870.3</v>
      </c>
      <c r="E28" s="62">
        <v>4.4400000000000004</v>
      </c>
      <c r="F28" s="62">
        <v>8.1300000000000008</v>
      </c>
      <c r="G28" s="62">
        <f t="shared" si="18"/>
        <v>260.64132000000001</v>
      </c>
      <c r="H28" s="63">
        <f t="shared" si="19"/>
        <v>477.25539000000009</v>
      </c>
      <c r="I28" s="202">
        <v>2743.8999999999996</v>
      </c>
      <c r="J28" s="202">
        <v>2826.2169999999996</v>
      </c>
      <c r="K28" s="202">
        <v>4.6116476547979142</v>
      </c>
      <c r="L28" s="202">
        <v>8.1006086227632199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2826.2169999999996</v>
      </c>
      <c r="S28" s="62">
        <f t="shared" si="3"/>
        <v>130.33516999999995</v>
      </c>
      <c r="T28" s="63">
        <f t="shared" si="4"/>
        <v>228.94077799999997</v>
      </c>
      <c r="U28" s="64" t="s">
        <v>167</v>
      </c>
      <c r="V28" s="65" t="s">
        <v>167</v>
      </c>
      <c r="W28" s="66" t="s">
        <v>167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8696.5</v>
      </c>
      <c r="AI28" s="66">
        <v>4.5</v>
      </c>
      <c r="AJ28" s="66">
        <v>8.1300000000000008</v>
      </c>
      <c r="AK28" s="62">
        <f t="shared" si="9"/>
        <v>391.34249999999997</v>
      </c>
      <c r="AL28" s="72">
        <f t="shared" si="10"/>
        <v>707.02545000000009</v>
      </c>
      <c r="AM28" s="73">
        <f t="shared" si="11"/>
        <v>1.6999999999825377E-2</v>
      </c>
      <c r="AN28" s="74">
        <f t="shared" si="20"/>
        <v>-0.36601000000001704</v>
      </c>
      <c r="AO28" s="74">
        <f t="shared" si="20"/>
        <v>-0.82928200000003471</v>
      </c>
      <c r="AP28" s="75">
        <f t="shared" si="13"/>
        <v>-3.3269468959832849E-3</v>
      </c>
      <c r="AQ28" s="76">
        <f t="shared" si="14"/>
        <v>-424.24229362510692</v>
      </c>
      <c r="AR28" s="90">
        <f t="shared" si="15"/>
        <v>1.6999999999825377E-2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>
        <v>8696.5</v>
      </c>
      <c r="E29" s="62">
        <v>4.5</v>
      </c>
      <c r="F29" s="62">
        <v>8.1300000000000008</v>
      </c>
      <c r="G29" s="62">
        <f t="shared" si="18"/>
        <v>391.34249999999997</v>
      </c>
      <c r="H29" s="63">
        <f t="shared" si="19"/>
        <v>707.02545000000009</v>
      </c>
      <c r="I29" s="202">
        <v>2475.6999999999989</v>
      </c>
      <c r="J29" s="202">
        <v>2549.9709999999991</v>
      </c>
      <c r="K29" s="202">
        <v>4.4106272973300484</v>
      </c>
      <c r="L29" s="202">
        <v>8.1992688936462379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2549.9709999999991</v>
      </c>
      <c r="S29" s="62">
        <f t="shared" si="3"/>
        <v>112.46971699999997</v>
      </c>
      <c r="T29" s="63">
        <f t="shared" si="4"/>
        <v>209.07897899999983</v>
      </c>
      <c r="U29" s="64" t="s">
        <v>189</v>
      </c>
      <c r="V29" s="65" t="s">
        <v>429</v>
      </c>
      <c r="W29" s="66" t="s">
        <v>182</v>
      </c>
      <c r="X29" s="67">
        <v>10000</v>
      </c>
      <c r="Y29" s="68">
        <v>4.5999999999999996</v>
      </c>
      <c r="Z29" s="68">
        <v>8.3000000000000007</v>
      </c>
      <c r="AA29" s="62">
        <f t="shared" si="5"/>
        <v>460</v>
      </c>
      <c r="AB29" s="63">
        <f t="shared" si="6"/>
        <v>830</v>
      </c>
      <c r="AC29" s="69">
        <v>10050</v>
      </c>
      <c r="AD29" s="70">
        <v>4.5500497512437805</v>
      </c>
      <c r="AE29" s="70">
        <v>8.255074626865671</v>
      </c>
      <c r="AF29" s="62">
        <f t="shared" si="7"/>
        <v>457.28</v>
      </c>
      <c r="AG29" s="63">
        <f t="shared" si="8"/>
        <v>829.63499999999999</v>
      </c>
      <c r="AH29" s="89">
        <v>1245.7</v>
      </c>
      <c r="AI29" s="66">
        <v>4.47</v>
      </c>
      <c r="AJ29" s="66">
        <v>8.14</v>
      </c>
      <c r="AK29" s="62">
        <f t="shared" si="9"/>
        <v>55.682789999999997</v>
      </c>
      <c r="AL29" s="72">
        <f t="shared" si="10"/>
        <v>101.39998</v>
      </c>
      <c r="AM29" s="73">
        <f t="shared" si="11"/>
        <v>-49.229000000000497</v>
      </c>
      <c r="AN29" s="74">
        <f t="shared" si="20"/>
        <v>-9.1505730000000511</v>
      </c>
      <c r="AO29" s="74">
        <f t="shared" si="20"/>
        <v>-14.930551000000008</v>
      </c>
      <c r="AP29" s="75">
        <f t="shared" si="13"/>
        <v>-7.4891064089403339E-2</v>
      </c>
      <c r="AQ29" s="76">
        <f t="shared" si="14"/>
        <v>-8868.7152500486391</v>
      </c>
      <c r="AR29" s="90">
        <f t="shared" si="15"/>
        <v>0.77099999999882129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>
        <v>1245.7</v>
      </c>
      <c r="E30" s="62">
        <v>4.47</v>
      </c>
      <c r="F30" s="62">
        <v>8.14</v>
      </c>
      <c r="G30" s="62">
        <f t="shared" si="18"/>
        <v>55.682789999999997</v>
      </c>
      <c r="H30" s="63">
        <f t="shared" si="19"/>
        <v>101.39998</v>
      </c>
      <c r="I30" s="202">
        <v>2733.7</v>
      </c>
      <c r="J30" s="202">
        <v>2815.7109999999998</v>
      </c>
      <c r="K30" s="202">
        <v>4.4116069795515234</v>
      </c>
      <c r="L30" s="202">
        <v>8.1905476094670231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2815.7109999999998</v>
      </c>
      <c r="S30" s="62">
        <f t="shared" si="3"/>
        <v>124.21810299999997</v>
      </c>
      <c r="T30" s="63">
        <f t="shared" si="4"/>
        <v>230.62215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>
        <v>4061.4</v>
      </c>
      <c r="AI30" s="66">
        <v>4.42</v>
      </c>
      <c r="AJ30" s="66">
        <v>8.17</v>
      </c>
      <c r="AK30" s="62">
        <f t="shared" si="9"/>
        <v>179.51388</v>
      </c>
      <c r="AL30" s="72">
        <f t="shared" si="10"/>
        <v>331.81637999999998</v>
      </c>
      <c r="AM30" s="73">
        <f t="shared" si="11"/>
        <v>1.0999999999967258E-2</v>
      </c>
      <c r="AN30" s="74">
        <f t="shared" si="20"/>
        <v>0.38701299999996763</v>
      </c>
      <c r="AO30" s="74">
        <f t="shared" si="20"/>
        <v>0.20575000000002319</v>
      </c>
      <c r="AP30" s="75">
        <f t="shared" si="13"/>
        <v>1.6705066434500341E-3</v>
      </c>
      <c r="AQ30" s="76">
        <f t="shared" si="14"/>
        <v>247.59263569817273</v>
      </c>
      <c r="AR30" s="90">
        <f t="shared" si="15"/>
        <v>1.0999999999967258E-2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>
        <v>4061.4</v>
      </c>
      <c r="E31" s="62">
        <v>4.42</v>
      </c>
      <c r="F31" s="62">
        <v>8.17</v>
      </c>
      <c r="G31" s="62">
        <f t="shared" si="18"/>
        <v>179.51388</v>
      </c>
      <c r="H31" s="63">
        <f t="shared" si="19"/>
        <v>331.81637999999998</v>
      </c>
      <c r="I31" s="202">
        <v>2391.1999999999994</v>
      </c>
      <c r="J31" s="202">
        <v>2462.9359999999992</v>
      </c>
      <c r="K31" s="202">
        <v>4.1096186015389762</v>
      </c>
      <c r="L31" s="202">
        <v>8.1206214452994292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2462.9359999999992</v>
      </c>
      <c r="S31" s="62">
        <f t="shared" si="3"/>
        <v>101.21727599999996</v>
      </c>
      <c r="T31" s="63">
        <f t="shared" si="4"/>
        <v>200.00570899999988</v>
      </c>
      <c r="U31" s="64" t="s">
        <v>167</v>
      </c>
      <c r="V31" s="65" t="s">
        <v>167</v>
      </c>
      <c r="W31" s="66" t="s">
        <v>180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6524.3</v>
      </c>
      <c r="AI31" s="66">
        <v>4.3</v>
      </c>
      <c r="AJ31" s="66">
        <v>8.15</v>
      </c>
      <c r="AK31" s="62">
        <f t="shared" si="9"/>
        <v>280.54489999999998</v>
      </c>
      <c r="AL31" s="72">
        <f t="shared" si="10"/>
        <v>531.73045000000002</v>
      </c>
      <c r="AM31" s="73">
        <f t="shared" si="11"/>
        <v>3.5999999999148713E-2</v>
      </c>
      <c r="AN31" s="74">
        <f t="shared" si="20"/>
        <v>0.18625599999995757</v>
      </c>
      <c r="AO31" s="74">
        <f t="shared" si="20"/>
        <v>9.1638999999872794E-2</v>
      </c>
      <c r="AP31" s="75">
        <f t="shared" si="13"/>
        <v>9.225557604770118E-4</v>
      </c>
      <c r="AQ31" s="76">
        <f t="shared" si="14"/>
        <v>116.9471346497871</v>
      </c>
      <c r="AR31" s="90">
        <f t="shared" si="15"/>
        <v>3.5999999999148713E-2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>
        <v>6524.3</v>
      </c>
      <c r="E32" s="62">
        <v>4.3</v>
      </c>
      <c r="F32" s="62">
        <v>8.15</v>
      </c>
      <c r="G32" s="62">
        <f t="shared" si="18"/>
        <v>280.54489999999998</v>
      </c>
      <c r="H32" s="63">
        <f t="shared" si="19"/>
        <v>531.73045000000002</v>
      </c>
      <c r="I32" s="202">
        <v>2642.7999999999997</v>
      </c>
      <c r="J32" s="202">
        <v>2722.0839999999998</v>
      </c>
      <c r="K32" s="202">
        <v>4.4781179052520059</v>
      </c>
      <c r="L32" s="202">
        <v>8.2027622218858784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2722.0839999999998</v>
      </c>
      <c r="S32" s="62">
        <f t="shared" si="3"/>
        <v>121.89813100000001</v>
      </c>
      <c r="T32" s="63">
        <f t="shared" si="4"/>
        <v>223.28607799999997</v>
      </c>
      <c r="U32" s="64" t="s">
        <v>311</v>
      </c>
      <c r="V32" s="65" t="s">
        <v>533</v>
      </c>
      <c r="W32" s="66" t="s">
        <v>182</v>
      </c>
      <c r="X32" s="67">
        <v>5200</v>
      </c>
      <c r="Y32" s="68">
        <v>4.6500000000000004</v>
      </c>
      <c r="Z32" s="68">
        <v>8.27</v>
      </c>
      <c r="AA32" s="62">
        <f t="shared" si="5"/>
        <v>241.80000000000004</v>
      </c>
      <c r="AB32" s="63">
        <f t="shared" si="6"/>
        <v>430.03999999999996</v>
      </c>
      <c r="AC32" s="69">
        <v>5230</v>
      </c>
      <c r="AD32" s="70">
        <v>4.5999999999999996</v>
      </c>
      <c r="AE32" s="70">
        <v>8.1999999999999993</v>
      </c>
      <c r="AF32" s="62">
        <f t="shared" si="7"/>
        <v>240.57999999999998</v>
      </c>
      <c r="AG32" s="63">
        <f t="shared" si="8"/>
        <v>428.85999999999996</v>
      </c>
      <c r="AH32" s="89">
        <v>4046.3</v>
      </c>
      <c r="AI32" s="66">
        <v>4.3499999999999996</v>
      </c>
      <c r="AJ32" s="66">
        <v>8.16</v>
      </c>
      <c r="AK32" s="62">
        <f t="shared" si="9"/>
        <v>176.01405</v>
      </c>
      <c r="AL32" s="72">
        <f t="shared" si="10"/>
        <v>330.17808000000002</v>
      </c>
      <c r="AM32" s="73">
        <f t="shared" si="11"/>
        <v>-29.916000000000167</v>
      </c>
      <c r="AN32" s="74">
        <f t="shared" si="20"/>
        <v>-14.151018999999962</v>
      </c>
      <c r="AO32" s="74">
        <f t="shared" si="20"/>
        <v>-4.0215519999999856</v>
      </c>
      <c r="AP32" s="75">
        <f t="shared" si="13"/>
        <v>-5.264600907627251E-2</v>
      </c>
      <c r="AQ32" s="76">
        <f t="shared" si="14"/>
        <v>-8004.4442166765793</v>
      </c>
      <c r="AR32" s="90">
        <f t="shared" si="15"/>
        <v>8.4000000000742148E-2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>
        <v>4046.3</v>
      </c>
      <c r="E33" s="62">
        <v>4.3499999999999996</v>
      </c>
      <c r="F33" s="62">
        <v>8.16</v>
      </c>
      <c r="G33" s="62">
        <f t="shared" si="18"/>
        <v>176.01405</v>
      </c>
      <c r="H33" s="63">
        <f t="shared" si="19"/>
        <v>330.17808000000002</v>
      </c>
      <c r="I33" s="202">
        <v>2509.9000000000005</v>
      </c>
      <c r="J33" s="202">
        <v>2585.1970000000006</v>
      </c>
      <c r="K33" s="202">
        <v>4.3312203673453133</v>
      </c>
      <c r="L33" s="202">
        <v>8.2124905374716164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2585.1970000000006</v>
      </c>
      <c r="S33" s="62">
        <f t="shared" si="3"/>
        <v>111.97057900000004</v>
      </c>
      <c r="T33" s="63">
        <f t="shared" si="4"/>
        <v>212.30905900000013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>
        <v>6631.4</v>
      </c>
      <c r="AI33" s="66">
        <v>4.34</v>
      </c>
      <c r="AJ33" s="66">
        <v>8.17</v>
      </c>
      <c r="AK33" s="62">
        <f t="shared" si="9"/>
        <v>287.80275999999998</v>
      </c>
      <c r="AL33" s="72">
        <f t="shared" si="10"/>
        <v>541.78537999999992</v>
      </c>
      <c r="AM33" s="73">
        <f t="shared" si="11"/>
        <v>9.7000000001571607E-2</v>
      </c>
      <c r="AN33" s="74">
        <f t="shared" si="20"/>
        <v>0.1818690000000629</v>
      </c>
      <c r="AO33" s="74">
        <f t="shared" si="20"/>
        <v>0.70175900000026559</v>
      </c>
      <c r="AP33" s="75">
        <f t="shared" si="13"/>
        <v>2.7248951104365299E-3</v>
      </c>
      <c r="AQ33" s="76">
        <f t="shared" si="14"/>
        <v>297.56454676874898</v>
      </c>
      <c r="AR33" s="90">
        <f t="shared" si="15"/>
        <v>9.7000000001571607E-2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>
        <v>6631.4</v>
      </c>
      <c r="E34" s="62">
        <v>4.34</v>
      </c>
      <c r="F34" s="62">
        <v>8.17</v>
      </c>
      <c r="G34" s="62">
        <f t="shared" si="18"/>
        <v>287.80275999999998</v>
      </c>
      <c r="H34" s="63">
        <f t="shared" si="19"/>
        <v>541.78537999999992</v>
      </c>
      <c r="I34" s="202">
        <v>2926.6000000000004</v>
      </c>
      <c r="J34" s="202">
        <v>3014.3980000000006</v>
      </c>
      <c r="K34" s="202">
        <v>4.5204230164696231</v>
      </c>
      <c r="L34" s="202">
        <v>8.1978097450966985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3014.3980000000006</v>
      </c>
      <c r="S34" s="62">
        <f t="shared" si="3"/>
        <v>136.26354100000003</v>
      </c>
      <c r="T34" s="63">
        <f t="shared" si="4"/>
        <v>247.11461300000002</v>
      </c>
      <c r="U34" s="64" t="s">
        <v>311</v>
      </c>
      <c r="V34" s="65" t="s">
        <v>572</v>
      </c>
      <c r="W34" s="66" t="s">
        <v>151</v>
      </c>
      <c r="X34" s="67">
        <v>5200</v>
      </c>
      <c r="Y34" s="68">
        <v>4.55</v>
      </c>
      <c r="Z34" s="68">
        <v>8.19</v>
      </c>
      <c r="AA34" s="62">
        <f t="shared" si="5"/>
        <v>236.6</v>
      </c>
      <c r="AB34" s="63">
        <f t="shared" si="6"/>
        <v>425.88</v>
      </c>
      <c r="AC34" s="69">
        <v>5210</v>
      </c>
      <c r="AD34" s="70">
        <v>4.5</v>
      </c>
      <c r="AE34" s="70">
        <v>8.1199999999999992</v>
      </c>
      <c r="AF34" s="62">
        <f t="shared" si="7"/>
        <v>234.45</v>
      </c>
      <c r="AG34" s="63">
        <f t="shared" si="8"/>
        <v>423.05199999999996</v>
      </c>
      <c r="AH34" s="89">
        <v>4445.7</v>
      </c>
      <c r="AI34" s="66">
        <v>4.3899999999999997</v>
      </c>
      <c r="AJ34" s="66">
        <v>8.17</v>
      </c>
      <c r="AK34" s="62">
        <f t="shared" si="9"/>
        <v>195.16622999999996</v>
      </c>
      <c r="AL34" s="72">
        <f t="shared" si="10"/>
        <v>363.21368999999999</v>
      </c>
      <c r="AM34" s="73">
        <f t="shared" si="11"/>
        <v>-9.9019999999991342</v>
      </c>
      <c r="AN34" s="74">
        <f t="shared" si="20"/>
        <v>-5.5499289999999348</v>
      </c>
      <c r="AO34" s="74">
        <f t="shared" si="20"/>
        <v>2.6343030000000454</v>
      </c>
      <c r="AP34" s="75">
        <f t="shared" si="13"/>
        <v>-7.6050916557960395E-3</v>
      </c>
      <c r="AQ34" s="76">
        <f t="shared" si="14"/>
        <v>-1877.9712182630365</v>
      </c>
      <c r="AR34" s="90">
        <f t="shared" si="15"/>
        <v>9.7999999999956344E-2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>
        <v>4445.7</v>
      </c>
      <c r="E35" s="62">
        <v>4.3899999999999997</v>
      </c>
      <c r="F35" s="62">
        <v>8.17</v>
      </c>
      <c r="G35" s="62">
        <f t="shared" si="18"/>
        <v>195.16622999999996</v>
      </c>
      <c r="H35" s="63">
        <f t="shared" si="19"/>
        <v>363.21368999999999</v>
      </c>
      <c r="I35" s="202">
        <v>2537.7999999999993</v>
      </c>
      <c r="J35" s="202">
        <v>2613.9339999999993</v>
      </c>
      <c r="K35" s="202">
        <v>4.3401134841201054</v>
      </c>
      <c r="L35" s="202">
        <v>8.1602726771219167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2613.9339999999993</v>
      </c>
      <c r="S35" s="62">
        <f t="shared" si="3"/>
        <v>113.44770200000001</v>
      </c>
      <c r="T35" s="63">
        <f t="shared" si="4"/>
        <v>213.30414199999996</v>
      </c>
      <c r="U35" s="64" t="s">
        <v>210</v>
      </c>
      <c r="V35" s="65" t="s">
        <v>573</v>
      </c>
      <c r="W35" s="66" t="s">
        <v>151</v>
      </c>
      <c r="X35" s="67">
        <v>5200</v>
      </c>
      <c r="Y35" s="68">
        <v>4.7</v>
      </c>
      <c r="Z35" s="68">
        <v>8.2799999999999994</v>
      </c>
      <c r="AA35" s="62">
        <f t="shared" si="5"/>
        <v>244.4</v>
      </c>
      <c r="AB35" s="63">
        <f t="shared" si="6"/>
        <v>430.56</v>
      </c>
      <c r="AC35" s="69">
        <v>5180</v>
      </c>
      <c r="AD35" s="70">
        <v>4.6500000000000004</v>
      </c>
      <c r="AE35" s="70">
        <v>8.2100000000000009</v>
      </c>
      <c r="AF35" s="62">
        <f t="shared" si="7"/>
        <v>240.87000000000003</v>
      </c>
      <c r="AG35" s="63">
        <f t="shared" si="8"/>
        <v>425.27800000000002</v>
      </c>
      <c r="AH35" s="89">
        <v>1859.6</v>
      </c>
      <c r="AI35" s="66">
        <v>4.37</v>
      </c>
      <c r="AJ35" s="66">
        <v>8.16</v>
      </c>
      <c r="AK35" s="62">
        <f t="shared" si="9"/>
        <v>81.264520000000005</v>
      </c>
      <c r="AL35" s="72">
        <f t="shared" si="10"/>
        <v>151.74336</v>
      </c>
      <c r="AM35" s="73">
        <f t="shared" si="11"/>
        <v>20.033999999999196</v>
      </c>
      <c r="AN35" s="74">
        <f t="shared" si="20"/>
        <v>-13.52058800000006</v>
      </c>
      <c r="AO35" s="74">
        <f t="shared" si="20"/>
        <v>-0.50352800000001707</v>
      </c>
      <c r="AP35" s="75">
        <f t="shared" si="13"/>
        <v>-4.2919776146695836E-2</v>
      </c>
      <c r="AQ35" s="76">
        <f t="shared" si="14"/>
        <v>-6647.884734148477</v>
      </c>
      <c r="AR35" s="90">
        <f t="shared" si="15"/>
        <v>3.3999999998741259E-2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>
        <v>1859.6</v>
      </c>
      <c r="E36" s="62">
        <v>4.37</v>
      </c>
      <c r="F36" s="62">
        <v>8.16</v>
      </c>
      <c r="G36" s="62">
        <f t="shared" si="18"/>
        <v>81.264520000000005</v>
      </c>
      <c r="H36" s="63">
        <f t="shared" si="19"/>
        <v>151.74336</v>
      </c>
      <c r="I36" s="202">
        <v>2807.099999999999</v>
      </c>
      <c r="J36" s="202">
        <v>2891.3129999999992</v>
      </c>
      <c r="K36" s="202">
        <v>4.4785401303836707</v>
      </c>
      <c r="L36" s="202">
        <v>8.2817213494353616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2891.3129999999992</v>
      </c>
      <c r="S36" s="62">
        <f t="shared" si="3"/>
        <v>129.48861299999999</v>
      </c>
      <c r="T36" s="63">
        <f t="shared" si="4"/>
        <v>239.45048599999996</v>
      </c>
      <c r="U36" s="64" t="s">
        <v>167</v>
      </c>
      <c r="V36" s="85" t="s">
        <v>167</v>
      </c>
      <c r="W36" s="66" t="s">
        <v>167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4750.8999999999996</v>
      </c>
      <c r="AI36" s="66">
        <v>4.43</v>
      </c>
      <c r="AJ36" s="66">
        <v>8.23</v>
      </c>
      <c r="AK36" s="62">
        <f t="shared" si="9"/>
        <v>210.46486999999999</v>
      </c>
      <c r="AL36" s="72">
        <f t="shared" si="10"/>
        <v>390.99906999999996</v>
      </c>
      <c r="AM36" s="73">
        <f t="shared" si="11"/>
        <v>1.299999999901047E-2</v>
      </c>
      <c r="AN36" s="74">
        <f t="shared" si="20"/>
        <v>0.2882630000000006</v>
      </c>
      <c r="AO36" s="74">
        <f t="shared" si="20"/>
        <v>0.19477599999999029</v>
      </c>
      <c r="AP36" s="75">
        <f t="shared" si="13"/>
        <v>1.3092648659609562E-3</v>
      </c>
      <c r="AQ36" s="76">
        <f t="shared" si="14"/>
        <v>196.85343143480242</v>
      </c>
      <c r="AR36" s="90">
        <f t="shared" si="15"/>
        <v>1.299999999901047E-2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>
        <v>4750.8999999999996</v>
      </c>
      <c r="E37" s="62">
        <v>4.43</v>
      </c>
      <c r="F37" s="62">
        <v>8.23</v>
      </c>
      <c r="G37" s="62">
        <f t="shared" si="18"/>
        <v>210.46486999999999</v>
      </c>
      <c r="H37" s="63">
        <f t="shared" si="19"/>
        <v>390.99906999999996</v>
      </c>
      <c r="I37" s="202">
        <v>2600.099999999999</v>
      </c>
      <c r="J37" s="202">
        <v>2678.1029999999992</v>
      </c>
      <c r="K37" s="202">
        <v>4.2655128648898133</v>
      </c>
      <c r="L37" s="202">
        <v>8.1982846813584107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2678.1029999999992</v>
      </c>
      <c r="S37" s="62">
        <f t="shared" si="3"/>
        <v>114.23482799999999</v>
      </c>
      <c r="T37" s="63">
        <f t="shared" si="4"/>
        <v>219.55850799999996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7429</v>
      </c>
      <c r="AI37" s="66">
        <v>4.37</v>
      </c>
      <c r="AJ37" s="66">
        <v>8.2100000000000009</v>
      </c>
      <c r="AK37" s="62">
        <f t="shared" si="9"/>
        <v>324.64730000000003</v>
      </c>
      <c r="AL37" s="72">
        <f t="shared" si="10"/>
        <v>609.92090000000007</v>
      </c>
      <c r="AM37" s="73">
        <f t="shared" si="11"/>
        <v>2.999999998792191E-3</v>
      </c>
      <c r="AN37" s="74">
        <f t="shared" si="20"/>
        <v>5.2397999999982403E-2</v>
      </c>
      <c r="AO37" s="74">
        <f t="shared" si="20"/>
        <v>0.63667799999984709</v>
      </c>
      <c r="AP37" s="75">
        <f t="shared" si="13"/>
        <v>2.064379140270882E-3</v>
      </c>
      <c r="AQ37" s="76">
        <f t="shared" si="14"/>
        <v>215.85833733463136</v>
      </c>
      <c r="AR37" s="90">
        <f t="shared" si="15"/>
        <v>2.999999998792191E-3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>
        <v>7429</v>
      </c>
      <c r="E38" s="62">
        <v>4.37</v>
      </c>
      <c r="F38" s="62">
        <v>8.2100000000000009</v>
      </c>
      <c r="G38" s="62">
        <f t="shared" si="18"/>
        <v>324.64730000000003</v>
      </c>
      <c r="H38" s="63">
        <f t="shared" si="19"/>
        <v>609.92090000000007</v>
      </c>
      <c r="I38" s="202">
        <v>2752.9</v>
      </c>
      <c r="J38" s="202">
        <v>2835.4870000000001</v>
      </c>
      <c r="K38" s="202">
        <v>4.6666606124450567</v>
      </c>
      <c r="L38" s="202">
        <v>8.2275709252061429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2835.4870000000001</v>
      </c>
      <c r="S38" s="62">
        <f t="shared" si="3"/>
        <v>132.32255499999997</v>
      </c>
      <c r="T38" s="63">
        <f t="shared" si="4"/>
        <v>233.29170399999992</v>
      </c>
      <c r="U38" s="64" t="s">
        <v>189</v>
      </c>
      <c r="V38" s="65" t="s">
        <v>618</v>
      </c>
      <c r="W38" s="66" t="s">
        <v>182</v>
      </c>
      <c r="X38" s="67">
        <v>5000</v>
      </c>
      <c r="Y38" s="68">
        <v>4.7</v>
      </c>
      <c r="Z38" s="68">
        <v>8.35</v>
      </c>
      <c r="AA38" s="62">
        <f t="shared" si="5"/>
        <v>235</v>
      </c>
      <c r="AB38" s="63">
        <f t="shared" si="6"/>
        <v>417.49999999999994</v>
      </c>
      <c r="AC38" s="69">
        <v>4990</v>
      </c>
      <c r="AD38" s="70">
        <v>4.6500000000000004</v>
      </c>
      <c r="AE38" s="70">
        <v>8.34</v>
      </c>
      <c r="AF38" s="62">
        <f t="shared" si="7"/>
        <v>232.03500000000003</v>
      </c>
      <c r="AG38" s="63">
        <f t="shared" si="8"/>
        <v>416.166</v>
      </c>
      <c r="AH38" s="89">
        <v>5264.4</v>
      </c>
      <c r="AI38" s="71">
        <v>4.45</v>
      </c>
      <c r="AJ38" s="71">
        <v>8.2100000000000009</v>
      </c>
      <c r="AK38" s="62">
        <f t="shared" si="9"/>
        <v>234.26580000000001</v>
      </c>
      <c r="AL38" s="72">
        <f t="shared" si="10"/>
        <v>432.20724000000001</v>
      </c>
      <c r="AM38" s="73">
        <f t="shared" si="11"/>
        <v>10.087000000001353</v>
      </c>
      <c r="AN38" s="74">
        <f t="shared" si="20"/>
        <v>-9.3309450000000425</v>
      </c>
      <c r="AO38" s="74">
        <f t="shared" si="20"/>
        <v>-5.160635999999954</v>
      </c>
      <c r="AP38" s="75">
        <f t="shared" si="13"/>
        <v>-3.9636257731403196E-2</v>
      </c>
      <c r="AQ38" s="76">
        <f t="shared" si="14"/>
        <v>-6029.3873007886741</v>
      </c>
      <c r="AR38" s="90">
        <f t="shared" si="15"/>
        <v>8.7000000001353328E-2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>
        <v>5264.4</v>
      </c>
      <c r="E39" s="62">
        <v>4.45</v>
      </c>
      <c r="F39" s="62">
        <v>8.2100000000000009</v>
      </c>
      <c r="G39" s="62">
        <f t="shared" si="18"/>
        <v>234.26580000000001</v>
      </c>
      <c r="H39" s="63">
        <f t="shared" si="19"/>
        <v>432.20724000000001</v>
      </c>
      <c r="I39" s="202">
        <v>2488.3999999999996</v>
      </c>
      <c r="J39" s="202">
        <v>2563.0519999999997</v>
      </c>
      <c r="K39" s="202">
        <v>4.4713510689599749</v>
      </c>
      <c r="L39" s="202">
        <v>8.2140491882334032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2563.0519999999997</v>
      </c>
      <c r="S39" s="62">
        <f t="shared" si="3"/>
        <v>114.603053</v>
      </c>
      <c r="T39" s="63">
        <f t="shared" si="4"/>
        <v>210.53035199999999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7827.4</v>
      </c>
      <c r="AI39" s="66">
        <v>4.45</v>
      </c>
      <c r="AJ39" s="66">
        <v>8.2100000000000009</v>
      </c>
      <c r="AK39" s="62">
        <f t="shared" si="9"/>
        <v>348.3193</v>
      </c>
      <c r="AL39" s="72">
        <f t="shared" si="10"/>
        <v>642.62954000000002</v>
      </c>
      <c r="AM39" s="73">
        <f t="shared" si="11"/>
        <v>5.1999999999679858E-2</v>
      </c>
      <c r="AN39" s="74">
        <f t="shared" si="20"/>
        <v>0.54955300000000307</v>
      </c>
      <c r="AO39" s="74">
        <f t="shared" si="20"/>
        <v>0.10805199999992965</v>
      </c>
      <c r="AP39" s="75">
        <f t="shared" si="13"/>
        <v>2.02256978177906E-3</v>
      </c>
      <c r="AQ39" s="76">
        <f t="shared" si="14"/>
        <v>296.43871455170989</v>
      </c>
      <c r="AR39" s="90">
        <f t="shared" si="15"/>
        <v>5.1999999999679858E-2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>
        <v>7827.4</v>
      </c>
      <c r="E40" s="62">
        <v>4.45</v>
      </c>
      <c r="F40" s="62">
        <v>8.2100000000000009</v>
      </c>
      <c r="G40" s="62">
        <f t="shared" si="18"/>
        <v>348.3193</v>
      </c>
      <c r="H40" s="63">
        <f t="shared" si="19"/>
        <v>642.62954000000002</v>
      </c>
      <c r="I40" s="202">
        <v>2869.2999999999997</v>
      </c>
      <c r="J40" s="202">
        <v>2955.3789999999999</v>
      </c>
      <c r="K40" s="202">
        <v>4.71065765169205</v>
      </c>
      <c r="L40" s="202">
        <v>8.2678771825880855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2955.3789999999999</v>
      </c>
      <c r="S40" s="62">
        <f t="shared" si="3"/>
        <v>139.21778699999999</v>
      </c>
      <c r="T40" s="63">
        <f t="shared" si="4"/>
        <v>244.34710599999991</v>
      </c>
      <c r="U40" s="64" t="s">
        <v>210</v>
      </c>
      <c r="V40" s="65" t="s">
        <v>619</v>
      </c>
      <c r="W40" s="66" t="s">
        <v>181</v>
      </c>
      <c r="X40" s="67">
        <v>4800</v>
      </c>
      <c r="Y40" s="68">
        <v>4.7</v>
      </c>
      <c r="Z40" s="68">
        <v>8.35</v>
      </c>
      <c r="AA40" s="62">
        <f t="shared" si="5"/>
        <v>225.6</v>
      </c>
      <c r="AB40" s="63">
        <f t="shared" si="6"/>
        <v>400.79999999999995</v>
      </c>
      <c r="AC40" s="69">
        <v>4810</v>
      </c>
      <c r="AD40" s="70">
        <v>4.6500000000000004</v>
      </c>
      <c r="AE40" s="70">
        <v>8.27</v>
      </c>
      <c r="AF40" s="62">
        <f t="shared" si="7"/>
        <v>223.66500000000002</v>
      </c>
      <c r="AG40" s="63">
        <f t="shared" si="8"/>
        <v>397.78699999999998</v>
      </c>
      <c r="AH40" s="89">
        <v>5982.7</v>
      </c>
      <c r="AI40" s="66">
        <v>4.5199999999999996</v>
      </c>
      <c r="AJ40" s="66">
        <v>8.2200000000000006</v>
      </c>
      <c r="AK40" s="62">
        <f t="shared" si="9"/>
        <v>270.41803999999996</v>
      </c>
      <c r="AL40" s="72">
        <f t="shared" si="10"/>
        <v>491.77794000000006</v>
      </c>
      <c r="AM40" s="73">
        <f t="shared" si="11"/>
        <v>-9.921000000001186</v>
      </c>
      <c r="AN40" s="74">
        <f t="shared" si="20"/>
        <v>-6.5459529999999972</v>
      </c>
      <c r="AO40" s="74">
        <f t="shared" si="20"/>
        <v>-2.5882940000000758</v>
      </c>
      <c r="AP40" s="75">
        <f t="shared" si="13"/>
        <v>-2.3814085091463457E-2</v>
      </c>
      <c r="AQ40" s="76">
        <f t="shared" si="14"/>
        <v>-3920.7144745566984</v>
      </c>
      <c r="AR40" s="90">
        <f t="shared" si="15"/>
        <v>7.8999999997904524E-2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>
        <v>5982.7</v>
      </c>
      <c r="E41" s="62">
        <v>4.5199999999999996</v>
      </c>
      <c r="F41" s="62">
        <v>8.2200000000000006</v>
      </c>
      <c r="G41" s="62">
        <f t="shared" si="18"/>
        <v>270.41803999999996</v>
      </c>
      <c r="H41" s="63">
        <f t="shared" si="19"/>
        <v>491.77794000000006</v>
      </c>
      <c r="I41" s="202">
        <v>2210.6999999999998</v>
      </c>
      <c r="J41" s="202">
        <v>2277.0209999999997</v>
      </c>
      <c r="K41" s="202">
        <v>4.3516759397475928</v>
      </c>
      <c r="L41" s="202">
        <v>8.1792871036323334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2277.0209999999997</v>
      </c>
      <c r="S41" s="62">
        <f t="shared" si="3"/>
        <v>99.08857500000002</v>
      </c>
      <c r="T41" s="63">
        <f t="shared" si="4"/>
        <v>186.24408499999998</v>
      </c>
      <c r="U41" s="64" t="s">
        <v>167</v>
      </c>
      <c r="V41" s="65" t="s">
        <v>167</v>
      </c>
      <c r="W41" s="66" t="s">
        <v>167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8259.7000000000007</v>
      </c>
      <c r="AI41" s="71">
        <v>4.47</v>
      </c>
      <c r="AJ41" s="71">
        <v>8.1999999999999993</v>
      </c>
      <c r="AK41" s="62">
        <f t="shared" si="9"/>
        <v>369.20859000000002</v>
      </c>
      <c r="AL41" s="72">
        <f t="shared" si="10"/>
        <v>677.29539999999997</v>
      </c>
      <c r="AM41" s="73">
        <f t="shared" si="11"/>
        <v>2.0999999998821295E-2</v>
      </c>
      <c r="AN41" s="74">
        <f t="shared" si="20"/>
        <v>0.29802499999999554</v>
      </c>
      <c r="AO41" s="74">
        <f t="shared" si="20"/>
        <v>0.72662500000001273</v>
      </c>
      <c r="AP41" s="75">
        <f t="shared" si="13"/>
        <v>3.5910715583698277E-3</v>
      </c>
      <c r="AQ41" s="76">
        <f t="shared" si="14"/>
        <v>360.82843086141855</v>
      </c>
      <c r="AR41" s="90">
        <f t="shared" si="15"/>
        <v>2.0999999998821295E-2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>
        <v>8259.7000000000007</v>
      </c>
      <c r="E42" s="62">
        <v>4.47</v>
      </c>
      <c r="F42" s="62">
        <v>8.1999999999999993</v>
      </c>
      <c r="G42" s="62">
        <f t="shared" si="18"/>
        <v>369.20859000000002</v>
      </c>
      <c r="H42" s="63">
        <f t="shared" si="19"/>
        <v>677.29539999999997</v>
      </c>
      <c r="I42" s="202">
        <v>2683.4</v>
      </c>
      <c r="J42" s="202">
        <v>2763.902</v>
      </c>
      <c r="K42" s="202">
        <v>4.5247074606842066</v>
      </c>
      <c r="L42" s="202">
        <v>8.2010509055675627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2763.902</v>
      </c>
      <c r="S42" s="62">
        <f t="shared" si="3"/>
        <v>125.05848</v>
      </c>
      <c r="T42" s="63">
        <f t="shared" si="4"/>
        <v>226.66900999999999</v>
      </c>
      <c r="U42" s="64" t="s">
        <v>189</v>
      </c>
      <c r="V42" s="65" t="s">
        <v>620</v>
      </c>
      <c r="W42" s="66" t="s">
        <v>181</v>
      </c>
      <c r="X42" s="67">
        <v>10000</v>
      </c>
      <c r="Y42" s="68">
        <v>4.68</v>
      </c>
      <c r="Z42" s="68">
        <v>8.35</v>
      </c>
      <c r="AA42" s="62">
        <f t="shared" si="5"/>
        <v>467.99999999999994</v>
      </c>
      <c r="AB42" s="63">
        <f t="shared" si="6"/>
        <v>834.99999999999989</v>
      </c>
      <c r="AC42" s="69">
        <v>9970</v>
      </c>
      <c r="AD42" s="70">
        <v>4.6249749247743228</v>
      </c>
      <c r="AE42" s="70">
        <v>8.2649949849548641</v>
      </c>
      <c r="AF42" s="62">
        <f t="shared" si="7"/>
        <v>461.11</v>
      </c>
      <c r="AG42" s="63">
        <f t="shared" si="8"/>
        <v>824.02</v>
      </c>
      <c r="AH42" s="89">
        <v>1023.6</v>
      </c>
      <c r="AI42" s="66">
        <v>4.4800000000000004</v>
      </c>
      <c r="AJ42" s="66">
        <v>8.1999999999999993</v>
      </c>
      <c r="AK42" s="62">
        <f t="shared" si="9"/>
        <v>45.85728000000001</v>
      </c>
      <c r="AL42" s="72">
        <f t="shared" si="10"/>
        <v>83.935199999999995</v>
      </c>
      <c r="AM42" s="73">
        <f t="shared" si="11"/>
        <v>30.002000000000749</v>
      </c>
      <c r="AN42" s="74">
        <f t="shared" si="20"/>
        <v>-12.700210000000034</v>
      </c>
      <c r="AO42" s="74">
        <f t="shared" si="20"/>
        <v>-3.9907900000000467</v>
      </c>
      <c r="AP42" s="75">
        <f t="shared" si="13"/>
        <v>-4.7454351662987962E-2</v>
      </c>
      <c r="AQ42" s="76">
        <f t="shared" si="14"/>
        <v>-7298.0703283884332</v>
      </c>
      <c r="AR42" s="90">
        <f t="shared" si="15"/>
        <v>2.0000000004074536E-3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>
        <v>1023.6</v>
      </c>
      <c r="E43" s="62">
        <v>4.4800000000000004</v>
      </c>
      <c r="F43" s="62">
        <v>8.1999999999999993</v>
      </c>
      <c r="G43" s="62">
        <f t="shared" si="18"/>
        <v>45.85728000000001</v>
      </c>
      <c r="H43" s="63">
        <f t="shared" si="19"/>
        <v>83.935199999999995</v>
      </c>
      <c r="I43" s="202">
        <v>2314.1999999999998</v>
      </c>
      <c r="J43" s="202">
        <v>2383.6259999999997</v>
      </c>
      <c r="K43" s="202">
        <v>4.5206680494339295</v>
      </c>
      <c r="L43" s="202">
        <v>8.1857186068619843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2383.6259999999997</v>
      </c>
      <c r="S43" s="62">
        <f t="shared" si="3"/>
        <v>107.75581899999999</v>
      </c>
      <c r="T43" s="63">
        <f t="shared" si="4"/>
        <v>195.11691700000003</v>
      </c>
      <c r="U43" s="64" t="s">
        <v>167</v>
      </c>
      <c r="V43" s="65" t="s">
        <v>167</v>
      </c>
      <c r="W43" s="66" t="s">
        <v>167</v>
      </c>
      <c r="X43" s="67">
        <v>0</v>
      </c>
      <c r="Y43" s="68">
        <v>0</v>
      </c>
      <c r="Z43" s="68">
        <v>0</v>
      </c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>
        <v>3407.2</v>
      </c>
      <c r="AI43" s="71">
        <v>4.5</v>
      </c>
      <c r="AJ43" s="71">
        <v>8.19</v>
      </c>
      <c r="AK43" s="62">
        <f t="shared" si="9"/>
        <v>153.32399999999998</v>
      </c>
      <c r="AL43" s="72">
        <f t="shared" si="10"/>
        <v>279.04967999999997</v>
      </c>
      <c r="AM43" s="73">
        <f t="shared" si="11"/>
        <v>2.5999999999839929E-2</v>
      </c>
      <c r="AN43" s="74">
        <f t="shared" si="20"/>
        <v>0.28909900000002153</v>
      </c>
      <c r="AO43" s="74">
        <f t="shared" si="20"/>
        <v>2.4370000000430991E-3</v>
      </c>
      <c r="AP43" s="75">
        <f t="shared" si="13"/>
        <v>9.6256930831854271E-4</v>
      </c>
      <c r="AQ43" s="76">
        <f t="shared" si="14"/>
        <v>139.6513384437115</v>
      </c>
      <c r="AR43" s="90">
        <f t="shared" si="15"/>
        <v>2.5999999999839929E-2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>
        <v>3407.2</v>
      </c>
      <c r="E44" s="62">
        <v>4.5</v>
      </c>
      <c r="F44" s="62">
        <v>8.19</v>
      </c>
      <c r="G44" s="62">
        <f t="shared" si="18"/>
        <v>153.32399999999998</v>
      </c>
      <c r="H44" s="63">
        <f t="shared" si="19"/>
        <v>279.04967999999997</v>
      </c>
      <c r="I44" s="202">
        <v>2412.6</v>
      </c>
      <c r="J44" s="202">
        <v>2484.9780000000001</v>
      </c>
      <c r="K44" s="202">
        <v>4.517371300671476</v>
      </c>
      <c r="L44" s="202">
        <v>8.2653278620575321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2484.9780000000001</v>
      </c>
      <c r="S44" s="62">
        <f t="shared" si="3"/>
        <v>112.25568300000003</v>
      </c>
      <c r="T44" s="63">
        <f t="shared" si="4"/>
        <v>205.39157900000004</v>
      </c>
      <c r="U44" s="64" t="s">
        <v>189</v>
      </c>
      <c r="V44" s="65" t="s">
        <v>698</v>
      </c>
      <c r="W44" s="66" t="s">
        <v>527</v>
      </c>
      <c r="X44" s="67">
        <v>5000</v>
      </c>
      <c r="Y44" s="68">
        <v>4.55</v>
      </c>
      <c r="Z44" s="68">
        <v>8.32</v>
      </c>
      <c r="AA44" s="62">
        <f t="shared" si="5"/>
        <v>227.5</v>
      </c>
      <c r="AB44" s="63">
        <f t="shared" si="6"/>
        <v>416</v>
      </c>
      <c r="AC44" s="69">
        <v>4970</v>
      </c>
      <c r="AD44" s="70">
        <v>4.5</v>
      </c>
      <c r="AE44" s="70">
        <v>8.18</v>
      </c>
      <c r="AF44" s="62">
        <f t="shared" si="7"/>
        <v>223.65</v>
      </c>
      <c r="AG44" s="63">
        <f t="shared" si="8"/>
        <v>406.54599999999999</v>
      </c>
      <c r="AH44" s="89">
        <v>892.1</v>
      </c>
      <c r="AI44" s="66">
        <v>4.5</v>
      </c>
      <c r="AJ44" s="66">
        <v>8.2200000000000006</v>
      </c>
      <c r="AK44" s="62">
        <f t="shared" si="9"/>
        <v>40.144500000000001</v>
      </c>
      <c r="AL44" s="72">
        <f t="shared" si="10"/>
        <v>73.33062000000001</v>
      </c>
      <c r="AM44" s="73">
        <f t="shared" si="11"/>
        <v>30.077999999999861</v>
      </c>
      <c r="AN44" s="74">
        <f t="shared" si="20"/>
        <v>1.785183000000039</v>
      </c>
      <c r="AO44" s="74">
        <f t="shared" si="20"/>
        <v>4.5646389999999997</v>
      </c>
      <c r="AP44" s="75">
        <f t="shared" si="13"/>
        <v>1.9990167584066999E-2</v>
      </c>
      <c r="AQ44" s="76">
        <f t="shared" si="14"/>
        <v>2224.90727657669</v>
      </c>
      <c r="AR44" s="90">
        <f t="shared" si="15"/>
        <v>7.7999999999519787E-2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>
        <v>892.1</v>
      </c>
      <c r="E45" s="62">
        <v>4.5</v>
      </c>
      <c r="F45" s="62">
        <v>8.2200000000000006</v>
      </c>
      <c r="G45" s="62">
        <f t="shared" si="18"/>
        <v>40.144500000000001</v>
      </c>
      <c r="H45" s="63">
        <f t="shared" si="19"/>
        <v>73.33062000000001</v>
      </c>
      <c r="I45" s="202">
        <v>2470</v>
      </c>
      <c r="J45" s="202">
        <v>2544.1</v>
      </c>
      <c r="K45" s="202">
        <v>4.2119392712550594</v>
      </c>
      <c r="L45" s="202">
        <v>8.2098623481781363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2544.1</v>
      </c>
      <c r="S45" s="62">
        <f t="shared" si="3"/>
        <v>107.15594699999995</v>
      </c>
      <c r="T45" s="63">
        <f t="shared" si="4"/>
        <v>208.86710799999994</v>
      </c>
      <c r="U45" s="64" t="s">
        <v>167</v>
      </c>
      <c r="V45" s="65" t="s">
        <v>167</v>
      </c>
      <c r="W45" s="66" t="s">
        <v>180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3436.2</v>
      </c>
      <c r="AI45" s="71">
        <v>4.28</v>
      </c>
      <c r="AJ45" s="71">
        <v>8.2100000000000009</v>
      </c>
      <c r="AK45" s="62">
        <f t="shared" si="9"/>
        <v>147.06936000000002</v>
      </c>
      <c r="AL45" s="72">
        <f t="shared" si="10"/>
        <v>282.11202000000003</v>
      </c>
      <c r="AM45" s="73">
        <f t="shared" si="11"/>
        <v>0</v>
      </c>
      <c r="AN45" s="74">
        <f t="shared" si="20"/>
        <v>0.23108699999994542</v>
      </c>
      <c r="AO45" s="74">
        <f t="shared" si="20"/>
        <v>8.5707999999954154E-2</v>
      </c>
      <c r="AP45" s="75">
        <f t="shared" si="13"/>
        <v>1.0024426857081668E-3</v>
      </c>
      <c r="AQ45" s="76">
        <f t="shared" si="14"/>
        <v>136.71360753940672</v>
      </c>
      <c r="AR45" s="90">
        <f t="shared" si="15"/>
        <v>0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>
        <v>3436.2</v>
      </c>
      <c r="E46" s="62">
        <v>4.28</v>
      </c>
      <c r="F46" s="62">
        <v>8.2100000000000009</v>
      </c>
      <c r="G46" s="62">
        <f t="shared" si="18"/>
        <v>147.06936000000002</v>
      </c>
      <c r="H46" s="63">
        <f t="shared" si="19"/>
        <v>282.11202000000003</v>
      </c>
      <c r="I46" s="202">
        <v>2460.8000000000002</v>
      </c>
      <c r="J46" s="202">
        <v>2534.6240000000003</v>
      </c>
      <c r="K46" s="202">
        <v>4.7104437581274379</v>
      </c>
      <c r="L46" s="202">
        <v>8.3223910923276989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2534.6240000000003</v>
      </c>
      <c r="S46" s="62">
        <f t="shared" si="3"/>
        <v>119.39203800000001</v>
      </c>
      <c r="T46" s="63">
        <f t="shared" si="4"/>
        <v>210.94132200000004</v>
      </c>
      <c r="U46" s="64" t="s">
        <v>189</v>
      </c>
      <c r="V46" s="65" t="s">
        <v>699</v>
      </c>
      <c r="W46" s="66" t="s">
        <v>181</v>
      </c>
      <c r="X46" s="67">
        <v>5000</v>
      </c>
      <c r="Y46" s="68">
        <v>4.6500000000000004</v>
      </c>
      <c r="Z46" s="68">
        <v>8.34</v>
      </c>
      <c r="AA46" s="62">
        <f t="shared" si="5"/>
        <v>232.50000000000003</v>
      </c>
      <c r="AB46" s="63">
        <f t="shared" si="6"/>
        <v>417</v>
      </c>
      <c r="AC46" s="69">
        <v>4990</v>
      </c>
      <c r="AD46" s="70">
        <v>4.5999999999999996</v>
      </c>
      <c r="AE46" s="70">
        <v>8.08</v>
      </c>
      <c r="AF46" s="62">
        <f t="shared" si="7"/>
        <v>229.54</v>
      </c>
      <c r="AG46" s="63">
        <f t="shared" si="8"/>
        <v>403.19200000000001</v>
      </c>
      <c r="AH46" s="89">
        <v>970.8</v>
      </c>
      <c r="AI46" s="66">
        <v>4.46</v>
      </c>
      <c r="AJ46" s="66">
        <v>8.25</v>
      </c>
      <c r="AK46" s="62">
        <f t="shared" si="9"/>
        <v>43.29768</v>
      </c>
      <c r="AL46" s="72">
        <f t="shared" si="10"/>
        <v>80.090999999999994</v>
      </c>
      <c r="AM46" s="73">
        <f t="shared" si="11"/>
        <v>10.024000000000569</v>
      </c>
      <c r="AN46" s="74">
        <f t="shared" si="20"/>
        <v>-6.3762819999999607</v>
      </c>
      <c r="AO46" s="74">
        <f t="shared" si="20"/>
        <v>9.770342000000042</v>
      </c>
      <c r="AP46" s="75">
        <f t="shared" si="13"/>
        <v>1.0274651037364439E-2</v>
      </c>
      <c r="AQ46" s="76">
        <f t="shared" si="14"/>
        <v>-137.88057776551614</v>
      </c>
      <c r="AR46" s="90">
        <f t="shared" si="15"/>
        <v>2.400000000034197E-2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>
        <v>970.8</v>
      </c>
      <c r="E47" s="62">
        <v>4.46</v>
      </c>
      <c r="F47" s="62">
        <v>8.25</v>
      </c>
      <c r="G47" s="62">
        <f t="shared" si="18"/>
        <v>43.29768</v>
      </c>
      <c r="H47" s="63">
        <f t="shared" si="19"/>
        <v>80.090999999999994</v>
      </c>
      <c r="I47" s="202">
        <v>2435.4999999999995</v>
      </c>
      <c r="J47" s="202">
        <v>2508.5649999999996</v>
      </c>
      <c r="K47" s="202">
        <v>4.2829028946828158</v>
      </c>
      <c r="L47" s="202">
        <v>8.1427756107575444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2508.5649999999996</v>
      </c>
      <c r="S47" s="62">
        <f t="shared" si="3"/>
        <v>107.43940299999996</v>
      </c>
      <c r="T47" s="63">
        <f t="shared" si="4"/>
        <v>204.26681899999994</v>
      </c>
      <c r="U47" s="64" t="s">
        <v>167</v>
      </c>
      <c r="V47" s="65" t="s">
        <v>167</v>
      </c>
      <c r="W47" s="66" t="s">
        <v>167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3479.3</v>
      </c>
      <c r="AI47" s="66">
        <v>4.33</v>
      </c>
      <c r="AJ47" s="66">
        <v>8.17</v>
      </c>
      <c r="AK47" s="62">
        <f t="shared" si="9"/>
        <v>150.65369000000001</v>
      </c>
      <c r="AL47" s="72">
        <f t="shared" si="10"/>
        <v>284.25880999999998</v>
      </c>
      <c r="AM47" s="73">
        <f t="shared" si="11"/>
        <v>6.4999999999599822E-2</v>
      </c>
      <c r="AN47" s="74">
        <f t="shared" si="20"/>
        <v>8.3392999999944095E-2</v>
      </c>
      <c r="AO47" s="74">
        <f t="shared" si="20"/>
        <v>9.9008999999966818E-2</v>
      </c>
      <c r="AP47" s="75">
        <f t="shared" si="13"/>
        <v>5.8517279132115293E-4</v>
      </c>
      <c r="AQ47" s="76">
        <f t="shared" si="14"/>
        <v>69.725364715321263</v>
      </c>
      <c r="AR47" s="90">
        <f t="shared" si="15"/>
        <v>6.4999999999599822E-2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>
        <v>3479.3</v>
      </c>
      <c r="E48" s="62">
        <v>4.33</v>
      </c>
      <c r="F48" s="62">
        <v>8.17</v>
      </c>
      <c r="G48" s="62">
        <f t="shared" si="18"/>
        <v>150.65369000000001</v>
      </c>
      <c r="H48" s="63">
        <f t="shared" si="19"/>
        <v>284.25880999999998</v>
      </c>
      <c r="I48" s="202">
        <v>2739.2</v>
      </c>
      <c r="J48" s="202">
        <v>2821.3759999999997</v>
      </c>
      <c r="K48" s="202">
        <v>4.6564215829439277</v>
      </c>
      <c r="L48" s="202">
        <v>8.2764018691588817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2821.3759999999997</v>
      </c>
      <c r="S48" s="62">
        <f t="shared" si="3"/>
        <v>131.37516100000008</v>
      </c>
      <c r="T48" s="63">
        <f t="shared" si="4"/>
        <v>233.5084160000001</v>
      </c>
      <c r="U48" s="64" t="s">
        <v>189</v>
      </c>
      <c r="V48" s="65" t="s">
        <v>758</v>
      </c>
      <c r="W48" s="66" t="s">
        <v>181</v>
      </c>
      <c r="X48" s="67">
        <v>5000</v>
      </c>
      <c r="Y48" s="68">
        <v>4.7</v>
      </c>
      <c r="Z48" s="68">
        <v>8.35</v>
      </c>
      <c r="AA48" s="62">
        <f t="shared" si="5"/>
        <v>235</v>
      </c>
      <c r="AB48" s="63">
        <f t="shared" si="6"/>
        <v>417.49999999999994</v>
      </c>
      <c r="AC48" s="69">
        <v>4970</v>
      </c>
      <c r="AD48" s="70">
        <v>4.6500000000000004</v>
      </c>
      <c r="AE48" s="70">
        <v>8.15</v>
      </c>
      <c r="AF48" s="62">
        <f t="shared" si="7"/>
        <v>231.10500000000005</v>
      </c>
      <c r="AG48" s="63">
        <f t="shared" si="8"/>
        <v>405.05500000000001</v>
      </c>
      <c r="AH48" s="89">
        <v>1300.5999999999999</v>
      </c>
      <c r="AI48" s="71">
        <v>4.47</v>
      </c>
      <c r="AJ48" s="71">
        <v>8.2100000000000009</v>
      </c>
      <c r="AK48" s="62">
        <f t="shared" si="9"/>
        <v>58.136819999999993</v>
      </c>
      <c r="AL48" s="72">
        <f t="shared" si="10"/>
        <v>106.77926000000001</v>
      </c>
      <c r="AM48" s="73">
        <f t="shared" si="11"/>
        <v>30.075999999999567</v>
      </c>
      <c r="AN48" s="74">
        <f t="shared" si="20"/>
        <v>-7.2129689999999513</v>
      </c>
      <c r="AO48" s="74">
        <f t="shared" si="20"/>
        <v>5.9329660000000359</v>
      </c>
      <c r="AP48" s="75">
        <f t="shared" si="13"/>
        <v>-3.507976463407436E-3</v>
      </c>
      <c r="AQ48" s="76">
        <f t="shared" si="14"/>
        <v>-1689.1958621545346</v>
      </c>
      <c r="AR48" s="90">
        <f t="shared" si="15"/>
        <v>7.5999999999112333E-2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>
        <v>1300.5999999999999</v>
      </c>
      <c r="E49" s="62">
        <v>4.47</v>
      </c>
      <c r="F49" s="62">
        <v>8.2100000000000009</v>
      </c>
      <c r="G49" s="62">
        <f t="shared" si="18"/>
        <v>58.136819999999993</v>
      </c>
      <c r="H49" s="63">
        <f t="shared" si="19"/>
        <v>106.77926000000001</v>
      </c>
      <c r="I49" s="202">
        <v>2439.3999999999996</v>
      </c>
      <c r="J49" s="202">
        <v>2512.5819999999999</v>
      </c>
      <c r="K49" s="202">
        <v>4.437664999590063</v>
      </c>
      <c r="L49" s="202">
        <v>8.2008198737394409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2512.5819999999999</v>
      </c>
      <c r="S49" s="62">
        <f t="shared" si="3"/>
        <v>111.49997199999999</v>
      </c>
      <c r="T49" s="63">
        <f t="shared" si="4"/>
        <v>206.05232399999991</v>
      </c>
      <c r="U49" s="64" t="s">
        <v>167</v>
      </c>
      <c r="V49" s="65" t="s">
        <v>167</v>
      </c>
      <c r="W49" s="66" t="s">
        <v>167</v>
      </c>
      <c r="X49" s="67">
        <v>0</v>
      </c>
      <c r="Y49" s="68">
        <v>0</v>
      </c>
      <c r="Z49" s="68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3813.1</v>
      </c>
      <c r="AI49" s="66">
        <v>4.45</v>
      </c>
      <c r="AJ49" s="66">
        <v>8.1999999999999993</v>
      </c>
      <c r="AK49" s="62">
        <f t="shared" si="9"/>
        <v>169.68295000000001</v>
      </c>
      <c r="AL49" s="72">
        <f t="shared" si="10"/>
        <v>312.67419999999993</v>
      </c>
      <c r="AM49" s="73">
        <f t="shared" si="11"/>
        <v>8.1999999999879947E-2</v>
      </c>
      <c r="AN49" s="74">
        <f t="shared" si="20"/>
        <v>-4.6158000000019683E-2</v>
      </c>
      <c r="AO49" s="74">
        <f t="shared" si="20"/>
        <v>0.1573839999999791</v>
      </c>
      <c r="AP49" s="75">
        <f t="shared" si="13"/>
        <v>3.5026041820827977E-4</v>
      </c>
      <c r="AQ49" s="76">
        <f t="shared" si="14"/>
        <v>24.954685609271479</v>
      </c>
      <c r="AR49" s="90">
        <f t="shared" si="15"/>
        <v>8.1999999999879947E-2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>
        <v>3813.1</v>
      </c>
      <c r="E50" s="62">
        <v>4.45</v>
      </c>
      <c r="F50" s="62">
        <v>8.1999999999999993</v>
      </c>
      <c r="G50" s="62">
        <f t="shared" si="18"/>
        <v>169.68295000000001</v>
      </c>
      <c r="H50" s="63">
        <f t="shared" si="19"/>
        <v>312.67419999999993</v>
      </c>
      <c r="I50" s="202">
        <v>2869.0000000000005</v>
      </c>
      <c r="J50" s="202">
        <v>2955.0700000000006</v>
      </c>
      <c r="K50" s="202">
        <v>4.6728128267689089</v>
      </c>
      <c r="L50" s="202">
        <v>8.3277692575810391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2955.0700000000006</v>
      </c>
      <c r="S50" s="62">
        <f t="shared" si="3"/>
        <v>138.08489000000003</v>
      </c>
      <c r="T50" s="63">
        <f t="shared" si="4"/>
        <v>246.09141100000005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6768.1</v>
      </c>
      <c r="AI50" s="71">
        <v>4.54</v>
      </c>
      <c r="AJ50" s="71">
        <v>8.25</v>
      </c>
      <c r="AK50" s="62">
        <f t="shared" si="9"/>
        <v>307.27174000000002</v>
      </c>
      <c r="AL50" s="72">
        <f t="shared" si="10"/>
        <v>558.3682500000001</v>
      </c>
      <c r="AM50" s="73">
        <f t="shared" si="11"/>
        <v>6.9999999999708962E-2</v>
      </c>
      <c r="AN50" s="74">
        <f t="shared" si="20"/>
        <v>0.49610000000001264</v>
      </c>
      <c r="AO50" s="74">
        <f t="shared" si="20"/>
        <v>0.39736099999993257</v>
      </c>
      <c r="AP50" s="75">
        <f t="shared" si="13"/>
        <v>2.3256536066235513E-3</v>
      </c>
      <c r="AQ50" s="76">
        <f t="shared" si="14"/>
        <v>357.3982782710583</v>
      </c>
      <c r="AR50" s="90">
        <f t="shared" si="15"/>
        <v>6.9999999999708962E-2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>
        <v>6768.1</v>
      </c>
      <c r="E51" s="62">
        <v>4.54</v>
      </c>
      <c r="F51" s="62">
        <v>8.25</v>
      </c>
      <c r="G51" s="62">
        <f t="shared" si="18"/>
        <v>307.27174000000002</v>
      </c>
      <c r="H51" s="63">
        <f t="shared" si="19"/>
        <v>558.3682500000001</v>
      </c>
      <c r="I51" s="202">
        <v>2520.0000000000009</v>
      </c>
      <c r="J51" s="202">
        <v>2595.6000000000008</v>
      </c>
      <c r="K51" s="202">
        <v>4.319361111111113</v>
      </c>
      <c r="L51" s="202">
        <v>8.2005317460317482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2595.6000000000008</v>
      </c>
      <c r="S51" s="62">
        <f t="shared" si="3"/>
        <v>112.11333700000007</v>
      </c>
      <c r="T51" s="63">
        <f t="shared" si="4"/>
        <v>212.85300200000015</v>
      </c>
      <c r="U51" s="64" t="s">
        <v>167</v>
      </c>
      <c r="V51" s="85" t="s">
        <v>180</v>
      </c>
      <c r="W51" s="66" t="s">
        <v>167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9363.7000000000007</v>
      </c>
      <c r="AI51" s="66">
        <v>4.47</v>
      </c>
      <c r="AJ51" s="66">
        <v>8.23</v>
      </c>
      <c r="AK51" s="62">
        <f t="shared" si="9"/>
        <v>418.55739</v>
      </c>
      <c r="AL51" s="72">
        <f t="shared" si="10"/>
        <v>770.63251000000002</v>
      </c>
      <c r="AM51" s="73">
        <f t="shared" si="11"/>
        <v>0</v>
      </c>
      <c r="AN51" s="74">
        <f t="shared" si="20"/>
        <v>0.82768700000008266</v>
      </c>
      <c r="AO51" s="74">
        <f t="shared" si="20"/>
        <v>0.58874200000025212</v>
      </c>
      <c r="AP51" s="75">
        <f t="shared" si="13"/>
        <v>4.3586945169737526E-3</v>
      </c>
      <c r="AQ51" s="76">
        <f t="shared" si="14"/>
        <v>574.05352947136225</v>
      </c>
      <c r="AR51" s="90">
        <f t="shared" si="15"/>
        <v>0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>
        <v>9363.7000000000007</v>
      </c>
      <c r="E52" s="62">
        <v>4.47</v>
      </c>
      <c r="F52" s="62">
        <v>8.23</v>
      </c>
      <c r="G52" s="62">
        <f t="shared" si="18"/>
        <v>418.55739</v>
      </c>
      <c r="H52" s="63">
        <f t="shared" si="19"/>
        <v>770.63251000000002</v>
      </c>
      <c r="I52" s="118">
        <v>2962</v>
      </c>
      <c r="J52" s="118">
        <v>3050.86</v>
      </c>
      <c r="K52" s="118">
        <v>4.6902532072923693</v>
      </c>
      <c r="L52" s="118">
        <v>8.2958035111411217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3050.86</v>
      </c>
      <c r="S52" s="62">
        <f t="shared" si="3"/>
        <v>143.09305899999998</v>
      </c>
      <c r="T52" s="63">
        <f t="shared" si="4"/>
        <v>253.09335100000001</v>
      </c>
      <c r="U52" s="64" t="s">
        <v>189</v>
      </c>
      <c r="V52" s="65" t="s">
        <v>844</v>
      </c>
      <c r="W52" s="66" t="s">
        <v>181</v>
      </c>
      <c r="X52" s="67">
        <v>10000</v>
      </c>
      <c r="Y52" s="68">
        <v>4.7300000000000004</v>
      </c>
      <c r="Z52" s="68">
        <v>8.36</v>
      </c>
      <c r="AA52" s="62">
        <f t="shared" si="5"/>
        <v>473</v>
      </c>
      <c r="AB52" s="63">
        <f t="shared" si="6"/>
        <v>835.99999999999989</v>
      </c>
      <c r="AC52" s="69">
        <v>9980</v>
      </c>
      <c r="AD52" s="70">
        <v>4.7</v>
      </c>
      <c r="AE52" s="70">
        <v>8.2200000000000006</v>
      </c>
      <c r="AF52" s="62">
        <f t="shared" si="7"/>
        <v>469.06</v>
      </c>
      <c r="AG52" s="63">
        <f t="shared" si="8"/>
        <v>820.35600000000011</v>
      </c>
      <c r="AH52" s="89">
        <v>2414.5</v>
      </c>
      <c r="AI52" s="66">
        <v>4.5199999999999996</v>
      </c>
      <c r="AJ52" s="66">
        <v>8.24</v>
      </c>
      <c r="AK52" s="62">
        <f t="shared" si="9"/>
        <v>109.13539999999999</v>
      </c>
      <c r="AL52" s="72">
        <f t="shared" si="10"/>
        <v>198.95480000000001</v>
      </c>
      <c r="AM52" s="73">
        <f t="shared" si="11"/>
        <v>20.06000000000131</v>
      </c>
      <c r="AN52" s="74">
        <f t="shared" si="20"/>
        <v>-16.544951000000012</v>
      </c>
      <c r="AO52" s="74">
        <f t="shared" si="20"/>
        <v>4.4150609999998949</v>
      </c>
      <c r="AP52" s="75">
        <f t="shared" si="13"/>
        <v>-3.061662311940512E-2</v>
      </c>
      <c r="AQ52" s="76">
        <f t="shared" si="14"/>
        <v>-6628.1159701468687</v>
      </c>
      <c r="AR52" s="90">
        <f t="shared" si="15"/>
        <v>6.0000000001309672E-2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>
        <v>2414.5</v>
      </c>
      <c r="E53" s="62">
        <v>4.5199999999999996</v>
      </c>
      <c r="F53" s="62">
        <v>8.24</v>
      </c>
      <c r="G53" s="62">
        <f t="shared" si="18"/>
        <v>109.13539999999999</v>
      </c>
      <c r="H53" s="63">
        <f t="shared" si="19"/>
        <v>198.95480000000001</v>
      </c>
      <c r="I53" s="118">
        <v>2590.2999999999997</v>
      </c>
      <c r="J53" s="118">
        <v>2668.009</v>
      </c>
      <c r="K53" s="118">
        <v>4.2762112496622011</v>
      </c>
      <c r="L53" s="118">
        <v>8.1115044589429814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2668.009</v>
      </c>
      <c r="S53" s="62">
        <f t="shared" si="3"/>
        <v>114.08970100000001</v>
      </c>
      <c r="T53" s="63">
        <f t="shared" si="4"/>
        <v>216.41566900000004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5082.5</v>
      </c>
      <c r="AI53" s="66">
        <v>4.3899999999999997</v>
      </c>
      <c r="AJ53" s="66">
        <v>8.17</v>
      </c>
      <c r="AK53" s="62">
        <f t="shared" si="9"/>
        <v>223.12174999999996</v>
      </c>
      <c r="AL53" s="72">
        <f t="shared" si="10"/>
        <v>415.24024999999995</v>
      </c>
      <c r="AM53" s="73">
        <f t="shared" si="11"/>
        <v>9.0000000000145519E-3</v>
      </c>
      <c r="AN53" s="74">
        <f t="shared" si="20"/>
        <v>0.10335100000003195</v>
      </c>
      <c r="AO53" s="74">
        <f t="shared" si="20"/>
        <v>0.13021900000012465</v>
      </c>
      <c r="AP53" s="75">
        <f t="shared" si="13"/>
        <v>7.0670561268083658E-4</v>
      </c>
      <c r="AQ53" s="76">
        <f t="shared" si="14"/>
        <v>88.662950429604138</v>
      </c>
      <c r="AR53" s="90">
        <f t="shared" si="15"/>
        <v>9.0000000000145519E-3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>
        <v>5082.5</v>
      </c>
      <c r="E54" s="62">
        <v>4.3899999999999997</v>
      </c>
      <c r="F54" s="62">
        <v>8.17</v>
      </c>
      <c r="G54" s="62">
        <f t="shared" si="18"/>
        <v>223.12174999999996</v>
      </c>
      <c r="H54" s="63">
        <f t="shared" si="19"/>
        <v>415.24024999999995</v>
      </c>
      <c r="I54" s="118">
        <v>2866.3</v>
      </c>
      <c r="J54" s="118">
        <v>2952.2890000000002</v>
      </c>
      <c r="K54" s="118">
        <v>4.6184732930956285</v>
      </c>
      <c r="L54" s="118">
        <v>8.2554582562885965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2952.2890000000002</v>
      </c>
      <c r="S54" s="62">
        <f t="shared" si="3"/>
        <v>136.35067900000001</v>
      </c>
      <c r="T54" s="63">
        <f t="shared" si="4"/>
        <v>243.72498600000006</v>
      </c>
      <c r="U54" s="64" t="s">
        <v>180</v>
      </c>
      <c r="V54" s="65" t="s">
        <v>167</v>
      </c>
      <c r="W54" s="66" t="s">
        <v>167</v>
      </c>
      <c r="X54" s="67">
        <v>0</v>
      </c>
      <c r="Y54" s="68">
        <v>0</v>
      </c>
      <c r="Z54" s="68">
        <v>0</v>
      </c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>
        <v>8034.7</v>
      </c>
      <c r="AI54" s="66">
        <v>4.5199999999999996</v>
      </c>
      <c r="AJ54" s="66">
        <v>8.2200000000000006</v>
      </c>
      <c r="AK54" s="62">
        <f t="shared" si="9"/>
        <v>363.16843999999998</v>
      </c>
      <c r="AL54" s="72">
        <f t="shared" si="10"/>
        <v>660.45234000000005</v>
      </c>
      <c r="AM54" s="73">
        <f t="shared" si="11"/>
        <v>8.9000000000851287E-2</v>
      </c>
      <c r="AN54" s="74">
        <f t="shared" si="20"/>
        <v>-3.6960109999999986</v>
      </c>
      <c r="AO54" s="74">
        <f t="shared" si="20"/>
        <v>-1.4871040000000448</v>
      </c>
      <c r="AP54" s="75">
        <f t="shared" si="13"/>
        <v>-1.3637060925750252E-2</v>
      </c>
      <c r="AQ54" s="76">
        <f t="shared" si="14"/>
        <v>-2221.4279864874275</v>
      </c>
      <c r="AR54" s="90">
        <f t="shared" si="15"/>
        <v>8.9000000000851287E-2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>
        <v>8034.7</v>
      </c>
      <c r="E55" s="62">
        <v>4.5199999999999996</v>
      </c>
      <c r="F55" s="62">
        <v>8.2200000000000006</v>
      </c>
      <c r="G55" s="62">
        <f t="shared" si="18"/>
        <v>363.16843999999998</v>
      </c>
      <c r="H55" s="63">
        <f t="shared" si="19"/>
        <v>660.45234000000005</v>
      </c>
      <c r="I55" s="118">
        <v>2604.7999999999997</v>
      </c>
      <c r="J55" s="118">
        <v>2682.944</v>
      </c>
      <c r="K55" s="118">
        <v>4.1865863022113015</v>
      </c>
      <c r="L55" s="118">
        <v>8.0830044533169527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2"/>
        <v>2682.944</v>
      </c>
      <c r="S55" s="62">
        <f t="shared" si="3"/>
        <v>112.32376599999998</v>
      </c>
      <c r="T55" s="63">
        <f t="shared" si="4"/>
        <v>216.86248299999997</v>
      </c>
      <c r="U55" s="64" t="s">
        <v>167</v>
      </c>
      <c r="V55" s="65" t="s">
        <v>167</v>
      </c>
      <c r="W55" s="66" t="s">
        <v>167</v>
      </c>
      <c r="X55" s="67">
        <v>0</v>
      </c>
      <c r="Y55" s="68">
        <v>0</v>
      </c>
      <c r="Z55" s="68">
        <v>0</v>
      </c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>
        <v>10717.6</v>
      </c>
      <c r="AI55" s="66">
        <v>4.43</v>
      </c>
      <c r="AJ55" s="66">
        <v>8.18</v>
      </c>
      <c r="AK55" s="62">
        <f t="shared" si="9"/>
        <v>474.78968000000003</v>
      </c>
      <c r="AL55" s="72">
        <f t="shared" si="10"/>
        <v>876.69968000000006</v>
      </c>
      <c r="AM55" s="73">
        <f t="shared" si="11"/>
        <v>4.3999999999869033E-2</v>
      </c>
      <c r="AN55" s="74">
        <f t="shared" si="20"/>
        <v>0.70252599999992071</v>
      </c>
      <c r="AO55" s="74">
        <f t="shared" si="20"/>
        <v>0.61514299999998912</v>
      </c>
      <c r="AP55" s="75">
        <f t="shared" si="13"/>
        <v>4.0028069337729533E-3</v>
      </c>
      <c r="AQ55" s="76">
        <f t="shared" si="14"/>
        <v>521.81645989283152</v>
      </c>
      <c r="AR55" s="90">
        <f t="shared" si="15"/>
        <v>4.3999999999869033E-2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>
        <v>10717.6</v>
      </c>
      <c r="E56" s="62">
        <v>4.43</v>
      </c>
      <c r="F56" s="62">
        <v>8.18</v>
      </c>
      <c r="G56" s="62">
        <f t="shared" si="18"/>
        <v>474.78968000000003</v>
      </c>
      <c r="H56" s="63">
        <f t="shared" si="19"/>
        <v>876.69968000000006</v>
      </c>
      <c r="I56" s="118">
        <v>3651.8</v>
      </c>
      <c r="J56" s="118">
        <v>3761.3540000000003</v>
      </c>
      <c r="K56" s="118">
        <v>4.6560627635686513</v>
      </c>
      <c r="L56" s="118">
        <v>8.2586450517553001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3761.3540000000003</v>
      </c>
      <c r="S56" s="62">
        <f t="shared" si="3"/>
        <v>175.13100300000002</v>
      </c>
      <c r="T56" s="63">
        <f t="shared" si="4"/>
        <v>310.63687600000009</v>
      </c>
      <c r="U56" s="64" t="s">
        <v>210</v>
      </c>
      <c r="V56" s="65" t="s">
        <v>845</v>
      </c>
      <c r="W56" s="66" t="s">
        <v>181</v>
      </c>
      <c r="X56" s="67">
        <v>10000</v>
      </c>
      <c r="Y56" s="68">
        <v>4.68</v>
      </c>
      <c r="Z56" s="68">
        <v>8.3800000000000008</v>
      </c>
      <c r="AA56" s="62">
        <f t="shared" si="5"/>
        <v>467.99999999999994</v>
      </c>
      <c r="AB56" s="63">
        <f t="shared" si="6"/>
        <v>838.00000000000011</v>
      </c>
      <c r="AC56" s="69">
        <v>9980</v>
      </c>
      <c r="AD56" s="70">
        <v>4.6500000000000004</v>
      </c>
      <c r="AE56" s="70">
        <v>8.34</v>
      </c>
      <c r="AF56" s="62">
        <f t="shared" si="7"/>
        <v>464.07000000000005</v>
      </c>
      <c r="AG56" s="63">
        <f t="shared" si="8"/>
        <v>832.33199999999999</v>
      </c>
      <c r="AH56" s="89">
        <v>4478.8999999999996</v>
      </c>
      <c r="AI56" s="66">
        <v>4.4800000000000004</v>
      </c>
      <c r="AJ56" s="66">
        <v>8.1999999999999993</v>
      </c>
      <c r="AK56" s="62">
        <f t="shared" si="9"/>
        <v>200.65472000000003</v>
      </c>
      <c r="AL56" s="72">
        <f t="shared" si="10"/>
        <v>367.26979999999992</v>
      </c>
      <c r="AM56" s="73">
        <f t="shared" si="11"/>
        <v>20.054000000001906</v>
      </c>
      <c r="AN56" s="74">
        <f t="shared" si="20"/>
        <v>-14.804037000000022</v>
      </c>
      <c r="AO56" s="74">
        <f t="shared" si="20"/>
        <v>-12.265243999999711</v>
      </c>
      <c r="AP56" s="75">
        <f t="shared" si="13"/>
        <v>-5.5724724030177648E-2</v>
      </c>
      <c r="AQ56" s="76">
        <f t="shared" si="14"/>
        <v>-10787.15298351925</v>
      </c>
      <c r="AR56" s="90">
        <f t="shared" si="15"/>
        <v>5.4000000001906301E-2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>
        <v>4478.8999999999996</v>
      </c>
      <c r="E57" s="62">
        <v>4.4800000000000004</v>
      </c>
      <c r="F57" s="62">
        <v>8.1999999999999993</v>
      </c>
      <c r="G57" s="62">
        <f t="shared" si="18"/>
        <v>200.65472000000003</v>
      </c>
      <c r="H57" s="63">
        <f t="shared" si="19"/>
        <v>367.26979999999992</v>
      </c>
      <c r="I57" s="118">
        <v>2298.0000000000005</v>
      </c>
      <c r="J57" s="118">
        <v>2366.9400000000005</v>
      </c>
      <c r="K57" s="118">
        <v>4.3225456919060044</v>
      </c>
      <c r="L57" s="118">
        <v>8.1430939947780665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2366.9400000000005</v>
      </c>
      <c r="S57" s="62">
        <f t="shared" si="3"/>
        <v>102.31206300000001</v>
      </c>
      <c r="T57" s="63">
        <f t="shared" si="4"/>
        <v>192.74214900000001</v>
      </c>
      <c r="U57" s="64" t="s">
        <v>167</v>
      </c>
      <c r="V57" s="65" t="s">
        <v>167</v>
      </c>
      <c r="W57" s="66" t="s">
        <v>167</v>
      </c>
      <c r="X57" s="67">
        <v>0</v>
      </c>
      <c r="Y57" s="68">
        <v>0</v>
      </c>
      <c r="Z57" s="68">
        <v>0</v>
      </c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>
        <v>6845.8</v>
      </c>
      <c r="AI57" s="66">
        <v>4.42</v>
      </c>
      <c r="AJ57" s="66">
        <v>8.19</v>
      </c>
      <c r="AK57" s="62">
        <f t="shared" si="9"/>
        <v>302.58436</v>
      </c>
      <c r="AL57" s="72">
        <f t="shared" si="10"/>
        <v>560.67102</v>
      </c>
      <c r="AM57" s="73">
        <f t="shared" si="11"/>
        <v>3.999999999996362E-2</v>
      </c>
      <c r="AN57" s="74">
        <f t="shared" si="20"/>
        <v>0.38242300000001705</v>
      </c>
      <c r="AO57" s="74">
        <f t="shared" si="20"/>
        <v>-0.65907100000003993</v>
      </c>
      <c r="AP57" s="75">
        <f t="shared" si="13"/>
        <v>-9.3761752501273518E-4</v>
      </c>
      <c r="AQ57" s="76">
        <f t="shared" si="14"/>
        <v>-13.619199111414105</v>
      </c>
      <c r="AR57" s="90">
        <f t="shared" si="15"/>
        <v>3.999999999996362E-2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>
        <v>6845.8</v>
      </c>
      <c r="E58" s="62">
        <v>4.42</v>
      </c>
      <c r="F58" s="62">
        <v>8.19</v>
      </c>
      <c r="G58" s="62">
        <f t="shared" si="18"/>
        <v>302.58436</v>
      </c>
      <c r="H58" s="63">
        <f t="shared" si="19"/>
        <v>560.67102</v>
      </c>
      <c r="I58" s="118">
        <v>3660.1000000000004</v>
      </c>
      <c r="J58" s="118">
        <v>3769.9030000000002</v>
      </c>
      <c r="K58" s="118">
        <v>4.599762301576459</v>
      </c>
      <c r="L58" s="118">
        <v>8.2628835277724644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3769.9030000000002</v>
      </c>
      <c r="S58" s="62">
        <f t="shared" si="3"/>
        <v>173.406577</v>
      </c>
      <c r="T58" s="63">
        <f t="shared" si="4"/>
        <v>311.50269400000002</v>
      </c>
      <c r="U58" s="64" t="s">
        <v>189</v>
      </c>
      <c r="V58" s="65" t="s">
        <v>908</v>
      </c>
      <c r="W58" s="66" t="s">
        <v>181</v>
      </c>
      <c r="X58" s="67">
        <v>5000</v>
      </c>
      <c r="Y58" s="68">
        <v>4.55</v>
      </c>
      <c r="Z58" s="68">
        <v>8.19</v>
      </c>
      <c r="AA58" s="62">
        <f t="shared" si="5"/>
        <v>227.5</v>
      </c>
      <c r="AB58" s="63">
        <f t="shared" si="6"/>
        <v>409.5</v>
      </c>
      <c r="AC58" s="224">
        <v>5000</v>
      </c>
      <c r="AD58" s="223">
        <v>4.55</v>
      </c>
      <c r="AE58" s="223">
        <v>8.19</v>
      </c>
      <c r="AF58" s="62">
        <f t="shared" si="7"/>
        <v>227.5</v>
      </c>
      <c r="AG58" s="63">
        <f t="shared" si="8"/>
        <v>409.5</v>
      </c>
      <c r="AH58" s="89">
        <v>5615.7</v>
      </c>
      <c r="AI58" s="66">
        <v>4.4800000000000004</v>
      </c>
      <c r="AJ58" s="66">
        <v>8.2100000000000009</v>
      </c>
      <c r="AK58" s="62">
        <f t="shared" si="9"/>
        <v>251.58336000000003</v>
      </c>
      <c r="AL58" s="72">
        <f t="shared" si="10"/>
        <v>461.04897</v>
      </c>
      <c r="AM58" s="73">
        <f t="shared" si="11"/>
        <v>3.0000000015206751E-3</v>
      </c>
      <c r="AN58" s="74">
        <f t="shared" si="20"/>
        <v>-3.0924229999999966</v>
      </c>
      <c r="AO58" s="74">
        <f t="shared" si="20"/>
        <v>1.6247440000000211</v>
      </c>
      <c r="AP58" s="75">
        <f t="shared" si="13"/>
        <v>-3.0267084747075822E-3</v>
      </c>
      <c r="AQ58" s="76">
        <f t="shared" si="14"/>
        <v>-999.41353511662624</v>
      </c>
      <c r="AR58" s="90">
        <f t="shared" si="15"/>
        <v>3.0000000006111804E-3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>
        <v>5615.7</v>
      </c>
      <c r="E59" s="62">
        <v>4.4800000000000004</v>
      </c>
      <c r="F59" s="62">
        <v>8.2100000000000009</v>
      </c>
      <c r="G59" s="62">
        <f t="shared" si="18"/>
        <v>251.58336000000003</v>
      </c>
      <c r="H59" s="63">
        <f t="shared" si="19"/>
        <v>461.04897</v>
      </c>
      <c r="I59" s="118">
        <v>2419.8999999999996</v>
      </c>
      <c r="J59" s="118">
        <v>2492.4969999999998</v>
      </c>
      <c r="K59" s="118">
        <v>4.384036530435143</v>
      </c>
      <c r="L59" s="118">
        <v>8.1728005289474819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2492.4969999999998</v>
      </c>
      <c r="S59" s="62">
        <f t="shared" si="3"/>
        <v>109.27197900000003</v>
      </c>
      <c r="T59" s="63">
        <f t="shared" si="4"/>
        <v>203.70680800000011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>
        <v>8108.1</v>
      </c>
      <c r="AI59" s="66">
        <v>4.4400000000000004</v>
      </c>
      <c r="AJ59" s="66">
        <v>8.19</v>
      </c>
      <c r="AK59" s="62">
        <f t="shared" si="9"/>
        <v>359.99964000000006</v>
      </c>
      <c r="AL59" s="72">
        <f t="shared" si="10"/>
        <v>664.05339000000004</v>
      </c>
      <c r="AM59" s="73">
        <f t="shared" si="11"/>
        <v>9.6999999999752617E-2</v>
      </c>
      <c r="AN59" s="74">
        <f t="shared" si="20"/>
        <v>0.85569900000001553</v>
      </c>
      <c r="AO59" s="74">
        <f t="shared" si="20"/>
        <v>0.70238800000004176</v>
      </c>
      <c r="AP59" s="75">
        <f t="shared" si="13"/>
        <v>4.9782511298443258E-3</v>
      </c>
      <c r="AQ59" s="76">
        <f t="shared" si="14"/>
        <v>621.55017242697227</v>
      </c>
      <c r="AR59" s="90">
        <f t="shared" si="15"/>
        <v>9.6999999999752617E-2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>
        <v>8108.1</v>
      </c>
      <c r="E60" s="62">
        <v>4.4400000000000004</v>
      </c>
      <c r="F60" s="62">
        <v>8.19</v>
      </c>
      <c r="G60" s="62">
        <f t="shared" si="18"/>
        <v>359.99964000000006</v>
      </c>
      <c r="H60" s="63">
        <f t="shared" si="19"/>
        <v>664.05339000000004</v>
      </c>
      <c r="I60" s="118">
        <v>2768</v>
      </c>
      <c r="J60" s="118">
        <v>2851.04</v>
      </c>
      <c r="K60" s="118">
        <v>4.7078901734104051</v>
      </c>
      <c r="L60" s="118">
        <v>8.2590968208092495</v>
      </c>
      <c r="M60" s="58" t="s">
        <v>932</v>
      </c>
      <c r="N60" s="58" t="s">
        <v>933</v>
      </c>
      <c r="O60" s="59">
        <v>5000</v>
      </c>
      <c r="P60" s="56">
        <v>4.55</v>
      </c>
      <c r="Q60" s="60">
        <v>8.19</v>
      </c>
      <c r="R60" s="61">
        <f t="shared" si="2"/>
        <v>7851.04</v>
      </c>
      <c r="S60" s="62">
        <f t="shared" si="3"/>
        <v>361.72383200000002</v>
      </c>
      <c r="T60" s="63">
        <f t="shared" si="4"/>
        <v>644.97015399999998</v>
      </c>
      <c r="U60" s="64" t="s">
        <v>311</v>
      </c>
      <c r="V60" s="65" t="s">
        <v>934</v>
      </c>
      <c r="W60" s="66" t="s">
        <v>187</v>
      </c>
      <c r="X60" s="67">
        <v>10070</v>
      </c>
      <c r="Y60" s="68">
        <v>4.7300000000000004</v>
      </c>
      <c r="Z60" s="68">
        <v>8.36</v>
      </c>
      <c r="AA60" s="62">
        <f t="shared" si="5"/>
        <v>476.31100000000004</v>
      </c>
      <c r="AB60" s="63">
        <f t="shared" si="6"/>
        <v>841.85199999999998</v>
      </c>
      <c r="AC60" s="69">
        <v>10030</v>
      </c>
      <c r="AD60" s="70">
        <v>4.6758723828514457</v>
      </c>
      <c r="AE60" s="70">
        <v>8.2851744765702886</v>
      </c>
      <c r="AF60" s="62">
        <f t="shared" si="7"/>
        <v>468.98999999999995</v>
      </c>
      <c r="AG60" s="63">
        <f t="shared" si="8"/>
        <v>831.00299999999993</v>
      </c>
      <c r="AH60" s="89">
        <v>5889.1</v>
      </c>
      <c r="AI60" s="66">
        <v>4.5199999999999996</v>
      </c>
      <c r="AJ60" s="66">
        <v>8.19</v>
      </c>
      <c r="AK60" s="62">
        <f t="shared" si="9"/>
        <v>266.18732</v>
      </c>
      <c r="AL60" s="72">
        <f t="shared" si="10"/>
        <v>482.31729000000001</v>
      </c>
      <c r="AM60" s="73">
        <f t="shared" si="11"/>
        <v>40.039999999999054</v>
      </c>
      <c r="AN60" s="74">
        <f t="shared" si="20"/>
        <v>-13.453847999999823</v>
      </c>
      <c r="AO60" s="74">
        <f t="shared" si="20"/>
        <v>-4.2967459999998141</v>
      </c>
      <c r="AP60" s="75">
        <f t="shared" si="13"/>
        <v>-1.7632561877646537E-2</v>
      </c>
      <c r="AQ60" s="76">
        <f t="shared" si="14"/>
        <v>-7751.8490138347242</v>
      </c>
      <c r="AR60" s="90">
        <f t="shared" si="15"/>
        <v>3.9999999999054126E-2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>
        <v>5889.1</v>
      </c>
      <c r="E61" s="62">
        <v>4.5199999999999996</v>
      </c>
      <c r="F61" s="62">
        <v>8.19</v>
      </c>
      <c r="G61" s="62">
        <f t="shared" si="18"/>
        <v>266.18732</v>
      </c>
      <c r="H61" s="63">
        <f t="shared" si="19"/>
        <v>482.31729000000001</v>
      </c>
      <c r="I61" s="118">
        <v>2535.7000000000007</v>
      </c>
      <c r="J61" s="118">
        <v>2611.7710000000006</v>
      </c>
      <c r="K61" s="118">
        <v>4.3897306463698404</v>
      </c>
      <c r="L61" s="118">
        <v>8.1871080963836445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2611.7710000000006</v>
      </c>
      <c r="S61" s="62">
        <f t="shared" si="3"/>
        <v>114.64971200000006</v>
      </c>
      <c r="T61" s="63">
        <f t="shared" si="4"/>
        <v>213.82851500000012</v>
      </c>
      <c r="U61" s="64" t="s">
        <v>167</v>
      </c>
      <c r="V61" s="65" t="s">
        <v>167</v>
      </c>
      <c r="W61" s="66" t="s">
        <v>167</v>
      </c>
      <c r="X61" s="67">
        <v>0</v>
      </c>
      <c r="Y61" s="68">
        <v>0</v>
      </c>
      <c r="Z61" s="68">
        <v>0</v>
      </c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>
        <v>8500.7999999999993</v>
      </c>
      <c r="AI61" s="66">
        <v>4.4800000000000004</v>
      </c>
      <c r="AJ61" s="66">
        <v>8.19</v>
      </c>
      <c r="AK61" s="62">
        <f t="shared" si="9"/>
        <v>380.83584000000002</v>
      </c>
      <c r="AL61" s="72">
        <f t="shared" si="10"/>
        <v>696.21551999999997</v>
      </c>
      <c r="AM61" s="73">
        <f t="shared" si="11"/>
        <v>7.1000000001731678E-2</v>
      </c>
      <c r="AN61" s="74">
        <f t="shared" si="20"/>
        <v>1.1920000000600339E-3</v>
      </c>
      <c r="AO61" s="74">
        <f t="shared" si="20"/>
        <v>-6.9714999999860083E-2</v>
      </c>
      <c r="AP61" s="75">
        <f t="shared" si="13"/>
        <v>-2.086074338187414E-4</v>
      </c>
      <c r="AQ61" s="76">
        <f t="shared" si="14"/>
        <v>-20.306227066032569</v>
      </c>
      <c r="AR61" s="90">
        <f t="shared" si="15"/>
        <v>7.1000000001731678E-2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>
        <v>8500.7999999999993</v>
      </c>
      <c r="E62" s="62">
        <v>4.4800000000000004</v>
      </c>
      <c r="F62" s="62">
        <v>8.19</v>
      </c>
      <c r="G62" s="62">
        <f t="shared" si="18"/>
        <v>380.83584000000002</v>
      </c>
      <c r="H62" s="63">
        <f t="shared" si="19"/>
        <v>696.21551999999997</v>
      </c>
      <c r="I62" s="118">
        <v>2942.900000000001</v>
      </c>
      <c r="J62" s="118">
        <v>3031.1870000000013</v>
      </c>
      <c r="K62" s="118">
        <v>4.6559312243025603</v>
      </c>
      <c r="L62" s="118">
        <v>8.2637262564137437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3031.1870000000013</v>
      </c>
      <c r="S62" s="62">
        <f t="shared" si="3"/>
        <v>141.12998200000013</v>
      </c>
      <c r="T62" s="63">
        <f t="shared" si="4"/>
        <v>250.48899600000016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>
        <v>11531.9</v>
      </c>
      <c r="AI62" s="66">
        <v>4.5199999999999996</v>
      </c>
      <c r="AJ62" s="66">
        <v>8.1999999999999993</v>
      </c>
      <c r="AK62" s="62">
        <f t="shared" si="9"/>
        <v>521.24187999999992</v>
      </c>
      <c r="AL62" s="72">
        <f t="shared" si="10"/>
        <v>945.61579999999981</v>
      </c>
      <c r="AM62" s="73">
        <f t="shared" si="11"/>
        <v>8.7000000001353328E-2</v>
      </c>
      <c r="AN62" s="74">
        <f t="shared" si="20"/>
        <v>0.72394200000019282</v>
      </c>
      <c r="AO62" s="74">
        <f t="shared" si="20"/>
        <v>1.0887160000003178</v>
      </c>
      <c r="AP62" s="75">
        <f t="shared" si="13"/>
        <v>4.6286265524152128E-3</v>
      </c>
      <c r="AQ62" s="76">
        <f t="shared" si="14"/>
        <v>673.93844241845045</v>
      </c>
      <c r="AR62" s="90">
        <f t="shared" si="15"/>
        <v>8.7000000001353328E-2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>
        <v>11531.9</v>
      </c>
      <c r="E63" s="62">
        <v>4.5199999999999996</v>
      </c>
      <c r="F63" s="62">
        <v>8.1999999999999993</v>
      </c>
      <c r="G63" s="62">
        <f t="shared" si="18"/>
        <v>521.24187999999992</v>
      </c>
      <c r="H63" s="63">
        <f t="shared" si="19"/>
        <v>945.61579999999981</v>
      </c>
      <c r="I63" s="118">
        <v>2270.6000000000004</v>
      </c>
      <c r="J63" s="118">
        <v>2338.7180000000003</v>
      </c>
      <c r="K63" s="118">
        <v>4.3506253853606989</v>
      </c>
      <c r="L63" s="118">
        <v>8.185017176076812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2338.7180000000003</v>
      </c>
      <c r="S63" s="62">
        <f t="shared" si="3"/>
        <v>101.74885900000004</v>
      </c>
      <c r="T63" s="63">
        <f t="shared" si="4"/>
        <v>191.4244700000001</v>
      </c>
      <c r="U63" s="64" t="s">
        <v>167</v>
      </c>
      <c r="V63" s="65" t="s">
        <v>167</v>
      </c>
      <c r="W63" s="66" t="s">
        <v>167</v>
      </c>
      <c r="X63" s="67">
        <v>0</v>
      </c>
      <c r="Y63" s="68">
        <v>0</v>
      </c>
      <c r="Z63" s="68">
        <v>0</v>
      </c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>
        <v>13870.6</v>
      </c>
      <c r="AI63" s="66">
        <v>4.49</v>
      </c>
      <c r="AJ63" s="66">
        <v>8.19</v>
      </c>
      <c r="AK63" s="62">
        <f t="shared" si="9"/>
        <v>622.78994</v>
      </c>
      <c r="AL63" s="72">
        <f t="shared" si="10"/>
        <v>1136.0021400000001</v>
      </c>
      <c r="AM63" s="73">
        <f t="shared" si="11"/>
        <v>1.8000000000029104E-2</v>
      </c>
      <c r="AN63" s="74">
        <f t="shared" si="20"/>
        <v>0.20079899999996087</v>
      </c>
      <c r="AO63" s="74">
        <f t="shared" si="20"/>
        <v>1.0381299999999101</v>
      </c>
      <c r="AP63" s="75">
        <f t="shared" si="13"/>
        <v>4.2259267042667114E-3</v>
      </c>
      <c r="AQ63" s="76">
        <f t="shared" si="14"/>
        <v>407.40114782588915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18"/>
        <v>0</v>
      </c>
      <c r="H64" s="63">
        <f t="shared" si="19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0"/>
        <v>0</v>
      </c>
      <c r="AO64" s="74">
        <f t="shared" si="20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18"/>
        <v>0</v>
      </c>
      <c r="H65" s="63">
        <f t="shared" si="19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0"/>
        <v>0</v>
      </c>
      <c r="AO65" s="74">
        <f t="shared" si="20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158227.77599999998</v>
      </c>
      <c r="R66" s="83">
        <f>SUM(R4:R65)</f>
        <v>163227.77599999998</v>
      </c>
      <c r="S66" s="83">
        <f t="shared" ref="S66:T66" si="21">SUM(S4:S65)</f>
        <v>7351.3039350000008</v>
      </c>
      <c r="T66" s="83">
        <f t="shared" si="21"/>
        <v>13383.926518000002</v>
      </c>
      <c r="AH66" s="90"/>
      <c r="AI66" s="77"/>
      <c r="AJ66" s="77"/>
      <c r="AM66" s="83">
        <f>-SUM(AM4:AM65)</f>
        <v>-204.47600000000432</v>
      </c>
      <c r="AN66" s="83">
        <f>-SUM(AN4:AN65)</f>
        <v>105.41642499999951</v>
      </c>
      <c r="AO66" s="83">
        <f>-SUM(AO4:AO65)</f>
        <v>17.144401999998991</v>
      </c>
      <c r="AQ66" s="126">
        <f>-SUM(AQ4:AQ65)</f>
        <v>55790.618911109384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4" priority="2" operator="lessThan">
      <formula>0.1</formula>
    </cfRule>
    <cfRule type="cellIs" dxfId="93" priority="3" operator="greaterThan">
      <formula>0.1</formula>
    </cfRule>
  </conditionalFormatting>
  <conditionalFormatting sqref="AP1:AQ1">
    <cfRule type="cellIs" dxfId="92" priority="1" operator="lessThan">
      <formula>1</formula>
    </cfRule>
  </conditionalFormatting>
  <conditionalFormatting sqref="AQ4:AQ65">
    <cfRule type="cellIs" dxfId="91" priority="4" operator="lessThan">
      <formula>0</formula>
    </cfRule>
    <cfRule type="cellIs" dxfId="90" priority="5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AV68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V62" sqref="V62"/>
    </sheetView>
  </sheetViews>
  <sheetFormatPr defaultRowHeight="15" x14ac:dyDescent="0.25"/>
  <cols>
    <col min="1" max="1" width="3" customWidth="1"/>
    <col min="2" max="2" width="9.7109375" customWidth="1"/>
    <col min="3" max="3" width="5.7109375" bestFit="1" customWidth="1"/>
    <col min="4" max="4" width="7.42578125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customWidth="1"/>
    <col min="10" max="10" width="9.28515625" bestFit="1" customWidth="1"/>
    <col min="11" max="12" width="5.85546875" bestFit="1" customWidth="1"/>
    <col min="13" max="13" width="6" bestFit="1" customWidth="1"/>
    <col min="14" max="14" width="8.28515625" customWidth="1"/>
    <col min="15" max="15" width="7" bestFit="1" customWidth="1"/>
    <col min="16" max="17" width="5.85546875" bestFit="1" customWidth="1"/>
    <col min="18" max="18" width="9.28515625" bestFit="1" customWidth="1"/>
    <col min="19" max="19" width="7.28515625" bestFit="1" customWidth="1"/>
    <col min="20" max="20" width="8.140625" bestFit="1" customWidth="1"/>
    <col min="21" max="21" width="8.28515625" customWidth="1"/>
    <col min="22" max="22" width="9.28515625" customWidth="1"/>
    <col min="23" max="23" width="11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" customWidth="1"/>
    <col min="30" max="31" width="5.85546875" bestFit="1" customWidth="1"/>
    <col min="32" max="33" width="7.28515625" customWidth="1"/>
    <col min="34" max="34" width="9.28515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42578125" bestFit="1" customWidth="1"/>
    <col min="44" max="44" width="6.7109375" bestFit="1" customWidth="1"/>
    <col min="45" max="49" width="8.7109375" bestFit="1" customWidth="1"/>
  </cols>
  <sheetData>
    <row r="1" spans="1:46" ht="15.75" thickBot="1" x14ac:dyDescent="0.3">
      <c r="B1" s="43" t="s">
        <v>92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6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5">
        <v>3562</v>
      </c>
      <c r="E4" s="54">
        <v>4.13</v>
      </c>
      <c r="F4" s="55">
        <v>8.26</v>
      </c>
      <c r="G4" s="62">
        <f t="shared" ref="G4" si="0">+D4*E4%</f>
        <v>147.11059999999998</v>
      </c>
      <c r="H4" s="63">
        <f t="shared" ref="H4" si="1">+D4*F4%</f>
        <v>294.22119999999995</v>
      </c>
      <c r="I4" s="202">
        <v>2021.6200000000003</v>
      </c>
      <c r="J4" s="203">
        <v>2082.2686000000003</v>
      </c>
      <c r="K4" s="120">
        <v>4.8953101967728845</v>
      </c>
      <c r="L4" s="121">
        <v>8.5432890454190176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2082.2686000000003</v>
      </c>
      <c r="S4" s="62">
        <f t="shared" ref="S4" si="2">+J4*K4%+O4*P4%</f>
        <v>101.93350710000001</v>
      </c>
      <c r="T4" s="63">
        <f t="shared" ref="T4" si="3">+J4*L4%+O4*Q4%</f>
        <v>177.89422519999997</v>
      </c>
      <c r="U4" s="64" t="s">
        <v>167</v>
      </c>
      <c r="V4" s="65" t="s">
        <v>180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2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66">
        <v>5641</v>
      </c>
      <c r="AI4" s="66">
        <v>4.41</v>
      </c>
      <c r="AJ4" s="66">
        <v>8.36</v>
      </c>
      <c r="AK4" s="62">
        <f t="shared" ref="AK4" si="8">AH4*AI4%</f>
        <v>248.7681</v>
      </c>
      <c r="AL4" s="72">
        <f t="shared" ref="AL4" si="9">AH4*AJ4%</f>
        <v>471.58759999999995</v>
      </c>
      <c r="AM4" s="73">
        <f t="shared" ref="AM4" si="10">+D4+R4-AC4-AH4</f>
        <v>3.2686000000003332</v>
      </c>
      <c r="AN4" s="74">
        <f t="shared" ref="AN4:AO4" si="11">+G4+S4-AF4-AK4</f>
        <v>0.27600709999998685</v>
      </c>
      <c r="AO4" s="74">
        <f t="shared" si="11"/>
        <v>0.52782519999993838</v>
      </c>
      <c r="AP4" s="75">
        <f t="shared" ref="AP4" si="12">(AN4+AO4)/(S4+T4)</f>
        <v>2.8725969845552913E-3</v>
      </c>
      <c r="AQ4" s="76">
        <f t="shared" ref="AQ4" si="13">($AP$1*AN4+$AQ$1*AO4)</f>
        <v>290.7093430248616</v>
      </c>
      <c r="AR4" s="77">
        <f t="shared" ref="AR4:AR9" si="14">(D4+J4+O4)-(X4+AH4)</f>
        <v>3.2686000000003332</v>
      </c>
      <c r="AT4" s="78"/>
    </row>
    <row r="5" spans="1:46" x14ac:dyDescent="0.25">
      <c r="A5" t="str">
        <f t="shared" ref="A5:A65" si="15">CONCATENATE(B5,C5)</f>
        <v>46204E</v>
      </c>
      <c r="B5" s="51">
        <f>+B4</f>
        <v>46204</v>
      </c>
      <c r="C5" s="52" t="s">
        <v>88</v>
      </c>
      <c r="D5" s="91">
        <v>5641</v>
      </c>
      <c r="E5" s="62">
        <v>4.41</v>
      </c>
      <c r="F5" s="62">
        <v>8.36</v>
      </c>
      <c r="G5" s="62">
        <f t="shared" ref="G5:G65" si="16">+D5*E5%</f>
        <v>248.7681</v>
      </c>
      <c r="H5" s="63">
        <f t="shared" ref="H5:H65" si="17">+D5*F5%</f>
        <v>471.58759999999995</v>
      </c>
      <c r="I5" s="202">
        <v>5443.98</v>
      </c>
      <c r="J5" s="203">
        <v>5607.2993999999999</v>
      </c>
      <c r="K5" s="120">
        <v>4.1556177649440285</v>
      </c>
      <c r="L5" s="121">
        <v>8.2802172307760102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5607.2993999999999</v>
      </c>
      <c r="S5" s="62">
        <f t="shared" ref="S5:S65" si="19">+J5*K5%+O5*P5%</f>
        <v>233.01792999999992</v>
      </c>
      <c r="T5" s="63">
        <f t="shared" ref="T5:T65" si="20">+J5*L5%+O5*Q5%</f>
        <v>464.29657109999982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11" si="21">X5*Y5%</f>
        <v>0</v>
      </c>
      <c r="AB5" s="62">
        <f t="shared" ref="AB5:AB11" si="22">X5*Z5%</f>
        <v>0</v>
      </c>
      <c r="AC5" s="69"/>
      <c r="AD5" s="70"/>
      <c r="AE5" s="70"/>
      <c r="AF5" s="62">
        <f t="shared" ref="AF5:AF36" si="23">AC5*AD5%</f>
        <v>0</v>
      </c>
      <c r="AG5" s="63">
        <f t="shared" ref="AG5:AG36" si="24">AC5*AE5%</f>
        <v>0</v>
      </c>
      <c r="AH5" s="66">
        <v>11246</v>
      </c>
      <c r="AI5" s="66">
        <v>4.1399999999999997</v>
      </c>
      <c r="AJ5" s="66">
        <v>8.2899999999999991</v>
      </c>
      <c r="AK5" s="62">
        <f t="shared" ref="AK5:AK65" si="25">AH5*AI5%</f>
        <v>465.58440000000002</v>
      </c>
      <c r="AL5" s="72">
        <f t="shared" ref="AL5:AL65" si="26">AH5*AJ5%</f>
        <v>932.29339999999991</v>
      </c>
      <c r="AM5" s="73">
        <f t="shared" ref="AM5:AM65" si="27">+D5+R5-AC5-AH5</f>
        <v>2.2993999999998778</v>
      </c>
      <c r="AN5" s="74">
        <f t="shared" ref="AN5:AN65" si="28">+G5+S5-AF5-AK5</f>
        <v>16.201629999999909</v>
      </c>
      <c r="AO5" s="74">
        <f t="shared" ref="AO5:AO65" si="29">+H5+T5-AG5-AL5</f>
        <v>3.5907710999998699</v>
      </c>
      <c r="AP5" s="75">
        <f t="shared" ref="AP5:AP65" si="30">(AN5+AO5)/(S5+T5)</f>
        <v>2.8383750902609455E-2</v>
      </c>
      <c r="AQ5" s="76">
        <f t="shared" ref="AQ5:AQ65" si="31">($AP$1*AN5+$AQ$1*AO5)</f>
        <v>8860.8144977166776</v>
      </c>
      <c r="AR5" s="77">
        <f t="shared" si="14"/>
        <v>2.2993999999998778</v>
      </c>
    </row>
    <row r="6" spans="1:46" x14ac:dyDescent="0.25">
      <c r="A6" t="str">
        <f t="shared" si="15"/>
        <v>46205M</v>
      </c>
      <c r="B6" s="51">
        <f>+B4+1</f>
        <v>46205</v>
      </c>
      <c r="C6" s="52" t="s">
        <v>87</v>
      </c>
      <c r="D6" s="91">
        <v>11246</v>
      </c>
      <c r="E6" s="62">
        <v>4.1399999999999997</v>
      </c>
      <c r="F6" s="62">
        <v>8.2899999999999991</v>
      </c>
      <c r="G6" s="62">
        <f t="shared" si="16"/>
        <v>465.58440000000002</v>
      </c>
      <c r="H6" s="63">
        <f t="shared" si="17"/>
        <v>932.29339999999991</v>
      </c>
      <c r="I6" s="202">
        <v>2380.1899999999991</v>
      </c>
      <c r="J6" s="203">
        <v>2451.5956999999994</v>
      </c>
      <c r="K6" s="120">
        <v>4.7271486730050949</v>
      </c>
      <c r="L6" s="121">
        <v>8.4805200425176164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2451.5956999999994</v>
      </c>
      <c r="S6" s="62">
        <f t="shared" si="19"/>
        <v>115.89057359999994</v>
      </c>
      <c r="T6" s="63">
        <f t="shared" si="20"/>
        <v>207.90806470000001</v>
      </c>
      <c r="U6" s="64" t="s">
        <v>191</v>
      </c>
      <c r="V6" s="65" t="s">
        <v>226</v>
      </c>
      <c r="W6" s="66" t="s">
        <v>187</v>
      </c>
      <c r="X6" s="67">
        <v>14830</v>
      </c>
      <c r="Y6" s="68">
        <v>4.2</v>
      </c>
      <c r="Z6" s="68">
        <v>8.3699999999999992</v>
      </c>
      <c r="AA6" s="62">
        <f t="shared" si="21"/>
        <v>622.86</v>
      </c>
      <c r="AB6" s="62">
        <f t="shared" si="22"/>
        <v>1241.271</v>
      </c>
      <c r="AC6" s="69">
        <v>14830</v>
      </c>
      <c r="AD6" s="70">
        <v>4.1500000000000004</v>
      </c>
      <c r="AE6" s="70">
        <v>8.3000000000000007</v>
      </c>
      <c r="AF6" s="62">
        <f t="shared" si="23"/>
        <v>615.44500000000005</v>
      </c>
      <c r="AG6" s="63">
        <f t="shared" si="24"/>
        <v>1230.8900000000001</v>
      </c>
      <c r="AH6" s="66">
        <v>0</v>
      </c>
      <c r="AI6" s="66">
        <v>0</v>
      </c>
      <c r="AJ6" s="66">
        <v>0</v>
      </c>
      <c r="AK6" s="62">
        <f t="shared" si="25"/>
        <v>0</v>
      </c>
      <c r="AL6" s="72">
        <f t="shared" si="26"/>
        <v>0</v>
      </c>
      <c r="AM6" s="73">
        <f t="shared" si="27"/>
        <v>-1132.4043000000001</v>
      </c>
      <c r="AN6" s="74">
        <f t="shared" si="28"/>
        <v>-33.970026400000052</v>
      </c>
      <c r="AO6" s="74">
        <f t="shared" si="29"/>
        <v>-90.68853530000024</v>
      </c>
      <c r="AP6" s="75">
        <f t="shared" si="30"/>
        <v>-0.38498791210018601</v>
      </c>
      <c r="AQ6" s="76">
        <f t="shared" si="31"/>
        <v>-43484.112254801585</v>
      </c>
      <c r="AR6" s="77">
        <f t="shared" si="14"/>
        <v>-1132.4043000000001</v>
      </c>
    </row>
    <row r="7" spans="1:46" x14ac:dyDescent="0.25">
      <c r="A7" t="str">
        <f t="shared" si="15"/>
        <v>46205E</v>
      </c>
      <c r="B7" s="51">
        <f>+B5+1</f>
        <v>46205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16"/>
        <v>0</v>
      </c>
      <c r="H7" s="63">
        <f t="shared" si="17"/>
        <v>0</v>
      </c>
      <c r="I7" s="202">
        <v>7949.1100000000006</v>
      </c>
      <c r="J7" s="203">
        <v>8187.5833000000011</v>
      </c>
      <c r="K7" s="120">
        <v>3.7566083498655827</v>
      </c>
      <c r="L7" s="121">
        <v>8.183240891118631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8187.5833000000011</v>
      </c>
      <c r="S7" s="62">
        <f t="shared" si="19"/>
        <v>307.57543790000005</v>
      </c>
      <c r="T7" s="63">
        <f t="shared" si="20"/>
        <v>670.00966460000041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1"/>
        <v>0</v>
      </c>
      <c r="AB7" s="62">
        <f t="shared" si="22"/>
        <v>0</v>
      </c>
      <c r="AC7" s="69"/>
      <c r="AD7" s="70"/>
      <c r="AE7" s="70"/>
      <c r="AF7" s="62">
        <f t="shared" si="23"/>
        <v>0</v>
      </c>
      <c r="AG7" s="63">
        <f t="shared" si="24"/>
        <v>0</v>
      </c>
      <c r="AH7" s="66">
        <v>7165</v>
      </c>
      <c r="AI7" s="66">
        <v>3.97</v>
      </c>
      <c r="AJ7" s="66">
        <v>8.1999999999999993</v>
      </c>
      <c r="AK7" s="62">
        <f t="shared" si="25"/>
        <v>284.45049999999998</v>
      </c>
      <c r="AL7" s="72">
        <f t="shared" si="26"/>
        <v>587.53</v>
      </c>
      <c r="AM7" s="73">
        <f t="shared" si="27"/>
        <v>1022.5833000000011</v>
      </c>
      <c r="AN7" s="74">
        <f t="shared" si="28"/>
        <v>23.124937900000077</v>
      </c>
      <c r="AO7" s="74">
        <f t="shared" si="29"/>
        <v>82.479664600000433</v>
      </c>
      <c r="AP7" s="75">
        <f t="shared" si="30"/>
        <v>0.10802599408474564</v>
      </c>
      <c r="AQ7" s="76">
        <f t="shared" si="31"/>
        <v>35814.210566597219</v>
      </c>
      <c r="AR7" s="77">
        <f t="shared" si="14"/>
        <v>1022.5833000000011</v>
      </c>
    </row>
    <row r="8" spans="1:46" x14ac:dyDescent="0.25">
      <c r="A8" t="str">
        <f t="shared" si="15"/>
        <v>46206M</v>
      </c>
      <c r="B8" s="51">
        <f>+B6+1</f>
        <v>46206</v>
      </c>
      <c r="C8" s="52" t="s">
        <v>87</v>
      </c>
      <c r="D8" s="91">
        <v>7165</v>
      </c>
      <c r="E8" s="62">
        <v>3.97</v>
      </c>
      <c r="F8" s="62">
        <v>8.1999999999999993</v>
      </c>
      <c r="G8" s="62">
        <f t="shared" si="16"/>
        <v>284.45049999999998</v>
      </c>
      <c r="H8" s="63">
        <f t="shared" si="17"/>
        <v>587.53</v>
      </c>
      <c r="I8" s="202">
        <v>2261.3000000000002</v>
      </c>
      <c r="J8" s="203">
        <v>2329.1390000000001</v>
      </c>
      <c r="K8" s="120">
        <v>4.7930420554548263</v>
      </c>
      <c r="L8" s="121">
        <v>8.4692897890593848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2329.1390000000001</v>
      </c>
      <c r="S8" s="62">
        <f t="shared" si="19"/>
        <v>111.6366118</v>
      </c>
      <c r="T8" s="63">
        <f t="shared" si="20"/>
        <v>197.26153149999988</v>
      </c>
      <c r="U8" s="64" t="s">
        <v>167</v>
      </c>
      <c r="V8" s="65" t="s">
        <v>180</v>
      </c>
      <c r="W8" s="66">
        <v>0</v>
      </c>
      <c r="X8" s="67">
        <v>0</v>
      </c>
      <c r="Y8" s="68">
        <v>0</v>
      </c>
      <c r="Z8" s="68">
        <v>0</v>
      </c>
      <c r="AA8" s="62">
        <f t="shared" si="21"/>
        <v>0</v>
      </c>
      <c r="AB8" s="62">
        <f t="shared" si="22"/>
        <v>0</v>
      </c>
      <c r="AC8" s="69"/>
      <c r="AD8" s="70"/>
      <c r="AE8" s="70"/>
      <c r="AF8" s="62">
        <f t="shared" si="23"/>
        <v>0</v>
      </c>
      <c r="AG8" s="63">
        <f t="shared" si="24"/>
        <v>0</v>
      </c>
      <c r="AH8" s="66">
        <v>9491</v>
      </c>
      <c r="AI8" s="66">
        <v>4.16</v>
      </c>
      <c r="AJ8" s="66">
        <v>8.26</v>
      </c>
      <c r="AK8" s="62">
        <f t="shared" si="25"/>
        <v>394.82560000000001</v>
      </c>
      <c r="AL8" s="72">
        <f t="shared" si="26"/>
        <v>783.95659999999998</v>
      </c>
      <c r="AM8" s="73">
        <f t="shared" si="27"/>
        <v>3.1389999999992142</v>
      </c>
      <c r="AN8" s="74">
        <f t="shared" si="28"/>
        <v>1.2615117999999939</v>
      </c>
      <c r="AO8" s="74">
        <f t="shared" si="29"/>
        <v>0.83493149999981142</v>
      </c>
      <c r="AP8" s="75">
        <f t="shared" si="30"/>
        <v>6.7868433186526241E-3</v>
      </c>
      <c r="AQ8" s="76">
        <f t="shared" si="31"/>
        <v>856.25202886304169</v>
      </c>
      <c r="AR8" s="77">
        <f t="shared" si="14"/>
        <v>3.1389999999992142</v>
      </c>
    </row>
    <row r="9" spans="1:46" x14ac:dyDescent="0.25">
      <c r="A9" t="str">
        <f t="shared" si="15"/>
        <v>46206E</v>
      </c>
      <c r="B9" s="51">
        <f t="shared" ref="B9:B65" si="32">+B7+1</f>
        <v>46206</v>
      </c>
      <c r="C9" s="52" t="s">
        <v>88</v>
      </c>
      <c r="D9" s="91">
        <v>9491</v>
      </c>
      <c r="E9" s="62">
        <v>4.16</v>
      </c>
      <c r="F9" s="62">
        <v>8.26</v>
      </c>
      <c r="G9" s="62">
        <f t="shared" si="16"/>
        <v>394.82560000000001</v>
      </c>
      <c r="H9" s="63">
        <f t="shared" si="17"/>
        <v>783.95659999999998</v>
      </c>
      <c r="I9" s="202">
        <v>5903.880000000001</v>
      </c>
      <c r="J9" s="203">
        <v>6080.9964000000009</v>
      </c>
      <c r="K9" s="120">
        <v>4.0466013875620765</v>
      </c>
      <c r="L9" s="121">
        <v>8.2638622397474197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6080.9964000000009</v>
      </c>
      <c r="S9" s="62">
        <f t="shared" si="19"/>
        <v>246.07368469999997</v>
      </c>
      <c r="T9" s="63">
        <f t="shared" si="20"/>
        <v>502.52516530000008</v>
      </c>
      <c r="U9" s="64" t="s">
        <v>191</v>
      </c>
      <c r="V9" s="65" t="s">
        <v>266</v>
      </c>
      <c r="W9" s="66" t="s">
        <v>187</v>
      </c>
      <c r="X9" s="67">
        <v>15480</v>
      </c>
      <c r="Y9" s="68">
        <v>4.3</v>
      </c>
      <c r="Z9" s="68">
        <v>8.52</v>
      </c>
      <c r="AA9" s="62">
        <f t="shared" si="21"/>
        <v>665.64</v>
      </c>
      <c r="AB9" s="62">
        <f t="shared" si="22"/>
        <v>1318.896</v>
      </c>
      <c r="AC9" s="69">
        <v>15480</v>
      </c>
      <c r="AD9" s="70">
        <v>4.25</v>
      </c>
      <c r="AE9" s="70">
        <v>8.4399999999999977</v>
      </c>
      <c r="AF9" s="62">
        <f t="shared" si="23"/>
        <v>657.90000000000009</v>
      </c>
      <c r="AG9" s="63">
        <f t="shared" si="24"/>
        <v>1306.5119999999997</v>
      </c>
      <c r="AH9" s="66">
        <v>89</v>
      </c>
      <c r="AI9" s="66">
        <v>4.0999999999999996</v>
      </c>
      <c r="AJ9" s="66">
        <v>8.26</v>
      </c>
      <c r="AK9" s="62">
        <f t="shared" si="25"/>
        <v>3.6489999999999996</v>
      </c>
      <c r="AL9" s="72">
        <f t="shared" si="26"/>
        <v>7.351399999999999</v>
      </c>
      <c r="AM9" s="73">
        <f t="shared" si="27"/>
        <v>2.9963999999999942</v>
      </c>
      <c r="AN9" s="74">
        <f t="shared" si="28"/>
        <v>-20.649715300000139</v>
      </c>
      <c r="AO9" s="74">
        <f t="shared" si="29"/>
        <v>-27.381634699999708</v>
      </c>
      <c r="AP9" s="75">
        <f t="shared" si="30"/>
        <v>-6.4161666825964053E-2</v>
      </c>
      <c r="AQ9" s="76">
        <f t="shared" si="31"/>
        <v>-18123.41610341832</v>
      </c>
      <c r="AR9" s="77">
        <f t="shared" si="14"/>
        <v>2.9963999999999942</v>
      </c>
    </row>
    <row r="10" spans="1:46" x14ac:dyDescent="0.25">
      <c r="A10" t="str">
        <f t="shared" si="15"/>
        <v>46207M</v>
      </c>
      <c r="B10" s="51">
        <f t="shared" si="32"/>
        <v>46207</v>
      </c>
      <c r="C10" s="52" t="s">
        <v>87</v>
      </c>
      <c r="D10" s="91">
        <v>89</v>
      </c>
      <c r="E10" s="62">
        <v>4.0999999999999996</v>
      </c>
      <c r="F10" s="62">
        <v>8.26</v>
      </c>
      <c r="G10" s="62">
        <f t="shared" si="16"/>
        <v>3.6489999999999996</v>
      </c>
      <c r="H10" s="63">
        <f t="shared" si="17"/>
        <v>7.351399999999999</v>
      </c>
      <c r="I10" s="202">
        <v>2097.12</v>
      </c>
      <c r="J10" s="203">
        <v>2160.0335999999998</v>
      </c>
      <c r="K10" s="120">
        <v>4.7691615167467791</v>
      </c>
      <c r="L10" s="121">
        <v>8.4284795338368816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8"/>
        <v>2160.0335999999998</v>
      </c>
      <c r="S10" s="62">
        <f t="shared" si="19"/>
        <v>103.01549120000004</v>
      </c>
      <c r="T10" s="63">
        <f t="shared" si="20"/>
        <v>182.0579899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21"/>
        <v>0</v>
      </c>
      <c r="AB10" s="62">
        <f t="shared" si="22"/>
        <v>0</v>
      </c>
      <c r="AC10" s="69"/>
      <c r="AD10" s="70"/>
      <c r="AE10" s="70"/>
      <c r="AF10" s="62">
        <f t="shared" si="23"/>
        <v>0</v>
      </c>
      <c r="AG10" s="63">
        <f t="shared" si="24"/>
        <v>0</v>
      </c>
      <c r="AH10" s="66">
        <v>2247</v>
      </c>
      <c r="AI10" s="66">
        <v>4.7300000000000004</v>
      </c>
      <c r="AJ10" s="66">
        <v>8.41</v>
      </c>
      <c r="AK10" s="62">
        <f t="shared" si="25"/>
        <v>106.2831</v>
      </c>
      <c r="AL10" s="72">
        <f t="shared" si="26"/>
        <v>188.97270000000003</v>
      </c>
      <c r="AM10" s="73">
        <f t="shared" si="27"/>
        <v>2.0335999999997512</v>
      </c>
      <c r="AN10" s="74">
        <f t="shared" si="28"/>
        <v>0.38139120000003857</v>
      </c>
      <c r="AO10" s="74">
        <f t="shared" si="29"/>
        <v>0.43668989999997621</v>
      </c>
      <c r="AP10" s="75">
        <f t="shared" si="30"/>
        <v>2.8697201045966205E-3</v>
      </c>
      <c r="AQ10" s="76">
        <f t="shared" si="31"/>
        <v>314.05562193368723</v>
      </c>
      <c r="AR10" s="77">
        <f>(D10+J10+O10)-(X10+AH10)</f>
        <v>2.0335999999997512</v>
      </c>
    </row>
    <row r="11" spans="1:46" x14ac:dyDescent="0.25">
      <c r="A11" t="str">
        <f t="shared" si="15"/>
        <v>46207E</v>
      </c>
      <c r="B11" s="51">
        <f t="shared" si="32"/>
        <v>46207</v>
      </c>
      <c r="C11" s="52" t="s">
        <v>88</v>
      </c>
      <c r="D11" s="91">
        <v>2247</v>
      </c>
      <c r="E11" s="62">
        <v>4.7300000000000004</v>
      </c>
      <c r="F11" s="62">
        <v>8.41</v>
      </c>
      <c r="G11" s="62">
        <f t="shared" si="16"/>
        <v>106.2831</v>
      </c>
      <c r="H11" s="63">
        <f t="shared" si="17"/>
        <v>188.97270000000003</v>
      </c>
      <c r="I11" s="202">
        <v>5791.0000000000009</v>
      </c>
      <c r="J11" s="203">
        <v>5964.7300000000014</v>
      </c>
      <c r="K11" s="120">
        <v>4.0665921257123125</v>
      </c>
      <c r="L11" s="121">
        <v>8.2478794681402174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5964.7300000000014</v>
      </c>
      <c r="S11" s="62">
        <f t="shared" si="19"/>
        <v>242.56124050000005</v>
      </c>
      <c r="T11" s="63">
        <f t="shared" si="20"/>
        <v>491.96374100000014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1"/>
        <v>0</v>
      </c>
      <c r="AB11" s="62">
        <f t="shared" si="22"/>
        <v>0</v>
      </c>
      <c r="AC11" s="69"/>
      <c r="AD11" s="70"/>
      <c r="AE11" s="70"/>
      <c r="AF11" s="62">
        <f t="shared" si="23"/>
        <v>0</v>
      </c>
      <c r="AG11" s="63">
        <f t="shared" si="24"/>
        <v>0</v>
      </c>
      <c r="AH11" s="66">
        <v>8210</v>
      </c>
      <c r="AI11" s="66">
        <v>4.24</v>
      </c>
      <c r="AJ11" s="66">
        <v>8.2799999999999994</v>
      </c>
      <c r="AK11" s="62">
        <f t="shared" si="25"/>
        <v>348.10399999999998</v>
      </c>
      <c r="AL11" s="72">
        <f t="shared" si="26"/>
        <v>679.78800000000001</v>
      </c>
      <c r="AM11" s="73">
        <f t="shared" si="27"/>
        <v>1.7300000000013824</v>
      </c>
      <c r="AN11" s="74">
        <f t="shared" si="28"/>
        <v>0.74034050000005891</v>
      </c>
      <c r="AO11" s="74">
        <f t="shared" si="29"/>
        <v>1.1484410000001617</v>
      </c>
      <c r="AP11" s="75">
        <f t="shared" si="30"/>
        <v>2.5714326232214339E-3</v>
      </c>
      <c r="AQ11" s="76">
        <f t="shared" si="31"/>
        <v>699.7055611784283</v>
      </c>
      <c r="AR11" s="77">
        <f t="shared" ref="AR11:AR65" si="33">(D11+J11+O11)-(X11+AH11)</f>
        <v>1.7300000000013824</v>
      </c>
    </row>
    <row r="12" spans="1:46" x14ac:dyDescent="0.25">
      <c r="A12" t="str">
        <f t="shared" si="15"/>
        <v>46208M</v>
      </c>
      <c r="B12" s="51">
        <f t="shared" si="32"/>
        <v>46208</v>
      </c>
      <c r="C12" s="52" t="s">
        <v>87</v>
      </c>
      <c r="D12" s="91">
        <v>8210</v>
      </c>
      <c r="E12" s="62">
        <v>4.24</v>
      </c>
      <c r="F12" s="62">
        <v>8.2799999999999994</v>
      </c>
      <c r="G12" s="62">
        <f t="shared" si="16"/>
        <v>348.10399999999998</v>
      </c>
      <c r="H12" s="63">
        <f t="shared" si="17"/>
        <v>679.78800000000001</v>
      </c>
      <c r="I12" s="202">
        <v>2264.9000000000005</v>
      </c>
      <c r="J12" s="203">
        <v>2332.8470000000007</v>
      </c>
      <c r="K12" s="120">
        <v>4.7927193253565292</v>
      </c>
      <c r="L12" s="121">
        <v>8.3969159786304015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2332.8470000000007</v>
      </c>
      <c r="S12" s="62">
        <f t="shared" si="19"/>
        <v>111.80680900000007</v>
      </c>
      <c r="T12" s="63">
        <f t="shared" si="20"/>
        <v>195.8872025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34">X12*Y12%</f>
        <v>0</v>
      </c>
      <c r="AB12" s="62">
        <f t="shared" ref="AB12:AB65" si="35">X12*Z12%</f>
        <v>0</v>
      </c>
      <c r="AC12" s="69"/>
      <c r="AD12" s="70"/>
      <c r="AE12" s="70"/>
      <c r="AF12" s="62">
        <f t="shared" si="23"/>
        <v>0</v>
      </c>
      <c r="AG12" s="63">
        <f t="shared" si="24"/>
        <v>0</v>
      </c>
      <c r="AH12" s="66">
        <v>10541</v>
      </c>
      <c r="AI12" s="66">
        <v>4.3499999999999996</v>
      </c>
      <c r="AJ12" s="66">
        <v>8.3000000000000007</v>
      </c>
      <c r="AK12" s="62">
        <f t="shared" si="25"/>
        <v>458.53349999999995</v>
      </c>
      <c r="AL12" s="72">
        <f t="shared" si="26"/>
        <v>874.90300000000002</v>
      </c>
      <c r="AM12" s="73">
        <f t="shared" si="27"/>
        <v>1.8470000000015716</v>
      </c>
      <c r="AN12" s="74">
        <f t="shared" si="28"/>
        <v>1.3773090000001389</v>
      </c>
      <c r="AO12" s="74">
        <f t="shared" si="29"/>
        <v>0.77220250000004853</v>
      </c>
      <c r="AP12" s="75">
        <f t="shared" si="30"/>
        <v>6.9858736915982735E-3</v>
      </c>
      <c r="AQ12" s="76">
        <f t="shared" si="31"/>
        <v>893.10957519375734</v>
      </c>
      <c r="AR12" s="77">
        <f t="shared" si="33"/>
        <v>1.8470000000015716</v>
      </c>
    </row>
    <row r="13" spans="1:46" x14ac:dyDescent="0.25">
      <c r="A13" t="str">
        <f t="shared" si="15"/>
        <v>46208E</v>
      </c>
      <c r="B13" s="51">
        <f t="shared" si="32"/>
        <v>46208</v>
      </c>
      <c r="C13" s="52" t="s">
        <v>88</v>
      </c>
      <c r="D13" s="91">
        <v>10541</v>
      </c>
      <c r="E13" s="62">
        <v>4.3499999999999996</v>
      </c>
      <c r="F13" s="62">
        <v>8.3000000000000007</v>
      </c>
      <c r="G13" s="62">
        <f t="shared" si="16"/>
        <v>458.53349999999995</v>
      </c>
      <c r="H13" s="63">
        <f t="shared" si="17"/>
        <v>874.90300000000002</v>
      </c>
      <c r="I13" s="202">
        <v>4333.6000000000004</v>
      </c>
      <c r="J13" s="203">
        <v>4463.6080000000002</v>
      </c>
      <c r="K13" s="120">
        <v>4.1036586210079387</v>
      </c>
      <c r="L13" s="121">
        <v>8.1935446280228916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4463.6080000000002</v>
      </c>
      <c r="S13" s="62">
        <f t="shared" si="19"/>
        <v>183.17123450000003</v>
      </c>
      <c r="T13" s="63">
        <f t="shared" si="20"/>
        <v>365.72771350000005</v>
      </c>
      <c r="U13" s="64" t="s">
        <v>191</v>
      </c>
      <c r="V13" s="65" t="s">
        <v>320</v>
      </c>
      <c r="W13" s="66" t="s">
        <v>187</v>
      </c>
      <c r="X13" s="67">
        <v>12450</v>
      </c>
      <c r="Y13" s="68">
        <v>4.25</v>
      </c>
      <c r="Z13" s="68">
        <v>8.3800000000000008</v>
      </c>
      <c r="AA13" s="62">
        <f t="shared" si="34"/>
        <v>529.125</v>
      </c>
      <c r="AB13" s="62">
        <f t="shared" si="35"/>
        <v>1043.3100000000002</v>
      </c>
      <c r="AC13" s="69">
        <v>12400</v>
      </c>
      <c r="AD13" s="70">
        <v>4.1744354838709672</v>
      </c>
      <c r="AE13" s="70">
        <v>8.1273306451612886</v>
      </c>
      <c r="AF13" s="62">
        <f t="shared" si="23"/>
        <v>517.62999999999988</v>
      </c>
      <c r="AG13" s="63">
        <f t="shared" si="24"/>
        <v>1007.7889999999999</v>
      </c>
      <c r="AH13" s="66">
        <v>2553</v>
      </c>
      <c r="AI13" s="66">
        <v>4.2699999999999996</v>
      </c>
      <c r="AJ13" s="66">
        <v>8.26</v>
      </c>
      <c r="AK13" s="62">
        <f t="shared" si="25"/>
        <v>109.01309999999998</v>
      </c>
      <c r="AL13" s="72">
        <f t="shared" si="26"/>
        <v>210.87779999999998</v>
      </c>
      <c r="AM13" s="73">
        <f t="shared" si="27"/>
        <v>51.608000000000175</v>
      </c>
      <c r="AN13" s="74">
        <f t="shared" si="28"/>
        <v>15.06163450000011</v>
      </c>
      <c r="AO13" s="74">
        <f t="shared" si="29"/>
        <v>21.963913500000331</v>
      </c>
      <c r="AP13" s="75">
        <f t="shared" si="30"/>
        <v>6.7454215634606102E-2</v>
      </c>
      <c r="AQ13" s="76">
        <f t="shared" si="31"/>
        <v>13815.602138885039</v>
      </c>
      <c r="AR13" s="77">
        <f t="shared" si="33"/>
        <v>1.6080000000001746</v>
      </c>
    </row>
    <row r="14" spans="1:46" x14ac:dyDescent="0.25">
      <c r="A14" t="str">
        <f t="shared" si="15"/>
        <v>46209M</v>
      </c>
      <c r="B14" s="51">
        <f t="shared" si="32"/>
        <v>46209</v>
      </c>
      <c r="C14" s="52" t="s">
        <v>87</v>
      </c>
      <c r="D14" s="91">
        <v>2553</v>
      </c>
      <c r="E14" s="62">
        <v>4.2699999999999996</v>
      </c>
      <c r="F14" s="62">
        <v>8.26</v>
      </c>
      <c r="G14" s="62">
        <f t="shared" si="16"/>
        <v>109.01309999999998</v>
      </c>
      <c r="H14" s="63">
        <f t="shared" si="17"/>
        <v>210.87779999999998</v>
      </c>
      <c r="I14" s="202">
        <v>2116.9500000000003</v>
      </c>
      <c r="J14" s="203">
        <v>2180.4585000000002</v>
      </c>
      <c r="K14" s="120">
        <v>4.8258083563617475</v>
      </c>
      <c r="L14" s="121">
        <v>8.4142020359479446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2180.4585000000002</v>
      </c>
      <c r="S14" s="62">
        <f t="shared" si="19"/>
        <v>105.22474850000002</v>
      </c>
      <c r="T14" s="63">
        <f t="shared" si="20"/>
        <v>183.46818350000004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34"/>
        <v>0</v>
      </c>
      <c r="AB14" s="62">
        <f t="shared" si="35"/>
        <v>0</v>
      </c>
      <c r="AC14" s="69"/>
      <c r="AD14" s="70"/>
      <c r="AE14" s="70"/>
      <c r="AF14" s="62">
        <f t="shared" si="23"/>
        <v>0</v>
      </c>
      <c r="AG14" s="63">
        <f t="shared" si="24"/>
        <v>0</v>
      </c>
      <c r="AH14" s="66">
        <v>4733</v>
      </c>
      <c r="AI14" s="66">
        <v>4.5</v>
      </c>
      <c r="AJ14" s="66">
        <v>8.2899999999999991</v>
      </c>
      <c r="AK14" s="62">
        <f t="shared" si="25"/>
        <v>212.98499999999999</v>
      </c>
      <c r="AL14" s="72">
        <f t="shared" si="26"/>
        <v>392.36569999999995</v>
      </c>
      <c r="AM14" s="73">
        <f t="shared" si="27"/>
        <v>0.45850000000064028</v>
      </c>
      <c r="AN14" s="74">
        <f t="shared" si="28"/>
        <v>1.2528484999999989</v>
      </c>
      <c r="AO14" s="74">
        <f t="shared" si="29"/>
        <v>1.9802835000000414</v>
      </c>
      <c r="AP14" s="75">
        <f t="shared" si="30"/>
        <v>1.1199207329398836E-2</v>
      </c>
      <c r="AQ14" s="76">
        <f t="shared" si="31"/>
        <v>1195.1117587448366</v>
      </c>
      <c r="AR14" s="77">
        <f t="shared" si="33"/>
        <v>0.45850000000064028</v>
      </c>
    </row>
    <row r="15" spans="1:46" x14ac:dyDescent="0.25">
      <c r="A15" t="str">
        <f t="shared" si="15"/>
        <v>46209E</v>
      </c>
      <c r="B15" s="51">
        <f t="shared" si="32"/>
        <v>46209</v>
      </c>
      <c r="C15" s="52" t="s">
        <v>88</v>
      </c>
      <c r="D15" s="91">
        <v>4733</v>
      </c>
      <c r="E15" s="62">
        <v>4.5</v>
      </c>
      <c r="F15" s="62">
        <v>8.2899999999999991</v>
      </c>
      <c r="G15" s="62">
        <f t="shared" si="16"/>
        <v>212.98499999999999</v>
      </c>
      <c r="H15" s="63">
        <f t="shared" si="17"/>
        <v>392.36569999999995</v>
      </c>
      <c r="I15" s="202">
        <v>3800.1500000000005</v>
      </c>
      <c r="J15" s="203">
        <v>3914.1545000000006</v>
      </c>
      <c r="K15" s="120">
        <v>4.1061010749575688</v>
      </c>
      <c r="L15" s="121">
        <v>8.2117376945646878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3914.1545000000006</v>
      </c>
      <c r="S15" s="62">
        <f t="shared" si="19"/>
        <v>160.71914000000007</v>
      </c>
      <c r="T15" s="63">
        <f t="shared" si="20"/>
        <v>321.42010049999999</v>
      </c>
      <c r="U15" s="64" t="s">
        <v>191</v>
      </c>
      <c r="V15" s="65" t="s">
        <v>321</v>
      </c>
      <c r="W15" s="66" t="s">
        <v>187</v>
      </c>
      <c r="X15" s="67">
        <v>8680</v>
      </c>
      <c r="Y15" s="68">
        <v>4.1500000000000004</v>
      </c>
      <c r="Z15" s="68">
        <v>8.24</v>
      </c>
      <c r="AA15" s="62">
        <f t="shared" si="34"/>
        <v>360.22</v>
      </c>
      <c r="AB15" s="62">
        <f t="shared" si="35"/>
        <v>715.23199999999997</v>
      </c>
      <c r="AC15" s="69">
        <v>8660</v>
      </c>
      <c r="AD15" s="70">
        <v>4.3068129330254052</v>
      </c>
      <c r="AE15" s="70">
        <v>8.3346535796766741</v>
      </c>
      <c r="AF15" s="62">
        <f t="shared" si="23"/>
        <v>372.97000000000008</v>
      </c>
      <c r="AG15" s="63">
        <f t="shared" si="24"/>
        <v>721.78099999999995</v>
      </c>
      <c r="AH15" s="66">
        <v>0</v>
      </c>
      <c r="AI15" s="66">
        <v>0</v>
      </c>
      <c r="AJ15" s="66">
        <v>0</v>
      </c>
      <c r="AK15" s="62">
        <f t="shared" si="25"/>
        <v>0</v>
      </c>
      <c r="AL15" s="72">
        <f t="shared" si="26"/>
        <v>0</v>
      </c>
      <c r="AM15" s="73">
        <f t="shared" si="27"/>
        <v>-12.845499999999447</v>
      </c>
      <c r="AN15" s="74">
        <f t="shared" si="28"/>
        <v>0.73413999999996804</v>
      </c>
      <c r="AO15" s="74">
        <f t="shared" si="29"/>
        <v>-7.9951995000000124</v>
      </c>
      <c r="AP15" s="75">
        <f t="shared" si="30"/>
        <v>-1.5060088227770052E-2</v>
      </c>
      <c r="AQ15" s="76">
        <f t="shared" si="31"/>
        <v>-2041.7129092652626</v>
      </c>
      <c r="AR15" s="77">
        <f t="shared" si="33"/>
        <v>-32.845499999999447</v>
      </c>
    </row>
    <row r="16" spans="1:46" x14ac:dyDescent="0.25">
      <c r="A16" t="str">
        <f t="shared" si="15"/>
        <v>46210M</v>
      </c>
      <c r="B16" s="51">
        <f t="shared" si="32"/>
        <v>46210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si="16"/>
        <v>0</v>
      </c>
      <c r="H16" s="63">
        <f t="shared" si="17"/>
        <v>0</v>
      </c>
      <c r="I16" s="202">
        <v>2711.25</v>
      </c>
      <c r="J16" s="203">
        <v>2792.5875000000001</v>
      </c>
      <c r="K16" s="120">
        <v>4.6538386353158137</v>
      </c>
      <c r="L16" s="121">
        <v>8.3686030428769023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2792.5875000000001</v>
      </c>
      <c r="S16" s="62">
        <f t="shared" si="19"/>
        <v>129.96251599999999</v>
      </c>
      <c r="T16" s="63">
        <f t="shared" si="20"/>
        <v>233.70056250000005</v>
      </c>
      <c r="U16" s="64" t="s">
        <v>180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34"/>
        <v>0</v>
      </c>
      <c r="AB16" s="62">
        <f t="shared" si="35"/>
        <v>0</v>
      </c>
      <c r="AC16" s="69"/>
      <c r="AD16" s="70"/>
      <c r="AE16" s="70"/>
      <c r="AF16" s="62">
        <f t="shared" si="23"/>
        <v>0</v>
      </c>
      <c r="AG16" s="63">
        <f t="shared" si="24"/>
        <v>0</v>
      </c>
      <c r="AH16" s="66">
        <v>2791</v>
      </c>
      <c r="AI16" s="66">
        <v>4.6399999999999997</v>
      </c>
      <c r="AJ16" s="66">
        <v>8.36</v>
      </c>
      <c r="AK16" s="62">
        <f t="shared" si="25"/>
        <v>129.50239999999999</v>
      </c>
      <c r="AL16" s="72">
        <f t="shared" si="26"/>
        <v>233.32759999999999</v>
      </c>
      <c r="AM16" s="73">
        <f t="shared" si="27"/>
        <v>1.5875000000000909</v>
      </c>
      <c r="AN16" s="74">
        <f t="shared" si="28"/>
        <v>0.4601159999999993</v>
      </c>
      <c r="AO16" s="74">
        <f t="shared" si="29"/>
        <v>0.37296250000005671</v>
      </c>
      <c r="AP16" s="75">
        <f t="shared" si="30"/>
        <v>2.2907975795515242E-3</v>
      </c>
      <c r="AQ16" s="76">
        <f t="shared" si="31"/>
        <v>332.79966157842432</v>
      </c>
      <c r="AR16" s="77">
        <f t="shared" si="33"/>
        <v>1.5875000000000909</v>
      </c>
    </row>
    <row r="17" spans="1:48" x14ac:dyDescent="0.25">
      <c r="A17" t="str">
        <f t="shared" si="15"/>
        <v>46210E</v>
      </c>
      <c r="B17" s="51">
        <f t="shared" si="32"/>
        <v>46210</v>
      </c>
      <c r="C17" s="52" t="s">
        <v>88</v>
      </c>
      <c r="D17" s="91">
        <v>2791</v>
      </c>
      <c r="E17" s="62">
        <v>4.6399999999999997</v>
      </c>
      <c r="F17" s="62">
        <v>8.36</v>
      </c>
      <c r="G17" s="62">
        <f t="shared" si="16"/>
        <v>129.50239999999999</v>
      </c>
      <c r="H17" s="63">
        <f t="shared" si="17"/>
        <v>233.32759999999999</v>
      </c>
      <c r="I17" s="202">
        <v>3279.4500000000012</v>
      </c>
      <c r="J17" s="203">
        <v>3377.8335000000011</v>
      </c>
      <c r="K17" s="120">
        <v>4.2766698684230597</v>
      </c>
      <c r="L17" s="121">
        <v>8.3662763573160195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3377.8335000000011</v>
      </c>
      <c r="S17" s="62">
        <f t="shared" si="19"/>
        <v>144.45878750000008</v>
      </c>
      <c r="T17" s="63">
        <f t="shared" si="20"/>
        <v>282.59888550000034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34"/>
        <v>0</v>
      </c>
      <c r="AB17" s="62">
        <f t="shared" si="35"/>
        <v>0</v>
      </c>
      <c r="AC17" s="69"/>
      <c r="AD17" s="70"/>
      <c r="AE17" s="70"/>
      <c r="AF17" s="62">
        <f t="shared" si="23"/>
        <v>0</v>
      </c>
      <c r="AG17" s="63">
        <f t="shared" si="24"/>
        <v>0</v>
      </c>
      <c r="AH17" s="66">
        <v>6167</v>
      </c>
      <c r="AI17" s="66">
        <v>4.43</v>
      </c>
      <c r="AJ17" s="66">
        <v>8.36</v>
      </c>
      <c r="AK17" s="62">
        <f t="shared" si="25"/>
        <v>273.19810000000001</v>
      </c>
      <c r="AL17" s="72">
        <f t="shared" si="26"/>
        <v>515.56119999999999</v>
      </c>
      <c r="AM17" s="73">
        <f t="shared" si="27"/>
        <v>1.8335000000006403</v>
      </c>
      <c r="AN17" s="74">
        <f t="shared" si="28"/>
        <v>0.76308750000004011</v>
      </c>
      <c r="AO17" s="74">
        <f t="shared" si="29"/>
        <v>0.3652855000003683</v>
      </c>
      <c r="AP17" s="75">
        <f t="shared" si="30"/>
        <v>2.6422028483267818E-3</v>
      </c>
      <c r="AQ17" s="76">
        <f t="shared" si="31"/>
        <v>476.0881348125119</v>
      </c>
      <c r="AR17" s="77">
        <f t="shared" si="33"/>
        <v>1.8335000000006403</v>
      </c>
    </row>
    <row r="18" spans="1:48" x14ac:dyDescent="0.25">
      <c r="A18" t="str">
        <f t="shared" si="15"/>
        <v>46211M</v>
      </c>
      <c r="B18" s="51">
        <f t="shared" si="32"/>
        <v>46211</v>
      </c>
      <c r="C18" s="52" t="s">
        <v>87</v>
      </c>
      <c r="D18" s="91">
        <v>6167</v>
      </c>
      <c r="E18" s="62">
        <v>4.43</v>
      </c>
      <c r="F18" s="62">
        <v>8.36</v>
      </c>
      <c r="G18" s="62">
        <f t="shared" si="16"/>
        <v>273.19810000000001</v>
      </c>
      <c r="H18" s="63">
        <f t="shared" si="17"/>
        <v>515.56119999999999</v>
      </c>
      <c r="I18" s="202">
        <v>3789.9500000000003</v>
      </c>
      <c r="J18" s="203">
        <v>3903.6485000000002</v>
      </c>
      <c r="K18" s="120">
        <v>4.4565957334529473</v>
      </c>
      <c r="L18" s="121">
        <v>8.3736394939247223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3903.6485000000002</v>
      </c>
      <c r="S18" s="62">
        <f t="shared" si="19"/>
        <v>173.9698325</v>
      </c>
      <c r="T18" s="63">
        <f t="shared" si="20"/>
        <v>326.87745250000006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34"/>
        <v>0</v>
      </c>
      <c r="AB18" s="62">
        <f t="shared" si="35"/>
        <v>0</v>
      </c>
      <c r="AC18" s="69"/>
      <c r="AD18" s="70"/>
      <c r="AE18" s="70"/>
      <c r="AF18" s="62">
        <f t="shared" si="23"/>
        <v>0</v>
      </c>
      <c r="AG18" s="63">
        <f t="shared" si="24"/>
        <v>0</v>
      </c>
      <c r="AH18" s="66">
        <v>10069</v>
      </c>
      <c r="AI18" s="66">
        <v>4.4400000000000004</v>
      </c>
      <c r="AJ18" s="66">
        <v>8.36</v>
      </c>
      <c r="AK18" s="62">
        <f t="shared" si="25"/>
        <v>447.06360000000001</v>
      </c>
      <c r="AL18" s="72">
        <f t="shared" si="26"/>
        <v>841.76839999999993</v>
      </c>
      <c r="AM18" s="73">
        <f t="shared" si="27"/>
        <v>1.6484999999993306</v>
      </c>
      <c r="AN18" s="74">
        <f t="shared" si="28"/>
        <v>0.10433249999999816</v>
      </c>
      <c r="AO18" s="74">
        <f t="shared" si="29"/>
        <v>0.67025250000006054</v>
      </c>
      <c r="AP18" s="75">
        <f t="shared" si="30"/>
        <v>1.5465492640137973E-3</v>
      </c>
      <c r="AQ18" s="76">
        <f t="shared" si="31"/>
        <v>250.86981871968857</v>
      </c>
      <c r="AR18" s="77">
        <f t="shared" si="33"/>
        <v>1.6484999999993306</v>
      </c>
    </row>
    <row r="19" spans="1:48" x14ac:dyDescent="0.25">
      <c r="A19" t="str">
        <f t="shared" si="15"/>
        <v>46211E</v>
      </c>
      <c r="B19" s="51">
        <f t="shared" si="32"/>
        <v>46211</v>
      </c>
      <c r="C19" s="52" t="s">
        <v>88</v>
      </c>
      <c r="D19" s="91">
        <v>10069</v>
      </c>
      <c r="E19" s="62">
        <v>4.4400000000000004</v>
      </c>
      <c r="F19" s="62">
        <v>8.36</v>
      </c>
      <c r="G19" s="62">
        <f t="shared" si="16"/>
        <v>447.06360000000001</v>
      </c>
      <c r="H19" s="63">
        <f t="shared" si="17"/>
        <v>841.76839999999993</v>
      </c>
      <c r="I19" s="202">
        <v>7907.9000000000005</v>
      </c>
      <c r="J19" s="203">
        <v>8145.1370000000006</v>
      </c>
      <c r="K19" s="120">
        <v>4.0414054300130244</v>
      </c>
      <c r="L19" s="121">
        <v>8.316795862365483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8145.1370000000006</v>
      </c>
      <c r="S19" s="62">
        <f t="shared" si="19"/>
        <v>329.17800899999997</v>
      </c>
      <c r="T19" s="63">
        <f t="shared" si="20"/>
        <v>677.41441700000018</v>
      </c>
      <c r="U19" s="64" t="s">
        <v>191</v>
      </c>
      <c r="V19" s="65" t="s">
        <v>365</v>
      </c>
      <c r="W19" s="66" t="s">
        <v>187</v>
      </c>
      <c r="X19" s="67">
        <v>15380</v>
      </c>
      <c r="Y19" s="68">
        <v>4.3499999999999996</v>
      </c>
      <c r="Z19" s="68">
        <v>8.4</v>
      </c>
      <c r="AA19" s="62">
        <f t="shared" si="34"/>
        <v>669.03</v>
      </c>
      <c r="AB19" s="62">
        <f t="shared" si="35"/>
        <v>1291.92</v>
      </c>
      <c r="AC19" s="69">
        <v>15380</v>
      </c>
      <c r="AD19" s="70">
        <v>4.2999999999999989</v>
      </c>
      <c r="AE19" s="70">
        <v>8.27</v>
      </c>
      <c r="AF19" s="62">
        <f t="shared" si="23"/>
        <v>661.3399999999998</v>
      </c>
      <c r="AG19" s="63">
        <f t="shared" si="24"/>
        <v>1271.9259999999999</v>
      </c>
      <c r="AH19" s="66">
        <v>2832</v>
      </c>
      <c r="AI19" s="66">
        <v>4.25</v>
      </c>
      <c r="AJ19" s="66">
        <v>8.33</v>
      </c>
      <c r="AK19" s="62">
        <f t="shared" si="25"/>
        <v>120.36000000000001</v>
      </c>
      <c r="AL19" s="72">
        <f t="shared" si="26"/>
        <v>235.90559999999999</v>
      </c>
      <c r="AM19" s="73">
        <f t="shared" si="27"/>
        <v>2.1370000000024447</v>
      </c>
      <c r="AN19" s="74">
        <f t="shared" si="28"/>
        <v>-5.4583909999998923</v>
      </c>
      <c r="AO19" s="74">
        <f t="shared" si="29"/>
        <v>11.35121700000019</v>
      </c>
      <c r="AP19" s="75">
        <f t="shared" si="30"/>
        <v>5.8542324060764364E-3</v>
      </c>
      <c r="AQ19" s="76">
        <f t="shared" si="31"/>
        <v>776.65391054859901</v>
      </c>
      <c r="AR19" s="77">
        <f t="shared" si="33"/>
        <v>2.1370000000024447</v>
      </c>
    </row>
    <row r="20" spans="1:48" x14ac:dyDescent="0.25">
      <c r="A20" t="str">
        <f t="shared" si="15"/>
        <v>46212M</v>
      </c>
      <c r="B20" s="51">
        <f t="shared" si="32"/>
        <v>46212</v>
      </c>
      <c r="C20" s="52" t="s">
        <v>87</v>
      </c>
      <c r="D20" s="91">
        <v>2832</v>
      </c>
      <c r="E20" s="62">
        <v>4.25</v>
      </c>
      <c r="F20" s="62">
        <v>8.33</v>
      </c>
      <c r="G20" s="62">
        <f t="shared" si="16"/>
        <v>120.36000000000001</v>
      </c>
      <c r="H20" s="63">
        <f t="shared" si="17"/>
        <v>235.90559999999999</v>
      </c>
      <c r="I20" s="202">
        <v>4471.8999999999996</v>
      </c>
      <c r="J20" s="203">
        <v>4606.0569999999998</v>
      </c>
      <c r="K20" s="120">
        <v>4.4377345200026852</v>
      </c>
      <c r="L20" s="121">
        <v>8.33984883382902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4606.0569999999998</v>
      </c>
      <c r="S20" s="62">
        <f t="shared" si="19"/>
        <v>204.40458150000009</v>
      </c>
      <c r="T20" s="63">
        <f t="shared" si="20"/>
        <v>384.13819099999989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34"/>
        <v>0</v>
      </c>
      <c r="AB20" s="62">
        <f t="shared" si="35"/>
        <v>0</v>
      </c>
      <c r="AC20" s="69"/>
      <c r="AD20" s="70"/>
      <c r="AE20" s="70"/>
      <c r="AF20" s="62">
        <f t="shared" si="23"/>
        <v>0</v>
      </c>
      <c r="AG20" s="63">
        <f t="shared" si="24"/>
        <v>0</v>
      </c>
      <c r="AH20" s="66">
        <v>7436</v>
      </c>
      <c r="AI20" s="66">
        <v>4.3600000000000003</v>
      </c>
      <c r="AJ20" s="66">
        <v>8.33</v>
      </c>
      <c r="AK20" s="62">
        <f t="shared" si="25"/>
        <v>324.20960000000002</v>
      </c>
      <c r="AL20" s="72">
        <f t="shared" si="26"/>
        <v>619.41880000000003</v>
      </c>
      <c r="AM20" s="73">
        <f t="shared" si="27"/>
        <v>2.056999999999789</v>
      </c>
      <c r="AN20" s="74">
        <f t="shared" si="28"/>
        <v>0.55498150000005353</v>
      </c>
      <c r="AO20" s="74">
        <f t="shared" si="29"/>
        <v>0.62499099999979535</v>
      </c>
      <c r="AP20" s="75">
        <f t="shared" si="30"/>
        <v>2.004905259455631E-3</v>
      </c>
      <c r="AQ20" s="76">
        <f t="shared" si="31"/>
        <v>453.86591392480989</v>
      </c>
      <c r="AR20" s="77">
        <f t="shared" si="33"/>
        <v>2.056999999999789</v>
      </c>
    </row>
    <row r="21" spans="1:48" x14ac:dyDescent="0.25">
      <c r="A21" t="str">
        <f t="shared" si="15"/>
        <v>46212E</v>
      </c>
      <c r="B21" s="51">
        <f t="shared" si="32"/>
        <v>46212</v>
      </c>
      <c r="C21" s="52" t="s">
        <v>88</v>
      </c>
      <c r="D21" s="91">
        <v>7436</v>
      </c>
      <c r="E21" s="62">
        <v>4.3600000000000003</v>
      </c>
      <c r="F21" s="62">
        <v>8.33</v>
      </c>
      <c r="G21" s="62">
        <f t="shared" si="16"/>
        <v>324.20960000000002</v>
      </c>
      <c r="H21" s="63">
        <f t="shared" si="17"/>
        <v>619.41880000000003</v>
      </c>
      <c r="I21" s="202">
        <v>6716.2</v>
      </c>
      <c r="J21" s="203">
        <v>6917.6859999999997</v>
      </c>
      <c r="K21" s="120">
        <v>4.2179573270599446</v>
      </c>
      <c r="L21" s="121">
        <v>8.2467079598582522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6917.6859999999997</v>
      </c>
      <c r="S21" s="62">
        <f t="shared" si="19"/>
        <v>291.78504349999997</v>
      </c>
      <c r="T21" s="63">
        <f t="shared" si="20"/>
        <v>570.48136199999988</v>
      </c>
      <c r="U21" s="64" t="s">
        <v>191</v>
      </c>
      <c r="V21" s="65" t="s">
        <v>391</v>
      </c>
      <c r="W21" s="66" t="s">
        <v>187</v>
      </c>
      <c r="X21" s="67">
        <v>9780</v>
      </c>
      <c r="Y21" s="68">
        <v>4</v>
      </c>
      <c r="Z21" s="68">
        <v>8.27</v>
      </c>
      <c r="AA21" s="62">
        <f t="shared" si="34"/>
        <v>391.2</v>
      </c>
      <c r="AB21" s="62">
        <f t="shared" si="35"/>
        <v>808.80599999999993</v>
      </c>
      <c r="AC21" s="69">
        <v>9730</v>
      </c>
      <c r="AD21" s="70">
        <v>4.0378725590955806</v>
      </c>
      <c r="AE21" s="70">
        <v>8.268879753340185</v>
      </c>
      <c r="AF21" s="62">
        <f t="shared" si="23"/>
        <v>392.88500000000005</v>
      </c>
      <c r="AG21" s="63">
        <f t="shared" si="24"/>
        <v>804.5619999999999</v>
      </c>
      <c r="AH21" s="66">
        <v>4573</v>
      </c>
      <c r="AI21" s="66">
        <v>4.28</v>
      </c>
      <c r="AJ21" s="66">
        <v>8.26</v>
      </c>
      <c r="AK21" s="62">
        <f t="shared" si="25"/>
        <v>195.72440000000003</v>
      </c>
      <c r="AL21" s="72">
        <f t="shared" si="26"/>
        <v>377.72979999999995</v>
      </c>
      <c r="AM21" s="73">
        <f t="shared" si="27"/>
        <v>50.685999999999694</v>
      </c>
      <c r="AN21" s="74">
        <f t="shared" si="28"/>
        <v>27.385243499999859</v>
      </c>
      <c r="AO21" s="74">
        <f t="shared" si="29"/>
        <v>7.6083620000000565</v>
      </c>
      <c r="AP21" s="75">
        <f t="shared" si="30"/>
        <v>4.0583287574225135E-2</v>
      </c>
      <c r="AQ21" s="76">
        <f t="shared" si="31"/>
        <v>15438.137479014582</v>
      </c>
      <c r="AR21" s="77">
        <f t="shared" si="33"/>
        <v>0.68599999999969441</v>
      </c>
    </row>
    <row r="22" spans="1:48" x14ac:dyDescent="0.25">
      <c r="A22" t="str">
        <f t="shared" si="15"/>
        <v>46213M</v>
      </c>
      <c r="B22" s="51">
        <f t="shared" si="32"/>
        <v>46213</v>
      </c>
      <c r="C22" s="52" t="s">
        <v>87</v>
      </c>
      <c r="D22" s="91">
        <v>4573</v>
      </c>
      <c r="E22" s="62">
        <v>4.28</v>
      </c>
      <c r="F22" s="62">
        <v>8.26</v>
      </c>
      <c r="G22" s="62">
        <f t="shared" si="16"/>
        <v>195.72440000000003</v>
      </c>
      <c r="H22" s="63">
        <f t="shared" si="17"/>
        <v>377.72979999999995</v>
      </c>
      <c r="I22" s="202">
        <v>2292.3500000000004</v>
      </c>
      <c r="J22" s="203">
        <v>2361.1205000000004</v>
      </c>
      <c r="K22" s="120">
        <v>4.1869457107335268</v>
      </c>
      <c r="L22" s="121">
        <v>8.4029663882042449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2361.1205000000004</v>
      </c>
      <c r="S22" s="62">
        <f t="shared" si="19"/>
        <v>98.858833500000031</v>
      </c>
      <c r="T22" s="63">
        <f t="shared" si="20"/>
        <v>198.40416200000004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34"/>
        <v>0</v>
      </c>
      <c r="AB22" s="62">
        <f t="shared" si="35"/>
        <v>0</v>
      </c>
      <c r="AC22" s="69"/>
      <c r="AD22" s="70"/>
      <c r="AE22" s="70"/>
      <c r="AF22" s="62">
        <f t="shared" si="23"/>
        <v>0</v>
      </c>
      <c r="AG22" s="63">
        <f t="shared" si="24"/>
        <v>0</v>
      </c>
      <c r="AH22" s="66">
        <v>6932</v>
      </c>
      <c r="AI22" s="66">
        <v>4.24</v>
      </c>
      <c r="AJ22" s="66">
        <v>8.3000000000000007</v>
      </c>
      <c r="AK22" s="62">
        <f t="shared" si="25"/>
        <v>293.91680000000002</v>
      </c>
      <c r="AL22" s="72">
        <f t="shared" si="26"/>
        <v>575.35599999999999</v>
      </c>
      <c r="AM22" s="73">
        <f t="shared" si="27"/>
        <v>2.1205000000009022</v>
      </c>
      <c r="AN22" s="74">
        <f t="shared" si="28"/>
        <v>0.6664335000000392</v>
      </c>
      <c r="AO22" s="74">
        <f t="shared" si="29"/>
        <v>0.77796200000000226</v>
      </c>
      <c r="AP22" s="75">
        <f t="shared" si="30"/>
        <v>4.8589818506354953E-3</v>
      </c>
      <c r="AQ22" s="76">
        <f t="shared" si="31"/>
        <v>553.23567996307941</v>
      </c>
      <c r="AR22" s="77">
        <f t="shared" si="33"/>
        <v>2.1205000000009022</v>
      </c>
      <c r="AT22" s="83"/>
      <c r="AU22" s="83"/>
    </row>
    <row r="23" spans="1:48" x14ac:dyDescent="0.25">
      <c r="A23" t="str">
        <f t="shared" si="15"/>
        <v>46213E</v>
      </c>
      <c r="B23" s="51">
        <f t="shared" si="32"/>
        <v>46213</v>
      </c>
      <c r="C23" s="52" t="s">
        <v>88</v>
      </c>
      <c r="D23" s="91">
        <v>6932</v>
      </c>
      <c r="E23" s="62">
        <v>4.24</v>
      </c>
      <c r="F23" s="62">
        <v>8.3000000000000007</v>
      </c>
      <c r="G23" s="62">
        <f t="shared" si="16"/>
        <v>293.91680000000002</v>
      </c>
      <c r="H23" s="63">
        <f t="shared" si="17"/>
        <v>575.35599999999999</v>
      </c>
      <c r="I23" s="202">
        <v>8201.3000000000011</v>
      </c>
      <c r="J23" s="203">
        <v>8447.3390000000018</v>
      </c>
      <c r="K23" s="120">
        <v>3.8743479692243912</v>
      </c>
      <c r="L23" s="121">
        <v>8.2006761123236576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8447.3390000000018</v>
      </c>
      <c r="S23" s="62">
        <f t="shared" si="19"/>
        <v>327.27930700000007</v>
      </c>
      <c r="T23" s="63">
        <f t="shared" si="20"/>
        <v>692.7389115000002</v>
      </c>
      <c r="U23" s="64" t="s">
        <v>191</v>
      </c>
      <c r="V23" s="65" t="s">
        <v>430</v>
      </c>
      <c r="W23" s="66" t="s">
        <v>187</v>
      </c>
      <c r="X23" s="67">
        <v>15480</v>
      </c>
      <c r="Y23" s="68">
        <v>4.3</v>
      </c>
      <c r="Z23" s="68">
        <v>8.39</v>
      </c>
      <c r="AA23" s="62">
        <f t="shared" si="34"/>
        <v>665.64</v>
      </c>
      <c r="AB23" s="62">
        <f t="shared" si="35"/>
        <v>1298.7719999999999</v>
      </c>
      <c r="AC23" s="69">
        <v>15410</v>
      </c>
      <c r="AD23" s="70">
        <v>4.25</v>
      </c>
      <c r="AE23" s="70">
        <v>8.1999999999999993</v>
      </c>
      <c r="AF23" s="62">
        <f t="shared" si="23"/>
        <v>654.92500000000007</v>
      </c>
      <c r="AG23" s="63">
        <f t="shared" si="24"/>
        <v>1263.6199999999999</v>
      </c>
      <c r="AH23" s="66">
        <v>0</v>
      </c>
      <c r="AI23" s="66">
        <v>0</v>
      </c>
      <c r="AJ23" s="66">
        <v>0</v>
      </c>
      <c r="AK23" s="62">
        <f t="shared" si="25"/>
        <v>0</v>
      </c>
      <c r="AL23" s="72">
        <f t="shared" si="26"/>
        <v>0</v>
      </c>
      <c r="AM23" s="73">
        <f t="shared" si="27"/>
        <v>-30.660999999998239</v>
      </c>
      <c r="AN23" s="74">
        <f t="shared" si="28"/>
        <v>-33.728892999999971</v>
      </c>
      <c r="AO23" s="74">
        <f t="shared" si="29"/>
        <v>4.4749115000004167</v>
      </c>
      <c r="AP23" s="75">
        <f t="shared" si="30"/>
        <v>-2.8679861760723586E-2</v>
      </c>
      <c r="AQ23" s="76">
        <f t="shared" si="31"/>
        <v>-14867.634685107027</v>
      </c>
      <c r="AR23" s="77">
        <f t="shared" si="33"/>
        <v>-100.66099999999824</v>
      </c>
      <c r="AU23" s="83"/>
    </row>
    <row r="24" spans="1:48" x14ac:dyDescent="0.25">
      <c r="A24" t="str">
        <f t="shared" si="15"/>
        <v>46214M</v>
      </c>
      <c r="B24" s="51">
        <f t="shared" si="32"/>
        <v>46214</v>
      </c>
      <c r="C24" s="52" t="s">
        <v>87</v>
      </c>
      <c r="D24" s="91">
        <v>0</v>
      </c>
      <c r="E24" s="62">
        <v>0</v>
      </c>
      <c r="F24" s="62">
        <v>0</v>
      </c>
      <c r="G24" s="62">
        <f t="shared" si="16"/>
        <v>0</v>
      </c>
      <c r="H24" s="63">
        <f t="shared" si="17"/>
        <v>0</v>
      </c>
      <c r="I24" s="202">
        <v>2225.2000000000003</v>
      </c>
      <c r="J24" s="203">
        <v>2291.9560000000001</v>
      </c>
      <c r="K24" s="120">
        <v>4.6663805500629163</v>
      </c>
      <c r="L24" s="121">
        <v>8.4055163580801722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2291.9560000000001</v>
      </c>
      <c r="S24" s="62">
        <f t="shared" si="19"/>
        <v>106.95138900000002</v>
      </c>
      <c r="T24" s="63">
        <f t="shared" si="20"/>
        <v>192.65073650000002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34"/>
        <v>0</v>
      </c>
      <c r="AB24" s="62">
        <f t="shared" si="35"/>
        <v>0</v>
      </c>
      <c r="AC24" s="69"/>
      <c r="AD24" s="70"/>
      <c r="AE24" s="70"/>
      <c r="AF24" s="62">
        <f t="shared" si="23"/>
        <v>0</v>
      </c>
      <c r="AG24" s="63">
        <f t="shared" si="24"/>
        <v>0</v>
      </c>
      <c r="AH24" s="66">
        <v>2290</v>
      </c>
      <c r="AI24" s="66">
        <v>4.66</v>
      </c>
      <c r="AJ24" s="66">
        <v>8.4</v>
      </c>
      <c r="AK24" s="62">
        <f t="shared" si="25"/>
        <v>106.71400000000001</v>
      </c>
      <c r="AL24" s="72">
        <f t="shared" si="26"/>
        <v>192.36</v>
      </c>
      <c r="AM24" s="73">
        <f t="shared" si="27"/>
        <v>1.956000000000131</v>
      </c>
      <c r="AN24" s="74">
        <f t="shared" si="28"/>
        <v>0.2373890000000074</v>
      </c>
      <c r="AO24" s="74">
        <f t="shared" si="29"/>
        <v>0.29073650000000839</v>
      </c>
      <c r="AP24" s="75">
        <f t="shared" si="30"/>
        <v>1.7627561857868584E-3</v>
      </c>
      <c r="AQ24" s="76">
        <f t="shared" si="31"/>
        <v>201.14613412854197</v>
      </c>
      <c r="AR24" s="77">
        <f t="shared" si="33"/>
        <v>1.956000000000131</v>
      </c>
      <c r="AT24" s="77"/>
      <c r="AU24" s="77"/>
      <c r="AV24" s="77"/>
    </row>
    <row r="25" spans="1:48" x14ac:dyDescent="0.25">
      <c r="A25" t="str">
        <f t="shared" si="15"/>
        <v>46214E</v>
      </c>
      <c r="B25" s="51">
        <f t="shared" si="32"/>
        <v>46214</v>
      </c>
      <c r="C25" s="52" t="s">
        <v>88</v>
      </c>
      <c r="D25" s="91">
        <v>2290</v>
      </c>
      <c r="E25" s="62">
        <v>4.66</v>
      </c>
      <c r="F25" s="62">
        <v>8.4</v>
      </c>
      <c r="G25" s="62">
        <f t="shared" si="16"/>
        <v>106.71400000000001</v>
      </c>
      <c r="H25" s="63">
        <f t="shared" si="17"/>
        <v>192.36</v>
      </c>
      <c r="I25" s="202">
        <v>5544.5999999999985</v>
      </c>
      <c r="J25" s="203">
        <v>5710.9379999999983</v>
      </c>
      <c r="K25" s="120">
        <v>4.1916910146809512</v>
      </c>
      <c r="L25" s="121">
        <v>8.2479764094794952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8"/>
        <v>5710.9379999999983</v>
      </c>
      <c r="S25" s="62">
        <f t="shared" si="19"/>
        <v>239.38487499999994</v>
      </c>
      <c r="T25" s="63">
        <f t="shared" si="20"/>
        <v>471.03681899999992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34"/>
        <v>0</v>
      </c>
      <c r="AB25" s="62">
        <f t="shared" si="35"/>
        <v>0</v>
      </c>
      <c r="AC25" s="69"/>
      <c r="AD25" s="70"/>
      <c r="AE25" s="70"/>
      <c r="AF25" s="62">
        <f t="shared" si="23"/>
        <v>0</v>
      </c>
      <c r="AG25" s="63">
        <f t="shared" si="24"/>
        <v>0</v>
      </c>
      <c r="AH25" s="66">
        <v>7999</v>
      </c>
      <c r="AI25" s="66">
        <v>4.3099999999999996</v>
      </c>
      <c r="AJ25" s="66">
        <v>8.2799999999999994</v>
      </c>
      <c r="AK25" s="62">
        <f t="shared" si="25"/>
        <v>344.75689999999997</v>
      </c>
      <c r="AL25" s="72">
        <f t="shared" si="26"/>
        <v>662.31719999999996</v>
      </c>
      <c r="AM25" s="73">
        <f t="shared" si="27"/>
        <v>1.9379999999982829</v>
      </c>
      <c r="AN25" s="74">
        <f t="shared" si="28"/>
        <v>1.3419749999999908</v>
      </c>
      <c r="AO25" s="74">
        <f t="shared" si="29"/>
        <v>1.0796189999999797</v>
      </c>
      <c r="AP25" s="75">
        <f t="shared" si="30"/>
        <v>3.4086712447719408E-3</v>
      </c>
      <c r="AQ25" s="76">
        <f t="shared" si="31"/>
        <v>968.19894316947602</v>
      </c>
      <c r="AR25" s="77">
        <f t="shared" si="33"/>
        <v>1.9379999999982829</v>
      </c>
    </row>
    <row r="26" spans="1:48" x14ac:dyDescent="0.25">
      <c r="A26" t="str">
        <f t="shared" si="15"/>
        <v>46215M</v>
      </c>
      <c r="B26" s="51">
        <f t="shared" si="32"/>
        <v>46215</v>
      </c>
      <c r="C26" s="52" t="s">
        <v>87</v>
      </c>
      <c r="D26" s="91">
        <v>7999</v>
      </c>
      <c r="E26" s="62">
        <v>4.3099999999999996</v>
      </c>
      <c r="F26" s="62">
        <v>8.2799999999999994</v>
      </c>
      <c r="G26" s="62">
        <f t="shared" si="16"/>
        <v>344.75689999999997</v>
      </c>
      <c r="H26" s="63">
        <f t="shared" si="17"/>
        <v>662.31719999999996</v>
      </c>
      <c r="I26" s="202">
        <v>7256.9500000000007</v>
      </c>
      <c r="J26" s="203">
        <v>7474.6585000000014</v>
      </c>
      <c r="K26" s="120">
        <v>3.8594561075934104</v>
      </c>
      <c r="L26" s="121">
        <v>8.1564961864144028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7474.6585000000014</v>
      </c>
      <c r="S26" s="62">
        <f t="shared" si="19"/>
        <v>288.48116400000004</v>
      </c>
      <c r="T26" s="63">
        <f t="shared" si="20"/>
        <v>609.6702355000001</v>
      </c>
      <c r="U26" s="64" t="s">
        <v>191</v>
      </c>
      <c r="V26" s="65" t="s">
        <v>431</v>
      </c>
      <c r="W26" s="66" t="s">
        <v>187</v>
      </c>
      <c r="X26" s="67">
        <v>15480</v>
      </c>
      <c r="Y26" s="68">
        <v>4.2</v>
      </c>
      <c r="Z26" s="68">
        <v>8.31</v>
      </c>
      <c r="AA26" s="62">
        <f t="shared" si="34"/>
        <v>650.16000000000008</v>
      </c>
      <c r="AB26" s="62">
        <f t="shared" si="35"/>
        <v>1286.3880000000001</v>
      </c>
      <c r="AC26" s="69">
        <v>15420</v>
      </c>
      <c r="AD26" s="70">
        <v>4.1500000000000004</v>
      </c>
      <c r="AE26" s="70">
        <v>8.24</v>
      </c>
      <c r="AF26" s="62">
        <f t="shared" si="23"/>
        <v>639.93000000000006</v>
      </c>
      <c r="AG26" s="63">
        <f t="shared" si="24"/>
        <v>1270.6079999999999</v>
      </c>
      <c r="AH26" s="66">
        <v>0</v>
      </c>
      <c r="AI26" s="66">
        <v>0</v>
      </c>
      <c r="AJ26" s="66">
        <v>0</v>
      </c>
      <c r="AK26" s="62">
        <f t="shared" si="25"/>
        <v>0</v>
      </c>
      <c r="AL26" s="72">
        <f t="shared" si="26"/>
        <v>0</v>
      </c>
      <c r="AM26" s="73">
        <f t="shared" si="27"/>
        <v>53.658500000001368</v>
      </c>
      <c r="AN26" s="74">
        <f t="shared" si="28"/>
        <v>-6.6919360000000552</v>
      </c>
      <c r="AO26" s="74">
        <f t="shared" si="29"/>
        <v>1.379435500000227</v>
      </c>
      <c r="AP26" s="75">
        <f t="shared" si="30"/>
        <v>-5.9149275979053098E-3</v>
      </c>
      <c r="AQ26" s="76">
        <f t="shared" si="31"/>
        <v>-2802.5643947871768</v>
      </c>
      <c r="AR26" s="77">
        <f t="shared" si="33"/>
        <v>-6.3414999999986321</v>
      </c>
    </row>
    <row r="27" spans="1:48" x14ac:dyDescent="0.25">
      <c r="A27" t="str">
        <f t="shared" si="15"/>
        <v>46215E</v>
      </c>
      <c r="B27" s="51">
        <f t="shared" si="32"/>
        <v>46215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16"/>
        <v>0</v>
      </c>
      <c r="H27" s="63">
        <f t="shared" si="17"/>
        <v>0</v>
      </c>
      <c r="I27" s="202">
        <v>4855.3500000000004</v>
      </c>
      <c r="J27" s="203">
        <v>5001.0105000000003</v>
      </c>
      <c r="K27" s="120">
        <v>4.1020431070880585</v>
      </c>
      <c r="L27" s="121">
        <v>8.269313231795854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5001.0105000000003</v>
      </c>
      <c r="S27" s="62">
        <f t="shared" si="19"/>
        <v>205.14360650000006</v>
      </c>
      <c r="T27" s="63">
        <f t="shared" si="20"/>
        <v>413.54922299999998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34"/>
        <v>0</v>
      </c>
      <c r="AB27" s="62">
        <f t="shared" si="35"/>
        <v>0</v>
      </c>
      <c r="AC27" s="69"/>
      <c r="AD27" s="70"/>
      <c r="AE27" s="70"/>
      <c r="AF27" s="62">
        <f t="shared" si="23"/>
        <v>0</v>
      </c>
      <c r="AG27" s="63">
        <f t="shared" si="24"/>
        <v>0</v>
      </c>
      <c r="AH27" s="66">
        <v>4999</v>
      </c>
      <c r="AI27" s="66">
        <v>4.09</v>
      </c>
      <c r="AJ27" s="66">
        <v>8.26</v>
      </c>
      <c r="AK27" s="62">
        <f t="shared" si="25"/>
        <v>204.45910000000001</v>
      </c>
      <c r="AL27" s="72">
        <f t="shared" si="26"/>
        <v>412.91739999999999</v>
      </c>
      <c r="AM27" s="73">
        <f t="shared" si="27"/>
        <v>2.0105000000003201</v>
      </c>
      <c r="AN27" s="74">
        <f t="shared" si="28"/>
        <v>0.68450650000005453</v>
      </c>
      <c r="AO27" s="74">
        <f t="shared" si="29"/>
        <v>0.63182299999999714</v>
      </c>
      <c r="AP27" s="75">
        <f t="shared" si="30"/>
        <v>2.1275977952804957E-3</v>
      </c>
      <c r="AQ27" s="76">
        <f t="shared" si="31"/>
        <v>518.15301517869716</v>
      </c>
      <c r="AR27" s="77">
        <f t="shared" si="33"/>
        <v>2.0105000000003201</v>
      </c>
    </row>
    <row r="28" spans="1:48" x14ac:dyDescent="0.25">
      <c r="A28" t="str">
        <f t="shared" si="15"/>
        <v>46216M</v>
      </c>
      <c r="B28" s="51">
        <f t="shared" si="32"/>
        <v>46216</v>
      </c>
      <c r="C28" s="52" t="s">
        <v>87</v>
      </c>
      <c r="D28" s="91">
        <v>4999</v>
      </c>
      <c r="E28" s="62">
        <v>4.09</v>
      </c>
      <c r="F28" s="62">
        <v>8.26</v>
      </c>
      <c r="G28" s="62">
        <f t="shared" si="16"/>
        <v>204.45910000000001</v>
      </c>
      <c r="H28" s="63">
        <f t="shared" si="17"/>
        <v>412.91739999999999</v>
      </c>
      <c r="I28" s="202">
        <v>6993.5999999999995</v>
      </c>
      <c r="J28" s="203">
        <v>7203.4079999999994</v>
      </c>
      <c r="K28" s="120">
        <v>4.1682838595287119</v>
      </c>
      <c r="L28" s="121">
        <v>8.1681523106840519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7203.4079999999994</v>
      </c>
      <c r="S28" s="62">
        <f t="shared" si="19"/>
        <v>300.25849299999999</v>
      </c>
      <c r="T28" s="63">
        <f t="shared" si="20"/>
        <v>588.38533699999982</v>
      </c>
      <c r="U28" s="64" t="s">
        <v>191</v>
      </c>
      <c r="V28" s="65" t="s">
        <v>484</v>
      </c>
      <c r="W28" s="66" t="s">
        <v>187</v>
      </c>
      <c r="X28" s="67">
        <v>10710</v>
      </c>
      <c r="Y28" s="68">
        <v>4.3</v>
      </c>
      <c r="Z28" s="68">
        <v>8.39</v>
      </c>
      <c r="AA28" s="62">
        <f t="shared" si="34"/>
        <v>460.53</v>
      </c>
      <c r="AB28" s="62">
        <f t="shared" si="35"/>
        <v>898.56900000000007</v>
      </c>
      <c r="AC28" s="69">
        <v>10690</v>
      </c>
      <c r="AD28" s="70">
        <v>4.2892422825070167</v>
      </c>
      <c r="AE28" s="70">
        <v>8.2658559401309635</v>
      </c>
      <c r="AF28" s="62">
        <f t="shared" si="23"/>
        <v>458.52000000000004</v>
      </c>
      <c r="AG28" s="63">
        <f t="shared" si="24"/>
        <v>883.62</v>
      </c>
      <c r="AH28" s="66">
        <v>1491</v>
      </c>
      <c r="AI28" s="66">
        <v>4.13</v>
      </c>
      <c r="AJ28" s="66">
        <v>8.1999999999999993</v>
      </c>
      <c r="AK28" s="62">
        <f t="shared" si="25"/>
        <v>61.578299999999992</v>
      </c>
      <c r="AL28" s="72">
        <f t="shared" si="26"/>
        <v>122.26199999999999</v>
      </c>
      <c r="AM28" s="73">
        <f t="shared" si="27"/>
        <v>21.407999999999447</v>
      </c>
      <c r="AN28" s="74">
        <f t="shared" si="28"/>
        <v>-15.380707000000065</v>
      </c>
      <c r="AO28" s="74">
        <f t="shared" si="29"/>
        <v>-4.579263000000239</v>
      </c>
      <c r="AP28" s="75">
        <f t="shared" si="30"/>
        <v>-2.2461158594889823E-2</v>
      </c>
      <c r="AQ28" s="76">
        <f t="shared" si="31"/>
        <v>-8762.378802097428</v>
      </c>
      <c r="AR28" s="77">
        <f t="shared" si="33"/>
        <v>1.407999999999447</v>
      </c>
    </row>
    <row r="29" spans="1:48" x14ac:dyDescent="0.25">
      <c r="A29" t="str">
        <f t="shared" si="15"/>
        <v>46216E</v>
      </c>
      <c r="B29" s="51">
        <f t="shared" si="32"/>
        <v>46216</v>
      </c>
      <c r="C29" s="52" t="s">
        <v>88</v>
      </c>
      <c r="D29" s="91">
        <v>1491</v>
      </c>
      <c r="E29" s="62">
        <v>4.13</v>
      </c>
      <c r="F29" s="62">
        <v>8.1999999999999993</v>
      </c>
      <c r="G29" s="62">
        <f t="shared" si="16"/>
        <v>61.578299999999992</v>
      </c>
      <c r="H29" s="63">
        <f t="shared" si="17"/>
        <v>122.26199999999999</v>
      </c>
      <c r="I29" s="202">
        <v>5886.4</v>
      </c>
      <c r="J29" s="203">
        <v>6062.9920000000002</v>
      </c>
      <c r="K29" s="120">
        <v>4.1358156088611047</v>
      </c>
      <c r="L29" s="121">
        <v>8.3146906428377303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8"/>
        <v>6062.9920000000002</v>
      </c>
      <c r="S29" s="62">
        <f t="shared" si="19"/>
        <v>250.7541695000001</v>
      </c>
      <c r="T29" s="63">
        <f t="shared" si="20"/>
        <v>504.11902850000013</v>
      </c>
      <c r="U29" s="64" t="s">
        <v>167</v>
      </c>
      <c r="V29" s="65" t="s">
        <v>485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34"/>
        <v>0</v>
      </c>
      <c r="AB29" s="62">
        <f t="shared" si="35"/>
        <v>0</v>
      </c>
      <c r="AC29" s="69"/>
      <c r="AD29" s="70"/>
      <c r="AE29" s="70"/>
      <c r="AF29" s="62">
        <f t="shared" si="23"/>
        <v>0</v>
      </c>
      <c r="AG29" s="63">
        <f t="shared" si="24"/>
        <v>0</v>
      </c>
      <c r="AH29" s="66">
        <v>7552</v>
      </c>
      <c r="AI29" s="66">
        <v>4.13</v>
      </c>
      <c r="AJ29" s="66">
        <v>8.2799999999999994</v>
      </c>
      <c r="AK29" s="62">
        <f t="shared" si="25"/>
        <v>311.89759999999995</v>
      </c>
      <c r="AL29" s="72">
        <f t="shared" si="26"/>
        <v>625.30560000000003</v>
      </c>
      <c r="AM29" s="73">
        <f t="shared" si="27"/>
        <v>1.9920000000001892</v>
      </c>
      <c r="AN29" s="74">
        <f t="shared" si="28"/>
        <v>0.43486950000016122</v>
      </c>
      <c r="AO29" s="74">
        <f t="shared" si="29"/>
        <v>1.0754285000000436</v>
      </c>
      <c r="AP29" s="75">
        <f t="shared" si="30"/>
        <v>2.0007307240496363E-3</v>
      </c>
      <c r="AQ29" s="76">
        <f t="shared" si="31"/>
        <v>531.05020993384142</v>
      </c>
      <c r="AR29" s="77">
        <f t="shared" si="33"/>
        <v>1.9920000000001892</v>
      </c>
    </row>
    <row r="30" spans="1:48" x14ac:dyDescent="0.25">
      <c r="A30" t="str">
        <f t="shared" si="15"/>
        <v>46217M</v>
      </c>
      <c r="B30" s="51">
        <f t="shared" si="32"/>
        <v>46217</v>
      </c>
      <c r="C30" s="52" t="s">
        <v>87</v>
      </c>
      <c r="D30" s="91">
        <v>7552</v>
      </c>
      <c r="E30" s="62">
        <v>4.13</v>
      </c>
      <c r="F30" s="62">
        <v>8.2799999999999994</v>
      </c>
      <c r="G30" s="62">
        <f t="shared" si="16"/>
        <v>311.89759999999995</v>
      </c>
      <c r="H30" s="63">
        <f t="shared" si="17"/>
        <v>625.30560000000003</v>
      </c>
      <c r="I30" s="202">
        <v>3019.8500000000004</v>
      </c>
      <c r="J30" s="203">
        <v>3110.4455000000003</v>
      </c>
      <c r="K30" s="120">
        <v>4.6254565624120403</v>
      </c>
      <c r="L30" s="121">
        <v>8.3477722403430583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8"/>
        <v>3110.4455000000003</v>
      </c>
      <c r="S30" s="62">
        <f t="shared" si="19"/>
        <v>143.87230550000001</v>
      </c>
      <c r="T30" s="63">
        <f t="shared" si="20"/>
        <v>259.65290599999986</v>
      </c>
      <c r="U30" s="64" t="s">
        <v>192</v>
      </c>
      <c r="V30" s="65" t="s">
        <v>534</v>
      </c>
      <c r="W30" s="66" t="s">
        <v>193</v>
      </c>
      <c r="X30" s="67">
        <v>4910</v>
      </c>
      <c r="Y30" s="68">
        <v>4.2</v>
      </c>
      <c r="Z30" s="68">
        <v>8.25</v>
      </c>
      <c r="AA30" s="62">
        <f t="shared" si="34"/>
        <v>206.22</v>
      </c>
      <c r="AB30" s="62">
        <f t="shared" si="35"/>
        <v>405.07500000000005</v>
      </c>
      <c r="AC30" s="69">
        <v>4900</v>
      </c>
      <c r="AD30" s="70">
        <v>3.9806122448979595</v>
      </c>
      <c r="AE30" s="70">
        <v>7.9561224489795928</v>
      </c>
      <c r="AF30" s="62">
        <f t="shared" si="23"/>
        <v>195.05</v>
      </c>
      <c r="AG30" s="63">
        <f t="shared" si="24"/>
        <v>389.85</v>
      </c>
      <c r="AH30" s="66">
        <v>5751</v>
      </c>
      <c r="AI30" s="66">
        <v>4.2699999999999996</v>
      </c>
      <c r="AJ30" s="66">
        <v>8.2899999999999991</v>
      </c>
      <c r="AK30" s="62">
        <f t="shared" si="25"/>
        <v>245.56769999999997</v>
      </c>
      <c r="AL30" s="72">
        <f t="shared" si="26"/>
        <v>476.75789999999995</v>
      </c>
      <c r="AM30" s="73">
        <f t="shared" si="27"/>
        <v>11.445499999999811</v>
      </c>
      <c r="AN30" s="74">
        <f t="shared" si="28"/>
        <v>15.152205499999951</v>
      </c>
      <c r="AO30" s="74">
        <f t="shared" si="29"/>
        <v>18.350605999999971</v>
      </c>
      <c r="AP30" s="75">
        <f t="shared" si="30"/>
        <v>8.3025324181014493E-2</v>
      </c>
      <c r="AQ30" s="76">
        <f t="shared" si="31"/>
        <v>12776.97102340709</v>
      </c>
      <c r="AR30" s="77">
        <f t="shared" si="33"/>
        <v>1.4454999999998108</v>
      </c>
    </row>
    <row r="31" spans="1:48" x14ac:dyDescent="0.25">
      <c r="A31" t="str">
        <f t="shared" si="15"/>
        <v>46217E</v>
      </c>
      <c r="B31" s="51">
        <f t="shared" si="32"/>
        <v>46217</v>
      </c>
      <c r="C31" s="52" t="s">
        <v>88</v>
      </c>
      <c r="D31" s="91">
        <v>5751</v>
      </c>
      <c r="E31" s="62">
        <v>4.2699999999999996</v>
      </c>
      <c r="F31" s="62">
        <v>8.2899999999999991</v>
      </c>
      <c r="G31" s="62">
        <f t="shared" si="16"/>
        <v>245.56769999999997</v>
      </c>
      <c r="H31" s="63">
        <f t="shared" si="17"/>
        <v>476.75789999999995</v>
      </c>
      <c r="I31" s="202">
        <v>8031.7999999999993</v>
      </c>
      <c r="J31" s="203">
        <v>8272.753999999999</v>
      </c>
      <c r="K31" s="120">
        <v>4.0150520431285637</v>
      </c>
      <c r="L31" s="121">
        <v>8.2105312632286651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8272.753999999999</v>
      </c>
      <c r="S31" s="62">
        <f t="shared" si="19"/>
        <v>332.15537849999993</v>
      </c>
      <c r="T31" s="63">
        <f t="shared" si="20"/>
        <v>679.23705349999989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34"/>
        <v>0</v>
      </c>
      <c r="AB31" s="62">
        <f t="shared" si="35"/>
        <v>0</v>
      </c>
      <c r="AC31" s="69"/>
      <c r="AD31" s="70"/>
      <c r="AE31" s="70"/>
      <c r="AF31" s="62">
        <f t="shared" si="23"/>
        <v>0</v>
      </c>
      <c r="AG31" s="63">
        <f t="shared" si="24"/>
        <v>0</v>
      </c>
      <c r="AH31" s="66">
        <v>14022</v>
      </c>
      <c r="AI31" s="66">
        <v>4.1100000000000003</v>
      </c>
      <c r="AJ31" s="66">
        <v>8.23</v>
      </c>
      <c r="AK31" s="62">
        <f t="shared" si="25"/>
        <v>576.30420000000004</v>
      </c>
      <c r="AL31" s="72">
        <f t="shared" si="26"/>
        <v>1154.0106000000001</v>
      </c>
      <c r="AM31" s="73">
        <f t="shared" si="27"/>
        <v>1.7539999999989959</v>
      </c>
      <c r="AN31" s="74">
        <f t="shared" si="28"/>
        <v>1.4188784999998916</v>
      </c>
      <c r="AO31" s="74">
        <f t="shared" si="29"/>
        <v>1.9843534999997701</v>
      </c>
      <c r="AP31" s="75">
        <f t="shared" si="30"/>
        <v>3.3648976325340568E-3</v>
      </c>
      <c r="AQ31" s="76">
        <f t="shared" si="31"/>
        <v>1276.1135061945336</v>
      </c>
      <c r="AR31" s="77">
        <f t="shared" si="33"/>
        <v>1.7539999999989959</v>
      </c>
    </row>
    <row r="32" spans="1:48" x14ac:dyDescent="0.25">
      <c r="A32" t="str">
        <f t="shared" si="15"/>
        <v>46218M</v>
      </c>
      <c r="B32" s="51">
        <f t="shared" si="32"/>
        <v>46218</v>
      </c>
      <c r="C32" s="52" t="s">
        <v>87</v>
      </c>
      <c r="D32" s="91">
        <v>14022</v>
      </c>
      <c r="E32" s="62">
        <v>4.1100000000000003</v>
      </c>
      <c r="F32" s="62">
        <v>8.23</v>
      </c>
      <c r="G32" s="62">
        <f t="shared" si="16"/>
        <v>576.30420000000004</v>
      </c>
      <c r="H32" s="63">
        <f t="shared" si="17"/>
        <v>1154.0106000000001</v>
      </c>
      <c r="I32" s="202">
        <v>7577.8000000000011</v>
      </c>
      <c r="J32" s="203">
        <v>7805.1340000000009</v>
      </c>
      <c r="K32" s="120">
        <v>4.1248660561112729</v>
      </c>
      <c r="L32" s="121">
        <v>8.1384425558869342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8"/>
        <v>7805.1340000000009</v>
      </c>
      <c r="S32" s="62">
        <f t="shared" si="19"/>
        <v>321.95132300000012</v>
      </c>
      <c r="T32" s="63">
        <f t="shared" si="20"/>
        <v>635.21634700000016</v>
      </c>
      <c r="U32" s="64" t="s">
        <v>191</v>
      </c>
      <c r="V32" s="65" t="s">
        <v>535</v>
      </c>
      <c r="W32" s="66" t="s">
        <v>187</v>
      </c>
      <c r="X32" s="67">
        <v>15250</v>
      </c>
      <c r="Y32" s="68">
        <v>4.3</v>
      </c>
      <c r="Z32" s="68">
        <v>8.39</v>
      </c>
      <c r="AA32" s="62">
        <f t="shared" si="34"/>
        <v>655.75</v>
      </c>
      <c r="AB32" s="62">
        <f t="shared" si="35"/>
        <v>1279.4750000000001</v>
      </c>
      <c r="AC32" s="69">
        <v>15190</v>
      </c>
      <c r="AD32" s="70">
        <v>4.25</v>
      </c>
      <c r="AE32" s="70">
        <v>8.32</v>
      </c>
      <c r="AF32" s="62">
        <f t="shared" si="23"/>
        <v>645.57500000000005</v>
      </c>
      <c r="AG32" s="63">
        <f t="shared" si="24"/>
        <v>1263.808</v>
      </c>
      <c r="AH32" s="66">
        <v>6574</v>
      </c>
      <c r="AI32" s="66">
        <v>4.1100000000000003</v>
      </c>
      <c r="AJ32" s="66">
        <v>8.19</v>
      </c>
      <c r="AK32" s="62">
        <f t="shared" si="25"/>
        <v>270.19140000000004</v>
      </c>
      <c r="AL32" s="72">
        <f t="shared" si="26"/>
        <v>538.41060000000004</v>
      </c>
      <c r="AM32" s="73">
        <f t="shared" si="27"/>
        <v>63.134000000001834</v>
      </c>
      <c r="AN32" s="74">
        <f t="shared" si="28"/>
        <v>-17.510876999999937</v>
      </c>
      <c r="AO32" s="74">
        <f t="shared" si="29"/>
        <v>-12.991652999999928</v>
      </c>
      <c r="AP32" s="75">
        <f t="shared" si="30"/>
        <v>-3.1867488796398502E-2</v>
      </c>
      <c r="AQ32" s="76">
        <f t="shared" si="31"/>
        <v>-12305.430730121923</v>
      </c>
      <c r="AR32" s="77">
        <f t="shared" si="33"/>
        <v>3.1340000000018335</v>
      </c>
    </row>
    <row r="33" spans="1:44" x14ac:dyDescent="0.25">
      <c r="A33" t="str">
        <f t="shared" si="15"/>
        <v>46218E</v>
      </c>
      <c r="B33" s="51">
        <f t="shared" si="32"/>
        <v>46218</v>
      </c>
      <c r="C33" s="52" t="s">
        <v>88</v>
      </c>
      <c r="D33" s="91">
        <v>6574</v>
      </c>
      <c r="E33" s="62">
        <v>4.1100000000000003</v>
      </c>
      <c r="F33" s="62">
        <v>8.19</v>
      </c>
      <c r="G33" s="62">
        <f t="shared" si="16"/>
        <v>270.19140000000004</v>
      </c>
      <c r="H33" s="63">
        <f t="shared" si="17"/>
        <v>538.41060000000004</v>
      </c>
      <c r="I33" s="202">
        <v>6875.2499999999991</v>
      </c>
      <c r="J33" s="203">
        <v>7081.5074999999988</v>
      </c>
      <c r="K33" s="120">
        <v>4.0374408203338046</v>
      </c>
      <c r="L33" s="121">
        <v>8.2466339405839797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7081.5074999999988</v>
      </c>
      <c r="S33" s="62">
        <f t="shared" si="19"/>
        <v>285.91167449999989</v>
      </c>
      <c r="T33" s="63">
        <f t="shared" si="20"/>
        <v>583.98600099999999</v>
      </c>
      <c r="U33" s="64" t="s">
        <v>192</v>
      </c>
      <c r="V33" s="65" t="s">
        <v>536</v>
      </c>
      <c r="W33" s="66" t="s">
        <v>181</v>
      </c>
      <c r="X33" s="67">
        <v>4660</v>
      </c>
      <c r="Y33" s="68">
        <v>4.45</v>
      </c>
      <c r="Z33" s="68">
        <v>8.3000000000000007</v>
      </c>
      <c r="AA33" s="62">
        <f t="shared" si="34"/>
        <v>207.37000000000003</v>
      </c>
      <c r="AB33" s="62">
        <f t="shared" si="35"/>
        <v>386.78000000000003</v>
      </c>
      <c r="AC33" s="69">
        <v>4680</v>
      </c>
      <c r="AD33" s="70">
        <v>4.1166666666666654</v>
      </c>
      <c r="AE33" s="70">
        <v>8.1033333333333335</v>
      </c>
      <c r="AF33" s="62">
        <f t="shared" si="23"/>
        <v>192.65999999999997</v>
      </c>
      <c r="AG33" s="63">
        <f t="shared" si="24"/>
        <v>379.23599999999999</v>
      </c>
      <c r="AH33" s="66">
        <v>8994</v>
      </c>
      <c r="AI33" s="66">
        <v>4.0599999999999996</v>
      </c>
      <c r="AJ33" s="66">
        <v>8.2100000000000009</v>
      </c>
      <c r="AK33" s="62">
        <f t="shared" si="25"/>
        <v>365.15639999999996</v>
      </c>
      <c r="AL33" s="72">
        <f t="shared" si="26"/>
        <v>738.40740000000005</v>
      </c>
      <c r="AM33" s="73">
        <f t="shared" si="27"/>
        <v>-18.492500000000291</v>
      </c>
      <c r="AN33" s="74">
        <f t="shared" si="28"/>
        <v>-1.7133254999999963</v>
      </c>
      <c r="AO33" s="74">
        <f t="shared" si="29"/>
        <v>4.7532009999998763</v>
      </c>
      <c r="AP33" s="75">
        <f t="shared" si="30"/>
        <v>3.4945207759666907E-3</v>
      </c>
      <c r="AQ33" s="76">
        <f t="shared" si="31"/>
        <v>600.23271870458439</v>
      </c>
      <c r="AR33" s="77">
        <f t="shared" si="33"/>
        <v>1.507499999999709</v>
      </c>
    </row>
    <row r="34" spans="1:44" x14ac:dyDescent="0.25">
      <c r="A34" t="str">
        <f t="shared" si="15"/>
        <v>46219M</v>
      </c>
      <c r="B34" s="51">
        <f t="shared" si="32"/>
        <v>46219</v>
      </c>
      <c r="C34" s="52" t="s">
        <v>87</v>
      </c>
      <c r="D34" s="91">
        <v>8994</v>
      </c>
      <c r="E34" s="62">
        <v>4.0599999999999996</v>
      </c>
      <c r="F34" s="62">
        <v>8.2100000000000009</v>
      </c>
      <c r="G34" s="62">
        <f t="shared" si="16"/>
        <v>365.15639999999996</v>
      </c>
      <c r="H34" s="63">
        <f t="shared" si="17"/>
        <v>738.40740000000005</v>
      </c>
      <c r="I34" s="202">
        <v>8114.2499999999991</v>
      </c>
      <c r="J34" s="203">
        <v>8357.6774999999998</v>
      </c>
      <c r="K34" s="120">
        <v>4.1533438087315524</v>
      </c>
      <c r="L34" s="121">
        <v>8.1703268940444271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8357.6774999999998</v>
      </c>
      <c r="S34" s="62">
        <f t="shared" si="19"/>
        <v>347.12308099999996</v>
      </c>
      <c r="T34" s="63">
        <f t="shared" si="20"/>
        <v>682.84957249999991</v>
      </c>
      <c r="U34" s="64" t="s">
        <v>191</v>
      </c>
      <c r="V34" s="65" t="s">
        <v>574</v>
      </c>
      <c r="W34" s="66" t="s">
        <v>187</v>
      </c>
      <c r="X34" s="67">
        <v>12210</v>
      </c>
      <c r="Y34" s="68">
        <v>4.3</v>
      </c>
      <c r="Z34" s="68">
        <v>8.27</v>
      </c>
      <c r="AA34" s="62">
        <f t="shared" si="34"/>
        <v>525.03</v>
      </c>
      <c r="AB34" s="62">
        <f t="shared" si="35"/>
        <v>1009.7669999999999</v>
      </c>
      <c r="AC34" s="69">
        <v>12180</v>
      </c>
      <c r="AD34" s="70">
        <v>4.2402709359605915</v>
      </c>
      <c r="AE34" s="70">
        <v>8.0080541871921174</v>
      </c>
      <c r="AF34" s="62">
        <f t="shared" si="23"/>
        <v>516.46500000000003</v>
      </c>
      <c r="AG34" s="63">
        <f t="shared" si="24"/>
        <v>975.38099999999997</v>
      </c>
      <c r="AH34" s="66">
        <v>5140</v>
      </c>
      <c r="AI34" s="66">
        <v>4.09</v>
      </c>
      <c r="AJ34" s="66">
        <v>8.18</v>
      </c>
      <c r="AK34" s="62">
        <f t="shared" si="25"/>
        <v>210.226</v>
      </c>
      <c r="AL34" s="72">
        <f t="shared" si="26"/>
        <v>420.452</v>
      </c>
      <c r="AM34" s="73">
        <f t="shared" si="27"/>
        <v>31.677499999997963</v>
      </c>
      <c r="AN34" s="74">
        <f t="shared" si="28"/>
        <v>-14.411519000000112</v>
      </c>
      <c r="AO34" s="74">
        <f t="shared" si="29"/>
        <v>25.423972499999877</v>
      </c>
      <c r="AP34" s="75">
        <f t="shared" si="30"/>
        <v>1.0691986299420487E-2</v>
      </c>
      <c r="AQ34" s="76">
        <f t="shared" si="31"/>
        <v>689.04950362242198</v>
      </c>
      <c r="AR34" s="77">
        <f t="shared" si="33"/>
        <v>1.6774999999979627</v>
      </c>
    </row>
    <row r="35" spans="1:44" x14ac:dyDescent="0.25">
      <c r="A35" t="str">
        <f t="shared" si="15"/>
        <v>46219E</v>
      </c>
      <c r="B35" s="51">
        <f t="shared" si="32"/>
        <v>46219</v>
      </c>
      <c r="C35" s="52" t="s">
        <v>88</v>
      </c>
      <c r="D35" s="91">
        <v>5140</v>
      </c>
      <c r="E35" s="62">
        <v>4.09</v>
      </c>
      <c r="F35" s="62">
        <v>8.18</v>
      </c>
      <c r="G35" s="62">
        <f t="shared" si="16"/>
        <v>210.226</v>
      </c>
      <c r="H35" s="63">
        <f t="shared" si="17"/>
        <v>420.452</v>
      </c>
      <c r="I35" s="202">
        <v>9532.6999999999989</v>
      </c>
      <c r="J35" s="203">
        <v>9818.6809999999987</v>
      </c>
      <c r="K35" s="120">
        <v>3.852253821058043</v>
      </c>
      <c r="L35" s="121">
        <v>8.1638680541714326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9818.6809999999987</v>
      </c>
      <c r="S35" s="62">
        <f t="shared" si="19"/>
        <v>378.24051400000002</v>
      </c>
      <c r="T35" s="63">
        <f t="shared" si="20"/>
        <v>801.58416150000005</v>
      </c>
      <c r="U35" s="64" t="s">
        <v>192</v>
      </c>
      <c r="V35" s="65" t="s">
        <v>575</v>
      </c>
      <c r="W35" s="66" t="s">
        <v>435</v>
      </c>
      <c r="X35" s="67">
        <v>5300</v>
      </c>
      <c r="Y35" s="68">
        <v>4.2</v>
      </c>
      <c r="Z35" s="68">
        <v>8.25</v>
      </c>
      <c r="AA35" s="62">
        <f t="shared" si="34"/>
        <v>222.60000000000002</v>
      </c>
      <c r="AB35" s="62">
        <f t="shared" si="35"/>
        <v>437.25</v>
      </c>
      <c r="AC35" s="69">
        <v>5270</v>
      </c>
      <c r="AD35" s="70">
        <v>4.05</v>
      </c>
      <c r="AE35" s="70">
        <v>8.09</v>
      </c>
      <c r="AF35" s="62">
        <f t="shared" si="23"/>
        <v>213.435</v>
      </c>
      <c r="AG35" s="63">
        <f t="shared" si="24"/>
        <v>426.34300000000002</v>
      </c>
      <c r="AH35" s="66">
        <v>9656</v>
      </c>
      <c r="AI35" s="66">
        <v>3.92</v>
      </c>
      <c r="AJ35" s="66">
        <v>8.16</v>
      </c>
      <c r="AK35" s="62">
        <f t="shared" si="25"/>
        <v>378.51519999999999</v>
      </c>
      <c r="AL35" s="72">
        <f t="shared" si="26"/>
        <v>787.92960000000005</v>
      </c>
      <c r="AM35" s="73">
        <f t="shared" si="27"/>
        <v>32.680999999998676</v>
      </c>
      <c r="AN35" s="74">
        <f t="shared" si="28"/>
        <v>-3.4836860000000343</v>
      </c>
      <c r="AO35" s="74">
        <f t="shared" si="29"/>
        <v>7.7635615000000371</v>
      </c>
      <c r="AP35" s="75">
        <f t="shared" si="30"/>
        <v>3.6275521175942746E-3</v>
      </c>
      <c r="AQ35" s="76">
        <f t="shared" si="31"/>
        <v>651.09304953064361</v>
      </c>
      <c r="AR35" s="77">
        <f t="shared" si="33"/>
        <v>2.6809999999986758</v>
      </c>
    </row>
    <row r="36" spans="1:44" x14ac:dyDescent="0.25">
      <c r="A36" t="str">
        <f t="shared" si="15"/>
        <v>46220M</v>
      </c>
      <c r="B36" s="51">
        <f t="shared" si="32"/>
        <v>46220</v>
      </c>
      <c r="C36" s="52" t="s">
        <v>87</v>
      </c>
      <c r="D36" s="91">
        <v>9656</v>
      </c>
      <c r="E36" s="62">
        <v>3.92</v>
      </c>
      <c r="F36" s="62">
        <v>8.16</v>
      </c>
      <c r="G36" s="62">
        <f t="shared" si="16"/>
        <v>378.51519999999999</v>
      </c>
      <c r="H36" s="63">
        <f t="shared" si="17"/>
        <v>787.92960000000005</v>
      </c>
      <c r="I36" s="202">
        <v>2411.5999999999995</v>
      </c>
      <c r="J36" s="203">
        <v>2483.9479999999994</v>
      </c>
      <c r="K36" s="120">
        <v>4.8696342677060844</v>
      </c>
      <c r="L36" s="121">
        <v>8.3685727317963128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2483.9479999999994</v>
      </c>
      <c r="S36" s="62">
        <f t="shared" si="19"/>
        <v>120.9591829999999</v>
      </c>
      <c r="T36" s="63">
        <f t="shared" si="20"/>
        <v>207.87099499999982</v>
      </c>
      <c r="U36" s="64" t="s">
        <v>191</v>
      </c>
      <c r="V36" s="85" t="s">
        <v>621</v>
      </c>
      <c r="W36" s="66" t="s">
        <v>187</v>
      </c>
      <c r="X36" s="67">
        <v>10830</v>
      </c>
      <c r="Y36" s="68">
        <v>4.1500000000000004</v>
      </c>
      <c r="Z36" s="68">
        <v>8.24</v>
      </c>
      <c r="AA36" s="62">
        <f t="shared" si="34"/>
        <v>449.44500000000005</v>
      </c>
      <c r="AB36" s="62">
        <f t="shared" si="35"/>
        <v>892.39200000000005</v>
      </c>
      <c r="AC36" s="69">
        <v>10780</v>
      </c>
      <c r="AD36" s="70">
        <v>4.0715677179962899</v>
      </c>
      <c r="AE36" s="70">
        <v>8.0601948051948042</v>
      </c>
      <c r="AF36" s="62">
        <f t="shared" si="23"/>
        <v>438.91500000000002</v>
      </c>
      <c r="AG36" s="63">
        <f t="shared" si="24"/>
        <v>868.88899999999978</v>
      </c>
      <c r="AH36" s="66">
        <v>1308</v>
      </c>
      <c r="AI36" s="66">
        <v>4.0999999999999996</v>
      </c>
      <c r="AJ36" s="66">
        <v>8.19</v>
      </c>
      <c r="AK36" s="62">
        <f t="shared" si="25"/>
        <v>53.627999999999993</v>
      </c>
      <c r="AL36" s="72">
        <f t="shared" si="26"/>
        <v>107.12520000000001</v>
      </c>
      <c r="AM36" s="73">
        <f t="shared" si="27"/>
        <v>51.94800000000032</v>
      </c>
      <c r="AN36" s="74">
        <f t="shared" si="28"/>
        <v>6.9313829999998617</v>
      </c>
      <c r="AO36" s="74">
        <f t="shared" si="29"/>
        <v>19.786395000000141</v>
      </c>
      <c r="AP36" s="75">
        <f t="shared" si="30"/>
        <v>8.1250991507233333E-2</v>
      </c>
      <c r="AQ36" s="76">
        <f t="shared" si="31"/>
        <v>9256.6042771414304</v>
      </c>
      <c r="AR36" s="77">
        <f t="shared" si="33"/>
        <v>1.9480000000003201</v>
      </c>
    </row>
    <row r="37" spans="1:44" x14ac:dyDescent="0.25">
      <c r="A37" t="str">
        <f t="shared" si="15"/>
        <v>46220E</v>
      </c>
      <c r="B37" s="51">
        <f t="shared" si="32"/>
        <v>46220</v>
      </c>
      <c r="C37" s="52" t="s">
        <v>88</v>
      </c>
      <c r="D37" s="91">
        <v>1308</v>
      </c>
      <c r="E37" s="62">
        <v>4.0999999999999996</v>
      </c>
      <c r="F37" s="62">
        <v>8.19</v>
      </c>
      <c r="G37" s="62">
        <f t="shared" si="16"/>
        <v>53.627999999999993</v>
      </c>
      <c r="H37" s="63">
        <f t="shared" si="17"/>
        <v>107.12520000000001</v>
      </c>
      <c r="I37" s="202">
        <v>6936.5</v>
      </c>
      <c r="J37" s="203">
        <v>7144.5950000000003</v>
      </c>
      <c r="K37" s="120">
        <v>4.112699488214516</v>
      </c>
      <c r="L37" s="121">
        <v>8.2531932530815251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8"/>
        <v>7144.5950000000003</v>
      </c>
      <c r="S37" s="62">
        <f t="shared" si="19"/>
        <v>293.83572199999992</v>
      </c>
      <c r="T37" s="63">
        <f t="shared" si="20"/>
        <v>589.65723250000008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34"/>
        <v>0</v>
      </c>
      <c r="AB37" s="62">
        <f t="shared" si="35"/>
        <v>0</v>
      </c>
      <c r="AC37" s="69"/>
      <c r="AD37" s="70"/>
      <c r="AE37" s="70"/>
      <c r="AF37" s="62">
        <f t="shared" ref="AF37:AF50" si="36">AC37*AD37%</f>
        <v>0</v>
      </c>
      <c r="AG37" s="63">
        <f t="shared" ref="AG37:AG50" si="37">AC37*AE37%</f>
        <v>0</v>
      </c>
      <c r="AH37" s="66">
        <v>8452</v>
      </c>
      <c r="AI37" s="66">
        <v>4.0999999999999996</v>
      </c>
      <c r="AJ37" s="66">
        <v>8.24</v>
      </c>
      <c r="AK37" s="62">
        <f t="shared" si="25"/>
        <v>346.53199999999998</v>
      </c>
      <c r="AL37" s="72">
        <f t="shared" si="26"/>
        <v>696.44479999999999</v>
      </c>
      <c r="AM37" s="73">
        <f t="shared" si="27"/>
        <v>0.59500000000116415</v>
      </c>
      <c r="AN37" s="74">
        <f t="shared" si="28"/>
        <v>0.93172199999992245</v>
      </c>
      <c r="AO37" s="74">
        <f t="shared" si="29"/>
        <v>0.33763250000015432</v>
      </c>
      <c r="AP37" s="75">
        <f t="shared" si="30"/>
        <v>1.4367454698248833E-3</v>
      </c>
      <c r="AQ37" s="76">
        <f t="shared" si="31"/>
        <v>548.84067319374458</v>
      </c>
      <c r="AR37" s="77">
        <f t="shared" si="33"/>
        <v>0.59500000000116415</v>
      </c>
    </row>
    <row r="38" spans="1:44" x14ac:dyDescent="0.25">
      <c r="A38" t="str">
        <f t="shared" si="15"/>
        <v>46221M</v>
      </c>
      <c r="B38" s="51">
        <f t="shared" si="32"/>
        <v>46221</v>
      </c>
      <c r="C38" s="52" t="s">
        <v>87</v>
      </c>
      <c r="D38" s="91">
        <v>8452</v>
      </c>
      <c r="E38" s="62">
        <v>4.0999999999999996</v>
      </c>
      <c r="F38" s="62">
        <v>8.24</v>
      </c>
      <c r="G38" s="62">
        <f t="shared" si="16"/>
        <v>346.53199999999998</v>
      </c>
      <c r="H38" s="63">
        <f t="shared" si="17"/>
        <v>696.44479999999999</v>
      </c>
      <c r="I38" s="202">
        <v>8182.9</v>
      </c>
      <c r="J38" s="203">
        <v>8428.3870000000006</v>
      </c>
      <c r="K38" s="120">
        <v>4.1902369575578335</v>
      </c>
      <c r="L38" s="121">
        <v>8.1679728458126064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8428.3870000000006</v>
      </c>
      <c r="S38" s="62">
        <f t="shared" si="19"/>
        <v>353.16938699999997</v>
      </c>
      <c r="T38" s="63">
        <f t="shared" si="20"/>
        <v>688.42836149999971</v>
      </c>
      <c r="U38" s="64" t="s">
        <v>192</v>
      </c>
      <c r="V38" s="65" t="s">
        <v>622</v>
      </c>
      <c r="W38" s="66" t="s">
        <v>187</v>
      </c>
      <c r="X38" s="67">
        <v>4760</v>
      </c>
      <c r="Y38" s="68">
        <v>3.8</v>
      </c>
      <c r="Z38" s="68">
        <v>8.0399999999999991</v>
      </c>
      <c r="AA38" s="62">
        <f t="shared" si="34"/>
        <v>180.88</v>
      </c>
      <c r="AB38" s="62">
        <f t="shared" si="35"/>
        <v>382.70399999999995</v>
      </c>
      <c r="AC38" s="69">
        <v>4750</v>
      </c>
      <c r="AD38" s="70">
        <v>3.4678947368421045</v>
      </c>
      <c r="AE38" s="70">
        <v>7.9812842105263142</v>
      </c>
      <c r="AF38" s="62">
        <f t="shared" si="36"/>
        <v>164.72499999999997</v>
      </c>
      <c r="AG38" s="63">
        <f t="shared" si="37"/>
        <v>379.11099999999993</v>
      </c>
      <c r="AH38" s="66">
        <v>12119</v>
      </c>
      <c r="AI38" s="66">
        <v>4.13</v>
      </c>
      <c r="AJ38" s="66">
        <v>8.1999999999999993</v>
      </c>
      <c r="AK38" s="62">
        <f t="shared" si="25"/>
        <v>500.51469999999995</v>
      </c>
      <c r="AL38" s="72">
        <f t="shared" si="26"/>
        <v>993.75799999999992</v>
      </c>
      <c r="AM38" s="73">
        <f t="shared" si="27"/>
        <v>11.387000000002445</v>
      </c>
      <c r="AN38" s="74">
        <f t="shared" si="28"/>
        <v>34.461686999999984</v>
      </c>
      <c r="AO38" s="74">
        <f t="shared" si="29"/>
        <v>12.004161499999896</v>
      </c>
      <c r="AP38" s="75">
        <f t="shared" si="30"/>
        <v>4.4610166032823272E-2</v>
      </c>
      <c r="AQ38" s="76">
        <f t="shared" si="31"/>
        <v>20155.10171030321</v>
      </c>
      <c r="AR38" s="77">
        <f t="shared" si="33"/>
        <v>1.3870000000024447</v>
      </c>
    </row>
    <row r="39" spans="1:44" x14ac:dyDescent="0.25">
      <c r="A39" t="str">
        <f t="shared" si="15"/>
        <v>46221E</v>
      </c>
      <c r="B39" s="51">
        <f t="shared" si="32"/>
        <v>46221</v>
      </c>
      <c r="C39" s="52" t="s">
        <v>88</v>
      </c>
      <c r="D39" s="91">
        <v>12119</v>
      </c>
      <c r="E39" s="62">
        <v>4.13</v>
      </c>
      <c r="F39" s="62">
        <v>8.1999999999999993</v>
      </c>
      <c r="G39" s="62">
        <f t="shared" si="16"/>
        <v>500.51469999999995</v>
      </c>
      <c r="H39" s="63">
        <f t="shared" si="17"/>
        <v>993.75799999999992</v>
      </c>
      <c r="I39" s="202">
        <v>5372.5</v>
      </c>
      <c r="J39" s="203">
        <v>5533.6750000000002</v>
      </c>
      <c r="K39" s="120">
        <v>4.1610665425779434</v>
      </c>
      <c r="L39" s="121">
        <v>8.2671977664029761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8"/>
        <v>5533.6750000000002</v>
      </c>
      <c r="S39" s="62">
        <f t="shared" si="19"/>
        <v>230.25989899999999</v>
      </c>
      <c r="T39" s="63">
        <f t="shared" si="20"/>
        <v>457.47985599999987</v>
      </c>
      <c r="U39" s="64" t="s">
        <v>191</v>
      </c>
      <c r="V39" s="65" t="s">
        <v>623</v>
      </c>
      <c r="W39" s="66" t="s">
        <v>187</v>
      </c>
      <c r="X39" s="67">
        <v>15480</v>
      </c>
      <c r="Y39" s="68">
        <v>4.1500000000000004</v>
      </c>
      <c r="Z39" s="68">
        <v>8.24</v>
      </c>
      <c r="AA39" s="62">
        <f t="shared" si="34"/>
        <v>642.42000000000007</v>
      </c>
      <c r="AB39" s="62">
        <f t="shared" si="35"/>
        <v>1275.5519999999999</v>
      </c>
      <c r="AC39" s="69">
        <v>15340</v>
      </c>
      <c r="AD39" s="70">
        <v>4.0999999999999996</v>
      </c>
      <c r="AE39" s="70">
        <v>8.16</v>
      </c>
      <c r="AF39" s="62">
        <f t="shared" si="36"/>
        <v>628.93999999999994</v>
      </c>
      <c r="AG39" s="63">
        <f t="shared" si="37"/>
        <v>1251.7440000000001</v>
      </c>
      <c r="AH39" s="66">
        <v>2170</v>
      </c>
      <c r="AI39" s="66">
        <v>4.1399999999999997</v>
      </c>
      <c r="AJ39" s="66">
        <v>8.2100000000000009</v>
      </c>
      <c r="AK39" s="62">
        <f t="shared" si="25"/>
        <v>89.837999999999994</v>
      </c>
      <c r="AL39" s="72">
        <f t="shared" si="26"/>
        <v>178.15700000000001</v>
      </c>
      <c r="AM39" s="73">
        <f t="shared" si="27"/>
        <v>142.67499999999927</v>
      </c>
      <c r="AN39" s="74">
        <f t="shared" si="28"/>
        <v>11.996599000000032</v>
      </c>
      <c r="AO39" s="74">
        <f t="shared" si="29"/>
        <v>21.336855999999585</v>
      </c>
      <c r="AP39" s="75">
        <f t="shared" si="30"/>
        <v>4.84681229457204E-2</v>
      </c>
      <c r="AQ39" s="76">
        <f t="shared" si="31"/>
        <v>12154.954686321096</v>
      </c>
      <c r="AR39" s="77">
        <f t="shared" si="33"/>
        <v>2.6749999999992724</v>
      </c>
    </row>
    <row r="40" spans="1:44" x14ac:dyDescent="0.25">
      <c r="A40" t="str">
        <f t="shared" si="15"/>
        <v>46222M</v>
      </c>
      <c r="B40" s="51">
        <f t="shared" si="32"/>
        <v>46222</v>
      </c>
      <c r="C40" s="52" t="s">
        <v>87</v>
      </c>
      <c r="D40" s="91">
        <v>2170</v>
      </c>
      <c r="E40" s="62">
        <v>4.1399999999999997</v>
      </c>
      <c r="F40" s="62">
        <v>8.2100000000000009</v>
      </c>
      <c r="G40" s="62">
        <f t="shared" si="16"/>
        <v>89.837999999999994</v>
      </c>
      <c r="H40" s="63">
        <f t="shared" si="17"/>
        <v>178.15700000000001</v>
      </c>
      <c r="I40" s="202">
        <v>2637.1</v>
      </c>
      <c r="J40" s="203">
        <v>2716.2130000000002</v>
      </c>
      <c r="K40" s="120">
        <v>4.7235922035569349</v>
      </c>
      <c r="L40" s="121">
        <v>8.4046661105001661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8"/>
        <v>2716.2130000000002</v>
      </c>
      <c r="S40" s="62">
        <f t="shared" si="19"/>
        <v>128.30282549999993</v>
      </c>
      <c r="T40" s="63">
        <f t="shared" si="20"/>
        <v>228.28863349999989</v>
      </c>
      <c r="U40" s="64" t="s">
        <v>192</v>
      </c>
      <c r="V40" s="65" t="s">
        <v>624</v>
      </c>
      <c r="W40" s="66" t="s">
        <v>187</v>
      </c>
      <c r="X40" s="67">
        <v>4440</v>
      </c>
      <c r="Y40" s="68">
        <v>4.0999999999999996</v>
      </c>
      <c r="Z40" s="68">
        <v>8.1</v>
      </c>
      <c r="AA40" s="62">
        <f t="shared" si="34"/>
        <v>182.03999999999996</v>
      </c>
      <c r="AB40" s="62">
        <f t="shared" si="35"/>
        <v>359.64</v>
      </c>
      <c r="AC40" s="69">
        <v>4420</v>
      </c>
      <c r="AD40" s="70">
        <v>3.8714932126696842</v>
      </c>
      <c r="AE40" s="70">
        <v>7.9342986425339355</v>
      </c>
      <c r="AF40" s="62">
        <f t="shared" si="36"/>
        <v>171.12000000000003</v>
      </c>
      <c r="AG40" s="63">
        <f t="shared" si="37"/>
        <v>350.69599999999991</v>
      </c>
      <c r="AH40" s="66">
        <v>444</v>
      </c>
      <c r="AI40" s="66">
        <v>4.4400000000000004</v>
      </c>
      <c r="AJ40" s="66">
        <v>8.31</v>
      </c>
      <c r="AK40" s="62">
        <f t="shared" si="25"/>
        <v>19.7136</v>
      </c>
      <c r="AL40" s="72">
        <f t="shared" si="26"/>
        <v>36.8964</v>
      </c>
      <c r="AM40" s="73">
        <f t="shared" si="27"/>
        <v>22.212999999999738</v>
      </c>
      <c r="AN40" s="74">
        <f t="shared" si="28"/>
        <v>27.307225499999888</v>
      </c>
      <c r="AO40" s="74">
        <f t="shared" si="29"/>
        <v>18.853233499999959</v>
      </c>
      <c r="AP40" s="75">
        <f t="shared" si="30"/>
        <v>0.12944914364872623</v>
      </c>
      <c r="AQ40" s="76">
        <f t="shared" si="31"/>
        <v>18768.386197464832</v>
      </c>
      <c r="AR40" s="77">
        <f t="shared" si="33"/>
        <v>2.2129999999997381</v>
      </c>
    </row>
    <row r="41" spans="1:44" x14ac:dyDescent="0.25">
      <c r="A41" t="str">
        <f t="shared" si="15"/>
        <v>46222E</v>
      </c>
      <c r="B41" s="51">
        <f t="shared" si="32"/>
        <v>46222</v>
      </c>
      <c r="C41" s="52" t="s">
        <v>88</v>
      </c>
      <c r="D41" s="91">
        <v>444</v>
      </c>
      <c r="E41" s="62">
        <v>4.4400000000000004</v>
      </c>
      <c r="F41" s="62">
        <v>8.31</v>
      </c>
      <c r="G41" s="62">
        <f t="shared" si="16"/>
        <v>19.7136</v>
      </c>
      <c r="H41" s="63">
        <f t="shared" si="17"/>
        <v>36.8964</v>
      </c>
      <c r="I41" s="202">
        <v>8689.8499999999985</v>
      </c>
      <c r="J41" s="203">
        <v>8950.5454999999984</v>
      </c>
      <c r="K41" s="120">
        <v>3.8132016087734542</v>
      </c>
      <c r="L41" s="121">
        <v>8.2016640103108802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8"/>
        <v>8950.5454999999984</v>
      </c>
      <c r="S41" s="62">
        <f t="shared" si="19"/>
        <v>341.30234499999995</v>
      </c>
      <c r="T41" s="63">
        <f t="shared" si="20"/>
        <v>734.09366899999986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34"/>
        <v>0</v>
      </c>
      <c r="AB41" s="62">
        <f t="shared" si="35"/>
        <v>0</v>
      </c>
      <c r="AC41" s="69"/>
      <c r="AD41" s="70"/>
      <c r="AE41" s="70"/>
      <c r="AF41" s="62">
        <f t="shared" si="36"/>
        <v>0</v>
      </c>
      <c r="AG41" s="63">
        <f t="shared" si="37"/>
        <v>0</v>
      </c>
      <c r="AH41" s="66">
        <v>9394</v>
      </c>
      <c r="AI41" s="66">
        <v>3.81</v>
      </c>
      <c r="AJ41" s="66">
        <v>8.17</v>
      </c>
      <c r="AK41" s="62">
        <f t="shared" si="25"/>
        <v>357.91140000000001</v>
      </c>
      <c r="AL41" s="72">
        <f t="shared" si="26"/>
        <v>767.48979999999995</v>
      </c>
      <c r="AM41" s="73">
        <f t="shared" si="27"/>
        <v>0.54549999999835563</v>
      </c>
      <c r="AN41" s="74">
        <f t="shared" si="28"/>
        <v>3.1045449999999164</v>
      </c>
      <c r="AO41" s="74">
        <f t="shared" si="29"/>
        <v>3.5002689999998893</v>
      </c>
      <c r="AP41" s="75">
        <f t="shared" si="30"/>
        <v>6.1417504937858235E-3</v>
      </c>
      <c r="AQ41" s="76">
        <f t="shared" si="31"/>
        <v>2540.1343186595086</v>
      </c>
      <c r="AR41" s="77">
        <f t="shared" si="33"/>
        <v>0.54549999999835563</v>
      </c>
    </row>
    <row r="42" spans="1:44" x14ac:dyDescent="0.25">
      <c r="A42" t="str">
        <f t="shared" si="15"/>
        <v>46223M</v>
      </c>
      <c r="B42" s="51">
        <f t="shared" si="32"/>
        <v>46223</v>
      </c>
      <c r="C42" s="52" t="s">
        <v>87</v>
      </c>
      <c r="D42" s="91">
        <v>9394</v>
      </c>
      <c r="E42" s="62">
        <v>3.81</v>
      </c>
      <c r="F42" s="62">
        <v>8.17</v>
      </c>
      <c r="G42" s="62">
        <f t="shared" si="16"/>
        <v>357.91140000000001</v>
      </c>
      <c r="H42" s="63">
        <f t="shared" si="17"/>
        <v>767.48979999999995</v>
      </c>
      <c r="I42" s="202">
        <v>6553.2000000000007</v>
      </c>
      <c r="J42" s="203">
        <v>6749.7960000000012</v>
      </c>
      <c r="K42" s="120">
        <v>3.8442379295611304</v>
      </c>
      <c r="L42" s="121">
        <v>8.1495826466459143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8"/>
        <v>6749.7960000000012</v>
      </c>
      <c r="S42" s="62">
        <f t="shared" si="19"/>
        <v>259.47821800000003</v>
      </c>
      <c r="T42" s="63">
        <f t="shared" si="20"/>
        <v>550.08020350000015</v>
      </c>
      <c r="U42" s="64" t="s">
        <v>191</v>
      </c>
      <c r="V42" s="65" t="s">
        <v>700</v>
      </c>
      <c r="W42" s="66" t="s">
        <v>187</v>
      </c>
      <c r="X42" s="67">
        <v>15490</v>
      </c>
      <c r="Y42" s="68">
        <v>4.1500000000000004</v>
      </c>
      <c r="Z42" s="68">
        <v>8.36</v>
      </c>
      <c r="AA42" s="62">
        <f t="shared" si="34"/>
        <v>642.83500000000004</v>
      </c>
      <c r="AB42" s="62">
        <f t="shared" si="35"/>
        <v>1294.9639999999999</v>
      </c>
      <c r="AC42" s="69">
        <v>15480</v>
      </c>
      <c r="AD42" s="70">
        <v>4.05</v>
      </c>
      <c r="AE42" s="70">
        <v>8.09</v>
      </c>
      <c r="AF42" s="62">
        <f t="shared" si="36"/>
        <v>626.94000000000005</v>
      </c>
      <c r="AG42" s="63">
        <f>AC42*AE42%</f>
        <v>1252.3320000000001</v>
      </c>
      <c r="AH42" s="66">
        <v>651</v>
      </c>
      <c r="AI42" s="66">
        <v>3.82</v>
      </c>
      <c r="AJ42" s="66">
        <v>8.15</v>
      </c>
      <c r="AK42" s="62">
        <f t="shared" si="25"/>
        <v>24.868199999999998</v>
      </c>
      <c r="AL42" s="72">
        <f t="shared" si="26"/>
        <v>53.0565</v>
      </c>
      <c r="AM42" s="73">
        <f t="shared" si="27"/>
        <v>12.796000000002095</v>
      </c>
      <c r="AN42" s="74">
        <f t="shared" si="28"/>
        <v>-34.418582000000015</v>
      </c>
      <c r="AO42" s="74">
        <f t="shared" si="29"/>
        <v>12.181503499999877</v>
      </c>
      <c r="AP42" s="75">
        <f t="shared" si="30"/>
        <v>-2.7468157836957458E-2</v>
      </c>
      <c r="AQ42" s="76">
        <f t="shared" si="31"/>
        <v>-12890.997000539344</v>
      </c>
      <c r="AR42" s="77">
        <f t="shared" si="33"/>
        <v>2.7960000000020955</v>
      </c>
    </row>
    <row r="43" spans="1:44" x14ac:dyDescent="0.25">
      <c r="A43" t="str">
        <f t="shared" si="15"/>
        <v>46223E</v>
      </c>
      <c r="B43" s="51">
        <f t="shared" si="32"/>
        <v>46223</v>
      </c>
      <c r="C43" s="52" t="s">
        <v>88</v>
      </c>
      <c r="D43" s="91">
        <v>651</v>
      </c>
      <c r="E43" s="62">
        <v>3.82</v>
      </c>
      <c r="F43" s="62">
        <v>8.15</v>
      </c>
      <c r="G43" s="62">
        <f t="shared" si="16"/>
        <v>24.868199999999998</v>
      </c>
      <c r="H43" s="63">
        <f t="shared" si="17"/>
        <v>53.0565</v>
      </c>
      <c r="I43" s="202">
        <v>4725.7000000000007</v>
      </c>
      <c r="J43" s="203">
        <v>4867.4710000000005</v>
      </c>
      <c r="K43" s="120">
        <v>4.3709207101593419</v>
      </c>
      <c r="L43" s="121">
        <v>8.3604227945066327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8"/>
        <v>4867.4710000000005</v>
      </c>
      <c r="S43" s="62">
        <f t="shared" si="19"/>
        <v>212.75329800000006</v>
      </c>
      <c r="T43" s="63">
        <f t="shared" si="20"/>
        <v>406.94115500000004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34"/>
        <v>0</v>
      </c>
      <c r="AB43" s="62">
        <f t="shared" si="35"/>
        <v>0</v>
      </c>
      <c r="AC43" s="69"/>
      <c r="AD43" s="70"/>
      <c r="AE43" s="70"/>
      <c r="AF43" s="62">
        <f t="shared" si="36"/>
        <v>0</v>
      </c>
      <c r="AG43" s="63">
        <f t="shared" si="37"/>
        <v>0</v>
      </c>
      <c r="AH43" s="66">
        <v>5517</v>
      </c>
      <c r="AI43" s="66">
        <v>4.2699999999999996</v>
      </c>
      <c r="AJ43" s="66">
        <v>8.32</v>
      </c>
      <c r="AK43" s="62">
        <f t="shared" si="25"/>
        <v>235.57589999999996</v>
      </c>
      <c r="AL43" s="72">
        <f t="shared" si="26"/>
        <v>459.01439999999997</v>
      </c>
      <c r="AM43" s="73">
        <f t="shared" si="27"/>
        <v>1.4710000000004584</v>
      </c>
      <c r="AN43" s="74">
        <f t="shared" si="28"/>
        <v>2.0455980000000977</v>
      </c>
      <c r="AO43" s="74">
        <f t="shared" si="29"/>
        <v>0.9832550000000424</v>
      </c>
      <c r="AP43" s="75">
        <f t="shared" si="30"/>
        <v>4.8876554975394301E-3</v>
      </c>
      <c r="AQ43" s="76">
        <f t="shared" si="31"/>
        <v>1277.452534964772</v>
      </c>
      <c r="AR43" s="77">
        <f t="shared" si="33"/>
        <v>1.4710000000004584</v>
      </c>
    </row>
    <row r="44" spans="1:44" x14ac:dyDescent="0.25">
      <c r="A44" t="str">
        <f t="shared" si="15"/>
        <v>46224M</v>
      </c>
      <c r="B44" s="51">
        <f t="shared" si="32"/>
        <v>46224</v>
      </c>
      <c r="C44" s="52" t="s">
        <v>87</v>
      </c>
      <c r="D44" s="91">
        <v>5517</v>
      </c>
      <c r="E44" s="62">
        <v>4.2699999999999996</v>
      </c>
      <c r="F44" s="62">
        <v>8.32</v>
      </c>
      <c r="G44" s="62">
        <f t="shared" si="16"/>
        <v>235.57589999999996</v>
      </c>
      <c r="H44" s="63">
        <f t="shared" si="17"/>
        <v>459.01439999999997</v>
      </c>
      <c r="I44" s="202">
        <v>9148.85</v>
      </c>
      <c r="J44" s="203">
        <v>9423.3155000000006</v>
      </c>
      <c r="K44" s="120">
        <v>3.6461003295496148</v>
      </c>
      <c r="L44" s="121">
        <v>8.1306311722238327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8"/>
        <v>9423.3155000000006</v>
      </c>
      <c r="S44" s="62">
        <f t="shared" si="19"/>
        <v>343.58353749999992</v>
      </c>
      <c r="T44" s="63">
        <f t="shared" si="20"/>
        <v>766.17502750000017</v>
      </c>
      <c r="U44" s="64" t="s">
        <v>191</v>
      </c>
      <c r="V44" s="65" t="s">
        <v>701</v>
      </c>
      <c r="W44" s="66" t="s">
        <v>187</v>
      </c>
      <c r="X44" s="67">
        <v>15090</v>
      </c>
      <c r="Y44" s="68">
        <v>4.3</v>
      </c>
      <c r="Z44" s="68">
        <v>8.33</v>
      </c>
      <c r="AA44" s="62">
        <f t="shared" si="34"/>
        <v>648.87</v>
      </c>
      <c r="AB44" s="62">
        <f t="shared" si="35"/>
        <v>1256.9970000000001</v>
      </c>
      <c r="AC44" s="69">
        <v>15110</v>
      </c>
      <c r="AD44" s="70">
        <v>4.2500000000000009</v>
      </c>
      <c r="AE44" s="70">
        <v>8.259999999999998</v>
      </c>
      <c r="AF44" s="62">
        <f t="shared" si="36"/>
        <v>642.17500000000018</v>
      </c>
      <c r="AG44" s="63">
        <f t="shared" si="37"/>
        <v>1248.0859999999998</v>
      </c>
      <c r="AH44" s="66">
        <v>0</v>
      </c>
      <c r="AI44" s="66">
        <v>0</v>
      </c>
      <c r="AJ44" s="66">
        <v>0</v>
      </c>
      <c r="AK44" s="62">
        <f t="shared" si="25"/>
        <v>0</v>
      </c>
      <c r="AL44" s="72">
        <f t="shared" si="26"/>
        <v>0</v>
      </c>
      <c r="AM44" s="73">
        <f t="shared" si="27"/>
        <v>-169.68449999999939</v>
      </c>
      <c r="AN44" s="74">
        <f t="shared" si="28"/>
        <v>-63.015562500000328</v>
      </c>
      <c r="AO44" s="74">
        <f t="shared" si="29"/>
        <v>-22.896572499999593</v>
      </c>
      <c r="AP44" s="75">
        <f t="shared" si="30"/>
        <v>-7.7415158314186938E-2</v>
      </c>
      <c r="AQ44" s="76">
        <f t="shared" si="31"/>
        <v>-37138.348339329932</v>
      </c>
      <c r="AR44" s="77">
        <f t="shared" si="33"/>
        <v>-149.68449999999939</v>
      </c>
    </row>
    <row r="45" spans="1:44" x14ac:dyDescent="0.25">
      <c r="A45" t="str">
        <f t="shared" si="15"/>
        <v>46224E</v>
      </c>
      <c r="B45" s="51">
        <f t="shared" si="32"/>
        <v>46224</v>
      </c>
      <c r="C45" s="52" t="s">
        <v>88</v>
      </c>
      <c r="D45" s="91">
        <v>0</v>
      </c>
      <c r="E45" s="62">
        <v>0</v>
      </c>
      <c r="F45" s="62">
        <v>0</v>
      </c>
      <c r="G45" s="62">
        <f t="shared" si="16"/>
        <v>0</v>
      </c>
      <c r="H45" s="63">
        <f t="shared" si="17"/>
        <v>0</v>
      </c>
      <c r="I45" s="202">
        <v>7863.1500000000015</v>
      </c>
      <c r="J45" s="203">
        <v>8099.0445000000018</v>
      </c>
      <c r="K45" s="120">
        <v>4.0303631496283288</v>
      </c>
      <c r="L45" s="121">
        <v>8.1954846340207173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8"/>
        <v>8099.0445000000018</v>
      </c>
      <c r="S45" s="62">
        <f t="shared" si="19"/>
        <v>326.420905</v>
      </c>
      <c r="T45" s="63">
        <f t="shared" si="20"/>
        <v>663.75594750000016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34"/>
        <v>0</v>
      </c>
      <c r="AB45" s="62">
        <f t="shared" si="35"/>
        <v>0</v>
      </c>
      <c r="AC45" s="69"/>
      <c r="AD45" s="70"/>
      <c r="AE45" s="70"/>
      <c r="AF45" s="62">
        <f t="shared" si="36"/>
        <v>0</v>
      </c>
      <c r="AG45" s="63">
        <f t="shared" si="37"/>
        <v>0</v>
      </c>
      <c r="AH45" s="66">
        <v>8102</v>
      </c>
      <c r="AI45" s="66">
        <v>4.0199999999999996</v>
      </c>
      <c r="AJ45" s="66">
        <v>8.19</v>
      </c>
      <c r="AK45" s="62">
        <f t="shared" si="25"/>
        <v>325.70039999999995</v>
      </c>
      <c r="AL45" s="72">
        <f t="shared" si="26"/>
        <v>663.55380000000002</v>
      </c>
      <c r="AM45" s="73">
        <f t="shared" si="27"/>
        <v>-2.9554999999982101</v>
      </c>
      <c r="AN45" s="74">
        <f t="shared" si="28"/>
        <v>0.72050500000005968</v>
      </c>
      <c r="AO45" s="74">
        <f t="shared" si="29"/>
        <v>0.20214750000013737</v>
      </c>
      <c r="AP45" s="75">
        <f t="shared" si="30"/>
        <v>9.3180576547581616E-4</v>
      </c>
      <c r="AQ45" s="76">
        <f t="shared" si="31"/>
        <v>406.76747899212853</v>
      </c>
      <c r="AR45" s="77">
        <f t="shared" si="33"/>
        <v>-2.9554999999982101</v>
      </c>
    </row>
    <row r="46" spans="1:44" x14ac:dyDescent="0.25">
      <c r="A46" t="str">
        <f t="shared" si="15"/>
        <v>46225M</v>
      </c>
      <c r="B46" s="51">
        <f t="shared" si="32"/>
        <v>46225</v>
      </c>
      <c r="C46" s="52" t="s">
        <v>87</v>
      </c>
      <c r="D46" s="91">
        <v>8102</v>
      </c>
      <c r="E46" s="62">
        <v>4.0199999999999996</v>
      </c>
      <c r="F46" s="62">
        <v>8.19</v>
      </c>
      <c r="G46" s="62">
        <f t="shared" si="16"/>
        <v>325.70039999999995</v>
      </c>
      <c r="H46" s="63">
        <f t="shared" si="17"/>
        <v>663.55380000000002</v>
      </c>
      <c r="I46" s="202">
        <v>6684.7499999999991</v>
      </c>
      <c r="J46" s="203">
        <v>6885.2924999999996</v>
      </c>
      <c r="K46" s="120">
        <v>3.9340169789446127</v>
      </c>
      <c r="L46" s="121">
        <v>8.1847690639141355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8"/>
        <v>6885.2924999999996</v>
      </c>
      <c r="S46" s="62">
        <f t="shared" si="19"/>
        <v>270.86857599999996</v>
      </c>
      <c r="T46" s="63">
        <f t="shared" si="20"/>
        <v>563.54529050000008</v>
      </c>
      <c r="U46" s="64" t="s">
        <v>191</v>
      </c>
      <c r="V46" s="65" t="s">
        <v>759</v>
      </c>
      <c r="W46" s="66" t="s">
        <v>187</v>
      </c>
      <c r="X46" s="67">
        <v>15070</v>
      </c>
      <c r="Y46" s="68">
        <v>4.3499999999999996</v>
      </c>
      <c r="Z46" s="68">
        <v>8.4</v>
      </c>
      <c r="AA46" s="62">
        <f t="shared" si="34"/>
        <v>655.54499999999996</v>
      </c>
      <c r="AB46" s="62">
        <f t="shared" si="35"/>
        <v>1265.8800000000001</v>
      </c>
      <c r="AC46" s="69">
        <v>15110</v>
      </c>
      <c r="AD46" s="70">
        <v>4.2</v>
      </c>
      <c r="AE46" s="70">
        <v>8.1300000000000026</v>
      </c>
      <c r="AF46" s="62">
        <f t="shared" si="36"/>
        <v>634.62</v>
      </c>
      <c r="AG46" s="63">
        <f t="shared" si="37"/>
        <v>1228.4430000000004</v>
      </c>
      <c r="AH46" s="66">
        <v>0</v>
      </c>
      <c r="AI46" s="66">
        <v>0</v>
      </c>
      <c r="AJ46" s="66">
        <v>0</v>
      </c>
      <c r="AK46" s="62">
        <f t="shared" si="25"/>
        <v>0</v>
      </c>
      <c r="AL46" s="72">
        <f t="shared" si="26"/>
        <v>0</v>
      </c>
      <c r="AM46" s="73">
        <f t="shared" si="27"/>
        <v>-122.70750000000044</v>
      </c>
      <c r="AN46" s="74">
        <f t="shared" si="28"/>
        <v>-38.051024000000098</v>
      </c>
      <c r="AO46" s="74">
        <f t="shared" si="29"/>
        <v>-1.3439095000003363</v>
      </c>
      <c r="AP46" s="75">
        <f t="shared" si="30"/>
        <v>-4.7212702331092468E-2</v>
      </c>
      <c r="AQ46" s="76">
        <f t="shared" si="31"/>
        <v>-18687.244387904328</v>
      </c>
      <c r="AR46" s="77">
        <f t="shared" si="33"/>
        <v>-82.707500000000437</v>
      </c>
    </row>
    <row r="47" spans="1:44" x14ac:dyDescent="0.25">
      <c r="A47" t="str">
        <f t="shared" si="15"/>
        <v>46225E</v>
      </c>
      <c r="B47" s="51">
        <f t="shared" si="32"/>
        <v>46225</v>
      </c>
      <c r="C47" s="52" t="s">
        <v>88</v>
      </c>
      <c r="D47" s="91">
        <v>0</v>
      </c>
      <c r="E47" s="62">
        <v>0</v>
      </c>
      <c r="F47" s="62">
        <v>0</v>
      </c>
      <c r="G47" s="62">
        <f t="shared" si="16"/>
        <v>0</v>
      </c>
      <c r="H47" s="63">
        <f t="shared" si="17"/>
        <v>0</v>
      </c>
      <c r="I47" s="202">
        <v>9500.4499999999971</v>
      </c>
      <c r="J47" s="203">
        <v>9785.463499999998</v>
      </c>
      <c r="K47" s="120">
        <v>4.1038719218563324</v>
      </c>
      <c r="L47" s="121">
        <v>8.2100832065849509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8"/>
        <v>9785.463499999998</v>
      </c>
      <c r="S47" s="62">
        <f t="shared" si="19"/>
        <v>401.5828889999998</v>
      </c>
      <c r="T47" s="63">
        <f t="shared" si="20"/>
        <v>803.39469549999978</v>
      </c>
      <c r="U47" s="64" t="s">
        <v>180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34"/>
        <v>0</v>
      </c>
      <c r="AB47" s="62">
        <f t="shared" si="35"/>
        <v>0</v>
      </c>
      <c r="AC47" s="69"/>
      <c r="AD47" s="70"/>
      <c r="AE47" s="70"/>
      <c r="AF47" s="62">
        <f t="shared" si="36"/>
        <v>0</v>
      </c>
      <c r="AG47" s="63">
        <f t="shared" si="37"/>
        <v>0</v>
      </c>
      <c r="AH47" s="66">
        <v>9784</v>
      </c>
      <c r="AI47" s="66">
        <v>4.09</v>
      </c>
      <c r="AJ47" s="66">
        <v>8.1999999999999993</v>
      </c>
      <c r="AK47" s="62">
        <f t="shared" si="25"/>
        <v>400.16559999999998</v>
      </c>
      <c r="AL47" s="72">
        <f t="shared" si="26"/>
        <v>802.2879999999999</v>
      </c>
      <c r="AM47" s="73">
        <f t="shared" si="27"/>
        <v>1.4634999999980209</v>
      </c>
      <c r="AN47" s="74">
        <f t="shared" si="28"/>
        <v>1.4172889999998119</v>
      </c>
      <c r="AO47" s="74">
        <f t="shared" si="29"/>
        <v>1.106695499999887</v>
      </c>
      <c r="AP47" s="75">
        <f t="shared" si="30"/>
        <v>2.0946319105570881E-3</v>
      </c>
      <c r="AQ47" s="76">
        <f t="shared" si="31"/>
        <v>1012.4989420720231</v>
      </c>
      <c r="AR47" s="77">
        <f t="shared" si="33"/>
        <v>1.4634999999980209</v>
      </c>
    </row>
    <row r="48" spans="1:44" x14ac:dyDescent="0.25">
      <c r="A48" t="str">
        <f t="shared" si="15"/>
        <v>46226M</v>
      </c>
      <c r="B48" s="51">
        <f t="shared" si="32"/>
        <v>46226</v>
      </c>
      <c r="C48" s="52" t="s">
        <v>87</v>
      </c>
      <c r="D48" s="91">
        <v>9784</v>
      </c>
      <c r="E48" s="62">
        <v>4.09</v>
      </c>
      <c r="F48" s="62">
        <v>8.1999999999999993</v>
      </c>
      <c r="G48" s="62">
        <f t="shared" si="16"/>
        <v>400.16559999999998</v>
      </c>
      <c r="H48" s="63">
        <f t="shared" si="17"/>
        <v>802.2879999999999</v>
      </c>
      <c r="I48" s="202">
        <v>6243.2</v>
      </c>
      <c r="J48" s="203">
        <v>6430.4960000000001</v>
      </c>
      <c r="K48" s="120">
        <v>3.8305172027165573</v>
      </c>
      <c r="L48" s="121">
        <v>8.21953805740646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8"/>
        <v>6430.4960000000001</v>
      </c>
      <c r="S48" s="62">
        <f t="shared" si="19"/>
        <v>246.32125550000012</v>
      </c>
      <c r="T48" s="63">
        <f t="shared" si="20"/>
        <v>528.55706600000008</v>
      </c>
      <c r="U48" s="64" t="s">
        <v>191</v>
      </c>
      <c r="V48" s="65" t="s">
        <v>760</v>
      </c>
      <c r="W48" s="66" t="s">
        <v>187</v>
      </c>
      <c r="X48" s="67">
        <v>10600</v>
      </c>
      <c r="Y48" s="68">
        <v>4.4000000000000004</v>
      </c>
      <c r="Z48" s="68">
        <v>8.41</v>
      </c>
      <c r="AA48" s="62">
        <f t="shared" si="34"/>
        <v>466.40000000000003</v>
      </c>
      <c r="AB48" s="62">
        <f t="shared" si="35"/>
        <v>891.46</v>
      </c>
      <c r="AC48" s="69">
        <v>10590</v>
      </c>
      <c r="AD48" s="70">
        <v>4.0965533522190736</v>
      </c>
      <c r="AE48" s="70">
        <v>8.1740132200188853</v>
      </c>
      <c r="AF48" s="62">
        <f t="shared" si="36"/>
        <v>433.82499999999987</v>
      </c>
      <c r="AG48" s="63">
        <f t="shared" si="37"/>
        <v>865.62800000000004</v>
      </c>
      <c r="AH48" s="66">
        <v>5612</v>
      </c>
      <c r="AI48" s="66">
        <v>3.97</v>
      </c>
      <c r="AJ48" s="66">
        <v>8.2100000000000009</v>
      </c>
      <c r="AK48" s="62">
        <f t="shared" si="25"/>
        <v>222.79640000000001</v>
      </c>
      <c r="AL48" s="72">
        <f t="shared" si="26"/>
        <v>460.74520000000001</v>
      </c>
      <c r="AM48" s="73">
        <f t="shared" si="27"/>
        <v>12.495999999999185</v>
      </c>
      <c r="AN48" s="74">
        <f t="shared" si="28"/>
        <v>-10.134544499999834</v>
      </c>
      <c r="AO48" s="74">
        <f t="shared" si="29"/>
        <v>4.4718659999998067</v>
      </c>
      <c r="AP48" s="75">
        <f t="shared" si="30"/>
        <v>-7.3078292976867408E-3</v>
      </c>
      <c r="AQ48" s="76">
        <f t="shared" si="31"/>
        <v>-3530.6944192854407</v>
      </c>
      <c r="AR48" s="77">
        <f t="shared" si="33"/>
        <v>2.4959999999991851</v>
      </c>
    </row>
    <row r="49" spans="1:44" x14ac:dyDescent="0.25">
      <c r="A49" t="str">
        <f t="shared" si="15"/>
        <v>46226E</v>
      </c>
      <c r="B49" s="51">
        <f t="shared" si="32"/>
        <v>46226</v>
      </c>
      <c r="C49" s="52" t="s">
        <v>88</v>
      </c>
      <c r="D49" s="91">
        <v>5612</v>
      </c>
      <c r="E49" s="62">
        <v>3.97</v>
      </c>
      <c r="F49" s="62">
        <v>8.2100000000000009</v>
      </c>
      <c r="G49" s="62">
        <f t="shared" si="16"/>
        <v>222.79640000000001</v>
      </c>
      <c r="H49" s="63">
        <f t="shared" si="17"/>
        <v>460.74520000000001</v>
      </c>
      <c r="I49" s="202">
        <v>4716.5999999999995</v>
      </c>
      <c r="J49" s="203">
        <v>4858.098</v>
      </c>
      <c r="K49" s="120">
        <v>4.1868061739388551</v>
      </c>
      <c r="L49" s="121">
        <v>8.3377454098291182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8"/>
        <v>4858.098</v>
      </c>
      <c r="S49" s="62">
        <f t="shared" si="19"/>
        <v>203.39914700000003</v>
      </c>
      <c r="T49" s="63">
        <f t="shared" si="20"/>
        <v>405.05584300000021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4"/>
        <v>0</v>
      </c>
      <c r="AB49" s="62">
        <f t="shared" si="35"/>
        <v>0</v>
      </c>
      <c r="AC49" s="69"/>
      <c r="AD49" s="70"/>
      <c r="AE49" s="70"/>
      <c r="AF49" s="62">
        <f t="shared" si="36"/>
        <v>0</v>
      </c>
      <c r="AG49" s="63">
        <f t="shared" si="37"/>
        <v>0</v>
      </c>
      <c r="AH49" s="66">
        <v>10468</v>
      </c>
      <c r="AI49" s="66">
        <v>4.0599999999999996</v>
      </c>
      <c r="AJ49" s="66">
        <v>8.26</v>
      </c>
      <c r="AK49" s="62">
        <f t="shared" si="25"/>
        <v>425.00079999999997</v>
      </c>
      <c r="AL49" s="72">
        <f t="shared" si="26"/>
        <v>864.65679999999998</v>
      </c>
      <c r="AM49" s="73">
        <f t="shared" si="27"/>
        <v>2.0979999999999563</v>
      </c>
      <c r="AN49" s="74">
        <f t="shared" si="28"/>
        <v>1.1947470000000635</v>
      </c>
      <c r="AO49" s="74">
        <f t="shared" si="29"/>
        <v>1.1442430000001877</v>
      </c>
      <c r="AP49" s="75">
        <f t="shared" si="30"/>
        <v>3.8441463024245239E-3</v>
      </c>
      <c r="AQ49" s="76">
        <f t="shared" si="31"/>
        <v>916.80541010854472</v>
      </c>
      <c r="AR49" s="77">
        <f t="shared" si="33"/>
        <v>2.0979999999999563</v>
      </c>
    </row>
    <row r="50" spans="1:44" x14ac:dyDescent="0.25">
      <c r="A50" t="str">
        <f t="shared" si="15"/>
        <v>46227M</v>
      </c>
      <c r="B50" s="51">
        <f t="shared" si="32"/>
        <v>46227</v>
      </c>
      <c r="C50" s="52" t="s">
        <v>87</v>
      </c>
      <c r="D50" s="91">
        <v>10468</v>
      </c>
      <c r="E50" s="62">
        <v>4.0599999999999996</v>
      </c>
      <c r="F50" s="62">
        <v>8.26</v>
      </c>
      <c r="G50" s="62">
        <f t="shared" si="16"/>
        <v>425.00079999999997</v>
      </c>
      <c r="H50" s="63">
        <f t="shared" si="17"/>
        <v>864.65679999999998</v>
      </c>
      <c r="I50" s="202">
        <v>3541.7000000000003</v>
      </c>
      <c r="J50" s="203">
        <v>3647.9510000000005</v>
      </c>
      <c r="K50" s="120">
        <v>4.6278552672445432</v>
      </c>
      <c r="L50" s="121">
        <v>8.4230623711776857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8"/>
        <v>3647.9510000000005</v>
      </c>
      <c r="S50" s="62">
        <f t="shared" si="19"/>
        <v>168.82189250000002</v>
      </c>
      <c r="T50" s="63">
        <f t="shared" si="20"/>
        <v>307.26918800000016</v>
      </c>
      <c r="U50" s="64" t="s">
        <v>192</v>
      </c>
      <c r="V50" s="65" t="s">
        <v>805</v>
      </c>
      <c r="W50" s="66" t="s">
        <v>190</v>
      </c>
      <c r="X50" s="67">
        <v>5775</v>
      </c>
      <c r="Y50" s="68">
        <v>4.4000000000000004</v>
      </c>
      <c r="Z50" s="68">
        <v>8.35</v>
      </c>
      <c r="AA50" s="62">
        <f t="shared" si="34"/>
        <v>254.10000000000002</v>
      </c>
      <c r="AB50" s="62">
        <f t="shared" si="35"/>
        <v>482.21249999999992</v>
      </c>
      <c r="AC50" s="69">
        <v>5775</v>
      </c>
      <c r="AD50" s="70">
        <v>4.3499999999999996</v>
      </c>
      <c r="AE50" s="70">
        <v>8.2799999999999994</v>
      </c>
      <c r="AF50" s="62">
        <f t="shared" si="36"/>
        <v>251.21249999999998</v>
      </c>
      <c r="AG50" s="63">
        <f t="shared" si="37"/>
        <v>478.17</v>
      </c>
      <c r="AH50" s="66">
        <v>8339</v>
      </c>
      <c r="AI50" s="66">
        <v>4.2</v>
      </c>
      <c r="AJ50" s="66">
        <v>8.3000000000000007</v>
      </c>
      <c r="AK50" s="62">
        <f t="shared" si="25"/>
        <v>350.238</v>
      </c>
      <c r="AL50" s="72">
        <f t="shared" si="26"/>
        <v>692.13700000000006</v>
      </c>
      <c r="AM50" s="73">
        <f t="shared" si="27"/>
        <v>1.9510000000009313</v>
      </c>
      <c r="AN50" s="74">
        <f t="shared" si="28"/>
        <v>-7.6278074999999603</v>
      </c>
      <c r="AO50" s="74">
        <f t="shared" si="29"/>
        <v>1.6189880000000585</v>
      </c>
      <c r="AP50" s="75">
        <f t="shared" si="30"/>
        <v>-1.2621155375751467E-2</v>
      </c>
      <c r="AQ50" s="76">
        <f t="shared" si="31"/>
        <v>-3180.5372686781461</v>
      </c>
      <c r="AR50" s="77">
        <f t="shared" si="33"/>
        <v>1.9510000000009313</v>
      </c>
    </row>
    <row r="51" spans="1:44" x14ac:dyDescent="0.25">
      <c r="A51" t="str">
        <f t="shared" si="15"/>
        <v>46227E</v>
      </c>
      <c r="B51" s="51">
        <f t="shared" si="32"/>
        <v>46227</v>
      </c>
      <c r="C51" s="52" t="s">
        <v>88</v>
      </c>
      <c r="D51" s="91">
        <v>8339</v>
      </c>
      <c r="E51" s="62">
        <v>4.2</v>
      </c>
      <c r="F51" s="62">
        <v>8.3000000000000007</v>
      </c>
      <c r="G51" s="62">
        <f t="shared" si="16"/>
        <v>350.238</v>
      </c>
      <c r="H51" s="63">
        <f t="shared" si="17"/>
        <v>692.13700000000006</v>
      </c>
      <c r="I51" s="202">
        <v>8415.1</v>
      </c>
      <c r="J51" s="203">
        <v>8667.5529999999999</v>
      </c>
      <c r="K51" s="120">
        <v>4.1701144371427556</v>
      </c>
      <c r="L51" s="121">
        <v>8.2065168566030113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8"/>
        <v>8667.5529999999999</v>
      </c>
      <c r="S51" s="62">
        <f t="shared" si="19"/>
        <v>361.44687900000002</v>
      </c>
      <c r="T51" s="63">
        <f t="shared" si="20"/>
        <v>711.30419800000004</v>
      </c>
      <c r="U51" s="64" t="s">
        <v>191</v>
      </c>
      <c r="V51" s="85" t="s">
        <v>806</v>
      </c>
      <c r="W51" s="66" t="s">
        <v>187</v>
      </c>
      <c r="X51" s="67">
        <v>10230</v>
      </c>
      <c r="Y51" s="68">
        <v>4.3</v>
      </c>
      <c r="Z51" s="68">
        <v>8.1999999999999993</v>
      </c>
      <c r="AA51" s="62">
        <f t="shared" si="34"/>
        <v>439.89</v>
      </c>
      <c r="AB51" s="62">
        <f t="shared" si="35"/>
        <v>838.8599999999999</v>
      </c>
      <c r="AC51" s="69">
        <v>10230</v>
      </c>
      <c r="AD51" s="70">
        <v>4.3024437927663728</v>
      </c>
      <c r="AE51" s="70">
        <v>8.18634408602151</v>
      </c>
      <c r="AF51" s="62">
        <f t="shared" ref="AF51:AF63" si="38">AC51*AD51%</f>
        <v>440.13999999999993</v>
      </c>
      <c r="AG51" s="63">
        <f t="shared" ref="AG51:AG63" si="39">AC51*AE51%</f>
        <v>837.46300000000053</v>
      </c>
      <c r="AH51" s="66">
        <v>6774</v>
      </c>
      <c r="AI51" s="66">
        <v>4.17</v>
      </c>
      <c r="AJ51" s="66">
        <v>8.24</v>
      </c>
      <c r="AK51" s="62">
        <f t="shared" si="25"/>
        <v>282.47579999999999</v>
      </c>
      <c r="AL51" s="72">
        <f t="shared" si="26"/>
        <v>558.17759999999998</v>
      </c>
      <c r="AM51" s="73">
        <f t="shared" si="27"/>
        <v>2.5529999999998836</v>
      </c>
      <c r="AN51" s="74">
        <f t="shared" si="28"/>
        <v>-10.930920999999898</v>
      </c>
      <c r="AO51" s="74">
        <f t="shared" si="29"/>
        <v>7.8005979999994679</v>
      </c>
      <c r="AP51" s="75">
        <f t="shared" si="30"/>
        <v>-2.9180329594769823E-3</v>
      </c>
      <c r="AQ51" s="76">
        <f t="shared" si="31"/>
        <v>-2916.4536468175029</v>
      </c>
      <c r="AR51" s="77">
        <f t="shared" si="33"/>
        <v>2.5529999999998836</v>
      </c>
    </row>
    <row r="52" spans="1:44" x14ac:dyDescent="0.25">
      <c r="A52" t="str">
        <f t="shared" si="15"/>
        <v>46228M</v>
      </c>
      <c r="B52" s="51">
        <f t="shared" si="32"/>
        <v>46228</v>
      </c>
      <c r="C52" s="52" t="s">
        <v>87</v>
      </c>
      <c r="D52" s="91">
        <v>6774</v>
      </c>
      <c r="E52" s="62">
        <v>4.17</v>
      </c>
      <c r="F52" s="62">
        <v>8.24</v>
      </c>
      <c r="G52" s="62">
        <f t="shared" si="16"/>
        <v>282.47579999999999</v>
      </c>
      <c r="H52" s="63">
        <f t="shared" si="17"/>
        <v>558.17759999999998</v>
      </c>
      <c r="I52" s="118">
        <v>3618.9499999999994</v>
      </c>
      <c r="J52" s="119">
        <v>3727.5184999999992</v>
      </c>
      <c r="K52" s="120">
        <v>4.4560715124552699</v>
      </c>
      <c r="L52" s="121">
        <v>8.3466309288605824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8"/>
        <v>3727.5184999999992</v>
      </c>
      <c r="S52" s="62">
        <f t="shared" si="19"/>
        <v>166.10088999999996</v>
      </c>
      <c r="T52" s="63">
        <f t="shared" si="20"/>
        <v>311.12221199999999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34"/>
        <v>0</v>
      </c>
      <c r="AB52" s="62">
        <f t="shared" si="35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66">
        <v>10500</v>
      </c>
      <c r="AI52" s="66">
        <v>4.26</v>
      </c>
      <c r="AJ52" s="66">
        <v>8.27</v>
      </c>
      <c r="AK52" s="62">
        <f t="shared" si="25"/>
        <v>447.3</v>
      </c>
      <c r="AL52" s="72">
        <f t="shared" si="26"/>
        <v>868.34999999999991</v>
      </c>
      <c r="AM52" s="73">
        <f t="shared" si="27"/>
        <v>1.518499999998312</v>
      </c>
      <c r="AN52" s="74">
        <f t="shared" si="28"/>
        <v>1.2766899999999737</v>
      </c>
      <c r="AO52" s="74">
        <f t="shared" si="29"/>
        <v>0.94981200000006538</v>
      </c>
      <c r="AP52" s="75">
        <f t="shared" si="30"/>
        <v>4.6655369169450629E-3</v>
      </c>
      <c r="AQ52" s="76">
        <f t="shared" si="31"/>
        <v>897.95133498434598</v>
      </c>
      <c r="AR52" s="77">
        <f t="shared" si="33"/>
        <v>1.518499999998312</v>
      </c>
    </row>
    <row r="53" spans="1:44" x14ac:dyDescent="0.25">
      <c r="A53" t="str">
        <f t="shared" si="15"/>
        <v>46228E</v>
      </c>
      <c r="B53" s="51">
        <f t="shared" si="32"/>
        <v>46228</v>
      </c>
      <c r="C53" s="52" t="s">
        <v>88</v>
      </c>
      <c r="D53" s="91">
        <v>10500</v>
      </c>
      <c r="E53" s="62">
        <v>4.26</v>
      </c>
      <c r="F53" s="62">
        <v>8.27</v>
      </c>
      <c r="G53" s="62">
        <f t="shared" si="16"/>
        <v>447.3</v>
      </c>
      <c r="H53" s="63">
        <f t="shared" si="17"/>
        <v>868.34999999999991</v>
      </c>
      <c r="I53" s="118">
        <v>9231.2999999999993</v>
      </c>
      <c r="J53" s="119">
        <v>9508.2389999999996</v>
      </c>
      <c r="K53" s="120">
        <v>4.0724800407309925</v>
      </c>
      <c r="L53" s="121">
        <v>8.2259616738704189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8"/>
        <v>9508.2389999999996</v>
      </c>
      <c r="S53" s="62">
        <f t="shared" si="19"/>
        <v>387.22113550000012</v>
      </c>
      <c r="T53" s="63">
        <f t="shared" si="20"/>
        <v>782.14409599999999</v>
      </c>
      <c r="U53" s="64" t="s">
        <v>191</v>
      </c>
      <c r="V53" s="65" t="s">
        <v>807</v>
      </c>
      <c r="W53" s="66" t="s">
        <v>187</v>
      </c>
      <c r="X53" s="67">
        <v>15480</v>
      </c>
      <c r="Y53" s="68">
        <v>4.3</v>
      </c>
      <c r="Z53" s="68">
        <v>8.39</v>
      </c>
      <c r="AA53" s="62">
        <f t="shared" si="34"/>
        <v>665.64</v>
      </c>
      <c r="AB53" s="62">
        <f t="shared" si="35"/>
        <v>1298.7719999999999</v>
      </c>
      <c r="AC53" s="69">
        <v>15470</v>
      </c>
      <c r="AD53" s="70">
        <v>4.2</v>
      </c>
      <c r="AE53" s="70">
        <v>8.19</v>
      </c>
      <c r="AF53" s="62">
        <f t="shared" si="38"/>
        <v>649.74</v>
      </c>
      <c r="AG53" s="63">
        <f t="shared" si="39"/>
        <v>1266.9929999999999</v>
      </c>
      <c r="AH53" s="66">
        <v>4526</v>
      </c>
      <c r="AI53" s="66">
        <v>4.16</v>
      </c>
      <c r="AJ53" s="66">
        <v>8.24</v>
      </c>
      <c r="AK53" s="62">
        <f t="shared" si="25"/>
        <v>188.2816</v>
      </c>
      <c r="AL53" s="72">
        <f t="shared" si="26"/>
        <v>372.94240000000002</v>
      </c>
      <c r="AM53" s="73">
        <f t="shared" si="27"/>
        <v>12.239000000001397</v>
      </c>
      <c r="AN53" s="74">
        <f t="shared" si="28"/>
        <v>-3.5004644999998789</v>
      </c>
      <c r="AO53" s="74">
        <f t="shared" si="29"/>
        <v>10.558695999999941</v>
      </c>
      <c r="AP53" s="75">
        <f t="shared" si="30"/>
        <v>6.0359512236789646E-3</v>
      </c>
      <c r="AQ53" s="76">
        <f t="shared" si="31"/>
        <v>1480.1483332347357</v>
      </c>
      <c r="AR53" s="77">
        <f t="shared" si="33"/>
        <v>2.239000000001397</v>
      </c>
    </row>
    <row r="54" spans="1:44" x14ac:dyDescent="0.25">
      <c r="A54" t="str">
        <f t="shared" si="15"/>
        <v>46229M</v>
      </c>
      <c r="B54" s="51">
        <f t="shared" si="32"/>
        <v>46229</v>
      </c>
      <c r="C54" s="52" t="s">
        <v>87</v>
      </c>
      <c r="D54" s="91">
        <v>4526</v>
      </c>
      <c r="E54" s="62">
        <v>4.16</v>
      </c>
      <c r="F54" s="62">
        <v>8.24</v>
      </c>
      <c r="G54" s="62">
        <f t="shared" si="16"/>
        <v>188.2816</v>
      </c>
      <c r="H54" s="63">
        <f t="shared" si="17"/>
        <v>372.94240000000002</v>
      </c>
      <c r="I54" s="118">
        <v>4102.7000000000007</v>
      </c>
      <c r="J54" s="119">
        <v>4225.7810000000009</v>
      </c>
      <c r="K54" s="120">
        <v>4.5539668998464418</v>
      </c>
      <c r="L54" s="121">
        <v>8.3520230579862034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8"/>
        <v>4225.7810000000009</v>
      </c>
      <c r="S54" s="62">
        <f t="shared" si="19"/>
        <v>192.44066800000002</v>
      </c>
      <c r="T54" s="63">
        <f t="shared" si="20"/>
        <v>352.93820350000004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34"/>
        <v>0</v>
      </c>
      <c r="AB54" s="62">
        <f t="shared" si="35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66">
        <v>8750</v>
      </c>
      <c r="AI54" s="66">
        <v>4.32</v>
      </c>
      <c r="AJ54" s="66">
        <v>8.2899999999999991</v>
      </c>
      <c r="AK54" s="62">
        <f t="shared" si="25"/>
        <v>378</v>
      </c>
      <c r="AL54" s="72">
        <f t="shared" si="26"/>
        <v>725.37499999999989</v>
      </c>
      <c r="AM54" s="73">
        <f t="shared" si="27"/>
        <v>1.7810000000008586</v>
      </c>
      <c r="AN54" s="74">
        <f t="shared" si="28"/>
        <v>2.7222679999999855</v>
      </c>
      <c r="AO54" s="74">
        <f t="shared" si="29"/>
        <v>0.50560350000012022</v>
      </c>
      <c r="AP54" s="75">
        <f t="shared" si="30"/>
        <v>5.9185855350835778E-3</v>
      </c>
      <c r="AQ54" s="76">
        <f t="shared" si="31"/>
        <v>1459.5621212023359</v>
      </c>
      <c r="AR54" s="77">
        <f t="shared" si="33"/>
        <v>1.7810000000008586</v>
      </c>
    </row>
    <row r="55" spans="1:44" x14ac:dyDescent="0.25">
      <c r="A55" t="str">
        <f t="shared" si="15"/>
        <v>46229E</v>
      </c>
      <c r="B55" s="51">
        <f t="shared" si="32"/>
        <v>46229</v>
      </c>
      <c r="C55" s="52" t="s">
        <v>88</v>
      </c>
      <c r="D55" s="91">
        <v>8750</v>
      </c>
      <c r="E55" s="62">
        <v>4.32</v>
      </c>
      <c r="F55" s="62">
        <v>8.2899999999999991</v>
      </c>
      <c r="G55" s="62">
        <f t="shared" si="16"/>
        <v>378</v>
      </c>
      <c r="H55" s="63">
        <f t="shared" si="17"/>
        <v>725.37499999999989</v>
      </c>
      <c r="I55" s="118">
        <v>9773.6</v>
      </c>
      <c r="J55" s="119">
        <v>10066.808000000001</v>
      </c>
      <c r="K55" s="120">
        <v>3.8937187934844886</v>
      </c>
      <c r="L55" s="121">
        <v>8.1745380412539888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8"/>
        <v>10066.808000000001</v>
      </c>
      <c r="S55" s="62">
        <f t="shared" si="19"/>
        <v>391.97319500000003</v>
      </c>
      <c r="T55" s="63">
        <f t="shared" si="20"/>
        <v>822.9150494999999</v>
      </c>
      <c r="U55" s="64" t="s">
        <v>191</v>
      </c>
      <c r="V55" s="65" t="s">
        <v>846</v>
      </c>
      <c r="W55" s="66" t="s">
        <v>187</v>
      </c>
      <c r="X55" s="67">
        <v>15480</v>
      </c>
      <c r="Y55" s="68">
        <v>4.2</v>
      </c>
      <c r="Z55" s="68">
        <v>8.31</v>
      </c>
      <c r="AA55" s="62">
        <f t="shared" si="34"/>
        <v>650.16000000000008</v>
      </c>
      <c r="AB55" s="62">
        <f t="shared" si="35"/>
        <v>1286.3880000000001</v>
      </c>
      <c r="AC55" s="69">
        <v>15490</v>
      </c>
      <c r="AD55" s="70">
        <v>4.1500000000000004</v>
      </c>
      <c r="AE55" s="70">
        <v>8.18</v>
      </c>
      <c r="AF55" s="62">
        <f t="shared" si="38"/>
        <v>642.83500000000004</v>
      </c>
      <c r="AG55" s="63">
        <f t="shared" si="39"/>
        <v>1267.0819999999999</v>
      </c>
      <c r="AH55" s="66">
        <v>3335</v>
      </c>
      <c r="AI55" s="66">
        <v>4.08</v>
      </c>
      <c r="AJ55" s="66">
        <v>8.2200000000000006</v>
      </c>
      <c r="AK55" s="62">
        <f t="shared" si="25"/>
        <v>136.06800000000001</v>
      </c>
      <c r="AL55" s="72">
        <f t="shared" si="26"/>
        <v>274.13700000000006</v>
      </c>
      <c r="AM55" s="73">
        <f t="shared" si="27"/>
        <v>-8.1919999999990978</v>
      </c>
      <c r="AN55" s="74">
        <f t="shared" si="28"/>
        <v>-8.929805000000016</v>
      </c>
      <c r="AO55" s="74">
        <f t="shared" si="29"/>
        <v>7.0710494999999582</v>
      </c>
      <c r="AP55" s="75">
        <f t="shared" si="30"/>
        <v>-1.529980645063405E-3</v>
      </c>
      <c r="AQ55" s="76">
        <f t="shared" si="31"/>
        <v>-2173.3455605807339</v>
      </c>
      <c r="AR55" s="77">
        <f t="shared" si="33"/>
        <v>1.8080000000009022</v>
      </c>
    </row>
    <row r="56" spans="1:44" x14ac:dyDescent="0.25">
      <c r="A56" t="str">
        <f t="shared" si="15"/>
        <v>46230M</v>
      </c>
      <c r="B56" s="51">
        <f t="shared" si="32"/>
        <v>46230</v>
      </c>
      <c r="C56" s="52" t="s">
        <v>87</v>
      </c>
      <c r="D56" s="91">
        <v>3335</v>
      </c>
      <c r="E56" s="62">
        <v>4.08</v>
      </c>
      <c r="F56" s="62">
        <v>8.2200000000000006</v>
      </c>
      <c r="G56" s="62">
        <f t="shared" si="16"/>
        <v>136.06800000000001</v>
      </c>
      <c r="H56" s="63">
        <f t="shared" si="17"/>
        <v>274.13700000000006</v>
      </c>
      <c r="I56" s="118">
        <v>2788.6999999999994</v>
      </c>
      <c r="J56" s="119">
        <v>2872.3609999999994</v>
      </c>
      <c r="K56" s="120">
        <v>4.8245903108975519</v>
      </c>
      <c r="L56" s="121">
        <v>8.4122619858715524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8"/>
        <v>2872.3609999999994</v>
      </c>
      <c r="S56" s="62">
        <f t="shared" si="19"/>
        <v>138.57965049999999</v>
      </c>
      <c r="T56" s="63">
        <f t="shared" si="20"/>
        <v>241.63053249999993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34"/>
        <v>0</v>
      </c>
      <c r="AB56" s="62">
        <f t="shared" si="35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66">
        <v>6205</v>
      </c>
      <c r="AI56" s="66">
        <v>4.42</v>
      </c>
      <c r="AJ56" s="66">
        <v>8.3000000000000007</v>
      </c>
      <c r="AK56" s="62">
        <f t="shared" si="25"/>
        <v>274.26099999999997</v>
      </c>
      <c r="AL56" s="72">
        <f t="shared" si="26"/>
        <v>515.01499999999999</v>
      </c>
      <c r="AM56" s="73">
        <f t="shared" si="27"/>
        <v>2.3609999999989668</v>
      </c>
      <c r="AN56" s="74">
        <f t="shared" si="28"/>
        <v>0.38665050000003021</v>
      </c>
      <c r="AO56" s="74">
        <f t="shared" si="29"/>
        <v>0.75253250000002936</v>
      </c>
      <c r="AP56" s="75">
        <f t="shared" si="30"/>
        <v>2.9961927663574961E-3</v>
      </c>
      <c r="AQ56" s="76">
        <f t="shared" si="31"/>
        <v>411.17493366288141</v>
      </c>
      <c r="AR56" s="77">
        <f t="shared" si="33"/>
        <v>2.3609999999989668</v>
      </c>
    </row>
    <row r="57" spans="1:44" x14ac:dyDescent="0.25">
      <c r="A57" t="str">
        <f t="shared" si="15"/>
        <v>46230E</v>
      </c>
      <c r="B57" s="51">
        <f t="shared" si="32"/>
        <v>46230</v>
      </c>
      <c r="C57" s="52" t="s">
        <v>88</v>
      </c>
      <c r="D57" s="91">
        <v>6205</v>
      </c>
      <c r="E57" s="62">
        <v>4.42</v>
      </c>
      <c r="F57" s="62">
        <v>8.3000000000000007</v>
      </c>
      <c r="G57" s="62">
        <f t="shared" si="16"/>
        <v>274.26099999999997</v>
      </c>
      <c r="H57" s="63">
        <f t="shared" si="17"/>
        <v>515.01499999999999</v>
      </c>
      <c r="I57" s="118">
        <v>9851.8000000000011</v>
      </c>
      <c r="J57" s="119">
        <v>10147.354000000001</v>
      </c>
      <c r="K57" s="120">
        <v>4.0528208043200227</v>
      </c>
      <c r="L57" s="121">
        <v>8.1217620130331536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8"/>
        <v>10147.354000000001</v>
      </c>
      <c r="S57" s="62">
        <f t="shared" si="19"/>
        <v>411.254074</v>
      </c>
      <c r="T57" s="63">
        <f t="shared" si="20"/>
        <v>824.14394250000043</v>
      </c>
      <c r="U57" s="64" t="s">
        <v>191</v>
      </c>
      <c r="V57" s="65" t="s">
        <v>909</v>
      </c>
      <c r="W57" s="66" t="s">
        <v>187</v>
      </c>
      <c r="X57" s="67">
        <v>15480</v>
      </c>
      <c r="Y57" s="68">
        <v>4.3</v>
      </c>
      <c r="Z57" s="68">
        <v>8.39</v>
      </c>
      <c r="AA57" s="62">
        <f t="shared" si="34"/>
        <v>665.64</v>
      </c>
      <c r="AB57" s="62">
        <f t="shared" si="35"/>
        <v>1298.7719999999999</v>
      </c>
      <c r="AC57" s="69">
        <v>15430</v>
      </c>
      <c r="AD57" s="70">
        <v>4.25</v>
      </c>
      <c r="AE57" s="70">
        <v>8.3199999999999985</v>
      </c>
      <c r="AF57" s="62">
        <f t="shared" si="38"/>
        <v>655.77500000000009</v>
      </c>
      <c r="AG57" s="63">
        <f t="shared" si="39"/>
        <v>1283.7759999999998</v>
      </c>
      <c r="AH57" s="66">
        <v>871</v>
      </c>
      <c r="AI57" s="66">
        <v>4.1900000000000004</v>
      </c>
      <c r="AJ57" s="66">
        <v>8.18</v>
      </c>
      <c r="AK57" s="62">
        <f t="shared" si="25"/>
        <v>36.494900000000008</v>
      </c>
      <c r="AL57" s="72">
        <f t="shared" si="26"/>
        <v>71.247799999999998</v>
      </c>
      <c r="AM57" s="73">
        <f t="shared" si="27"/>
        <v>51.354000000001179</v>
      </c>
      <c r="AN57" s="74">
        <f t="shared" si="28"/>
        <v>-6.7548260000001861</v>
      </c>
      <c r="AO57" s="74">
        <f t="shared" si="29"/>
        <v>-15.864857499999417</v>
      </c>
      <c r="AP57" s="75">
        <f t="shared" si="30"/>
        <v>-1.830963235968543E-2</v>
      </c>
      <c r="AQ57" s="76">
        <f t="shared" si="31"/>
        <v>-7997.2973226229933</v>
      </c>
      <c r="AR57" s="77">
        <f t="shared" si="33"/>
        <v>1.3540000000011787</v>
      </c>
    </row>
    <row r="58" spans="1:44" x14ac:dyDescent="0.25">
      <c r="A58" t="str">
        <f t="shared" si="15"/>
        <v>46231M</v>
      </c>
      <c r="B58" s="51">
        <f t="shared" si="32"/>
        <v>46231</v>
      </c>
      <c r="C58" s="52" t="s">
        <v>87</v>
      </c>
      <c r="D58" s="91">
        <v>871</v>
      </c>
      <c r="E58" s="62">
        <v>4.1900000000000004</v>
      </c>
      <c r="F58" s="62">
        <v>8.18</v>
      </c>
      <c r="G58" s="62">
        <f t="shared" si="16"/>
        <v>36.494900000000008</v>
      </c>
      <c r="H58" s="63">
        <f t="shared" si="17"/>
        <v>71.247799999999998</v>
      </c>
      <c r="I58" s="118">
        <v>2895.05</v>
      </c>
      <c r="J58" s="119">
        <v>2981.9015000000004</v>
      </c>
      <c r="K58" s="120">
        <v>4.5949914509248524</v>
      </c>
      <c r="L58" s="121">
        <v>8.3899569955613895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8"/>
        <v>2981.9015000000004</v>
      </c>
      <c r="S58" s="62">
        <f t="shared" si="19"/>
        <v>137.01811899999996</v>
      </c>
      <c r="T58" s="63">
        <f t="shared" si="20"/>
        <v>250.18025350000005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si="34"/>
        <v>0</v>
      </c>
      <c r="AB58" s="62">
        <f t="shared" si="35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66">
        <v>3851</v>
      </c>
      <c r="AI58" s="66">
        <v>4.49</v>
      </c>
      <c r="AJ58" s="66">
        <v>8.33</v>
      </c>
      <c r="AK58" s="62">
        <f t="shared" si="25"/>
        <v>172.90990000000002</v>
      </c>
      <c r="AL58" s="72">
        <f t="shared" si="26"/>
        <v>320.78829999999999</v>
      </c>
      <c r="AM58" s="73">
        <f t="shared" si="27"/>
        <v>1.9015000000003965</v>
      </c>
      <c r="AN58" s="74">
        <f t="shared" si="28"/>
        <v>0.60311899999993557</v>
      </c>
      <c r="AO58" s="74">
        <f t="shared" si="29"/>
        <v>0.63975350000004028</v>
      </c>
      <c r="AP58" s="75">
        <f t="shared" si="30"/>
        <v>3.20991147761081E-3</v>
      </c>
      <c r="AQ58" s="76">
        <f t="shared" si="31"/>
        <v>481.41878670507185</v>
      </c>
      <c r="AR58" s="77">
        <f t="shared" si="33"/>
        <v>1.9015000000003965</v>
      </c>
    </row>
    <row r="59" spans="1:44" x14ac:dyDescent="0.25">
      <c r="A59" t="str">
        <f t="shared" si="15"/>
        <v>46231E</v>
      </c>
      <c r="B59" s="51">
        <f t="shared" si="32"/>
        <v>46231</v>
      </c>
      <c r="C59" s="52" t="s">
        <v>88</v>
      </c>
      <c r="D59" s="91">
        <v>3851</v>
      </c>
      <c r="E59" s="62">
        <v>4.49</v>
      </c>
      <c r="F59" s="62">
        <v>8.33</v>
      </c>
      <c r="G59" s="62">
        <f t="shared" si="16"/>
        <v>172.90990000000002</v>
      </c>
      <c r="H59" s="63">
        <f t="shared" si="17"/>
        <v>320.78829999999999</v>
      </c>
      <c r="I59" s="118">
        <v>10048.449999999999</v>
      </c>
      <c r="J59" s="119">
        <v>10349.903499999999</v>
      </c>
      <c r="K59" s="120">
        <v>3.9618030641541733</v>
      </c>
      <c r="L59" s="121">
        <v>8.1321671501574855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8"/>
        <v>10349.903499999999</v>
      </c>
      <c r="S59" s="62">
        <f t="shared" si="19"/>
        <v>410.04279400000001</v>
      </c>
      <c r="T59" s="63">
        <f t="shared" si="20"/>
        <v>841.67145249999965</v>
      </c>
      <c r="U59" s="64" t="s">
        <v>191</v>
      </c>
      <c r="V59" s="65" t="s">
        <v>760</v>
      </c>
      <c r="W59" s="66" t="s">
        <v>187</v>
      </c>
      <c r="X59" s="67">
        <v>14230</v>
      </c>
      <c r="Y59" s="68">
        <v>4.2</v>
      </c>
      <c r="Z59" s="68">
        <v>8.31</v>
      </c>
      <c r="AA59" s="62">
        <f t="shared" si="34"/>
        <v>597.66000000000008</v>
      </c>
      <c r="AB59" s="62">
        <f t="shared" si="35"/>
        <v>1182.5130000000001</v>
      </c>
      <c r="AC59" s="69">
        <v>14180</v>
      </c>
      <c r="AD59" s="70">
        <v>4.1499999999999995</v>
      </c>
      <c r="AE59" s="70">
        <v>8.24</v>
      </c>
      <c r="AF59" s="62">
        <f t="shared" si="38"/>
        <v>588.46999999999991</v>
      </c>
      <c r="AG59" s="63">
        <f t="shared" si="39"/>
        <v>1168.432</v>
      </c>
      <c r="AH59" s="66">
        <v>0</v>
      </c>
      <c r="AI59" s="66">
        <v>0</v>
      </c>
      <c r="AJ59" s="66">
        <v>0</v>
      </c>
      <c r="AK59" s="62">
        <f t="shared" si="25"/>
        <v>0</v>
      </c>
      <c r="AL59" s="72">
        <f t="shared" si="26"/>
        <v>0</v>
      </c>
      <c r="AM59" s="73">
        <f t="shared" si="27"/>
        <v>20.90349999999853</v>
      </c>
      <c r="AN59" s="74">
        <f t="shared" si="28"/>
        <v>-5.5173059999998486</v>
      </c>
      <c r="AO59" s="74">
        <f t="shared" si="29"/>
        <v>-5.9722475000003215</v>
      </c>
      <c r="AP59" s="75">
        <f t="shared" si="30"/>
        <v>-9.1790546701268801E-3</v>
      </c>
      <c r="AQ59" s="76">
        <f t="shared" si="31"/>
        <v>-4439.8800598401995</v>
      </c>
      <c r="AR59" s="77">
        <f t="shared" si="33"/>
        <v>-29.09650000000147</v>
      </c>
    </row>
    <row r="60" spans="1:44" x14ac:dyDescent="0.25">
      <c r="A60" t="str">
        <f t="shared" si="15"/>
        <v>46232M</v>
      </c>
      <c r="B60" s="51">
        <f t="shared" si="32"/>
        <v>46232</v>
      </c>
      <c r="C60" s="52" t="s">
        <v>87</v>
      </c>
      <c r="D60" s="91">
        <v>0</v>
      </c>
      <c r="E60" s="62">
        <v>0</v>
      </c>
      <c r="F60" s="62">
        <v>0</v>
      </c>
      <c r="G60" s="62">
        <f t="shared" si="16"/>
        <v>0</v>
      </c>
      <c r="H60" s="63">
        <f t="shared" si="17"/>
        <v>0</v>
      </c>
      <c r="I60" s="118">
        <v>7712.45</v>
      </c>
      <c r="J60" s="119">
        <v>7943.8235000000004</v>
      </c>
      <c r="K60" s="120">
        <v>3.9817476936641407</v>
      </c>
      <c r="L60" s="121">
        <v>8.158603297266108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8"/>
        <v>7943.8235000000004</v>
      </c>
      <c r="S60" s="62">
        <f t="shared" si="19"/>
        <v>316.30300900000003</v>
      </c>
      <c r="T60" s="63">
        <f t="shared" si="20"/>
        <v>648.10504600000002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34"/>
        <v>0</v>
      </c>
      <c r="AB60" s="62">
        <f t="shared" si="35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66">
        <v>7941</v>
      </c>
      <c r="AI60" s="66">
        <v>3.97</v>
      </c>
      <c r="AJ60" s="66">
        <v>8.15</v>
      </c>
      <c r="AK60" s="62">
        <f t="shared" si="25"/>
        <v>315.2577</v>
      </c>
      <c r="AL60" s="72">
        <f t="shared" si="26"/>
        <v>647.19150000000002</v>
      </c>
      <c r="AM60" s="73">
        <f t="shared" si="27"/>
        <v>2.823500000000422</v>
      </c>
      <c r="AN60" s="74">
        <f t="shared" si="28"/>
        <v>1.0453090000000316</v>
      </c>
      <c r="AO60" s="74">
        <f t="shared" si="29"/>
        <v>0.91354599999999664</v>
      </c>
      <c r="AP60" s="75">
        <f t="shared" si="30"/>
        <v>2.0311474897418066E-3</v>
      </c>
      <c r="AQ60" s="76">
        <f t="shared" si="31"/>
        <v>775.90388971830646</v>
      </c>
      <c r="AR60" s="77">
        <f t="shared" si="33"/>
        <v>2.823500000000422</v>
      </c>
    </row>
    <row r="61" spans="1:44" x14ac:dyDescent="0.25">
      <c r="A61" t="str">
        <f t="shared" si="15"/>
        <v>46232E</v>
      </c>
      <c r="B61" s="51">
        <f t="shared" si="32"/>
        <v>46232</v>
      </c>
      <c r="C61" s="52" t="s">
        <v>88</v>
      </c>
      <c r="D61" s="91">
        <v>7941</v>
      </c>
      <c r="E61" s="62">
        <v>3.97</v>
      </c>
      <c r="F61" s="62">
        <v>8.15</v>
      </c>
      <c r="G61" s="62">
        <f t="shared" si="16"/>
        <v>315.2577</v>
      </c>
      <c r="H61" s="63">
        <f t="shared" si="17"/>
        <v>647.19150000000002</v>
      </c>
      <c r="I61" s="118">
        <v>5093.05</v>
      </c>
      <c r="J61" s="119">
        <v>5245.8415000000005</v>
      </c>
      <c r="K61" s="120">
        <v>4.3939898489117528</v>
      </c>
      <c r="L61" s="121">
        <v>8.4459007863657334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8"/>
        <v>5245.8415000000005</v>
      </c>
      <c r="S61" s="62">
        <f t="shared" si="19"/>
        <v>230.50174300000006</v>
      </c>
      <c r="T61" s="63">
        <f t="shared" si="20"/>
        <v>443.05856849999998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34"/>
        <v>0</v>
      </c>
      <c r="AB61" s="62">
        <f t="shared" si="35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66">
        <v>13185</v>
      </c>
      <c r="AI61" s="66">
        <v>4.13</v>
      </c>
      <c r="AJ61" s="66">
        <v>8.26</v>
      </c>
      <c r="AK61" s="62">
        <f t="shared" si="25"/>
        <v>544.54049999999995</v>
      </c>
      <c r="AL61" s="72">
        <f t="shared" si="26"/>
        <v>1089.0809999999999</v>
      </c>
      <c r="AM61" s="73">
        <f t="shared" si="27"/>
        <v>1.8415000000004511</v>
      </c>
      <c r="AN61" s="74">
        <f t="shared" si="28"/>
        <v>1.2189430000000812</v>
      </c>
      <c r="AO61" s="74">
        <f t="shared" si="29"/>
        <v>1.169068500000094</v>
      </c>
      <c r="AP61" s="75">
        <f t="shared" si="30"/>
        <v>3.5453566061250555E-3</v>
      </c>
      <c r="AQ61" s="76">
        <f t="shared" si="31"/>
        <v>935.86739184255225</v>
      </c>
      <c r="AR61" s="77">
        <f t="shared" si="33"/>
        <v>1.8415000000004511</v>
      </c>
    </row>
    <row r="62" spans="1:44" x14ac:dyDescent="0.25">
      <c r="A62" t="str">
        <f t="shared" si="15"/>
        <v>46233M</v>
      </c>
      <c r="B62" s="51">
        <f t="shared" si="32"/>
        <v>46233</v>
      </c>
      <c r="C62" s="52" t="s">
        <v>87</v>
      </c>
      <c r="D62" s="91">
        <v>13185</v>
      </c>
      <c r="E62" s="62">
        <v>4.13</v>
      </c>
      <c r="F62" s="62">
        <v>8.26</v>
      </c>
      <c r="G62" s="62">
        <f t="shared" si="16"/>
        <v>544.54049999999995</v>
      </c>
      <c r="H62" s="63">
        <f t="shared" si="17"/>
        <v>1089.0809999999999</v>
      </c>
      <c r="I62" s="118">
        <v>6480.9500000000007</v>
      </c>
      <c r="J62" s="119">
        <v>6675.3785000000007</v>
      </c>
      <c r="K62" s="120">
        <v>4.1140295789969077</v>
      </c>
      <c r="L62" s="121">
        <v>8.2633842260779709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8"/>
        <v>6675.3785000000007</v>
      </c>
      <c r="S62" s="62">
        <f t="shared" si="19"/>
        <v>274.62704600000012</v>
      </c>
      <c r="T62" s="63">
        <f t="shared" si="20"/>
        <v>551.61217400000032</v>
      </c>
      <c r="U62" s="64" t="s">
        <v>191</v>
      </c>
      <c r="V62" s="65" t="s">
        <v>935</v>
      </c>
      <c r="W62" s="66" t="s">
        <v>187</v>
      </c>
      <c r="X62" s="67">
        <v>15480</v>
      </c>
      <c r="Y62" s="68">
        <v>4.2</v>
      </c>
      <c r="Z62" s="68">
        <v>8.3699999999999992</v>
      </c>
      <c r="AA62" s="62">
        <f t="shared" si="34"/>
        <v>650.16000000000008</v>
      </c>
      <c r="AB62" s="62">
        <f t="shared" si="35"/>
        <v>1295.6759999999999</v>
      </c>
      <c r="AC62" s="221">
        <v>15480</v>
      </c>
      <c r="AD62" s="222">
        <v>4.2</v>
      </c>
      <c r="AE62" s="222">
        <v>8.3699999999999992</v>
      </c>
      <c r="AF62" s="62">
        <f t="shared" si="38"/>
        <v>650.16000000000008</v>
      </c>
      <c r="AG62" s="63">
        <f t="shared" si="39"/>
        <v>1295.6759999999999</v>
      </c>
      <c r="AH62" s="66">
        <v>4378</v>
      </c>
      <c r="AI62" s="66">
        <v>4.12</v>
      </c>
      <c r="AJ62" s="66">
        <v>8.23</v>
      </c>
      <c r="AK62" s="62">
        <f t="shared" si="25"/>
        <v>180.37360000000001</v>
      </c>
      <c r="AL62" s="72">
        <f t="shared" si="26"/>
        <v>360.30939999999998</v>
      </c>
      <c r="AM62" s="73">
        <f t="shared" si="27"/>
        <v>2.3784999999988941</v>
      </c>
      <c r="AN62" s="74">
        <f t="shared" si="28"/>
        <v>-11.366053999999963</v>
      </c>
      <c r="AO62" s="74">
        <f t="shared" si="29"/>
        <v>-15.292225999999687</v>
      </c>
      <c r="AP62" s="75">
        <f t="shared" si="30"/>
        <v>-3.2264602496114424E-2</v>
      </c>
      <c r="AQ62" s="76">
        <f t="shared" si="31"/>
        <v>-10041.644419220454</v>
      </c>
      <c r="AR62" s="77">
        <f t="shared" si="33"/>
        <v>2.3784999999988941</v>
      </c>
    </row>
    <row r="63" spans="1:44" x14ac:dyDescent="0.25">
      <c r="A63" t="str">
        <f t="shared" si="15"/>
        <v>46233E</v>
      </c>
      <c r="B63" s="51">
        <f t="shared" si="32"/>
        <v>46233</v>
      </c>
      <c r="C63" s="52" t="s">
        <v>88</v>
      </c>
      <c r="D63" s="91">
        <v>4378</v>
      </c>
      <c r="E63" s="62">
        <v>4.12</v>
      </c>
      <c r="F63" s="62">
        <v>8.23</v>
      </c>
      <c r="G63" s="62">
        <f t="shared" si="16"/>
        <v>180.37360000000001</v>
      </c>
      <c r="H63" s="63">
        <f t="shared" si="17"/>
        <v>360.30939999999998</v>
      </c>
      <c r="I63" s="118">
        <v>5775.7999999999993</v>
      </c>
      <c r="J63" s="119">
        <v>5949.0739999999996</v>
      </c>
      <c r="K63" s="120">
        <v>4.4011461615706917</v>
      </c>
      <c r="L63" s="121">
        <v>8.3888353128570952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8"/>
        <v>5949.0739999999996</v>
      </c>
      <c r="S63" s="62">
        <f t="shared" si="19"/>
        <v>261.82744200000002</v>
      </c>
      <c r="T63" s="63">
        <f t="shared" si="20"/>
        <v>499.05802050000011</v>
      </c>
      <c r="U63" s="64" t="s">
        <v>180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34"/>
        <v>0</v>
      </c>
      <c r="AB63" s="62">
        <f t="shared" si="35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66">
        <v>10326</v>
      </c>
      <c r="AI63" s="66">
        <v>4.2699999999999996</v>
      </c>
      <c r="AJ63" s="66">
        <v>8.31</v>
      </c>
      <c r="AK63" s="62">
        <f t="shared" si="25"/>
        <v>440.92019999999997</v>
      </c>
      <c r="AL63" s="72">
        <f t="shared" si="26"/>
        <v>858.09060000000011</v>
      </c>
      <c r="AM63" s="73">
        <f t="shared" si="27"/>
        <v>1.0740000000005239</v>
      </c>
      <c r="AN63" s="74">
        <f t="shared" si="28"/>
        <v>1.2808420000000638</v>
      </c>
      <c r="AO63" s="74">
        <f t="shared" si="29"/>
        <v>1.2768204999999853</v>
      </c>
      <c r="AP63" s="75">
        <f t="shared" si="30"/>
        <v>3.3614290534563192E-3</v>
      </c>
      <c r="AQ63" s="76">
        <f t="shared" si="31"/>
        <v>997.88264067034243</v>
      </c>
      <c r="AR63" s="77">
        <f t="shared" si="33"/>
        <v>1.0740000000005239</v>
      </c>
    </row>
    <row r="64" spans="1:44" x14ac:dyDescent="0.25">
      <c r="A64" t="str">
        <f t="shared" si="15"/>
        <v>46234M</v>
      </c>
      <c r="B64" s="51">
        <f t="shared" si="32"/>
        <v>46234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34"/>
        <v>0</v>
      </c>
      <c r="AB64" s="62">
        <f t="shared" si="35"/>
        <v>0</v>
      </c>
      <c r="AC64" s="69"/>
      <c r="AD64" s="70"/>
      <c r="AE64" s="70"/>
      <c r="AF64" s="62">
        <f t="shared" ref="AF64:AF65" si="40">AC64*AD64%</f>
        <v>0</v>
      </c>
      <c r="AG64" s="63">
        <f t="shared" ref="AG64:AG65" si="41">AC64*AE64%</f>
        <v>0</v>
      </c>
      <c r="AH64" s="66"/>
      <c r="AI64" s="66"/>
      <c r="AJ64" s="66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77">
        <f t="shared" si="33"/>
        <v>0</v>
      </c>
    </row>
    <row r="65" spans="1:44" ht="15.75" thickBot="1" x14ac:dyDescent="0.3">
      <c r="A65" t="str">
        <f t="shared" si="15"/>
        <v>46234E</v>
      </c>
      <c r="B65" s="51">
        <f t="shared" si="32"/>
        <v>46234</v>
      </c>
      <c r="C65" s="9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34"/>
        <v>0</v>
      </c>
      <c r="AB65" s="62">
        <f t="shared" si="35"/>
        <v>0</v>
      </c>
      <c r="AC65" s="69"/>
      <c r="AD65" s="70"/>
      <c r="AE65" s="70"/>
      <c r="AF65" s="62">
        <f t="shared" si="40"/>
        <v>0</v>
      </c>
      <c r="AG65" s="63">
        <f t="shared" si="41"/>
        <v>0</v>
      </c>
      <c r="AH65" s="66"/>
      <c r="AI65" s="66"/>
      <c r="AJ65" s="66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77">
        <f t="shared" si="33"/>
        <v>0</v>
      </c>
    </row>
    <row r="66" spans="1:44" ht="15.75" thickBot="1" x14ac:dyDescent="0.3">
      <c r="J66" s="83">
        <f>SUM(J4:J65)</f>
        <v>350863.114</v>
      </c>
      <c r="R66" s="83">
        <f>+J66+O66</f>
        <v>350863.114</v>
      </c>
      <c r="S66">
        <f>+J66*K66%+O66*P66%</f>
        <v>0</v>
      </c>
      <c r="T66">
        <f>+J66*L66%+O66*Q66%</f>
        <v>0</v>
      </c>
      <c r="X66" s="77"/>
      <c r="Y66" s="77"/>
      <c r="Z66" s="77"/>
      <c r="AA66" s="77">
        <f t="shared" ref="AA66:AG66" si="42">AA64-AA65</f>
        <v>0</v>
      </c>
      <c r="AB66" s="77">
        <f t="shared" si="42"/>
        <v>0</v>
      </c>
      <c r="AC66" s="69"/>
      <c r="AD66" s="70"/>
      <c r="AE66" s="70"/>
      <c r="AF66" s="77">
        <f t="shared" si="42"/>
        <v>0</v>
      </c>
      <c r="AG66" s="77">
        <f t="shared" si="42"/>
        <v>0</v>
      </c>
      <c r="AJ66" t="s">
        <v>91</v>
      </c>
      <c r="AM66" s="93">
        <f>-SUM(AM4:AM65)</f>
        <v>-244.11400000001049</v>
      </c>
      <c r="AN66" s="93">
        <f>-SUM(AN4:AN65)</f>
        <v>144.98508220000022</v>
      </c>
      <c r="AO66" s="93">
        <f>-SUM(AO4:AO65)</f>
        <v>-126.8720313000012</v>
      </c>
      <c r="AP66" s="94"/>
      <c r="AQ66" s="127">
        <f>-SUM(AQ4:AQ65)</f>
        <v>31673.006848606867</v>
      </c>
    </row>
    <row r="67" spans="1:44" x14ac:dyDescent="0.25">
      <c r="AH67" s="77"/>
      <c r="AI67" s="77"/>
      <c r="AJ67" s="77"/>
    </row>
    <row r="68" spans="1:44" x14ac:dyDescent="0.25">
      <c r="AH68" s="77"/>
      <c r="AI68" s="77"/>
      <c r="AJ68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9" priority="2" operator="lessThan">
      <formula>0.1</formula>
    </cfRule>
    <cfRule type="cellIs" dxfId="88" priority="3" operator="greaterThan">
      <formula>0.1</formula>
    </cfRule>
  </conditionalFormatting>
  <conditionalFormatting sqref="AP1:AQ1">
    <cfRule type="cellIs" dxfId="87" priority="1" operator="lessThan">
      <formula>1</formula>
    </cfRule>
  </conditionalFormatting>
  <conditionalFormatting sqref="AQ4:AQ65">
    <cfRule type="cellIs" dxfId="86" priority="16" operator="lessThan">
      <formula>0</formula>
    </cfRule>
    <cfRule type="cellIs" dxfId="85" priority="17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W66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AH50" sqref="AH50:AJ63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90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6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3783</v>
      </c>
      <c r="E4" s="54">
        <v>4.0599999999999996</v>
      </c>
      <c r="F4" s="55">
        <v>8.0299999999999994</v>
      </c>
      <c r="G4" s="62">
        <f t="shared" ref="G4:G15" si="0">+D4*E4%</f>
        <v>153.5898</v>
      </c>
      <c r="H4" s="63">
        <f t="shared" ref="H4:H15" si="1">+D4*F4%</f>
        <v>303.7749</v>
      </c>
      <c r="I4" s="118">
        <v>2006.1000000000004</v>
      </c>
      <c r="J4" s="119">
        <v>2066.2830000000004</v>
      </c>
      <c r="K4" s="120">
        <v>3.7197447784257993</v>
      </c>
      <c r="L4" s="121">
        <v>7.8735855640297086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2066.2830000000004</v>
      </c>
      <c r="S4" s="62">
        <f t="shared" ref="S4" si="3">+J4*K4%+O4*P4%</f>
        <v>76.860453999999976</v>
      </c>
      <c r="T4" s="63">
        <f t="shared" ref="T4" si="4">+J4*L4%+O4*Q4%</f>
        <v>162.69056</v>
      </c>
      <c r="U4" s="64" t="s">
        <v>194</v>
      </c>
      <c r="V4" s="65" t="s">
        <v>227</v>
      </c>
      <c r="W4" s="66" t="s">
        <v>190</v>
      </c>
      <c r="X4" s="67">
        <v>5970</v>
      </c>
      <c r="Y4" s="68">
        <v>4.0999999999999996</v>
      </c>
      <c r="Z4" s="68">
        <v>8.0399999999999991</v>
      </c>
      <c r="AA4" s="62">
        <f>X4*Y4%</f>
        <v>244.76999999999998</v>
      </c>
      <c r="AB4" s="63">
        <f>X4*Z4%</f>
        <v>479.98799999999989</v>
      </c>
      <c r="AC4" s="69">
        <v>5970</v>
      </c>
      <c r="AD4" s="70">
        <v>4.05</v>
      </c>
      <c r="AE4" s="70">
        <v>7.97</v>
      </c>
      <c r="AF4" s="62">
        <f t="shared" ref="AF4" si="5">AC4*AD4%</f>
        <v>241.785</v>
      </c>
      <c r="AG4" s="63">
        <f t="shared" ref="AG4" si="6">AC4*AE4%</f>
        <v>475.80899999999997</v>
      </c>
      <c r="AH4" s="71">
        <v>0</v>
      </c>
      <c r="AI4" s="66">
        <v>0</v>
      </c>
      <c r="AJ4" s="66">
        <v>0</v>
      </c>
      <c r="AK4" s="62">
        <f t="shared" ref="AK4" si="7">AH4*AI4%</f>
        <v>0</v>
      </c>
      <c r="AL4" s="72">
        <f t="shared" ref="AL4" si="8">AH4*AJ4%</f>
        <v>0</v>
      </c>
      <c r="AM4" s="73">
        <f>+D4+R4-AC4-AH4</f>
        <v>-120.71699999999964</v>
      </c>
      <c r="AN4" s="74">
        <f t="shared" ref="AN4:AO4" si="9">+G4+S4-AF4-AK4</f>
        <v>-11.334746000000024</v>
      </c>
      <c r="AO4" s="74">
        <f t="shared" si="9"/>
        <v>-9.3435399999999618</v>
      </c>
      <c r="AP4" s="75">
        <f>(AN4+AO4)/(S4+T4)</f>
        <v>-8.6321012191582655E-2</v>
      </c>
      <c r="AQ4" s="76">
        <f t="shared" ref="AQ4" si="10">($AP$1*AN4+$AQ$1*AO4)</f>
        <v>-8245.021407499873</v>
      </c>
      <c r="AR4" s="77">
        <f t="shared" ref="AR4" si="11">(D4+J4+O4)-(X4+AH4)</f>
        <v>-120.71699999999964</v>
      </c>
      <c r="AT4" s="78"/>
    </row>
    <row r="5" spans="1:46" x14ac:dyDescent="0.25">
      <c r="A5" t="str">
        <f t="shared" ref="A5:A65" si="12">CONCATENATE(B5,C5)</f>
        <v>46204E</v>
      </c>
      <c r="B5" s="51">
        <f>+B4</f>
        <v>46204</v>
      </c>
      <c r="C5" s="52" t="s">
        <v>88</v>
      </c>
      <c r="D5" s="91">
        <v>0</v>
      </c>
      <c r="E5" s="62">
        <v>0</v>
      </c>
      <c r="F5" s="62">
        <v>0</v>
      </c>
      <c r="G5" s="62">
        <f t="shared" si="0"/>
        <v>0</v>
      </c>
      <c r="H5" s="63">
        <f t="shared" si="1"/>
        <v>0</v>
      </c>
      <c r="I5" s="118">
        <v>2014.1000000000001</v>
      </c>
      <c r="J5" s="119">
        <v>2074.5230000000001</v>
      </c>
      <c r="K5" s="120">
        <v>3.8439104314582204</v>
      </c>
      <c r="L5" s="121">
        <v>7.9667295566257863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2074.5230000000001</v>
      </c>
      <c r="S5" s="62">
        <f t="shared" ref="S5:S65" si="14">+J5*K5%+O5*P5%</f>
        <v>79.742806000000016</v>
      </c>
      <c r="T5" s="63">
        <f t="shared" ref="T5:T65" si="15">+J5*L5%+O5*Q5%</f>
        <v>165.27163699999997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71">
        <v>2074</v>
      </c>
      <c r="AI5" s="66">
        <v>3.82</v>
      </c>
      <c r="AJ5" s="66">
        <v>7.91</v>
      </c>
      <c r="AK5" s="62">
        <f t="shared" ref="AK5:AK65" si="20">AH5*AI5%</f>
        <v>79.226799999999997</v>
      </c>
      <c r="AL5" s="72">
        <f t="shared" ref="AL5:AL65" si="21">AH5*AJ5%</f>
        <v>164.05340000000001</v>
      </c>
      <c r="AM5" s="73">
        <f t="shared" ref="AM5:AM65" si="22">+D5+R5-AC5-AH5</f>
        <v>0.52300000000013824</v>
      </c>
      <c r="AN5" s="74">
        <f t="shared" ref="AN5:AN65" si="23">+G5+S5-AF5-AK5</f>
        <v>0.51600600000001862</v>
      </c>
      <c r="AO5" s="74">
        <f t="shared" ref="AO5:AO65" si="24">+H5+T5-AG5-AL5</f>
        <v>1.2182369999999594</v>
      </c>
      <c r="AP5" s="75">
        <f t="shared" ref="AP5:AP65" si="25">(AN5+AO5)/(S5+T5)</f>
        <v>7.0781255944164E-3</v>
      </c>
      <c r="AQ5" s="76">
        <f t="shared" ref="AQ5:AQ65" si="26">($AP$1*AN5+$AQ$1*AO5)</f>
        <v>612.80881328256385</v>
      </c>
      <c r="AR5" s="77">
        <f>(D5+J5+O5)-(X5+AH5)</f>
        <v>0.52300000000013824</v>
      </c>
    </row>
    <row r="6" spans="1:46" x14ac:dyDescent="0.25">
      <c r="A6" t="str">
        <f t="shared" si="12"/>
        <v>46205M</v>
      </c>
      <c r="B6" s="51">
        <f>+B4+1</f>
        <v>46205</v>
      </c>
      <c r="C6" s="52" t="s">
        <v>87</v>
      </c>
      <c r="D6" s="91">
        <v>2074</v>
      </c>
      <c r="E6" s="62">
        <v>3.82</v>
      </c>
      <c r="F6" s="62">
        <v>7.91</v>
      </c>
      <c r="G6" s="62">
        <f t="shared" si="0"/>
        <v>79.226799999999997</v>
      </c>
      <c r="H6" s="63">
        <f t="shared" si="1"/>
        <v>164.05340000000001</v>
      </c>
      <c r="I6" s="118">
        <v>1802.4000000000003</v>
      </c>
      <c r="J6" s="119">
        <v>1856.4720000000004</v>
      </c>
      <c r="K6" s="120">
        <v>4.1407623169107852</v>
      </c>
      <c r="L6" s="121">
        <v>7.9607523302263647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1856.4720000000004</v>
      </c>
      <c r="S6" s="62">
        <f t="shared" si="14"/>
        <v>76.872093000000007</v>
      </c>
      <c r="T6" s="63">
        <f t="shared" si="15"/>
        <v>147.78913800000004</v>
      </c>
      <c r="U6" s="64" t="s">
        <v>192</v>
      </c>
      <c r="V6" s="65" t="s">
        <v>228</v>
      </c>
      <c r="W6" s="66" t="s">
        <v>193</v>
      </c>
      <c r="X6" s="67">
        <v>3925</v>
      </c>
      <c r="Y6" s="68">
        <v>4</v>
      </c>
      <c r="Z6" s="68">
        <v>8.08</v>
      </c>
      <c r="AA6" s="62">
        <f t="shared" si="16"/>
        <v>157</v>
      </c>
      <c r="AB6" s="63">
        <f t="shared" si="17"/>
        <v>317.14</v>
      </c>
      <c r="AC6" s="69">
        <v>3925</v>
      </c>
      <c r="AD6" s="70">
        <v>3.95</v>
      </c>
      <c r="AE6" s="70">
        <v>8</v>
      </c>
      <c r="AF6" s="62">
        <f t="shared" si="18"/>
        <v>155.03749999999999</v>
      </c>
      <c r="AG6" s="63">
        <f t="shared" si="19"/>
        <v>314</v>
      </c>
      <c r="AH6" s="71">
        <v>0</v>
      </c>
      <c r="AI6" s="66">
        <v>0</v>
      </c>
      <c r="AJ6" s="66">
        <v>0</v>
      </c>
      <c r="AK6" s="62">
        <f t="shared" si="20"/>
        <v>0</v>
      </c>
      <c r="AL6" s="72">
        <f t="shared" si="21"/>
        <v>0</v>
      </c>
      <c r="AM6" s="73">
        <f t="shared" si="22"/>
        <v>5.4720000000006621</v>
      </c>
      <c r="AN6" s="74">
        <f t="shared" si="23"/>
        <v>1.0613930000000096</v>
      </c>
      <c r="AO6" s="74">
        <f t="shared" si="24"/>
        <v>-2.1574619999999527</v>
      </c>
      <c r="AP6" s="75">
        <f t="shared" si="25"/>
        <v>-4.8787634391620639E-3</v>
      </c>
      <c r="AQ6" s="76">
        <f t="shared" si="26"/>
        <v>-136.1067811223482</v>
      </c>
      <c r="AR6" s="77">
        <f t="shared" ref="AR6:AR65" si="27">(D6+J6+O6)-(X6+AH6)</f>
        <v>5.4720000000006621</v>
      </c>
    </row>
    <row r="7" spans="1:46" x14ac:dyDescent="0.25">
      <c r="A7" t="str">
        <f t="shared" si="12"/>
        <v>46205E</v>
      </c>
      <c r="B7" s="51">
        <f>+B5+1</f>
        <v>46205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0"/>
        <v>0</v>
      </c>
      <c r="H7" s="63">
        <f t="shared" si="1"/>
        <v>0</v>
      </c>
      <c r="I7" s="118">
        <v>1916.5</v>
      </c>
      <c r="J7" s="119">
        <v>1973.9950000000001</v>
      </c>
      <c r="K7" s="120">
        <v>3.8751474041220977</v>
      </c>
      <c r="L7" s="121">
        <v>7.9775267414557778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1973.9950000000001</v>
      </c>
      <c r="S7" s="62">
        <f t="shared" si="14"/>
        <v>76.495216000000013</v>
      </c>
      <c r="T7" s="63">
        <f t="shared" si="15"/>
        <v>157.475979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71">
        <v>1968</v>
      </c>
      <c r="AI7" s="66">
        <v>3.82</v>
      </c>
      <c r="AJ7" s="66">
        <v>7.89</v>
      </c>
      <c r="AK7" s="62">
        <f t="shared" si="20"/>
        <v>75.177599999999998</v>
      </c>
      <c r="AL7" s="72">
        <f t="shared" si="21"/>
        <v>155.27519999999998</v>
      </c>
      <c r="AM7" s="73">
        <f t="shared" si="22"/>
        <v>5.9950000000001182</v>
      </c>
      <c r="AN7" s="74">
        <f t="shared" si="23"/>
        <v>1.3176160000000152</v>
      </c>
      <c r="AO7" s="74">
        <f t="shared" si="24"/>
        <v>2.2007790000000114</v>
      </c>
      <c r="AP7" s="75">
        <f t="shared" si="25"/>
        <v>1.5037727186887369E-2</v>
      </c>
      <c r="AQ7" s="76">
        <f t="shared" si="26"/>
        <v>1292.2710897318348</v>
      </c>
      <c r="AR7" s="77">
        <f t="shared" si="27"/>
        <v>5.9950000000001182</v>
      </c>
    </row>
    <row r="8" spans="1:46" x14ac:dyDescent="0.25">
      <c r="A8" t="str">
        <f t="shared" si="12"/>
        <v>46206M</v>
      </c>
      <c r="B8" s="51">
        <f>+B6+1</f>
        <v>46206</v>
      </c>
      <c r="C8" s="52" t="s">
        <v>87</v>
      </c>
      <c r="D8" s="91">
        <v>1968</v>
      </c>
      <c r="E8" s="62">
        <v>3.82</v>
      </c>
      <c r="F8" s="62">
        <v>7.89</v>
      </c>
      <c r="G8" s="62">
        <f t="shared" si="0"/>
        <v>75.177599999999998</v>
      </c>
      <c r="H8" s="63">
        <f t="shared" si="1"/>
        <v>155.27519999999998</v>
      </c>
      <c r="I8" s="118">
        <v>1839.6999999999996</v>
      </c>
      <c r="J8" s="119">
        <v>1894.8909999999996</v>
      </c>
      <c r="K8" s="120">
        <v>4.1985975974343619</v>
      </c>
      <c r="L8" s="121">
        <v>7.9902810240800077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1894.8909999999996</v>
      </c>
      <c r="S8" s="62">
        <f t="shared" si="14"/>
        <v>79.558847999999941</v>
      </c>
      <c r="T8" s="63">
        <f t="shared" si="15"/>
        <v>151.40711599999986</v>
      </c>
      <c r="U8" s="64" t="s">
        <v>192</v>
      </c>
      <c r="V8" s="65" t="s">
        <v>322</v>
      </c>
      <c r="W8" s="66" t="s">
        <v>272</v>
      </c>
      <c r="X8" s="67">
        <v>3875</v>
      </c>
      <c r="Y8" s="68">
        <v>4</v>
      </c>
      <c r="Z8" s="68">
        <v>8.08</v>
      </c>
      <c r="AA8" s="62">
        <f t="shared" si="16"/>
        <v>155</v>
      </c>
      <c r="AB8" s="63">
        <f t="shared" si="17"/>
        <v>313.09999999999997</v>
      </c>
      <c r="AC8" s="69">
        <v>3870</v>
      </c>
      <c r="AD8" s="70">
        <v>3.95</v>
      </c>
      <c r="AE8" s="70">
        <v>7.95</v>
      </c>
      <c r="AF8" s="62">
        <f t="shared" si="18"/>
        <v>152.86500000000001</v>
      </c>
      <c r="AG8" s="63">
        <f t="shared" si="19"/>
        <v>307.66500000000002</v>
      </c>
      <c r="AH8" s="71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-7.1090000000003783</v>
      </c>
      <c r="AN8" s="74">
        <f t="shared" si="23"/>
        <v>1.8714479999999298</v>
      </c>
      <c r="AO8" s="74">
        <f t="shared" si="24"/>
        <v>-0.98268400000017664</v>
      </c>
      <c r="AP8" s="75">
        <f t="shared" si="25"/>
        <v>3.8480301798915874E-3</v>
      </c>
      <c r="AQ8" s="76">
        <f t="shared" si="26"/>
        <v>604.98656329825542</v>
      </c>
      <c r="AR8" s="77">
        <f t="shared" si="27"/>
        <v>-12.109000000000378</v>
      </c>
    </row>
    <row r="9" spans="1:46" x14ac:dyDescent="0.25">
      <c r="A9" t="str">
        <f t="shared" si="12"/>
        <v>46206E</v>
      </c>
      <c r="B9" s="51">
        <f t="shared" ref="B9:B65" si="28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118">
        <v>1960.7</v>
      </c>
      <c r="J9" s="119">
        <v>2019.5210000000002</v>
      </c>
      <c r="K9" s="120">
        <v>3.8319273728770349</v>
      </c>
      <c r="L9" s="121">
        <v>7.9653797113275848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2019.5210000000002</v>
      </c>
      <c r="S9" s="62">
        <f t="shared" si="14"/>
        <v>77.386578000000029</v>
      </c>
      <c r="T9" s="63">
        <f t="shared" si="15"/>
        <v>160.86251599999997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82">
        <v>2018</v>
      </c>
      <c r="AI9" s="66">
        <v>3.82</v>
      </c>
      <c r="AJ9" s="66">
        <v>7.94</v>
      </c>
      <c r="AK9" s="62">
        <f t="shared" si="20"/>
        <v>77.087599999999995</v>
      </c>
      <c r="AL9" s="72">
        <f t="shared" si="21"/>
        <v>160.22919999999999</v>
      </c>
      <c r="AM9" s="73">
        <f t="shared" si="22"/>
        <v>1.5210000000001855</v>
      </c>
      <c r="AN9" s="74">
        <f t="shared" si="23"/>
        <v>0.29897800000003372</v>
      </c>
      <c r="AO9" s="74">
        <f t="shared" si="24"/>
        <v>0.63331599999997934</v>
      </c>
      <c r="AP9" s="75">
        <f t="shared" si="25"/>
        <v>3.9131061711404156E-3</v>
      </c>
      <c r="AQ9" s="76">
        <f t="shared" si="26"/>
        <v>333.3411635625734</v>
      </c>
      <c r="AR9" s="77">
        <f t="shared" si="27"/>
        <v>1.5210000000001855</v>
      </c>
    </row>
    <row r="10" spans="1:46" x14ac:dyDescent="0.25">
      <c r="A10" t="str">
        <f t="shared" si="12"/>
        <v>46207M</v>
      </c>
      <c r="B10" s="51">
        <f t="shared" si="28"/>
        <v>46207</v>
      </c>
      <c r="C10" s="52" t="s">
        <v>87</v>
      </c>
      <c r="D10" s="91">
        <v>2018</v>
      </c>
      <c r="E10" s="62">
        <v>3.82</v>
      </c>
      <c r="F10" s="62">
        <v>7.94</v>
      </c>
      <c r="G10" s="62">
        <f t="shared" si="0"/>
        <v>77.087599999999995</v>
      </c>
      <c r="H10" s="63">
        <f t="shared" si="1"/>
        <v>160.22919999999999</v>
      </c>
      <c r="I10" s="118">
        <v>1583.7</v>
      </c>
      <c r="J10" s="119">
        <v>1631.211</v>
      </c>
      <c r="K10" s="120">
        <v>4.476371787586034</v>
      </c>
      <c r="L10" s="121">
        <v>8.045071667613815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1631.211</v>
      </c>
      <c r="S10" s="62">
        <f t="shared" si="14"/>
        <v>73.019069000000016</v>
      </c>
      <c r="T10" s="63">
        <f t="shared" si="15"/>
        <v>131.23209399999999</v>
      </c>
      <c r="U10" s="64" t="s">
        <v>192</v>
      </c>
      <c r="V10" s="65" t="s">
        <v>323</v>
      </c>
      <c r="W10" s="66" t="s">
        <v>175</v>
      </c>
      <c r="X10" s="67">
        <v>3670</v>
      </c>
      <c r="Y10" s="68">
        <v>4.2</v>
      </c>
      <c r="Z10" s="68">
        <v>8.06</v>
      </c>
      <c r="AA10" s="62">
        <f t="shared" si="16"/>
        <v>154.14000000000001</v>
      </c>
      <c r="AB10" s="63">
        <f t="shared" si="17"/>
        <v>295.80200000000002</v>
      </c>
      <c r="AC10" s="69">
        <v>3670</v>
      </c>
      <c r="AD10" s="70">
        <v>4.05</v>
      </c>
      <c r="AE10" s="70">
        <v>7.97</v>
      </c>
      <c r="AF10" s="62">
        <f t="shared" si="18"/>
        <v>148.63499999999999</v>
      </c>
      <c r="AG10" s="63">
        <f t="shared" si="19"/>
        <v>292.49899999999997</v>
      </c>
      <c r="AH10" s="71">
        <v>0</v>
      </c>
      <c r="AI10" s="66">
        <v>0</v>
      </c>
      <c r="AJ10" s="66">
        <v>0</v>
      </c>
      <c r="AK10" s="62">
        <f t="shared" si="20"/>
        <v>0</v>
      </c>
      <c r="AL10" s="72">
        <f t="shared" si="21"/>
        <v>0</v>
      </c>
      <c r="AM10" s="73">
        <f t="shared" si="22"/>
        <v>-20.78899999999976</v>
      </c>
      <c r="AN10" s="74">
        <f t="shared" si="23"/>
        <v>1.4716690000000199</v>
      </c>
      <c r="AO10" s="74">
        <f t="shared" si="24"/>
        <v>-1.0377060000000142</v>
      </c>
      <c r="AP10" s="75">
        <f t="shared" si="25"/>
        <v>2.1246537528895521E-3</v>
      </c>
      <c r="AQ10" s="76">
        <f t="shared" si="26"/>
        <v>396.40114325481187</v>
      </c>
      <c r="AR10" s="77">
        <f t="shared" si="27"/>
        <v>-20.78899999999976</v>
      </c>
    </row>
    <row r="11" spans="1:46" x14ac:dyDescent="0.25">
      <c r="A11" t="str">
        <f t="shared" si="12"/>
        <v>46207E</v>
      </c>
      <c r="B11" s="51">
        <f t="shared" si="28"/>
        <v>46207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118">
        <v>1964.7000000000003</v>
      </c>
      <c r="J11" s="119">
        <v>2023.6410000000003</v>
      </c>
      <c r="K11" s="120">
        <v>3.8261312159617247</v>
      </c>
      <c r="L11" s="121">
        <v>7.9117829694100887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2023.6410000000003</v>
      </c>
      <c r="S11" s="62">
        <f t="shared" si="14"/>
        <v>77.427160000000015</v>
      </c>
      <c r="T11" s="63">
        <f t="shared" si="15"/>
        <v>160.10608400000004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71">
        <v>2024</v>
      </c>
      <c r="AI11" s="66">
        <v>3.8</v>
      </c>
      <c r="AJ11" s="66">
        <v>7.91</v>
      </c>
      <c r="AK11" s="62">
        <f t="shared" si="20"/>
        <v>76.911999999999992</v>
      </c>
      <c r="AL11" s="72">
        <f t="shared" si="21"/>
        <v>160.0984</v>
      </c>
      <c r="AM11" s="73">
        <f t="shared" si="22"/>
        <v>-0.35899999999969623</v>
      </c>
      <c r="AN11" s="74">
        <f t="shared" si="23"/>
        <v>0.51516000000002293</v>
      </c>
      <c r="AO11" s="74">
        <f t="shared" si="24"/>
        <v>7.6840000000402142E-3</v>
      </c>
      <c r="AP11" s="75">
        <f t="shared" si="25"/>
        <v>2.2011403170162699E-3</v>
      </c>
      <c r="AQ11" s="76">
        <f t="shared" si="26"/>
        <v>249.85243620976365</v>
      </c>
      <c r="AR11" s="77">
        <f t="shared" si="27"/>
        <v>-0.35899999999969623</v>
      </c>
    </row>
    <row r="12" spans="1:46" x14ac:dyDescent="0.25">
      <c r="A12" t="str">
        <f t="shared" si="12"/>
        <v>46208M</v>
      </c>
      <c r="B12" s="51">
        <f t="shared" si="28"/>
        <v>46208</v>
      </c>
      <c r="C12" s="52" t="s">
        <v>87</v>
      </c>
      <c r="D12" s="91">
        <v>2024</v>
      </c>
      <c r="E12" s="62">
        <v>3.8</v>
      </c>
      <c r="F12" s="62">
        <v>7.91</v>
      </c>
      <c r="G12" s="62">
        <f t="shared" si="0"/>
        <v>76.911999999999992</v>
      </c>
      <c r="H12" s="63">
        <f t="shared" si="1"/>
        <v>160.0984</v>
      </c>
      <c r="I12" s="118">
        <v>953.40000000000009</v>
      </c>
      <c r="J12" s="119">
        <v>982.00200000000007</v>
      </c>
      <c r="K12" s="120">
        <v>4.6083490664988451</v>
      </c>
      <c r="L12" s="121">
        <v>8.055244388504299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982.00200000000007</v>
      </c>
      <c r="S12" s="62">
        <f t="shared" si="14"/>
        <v>45.254079999999995</v>
      </c>
      <c r="T12" s="63">
        <f t="shared" si="15"/>
        <v>79.102660999999983</v>
      </c>
      <c r="U12" s="64" t="s">
        <v>191</v>
      </c>
      <c r="V12" s="65" t="s">
        <v>324</v>
      </c>
      <c r="W12" s="66" t="s">
        <v>325</v>
      </c>
      <c r="X12" s="67">
        <v>3030</v>
      </c>
      <c r="Y12" s="68">
        <v>4.0999999999999996</v>
      </c>
      <c r="Z12" s="68">
        <v>8.1</v>
      </c>
      <c r="AA12" s="62">
        <f t="shared" si="16"/>
        <v>124.22999999999999</v>
      </c>
      <c r="AB12" s="63">
        <f t="shared" si="17"/>
        <v>245.43</v>
      </c>
      <c r="AC12" s="69">
        <v>3030</v>
      </c>
      <c r="AD12" s="70">
        <v>4.05</v>
      </c>
      <c r="AE12" s="70">
        <v>8.09</v>
      </c>
      <c r="AF12" s="62">
        <f t="shared" si="18"/>
        <v>122.715</v>
      </c>
      <c r="AG12" s="63">
        <f t="shared" si="19"/>
        <v>245.12700000000001</v>
      </c>
      <c r="AH12" s="71">
        <v>0</v>
      </c>
      <c r="AI12" s="66">
        <v>0</v>
      </c>
      <c r="AJ12" s="66">
        <v>0</v>
      </c>
      <c r="AK12" s="62">
        <f t="shared" si="20"/>
        <v>0</v>
      </c>
      <c r="AL12" s="72">
        <f t="shared" si="21"/>
        <v>0</v>
      </c>
      <c r="AM12" s="73">
        <f t="shared" si="22"/>
        <v>-23.998000000000047</v>
      </c>
      <c r="AN12" s="74">
        <f t="shared" si="23"/>
        <v>-0.54892000000000962</v>
      </c>
      <c r="AO12" s="74">
        <f t="shared" si="24"/>
        <v>-5.925939000000028</v>
      </c>
      <c r="AP12" s="75">
        <f t="shared" si="25"/>
        <v>-5.2066811561104188E-2</v>
      </c>
      <c r="AQ12" s="76">
        <f t="shared" si="26"/>
        <v>-2038.5399001465953</v>
      </c>
      <c r="AR12" s="77">
        <f t="shared" si="27"/>
        <v>-23.998000000000047</v>
      </c>
    </row>
    <row r="13" spans="1:46" x14ac:dyDescent="0.25">
      <c r="A13" t="str">
        <f t="shared" si="12"/>
        <v>46208E</v>
      </c>
      <c r="B13" s="51">
        <f t="shared" si="28"/>
        <v>46208</v>
      </c>
      <c r="C13" s="52" t="s">
        <v>88</v>
      </c>
      <c r="D13" s="91">
        <v>0</v>
      </c>
      <c r="E13" s="62">
        <v>0</v>
      </c>
      <c r="F13" s="62">
        <v>0</v>
      </c>
      <c r="G13" s="62">
        <f t="shared" si="0"/>
        <v>0</v>
      </c>
      <c r="H13" s="63">
        <f t="shared" si="1"/>
        <v>0</v>
      </c>
      <c r="I13" s="118">
        <v>1692.3999999999999</v>
      </c>
      <c r="J13" s="119">
        <v>1743.1719999999998</v>
      </c>
      <c r="K13" s="120">
        <v>3.9784329945639323</v>
      </c>
      <c r="L13" s="121">
        <v>7.9875206806901424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1743.1719999999998</v>
      </c>
      <c r="S13" s="62">
        <f t="shared" si="14"/>
        <v>69.350929999999977</v>
      </c>
      <c r="T13" s="63">
        <f t="shared" si="15"/>
        <v>139.23622399999996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71">
        <v>1744</v>
      </c>
      <c r="AI13" s="66">
        <v>3.93</v>
      </c>
      <c r="AJ13" s="66">
        <v>7.93</v>
      </c>
      <c r="AK13" s="62">
        <f t="shared" si="20"/>
        <v>68.539200000000008</v>
      </c>
      <c r="AL13" s="72">
        <f t="shared" si="21"/>
        <v>138.29919999999998</v>
      </c>
      <c r="AM13" s="73">
        <f t="shared" si="22"/>
        <v>-0.82800000000020191</v>
      </c>
      <c r="AN13" s="74">
        <f t="shared" si="23"/>
        <v>0.81172999999996875</v>
      </c>
      <c r="AO13" s="74">
        <f t="shared" si="24"/>
        <v>0.93702399999997965</v>
      </c>
      <c r="AP13" s="75">
        <f t="shared" si="25"/>
        <v>8.3838048818670255E-3</v>
      </c>
      <c r="AQ13" s="76">
        <f t="shared" si="26"/>
        <v>670.69303004356107</v>
      </c>
      <c r="AR13" s="77">
        <f t="shared" si="27"/>
        <v>-0.82800000000020191</v>
      </c>
    </row>
    <row r="14" spans="1:46" x14ac:dyDescent="0.25">
      <c r="A14" t="str">
        <f t="shared" si="12"/>
        <v>46209M</v>
      </c>
      <c r="B14" s="51">
        <f t="shared" si="28"/>
        <v>46209</v>
      </c>
      <c r="C14" s="52" t="s">
        <v>87</v>
      </c>
      <c r="D14" s="91">
        <v>1744</v>
      </c>
      <c r="E14" s="62">
        <v>3.93</v>
      </c>
      <c r="F14" s="62">
        <v>7.93</v>
      </c>
      <c r="G14" s="62">
        <f t="shared" si="0"/>
        <v>68.539200000000008</v>
      </c>
      <c r="H14" s="63">
        <f t="shared" si="1"/>
        <v>138.29919999999998</v>
      </c>
      <c r="I14" s="118">
        <v>1688.4999999999998</v>
      </c>
      <c r="J14" s="119">
        <v>1739.1549999999997</v>
      </c>
      <c r="K14" s="120">
        <v>4.4034350014806032</v>
      </c>
      <c r="L14" s="121">
        <v>8.0386615339058309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1739.1549999999997</v>
      </c>
      <c r="S14" s="62">
        <f t="shared" si="14"/>
        <v>76.582559999999972</v>
      </c>
      <c r="T14" s="63">
        <f t="shared" si="15"/>
        <v>139.80478399999993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71">
        <v>3483</v>
      </c>
      <c r="AI14" s="66">
        <v>4.13</v>
      </c>
      <c r="AJ14" s="66">
        <v>7.96</v>
      </c>
      <c r="AK14" s="62">
        <f t="shared" si="20"/>
        <v>143.84789999999998</v>
      </c>
      <c r="AL14" s="72">
        <f t="shared" si="21"/>
        <v>277.24680000000001</v>
      </c>
      <c r="AM14" s="73">
        <f t="shared" si="22"/>
        <v>0.15499999999974534</v>
      </c>
      <c r="AN14" s="74">
        <f t="shared" si="23"/>
        <v>1.2738600000000133</v>
      </c>
      <c r="AO14" s="74">
        <f t="shared" si="24"/>
        <v>0.85718399999990424</v>
      </c>
      <c r="AP14" s="75">
        <f t="shared" si="25"/>
        <v>9.8482839181200845E-3</v>
      </c>
      <c r="AQ14" s="76">
        <f t="shared" si="26"/>
        <v>868.85016649972499</v>
      </c>
      <c r="AR14" s="77">
        <f t="shared" si="27"/>
        <v>0.15499999999974534</v>
      </c>
    </row>
    <row r="15" spans="1:46" x14ac:dyDescent="0.25">
      <c r="A15" t="str">
        <f t="shared" si="12"/>
        <v>46209E</v>
      </c>
      <c r="B15" s="51">
        <f t="shared" si="28"/>
        <v>46209</v>
      </c>
      <c r="C15" s="52" t="s">
        <v>88</v>
      </c>
      <c r="D15" s="91">
        <v>3483</v>
      </c>
      <c r="E15" s="62">
        <v>4.13</v>
      </c>
      <c r="F15" s="62">
        <v>7.96</v>
      </c>
      <c r="G15" s="62">
        <f t="shared" si="0"/>
        <v>143.84789999999998</v>
      </c>
      <c r="H15" s="63">
        <f t="shared" si="1"/>
        <v>277.24680000000001</v>
      </c>
      <c r="I15" s="118">
        <v>3163.0000000000009</v>
      </c>
      <c r="J15" s="119">
        <v>3257.8900000000012</v>
      </c>
      <c r="K15" s="120">
        <v>3.8687669933607309</v>
      </c>
      <c r="L15" s="121">
        <v>7.9779987353778017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3257.8900000000012</v>
      </c>
      <c r="S15" s="62">
        <f t="shared" si="14"/>
        <v>126.04017299999997</v>
      </c>
      <c r="T15" s="63">
        <f t="shared" si="15"/>
        <v>259.91442299999994</v>
      </c>
      <c r="U15" s="64" t="s">
        <v>191</v>
      </c>
      <c r="V15" s="65" t="s">
        <v>326</v>
      </c>
      <c r="W15" s="66" t="s">
        <v>325</v>
      </c>
      <c r="X15" s="67">
        <v>6790</v>
      </c>
      <c r="Y15" s="68">
        <v>4</v>
      </c>
      <c r="Z15" s="68">
        <v>8.02</v>
      </c>
      <c r="AA15" s="62">
        <f t="shared" si="16"/>
        <v>271.60000000000002</v>
      </c>
      <c r="AB15" s="63">
        <f t="shared" si="17"/>
        <v>544.55799999999999</v>
      </c>
      <c r="AC15" s="69">
        <v>6790</v>
      </c>
      <c r="AD15" s="70">
        <v>3.95</v>
      </c>
      <c r="AE15" s="70">
        <v>7.96</v>
      </c>
      <c r="AF15" s="62">
        <f t="shared" si="18"/>
        <v>268.20499999999998</v>
      </c>
      <c r="AG15" s="63">
        <f t="shared" si="19"/>
        <v>540.48400000000004</v>
      </c>
      <c r="AH15" s="71">
        <v>0</v>
      </c>
      <c r="AI15" s="66">
        <v>0</v>
      </c>
      <c r="AJ15" s="66">
        <v>0</v>
      </c>
      <c r="AK15" s="62">
        <f t="shared" si="20"/>
        <v>0</v>
      </c>
      <c r="AL15" s="72">
        <f t="shared" si="21"/>
        <v>0</v>
      </c>
      <c r="AM15" s="73">
        <f t="shared" si="22"/>
        <v>-49.109999999998763</v>
      </c>
      <c r="AN15" s="74">
        <f t="shared" si="23"/>
        <v>1.6830729999999789</v>
      </c>
      <c r="AO15" s="74">
        <f t="shared" si="24"/>
        <v>-3.3227770000000874</v>
      </c>
      <c r="AP15" s="75">
        <f t="shared" si="25"/>
        <v>-4.2484375545565698E-3</v>
      </c>
      <c r="AQ15" s="76">
        <f t="shared" si="26"/>
        <v>-186.3707759308528</v>
      </c>
      <c r="AR15" s="77">
        <f t="shared" si="27"/>
        <v>-49.109999999998763</v>
      </c>
    </row>
    <row r="16" spans="1:46" x14ac:dyDescent="0.25">
      <c r="A16" t="str">
        <f t="shared" si="12"/>
        <v>46210M</v>
      </c>
      <c r="B16" s="51">
        <f t="shared" si="28"/>
        <v>46210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ref="G16:G53" si="29">+D16*E16%</f>
        <v>0</v>
      </c>
      <c r="H16" s="63">
        <f t="shared" ref="H16:H53" si="30">+D16*F16%</f>
        <v>0</v>
      </c>
      <c r="I16" s="118">
        <v>1956.9</v>
      </c>
      <c r="J16" s="119">
        <v>2015.6070000000002</v>
      </c>
      <c r="K16" s="120">
        <v>4.0758137871122688</v>
      </c>
      <c r="L16" s="121">
        <v>8.0787265573100306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2015.6070000000002</v>
      </c>
      <c r="S16" s="62">
        <f t="shared" si="14"/>
        <v>82.152388000000002</v>
      </c>
      <c r="T16" s="63">
        <f t="shared" si="15"/>
        <v>162.83537799999999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117">
        <v>2017</v>
      </c>
      <c r="AI16" s="117">
        <v>4.04</v>
      </c>
      <c r="AJ16" s="117">
        <v>8.0299999999999994</v>
      </c>
      <c r="AK16" s="62">
        <f t="shared" si="20"/>
        <v>81.486800000000002</v>
      </c>
      <c r="AL16" s="72">
        <f t="shared" si="21"/>
        <v>161.96510000000001</v>
      </c>
      <c r="AM16" s="73">
        <f t="shared" si="22"/>
        <v>-1.3929999999998017</v>
      </c>
      <c r="AN16" s="74">
        <f t="shared" si="23"/>
        <v>0.66558799999999962</v>
      </c>
      <c r="AO16" s="74">
        <f t="shared" si="24"/>
        <v>0.87027799999998479</v>
      </c>
      <c r="AP16" s="75">
        <f t="shared" si="25"/>
        <v>6.2691538646055672E-3</v>
      </c>
      <c r="AQ16" s="76">
        <f t="shared" si="26"/>
        <v>580.47720985084288</v>
      </c>
      <c r="AR16" s="77">
        <f t="shared" si="27"/>
        <v>-1.3929999999998017</v>
      </c>
    </row>
    <row r="17" spans="1:49" x14ac:dyDescent="0.25">
      <c r="A17" t="str">
        <f t="shared" si="12"/>
        <v>46210E</v>
      </c>
      <c r="B17" s="51">
        <f t="shared" si="28"/>
        <v>46210</v>
      </c>
      <c r="C17" s="52" t="s">
        <v>88</v>
      </c>
      <c r="D17" s="91">
        <v>2017</v>
      </c>
      <c r="E17" s="62">
        <v>4.04</v>
      </c>
      <c r="F17" s="62">
        <v>8.0299999999999994</v>
      </c>
      <c r="G17" s="62">
        <f t="shared" si="29"/>
        <v>81.486800000000002</v>
      </c>
      <c r="H17" s="63">
        <f t="shared" si="30"/>
        <v>161.96510000000001</v>
      </c>
      <c r="I17" s="118">
        <v>1708.6999999999998</v>
      </c>
      <c r="J17" s="119">
        <v>1759.9609999999998</v>
      </c>
      <c r="K17" s="120">
        <v>4.1245508281149412</v>
      </c>
      <c r="L17" s="121">
        <v>8.0567683033885409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1759.9609999999998</v>
      </c>
      <c r="S17" s="62">
        <f t="shared" si="14"/>
        <v>72.590485999999984</v>
      </c>
      <c r="T17" s="63">
        <f t="shared" si="15"/>
        <v>141.79597999999999</v>
      </c>
      <c r="U17" s="64" t="s">
        <v>192</v>
      </c>
      <c r="V17" s="65" t="s">
        <v>327</v>
      </c>
      <c r="W17" s="66" t="s">
        <v>175</v>
      </c>
      <c r="X17" s="67">
        <v>3690</v>
      </c>
      <c r="Y17" s="68">
        <v>4.0999999999999996</v>
      </c>
      <c r="Z17" s="68">
        <v>8.1</v>
      </c>
      <c r="AA17" s="62">
        <f t="shared" si="16"/>
        <v>151.29</v>
      </c>
      <c r="AB17" s="63">
        <f t="shared" si="17"/>
        <v>298.89</v>
      </c>
      <c r="AC17" s="69">
        <v>3680</v>
      </c>
      <c r="AD17" s="70">
        <v>4.05</v>
      </c>
      <c r="AE17" s="70">
        <v>7.97</v>
      </c>
      <c r="AF17" s="62">
        <f t="shared" si="18"/>
        <v>149.04</v>
      </c>
      <c r="AG17" s="63">
        <f t="shared" si="19"/>
        <v>293.29599999999999</v>
      </c>
      <c r="AH17" s="89">
        <v>84</v>
      </c>
      <c r="AI17" s="66">
        <v>4.04</v>
      </c>
      <c r="AJ17" s="66">
        <v>8.0299999999999994</v>
      </c>
      <c r="AK17" s="62">
        <f t="shared" si="20"/>
        <v>3.3935999999999997</v>
      </c>
      <c r="AL17" s="72">
        <f t="shared" si="21"/>
        <v>6.7451999999999996</v>
      </c>
      <c r="AM17" s="73">
        <f t="shared" si="22"/>
        <v>12.960999999999785</v>
      </c>
      <c r="AN17" s="74">
        <f t="shared" si="23"/>
        <v>1.6436859999999949</v>
      </c>
      <c r="AO17" s="74">
        <f t="shared" si="24"/>
        <v>3.7198800000000007</v>
      </c>
      <c r="AP17" s="75">
        <f t="shared" si="25"/>
        <v>2.5018211737302464E-2</v>
      </c>
      <c r="AQ17" s="76">
        <f t="shared" si="26"/>
        <v>1903.9155628314054</v>
      </c>
      <c r="AR17" s="77">
        <f t="shared" si="27"/>
        <v>2.9609999999997854</v>
      </c>
    </row>
    <row r="18" spans="1:49" x14ac:dyDescent="0.25">
      <c r="A18" t="str">
        <f t="shared" si="12"/>
        <v>46211M</v>
      </c>
      <c r="B18" s="51">
        <f t="shared" si="28"/>
        <v>46211</v>
      </c>
      <c r="C18" s="52" t="s">
        <v>87</v>
      </c>
      <c r="D18" s="91">
        <v>84</v>
      </c>
      <c r="E18" s="62">
        <v>4.04</v>
      </c>
      <c r="F18" s="62">
        <v>8.0299999999999994</v>
      </c>
      <c r="G18" s="62">
        <f t="shared" si="29"/>
        <v>3.3935999999999997</v>
      </c>
      <c r="H18" s="63">
        <f t="shared" si="30"/>
        <v>6.7451999999999996</v>
      </c>
      <c r="I18" s="118">
        <v>2504.0000000000005</v>
      </c>
      <c r="J18" s="119">
        <v>2579.1200000000003</v>
      </c>
      <c r="K18" s="120">
        <v>3.8801797124600634</v>
      </c>
      <c r="L18" s="121">
        <v>7.9802036741214026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2579.1200000000003</v>
      </c>
      <c r="S18" s="62">
        <f t="shared" si="14"/>
        <v>100.07449099999999</v>
      </c>
      <c r="T18" s="63">
        <f t="shared" si="15"/>
        <v>205.81902899999994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89">
        <v>2659</v>
      </c>
      <c r="AI18" s="66">
        <v>3.79</v>
      </c>
      <c r="AJ18" s="66">
        <v>7.9</v>
      </c>
      <c r="AK18" s="62">
        <f t="shared" si="20"/>
        <v>100.77610000000001</v>
      </c>
      <c r="AL18" s="72">
        <f t="shared" si="21"/>
        <v>210.06100000000001</v>
      </c>
      <c r="AM18" s="73">
        <f t="shared" si="22"/>
        <v>4.1200000000003456</v>
      </c>
      <c r="AN18" s="74">
        <f t="shared" si="23"/>
        <v>2.6919909999999874</v>
      </c>
      <c r="AO18" s="74">
        <f t="shared" si="24"/>
        <v>2.5032289999999477</v>
      </c>
      <c r="AP18" s="75">
        <f t="shared" si="25"/>
        <v>1.6983753039292677E-2</v>
      </c>
      <c r="AQ18" s="76">
        <f t="shared" si="26"/>
        <v>2043.2840906610841</v>
      </c>
      <c r="AR18" s="77">
        <f t="shared" si="27"/>
        <v>4.1200000000003456</v>
      </c>
    </row>
    <row r="19" spans="1:49" x14ac:dyDescent="0.25">
      <c r="A19" t="str">
        <f t="shared" si="12"/>
        <v>46211E</v>
      </c>
      <c r="B19" s="51">
        <f t="shared" si="28"/>
        <v>46211</v>
      </c>
      <c r="C19" s="52" t="s">
        <v>88</v>
      </c>
      <c r="D19" s="91">
        <v>2659</v>
      </c>
      <c r="E19" s="62">
        <v>3.79</v>
      </c>
      <c r="F19" s="62">
        <v>7.9</v>
      </c>
      <c r="G19" s="62">
        <f t="shared" si="29"/>
        <v>100.77610000000001</v>
      </c>
      <c r="H19" s="63">
        <f t="shared" si="30"/>
        <v>210.06100000000001</v>
      </c>
      <c r="I19" s="118">
        <v>1914.6</v>
      </c>
      <c r="J19" s="119">
        <v>1972.038</v>
      </c>
      <c r="K19" s="120">
        <v>3.8466259270865977</v>
      </c>
      <c r="L19" s="121">
        <v>7.9488300428287904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1972.038</v>
      </c>
      <c r="S19" s="62">
        <f t="shared" si="14"/>
        <v>75.856925000000004</v>
      </c>
      <c r="T19" s="63">
        <f t="shared" si="15"/>
        <v>156.75394900000003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89">
        <v>4634</v>
      </c>
      <c r="AI19" s="66">
        <v>3.8</v>
      </c>
      <c r="AJ19" s="66">
        <v>7.9</v>
      </c>
      <c r="AK19" s="62">
        <f t="shared" si="20"/>
        <v>176.09199999999998</v>
      </c>
      <c r="AL19" s="72">
        <f t="shared" si="21"/>
        <v>366.08600000000001</v>
      </c>
      <c r="AM19" s="73">
        <f t="shared" si="22"/>
        <v>-2.9619999999995343</v>
      </c>
      <c r="AN19" s="74">
        <f t="shared" si="23"/>
        <v>0.54102500000004738</v>
      </c>
      <c r="AO19" s="74">
        <f t="shared" si="24"/>
        <v>0.72894900000005691</v>
      </c>
      <c r="AP19" s="75">
        <f t="shared" si="25"/>
        <v>5.4596501795531032E-3</v>
      </c>
      <c r="AQ19" s="76">
        <f t="shared" si="26"/>
        <v>478.29385695345286</v>
      </c>
      <c r="AR19" s="77">
        <f t="shared" si="27"/>
        <v>-2.9619999999995343</v>
      </c>
    </row>
    <row r="20" spans="1:49" x14ac:dyDescent="0.25">
      <c r="A20" t="str">
        <f t="shared" si="12"/>
        <v>46212M</v>
      </c>
      <c r="B20" s="51">
        <f t="shared" si="28"/>
        <v>46212</v>
      </c>
      <c r="C20" s="52" t="s">
        <v>87</v>
      </c>
      <c r="D20" s="91">
        <v>4634</v>
      </c>
      <c r="E20" s="62">
        <v>3.8</v>
      </c>
      <c r="F20" s="62">
        <v>7.9</v>
      </c>
      <c r="G20" s="62">
        <f t="shared" si="29"/>
        <v>176.09199999999998</v>
      </c>
      <c r="H20" s="63">
        <f t="shared" si="30"/>
        <v>366.08600000000001</v>
      </c>
      <c r="I20" s="118">
        <v>3414.3</v>
      </c>
      <c r="J20" s="119">
        <v>3516.7290000000003</v>
      </c>
      <c r="K20" s="120">
        <v>3.7508684064083413</v>
      </c>
      <c r="L20" s="121">
        <v>7.8286442316140947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3516.7290000000003</v>
      </c>
      <c r="S20" s="62">
        <f t="shared" si="14"/>
        <v>131.90787700000001</v>
      </c>
      <c r="T20" s="63">
        <f t="shared" si="15"/>
        <v>275.31220200000007</v>
      </c>
      <c r="U20" s="64" t="s">
        <v>191</v>
      </c>
      <c r="V20" s="65" t="s">
        <v>392</v>
      </c>
      <c r="W20" s="66" t="s">
        <v>325</v>
      </c>
      <c r="X20" s="67">
        <v>5720</v>
      </c>
      <c r="Y20" s="68">
        <v>4</v>
      </c>
      <c r="Z20" s="68">
        <v>8.08</v>
      </c>
      <c r="AA20" s="62">
        <f t="shared" si="16"/>
        <v>228.8</v>
      </c>
      <c r="AB20" s="63">
        <f t="shared" si="17"/>
        <v>462.17599999999999</v>
      </c>
      <c r="AC20" s="69">
        <v>5700</v>
      </c>
      <c r="AD20" s="70">
        <v>3.8</v>
      </c>
      <c r="AE20" s="70">
        <v>7.92</v>
      </c>
      <c r="AF20" s="62">
        <f t="shared" si="18"/>
        <v>216.6</v>
      </c>
      <c r="AG20" s="63">
        <f t="shared" si="19"/>
        <v>451.43999999999994</v>
      </c>
      <c r="AH20" s="89">
        <v>2420</v>
      </c>
      <c r="AI20" s="66">
        <v>3.76</v>
      </c>
      <c r="AJ20" s="66">
        <v>7.86</v>
      </c>
      <c r="AK20" s="62">
        <f t="shared" si="20"/>
        <v>90.99199999999999</v>
      </c>
      <c r="AL20" s="72">
        <f t="shared" si="21"/>
        <v>190.21200000000002</v>
      </c>
      <c r="AM20" s="73">
        <f t="shared" si="22"/>
        <v>30.729000000000269</v>
      </c>
      <c r="AN20" s="74">
        <f t="shared" si="23"/>
        <v>0.40787699999998495</v>
      </c>
      <c r="AO20" s="74">
        <f t="shared" si="24"/>
        <v>-0.2537979999998754</v>
      </c>
      <c r="AP20" s="75">
        <f t="shared" si="25"/>
        <v>3.7836788494928199E-4</v>
      </c>
      <c r="AQ20" s="76">
        <f t="shared" si="26"/>
        <v>119.9879318779805</v>
      </c>
      <c r="AR20" s="77">
        <f t="shared" si="27"/>
        <v>10.729000000000269</v>
      </c>
    </row>
    <row r="21" spans="1:49" x14ac:dyDescent="0.25">
      <c r="A21" t="str">
        <f t="shared" si="12"/>
        <v>46212E</v>
      </c>
      <c r="B21" s="51">
        <f t="shared" si="28"/>
        <v>46212</v>
      </c>
      <c r="C21" s="52" t="s">
        <v>88</v>
      </c>
      <c r="D21" s="91">
        <v>2420</v>
      </c>
      <c r="E21" s="62">
        <v>3.76</v>
      </c>
      <c r="F21" s="62">
        <v>7.86</v>
      </c>
      <c r="G21" s="62">
        <f t="shared" si="29"/>
        <v>90.99199999999999</v>
      </c>
      <c r="H21" s="63">
        <f t="shared" si="30"/>
        <v>190.21200000000002</v>
      </c>
      <c r="I21" s="118">
        <v>1885</v>
      </c>
      <c r="J21" s="119">
        <v>1941.55</v>
      </c>
      <c r="K21" s="120">
        <v>4.0399681697612717</v>
      </c>
      <c r="L21" s="121">
        <v>8.0640477453580903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1941.55</v>
      </c>
      <c r="S21" s="62">
        <f t="shared" si="14"/>
        <v>78.438001999999969</v>
      </c>
      <c r="T21" s="63">
        <f t="shared" si="15"/>
        <v>156.56751899999998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89">
        <v>4362</v>
      </c>
      <c r="AI21" s="66">
        <v>3.87</v>
      </c>
      <c r="AJ21" s="66">
        <v>7.94</v>
      </c>
      <c r="AK21" s="62">
        <f t="shared" si="20"/>
        <v>168.80939999999998</v>
      </c>
      <c r="AL21" s="72">
        <f t="shared" si="21"/>
        <v>346.34280000000001</v>
      </c>
      <c r="AM21" s="73">
        <f t="shared" si="22"/>
        <v>-0.4499999999998181</v>
      </c>
      <c r="AN21" s="74">
        <f t="shared" si="23"/>
        <v>0.62060199999996257</v>
      </c>
      <c r="AO21" s="74">
        <f t="shared" si="24"/>
        <v>0.43671899999998232</v>
      </c>
      <c r="AP21" s="75">
        <f t="shared" si="25"/>
        <v>4.4991325969739463E-3</v>
      </c>
      <c r="AQ21" s="76">
        <f t="shared" si="26"/>
        <v>429.01291198110516</v>
      </c>
      <c r="AR21" s="77">
        <f t="shared" si="27"/>
        <v>-0.4499999999998181</v>
      </c>
    </row>
    <row r="22" spans="1:49" x14ac:dyDescent="0.25">
      <c r="A22" t="str">
        <f t="shared" si="12"/>
        <v>46213M</v>
      </c>
      <c r="B22" s="51">
        <f t="shared" si="28"/>
        <v>46213</v>
      </c>
      <c r="C22" s="52" t="s">
        <v>87</v>
      </c>
      <c r="D22" s="91">
        <v>4362</v>
      </c>
      <c r="E22" s="62">
        <v>3.87</v>
      </c>
      <c r="F22" s="62">
        <v>7.94</v>
      </c>
      <c r="G22" s="62">
        <f t="shared" si="29"/>
        <v>168.80939999999998</v>
      </c>
      <c r="H22" s="63">
        <f t="shared" si="30"/>
        <v>346.34280000000001</v>
      </c>
      <c r="I22" s="118">
        <v>1372.7</v>
      </c>
      <c r="J22" s="119">
        <v>1413.8810000000001</v>
      </c>
      <c r="K22" s="120">
        <v>4.3839149122167989</v>
      </c>
      <c r="L22" s="121">
        <v>8.1032854957383265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1413.8810000000001</v>
      </c>
      <c r="S22" s="62">
        <f t="shared" si="14"/>
        <v>61.983340000000005</v>
      </c>
      <c r="T22" s="63">
        <f t="shared" si="15"/>
        <v>114.57081400000003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89">
        <v>5761</v>
      </c>
      <c r="AI22" s="66">
        <v>3.98</v>
      </c>
      <c r="AJ22" s="66">
        <v>7.97</v>
      </c>
      <c r="AK22" s="62">
        <f t="shared" si="20"/>
        <v>229.2878</v>
      </c>
      <c r="AL22" s="72">
        <f t="shared" si="21"/>
        <v>459.15169999999995</v>
      </c>
      <c r="AM22" s="73">
        <f t="shared" si="22"/>
        <v>14.881000000000313</v>
      </c>
      <c r="AN22" s="74">
        <f t="shared" si="23"/>
        <v>1.5049399999999764</v>
      </c>
      <c r="AO22" s="74">
        <f t="shared" si="24"/>
        <v>1.7619140000001039</v>
      </c>
      <c r="AP22" s="75">
        <f t="shared" si="25"/>
        <v>1.8503410573959531E-2</v>
      </c>
      <c r="AQ22" s="76">
        <f t="shared" si="26"/>
        <v>1250.85020795899</v>
      </c>
      <c r="AR22" s="77">
        <f t="shared" si="27"/>
        <v>14.881000000000313</v>
      </c>
      <c r="AT22" s="83"/>
      <c r="AU22" s="83"/>
      <c r="AW22">
        <f>AS22*AU22%</f>
        <v>0</v>
      </c>
    </row>
    <row r="23" spans="1:49" x14ac:dyDescent="0.25">
      <c r="A23" t="str">
        <f t="shared" si="12"/>
        <v>46213E</v>
      </c>
      <c r="B23" s="51">
        <f t="shared" si="28"/>
        <v>46213</v>
      </c>
      <c r="C23" s="52" t="s">
        <v>88</v>
      </c>
      <c r="D23" s="91">
        <v>5761</v>
      </c>
      <c r="E23" s="62">
        <v>3.98</v>
      </c>
      <c r="F23" s="62">
        <v>7.97</v>
      </c>
      <c r="G23" s="62">
        <f t="shared" si="29"/>
        <v>229.2878</v>
      </c>
      <c r="H23" s="63">
        <f t="shared" si="30"/>
        <v>459.15169999999995</v>
      </c>
      <c r="I23" s="118">
        <v>6666.2999999999993</v>
      </c>
      <c r="J23" s="119">
        <v>6866.2889999999998</v>
      </c>
      <c r="K23" s="120">
        <v>3.61615588857387</v>
      </c>
      <c r="L23" s="121">
        <v>7.8698513418237939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6866.2889999999998</v>
      </c>
      <c r="S23" s="62">
        <f t="shared" si="14"/>
        <v>248.29571399999989</v>
      </c>
      <c r="T23" s="63">
        <f t="shared" si="15"/>
        <v>540.3667369999996</v>
      </c>
      <c r="U23" s="64" t="s">
        <v>192</v>
      </c>
      <c r="V23" s="65" t="s">
        <v>432</v>
      </c>
      <c r="W23" s="66" t="s">
        <v>187</v>
      </c>
      <c r="X23" s="67">
        <v>10130</v>
      </c>
      <c r="Y23" s="68">
        <v>3.9</v>
      </c>
      <c r="Z23" s="68">
        <v>8.06</v>
      </c>
      <c r="AA23" s="62">
        <f t="shared" si="16"/>
        <v>395.07</v>
      </c>
      <c r="AB23" s="63">
        <f t="shared" si="17"/>
        <v>816.47800000000007</v>
      </c>
      <c r="AC23" s="69">
        <v>10150</v>
      </c>
      <c r="AD23" s="70">
        <v>3.85</v>
      </c>
      <c r="AE23" s="70">
        <v>7.93</v>
      </c>
      <c r="AF23" s="62">
        <f t="shared" si="18"/>
        <v>390.77499999999998</v>
      </c>
      <c r="AG23" s="63">
        <f t="shared" si="19"/>
        <v>804.89499999999998</v>
      </c>
      <c r="AH23" s="89">
        <v>2499</v>
      </c>
      <c r="AI23" s="66">
        <v>3.75</v>
      </c>
      <c r="AJ23" s="84">
        <v>7.89</v>
      </c>
      <c r="AK23" s="62">
        <f t="shared" si="20"/>
        <v>93.712499999999991</v>
      </c>
      <c r="AL23" s="72">
        <f t="shared" si="21"/>
        <v>197.1711</v>
      </c>
      <c r="AM23" s="73">
        <f t="shared" si="22"/>
        <v>-21.710999999999331</v>
      </c>
      <c r="AN23" s="74">
        <f t="shared" si="23"/>
        <v>-6.9039860000000459</v>
      </c>
      <c r="AO23" s="74">
        <f t="shared" si="24"/>
        <v>-2.5476630000004832</v>
      </c>
      <c r="AP23" s="75">
        <f t="shared" si="25"/>
        <v>-1.198440345171262E-2</v>
      </c>
      <c r="AQ23" s="76">
        <f t="shared" si="26"/>
        <v>-4080.5923609691827</v>
      </c>
      <c r="AR23" s="77">
        <f t="shared" si="27"/>
        <v>-1.7109999999993306</v>
      </c>
      <c r="AU23" s="83"/>
      <c r="AW23">
        <f>AS23*AU23%</f>
        <v>0</v>
      </c>
    </row>
    <row r="24" spans="1:49" x14ac:dyDescent="0.25">
      <c r="A24" t="str">
        <f t="shared" si="12"/>
        <v>46214M</v>
      </c>
      <c r="B24" s="51">
        <f t="shared" si="28"/>
        <v>46214</v>
      </c>
      <c r="C24" s="52" t="s">
        <v>87</v>
      </c>
      <c r="D24" s="91">
        <v>2499</v>
      </c>
      <c r="E24" s="62">
        <v>3.75</v>
      </c>
      <c r="F24" s="62">
        <v>7.89</v>
      </c>
      <c r="G24" s="62">
        <f t="shared" si="29"/>
        <v>93.712499999999991</v>
      </c>
      <c r="H24" s="63">
        <f t="shared" si="30"/>
        <v>197.1711</v>
      </c>
      <c r="I24" s="118">
        <v>2037.2</v>
      </c>
      <c r="J24" s="119">
        <v>2098.3160000000003</v>
      </c>
      <c r="K24" s="120">
        <v>4.0938494011388196</v>
      </c>
      <c r="L24" s="121">
        <v>7.9902071470646012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2098.3160000000003</v>
      </c>
      <c r="S24" s="62">
        <f t="shared" si="14"/>
        <v>85.901897000000048</v>
      </c>
      <c r="T24" s="63">
        <f t="shared" si="15"/>
        <v>167.65979500000009</v>
      </c>
      <c r="U24" s="64" t="s">
        <v>192</v>
      </c>
      <c r="V24" s="65" t="s">
        <v>433</v>
      </c>
      <c r="W24" s="66" t="s">
        <v>181</v>
      </c>
      <c r="X24" s="67">
        <v>4620</v>
      </c>
      <c r="Y24" s="68">
        <v>4.1500000000000004</v>
      </c>
      <c r="Z24" s="68">
        <v>8.08</v>
      </c>
      <c r="AA24" s="62">
        <f t="shared" si="16"/>
        <v>191.73000000000002</v>
      </c>
      <c r="AB24" s="63">
        <f t="shared" si="17"/>
        <v>373.29599999999999</v>
      </c>
      <c r="AC24" s="69">
        <v>4640</v>
      </c>
      <c r="AD24" s="70">
        <v>3.9535560344827596</v>
      </c>
      <c r="AE24" s="70">
        <v>7.9598922413793103</v>
      </c>
      <c r="AF24" s="62">
        <f t="shared" si="18"/>
        <v>183.44500000000005</v>
      </c>
      <c r="AG24" s="63">
        <f t="shared" si="19"/>
        <v>369.339</v>
      </c>
      <c r="AH24" s="89">
        <v>0</v>
      </c>
      <c r="AI24" s="66">
        <v>0</v>
      </c>
      <c r="AJ24" s="66">
        <v>0</v>
      </c>
      <c r="AK24" s="62">
        <f t="shared" si="20"/>
        <v>0</v>
      </c>
      <c r="AL24" s="72">
        <f t="shared" si="21"/>
        <v>0</v>
      </c>
      <c r="AM24" s="73">
        <f t="shared" si="22"/>
        <v>-42.683999999999287</v>
      </c>
      <c r="AN24" s="74">
        <f t="shared" si="23"/>
        <v>-3.8306029999999964</v>
      </c>
      <c r="AO24" s="74">
        <f t="shared" si="24"/>
        <v>-4.5081049999999436</v>
      </c>
      <c r="AP24" s="75">
        <f t="shared" si="25"/>
        <v>-3.2886308393934902E-2</v>
      </c>
      <c r="AQ24" s="76">
        <f t="shared" si="26"/>
        <v>-3190.8667279811557</v>
      </c>
      <c r="AR24" s="77">
        <f t="shared" si="27"/>
        <v>-22.683999999999287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2"/>
        <v>46214E</v>
      </c>
      <c r="B25" s="51">
        <f t="shared" si="28"/>
        <v>46214</v>
      </c>
      <c r="C25" s="52" t="s">
        <v>88</v>
      </c>
      <c r="D25" s="91">
        <v>0</v>
      </c>
      <c r="E25" s="62">
        <v>0</v>
      </c>
      <c r="F25" s="62">
        <v>0</v>
      </c>
      <c r="G25" s="62">
        <f t="shared" si="29"/>
        <v>0</v>
      </c>
      <c r="H25" s="63">
        <f t="shared" si="30"/>
        <v>0</v>
      </c>
      <c r="I25" s="118">
        <v>1721.3999999999999</v>
      </c>
      <c r="J25" s="119">
        <v>1773.0419999999999</v>
      </c>
      <c r="K25" s="120">
        <v>4.1344312768676685</v>
      </c>
      <c r="L25" s="121">
        <v>7.995718601138611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1773.0419999999999</v>
      </c>
      <c r="S25" s="62">
        <f t="shared" si="14"/>
        <v>73.305203000000049</v>
      </c>
      <c r="T25" s="63">
        <f t="shared" si="15"/>
        <v>141.76744900000006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89">
        <v>1772</v>
      </c>
      <c r="AI25" s="66">
        <v>4.1100000000000003</v>
      </c>
      <c r="AJ25" s="66">
        <v>7.98</v>
      </c>
      <c r="AK25" s="62">
        <f t="shared" si="20"/>
        <v>72.829200000000014</v>
      </c>
      <c r="AL25" s="72">
        <f t="shared" si="21"/>
        <v>141.40560000000002</v>
      </c>
      <c r="AM25" s="73">
        <f t="shared" si="22"/>
        <v>1.0419999999999163</v>
      </c>
      <c r="AN25" s="74">
        <f t="shared" si="23"/>
        <v>0.47600300000003415</v>
      </c>
      <c r="AO25" s="74">
        <f t="shared" si="24"/>
        <v>0.36184900000003495</v>
      </c>
      <c r="AP25" s="75">
        <f t="shared" si="25"/>
        <v>3.8956696363239554E-3</v>
      </c>
      <c r="AQ25" s="76">
        <f t="shared" si="26"/>
        <v>337.10548783155519</v>
      </c>
      <c r="AR25" s="77">
        <f t="shared" si="27"/>
        <v>1.0419999999999163</v>
      </c>
    </row>
    <row r="26" spans="1:49" x14ac:dyDescent="0.25">
      <c r="A26" t="str">
        <f t="shared" si="12"/>
        <v>46215M</v>
      </c>
      <c r="B26" s="51">
        <f t="shared" si="28"/>
        <v>46215</v>
      </c>
      <c r="C26" s="52" t="s">
        <v>87</v>
      </c>
      <c r="D26" s="91">
        <v>1772</v>
      </c>
      <c r="E26" s="62">
        <v>4.1100000000000003</v>
      </c>
      <c r="F26" s="62">
        <v>7.98</v>
      </c>
      <c r="G26" s="62">
        <f t="shared" si="29"/>
        <v>72.829200000000014</v>
      </c>
      <c r="H26" s="63">
        <f t="shared" si="30"/>
        <v>141.40560000000002</v>
      </c>
      <c r="I26" s="118">
        <v>3143.6</v>
      </c>
      <c r="J26" s="119">
        <v>3237.9079999999999</v>
      </c>
      <c r="K26" s="120">
        <v>3.7335634304618921</v>
      </c>
      <c r="L26" s="121">
        <v>7.8999586461381845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3237.9079999999999</v>
      </c>
      <c r="S26" s="62">
        <f t="shared" si="14"/>
        <v>120.88934900000004</v>
      </c>
      <c r="T26" s="63">
        <f t="shared" si="15"/>
        <v>255.79339299999995</v>
      </c>
      <c r="U26" s="64" t="s">
        <v>192</v>
      </c>
      <c r="V26" s="65" t="s">
        <v>486</v>
      </c>
      <c r="W26" s="66" t="s">
        <v>187</v>
      </c>
      <c r="X26" s="67">
        <v>5100</v>
      </c>
      <c r="Y26" s="68">
        <v>3.9</v>
      </c>
      <c r="Z26" s="68">
        <v>7.96</v>
      </c>
      <c r="AA26" s="62">
        <f t="shared" si="16"/>
        <v>198.9</v>
      </c>
      <c r="AB26" s="63">
        <f t="shared" si="17"/>
        <v>405.96000000000004</v>
      </c>
      <c r="AC26" s="69">
        <v>5100</v>
      </c>
      <c r="AD26" s="70">
        <v>3.8317647058823532</v>
      </c>
      <c r="AE26" s="70">
        <v>7.9347647058823538</v>
      </c>
      <c r="AF26" s="62">
        <f t="shared" si="18"/>
        <v>195.42000000000002</v>
      </c>
      <c r="AG26" s="63">
        <f t="shared" si="19"/>
        <v>404.67300000000006</v>
      </c>
      <c r="AH26" s="89">
        <v>0</v>
      </c>
      <c r="AI26" s="66">
        <v>0</v>
      </c>
      <c r="AJ26" s="66">
        <v>0</v>
      </c>
      <c r="AK26" s="62">
        <f t="shared" si="20"/>
        <v>0</v>
      </c>
      <c r="AL26" s="72">
        <f t="shared" si="21"/>
        <v>0</v>
      </c>
      <c r="AM26" s="73">
        <f t="shared" si="22"/>
        <v>-90.092000000000553</v>
      </c>
      <c r="AN26" s="74">
        <f t="shared" si="23"/>
        <v>-1.7014509999999632</v>
      </c>
      <c r="AO26" s="74">
        <f t="shared" si="24"/>
        <v>-7.4740070000000856</v>
      </c>
      <c r="AP26" s="75">
        <f t="shared" si="25"/>
        <v>-2.4358583436243676E-2</v>
      </c>
      <c r="AQ26" s="76">
        <f t="shared" si="26"/>
        <v>-3056.0011407186216</v>
      </c>
      <c r="AR26" s="77">
        <f t="shared" si="27"/>
        <v>-90.092000000000553</v>
      </c>
    </row>
    <row r="27" spans="1:49" x14ac:dyDescent="0.25">
      <c r="A27" t="str">
        <f t="shared" si="12"/>
        <v>46215E</v>
      </c>
      <c r="B27" s="51">
        <f t="shared" si="28"/>
        <v>46215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29"/>
        <v>0</v>
      </c>
      <c r="H27" s="63">
        <f t="shared" si="30"/>
        <v>0</v>
      </c>
      <c r="I27" s="118">
        <v>1884.4099999999996</v>
      </c>
      <c r="J27" s="119">
        <v>1940.9422999999997</v>
      </c>
      <c r="K27" s="120">
        <v>3.7875515413312395</v>
      </c>
      <c r="L27" s="121">
        <v>7.9411688539118339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1940.9422999999997</v>
      </c>
      <c r="S27" s="62">
        <f t="shared" si="14"/>
        <v>73.514189999999999</v>
      </c>
      <c r="T27" s="63">
        <f t="shared" si="15"/>
        <v>154.13350539999996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89">
        <v>1938</v>
      </c>
      <c r="AI27" s="66">
        <v>3.76</v>
      </c>
      <c r="AJ27" s="66">
        <v>7.92</v>
      </c>
      <c r="AK27" s="62">
        <f t="shared" si="20"/>
        <v>72.868799999999993</v>
      </c>
      <c r="AL27" s="72">
        <f t="shared" si="21"/>
        <v>153.4896</v>
      </c>
      <c r="AM27" s="73">
        <f t="shared" si="22"/>
        <v>2.9422999999997046</v>
      </c>
      <c r="AN27" s="74">
        <f t="shared" si="23"/>
        <v>0.64539000000000613</v>
      </c>
      <c r="AO27" s="74">
        <f t="shared" si="24"/>
        <v>0.64390539999996577</v>
      </c>
      <c r="AP27" s="75">
        <f t="shared" si="25"/>
        <v>5.6635556873727618E-3</v>
      </c>
      <c r="AQ27" s="76">
        <f t="shared" si="26"/>
        <v>502.97483506270623</v>
      </c>
      <c r="AR27" s="77">
        <f t="shared" si="27"/>
        <v>2.9422999999997046</v>
      </c>
    </row>
    <row r="28" spans="1:49" x14ac:dyDescent="0.25">
      <c r="A28" t="str">
        <f t="shared" si="12"/>
        <v>46216M</v>
      </c>
      <c r="B28" s="51">
        <f t="shared" si="28"/>
        <v>46216</v>
      </c>
      <c r="C28" s="52" t="s">
        <v>87</v>
      </c>
      <c r="D28" s="91">
        <v>1938</v>
      </c>
      <c r="E28" s="62">
        <v>3.76</v>
      </c>
      <c r="F28" s="62">
        <v>7.92</v>
      </c>
      <c r="G28" s="62">
        <f t="shared" si="29"/>
        <v>72.868799999999993</v>
      </c>
      <c r="H28" s="63">
        <f t="shared" si="30"/>
        <v>153.4896</v>
      </c>
      <c r="I28" s="118">
        <v>2649.7000000000012</v>
      </c>
      <c r="J28" s="119">
        <v>2729.1910000000012</v>
      </c>
      <c r="K28" s="120">
        <v>4.2368645507038538</v>
      </c>
      <c r="L28" s="121">
        <v>8.0876778503226809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2729.1910000000012</v>
      </c>
      <c r="S28" s="62">
        <f t="shared" si="14"/>
        <v>115.63212600000007</v>
      </c>
      <c r="T28" s="63">
        <f t="shared" si="15"/>
        <v>220.72817600000016</v>
      </c>
      <c r="U28" s="64" t="s">
        <v>191</v>
      </c>
      <c r="V28" s="65" t="s">
        <v>487</v>
      </c>
      <c r="W28" s="66" t="s">
        <v>325</v>
      </c>
      <c r="X28" s="67">
        <v>4770</v>
      </c>
      <c r="Y28" s="68">
        <v>4.0999999999999996</v>
      </c>
      <c r="Z28" s="68">
        <v>8.1</v>
      </c>
      <c r="AA28" s="62">
        <f t="shared" si="16"/>
        <v>195.56999999999996</v>
      </c>
      <c r="AB28" s="63">
        <f t="shared" si="17"/>
        <v>386.37</v>
      </c>
      <c r="AC28" s="69">
        <v>4770</v>
      </c>
      <c r="AD28" s="70">
        <v>4</v>
      </c>
      <c r="AE28" s="70">
        <v>8.02</v>
      </c>
      <c r="AF28" s="62">
        <f t="shared" si="18"/>
        <v>190.8</v>
      </c>
      <c r="AG28" s="63">
        <f t="shared" si="19"/>
        <v>382.55399999999997</v>
      </c>
      <c r="AH28" s="89">
        <v>0</v>
      </c>
      <c r="AI28" s="66">
        <v>0</v>
      </c>
      <c r="AJ28" s="66">
        <v>0</v>
      </c>
      <c r="AK28" s="62">
        <f t="shared" si="20"/>
        <v>0</v>
      </c>
      <c r="AL28" s="72">
        <f t="shared" si="21"/>
        <v>0</v>
      </c>
      <c r="AM28" s="73">
        <f t="shared" si="22"/>
        <v>-102.80899999999929</v>
      </c>
      <c r="AN28" s="74">
        <f t="shared" si="23"/>
        <v>-2.2990739999999619</v>
      </c>
      <c r="AO28" s="74">
        <f t="shared" si="24"/>
        <v>-8.3362239999997882</v>
      </c>
      <c r="AP28" s="75">
        <f t="shared" si="25"/>
        <v>-3.1618766949494961E-2</v>
      </c>
      <c r="AQ28" s="76">
        <f t="shared" si="26"/>
        <v>-3601.4047583147021</v>
      </c>
      <c r="AR28" s="77">
        <f t="shared" si="27"/>
        <v>-102.80899999999929</v>
      </c>
    </row>
    <row r="29" spans="1:49" x14ac:dyDescent="0.25">
      <c r="A29" t="str">
        <f t="shared" si="12"/>
        <v>46216E</v>
      </c>
      <c r="B29" s="51">
        <f t="shared" si="28"/>
        <v>46216</v>
      </c>
      <c r="C29" s="52" t="s">
        <v>88</v>
      </c>
      <c r="D29" s="91">
        <v>0</v>
      </c>
      <c r="E29" s="62">
        <v>0</v>
      </c>
      <c r="F29" s="62">
        <v>0</v>
      </c>
      <c r="G29" s="62">
        <f t="shared" si="29"/>
        <v>0</v>
      </c>
      <c r="H29" s="63">
        <f t="shared" si="30"/>
        <v>0</v>
      </c>
      <c r="I29" s="118">
        <v>1876.9999999999998</v>
      </c>
      <c r="J29" s="119">
        <v>1933.3099999999997</v>
      </c>
      <c r="K29" s="120">
        <v>3.9351678209909431</v>
      </c>
      <c r="L29" s="121">
        <v>8.0079861481086834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1933.3099999999997</v>
      </c>
      <c r="S29" s="62">
        <f t="shared" si="14"/>
        <v>76.078992999999997</v>
      </c>
      <c r="T29" s="63">
        <f t="shared" si="15"/>
        <v>154.81919699999997</v>
      </c>
      <c r="U29" s="64" t="s">
        <v>192</v>
      </c>
      <c r="V29" s="65" t="s">
        <v>488</v>
      </c>
      <c r="W29" s="66" t="s">
        <v>325</v>
      </c>
      <c r="X29" s="67">
        <v>1950</v>
      </c>
      <c r="Y29" s="68">
        <v>4.1500000000000004</v>
      </c>
      <c r="Z29" s="68">
        <v>8.11</v>
      </c>
      <c r="AA29" s="62">
        <f t="shared" si="16"/>
        <v>80.924999999999997</v>
      </c>
      <c r="AB29" s="63">
        <f t="shared" si="17"/>
        <v>158.14499999999998</v>
      </c>
      <c r="AC29" s="69">
        <v>1900</v>
      </c>
      <c r="AD29" s="70">
        <v>4.05</v>
      </c>
      <c r="AE29" s="70">
        <v>7.97</v>
      </c>
      <c r="AF29" s="62">
        <f t="shared" si="18"/>
        <v>76.95</v>
      </c>
      <c r="AG29" s="63">
        <f t="shared" si="19"/>
        <v>151.42999999999998</v>
      </c>
      <c r="AH29" s="89">
        <v>0</v>
      </c>
      <c r="AI29" s="66">
        <v>0</v>
      </c>
      <c r="AJ29" s="66">
        <v>0</v>
      </c>
      <c r="AK29" s="62">
        <f t="shared" si="20"/>
        <v>0</v>
      </c>
      <c r="AL29" s="72">
        <f t="shared" si="21"/>
        <v>0</v>
      </c>
      <c r="AM29" s="73">
        <f t="shared" si="22"/>
        <v>33.309999999999718</v>
      </c>
      <c r="AN29" s="74">
        <f t="shared" si="23"/>
        <v>-0.87100700000000586</v>
      </c>
      <c r="AO29" s="74">
        <f t="shared" si="24"/>
        <v>3.3891969999999958</v>
      </c>
      <c r="AP29" s="75">
        <f t="shared" si="25"/>
        <v>1.0906062104687742E-2</v>
      </c>
      <c r="AQ29" s="76">
        <f t="shared" si="26"/>
        <v>596.48711747171717</v>
      </c>
      <c r="AR29" s="77">
        <f t="shared" si="27"/>
        <v>-16.690000000000282</v>
      </c>
    </row>
    <row r="30" spans="1:49" x14ac:dyDescent="0.25">
      <c r="A30" t="str">
        <f t="shared" si="12"/>
        <v>46217M</v>
      </c>
      <c r="B30" s="51">
        <f t="shared" si="28"/>
        <v>46217</v>
      </c>
      <c r="C30" s="52" t="s">
        <v>87</v>
      </c>
      <c r="D30" s="91">
        <v>0</v>
      </c>
      <c r="E30" s="62">
        <v>0</v>
      </c>
      <c r="F30" s="62">
        <v>0</v>
      </c>
      <c r="G30" s="62">
        <f t="shared" si="29"/>
        <v>0</v>
      </c>
      <c r="H30" s="63">
        <f t="shared" si="30"/>
        <v>0</v>
      </c>
      <c r="I30" s="118">
        <v>1964.3999999999994</v>
      </c>
      <c r="J30" s="119">
        <v>2023.3319999999994</v>
      </c>
      <c r="K30" s="120">
        <v>4.1253767053553245</v>
      </c>
      <c r="L30" s="121">
        <v>7.947831398900429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2023.3319999999994</v>
      </c>
      <c r="S30" s="62">
        <f t="shared" si="14"/>
        <v>83.470066999999958</v>
      </c>
      <c r="T30" s="63">
        <f t="shared" si="15"/>
        <v>160.811016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89">
        <v>2023</v>
      </c>
      <c r="AI30" s="66">
        <v>4.12</v>
      </c>
      <c r="AJ30" s="66">
        <v>7.92</v>
      </c>
      <c r="AK30" s="62">
        <f t="shared" si="20"/>
        <v>83.3476</v>
      </c>
      <c r="AL30" s="72">
        <f t="shared" si="21"/>
        <v>160.2216</v>
      </c>
      <c r="AM30" s="73">
        <f t="shared" si="22"/>
        <v>0.3319999999994252</v>
      </c>
      <c r="AN30" s="74">
        <f t="shared" si="23"/>
        <v>0.12246699999995769</v>
      </c>
      <c r="AO30" s="74">
        <f t="shared" si="24"/>
        <v>0.58941599999999994</v>
      </c>
      <c r="AP30" s="75">
        <f t="shared" si="25"/>
        <v>2.9141961844010565E-3</v>
      </c>
      <c r="AQ30" s="76">
        <f t="shared" si="26"/>
        <v>235.37422408064072</v>
      </c>
      <c r="AR30" s="77">
        <f t="shared" si="27"/>
        <v>0.3319999999994252</v>
      </c>
    </row>
    <row r="31" spans="1:49" x14ac:dyDescent="0.25">
      <c r="A31" t="str">
        <f t="shared" si="12"/>
        <v>46217E</v>
      </c>
      <c r="B31" s="51">
        <f t="shared" si="28"/>
        <v>46217</v>
      </c>
      <c r="C31" s="52" t="s">
        <v>88</v>
      </c>
      <c r="D31" s="91">
        <v>2023</v>
      </c>
      <c r="E31" s="62">
        <v>4.12</v>
      </c>
      <c r="F31" s="62">
        <v>7.92</v>
      </c>
      <c r="G31" s="62">
        <f t="shared" si="29"/>
        <v>83.3476</v>
      </c>
      <c r="H31" s="63">
        <f t="shared" si="30"/>
        <v>160.2216</v>
      </c>
      <c r="I31" s="118">
        <v>2069.9999999999995</v>
      </c>
      <c r="J31" s="119">
        <v>2132.0999999999995</v>
      </c>
      <c r="K31" s="120">
        <v>3.6714202898550727</v>
      </c>
      <c r="L31" s="121">
        <v>7.8143526570048358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2132.0999999999995</v>
      </c>
      <c r="S31" s="62">
        <f t="shared" si="14"/>
        <v>78.278351999999984</v>
      </c>
      <c r="T31" s="63">
        <f t="shared" si="15"/>
        <v>166.60981300000006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89">
        <v>4155</v>
      </c>
      <c r="AI31" s="66">
        <v>3.88</v>
      </c>
      <c r="AJ31" s="66">
        <v>7.84</v>
      </c>
      <c r="AK31" s="62">
        <f t="shared" si="20"/>
        <v>161.214</v>
      </c>
      <c r="AL31" s="72">
        <f t="shared" si="21"/>
        <v>325.75200000000001</v>
      </c>
      <c r="AM31" s="73">
        <f t="shared" si="22"/>
        <v>9.9999999999454303E-2</v>
      </c>
      <c r="AN31" s="74">
        <f t="shared" si="23"/>
        <v>0.41195199999998522</v>
      </c>
      <c r="AO31" s="74">
        <f t="shared" si="24"/>
        <v>1.079413000000045</v>
      </c>
      <c r="AP31" s="75">
        <f t="shared" si="25"/>
        <v>6.0899839728883179E-3</v>
      </c>
      <c r="AQ31" s="76">
        <f t="shared" si="26"/>
        <v>521.23092757899224</v>
      </c>
      <c r="AR31" s="77">
        <f t="shared" si="27"/>
        <v>9.9999999999454303E-2</v>
      </c>
    </row>
    <row r="32" spans="1:49" x14ac:dyDescent="0.25">
      <c r="A32" t="str">
        <f t="shared" si="12"/>
        <v>46218M</v>
      </c>
      <c r="B32" s="51">
        <f t="shared" si="28"/>
        <v>46218</v>
      </c>
      <c r="C32" s="52" t="s">
        <v>87</v>
      </c>
      <c r="D32" s="91">
        <v>4155</v>
      </c>
      <c r="E32" s="62">
        <v>3.88</v>
      </c>
      <c r="F32" s="62">
        <v>7.84</v>
      </c>
      <c r="G32" s="62">
        <f t="shared" si="29"/>
        <v>161.214</v>
      </c>
      <c r="H32" s="63">
        <f t="shared" si="30"/>
        <v>325.75200000000001</v>
      </c>
      <c r="I32" s="118">
        <v>1462.7</v>
      </c>
      <c r="J32" s="119">
        <v>1506.5810000000001</v>
      </c>
      <c r="K32" s="120">
        <v>4.35027004854037</v>
      </c>
      <c r="L32" s="121">
        <v>8.0006631571750866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1506.5810000000001</v>
      </c>
      <c r="S32" s="62">
        <f t="shared" si="14"/>
        <v>65.540341999999995</v>
      </c>
      <c r="T32" s="63">
        <f t="shared" si="15"/>
        <v>120.53647099999999</v>
      </c>
      <c r="U32" s="64" t="s">
        <v>195</v>
      </c>
      <c r="V32" s="65" t="s">
        <v>537</v>
      </c>
      <c r="W32" s="66" t="s">
        <v>272</v>
      </c>
      <c r="X32" s="67">
        <v>4655</v>
      </c>
      <c r="Y32" s="68">
        <v>4.1500000000000004</v>
      </c>
      <c r="Z32" s="68">
        <v>8.11</v>
      </c>
      <c r="AA32" s="62">
        <f t="shared" si="16"/>
        <v>193.1825</v>
      </c>
      <c r="AB32" s="63">
        <f t="shared" si="17"/>
        <v>377.52049999999997</v>
      </c>
      <c r="AC32" s="69">
        <v>4660</v>
      </c>
      <c r="AD32" s="70">
        <v>4.0999999999999996</v>
      </c>
      <c r="AE32" s="70">
        <v>7.92</v>
      </c>
      <c r="AF32" s="62">
        <f t="shared" si="18"/>
        <v>191.05999999999997</v>
      </c>
      <c r="AG32" s="63">
        <f t="shared" si="19"/>
        <v>369.07199999999995</v>
      </c>
      <c r="AH32" s="89">
        <v>1006</v>
      </c>
      <c r="AI32" s="66">
        <v>3.99</v>
      </c>
      <c r="AJ32" s="66">
        <v>7.87</v>
      </c>
      <c r="AK32" s="62">
        <f t="shared" si="20"/>
        <v>40.139400000000002</v>
      </c>
      <c r="AL32" s="72">
        <f t="shared" si="21"/>
        <v>79.172200000000004</v>
      </c>
      <c r="AM32" s="73">
        <f t="shared" si="22"/>
        <v>-4.418999999999869</v>
      </c>
      <c r="AN32" s="74">
        <f t="shared" si="23"/>
        <v>-4.4450579999999675</v>
      </c>
      <c r="AO32" s="74">
        <f t="shared" si="24"/>
        <v>-1.9557289999999341</v>
      </c>
      <c r="AP32" s="75">
        <f t="shared" si="25"/>
        <v>-3.4398627624818046E-2</v>
      </c>
      <c r="AQ32" s="76">
        <f t="shared" si="26"/>
        <v>-2721.7184643506325</v>
      </c>
      <c r="AR32" s="77">
        <f t="shared" si="27"/>
        <v>0.58100000000013097</v>
      </c>
    </row>
    <row r="33" spans="1:44" x14ac:dyDescent="0.25">
      <c r="A33" t="str">
        <f t="shared" si="12"/>
        <v>46218E</v>
      </c>
      <c r="B33" s="51">
        <f t="shared" si="28"/>
        <v>46218</v>
      </c>
      <c r="C33" s="52" t="s">
        <v>88</v>
      </c>
      <c r="D33" s="91">
        <v>1006</v>
      </c>
      <c r="E33" s="62">
        <v>3.99</v>
      </c>
      <c r="F33" s="62">
        <v>7.87</v>
      </c>
      <c r="G33" s="62">
        <f t="shared" si="29"/>
        <v>40.139400000000002</v>
      </c>
      <c r="H33" s="63">
        <f t="shared" si="30"/>
        <v>79.172200000000004</v>
      </c>
      <c r="I33" s="118">
        <v>2323.1999999999998</v>
      </c>
      <c r="J33" s="119">
        <v>2392.8959999999997</v>
      </c>
      <c r="K33" s="120">
        <v>3.944146005509642</v>
      </c>
      <c r="L33" s="121">
        <v>7.8734418044077117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2392.8959999999997</v>
      </c>
      <c r="S33" s="62">
        <f t="shared" si="14"/>
        <v>94.379311999999985</v>
      </c>
      <c r="T33" s="63">
        <f t="shared" si="15"/>
        <v>188.40327399999993</v>
      </c>
      <c r="U33" s="64" t="s">
        <v>191</v>
      </c>
      <c r="V33" s="65" t="s">
        <v>538</v>
      </c>
      <c r="W33" s="66" t="s">
        <v>325</v>
      </c>
      <c r="X33" s="67">
        <v>3270</v>
      </c>
      <c r="Y33" s="68">
        <v>4.1500000000000004</v>
      </c>
      <c r="Z33" s="68">
        <v>8.11</v>
      </c>
      <c r="AA33" s="62">
        <f t="shared" si="16"/>
        <v>135.70500000000001</v>
      </c>
      <c r="AB33" s="63">
        <f t="shared" si="17"/>
        <v>265.19699999999995</v>
      </c>
      <c r="AC33" s="69">
        <v>3270</v>
      </c>
      <c r="AD33" s="70">
        <v>4.05</v>
      </c>
      <c r="AE33" s="70">
        <v>7.97</v>
      </c>
      <c r="AF33" s="62">
        <f t="shared" si="18"/>
        <v>132.435</v>
      </c>
      <c r="AG33" s="63">
        <f t="shared" si="19"/>
        <v>260.61899999999997</v>
      </c>
      <c r="AH33" s="89">
        <v>128</v>
      </c>
      <c r="AI33" s="66">
        <v>3.94</v>
      </c>
      <c r="AJ33" s="66">
        <v>7.86</v>
      </c>
      <c r="AK33" s="62">
        <f t="shared" si="20"/>
        <v>5.0431999999999997</v>
      </c>
      <c r="AL33" s="72">
        <f t="shared" si="21"/>
        <v>10.0608</v>
      </c>
      <c r="AM33" s="73">
        <f t="shared" si="22"/>
        <v>0.89599999999973079</v>
      </c>
      <c r="AN33" s="74">
        <f t="shared" si="23"/>
        <v>-2.9594880000000083</v>
      </c>
      <c r="AO33" s="74">
        <f t="shared" si="24"/>
        <v>-3.104326000000043</v>
      </c>
      <c r="AP33" s="75">
        <f t="shared" si="25"/>
        <v>-2.1443378412276254E-2</v>
      </c>
      <c r="AQ33" s="76">
        <f t="shared" si="26"/>
        <v>-2351.8483054596636</v>
      </c>
      <c r="AR33" s="77">
        <f t="shared" si="27"/>
        <v>0.89599999999973079</v>
      </c>
    </row>
    <row r="34" spans="1:44" x14ac:dyDescent="0.25">
      <c r="A34" t="str">
        <f t="shared" si="12"/>
        <v>46219M</v>
      </c>
      <c r="B34" s="51">
        <f t="shared" si="28"/>
        <v>46219</v>
      </c>
      <c r="C34" s="52" t="s">
        <v>87</v>
      </c>
      <c r="D34" s="91">
        <v>128</v>
      </c>
      <c r="E34" s="62">
        <v>3.94</v>
      </c>
      <c r="F34" s="62">
        <v>7.86</v>
      </c>
      <c r="G34" s="62">
        <f t="shared" si="29"/>
        <v>5.0431999999999997</v>
      </c>
      <c r="H34" s="63">
        <f t="shared" si="30"/>
        <v>10.0608</v>
      </c>
      <c r="I34" s="118">
        <v>2070.0000000000005</v>
      </c>
      <c r="J34" s="119">
        <v>2132.1000000000004</v>
      </c>
      <c r="K34" s="120">
        <v>4.0562318840579721</v>
      </c>
      <c r="L34" s="121">
        <v>7.9856570048309168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2132.1000000000004</v>
      </c>
      <c r="S34" s="62">
        <f t="shared" si="14"/>
        <v>86.48292000000005</v>
      </c>
      <c r="T34" s="63">
        <f t="shared" si="15"/>
        <v>170.262193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89">
        <v>2260</v>
      </c>
      <c r="AI34" s="66">
        <v>4.03</v>
      </c>
      <c r="AJ34" s="66">
        <v>7.96</v>
      </c>
      <c r="AK34" s="62">
        <f t="shared" si="20"/>
        <v>91.078000000000003</v>
      </c>
      <c r="AL34" s="72">
        <f t="shared" si="21"/>
        <v>179.89600000000002</v>
      </c>
      <c r="AM34" s="73">
        <f t="shared" si="22"/>
        <v>0.1000000000003638</v>
      </c>
      <c r="AN34" s="74">
        <f t="shared" si="23"/>
        <v>0.44812000000004559</v>
      </c>
      <c r="AO34" s="74">
        <f t="shared" si="24"/>
        <v>0.42699299999998175</v>
      </c>
      <c r="AP34" s="75">
        <f t="shared" si="25"/>
        <v>3.4084894149476064E-3</v>
      </c>
      <c r="AQ34" s="76">
        <f t="shared" si="26"/>
        <v>343.21684689437916</v>
      </c>
      <c r="AR34" s="77">
        <f t="shared" si="27"/>
        <v>0.1000000000003638</v>
      </c>
    </row>
    <row r="35" spans="1:44" x14ac:dyDescent="0.25">
      <c r="A35" t="str">
        <f t="shared" si="12"/>
        <v>46219E</v>
      </c>
      <c r="B35" s="51">
        <f t="shared" si="28"/>
        <v>46219</v>
      </c>
      <c r="C35" s="52" t="s">
        <v>88</v>
      </c>
      <c r="D35" s="91">
        <v>2260</v>
      </c>
      <c r="E35" s="62">
        <v>4.03</v>
      </c>
      <c r="F35" s="62">
        <v>7.96</v>
      </c>
      <c r="G35" s="62">
        <f t="shared" si="29"/>
        <v>91.078000000000003</v>
      </c>
      <c r="H35" s="63">
        <f t="shared" si="30"/>
        <v>179.89600000000002</v>
      </c>
      <c r="I35" s="118">
        <v>3228.3</v>
      </c>
      <c r="J35" s="119">
        <v>3325.1490000000003</v>
      </c>
      <c r="K35" s="120">
        <v>3.361276833008084</v>
      </c>
      <c r="L35" s="121">
        <v>7.8067001208066129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3325.1490000000003</v>
      </c>
      <c r="S35" s="62">
        <f t="shared" si="14"/>
        <v>111.76746299999998</v>
      </c>
      <c r="T35" s="63">
        <f t="shared" si="15"/>
        <v>259.58441099999993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89">
        <v>5584</v>
      </c>
      <c r="AI35" s="66">
        <v>3.62</v>
      </c>
      <c r="AJ35" s="66">
        <v>7.86</v>
      </c>
      <c r="AK35" s="62">
        <f t="shared" si="20"/>
        <v>202.14080000000001</v>
      </c>
      <c r="AL35" s="72">
        <f t="shared" si="21"/>
        <v>438.9024</v>
      </c>
      <c r="AM35" s="73">
        <f t="shared" si="22"/>
        <v>1.149000000000342</v>
      </c>
      <c r="AN35" s="74">
        <f t="shared" si="23"/>
        <v>0.70466299999998228</v>
      </c>
      <c r="AO35" s="74">
        <f t="shared" si="24"/>
        <v>0.57801099999994676</v>
      </c>
      <c r="AP35" s="75">
        <f t="shared" si="25"/>
        <v>3.4540663177047262E-3</v>
      </c>
      <c r="AQ35" s="76">
        <f t="shared" si="26"/>
        <v>511.7226545126</v>
      </c>
      <c r="AR35" s="77">
        <f t="shared" si="27"/>
        <v>1.149000000000342</v>
      </c>
    </row>
    <row r="36" spans="1:44" x14ac:dyDescent="0.25">
      <c r="A36" t="str">
        <f t="shared" si="12"/>
        <v>46220M</v>
      </c>
      <c r="B36" s="51">
        <f t="shared" si="28"/>
        <v>46220</v>
      </c>
      <c r="C36" s="52" t="s">
        <v>87</v>
      </c>
      <c r="D36" s="91">
        <v>5584</v>
      </c>
      <c r="E36" s="62">
        <v>3.62</v>
      </c>
      <c r="F36" s="62">
        <v>7.86</v>
      </c>
      <c r="G36" s="62">
        <f t="shared" si="29"/>
        <v>202.14080000000001</v>
      </c>
      <c r="H36" s="63">
        <f t="shared" si="30"/>
        <v>438.9024</v>
      </c>
      <c r="I36" s="118">
        <v>1965.7</v>
      </c>
      <c r="J36" s="119">
        <v>2024.671</v>
      </c>
      <c r="K36" s="120">
        <v>4.0363941598412767</v>
      </c>
      <c r="L36" s="121">
        <v>7.8805158467721421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2024.671</v>
      </c>
      <c r="S36" s="62">
        <f t="shared" si="14"/>
        <v>81.723701999999975</v>
      </c>
      <c r="T36" s="63">
        <f t="shared" si="15"/>
        <v>159.554519</v>
      </c>
      <c r="U36" s="64" t="s">
        <v>625</v>
      </c>
      <c r="V36" s="85" t="s">
        <v>626</v>
      </c>
      <c r="W36" s="66" t="s">
        <v>627</v>
      </c>
      <c r="X36" s="67">
        <v>5400</v>
      </c>
      <c r="Y36" s="68">
        <v>4.1500000000000004</v>
      </c>
      <c r="Z36" s="68">
        <v>8.17</v>
      </c>
      <c r="AA36" s="62">
        <f t="shared" si="16"/>
        <v>224.10000000000002</v>
      </c>
      <c r="AB36" s="63">
        <f t="shared" si="17"/>
        <v>441.17999999999995</v>
      </c>
      <c r="AC36" s="69">
        <v>5400</v>
      </c>
      <c r="AD36" s="70">
        <v>4.0069444444444446</v>
      </c>
      <c r="AE36" s="70">
        <v>7.9780555555555566</v>
      </c>
      <c r="AF36" s="62">
        <f t="shared" si="18"/>
        <v>216.37500000000003</v>
      </c>
      <c r="AG36" s="63">
        <f t="shared" si="19"/>
        <v>430.81500000000005</v>
      </c>
      <c r="AH36" s="89">
        <v>2208</v>
      </c>
      <c r="AI36" s="66">
        <v>3.73</v>
      </c>
      <c r="AJ36" s="66">
        <v>7.86</v>
      </c>
      <c r="AK36" s="62">
        <f t="shared" si="20"/>
        <v>82.358400000000003</v>
      </c>
      <c r="AL36" s="72">
        <f t="shared" si="21"/>
        <v>173.5488</v>
      </c>
      <c r="AM36" s="73">
        <f t="shared" si="22"/>
        <v>0.67100000000027649</v>
      </c>
      <c r="AN36" s="74">
        <f t="shared" si="23"/>
        <v>-14.868898000000016</v>
      </c>
      <c r="AO36" s="74">
        <f t="shared" si="24"/>
        <v>-5.9068810000000838</v>
      </c>
      <c r="AP36" s="75">
        <f t="shared" si="25"/>
        <v>-8.6107145990603526E-2</v>
      </c>
      <c r="AQ36" s="76">
        <f t="shared" si="26"/>
        <v>-8914.0476919098892</v>
      </c>
      <c r="AR36" s="77">
        <f t="shared" si="27"/>
        <v>0.67100000000027649</v>
      </c>
    </row>
    <row r="37" spans="1:44" x14ac:dyDescent="0.25">
      <c r="A37" t="str">
        <f t="shared" si="12"/>
        <v>46220E</v>
      </c>
      <c r="B37" s="51">
        <f t="shared" si="28"/>
        <v>46220</v>
      </c>
      <c r="C37" s="52" t="s">
        <v>88</v>
      </c>
      <c r="D37" s="91">
        <v>2208</v>
      </c>
      <c r="E37" s="62">
        <v>3.73</v>
      </c>
      <c r="F37" s="62">
        <v>7.86</v>
      </c>
      <c r="G37" s="62">
        <f t="shared" si="29"/>
        <v>82.358400000000003</v>
      </c>
      <c r="H37" s="63">
        <f t="shared" si="30"/>
        <v>173.5488</v>
      </c>
      <c r="I37" s="118">
        <v>3087</v>
      </c>
      <c r="J37" s="119">
        <v>3179.61</v>
      </c>
      <c r="K37" s="120">
        <v>4.2877194687398763</v>
      </c>
      <c r="L37" s="121">
        <v>8.0388500161969532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3179.61</v>
      </c>
      <c r="S37" s="62">
        <f t="shared" si="14"/>
        <v>136.33275699999999</v>
      </c>
      <c r="T37" s="63">
        <f t="shared" si="15"/>
        <v>255.60407899999996</v>
      </c>
      <c r="U37" s="64" t="s">
        <v>192</v>
      </c>
      <c r="V37" s="65" t="s">
        <v>628</v>
      </c>
      <c r="W37" s="66" t="s">
        <v>325</v>
      </c>
      <c r="X37" s="67">
        <v>5360</v>
      </c>
      <c r="Y37" s="68">
        <v>4.1500000000000004</v>
      </c>
      <c r="Z37" s="68">
        <v>8.17</v>
      </c>
      <c r="AA37" s="62">
        <f t="shared" si="16"/>
        <v>222.44</v>
      </c>
      <c r="AB37" s="63">
        <f t="shared" si="17"/>
        <v>437.91199999999998</v>
      </c>
      <c r="AC37" s="69">
        <v>5360</v>
      </c>
      <c r="AD37" s="70">
        <v>4</v>
      </c>
      <c r="AE37" s="70">
        <v>7.96</v>
      </c>
      <c r="AF37" s="62">
        <f t="shared" si="18"/>
        <v>214.4</v>
      </c>
      <c r="AG37" s="63">
        <f t="shared" si="19"/>
        <v>426.65600000000001</v>
      </c>
      <c r="AH37" s="89">
        <v>28</v>
      </c>
      <c r="AI37" s="66">
        <v>4.05</v>
      </c>
      <c r="AJ37" s="66">
        <v>7.96</v>
      </c>
      <c r="AK37" s="62">
        <f t="shared" si="20"/>
        <v>1.1340000000000001</v>
      </c>
      <c r="AL37" s="72">
        <f t="shared" si="21"/>
        <v>2.2288000000000001</v>
      </c>
      <c r="AM37" s="73">
        <f t="shared" si="22"/>
        <v>-0.38999999999941792</v>
      </c>
      <c r="AN37" s="74">
        <f t="shared" si="23"/>
        <v>3.1571569999999696</v>
      </c>
      <c r="AO37" s="74">
        <f t="shared" si="24"/>
        <v>0.26807899999997842</v>
      </c>
      <c r="AP37" s="75">
        <f t="shared" si="25"/>
        <v>8.7392551181383425E-3</v>
      </c>
      <c r="AQ37" s="76">
        <f t="shared" si="26"/>
        <v>1597.4039665992723</v>
      </c>
      <c r="AR37" s="77">
        <f t="shared" si="27"/>
        <v>-0.38999999999941792</v>
      </c>
    </row>
    <row r="38" spans="1:44" x14ac:dyDescent="0.25">
      <c r="A38" t="str">
        <f t="shared" si="12"/>
        <v>46221M</v>
      </c>
      <c r="B38" s="51">
        <f t="shared" si="28"/>
        <v>46221</v>
      </c>
      <c r="C38" s="52" t="s">
        <v>87</v>
      </c>
      <c r="D38" s="91">
        <v>28</v>
      </c>
      <c r="E38" s="62">
        <v>4.05</v>
      </c>
      <c r="F38" s="62">
        <v>7.96</v>
      </c>
      <c r="G38" s="62">
        <f t="shared" si="29"/>
        <v>1.1340000000000001</v>
      </c>
      <c r="H38" s="63">
        <f t="shared" si="30"/>
        <v>2.2288000000000001</v>
      </c>
      <c r="I38" s="118">
        <v>1623.6999999999996</v>
      </c>
      <c r="J38" s="119">
        <v>1672.4109999999996</v>
      </c>
      <c r="K38" s="120">
        <v>4.3198004557492151</v>
      </c>
      <c r="L38" s="121">
        <v>7.9527806860873298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1672.4109999999996</v>
      </c>
      <c r="S38" s="62">
        <f t="shared" si="14"/>
        <v>72.244817999999981</v>
      </c>
      <c r="T38" s="63">
        <f t="shared" si="15"/>
        <v>133.00317899999993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89">
        <v>1700</v>
      </c>
      <c r="AI38" s="66">
        <v>4.3</v>
      </c>
      <c r="AJ38" s="66">
        <v>7.94</v>
      </c>
      <c r="AK38" s="62">
        <f t="shared" si="20"/>
        <v>73.099999999999994</v>
      </c>
      <c r="AL38" s="72">
        <f t="shared" si="21"/>
        <v>134.97999999999999</v>
      </c>
      <c r="AM38" s="73">
        <f t="shared" si="22"/>
        <v>0.41099999999960346</v>
      </c>
      <c r="AN38" s="74">
        <f t="shared" si="23"/>
        <v>0.27881799999998691</v>
      </c>
      <c r="AO38" s="74">
        <f t="shared" si="24"/>
        <v>0.25197899999994888</v>
      </c>
      <c r="AP38" s="75">
        <f t="shared" si="25"/>
        <v>2.5861251157541674E-3</v>
      </c>
      <c r="AQ38" s="76">
        <f t="shared" si="26"/>
        <v>209.44659078345407</v>
      </c>
      <c r="AR38" s="77">
        <f t="shared" si="27"/>
        <v>0.41099999999960346</v>
      </c>
    </row>
    <row r="39" spans="1:44" x14ac:dyDescent="0.25">
      <c r="A39" t="str">
        <f t="shared" si="12"/>
        <v>46221E</v>
      </c>
      <c r="B39" s="51">
        <f t="shared" si="28"/>
        <v>46221</v>
      </c>
      <c r="C39" s="52" t="s">
        <v>88</v>
      </c>
      <c r="D39" s="91">
        <v>1700</v>
      </c>
      <c r="E39" s="62">
        <v>4.3</v>
      </c>
      <c r="F39" s="62">
        <v>7.94</v>
      </c>
      <c r="G39" s="62">
        <f t="shared" si="29"/>
        <v>73.099999999999994</v>
      </c>
      <c r="H39" s="63">
        <f t="shared" si="30"/>
        <v>134.97999999999999</v>
      </c>
      <c r="I39" s="118">
        <v>2003.6999999999998</v>
      </c>
      <c r="J39" s="119">
        <v>2063.8109999999997</v>
      </c>
      <c r="K39" s="120">
        <v>3.8823526476019352</v>
      </c>
      <c r="L39" s="121">
        <v>7.8780855417477671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2063.8109999999997</v>
      </c>
      <c r="S39" s="62">
        <f t="shared" si="14"/>
        <v>80.12442099999997</v>
      </c>
      <c r="T39" s="63">
        <f t="shared" si="15"/>
        <v>162.588796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89">
        <v>3763</v>
      </c>
      <c r="AI39" s="66">
        <v>4.0599999999999996</v>
      </c>
      <c r="AJ39" s="66">
        <v>7.9</v>
      </c>
      <c r="AK39" s="62">
        <f t="shared" si="20"/>
        <v>152.77779999999998</v>
      </c>
      <c r="AL39" s="72">
        <f t="shared" si="21"/>
        <v>297.27699999999999</v>
      </c>
      <c r="AM39" s="73">
        <f t="shared" si="22"/>
        <v>0.81099999999969441</v>
      </c>
      <c r="AN39" s="74">
        <f t="shared" si="23"/>
        <v>0.44662099999996485</v>
      </c>
      <c r="AO39" s="74">
        <f t="shared" si="24"/>
        <v>0.29179600000003347</v>
      </c>
      <c r="AP39" s="75">
        <f t="shared" si="25"/>
        <v>3.0423435902132943E-3</v>
      </c>
      <c r="AQ39" s="76">
        <f t="shared" si="26"/>
        <v>302.00623070004917</v>
      </c>
      <c r="AR39" s="77">
        <f t="shared" si="27"/>
        <v>0.81099999999969441</v>
      </c>
    </row>
    <row r="40" spans="1:44" x14ac:dyDescent="0.25">
      <c r="A40" t="str">
        <f t="shared" si="12"/>
        <v>46222M</v>
      </c>
      <c r="B40" s="51">
        <f t="shared" si="28"/>
        <v>46222</v>
      </c>
      <c r="C40" s="52" t="s">
        <v>87</v>
      </c>
      <c r="D40" s="91">
        <v>3763</v>
      </c>
      <c r="E40" s="62">
        <v>4.0599999999999996</v>
      </c>
      <c r="F40" s="62">
        <v>7.9</v>
      </c>
      <c r="G40" s="62">
        <f t="shared" si="29"/>
        <v>152.77779999999998</v>
      </c>
      <c r="H40" s="63">
        <f t="shared" si="30"/>
        <v>297.27699999999999</v>
      </c>
      <c r="I40" s="118">
        <v>1796.8999999999996</v>
      </c>
      <c r="J40" s="119">
        <v>1850.8069999999996</v>
      </c>
      <c r="K40" s="120">
        <v>4.0119761812009589</v>
      </c>
      <c r="L40" s="121">
        <v>8.0651288329901529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3"/>
        <v>1850.8069999999996</v>
      </c>
      <c r="S40" s="62">
        <f t="shared" si="14"/>
        <v>74.25393600000001</v>
      </c>
      <c r="T40" s="63">
        <f t="shared" si="15"/>
        <v>149.269969</v>
      </c>
      <c r="U40" s="64" t="s">
        <v>192</v>
      </c>
      <c r="V40" s="65" t="s">
        <v>629</v>
      </c>
      <c r="W40" s="66" t="s">
        <v>541</v>
      </c>
      <c r="X40" s="67">
        <v>5680</v>
      </c>
      <c r="Y40" s="68">
        <v>4.25</v>
      </c>
      <c r="Z40" s="68">
        <v>8.1300000000000008</v>
      </c>
      <c r="AA40" s="62">
        <f t="shared" si="16"/>
        <v>241.4</v>
      </c>
      <c r="AB40" s="63">
        <f t="shared" si="17"/>
        <v>461.78400000000005</v>
      </c>
      <c r="AC40" s="69">
        <v>5680</v>
      </c>
      <c r="AD40" s="70">
        <v>4.0999999999999996</v>
      </c>
      <c r="AE40" s="70">
        <v>7.98</v>
      </c>
      <c r="AF40" s="62">
        <f t="shared" si="18"/>
        <v>232.87999999999997</v>
      </c>
      <c r="AG40" s="63">
        <f t="shared" si="19"/>
        <v>453.26400000000007</v>
      </c>
      <c r="AH40" s="89">
        <v>0</v>
      </c>
      <c r="AI40" s="66">
        <v>0</v>
      </c>
      <c r="AJ40" s="66">
        <v>0</v>
      </c>
      <c r="AK40" s="62">
        <f t="shared" si="20"/>
        <v>0</v>
      </c>
      <c r="AL40" s="72">
        <f t="shared" si="21"/>
        <v>0</v>
      </c>
      <c r="AM40" s="73">
        <f t="shared" si="22"/>
        <v>-66.193000000000211</v>
      </c>
      <c r="AN40" s="74">
        <f t="shared" si="23"/>
        <v>-5.8482639999999719</v>
      </c>
      <c r="AO40" s="74">
        <f t="shared" si="24"/>
        <v>-6.7170310000000768</v>
      </c>
      <c r="AP40" s="75">
        <f t="shared" si="25"/>
        <v>-5.6214546717050458E-2</v>
      </c>
      <c r="AQ40" s="76">
        <f t="shared" si="26"/>
        <v>-4821.9721781467906</v>
      </c>
      <c r="AR40" s="77">
        <f t="shared" si="27"/>
        <v>-66.193000000000211</v>
      </c>
    </row>
    <row r="41" spans="1:44" x14ac:dyDescent="0.25">
      <c r="A41" t="str">
        <f t="shared" si="12"/>
        <v>46222E</v>
      </c>
      <c r="B41" s="51">
        <f t="shared" si="28"/>
        <v>46222</v>
      </c>
      <c r="C41" s="52" t="s">
        <v>88</v>
      </c>
      <c r="D41" s="91">
        <v>0</v>
      </c>
      <c r="E41" s="62">
        <v>0</v>
      </c>
      <c r="F41" s="62">
        <v>0</v>
      </c>
      <c r="G41" s="62">
        <f t="shared" si="29"/>
        <v>0</v>
      </c>
      <c r="H41" s="63">
        <f t="shared" si="30"/>
        <v>0</v>
      </c>
      <c r="I41" s="118">
        <v>1622.2999999999995</v>
      </c>
      <c r="J41" s="119">
        <v>1670.9689999999996</v>
      </c>
      <c r="K41" s="120">
        <v>3.9898908956419912</v>
      </c>
      <c r="L41" s="121">
        <v>7.9305923688590285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3"/>
        <v>1670.9689999999996</v>
      </c>
      <c r="S41" s="62">
        <f t="shared" si="14"/>
        <v>66.669840000000008</v>
      </c>
      <c r="T41" s="63">
        <f t="shared" si="15"/>
        <v>132.51773999999997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89">
        <v>1670</v>
      </c>
      <c r="AI41" s="66">
        <v>3.98</v>
      </c>
      <c r="AJ41" s="66">
        <v>7.91</v>
      </c>
      <c r="AK41" s="62">
        <f t="shared" si="20"/>
        <v>66.466000000000008</v>
      </c>
      <c r="AL41" s="72">
        <f t="shared" si="21"/>
        <v>132.09700000000001</v>
      </c>
      <c r="AM41" s="73">
        <f t="shared" si="22"/>
        <v>0.96899999999959618</v>
      </c>
      <c r="AN41" s="74">
        <f t="shared" si="23"/>
        <v>0.20383999999999958</v>
      </c>
      <c r="AO41" s="74">
        <f t="shared" si="24"/>
        <v>0.42073999999996659</v>
      </c>
      <c r="AP41" s="75">
        <f t="shared" si="25"/>
        <v>3.1356372721630852E-3</v>
      </c>
      <c r="AQ41" s="76">
        <f t="shared" si="26"/>
        <v>223.95963862089741</v>
      </c>
      <c r="AR41" s="77">
        <f t="shared" si="27"/>
        <v>0.96899999999959618</v>
      </c>
    </row>
    <row r="42" spans="1:44" x14ac:dyDescent="0.25">
      <c r="A42" t="str">
        <f t="shared" si="12"/>
        <v>46223M</v>
      </c>
      <c r="B42" s="51">
        <f t="shared" si="28"/>
        <v>46223</v>
      </c>
      <c r="C42" s="52" t="s">
        <v>87</v>
      </c>
      <c r="D42" s="91">
        <v>1670</v>
      </c>
      <c r="E42" s="62">
        <v>3.98</v>
      </c>
      <c r="F42" s="62">
        <v>7.91</v>
      </c>
      <c r="G42" s="62">
        <f t="shared" si="29"/>
        <v>66.466000000000008</v>
      </c>
      <c r="H42" s="63">
        <f t="shared" si="30"/>
        <v>132.09700000000001</v>
      </c>
      <c r="I42" s="118">
        <v>2366.1</v>
      </c>
      <c r="J42" s="119">
        <v>2437.0830000000001</v>
      </c>
      <c r="K42" s="120">
        <v>3.932851527830608</v>
      </c>
      <c r="L42" s="121">
        <v>7.9429990279362652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3"/>
        <v>2437.0830000000001</v>
      </c>
      <c r="S42" s="62">
        <f t="shared" si="14"/>
        <v>95.846856000000017</v>
      </c>
      <c r="T42" s="63">
        <f t="shared" si="15"/>
        <v>193.57747899999998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89">
        <v>4107</v>
      </c>
      <c r="AI42" s="66">
        <v>3.94</v>
      </c>
      <c r="AJ42" s="66">
        <v>7.93</v>
      </c>
      <c r="AK42" s="62">
        <f t="shared" si="20"/>
        <v>161.8158</v>
      </c>
      <c r="AL42" s="72">
        <f t="shared" si="21"/>
        <v>325.68509999999998</v>
      </c>
      <c r="AM42" s="73">
        <f t="shared" si="22"/>
        <v>8.3000000000538421E-2</v>
      </c>
      <c r="AN42" s="74">
        <f t="shared" si="23"/>
        <v>0.49705600000001482</v>
      </c>
      <c r="AO42" s="74">
        <f t="shared" si="24"/>
        <v>-1.0620999999957803E-2</v>
      </c>
      <c r="AP42" s="75">
        <f t="shared" si="25"/>
        <v>1.6806983421074702E-3</v>
      </c>
      <c r="AQ42" s="76">
        <f t="shared" si="26"/>
        <v>235.67069044973508</v>
      </c>
      <c r="AR42" s="77">
        <f t="shared" si="27"/>
        <v>8.3000000000538421E-2</v>
      </c>
    </row>
    <row r="43" spans="1:44" x14ac:dyDescent="0.25">
      <c r="A43" t="str">
        <f t="shared" si="12"/>
        <v>46223E</v>
      </c>
      <c r="B43" s="51">
        <f t="shared" si="28"/>
        <v>46223</v>
      </c>
      <c r="C43" s="52" t="s">
        <v>88</v>
      </c>
      <c r="D43" s="91">
        <v>4107</v>
      </c>
      <c r="E43" s="62">
        <v>3.94</v>
      </c>
      <c r="F43" s="62">
        <v>7.93</v>
      </c>
      <c r="G43" s="62">
        <f t="shared" si="29"/>
        <v>161.8158</v>
      </c>
      <c r="H43" s="63">
        <f t="shared" si="30"/>
        <v>325.68509999999998</v>
      </c>
      <c r="I43" s="118">
        <v>1605.0999999999992</v>
      </c>
      <c r="J43" s="119">
        <v>1653.2529999999992</v>
      </c>
      <c r="K43" s="120">
        <v>4.142259049280419</v>
      </c>
      <c r="L43" s="121">
        <v>7.9722571802379907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3"/>
        <v>1653.2529999999992</v>
      </c>
      <c r="S43" s="62">
        <f t="shared" si="14"/>
        <v>68.482021999999972</v>
      </c>
      <c r="T43" s="63">
        <f t="shared" si="15"/>
        <v>131.80158099999991</v>
      </c>
      <c r="U43" s="64" t="s">
        <v>170</v>
      </c>
      <c r="V43" s="65" t="s">
        <v>702</v>
      </c>
      <c r="W43" s="66" t="s">
        <v>187</v>
      </c>
      <c r="X43" s="67">
        <v>3100</v>
      </c>
      <c r="Y43" s="68">
        <v>4.0999999999999996</v>
      </c>
      <c r="Z43" s="68">
        <v>8.0399999999999991</v>
      </c>
      <c r="AA43" s="62">
        <f t="shared" si="16"/>
        <v>127.09999999999998</v>
      </c>
      <c r="AB43" s="63">
        <f t="shared" si="17"/>
        <v>249.23999999999995</v>
      </c>
      <c r="AC43" s="69">
        <v>3060</v>
      </c>
      <c r="AD43" s="70">
        <v>4.05</v>
      </c>
      <c r="AE43" s="70">
        <v>7.72</v>
      </c>
      <c r="AF43" s="62">
        <f t="shared" si="18"/>
        <v>123.93</v>
      </c>
      <c r="AG43" s="63">
        <f t="shared" si="19"/>
        <v>236.23199999999997</v>
      </c>
      <c r="AH43" s="89">
        <v>2660</v>
      </c>
      <c r="AI43" s="66">
        <v>3.99</v>
      </c>
      <c r="AJ43" s="66">
        <v>7.94</v>
      </c>
      <c r="AK43" s="62">
        <f t="shared" si="20"/>
        <v>106.13400000000001</v>
      </c>
      <c r="AL43" s="72">
        <f t="shared" si="21"/>
        <v>211.20400000000001</v>
      </c>
      <c r="AM43" s="73">
        <f t="shared" si="22"/>
        <v>40.252999999998792</v>
      </c>
      <c r="AN43" s="74">
        <f t="shared" si="23"/>
        <v>0.23382199999994668</v>
      </c>
      <c r="AO43" s="74">
        <f t="shared" si="24"/>
        <v>10.050680999999884</v>
      </c>
      <c r="AP43" s="75">
        <f t="shared" si="25"/>
        <v>5.1349700354650779E-2</v>
      </c>
      <c r="AQ43" s="76">
        <f t="shared" si="26"/>
        <v>3122.4485642716927</v>
      </c>
      <c r="AR43" s="77">
        <f t="shared" si="27"/>
        <v>0.25299999999879219</v>
      </c>
    </row>
    <row r="44" spans="1:44" x14ac:dyDescent="0.25">
      <c r="A44" t="str">
        <f t="shared" si="12"/>
        <v>46224M</v>
      </c>
      <c r="B44" s="51">
        <f t="shared" si="28"/>
        <v>46224</v>
      </c>
      <c r="C44" s="52" t="s">
        <v>87</v>
      </c>
      <c r="D44" s="91">
        <v>2660</v>
      </c>
      <c r="E44" s="62">
        <v>3.99</v>
      </c>
      <c r="F44" s="62">
        <v>7.94</v>
      </c>
      <c r="G44" s="62">
        <f t="shared" si="29"/>
        <v>106.13400000000001</v>
      </c>
      <c r="H44" s="63">
        <f t="shared" si="30"/>
        <v>211.20400000000001</v>
      </c>
      <c r="I44" s="118">
        <v>2316.6</v>
      </c>
      <c r="J44" s="119">
        <v>2386.098</v>
      </c>
      <c r="K44" s="120">
        <v>3.9983251316584658</v>
      </c>
      <c r="L44" s="121">
        <v>7.9859880859880867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3"/>
        <v>2386.098</v>
      </c>
      <c r="S44" s="62">
        <f t="shared" si="14"/>
        <v>95.403956000000022</v>
      </c>
      <c r="T44" s="63">
        <f t="shared" si="15"/>
        <v>190.55350200000001</v>
      </c>
      <c r="U44" s="64" t="s">
        <v>192</v>
      </c>
      <c r="V44" s="65" t="s">
        <v>703</v>
      </c>
      <c r="W44" s="66" t="s">
        <v>272</v>
      </c>
      <c r="X44" s="67">
        <v>5050</v>
      </c>
      <c r="Y44" s="68">
        <v>4.25</v>
      </c>
      <c r="Z44" s="68">
        <v>8.1300000000000008</v>
      </c>
      <c r="AA44" s="62">
        <f t="shared" si="16"/>
        <v>214.62500000000003</v>
      </c>
      <c r="AB44" s="63">
        <f t="shared" si="17"/>
        <v>410.56500000000005</v>
      </c>
      <c r="AC44" s="69">
        <v>5050</v>
      </c>
      <c r="AD44" s="70">
        <v>4.0999999999999996</v>
      </c>
      <c r="AE44" s="70">
        <v>7.91</v>
      </c>
      <c r="AF44" s="62">
        <f t="shared" si="18"/>
        <v>207.04999999999998</v>
      </c>
      <c r="AG44" s="63">
        <f t="shared" si="19"/>
        <v>399.45500000000004</v>
      </c>
      <c r="AH44" s="89">
        <v>0</v>
      </c>
      <c r="AI44" s="66">
        <v>0</v>
      </c>
      <c r="AJ44" s="66">
        <v>0</v>
      </c>
      <c r="AK44" s="62">
        <f t="shared" si="20"/>
        <v>0</v>
      </c>
      <c r="AL44" s="72">
        <f t="shared" si="21"/>
        <v>0</v>
      </c>
      <c r="AM44" s="73">
        <f t="shared" si="22"/>
        <v>-3.9020000000000437</v>
      </c>
      <c r="AN44" s="74">
        <f t="shared" si="23"/>
        <v>-5.5120439999999462</v>
      </c>
      <c r="AO44" s="74">
        <f t="shared" si="24"/>
        <v>2.302502000000004</v>
      </c>
      <c r="AP44" s="75">
        <f t="shared" si="25"/>
        <v>-1.1223844352399936E-2</v>
      </c>
      <c r="AQ44" s="76">
        <f t="shared" si="26"/>
        <v>-1959.1376883796524</v>
      </c>
      <c r="AR44" s="77">
        <f t="shared" si="27"/>
        <v>-3.9020000000000437</v>
      </c>
    </row>
    <row r="45" spans="1:44" x14ac:dyDescent="0.25">
      <c r="A45" t="str">
        <f t="shared" si="12"/>
        <v>46224E</v>
      </c>
      <c r="B45" s="51">
        <f t="shared" si="28"/>
        <v>46224</v>
      </c>
      <c r="C45" s="52" t="s">
        <v>88</v>
      </c>
      <c r="D45" s="91">
        <v>0</v>
      </c>
      <c r="E45" s="62">
        <v>0</v>
      </c>
      <c r="F45" s="62">
        <v>0</v>
      </c>
      <c r="G45" s="62">
        <f t="shared" si="29"/>
        <v>0</v>
      </c>
      <c r="H45" s="63">
        <f t="shared" si="30"/>
        <v>0</v>
      </c>
      <c r="I45" s="118">
        <v>1698.5</v>
      </c>
      <c r="J45" s="119">
        <v>1749.4550000000002</v>
      </c>
      <c r="K45" s="120">
        <v>4.0453517809832178</v>
      </c>
      <c r="L45" s="121">
        <v>7.9799823373564882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3"/>
        <v>1749.4550000000002</v>
      </c>
      <c r="S45" s="62">
        <f t="shared" si="14"/>
        <v>70.771608999999955</v>
      </c>
      <c r="T45" s="63">
        <f t="shared" si="15"/>
        <v>139.60619999999994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89">
        <v>1746</v>
      </c>
      <c r="AI45" s="66">
        <v>4.0199999999999996</v>
      </c>
      <c r="AJ45" s="66">
        <v>7.98</v>
      </c>
      <c r="AK45" s="62">
        <f t="shared" si="20"/>
        <v>70.189199999999985</v>
      </c>
      <c r="AL45" s="72">
        <f t="shared" si="21"/>
        <v>139.33080000000001</v>
      </c>
      <c r="AM45" s="73">
        <f t="shared" si="22"/>
        <v>3.4550000000001546</v>
      </c>
      <c r="AN45" s="74">
        <f t="shared" si="23"/>
        <v>0.58240899999996998</v>
      </c>
      <c r="AO45" s="74">
        <f t="shared" si="24"/>
        <v>0.2753999999999337</v>
      </c>
      <c r="AP45" s="75">
        <f t="shared" si="25"/>
        <v>4.0774690262122852E-3</v>
      </c>
      <c r="AQ45" s="76">
        <f t="shared" si="26"/>
        <v>362.34632807963834</v>
      </c>
      <c r="AR45" s="77">
        <f t="shared" si="27"/>
        <v>3.4550000000001546</v>
      </c>
    </row>
    <row r="46" spans="1:44" x14ac:dyDescent="0.25">
      <c r="A46" t="str">
        <f t="shared" si="12"/>
        <v>46225M</v>
      </c>
      <c r="B46" s="51">
        <f t="shared" si="28"/>
        <v>46225</v>
      </c>
      <c r="C46" s="52" t="s">
        <v>87</v>
      </c>
      <c r="D46" s="91">
        <v>1746</v>
      </c>
      <c r="E46" s="62">
        <v>4.0199999999999996</v>
      </c>
      <c r="F46" s="62">
        <v>7.98</v>
      </c>
      <c r="G46" s="62">
        <f t="shared" si="29"/>
        <v>70.189199999999985</v>
      </c>
      <c r="H46" s="63">
        <f t="shared" si="30"/>
        <v>139.33080000000001</v>
      </c>
      <c r="I46" s="118">
        <v>2839.6</v>
      </c>
      <c r="J46" s="119">
        <v>2924.788</v>
      </c>
      <c r="K46" s="120">
        <v>4.1298457529229466</v>
      </c>
      <c r="L46" s="121">
        <v>8.0657275672629947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3"/>
        <v>2924.788</v>
      </c>
      <c r="S46" s="62">
        <f t="shared" si="14"/>
        <v>120.789233</v>
      </c>
      <c r="T46" s="63">
        <f t="shared" si="15"/>
        <v>235.90543200000002</v>
      </c>
      <c r="U46" s="64" t="s">
        <v>192</v>
      </c>
      <c r="V46" s="65" t="s">
        <v>704</v>
      </c>
      <c r="W46" s="66" t="s">
        <v>187</v>
      </c>
      <c r="X46" s="67">
        <v>4600</v>
      </c>
      <c r="Y46" s="68">
        <v>4.38</v>
      </c>
      <c r="Z46" s="68">
        <v>8.5500000000000007</v>
      </c>
      <c r="AA46" s="62">
        <f t="shared" si="16"/>
        <v>201.48</v>
      </c>
      <c r="AB46" s="63">
        <f t="shared" si="17"/>
        <v>393.3</v>
      </c>
      <c r="AC46" s="69">
        <v>4610</v>
      </c>
      <c r="AD46" s="70">
        <v>4.2129067245119316</v>
      </c>
      <c r="AE46" s="70">
        <v>8.4174837310195247</v>
      </c>
      <c r="AF46" s="62">
        <f t="shared" si="18"/>
        <v>194.21500000000003</v>
      </c>
      <c r="AG46" s="63">
        <f t="shared" si="19"/>
        <v>388.04600000000011</v>
      </c>
      <c r="AH46" s="89">
        <v>69</v>
      </c>
      <c r="AI46" s="66">
        <v>4.08</v>
      </c>
      <c r="AJ46" s="66">
        <v>8.0299999999999994</v>
      </c>
      <c r="AK46" s="62">
        <f t="shared" si="20"/>
        <v>2.8152000000000004</v>
      </c>
      <c r="AL46" s="72">
        <f t="shared" si="21"/>
        <v>5.5407000000000002</v>
      </c>
      <c r="AM46" s="73">
        <f t="shared" si="22"/>
        <v>-8.2119999999995343</v>
      </c>
      <c r="AN46" s="74">
        <f t="shared" si="23"/>
        <v>-6.0517670000000372</v>
      </c>
      <c r="AO46" s="74">
        <f t="shared" si="24"/>
        <v>-18.350468000000077</v>
      </c>
      <c r="AP46" s="75">
        <f t="shared" si="25"/>
        <v>-6.8412110957701361E-2</v>
      </c>
      <c r="AQ46" s="76">
        <f t="shared" si="26"/>
        <v>-8403.8728076407297</v>
      </c>
      <c r="AR46" s="77">
        <f t="shared" si="27"/>
        <v>1.7880000000004657</v>
      </c>
    </row>
    <row r="47" spans="1:44" x14ac:dyDescent="0.25">
      <c r="A47" t="str">
        <f t="shared" si="12"/>
        <v>46225E</v>
      </c>
      <c r="B47" s="51">
        <f t="shared" si="28"/>
        <v>46225</v>
      </c>
      <c r="C47" s="52" t="s">
        <v>88</v>
      </c>
      <c r="D47" s="91">
        <v>69</v>
      </c>
      <c r="E47" s="62">
        <v>4.08</v>
      </c>
      <c r="F47" s="62">
        <v>8.0299999999999994</v>
      </c>
      <c r="G47" s="62">
        <f t="shared" si="29"/>
        <v>2.8152000000000004</v>
      </c>
      <c r="H47" s="63">
        <f t="shared" si="30"/>
        <v>5.5407000000000002</v>
      </c>
      <c r="I47" s="118">
        <v>2104.1999999999998</v>
      </c>
      <c r="J47" s="119">
        <v>2167.326</v>
      </c>
      <c r="K47" s="120">
        <v>3.9706206634350338</v>
      </c>
      <c r="L47" s="121">
        <v>7.9439454424484328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3"/>
        <v>2167.326</v>
      </c>
      <c r="S47" s="62">
        <f t="shared" si="14"/>
        <v>86.05629399999998</v>
      </c>
      <c r="T47" s="63">
        <f t="shared" si="15"/>
        <v>172.17119499999993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89">
        <v>2237</v>
      </c>
      <c r="AI47" s="66">
        <v>3.96</v>
      </c>
      <c r="AJ47" s="66">
        <v>7.93</v>
      </c>
      <c r="AK47" s="62">
        <f t="shared" si="20"/>
        <v>88.585199999999986</v>
      </c>
      <c r="AL47" s="72">
        <f t="shared" si="21"/>
        <v>177.39409999999998</v>
      </c>
      <c r="AM47" s="73">
        <f t="shared" si="22"/>
        <v>-0.67399999999997817</v>
      </c>
      <c r="AN47" s="74">
        <f t="shared" si="23"/>
        <v>0.28629399999999805</v>
      </c>
      <c r="AO47" s="74">
        <f t="shared" si="24"/>
        <v>0.31779499999993277</v>
      </c>
      <c r="AP47" s="75">
        <f t="shared" si="25"/>
        <v>2.3393675179172388E-3</v>
      </c>
      <c r="AQ47" s="76">
        <f t="shared" si="26"/>
        <v>232.75035817286596</v>
      </c>
      <c r="AR47" s="77">
        <f t="shared" si="27"/>
        <v>-0.67399999999997817</v>
      </c>
    </row>
    <row r="48" spans="1:44" x14ac:dyDescent="0.25">
      <c r="A48" t="str">
        <f t="shared" si="12"/>
        <v>46226M</v>
      </c>
      <c r="B48" s="51">
        <f t="shared" si="28"/>
        <v>46226</v>
      </c>
      <c r="C48" s="52" t="s">
        <v>87</v>
      </c>
      <c r="D48" s="91">
        <v>2237</v>
      </c>
      <c r="E48" s="62">
        <v>3.96</v>
      </c>
      <c r="F48" s="62">
        <v>7.93</v>
      </c>
      <c r="G48" s="62">
        <f t="shared" si="29"/>
        <v>88.585199999999986</v>
      </c>
      <c r="H48" s="63">
        <f t="shared" si="30"/>
        <v>177.39409999999998</v>
      </c>
      <c r="I48" s="118">
        <v>2686.0999999999995</v>
      </c>
      <c r="J48" s="119">
        <v>2766.6829999999995</v>
      </c>
      <c r="K48" s="120">
        <v>4.0616023230706242</v>
      </c>
      <c r="L48" s="121">
        <v>8.0335653922043111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3"/>
        <v>2766.6829999999995</v>
      </c>
      <c r="S48" s="62">
        <f t="shared" si="14"/>
        <v>112.37166100000002</v>
      </c>
      <c r="T48" s="63">
        <f t="shared" si="15"/>
        <v>222.26328799999999</v>
      </c>
      <c r="U48" s="64" t="s">
        <v>192</v>
      </c>
      <c r="V48" s="65" t="s">
        <v>761</v>
      </c>
      <c r="W48" s="66" t="s">
        <v>272</v>
      </c>
      <c r="X48" s="67">
        <v>4980</v>
      </c>
      <c r="Y48" s="68">
        <v>4.2</v>
      </c>
      <c r="Z48" s="68">
        <v>8.1199999999999992</v>
      </c>
      <c r="AA48" s="62">
        <f t="shared" si="16"/>
        <v>209.16000000000003</v>
      </c>
      <c r="AB48" s="63">
        <f t="shared" si="17"/>
        <v>404.37599999999998</v>
      </c>
      <c r="AC48" s="69">
        <v>4980</v>
      </c>
      <c r="AD48" s="70">
        <v>4.05</v>
      </c>
      <c r="AE48" s="70">
        <v>7.9</v>
      </c>
      <c r="AF48" s="62">
        <f t="shared" si="18"/>
        <v>201.69</v>
      </c>
      <c r="AG48" s="63">
        <f t="shared" si="19"/>
        <v>393.42</v>
      </c>
      <c r="AH48" s="89">
        <v>24</v>
      </c>
      <c r="AI48" s="66">
        <v>4</v>
      </c>
      <c r="AJ48" s="66">
        <v>7.97</v>
      </c>
      <c r="AK48" s="62">
        <f t="shared" si="20"/>
        <v>0.96</v>
      </c>
      <c r="AL48" s="72">
        <f t="shared" si="21"/>
        <v>1.9127999999999998</v>
      </c>
      <c r="AM48" s="73">
        <f t="shared" si="22"/>
        <v>-0.31700000000091677</v>
      </c>
      <c r="AN48" s="74">
        <f t="shared" si="23"/>
        <v>-1.6931389999999942</v>
      </c>
      <c r="AO48" s="74">
        <f t="shared" si="24"/>
        <v>4.3245879999999532</v>
      </c>
      <c r="AP48" s="75">
        <f t="shared" si="25"/>
        <v>7.8636406862570684E-3</v>
      </c>
      <c r="AQ48" s="76">
        <f t="shared" si="26"/>
        <v>481.56721118499502</v>
      </c>
      <c r="AR48" s="77">
        <f t="shared" si="27"/>
        <v>-0.31700000000091677</v>
      </c>
    </row>
    <row r="49" spans="1:44" x14ac:dyDescent="0.25">
      <c r="A49" t="str">
        <f t="shared" si="12"/>
        <v>46226E</v>
      </c>
      <c r="B49" s="51">
        <f t="shared" si="28"/>
        <v>46226</v>
      </c>
      <c r="C49" s="52" t="s">
        <v>88</v>
      </c>
      <c r="D49" s="91">
        <v>24</v>
      </c>
      <c r="E49" s="62">
        <v>4</v>
      </c>
      <c r="F49" s="62">
        <v>7.97</v>
      </c>
      <c r="G49" s="62">
        <f t="shared" si="29"/>
        <v>0.96</v>
      </c>
      <c r="H49" s="63">
        <f t="shared" si="30"/>
        <v>1.9127999999999998</v>
      </c>
      <c r="I49" s="118">
        <v>1671.3999999999999</v>
      </c>
      <c r="J49" s="119">
        <v>1721.5419999999999</v>
      </c>
      <c r="K49" s="120">
        <v>4.0045770013162629</v>
      </c>
      <c r="L49" s="121">
        <v>8.0265466076343213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3"/>
        <v>1721.5419999999999</v>
      </c>
      <c r="S49" s="62">
        <f t="shared" si="14"/>
        <v>68.940475000000021</v>
      </c>
      <c r="T49" s="63">
        <f t="shared" si="15"/>
        <v>138.18037100000004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89">
        <v>1746</v>
      </c>
      <c r="AI49" s="66">
        <v>4</v>
      </c>
      <c r="AJ49" s="66">
        <v>8.02</v>
      </c>
      <c r="AK49" s="62">
        <f t="shared" si="20"/>
        <v>69.84</v>
      </c>
      <c r="AL49" s="72">
        <f t="shared" si="21"/>
        <v>140.02919999999997</v>
      </c>
      <c r="AM49" s="73">
        <f t="shared" si="22"/>
        <v>-0.45800000000008367</v>
      </c>
      <c r="AN49" s="74">
        <f t="shared" si="23"/>
        <v>6.0475000000010937E-2</v>
      </c>
      <c r="AO49" s="74">
        <f t="shared" si="24"/>
        <v>6.3971000000066169E-2</v>
      </c>
      <c r="AP49" s="75">
        <f t="shared" si="25"/>
        <v>6.0083763852566085E-4</v>
      </c>
      <c r="AQ49" s="76">
        <f t="shared" si="26"/>
        <v>48.218950742582095</v>
      </c>
      <c r="AR49" s="77">
        <f t="shared" si="27"/>
        <v>-0.45800000000008367</v>
      </c>
    </row>
    <row r="50" spans="1:44" x14ac:dyDescent="0.25">
      <c r="A50" t="str">
        <f t="shared" si="12"/>
        <v>46227M</v>
      </c>
      <c r="B50" s="51">
        <f t="shared" si="28"/>
        <v>46227</v>
      </c>
      <c r="C50" s="52" t="s">
        <v>87</v>
      </c>
      <c r="D50" s="91">
        <v>1746</v>
      </c>
      <c r="E50" s="62">
        <v>4</v>
      </c>
      <c r="F50" s="62">
        <v>8.02</v>
      </c>
      <c r="G50" s="62">
        <f t="shared" si="29"/>
        <v>69.84</v>
      </c>
      <c r="H50" s="63">
        <f t="shared" si="30"/>
        <v>140.02919999999997</v>
      </c>
      <c r="I50" s="118">
        <v>3403.9</v>
      </c>
      <c r="J50" s="119">
        <v>3506.0170000000003</v>
      </c>
      <c r="K50" s="120">
        <v>3.9245865037163257</v>
      </c>
      <c r="L50" s="121">
        <v>8.0001703927847423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3"/>
        <v>3506.0170000000003</v>
      </c>
      <c r="S50" s="62">
        <f t="shared" si="14"/>
        <v>137.59667000000002</v>
      </c>
      <c r="T50" s="63">
        <f t="shared" si="15"/>
        <v>280.48733399999986</v>
      </c>
      <c r="U50" s="64" t="s">
        <v>191</v>
      </c>
      <c r="V50" s="65" t="s">
        <v>847</v>
      </c>
      <c r="W50" s="66" t="s">
        <v>541</v>
      </c>
      <c r="X50" s="67">
        <v>5250</v>
      </c>
      <c r="Y50" s="68">
        <v>4.25</v>
      </c>
      <c r="Z50" s="68">
        <v>8.15</v>
      </c>
      <c r="AA50" s="62">
        <f t="shared" si="16"/>
        <v>223.12500000000003</v>
      </c>
      <c r="AB50" s="63">
        <f t="shared" si="17"/>
        <v>427.875</v>
      </c>
      <c r="AC50" s="69">
        <v>5240</v>
      </c>
      <c r="AD50" s="70">
        <v>4</v>
      </c>
      <c r="AE50" s="70">
        <v>8.02</v>
      </c>
      <c r="AF50" s="62">
        <f t="shared" si="18"/>
        <v>209.6</v>
      </c>
      <c r="AG50" s="63">
        <f t="shared" si="19"/>
        <v>420.24799999999999</v>
      </c>
      <c r="AH50" s="89">
        <v>0</v>
      </c>
      <c r="AI50" s="66">
        <v>0</v>
      </c>
      <c r="AJ50" s="66">
        <v>0</v>
      </c>
      <c r="AK50" s="62">
        <f t="shared" si="20"/>
        <v>0</v>
      </c>
      <c r="AL50" s="72">
        <f t="shared" si="21"/>
        <v>0</v>
      </c>
      <c r="AM50" s="73">
        <f t="shared" si="22"/>
        <v>12.016999999999825</v>
      </c>
      <c r="AN50" s="74">
        <f t="shared" si="23"/>
        <v>-2.1633299999999736</v>
      </c>
      <c r="AO50" s="74">
        <f t="shared" si="24"/>
        <v>0.2685339999998746</v>
      </c>
      <c r="AP50" s="75">
        <f t="shared" si="25"/>
        <v>-4.5320939855907514E-3</v>
      </c>
      <c r="AQ50" s="76">
        <f t="shared" si="26"/>
        <v>-959.12693128591627</v>
      </c>
      <c r="AR50" s="77">
        <f t="shared" si="27"/>
        <v>2.0169999999998254</v>
      </c>
    </row>
    <row r="51" spans="1:44" x14ac:dyDescent="0.25">
      <c r="A51" t="str">
        <f t="shared" si="12"/>
        <v>46227E</v>
      </c>
      <c r="B51" s="51">
        <f t="shared" si="28"/>
        <v>46227</v>
      </c>
      <c r="C51" s="52" t="s">
        <v>88</v>
      </c>
      <c r="D51" s="91">
        <v>0</v>
      </c>
      <c r="E51" s="62">
        <v>0</v>
      </c>
      <c r="F51" s="62">
        <v>0</v>
      </c>
      <c r="G51" s="62">
        <f t="shared" si="29"/>
        <v>0</v>
      </c>
      <c r="H51" s="63">
        <f t="shared" si="30"/>
        <v>0</v>
      </c>
      <c r="I51" s="118">
        <v>1701.3000000000004</v>
      </c>
      <c r="J51" s="119">
        <v>1752.3390000000004</v>
      </c>
      <c r="K51" s="120">
        <v>4.1204079233527313</v>
      </c>
      <c r="L51" s="121">
        <v>8.055363545524008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3"/>
        <v>1752.3390000000004</v>
      </c>
      <c r="S51" s="62">
        <f t="shared" si="14"/>
        <v>72.203515000000039</v>
      </c>
      <c r="T51" s="63">
        <f t="shared" si="15"/>
        <v>141.15727699999997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89">
        <v>1752</v>
      </c>
      <c r="AI51" s="66">
        <v>4.1100000000000003</v>
      </c>
      <c r="AJ51" s="66">
        <v>8.0500000000000007</v>
      </c>
      <c r="AK51" s="62">
        <f t="shared" si="20"/>
        <v>72.007200000000012</v>
      </c>
      <c r="AL51" s="72">
        <f t="shared" si="21"/>
        <v>141.036</v>
      </c>
      <c r="AM51" s="73">
        <f t="shared" si="22"/>
        <v>0.33900000000039654</v>
      </c>
      <c r="AN51" s="74">
        <f t="shared" si="23"/>
        <v>0.19631500000002688</v>
      </c>
      <c r="AO51" s="74">
        <f t="shared" si="24"/>
        <v>0.12127699999996366</v>
      </c>
      <c r="AP51" s="75">
        <f t="shared" si="25"/>
        <v>1.4885209087524879E-3</v>
      </c>
      <c r="AQ51" s="76">
        <f t="shared" si="26"/>
        <v>130.65712868172091</v>
      </c>
      <c r="AR51" s="77">
        <f t="shared" si="27"/>
        <v>0.33900000000039654</v>
      </c>
    </row>
    <row r="52" spans="1:44" x14ac:dyDescent="0.25">
      <c r="A52" t="str">
        <f t="shared" si="12"/>
        <v>46228M</v>
      </c>
      <c r="B52" s="51">
        <f t="shared" si="28"/>
        <v>46228</v>
      </c>
      <c r="C52" s="52" t="s">
        <v>87</v>
      </c>
      <c r="D52" s="91">
        <v>1752</v>
      </c>
      <c r="E52" s="62">
        <v>4.1100000000000003</v>
      </c>
      <c r="F52" s="62">
        <v>8.0500000000000007</v>
      </c>
      <c r="G52" s="62">
        <f t="shared" si="29"/>
        <v>72.007200000000012</v>
      </c>
      <c r="H52" s="63">
        <f t="shared" si="30"/>
        <v>141.036</v>
      </c>
      <c r="I52" s="118">
        <v>2699.4000000000005</v>
      </c>
      <c r="J52" s="119">
        <v>2780.3820000000005</v>
      </c>
      <c r="K52" s="120">
        <v>4.1433503741572189</v>
      </c>
      <c r="L52" s="121">
        <v>8.0189079054604715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3"/>
        <v>2780.3820000000005</v>
      </c>
      <c r="S52" s="62">
        <f t="shared" si="14"/>
        <v>115.20096799999999</v>
      </c>
      <c r="T52" s="63">
        <f t="shared" si="15"/>
        <v>222.95627200000001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89">
        <v>4532</v>
      </c>
      <c r="AI52" s="66">
        <v>4.12</v>
      </c>
      <c r="AJ52" s="66">
        <v>8.02</v>
      </c>
      <c r="AK52" s="62">
        <f t="shared" si="20"/>
        <v>186.7184</v>
      </c>
      <c r="AL52" s="72">
        <f t="shared" si="21"/>
        <v>363.46639999999996</v>
      </c>
      <c r="AM52" s="73">
        <f t="shared" si="22"/>
        <v>0.38200000000051659</v>
      </c>
      <c r="AN52" s="74">
        <f t="shared" si="23"/>
        <v>0.48976799999999798</v>
      </c>
      <c r="AO52" s="74">
        <f t="shared" si="24"/>
        <v>0.52587200000004941</v>
      </c>
      <c r="AP52" s="75">
        <f t="shared" si="25"/>
        <v>3.0034548424870259E-3</v>
      </c>
      <c r="AQ52" s="76">
        <f t="shared" si="26"/>
        <v>392.8434466165225</v>
      </c>
      <c r="AR52" s="77">
        <f t="shared" si="27"/>
        <v>0.38200000000051659</v>
      </c>
    </row>
    <row r="53" spans="1:44" x14ac:dyDescent="0.25">
      <c r="A53" t="str">
        <f t="shared" si="12"/>
        <v>46228E</v>
      </c>
      <c r="B53" s="51">
        <f t="shared" si="28"/>
        <v>46228</v>
      </c>
      <c r="C53" s="52" t="s">
        <v>88</v>
      </c>
      <c r="D53" s="91">
        <v>4532</v>
      </c>
      <c r="E53" s="62">
        <v>4.12</v>
      </c>
      <c r="F53" s="62">
        <v>8.02</v>
      </c>
      <c r="G53" s="62">
        <f t="shared" si="29"/>
        <v>186.7184</v>
      </c>
      <c r="H53" s="63">
        <f t="shared" si="30"/>
        <v>363.46639999999996</v>
      </c>
      <c r="I53" s="118">
        <v>2088.5</v>
      </c>
      <c r="J53" s="119">
        <v>2151.1550000000002</v>
      </c>
      <c r="K53" s="120">
        <v>3.7657936317931533</v>
      </c>
      <c r="L53" s="121">
        <v>7.9207708881972723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3"/>
        <v>2151.1550000000002</v>
      </c>
      <c r="S53" s="62">
        <f t="shared" si="14"/>
        <v>81.008058000000005</v>
      </c>
      <c r="T53" s="63">
        <f t="shared" si="15"/>
        <v>170.38805900000003</v>
      </c>
      <c r="U53" s="64" t="s">
        <v>192</v>
      </c>
      <c r="V53" s="65" t="s">
        <v>848</v>
      </c>
      <c r="W53" s="66" t="s">
        <v>272</v>
      </c>
      <c r="X53" s="67">
        <v>6690</v>
      </c>
      <c r="Y53" s="68">
        <v>4.0999999999999996</v>
      </c>
      <c r="Z53" s="68">
        <v>8.1</v>
      </c>
      <c r="AA53" s="62">
        <f t="shared" si="16"/>
        <v>274.28999999999996</v>
      </c>
      <c r="AB53" s="63">
        <f t="shared" si="17"/>
        <v>541.89</v>
      </c>
      <c r="AC53" s="69">
        <v>6690</v>
      </c>
      <c r="AD53" s="70">
        <v>3.95</v>
      </c>
      <c r="AE53" s="70">
        <v>7.82</v>
      </c>
      <c r="AF53" s="62">
        <f t="shared" si="18"/>
        <v>264.255</v>
      </c>
      <c r="AG53" s="63">
        <f t="shared" si="19"/>
        <v>523.15800000000002</v>
      </c>
      <c r="AH53" s="89">
        <v>0</v>
      </c>
      <c r="AI53" s="66">
        <v>0</v>
      </c>
      <c r="AJ53" s="66">
        <v>0</v>
      </c>
      <c r="AK53" s="62">
        <f t="shared" si="20"/>
        <v>0</v>
      </c>
      <c r="AL53" s="72">
        <f t="shared" si="21"/>
        <v>0</v>
      </c>
      <c r="AM53" s="73">
        <f t="shared" si="22"/>
        <v>-6.8449999999993452</v>
      </c>
      <c r="AN53" s="74">
        <f t="shared" si="23"/>
        <v>3.4714579999999842</v>
      </c>
      <c r="AO53" s="74">
        <f t="shared" si="24"/>
        <v>10.696459000000004</v>
      </c>
      <c r="AP53" s="75">
        <f t="shared" si="25"/>
        <v>5.6356944447157019E-2</v>
      </c>
      <c r="AQ53" s="76">
        <f t="shared" si="26"/>
        <v>4871.6427977053118</v>
      </c>
      <c r="AR53" s="77">
        <f t="shared" si="27"/>
        <v>-6.8449999999993452</v>
      </c>
    </row>
    <row r="54" spans="1:44" x14ac:dyDescent="0.25">
      <c r="A54" t="str">
        <f t="shared" si="12"/>
        <v>46229M</v>
      </c>
      <c r="B54" s="51">
        <f t="shared" si="28"/>
        <v>46229</v>
      </c>
      <c r="C54" s="52" t="s">
        <v>87</v>
      </c>
      <c r="D54" s="91">
        <v>0</v>
      </c>
      <c r="E54" s="62">
        <v>0</v>
      </c>
      <c r="F54" s="62">
        <v>0</v>
      </c>
      <c r="G54" s="62">
        <f t="shared" ref="G54:G65" si="31">+D54*E54%</f>
        <v>0</v>
      </c>
      <c r="H54" s="63">
        <f t="shared" ref="H54:H65" si="32">+D54*F54%</f>
        <v>0</v>
      </c>
      <c r="I54" s="118">
        <v>2260.4</v>
      </c>
      <c r="J54" s="119">
        <v>2328.212</v>
      </c>
      <c r="K54" s="120">
        <v>4.256547513714386</v>
      </c>
      <c r="L54" s="121">
        <v>8.0494646965138941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3"/>
        <v>2328.212</v>
      </c>
      <c r="S54" s="62">
        <f t="shared" si="14"/>
        <v>99.101449999999971</v>
      </c>
      <c r="T54" s="63">
        <f t="shared" si="15"/>
        <v>187.40860300000006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89">
        <v>2325</v>
      </c>
      <c r="AI54" s="66">
        <v>4.1900000000000004</v>
      </c>
      <c r="AJ54" s="66">
        <v>8.02</v>
      </c>
      <c r="AK54" s="62">
        <f t="shared" si="20"/>
        <v>97.417500000000018</v>
      </c>
      <c r="AL54" s="72">
        <f t="shared" si="21"/>
        <v>186.46499999999997</v>
      </c>
      <c r="AM54" s="73">
        <f t="shared" si="22"/>
        <v>3.2119999999999891</v>
      </c>
      <c r="AN54" s="74">
        <f t="shared" si="23"/>
        <v>1.6839499999999532</v>
      </c>
      <c r="AO54" s="74">
        <f t="shared" si="24"/>
        <v>0.94360300000008124</v>
      </c>
      <c r="AP54" s="75">
        <f t="shared" si="25"/>
        <v>9.1708928621783269E-3</v>
      </c>
      <c r="AQ54" s="76">
        <f t="shared" si="26"/>
        <v>1091.7934796173404</v>
      </c>
      <c r="AR54" s="77">
        <f t="shared" si="27"/>
        <v>3.2119999999999891</v>
      </c>
    </row>
    <row r="55" spans="1:44" x14ac:dyDescent="0.25">
      <c r="A55" t="str">
        <f t="shared" si="12"/>
        <v>46229E</v>
      </c>
      <c r="B55" s="51">
        <f t="shared" si="28"/>
        <v>46229</v>
      </c>
      <c r="C55" s="52" t="s">
        <v>88</v>
      </c>
      <c r="D55" s="91">
        <v>2325</v>
      </c>
      <c r="E55" s="62">
        <v>4.1900000000000004</v>
      </c>
      <c r="F55" s="62">
        <v>8.02</v>
      </c>
      <c r="G55" s="62">
        <f t="shared" si="31"/>
        <v>97.417500000000018</v>
      </c>
      <c r="H55" s="63">
        <f t="shared" si="32"/>
        <v>186.46499999999997</v>
      </c>
      <c r="I55" s="118">
        <v>1722.6</v>
      </c>
      <c r="J55" s="119">
        <v>1774.278</v>
      </c>
      <c r="K55" s="120">
        <v>3.8020608382677343</v>
      </c>
      <c r="L55" s="121">
        <v>7.8781551143620083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3"/>
        <v>1774.278</v>
      </c>
      <c r="S55" s="62">
        <f t="shared" si="14"/>
        <v>67.45912899999999</v>
      </c>
      <c r="T55" s="63">
        <f t="shared" si="15"/>
        <v>139.78037299999994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89">
        <v>4095</v>
      </c>
      <c r="AI55" s="66">
        <v>4.01</v>
      </c>
      <c r="AJ55" s="66">
        <v>7.95</v>
      </c>
      <c r="AK55" s="62">
        <f t="shared" si="20"/>
        <v>164.20949999999999</v>
      </c>
      <c r="AL55" s="72">
        <f t="shared" si="21"/>
        <v>325.55250000000001</v>
      </c>
      <c r="AM55" s="73">
        <f t="shared" si="22"/>
        <v>4.2780000000002474</v>
      </c>
      <c r="AN55" s="74">
        <f t="shared" si="23"/>
        <v>0.66712900000001696</v>
      </c>
      <c r="AO55" s="74">
        <f t="shared" si="24"/>
        <v>0.69287299999990637</v>
      </c>
      <c r="AP55" s="75">
        <f t="shared" si="25"/>
        <v>6.5624651037808606E-3</v>
      </c>
      <c r="AQ55" s="76">
        <f t="shared" si="26"/>
        <v>528.08649235484108</v>
      </c>
      <c r="AR55" s="77">
        <f t="shared" si="27"/>
        <v>4.2780000000002474</v>
      </c>
    </row>
    <row r="56" spans="1:44" x14ac:dyDescent="0.25">
      <c r="A56" t="str">
        <f t="shared" si="12"/>
        <v>46230M</v>
      </c>
      <c r="B56" s="51">
        <f t="shared" si="28"/>
        <v>46230</v>
      </c>
      <c r="C56" s="52" t="s">
        <v>87</v>
      </c>
      <c r="D56" s="91">
        <v>4095</v>
      </c>
      <c r="E56" s="62">
        <v>4.01</v>
      </c>
      <c r="F56" s="62">
        <v>7.95</v>
      </c>
      <c r="G56" s="62">
        <f t="shared" si="31"/>
        <v>164.20949999999999</v>
      </c>
      <c r="H56" s="63">
        <f t="shared" si="32"/>
        <v>325.55250000000001</v>
      </c>
      <c r="I56" s="118">
        <v>1818.6000000000001</v>
      </c>
      <c r="J56" s="119">
        <v>1873.1580000000001</v>
      </c>
      <c r="K56" s="120">
        <v>4.2671285604311011</v>
      </c>
      <c r="L56" s="121">
        <v>8.0238425162212703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3"/>
        <v>1873.1580000000001</v>
      </c>
      <c r="S56" s="62">
        <f t="shared" si="14"/>
        <v>79.930060000000012</v>
      </c>
      <c r="T56" s="63">
        <f t="shared" si="15"/>
        <v>150.29924800000003</v>
      </c>
      <c r="U56" s="64" t="s">
        <v>192</v>
      </c>
      <c r="V56" s="65" t="s">
        <v>849</v>
      </c>
      <c r="W56" s="66" t="s">
        <v>175</v>
      </c>
      <c r="X56" s="67">
        <v>6000</v>
      </c>
      <c r="Y56" s="68">
        <v>4.25</v>
      </c>
      <c r="Z56" s="68">
        <v>8.07</v>
      </c>
      <c r="AA56" s="62">
        <f t="shared" si="16"/>
        <v>255.00000000000003</v>
      </c>
      <c r="AB56" s="63">
        <f t="shared" si="17"/>
        <v>484.20000000000005</v>
      </c>
      <c r="AC56" s="69">
        <v>6000</v>
      </c>
      <c r="AD56" s="70">
        <v>4.2</v>
      </c>
      <c r="AE56" s="70">
        <v>8.06</v>
      </c>
      <c r="AF56" s="62">
        <f t="shared" si="18"/>
        <v>252.00000000000003</v>
      </c>
      <c r="AG56" s="63">
        <f t="shared" si="19"/>
        <v>483.6</v>
      </c>
      <c r="AH56" s="89">
        <v>22</v>
      </c>
      <c r="AI56" s="66">
        <v>4.08</v>
      </c>
      <c r="AJ56" s="66">
        <v>7.96</v>
      </c>
      <c r="AK56" s="62">
        <f t="shared" si="20"/>
        <v>0.89760000000000006</v>
      </c>
      <c r="AL56" s="72">
        <f t="shared" si="21"/>
        <v>1.7512000000000001</v>
      </c>
      <c r="AM56" s="73">
        <f t="shared" si="22"/>
        <v>-53.841999999999643</v>
      </c>
      <c r="AN56" s="74">
        <f t="shared" si="23"/>
        <v>-8.7580400000000118</v>
      </c>
      <c r="AO56" s="74">
        <f t="shared" si="24"/>
        <v>-9.4994519999999802</v>
      </c>
      <c r="AP56" s="75">
        <f t="shared" si="25"/>
        <v>-7.9301337256332233E-2</v>
      </c>
      <c r="AQ56" s="76">
        <f t="shared" si="26"/>
        <v>-7053.524567921334</v>
      </c>
      <c r="AR56" s="77">
        <f t="shared" si="27"/>
        <v>-53.841999999999643</v>
      </c>
    </row>
    <row r="57" spans="1:44" x14ac:dyDescent="0.25">
      <c r="A57" t="str">
        <f t="shared" si="12"/>
        <v>46230E</v>
      </c>
      <c r="B57" s="51">
        <f t="shared" si="28"/>
        <v>46230</v>
      </c>
      <c r="C57" s="52" t="s">
        <v>88</v>
      </c>
      <c r="D57" s="91">
        <v>22</v>
      </c>
      <c r="E57" s="62">
        <v>4.08</v>
      </c>
      <c r="F57" s="62">
        <v>7.96</v>
      </c>
      <c r="G57" s="62">
        <f t="shared" si="31"/>
        <v>0.89760000000000006</v>
      </c>
      <c r="H57" s="63">
        <f t="shared" si="32"/>
        <v>1.7512000000000001</v>
      </c>
      <c r="I57" s="118">
        <v>3593.4</v>
      </c>
      <c r="J57" s="119">
        <v>3701.2020000000002</v>
      </c>
      <c r="K57" s="120">
        <v>3.9628402070462516</v>
      </c>
      <c r="L57" s="121">
        <v>8.0561139867534965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3"/>
        <v>3701.2020000000002</v>
      </c>
      <c r="S57" s="62">
        <f t="shared" si="14"/>
        <v>146.67272100000002</v>
      </c>
      <c r="T57" s="63">
        <f t="shared" si="15"/>
        <v>298.17305200000015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89">
        <v>3723</v>
      </c>
      <c r="AI57" s="66">
        <v>3.95</v>
      </c>
      <c r="AJ57" s="66">
        <v>8.0399999999999991</v>
      </c>
      <c r="AK57" s="62">
        <f t="shared" si="20"/>
        <v>147.05850000000001</v>
      </c>
      <c r="AL57" s="72">
        <f t="shared" si="21"/>
        <v>299.32919999999996</v>
      </c>
      <c r="AM57" s="73">
        <f t="shared" si="22"/>
        <v>0.20200000000022555</v>
      </c>
      <c r="AN57" s="74">
        <f t="shared" si="23"/>
        <v>0.51182100000002606</v>
      </c>
      <c r="AO57" s="74">
        <f t="shared" si="24"/>
        <v>0.59505200000018021</v>
      </c>
      <c r="AP57" s="75">
        <f t="shared" si="25"/>
        <v>2.4882174164217717E-3</v>
      </c>
      <c r="AQ57" s="76">
        <f t="shared" si="26"/>
        <v>424.15942498718601</v>
      </c>
      <c r="AR57" s="77">
        <f t="shared" si="27"/>
        <v>0.20200000000022555</v>
      </c>
    </row>
    <row r="58" spans="1:44" x14ac:dyDescent="0.25">
      <c r="A58" t="str">
        <f t="shared" si="12"/>
        <v>46231M</v>
      </c>
      <c r="B58" s="51">
        <f t="shared" si="28"/>
        <v>46231</v>
      </c>
      <c r="C58" s="52" t="s">
        <v>87</v>
      </c>
      <c r="D58" s="91">
        <v>3723</v>
      </c>
      <c r="E58" s="62">
        <v>3.95</v>
      </c>
      <c r="F58" s="62">
        <v>8.0399999999999991</v>
      </c>
      <c r="G58" s="62">
        <f t="shared" si="31"/>
        <v>147.05850000000001</v>
      </c>
      <c r="H58" s="63">
        <f t="shared" si="32"/>
        <v>299.32919999999996</v>
      </c>
      <c r="I58" s="118">
        <v>1645.8</v>
      </c>
      <c r="J58" s="119">
        <v>1695.174</v>
      </c>
      <c r="K58" s="120">
        <v>4.0213148620731571</v>
      </c>
      <c r="L58" s="121">
        <v>7.9042167942641877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3"/>
        <v>1695.174</v>
      </c>
      <c r="S58" s="62">
        <f t="shared" si="14"/>
        <v>68.168284000000028</v>
      </c>
      <c r="T58" s="63">
        <f t="shared" si="15"/>
        <v>133.990228</v>
      </c>
      <c r="U58" s="64" t="s">
        <v>192</v>
      </c>
      <c r="V58" s="65" t="s">
        <v>850</v>
      </c>
      <c r="W58" s="66" t="s">
        <v>272</v>
      </c>
      <c r="X58" s="67">
        <v>5390</v>
      </c>
      <c r="Y58" s="68">
        <v>4.1500000000000004</v>
      </c>
      <c r="Z58" s="68">
        <v>8.0500000000000007</v>
      </c>
      <c r="AA58" s="62">
        <f t="shared" si="16"/>
        <v>223.685</v>
      </c>
      <c r="AB58" s="63">
        <f t="shared" si="17"/>
        <v>433.89500000000004</v>
      </c>
      <c r="AC58" s="69">
        <v>5390</v>
      </c>
      <c r="AD58" s="70">
        <v>4</v>
      </c>
      <c r="AE58" s="70">
        <v>7.83</v>
      </c>
      <c r="AF58" s="62">
        <f t="shared" si="18"/>
        <v>215.6</v>
      </c>
      <c r="AG58" s="63">
        <f t="shared" si="19"/>
        <v>422.03699999999998</v>
      </c>
      <c r="AH58" s="89">
        <v>27</v>
      </c>
      <c r="AI58" s="66">
        <v>3.96</v>
      </c>
      <c r="AJ58" s="66">
        <v>7.99</v>
      </c>
      <c r="AK58" s="62">
        <f t="shared" si="20"/>
        <v>1.0691999999999999</v>
      </c>
      <c r="AL58" s="72">
        <f t="shared" si="21"/>
        <v>2.1572999999999998</v>
      </c>
      <c r="AM58" s="73">
        <f t="shared" si="22"/>
        <v>1.1739999999999782</v>
      </c>
      <c r="AN58" s="74">
        <f t="shared" si="23"/>
        <v>-1.4424159999999566</v>
      </c>
      <c r="AO58" s="74">
        <f t="shared" si="24"/>
        <v>9.1251279999999824</v>
      </c>
      <c r="AP58" s="75">
        <f t="shared" si="25"/>
        <v>3.8003405960962078E-2</v>
      </c>
      <c r="AQ58" s="76">
        <f t="shared" si="26"/>
        <v>2039.7667659621407</v>
      </c>
      <c r="AR58" s="77">
        <f t="shared" si="27"/>
        <v>1.1739999999999782</v>
      </c>
    </row>
    <row r="59" spans="1:44" x14ac:dyDescent="0.25">
      <c r="A59" t="str">
        <f t="shared" si="12"/>
        <v>46231E</v>
      </c>
      <c r="B59" s="51">
        <f t="shared" si="28"/>
        <v>46231</v>
      </c>
      <c r="C59" s="52" t="s">
        <v>88</v>
      </c>
      <c r="D59" s="91">
        <v>27</v>
      </c>
      <c r="E59" s="62">
        <v>3.96</v>
      </c>
      <c r="F59" s="62">
        <v>7.99</v>
      </c>
      <c r="G59" s="62">
        <f t="shared" si="31"/>
        <v>1.0691999999999999</v>
      </c>
      <c r="H59" s="63">
        <f t="shared" si="32"/>
        <v>2.1572999999999998</v>
      </c>
      <c r="I59" s="118">
        <v>5052.9000000000005</v>
      </c>
      <c r="J59" s="119">
        <v>5204.487000000001</v>
      </c>
      <c r="K59" s="120">
        <v>3.7986779868986122</v>
      </c>
      <c r="L59" s="121">
        <v>7.9856755526529337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3"/>
        <v>5204.487000000001</v>
      </c>
      <c r="S59" s="62">
        <f t="shared" si="14"/>
        <v>197.70170200000001</v>
      </c>
      <c r="T59" s="63">
        <f t="shared" si="15"/>
        <v>415.61344600000018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89">
        <v>5231</v>
      </c>
      <c r="AI59" s="66">
        <v>3.79</v>
      </c>
      <c r="AJ59" s="66">
        <v>7.97</v>
      </c>
      <c r="AK59" s="62">
        <f t="shared" si="20"/>
        <v>198.25490000000002</v>
      </c>
      <c r="AL59" s="72">
        <f t="shared" si="21"/>
        <v>416.91069999999996</v>
      </c>
      <c r="AM59" s="73">
        <f t="shared" si="22"/>
        <v>0.48700000000098953</v>
      </c>
      <c r="AN59" s="74">
        <f t="shared" si="23"/>
        <v>0.51600199999998608</v>
      </c>
      <c r="AO59" s="74">
        <f t="shared" si="24"/>
        <v>0.86004600000023856</v>
      </c>
      <c r="AP59" s="75">
        <f t="shared" si="25"/>
        <v>2.2436230451627851E-3</v>
      </c>
      <c r="AQ59" s="76">
        <f t="shared" si="26"/>
        <v>505.53187545177877</v>
      </c>
      <c r="AR59" s="77">
        <f t="shared" si="27"/>
        <v>0.48700000000098953</v>
      </c>
    </row>
    <row r="60" spans="1:44" x14ac:dyDescent="0.25">
      <c r="A60" t="str">
        <f t="shared" si="12"/>
        <v>46232M</v>
      </c>
      <c r="B60" s="51">
        <f t="shared" si="28"/>
        <v>46232</v>
      </c>
      <c r="C60" s="52" t="s">
        <v>87</v>
      </c>
      <c r="D60" s="91">
        <v>5231</v>
      </c>
      <c r="E60" s="62">
        <v>3.79</v>
      </c>
      <c r="F60" s="62">
        <v>7.97</v>
      </c>
      <c r="G60" s="62">
        <f t="shared" si="31"/>
        <v>198.25490000000002</v>
      </c>
      <c r="H60" s="63">
        <f t="shared" si="32"/>
        <v>416.91069999999996</v>
      </c>
      <c r="I60" s="118">
        <v>1201.0000000000002</v>
      </c>
      <c r="J60" s="119">
        <v>1237.0300000000002</v>
      </c>
      <c r="K60" s="120">
        <v>4.4457785179017488</v>
      </c>
      <c r="L60" s="121">
        <v>8.1555786844296421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3"/>
        <v>1237.0300000000002</v>
      </c>
      <c r="S60" s="62">
        <f t="shared" si="14"/>
        <v>54.99561400000001</v>
      </c>
      <c r="T60" s="63">
        <f t="shared" si="15"/>
        <v>100.88695500000001</v>
      </c>
      <c r="U60" s="64" t="s">
        <v>192</v>
      </c>
      <c r="V60" s="65" t="s">
        <v>936</v>
      </c>
      <c r="W60" s="66" t="s">
        <v>272</v>
      </c>
      <c r="X60" s="67">
        <v>6360</v>
      </c>
      <c r="Y60" s="68">
        <v>4</v>
      </c>
      <c r="Z60" s="68">
        <v>8.14</v>
      </c>
      <c r="AA60" s="62">
        <f t="shared" si="16"/>
        <v>254.4</v>
      </c>
      <c r="AB60" s="63">
        <f t="shared" si="17"/>
        <v>517.70399999999995</v>
      </c>
      <c r="AC60" s="69">
        <v>6360</v>
      </c>
      <c r="AD60" s="70">
        <v>3.95</v>
      </c>
      <c r="AE60" s="70">
        <v>8.01</v>
      </c>
      <c r="AF60" s="62">
        <f t="shared" si="18"/>
        <v>251.22</v>
      </c>
      <c r="AG60" s="63">
        <f t="shared" si="19"/>
        <v>509.43600000000004</v>
      </c>
      <c r="AH60" s="89">
        <v>106</v>
      </c>
      <c r="AI60" s="66">
        <v>3.91</v>
      </c>
      <c r="AJ60" s="66">
        <v>8</v>
      </c>
      <c r="AK60" s="62">
        <f t="shared" si="20"/>
        <v>4.1446000000000005</v>
      </c>
      <c r="AL60" s="72">
        <f t="shared" si="21"/>
        <v>8.48</v>
      </c>
      <c r="AM60" s="73">
        <f t="shared" si="22"/>
        <v>2.0300000000006548</v>
      </c>
      <c r="AN60" s="74">
        <f t="shared" si="23"/>
        <v>-2.1140859999999613</v>
      </c>
      <c r="AO60" s="74">
        <f t="shared" si="24"/>
        <v>-0.11834500000007253</v>
      </c>
      <c r="AP60" s="75">
        <f t="shared" si="25"/>
        <v>-1.4321235621925332E-2</v>
      </c>
      <c r="AQ60" s="76">
        <f t="shared" si="26"/>
        <v>-1051.3304028751406</v>
      </c>
      <c r="AR60" s="77">
        <f t="shared" si="27"/>
        <v>2.0300000000006548</v>
      </c>
    </row>
    <row r="61" spans="1:44" x14ac:dyDescent="0.25">
      <c r="A61" t="str">
        <f t="shared" si="12"/>
        <v>46232E</v>
      </c>
      <c r="B61" s="51">
        <f t="shared" si="28"/>
        <v>46232</v>
      </c>
      <c r="C61" s="52" t="s">
        <v>88</v>
      </c>
      <c r="D61" s="91">
        <v>106</v>
      </c>
      <c r="E61" s="62">
        <v>3.91</v>
      </c>
      <c r="F61" s="62">
        <v>8</v>
      </c>
      <c r="G61" s="62">
        <f t="shared" si="31"/>
        <v>4.1446000000000005</v>
      </c>
      <c r="H61" s="63">
        <f t="shared" si="32"/>
        <v>8.48</v>
      </c>
      <c r="I61" s="118">
        <v>2384.4</v>
      </c>
      <c r="J61" s="119">
        <v>2455.9320000000002</v>
      </c>
      <c r="K61" s="120">
        <v>3.6875775876530801</v>
      </c>
      <c r="L61" s="121">
        <v>7.9976052675725553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3"/>
        <v>2455.9320000000002</v>
      </c>
      <c r="S61" s="62">
        <f t="shared" si="14"/>
        <v>90.564398000000054</v>
      </c>
      <c r="T61" s="63">
        <f t="shared" si="15"/>
        <v>196.41574700000001</v>
      </c>
      <c r="U61" s="64" t="s">
        <v>167</v>
      </c>
      <c r="V61" s="65" t="s">
        <v>180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89">
        <v>2561.8000000000002</v>
      </c>
      <c r="AI61" s="66">
        <v>3.68</v>
      </c>
      <c r="AJ61" s="66">
        <v>7.99</v>
      </c>
      <c r="AK61" s="62">
        <f t="shared" si="20"/>
        <v>94.274240000000006</v>
      </c>
      <c r="AL61" s="72">
        <f t="shared" si="21"/>
        <v>204.68782000000002</v>
      </c>
      <c r="AM61" s="73">
        <f t="shared" si="22"/>
        <v>0.13200000000006185</v>
      </c>
      <c r="AN61" s="74">
        <f t="shared" si="23"/>
        <v>0.43475800000004483</v>
      </c>
      <c r="AO61" s="74">
        <f t="shared" si="24"/>
        <v>0.20792699999998376</v>
      </c>
      <c r="AP61" s="75">
        <f t="shared" si="25"/>
        <v>2.2394754870586203E-3</v>
      </c>
      <c r="AQ61" s="76">
        <f t="shared" si="26"/>
        <v>271.18765424652395</v>
      </c>
      <c r="AR61" s="77">
        <f t="shared" si="27"/>
        <v>0.13200000000006185</v>
      </c>
    </row>
    <row r="62" spans="1:44" x14ac:dyDescent="0.25">
      <c r="A62" t="str">
        <f t="shared" si="12"/>
        <v>46233M</v>
      </c>
      <c r="B62" s="51">
        <f t="shared" si="28"/>
        <v>46233</v>
      </c>
      <c r="C62" s="52" t="s">
        <v>87</v>
      </c>
      <c r="D62" s="91">
        <v>2561.8000000000002</v>
      </c>
      <c r="E62" s="62">
        <v>3.68</v>
      </c>
      <c r="F62" s="62">
        <v>7.99</v>
      </c>
      <c r="G62" s="62">
        <f t="shared" si="31"/>
        <v>94.274240000000006</v>
      </c>
      <c r="H62" s="63">
        <f t="shared" si="32"/>
        <v>204.68782000000002</v>
      </c>
      <c r="I62" s="118">
        <v>1312.2</v>
      </c>
      <c r="J62" s="119">
        <v>1351.566</v>
      </c>
      <c r="K62" s="120">
        <v>4.595541838134432</v>
      </c>
      <c r="L62" s="121">
        <v>8.1646623990245395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3"/>
        <v>1351.566</v>
      </c>
      <c r="S62" s="62">
        <f t="shared" si="14"/>
        <v>62.111781000000022</v>
      </c>
      <c r="T62" s="63">
        <f t="shared" si="15"/>
        <v>110.35080100000002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89">
        <v>3913.2</v>
      </c>
      <c r="AI62" s="66">
        <v>3.99</v>
      </c>
      <c r="AJ62" s="66">
        <v>8.0399999999999991</v>
      </c>
      <c r="AK62" s="62">
        <f t="shared" si="20"/>
        <v>156.13668000000001</v>
      </c>
      <c r="AL62" s="72">
        <f t="shared" si="21"/>
        <v>314.62127999999996</v>
      </c>
      <c r="AM62" s="73">
        <f t="shared" si="22"/>
        <v>0.16600000000016735</v>
      </c>
      <c r="AN62" s="74">
        <f t="shared" si="23"/>
        <v>0.24934100000001536</v>
      </c>
      <c r="AO62" s="74">
        <f t="shared" si="24"/>
        <v>0.41734100000007857</v>
      </c>
      <c r="AP62" s="75">
        <f t="shared" si="25"/>
        <v>3.865661712058177E-3</v>
      </c>
      <c r="AQ62" s="76">
        <f t="shared" si="26"/>
        <v>244.80637977548687</v>
      </c>
      <c r="AR62" s="77">
        <f t="shared" si="27"/>
        <v>0.16600000000016735</v>
      </c>
    </row>
    <row r="63" spans="1:44" x14ac:dyDescent="0.25">
      <c r="A63" t="str">
        <f t="shared" si="12"/>
        <v>46233E</v>
      </c>
      <c r="B63" s="51">
        <f t="shared" si="28"/>
        <v>46233</v>
      </c>
      <c r="C63" s="52" t="s">
        <v>88</v>
      </c>
      <c r="D63" s="91">
        <v>3913.2</v>
      </c>
      <c r="E63" s="62">
        <v>3.99</v>
      </c>
      <c r="F63" s="62">
        <v>8.0399999999999991</v>
      </c>
      <c r="G63" s="62">
        <f t="shared" si="31"/>
        <v>156.13668000000001</v>
      </c>
      <c r="H63" s="63">
        <f t="shared" si="32"/>
        <v>314.62127999999996</v>
      </c>
      <c r="I63" s="118">
        <v>1774.4</v>
      </c>
      <c r="J63" s="119">
        <v>1827.6320000000001</v>
      </c>
      <c r="K63" s="120">
        <v>3.9638525698827767</v>
      </c>
      <c r="L63" s="121">
        <v>8.0031898106402171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3"/>
        <v>1827.6320000000001</v>
      </c>
      <c r="S63" s="62">
        <f t="shared" si="14"/>
        <v>72.444637999999998</v>
      </c>
      <c r="T63" s="63">
        <f t="shared" si="15"/>
        <v>146.26885800000002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89">
        <v>5740.5</v>
      </c>
      <c r="AI63" s="66">
        <v>3.96</v>
      </c>
      <c r="AJ63" s="66">
        <v>8.02</v>
      </c>
      <c r="AK63" s="62">
        <f t="shared" si="20"/>
        <v>227.32379999999998</v>
      </c>
      <c r="AL63" s="72">
        <f t="shared" si="21"/>
        <v>460.38809999999995</v>
      </c>
      <c r="AM63" s="73">
        <f t="shared" si="22"/>
        <v>0.33200000000033469</v>
      </c>
      <c r="AN63" s="74">
        <f t="shared" si="23"/>
        <v>1.257518000000033</v>
      </c>
      <c r="AO63" s="74">
        <f t="shared" si="24"/>
        <v>0.5020380000000273</v>
      </c>
      <c r="AP63" s="75">
        <f t="shared" si="25"/>
        <v>8.0450270887721543E-3</v>
      </c>
      <c r="AQ63" s="76">
        <f t="shared" si="26"/>
        <v>754.63423831727005</v>
      </c>
      <c r="AR63" s="77">
        <f t="shared" si="27"/>
        <v>0.33200000000033469</v>
      </c>
    </row>
    <row r="64" spans="1:44" x14ac:dyDescent="0.25">
      <c r="A64" t="str">
        <f t="shared" si="12"/>
        <v>46234M</v>
      </c>
      <c r="B64" s="51">
        <f t="shared" si="28"/>
        <v>46234</v>
      </c>
      <c r="C64" s="52" t="s">
        <v>87</v>
      </c>
      <c r="D64" s="91"/>
      <c r="E64" s="62"/>
      <c r="F64" s="62"/>
      <c r="G64" s="62">
        <f t="shared" si="31"/>
        <v>0</v>
      </c>
      <c r="H64" s="63">
        <f t="shared" si="32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89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77">
        <f t="shared" si="27"/>
        <v>0</v>
      </c>
    </row>
    <row r="65" spans="1:44" ht="15.75" thickBot="1" x14ac:dyDescent="0.3">
      <c r="A65" t="str">
        <f t="shared" si="12"/>
        <v>46234E</v>
      </c>
      <c r="B65" s="51">
        <f t="shared" si="28"/>
        <v>46234</v>
      </c>
      <c r="C65" s="92" t="s">
        <v>88</v>
      </c>
      <c r="D65" s="91"/>
      <c r="E65" s="62"/>
      <c r="F65" s="62"/>
      <c r="G65" s="62">
        <f t="shared" si="31"/>
        <v>0</v>
      </c>
      <c r="H65" s="63">
        <f t="shared" si="32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71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77">
        <f t="shared" si="27"/>
        <v>0</v>
      </c>
    </row>
    <row r="66" spans="1:44" ht="15.75" thickBot="1" x14ac:dyDescent="0.3">
      <c r="J66" s="83">
        <f>SUM(J4:J65)</f>
        <v>136459.86930000002</v>
      </c>
      <c r="R66">
        <f>+J66+O66</f>
        <v>136459.86930000002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3">
        <f>-SUM(AM4:AM65)</f>
        <v>442.63069999999288</v>
      </c>
      <c r="AN66" s="93">
        <f>-SUM(AN4:AN65)</f>
        <v>46.416527999999943</v>
      </c>
      <c r="AO66" s="93">
        <f>-SUM(AO4:AO65)</f>
        <v>25.085099600000621</v>
      </c>
      <c r="AP66" s="94"/>
      <c r="AQ66" s="95">
        <f>-SUM(AQ4:AQ65)</f>
        <v>29817.416405901229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4" priority="2" operator="lessThan">
      <formula>0.1</formula>
    </cfRule>
    <cfRule type="cellIs" dxfId="83" priority="3" operator="greaterThan">
      <formula>0.1</formula>
    </cfRule>
  </conditionalFormatting>
  <conditionalFormatting sqref="AP1:AQ1">
    <cfRule type="cellIs" dxfId="82" priority="1" operator="lessThan">
      <formula>1</formula>
    </cfRule>
  </conditionalFormatting>
  <conditionalFormatting sqref="AQ4:AQ65">
    <cfRule type="cellIs" dxfId="81" priority="16" operator="lessThan">
      <formula>0</formula>
    </cfRule>
    <cfRule type="cellIs" dxfId="80" priority="17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topLeftCell="A30" zoomScale="80" zoomScaleNormal="80" workbookViewId="0">
      <selection activeCell="AC61" sqref="AC61:AE61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163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6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6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46204M</v>
      </c>
      <c r="B4" s="51">
        <v>46204</v>
      </c>
      <c r="C4" s="52" t="s">
        <v>87</v>
      </c>
      <c r="D4" s="53">
        <v>3518.4</v>
      </c>
      <c r="E4" s="54">
        <v>4.43</v>
      </c>
      <c r="F4" s="55">
        <v>8.2799999999999994</v>
      </c>
      <c r="G4" s="62">
        <f t="shared" ref="G4:G65" si="0">+D4*E4%</f>
        <v>155.86511999999999</v>
      </c>
      <c r="H4" s="63">
        <f t="shared" ref="H4:H65" si="1">+D4*F4%</f>
        <v>291.32352000000003</v>
      </c>
      <c r="I4" s="118">
        <v>1045.3000000000002</v>
      </c>
      <c r="J4" s="119">
        <v>1076.6590000000001</v>
      </c>
      <c r="K4" s="120">
        <v>4.8034822538984026</v>
      </c>
      <c r="L4" s="121">
        <v>8.4664976561752567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1076.6590000000001</v>
      </c>
      <c r="S4" s="62">
        <f t="shared" ref="S4:S65" si="3">+J4*K4%+O4*P4%</f>
        <v>51.717124000000013</v>
      </c>
      <c r="T4" s="63">
        <f t="shared" ref="T4:T65" si="4">+J4*L4%+O4*Q4%</f>
        <v>91.15530899999996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3" si="5">X4*Y4%</f>
        <v>0</v>
      </c>
      <c r="AB4" s="63">
        <f t="shared" ref="AB4:AB33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71">
        <v>4595</v>
      </c>
      <c r="AI4" s="66">
        <v>4.51</v>
      </c>
      <c r="AJ4" s="66">
        <v>8.52</v>
      </c>
      <c r="AK4" s="62">
        <f t="shared" ref="AK4:AK65" si="9">AH4*AI4%</f>
        <v>207.2345</v>
      </c>
      <c r="AL4" s="72">
        <f t="shared" ref="AL4:AL65" si="10">AH4*AJ4%</f>
        <v>391.49399999999997</v>
      </c>
      <c r="AM4" s="73">
        <f>+D4+R4-AC4-AH4</f>
        <v>5.9000000000196451E-2</v>
      </c>
      <c r="AN4" s="74">
        <f t="shared" ref="AN4:AO19" si="11">+G4+S4-AF4-AK4</f>
        <v>0.34774400000000583</v>
      </c>
      <c r="AO4" s="74">
        <f t="shared" si="11"/>
        <v>-9.0151709999999525</v>
      </c>
      <c r="AP4" s="75">
        <f>(AN4+AO4)/(S4+T4)</f>
        <v>-6.0665495911306752E-2</v>
      </c>
      <c r="AQ4" s="76">
        <f t="shared" ref="AQ4:AQ65" si="12">($AP$1*AN4+$AQ$1*AO4)</f>
        <v>-2532.8611470163687</v>
      </c>
      <c r="AR4" s="77">
        <f t="shared" ref="AR4" si="13">(D4+J4+O4)-(X4+AH4)</f>
        <v>5.9000000000196451E-2</v>
      </c>
      <c r="AT4" s="78"/>
    </row>
    <row r="5" spans="1:46" x14ac:dyDescent="0.25">
      <c r="A5" t="str">
        <f t="shared" ref="A5:A65" si="14">CONCATENATE(B5,C5)</f>
        <v>46204E</v>
      </c>
      <c r="B5" s="51">
        <f>+B4</f>
        <v>46204</v>
      </c>
      <c r="C5" s="52" t="s">
        <v>88</v>
      </c>
      <c r="D5" s="91">
        <v>4595</v>
      </c>
      <c r="E5" s="62">
        <v>4.51</v>
      </c>
      <c r="F5" s="62">
        <v>8.52</v>
      </c>
      <c r="G5" s="62">
        <f t="shared" si="0"/>
        <v>207.2345</v>
      </c>
      <c r="H5" s="63">
        <f t="shared" si="1"/>
        <v>391.49399999999997</v>
      </c>
      <c r="I5" s="118">
        <v>1215.9000000000005</v>
      </c>
      <c r="J5" s="119">
        <v>1252.3770000000006</v>
      </c>
      <c r="K5" s="120">
        <v>4.3743153219837163</v>
      </c>
      <c r="L5" s="121">
        <v>8.2858212024015145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1252.3770000000006</v>
      </c>
      <c r="S5" s="62">
        <f t="shared" si="3"/>
        <v>54.782919000000035</v>
      </c>
      <c r="T5" s="63">
        <f t="shared" si="4"/>
        <v>103.76971900000008</v>
      </c>
      <c r="U5" s="64" t="s">
        <v>170</v>
      </c>
      <c r="V5" s="65" t="s">
        <v>229</v>
      </c>
      <c r="W5" s="66" t="s">
        <v>181</v>
      </c>
      <c r="X5" s="67">
        <v>3100</v>
      </c>
      <c r="Y5" s="68">
        <v>4.55</v>
      </c>
      <c r="Z5" s="68">
        <v>8.32</v>
      </c>
      <c r="AA5" s="62">
        <f t="shared" si="5"/>
        <v>141.04999999999998</v>
      </c>
      <c r="AB5" s="63">
        <f t="shared" si="6"/>
        <v>257.92</v>
      </c>
      <c r="AC5" s="69">
        <v>3050</v>
      </c>
      <c r="AD5" s="70">
        <v>4.5</v>
      </c>
      <c r="AE5" s="70">
        <v>8.24</v>
      </c>
      <c r="AF5" s="62">
        <f t="shared" si="7"/>
        <v>137.25</v>
      </c>
      <c r="AG5" s="63">
        <f t="shared" si="8"/>
        <v>251.32</v>
      </c>
      <c r="AH5" s="71">
        <v>2747.3</v>
      </c>
      <c r="AI5" s="66">
        <v>4.4800000000000004</v>
      </c>
      <c r="AJ5" s="66">
        <v>8.31</v>
      </c>
      <c r="AK5" s="62">
        <f t="shared" si="9"/>
        <v>123.07904000000002</v>
      </c>
      <c r="AL5" s="72">
        <f t="shared" si="10"/>
        <v>228.30063000000004</v>
      </c>
      <c r="AM5" s="73">
        <f t="shared" ref="AM5:AM65" si="15">+D5+R5-AC5-AH5</f>
        <v>50.077000000000226</v>
      </c>
      <c r="AN5" s="74">
        <f t="shared" si="11"/>
        <v>1.6883789999999976</v>
      </c>
      <c r="AO5" s="74">
        <f t="shared" si="11"/>
        <v>15.643089000000003</v>
      </c>
      <c r="AP5" s="75">
        <f t="shared" ref="AP5:AP65" si="16">(AN5+AO5)/(S5+T5)</f>
        <v>0.10931049914161622</v>
      </c>
      <c r="AQ5" s="76">
        <f t="shared" si="12"/>
        <v>5496.2869529290274</v>
      </c>
      <c r="AR5" s="77">
        <f>(D5+J5+O5)-(X5+AH5)</f>
        <v>7.7000000000225555E-2</v>
      </c>
    </row>
    <row r="6" spans="1:46" x14ac:dyDescent="0.25">
      <c r="A6" t="str">
        <f t="shared" si="14"/>
        <v>46205M</v>
      </c>
      <c r="B6" s="51">
        <f>+B4+1</f>
        <v>46205</v>
      </c>
      <c r="C6" s="52" t="s">
        <v>87</v>
      </c>
      <c r="D6" s="91">
        <v>2747.3</v>
      </c>
      <c r="E6" s="62">
        <v>4.4800000000000004</v>
      </c>
      <c r="F6" s="62">
        <v>8.31</v>
      </c>
      <c r="G6" s="62">
        <f t="shared" si="0"/>
        <v>123.07904000000002</v>
      </c>
      <c r="H6" s="63">
        <f t="shared" si="1"/>
        <v>228.30063000000004</v>
      </c>
      <c r="I6" s="118">
        <v>1140.1999999999998</v>
      </c>
      <c r="J6" s="119">
        <v>1174.4059999999999</v>
      </c>
      <c r="K6" s="120">
        <v>4.7920978775653369</v>
      </c>
      <c r="L6" s="121">
        <v>8.4041396246272555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1174.4059999999999</v>
      </c>
      <c r="S6" s="62">
        <f t="shared" si="3"/>
        <v>56.278684999999967</v>
      </c>
      <c r="T6" s="63">
        <f t="shared" si="4"/>
        <v>98.698719999999952</v>
      </c>
      <c r="U6" s="64" t="s">
        <v>192</v>
      </c>
      <c r="V6" s="65" t="s">
        <v>230</v>
      </c>
      <c r="W6" s="66" t="s">
        <v>181</v>
      </c>
      <c r="X6" s="67">
        <v>3875</v>
      </c>
      <c r="Y6" s="68">
        <v>4.5999999999999996</v>
      </c>
      <c r="Z6" s="68">
        <v>8.33</v>
      </c>
      <c r="AA6" s="62">
        <f t="shared" si="5"/>
        <v>178.25</v>
      </c>
      <c r="AB6" s="63">
        <f t="shared" si="6"/>
        <v>322.78750000000002</v>
      </c>
      <c r="AC6" s="69">
        <v>3865</v>
      </c>
      <c r="AD6" s="70">
        <v>4.6554333764553677</v>
      </c>
      <c r="AE6" s="70">
        <v>7.899223803363518</v>
      </c>
      <c r="AF6" s="62">
        <f t="shared" si="7"/>
        <v>179.93249999999995</v>
      </c>
      <c r="AG6" s="63">
        <f t="shared" si="8"/>
        <v>305.30500000000001</v>
      </c>
      <c r="AH6" s="71">
        <v>70</v>
      </c>
      <c r="AI6" s="66">
        <v>4.5</v>
      </c>
      <c r="AJ6" s="66">
        <v>8.3000000000000007</v>
      </c>
      <c r="AK6" s="62">
        <f t="shared" si="9"/>
        <v>3.15</v>
      </c>
      <c r="AL6" s="72">
        <f t="shared" si="10"/>
        <v>5.8100000000000005</v>
      </c>
      <c r="AM6" s="73">
        <f t="shared" si="15"/>
        <v>-13.293999999999869</v>
      </c>
      <c r="AN6" s="74">
        <f t="shared" si="11"/>
        <v>-3.7247749999999598</v>
      </c>
      <c r="AO6" s="74">
        <f t="shared" si="11"/>
        <v>15.884349999999985</v>
      </c>
      <c r="AP6" s="75">
        <f t="shared" si="16"/>
        <v>7.8460308455932853E-2</v>
      </c>
      <c r="AQ6" s="76">
        <f t="shared" si="12"/>
        <v>2967.3457987861584</v>
      </c>
      <c r="AR6" s="77">
        <f t="shared" ref="AR6:AR65" si="17">(D6+J6+O6)-(X6+AH6)</f>
        <v>-23.293999999999869</v>
      </c>
    </row>
    <row r="7" spans="1:46" x14ac:dyDescent="0.25">
      <c r="A7" t="str">
        <f t="shared" si="14"/>
        <v>46205E</v>
      </c>
      <c r="B7" s="51">
        <f>+B5+1</f>
        <v>46205</v>
      </c>
      <c r="C7" s="52" t="s">
        <v>88</v>
      </c>
      <c r="D7" s="91">
        <v>70</v>
      </c>
      <c r="E7" s="62">
        <v>4.5</v>
      </c>
      <c r="F7" s="62">
        <v>8.3000000000000007</v>
      </c>
      <c r="G7" s="62">
        <f t="shared" si="0"/>
        <v>3.15</v>
      </c>
      <c r="H7" s="63">
        <f t="shared" si="1"/>
        <v>5.8100000000000005</v>
      </c>
      <c r="I7" s="118">
        <v>1118.2000000000003</v>
      </c>
      <c r="J7" s="119">
        <v>1151.7460000000003</v>
      </c>
      <c r="K7" s="120">
        <v>4.40389018064747</v>
      </c>
      <c r="L7" s="121">
        <v>8.3590144875693078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1151.7460000000003</v>
      </c>
      <c r="S7" s="62">
        <f t="shared" si="3"/>
        <v>50.721629000000021</v>
      </c>
      <c r="T7" s="63">
        <f t="shared" si="4"/>
        <v>96.274615000000026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71">
        <v>1232.3</v>
      </c>
      <c r="AI7" s="66">
        <v>4.3099999999999996</v>
      </c>
      <c r="AJ7" s="66">
        <v>8.34</v>
      </c>
      <c r="AK7" s="62">
        <f t="shared" si="9"/>
        <v>53.112130000000001</v>
      </c>
      <c r="AL7" s="72">
        <f t="shared" si="10"/>
        <v>102.77382</v>
      </c>
      <c r="AM7" s="73">
        <f t="shared" si="15"/>
        <v>-10.553999999999633</v>
      </c>
      <c r="AN7" s="74">
        <f t="shared" si="11"/>
        <v>0.75949900000001946</v>
      </c>
      <c r="AO7" s="74">
        <f t="shared" si="11"/>
        <v>-0.68920499999997276</v>
      </c>
      <c r="AP7" s="75">
        <f t="shared" si="16"/>
        <v>4.7820269475760675E-4</v>
      </c>
      <c r="AQ7" s="76">
        <f t="shared" si="12"/>
        <v>158.55322663287154</v>
      </c>
      <c r="AR7" s="77">
        <f t="shared" si="17"/>
        <v>-10.553999999999633</v>
      </c>
    </row>
    <row r="8" spans="1:46" x14ac:dyDescent="0.25">
      <c r="A8" t="str">
        <f t="shared" si="14"/>
        <v>46206M</v>
      </c>
      <c r="B8" s="51">
        <f>+B6+1</f>
        <v>46206</v>
      </c>
      <c r="C8" s="52" t="s">
        <v>87</v>
      </c>
      <c r="D8" s="91">
        <v>1232.3</v>
      </c>
      <c r="E8" s="62">
        <v>4.3099999999999996</v>
      </c>
      <c r="F8" s="62">
        <v>8.34</v>
      </c>
      <c r="G8" s="62">
        <f t="shared" si="0"/>
        <v>53.112130000000001</v>
      </c>
      <c r="H8" s="63">
        <f t="shared" si="1"/>
        <v>102.77382</v>
      </c>
      <c r="I8" s="118">
        <v>1114.8</v>
      </c>
      <c r="J8" s="119">
        <v>1148.2439999999999</v>
      </c>
      <c r="K8" s="120">
        <v>4.7249461786867597</v>
      </c>
      <c r="L8" s="121">
        <v>8.4307588805166844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1148.2439999999999</v>
      </c>
      <c r="S8" s="62">
        <f t="shared" si="3"/>
        <v>54.253910999999995</v>
      </c>
      <c r="T8" s="63">
        <f t="shared" si="4"/>
        <v>96.805682999999988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3">
        <f t="shared" si="8"/>
        <v>0</v>
      </c>
      <c r="AH8" s="71">
        <v>2380.5</v>
      </c>
      <c r="AI8" s="66">
        <v>4.5</v>
      </c>
      <c r="AJ8" s="66">
        <v>8.3800000000000008</v>
      </c>
      <c r="AK8" s="62">
        <f t="shared" si="9"/>
        <v>107.1225</v>
      </c>
      <c r="AL8" s="72">
        <f t="shared" si="10"/>
        <v>199.48590000000004</v>
      </c>
      <c r="AM8" s="73">
        <f t="shared" si="15"/>
        <v>4.3999999999869033E-2</v>
      </c>
      <c r="AN8" s="74">
        <f t="shared" si="11"/>
        <v>0.24354099999999335</v>
      </c>
      <c r="AO8" s="74">
        <f t="shared" si="11"/>
        <v>9.3602999999944814E-2</v>
      </c>
      <c r="AP8" s="75">
        <f t="shared" si="16"/>
        <v>2.2318608906094252E-3</v>
      </c>
      <c r="AQ8" s="76">
        <f t="shared" si="12"/>
        <v>145.06264208728726</v>
      </c>
      <c r="AR8" s="77">
        <f t="shared" si="17"/>
        <v>4.3999999999869033E-2</v>
      </c>
    </row>
    <row r="9" spans="1:46" x14ac:dyDescent="0.25">
      <c r="A9" t="str">
        <f t="shared" si="14"/>
        <v>46206E</v>
      </c>
      <c r="B9" s="51">
        <f t="shared" ref="B9:B65" si="18">+B7+1</f>
        <v>46206</v>
      </c>
      <c r="C9" s="52" t="s">
        <v>88</v>
      </c>
      <c r="D9" s="91">
        <v>2380.5</v>
      </c>
      <c r="E9" s="62">
        <v>4.5</v>
      </c>
      <c r="F9" s="62">
        <v>8.3800000000000008</v>
      </c>
      <c r="G9" s="62">
        <f t="shared" si="0"/>
        <v>107.1225</v>
      </c>
      <c r="H9" s="63">
        <f t="shared" si="1"/>
        <v>199.48590000000004</v>
      </c>
      <c r="I9" s="118">
        <v>1171.9000000000003</v>
      </c>
      <c r="J9" s="119">
        <v>1207.0570000000005</v>
      </c>
      <c r="K9" s="120">
        <v>4.2999744005461213</v>
      </c>
      <c r="L9" s="121">
        <v>8.3361805614813527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1207.0570000000005</v>
      </c>
      <c r="S9" s="62">
        <f t="shared" si="3"/>
        <v>51.903142000000017</v>
      </c>
      <c r="T9" s="63">
        <f t="shared" si="4"/>
        <v>100.62245100000001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82">
        <v>3587.5</v>
      </c>
      <c r="AI9" s="66">
        <v>4.43</v>
      </c>
      <c r="AJ9" s="66">
        <v>8.36</v>
      </c>
      <c r="AK9" s="62">
        <f t="shared" si="9"/>
        <v>158.92625000000001</v>
      </c>
      <c r="AL9" s="72">
        <f t="shared" si="10"/>
        <v>299.91499999999996</v>
      </c>
      <c r="AM9" s="73">
        <f t="shared" si="15"/>
        <v>5.7000000000698492E-2</v>
      </c>
      <c r="AN9" s="74">
        <f t="shared" si="11"/>
        <v>9.9391999999994596E-2</v>
      </c>
      <c r="AO9" s="74">
        <f t="shared" si="11"/>
        <v>0.19335100000012062</v>
      </c>
      <c r="AP9" s="75">
        <f t="shared" si="16"/>
        <v>1.9193041262269683E-3</v>
      </c>
      <c r="AQ9" s="76">
        <f t="shared" si="12"/>
        <v>105.66799404495875</v>
      </c>
      <c r="AR9" s="77">
        <f t="shared" si="17"/>
        <v>5.7000000000698492E-2</v>
      </c>
    </row>
    <row r="10" spans="1:46" x14ac:dyDescent="0.25">
      <c r="A10" t="str">
        <f t="shared" si="14"/>
        <v>46207M</v>
      </c>
      <c r="B10" s="51">
        <f t="shared" si="18"/>
        <v>46207</v>
      </c>
      <c r="C10" s="52" t="s">
        <v>87</v>
      </c>
      <c r="D10" s="91">
        <v>3587.5</v>
      </c>
      <c r="E10" s="62">
        <v>4.43</v>
      </c>
      <c r="F10" s="62">
        <v>8.36</v>
      </c>
      <c r="G10" s="62">
        <f t="shared" si="0"/>
        <v>158.92625000000001</v>
      </c>
      <c r="H10" s="63">
        <f t="shared" si="1"/>
        <v>299.91499999999996</v>
      </c>
      <c r="I10" s="118">
        <v>921.19999999999993</v>
      </c>
      <c r="J10" s="119">
        <v>948.8359999999999</v>
      </c>
      <c r="K10" s="120">
        <v>4.9209726443769002</v>
      </c>
      <c r="L10" s="121">
        <v>8.4304928354320481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948.8359999999999</v>
      </c>
      <c r="S10" s="62">
        <f t="shared" si="3"/>
        <v>46.691960000000002</v>
      </c>
      <c r="T10" s="63">
        <f t="shared" si="4"/>
        <v>79.991551000000015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71">
        <v>4536.3</v>
      </c>
      <c r="AI10" s="66">
        <v>4.53</v>
      </c>
      <c r="AJ10" s="66">
        <v>8.3699999999999992</v>
      </c>
      <c r="AK10" s="62">
        <f t="shared" si="9"/>
        <v>205.49439000000001</v>
      </c>
      <c r="AL10" s="72">
        <f t="shared" si="10"/>
        <v>379.68831</v>
      </c>
      <c r="AM10" s="73">
        <f t="shared" si="15"/>
        <v>3.6000000000058208E-2</v>
      </c>
      <c r="AN10" s="74">
        <f t="shared" si="11"/>
        <v>0.12381999999999493</v>
      </c>
      <c r="AO10" s="74">
        <f t="shared" si="11"/>
        <v>0.2182409999999777</v>
      </c>
      <c r="AP10" s="75">
        <f t="shared" si="16"/>
        <v>2.7001225123921028E-3</v>
      </c>
      <c r="AQ10" s="76">
        <f t="shared" si="12"/>
        <v>124.86077650550192</v>
      </c>
      <c r="AR10" s="77">
        <f t="shared" si="17"/>
        <v>3.6000000000058208E-2</v>
      </c>
    </row>
    <row r="11" spans="1:46" x14ac:dyDescent="0.25">
      <c r="A11" t="str">
        <f t="shared" si="14"/>
        <v>46207E</v>
      </c>
      <c r="B11" s="51">
        <f t="shared" si="18"/>
        <v>46207</v>
      </c>
      <c r="C11" s="52" t="s">
        <v>88</v>
      </c>
      <c r="D11" s="91">
        <v>4536.3</v>
      </c>
      <c r="E11" s="62">
        <v>4.53</v>
      </c>
      <c r="F11" s="62">
        <v>8.3699999999999992</v>
      </c>
      <c r="G11" s="62">
        <f t="shared" si="0"/>
        <v>205.49439000000001</v>
      </c>
      <c r="H11" s="63">
        <f t="shared" si="1"/>
        <v>379.68831</v>
      </c>
      <c r="I11" s="118">
        <v>1166.1999999999998</v>
      </c>
      <c r="J11" s="119">
        <v>1201.1859999999999</v>
      </c>
      <c r="K11" s="120">
        <v>4.3084290859200829</v>
      </c>
      <c r="L11" s="121">
        <v>8.419687875150057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1201.1859999999999</v>
      </c>
      <c r="S11" s="62">
        <f t="shared" si="3"/>
        <v>51.752246999999997</v>
      </c>
      <c r="T11" s="63">
        <f t="shared" si="4"/>
        <v>101.13611199999995</v>
      </c>
      <c r="U11" s="64" t="s">
        <v>170</v>
      </c>
      <c r="V11" s="65" t="s">
        <v>267</v>
      </c>
      <c r="W11" s="66" t="s">
        <v>181</v>
      </c>
      <c r="X11" s="67">
        <v>3100</v>
      </c>
      <c r="Y11" s="68">
        <v>4.6500000000000004</v>
      </c>
      <c r="Z11" s="68">
        <v>8.52</v>
      </c>
      <c r="AA11" s="62">
        <f t="shared" si="5"/>
        <v>144.15000000000003</v>
      </c>
      <c r="AB11" s="63">
        <f t="shared" si="6"/>
        <v>264.12</v>
      </c>
      <c r="AC11" s="69">
        <v>3100</v>
      </c>
      <c r="AD11" s="70">
        <v>4.5999999999999996</v>
      </c>
      <c r="AE11" s="70">
        <v>8.33</v>
      </c>
      <c r="AF11" s="62">
        <f t="shared" si="7"/>
        <v>142.6</v>
      </c>
      <c r="AG11" s="63">
        <f t="shared" si="8"/>
        <v>258.23</v>
      </c>
      <c r="AH11" s="71">
        <v>2637.4</v>
      </c>
      <c r="AI11" s="66">
        <v>4.4800000000000004</v>
      </c>
      <c r="AJ11" s="66">
        <v>8.3800000000000008</v>
      </c>
      <c r="AK11" s="62">
        <f t="shared" si="9"/>
        <v>118.15552000000002</v>
      </c>
      <c r="AL11" s="72">
        <f t="shared" si="10"/>
        <v>221.01412000000005</v>
      </c>
      <c r="AM11" s="73">
        <f t="shared" si="15"/>
        <v>8.5999999999785359E-2</v>
      </c>
      <c r="AN11" s="74">
        <f t="shared" si="11"/>
        <v>-3.5088829999999973</v>
      </c>
      <c r="AO11" s="74">
        <f t="shared" si="11"/>
        <v>1.5803019999999037</v>
      </c>
      <c r="AP11" s="75">
        <f t="shared" si="16"/>
        <v>-1.2614308980843298E-2</v>
      </c>
      <c r="AQ11" s="76">
        <f t="shared" si="12"/>
        <v>-1212.8461027556903</v>
      </c>
      <c r="AR11" s="77">
        <f t="shared" si="17"/>
        <v>8.6000000000240107E-2</v>
      </c>
    </row>
    <row r="12" spans="1:46" x14ac:dyDescent="0.25">
      <c r="A12" t="str">
        <f t="shared" si="14"/>
        <v>46208M</v>
      </c>
      <c r="B12" s="51">
        <f t="shared" si="18"/>
        <v>46208</v>
      </c>
      <c r="C12" s="52" t="s">
        <v>87</v>
      </c>
      <c r="D12" s="91">
        <v>2637.4</v>
      </c>
      <c r="E12" s="62">
        <v>4.4800000000000004</v>
      </c>
      <c r="F12" s="62">
        <v>8.3800000000000008</v>
      </c>
      <c r="G12" s="62">
        <f t="shared" si="0"/>
        <v>118.15552000000002</v>
      </c>
      <c r="H12" s="63">
        <f t="shared" si="1"/>
        <v>221.01412000000005</v>
      </c>
      <c r="I12" s="118">
        <v>1086.8999999999999</v>
      </c>
      <c r="J12" s="119">
        <v>1119.5069999999998</v>
      </c>
      <c r="K12" s="120">
        <v>4.9134787008924441</v>
      </c>
      <c r="L12" s="121">
        <v>8.4795749378967678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1119.5069999999998</v>
      </c>
      <c r="S12" s="62">
        <f t="shared" si="3"/>
        <v>55.00673799999997</v>
      </c>
      <c r="T12" s="63">
        <f t="shared" si="4"/>
        <v>94.929434999999955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71">
        <v>3756.9</v>
      </c>
      <c r="AI12" s="66">
        <v>4.5999999999999996</v>
      </c>
      <c r="AJ12" s="66">
        <v>8.4</v>
      </c>
      <c r="AK12" s="62">
        <f t="shared" si="9"/>
        <v>172.81739999999999</v>
      </c>
      <c r="AL12" s="72">
        <f t="shared" si="10"/>
        <v>315.57960000000003</v>
      </c>
      <c r="AM12" s="73">
        <f t="shared" si="15"/>
        <v>7.0000000000618456E-3</v>
      </c>
      <c r="AN12" s="74">
        <f t="shared" si="11"/>
        <v>0.34485800000001632</v>
      </c>
      <c r="AO12" s="74">
        <f t="shared" si="11"/>
        <v>0.36395499999997583</v>
      </c>
      <c r="AP12" s="75">
        <f t="shared" si="16"/>
        <v>4.7274315851718613E-3</v>
      </c>
      <c r="AQ12" s="76">
        <f t="shared" si="12"/>
        <v>274.71677528184944</v>
      </c>
      <c r="AR12" s="77">
        <f t="shared" si="17"/>
        <v>7.0000000000618456E-3</v>
      </c>
    </row>
    <row r="13" spans="1:46" x14ac:dyDescent="0.25">
      <c r="A13" t="str">
        <f t="shared" si="14"/>
        <v>46208E</v>
      </c>
      <c r="B13" s="51">
        <f t="shared" si="18"/>
        <v>46208</v>
      </c>
      <c r="C13" s="52" t="s">
        <v>88</v>
      </c>
      <c r="D13" s="91">
        <v>3756.9</v>
      </c>
      <c r="E13" s="62">
        <v>4.5999999999999996</v>
      </c>
      <c r="F13" s="62">
        <v>8.4</v>
      </c>
      <c r="G13" s="62">
        <f t="shared" si="0"/>
        <v>172.81739999999999</v>
      </c>
      <c r="H13" s="63">
        <f t="shared" si="1"/>
        <v>315.57960000000003</v>
      </c>
      <c r="I13" s="118">
        <v>1132.4000000000001</v>
      </c>
      <c r="J13" s="119">
        <v>1166.3720000000001</v>
      </c>
      <c r="K13" s="120">
        <v>4.4922200635817751</v>
      </c>
      <c r="L13" s="121">
        <v>8.4404362416107404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1166.3720000000001</v>
      </c>
      <c r="S13" s="62">
        <f t="shared" si="3"/>
        <v>52.395997000000023</v>
      </c>
      <c r="T13" s="63">
        <f t="shared" si="4"/>
        <v>98.446885000000037</v>
      </c>
      <c r="U13" s="64" t="s">
        <v>170</v>
      </c>
      <c r="V13" s="65" t="s">
        <v>268</v>
      </c>
      <c r="W13" s="66" t="s">
        <v>181</v>
      </c>
      <c r="X13" s="67">
        <v>4950</v>
      </c>
      <c r="Y13" s="68">
        <v>4.51</v>
      </c>
      <c r="Z13" s="68">
        <v>8.07</v>
      </c>
      <c r="AA13" s="62">
        <f t="shared" si="5"/>
        <v>223.245</v>
      </c>
      <c r="AB13" s="63">
        <f t="shared" si="6"/>
        <v>399.46500000000003</v>
      </c>
      <c r="AC13" s="69">
        <v>5160</v>
      </c>
      <c r="AD13" s="70">
        <v>4.4139534883720932</v>
      </c>
      <c r="AE13" s="70">
        <v>7.8441279069767456</v>
      </c>
      <c r="AF13" s="62">
        <f t="shared" si="7"/>
        <v>227.76</v>
      </c>
      <c r="AG13" s="63">
        <f t="shared" si="8"/>
        <v>404.75700000000006</v>
      </c>
      <c r="AH13" s="71">
        <v>0</v>
      </c>
      <c r="AI13" s="66">
        <v>0</v>
      </c>
      <c r="AJ13" s="66">
        <v>0</v>
      </c>
      <c r="AK13" s="62">
        <f t="shared" si="9"/>
        <v>0</v>
      </c>
      <c r="AL13" s="72">
        <f t="shared" si="10"/>
        <v>0</v>
      </c>
      <c r="AM13" s="73">
        <f t="shared" si="15"/>
        <v>-236.72800000000007</v>
      </c>
      <c r="AN13" s="74">
        <f t="shared" si="11"/>
        <v>-2.5466029999999762</v>
      </c>
      <c r="AO13" s="74">
        <f t="shared" si="11"/>
        <v>9.2694850000000315</v>
      </c>
      <c r="AP13" s="75">
        <f t="shared" si="16"/>
        <v>4.4568771896045134E-2</v>
      </c>
      <c r="AQ13" s="76">
        <f t="shared" si="12"/>
        <v>1552.4026114822652</v>
      </c>
      <c r="AR13" s="77">
        <f t="shared" si="17"/>
        <v>-26.728000000000065</v>
      </c>
    </row>
    <row r="14" spans="1:46" x14ac:dyDescent="0.25">
      <c r="A14" t="str">
        <f t="shared" si="14"/>
        <v>46209M</v>
      </c>
      <c r="B14" s="51">
        <f t="shared" si="18"/>
        <v>46209</v>
      </c>
      <c r="C14" s="52" t="s">
        <v>87</v>
      </c>
      <c r="D14" s="91">
        <v>0</v>
      </c>
      <c r="E14" s="62">
        <v>0</v>
      </c>
      <c r="F14" s="62">
        <v>0</v>
      </c>
      <c r="G14" s="62">
        <f t="shared" si="0"/>
        <v>0</v>
      </c>
      <c r="H14" s="63">
        <f t="shared" si="1"/>
        <v>0</v>
      </c>
      <c r="I14" s="118">
        <v>1032.4999999999995</v>
      </c>
      <c r="J14" s="119">
        <v>1063.4749999999995</v>
      </c>
      <c r="K14" s="120">
        <v>4.7960290556900729</v>
      </c>
      <c r="L14" s="121">
        <v>8.4974818401937053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1063.4749999999995</v>
      </c>
      <c r="S14" s="62">
        <f t="shared" si="3"/>
        <v>51.00456999999998</v>
      </c>
      <c r="T14" s="63">
        <f t="shared" si="4"/>
        <v>90.368594999999956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71">
        <v>1063.4000000000001</v>
      </c>
      <c r="AI14" s="66">
        <v>4.8</v>
      </c>
      <c r="AJ14" s="66">
        <v>8.5</v>
      </c>
      <c r="AK14" s="62">
        <f t="shared" si="9"/>
        <v>51.043200000000006</v>
      </c>
      <c r="AL14" s="72">
        <f t="shared" si="10"/>
        <v>90.38900000000001</v>
      </c>
      <c r="AM14" s="73">
        <f t="shared" si="15"/>
        <v>7.4999999999363354E-2</v>
      </c>
      <c r="AN14" s="74">
        <f t="shared" si="11"/>
        <v>-3.8630000000026143E-2</v>
      </c>
      <c r="AO14" s="74">
        <f t="shared" si="11"/>
        <v>-2.0405000000053519E-2</v>
      </c>
      <c r="AP14" s="75">
        <f t="shared" si="16"/>
        <v>-4.1758278524838634E-4</v>
      </c>
      <c r="AQ14" s="76">
        <f t="shared" si="12"/>
        <v>-24.674088112713456</v>
      </c>
      <c r="AR14" s="77">
        <f t="shared" si="17"/>
        <v>7.4999999999363354E-2</v>
      </c>
    </row>
    <row r="15" spans="1:46" x14ac:dyDescent="0.25">
      <c r="A15" t="str">
        <f t="shared" si="14"/>
        <v>46209E</v>
      </c>
      <c r="B15" s="51">
        <f t="shared" si="18"/>
        <v>46209</v>
      </c>
      <c r="C15" s="52" t="s">
        <v>88</v>
      </c>
      <c r="D15" s="91">
        <v>1063.4000000000001</v>
      </c>
      <c r="E15" s="62">
        <v>4.8</v>
      </c>
      <c r="F15" s="62">
        <v>8.5</v>
      </c>
      <c r="G15" s="62">
        <f t="shared" si="0"/>
        <v>51.043200000000006</v>
      </c>
      <c r="H15" s="63">
        <f t="shared" si="1"/>
        <v>90.38900000000001</v>
      </c>
      <c r="I15" s="118">
        <v>1075.2</v>
      </c>
      <c r="J15" s="119">
        <v>1107.4560000000001</v>
      </c>
      <c r="K15" s="120">
        <v>4.3899460565476192</v>
      </c>
      <c r="L15" s="121">
        <v>8.374953497023812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1107.4560000000001</v>
      </c>
      <c r="S15" s="62">
        <f t="shared" si="3"/>
        <v>48.616721000000013</v>
      </c>
      <c r="T15" s="63">
        <f t="shared" si="4"/>
        <v>92.748925000000042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3">
        <f t="shared" si="8"/>
        <v>0</v>
      </c>
      <c r="AH15" s="71">
        <v>2170.9</v>
      </c>
      <c r="AI15" s="66">
        <v>4.59</v>
      </c>
      <c r="AJ15" s="66">
        <v>8.44</v>
      </c>
      <c r="AK15" s="62">
        <f t="shared" si="9"/>
        <v>99.64430999999999</v>
      </c>
      <c r="AL15" s="72">
        <f t="shared" si="10"/>
        <v>183.22395999999998</v>
      </c>
      <c r="AM15" s="73">
        <f t="shared" si="15"/>
        <v>-4.3999999999869033E-2</v>
      </c>
      <c r="AN15" s="74">
        <f t="shared" si="11"/>
        <v>1.5611000000035347E-2</v>
      </c>
      <c r="AO15" s="74">
        <f t="shared" si="11"/>
        <v>-8.6034999999924366E-2</v>
      </c>
      <c r="AP15" s="75">
        <f t="shared" si="16"/>
        <v>-4.9816912377628861E-4</v>
      </c>
      <c r="AQ15" s="76">
        <f t="shared" si="12"/>
        <v>-18.265122990172099</v>
      </c>
      <c r="AR15" s="77">
        <f t="shared" si="17"/>
        <v>-4.3999999999869033E-2</v>
      </c>
    </row>
    <row r="16" spans="1:46" x14ac:dyDescent="0.25">
      <c r="A16" t="str">
        <f t="shared" si="14"/>
        <v>46210M</v>
      </c>
      <c r="B16" s="51">
        <f t="shared" si="18"/>
        <v>46210</v>
      </c>
      <c r="C16" s="52" t="s">
        <v>87</v>
      </c>
      <c r="D16" s="91">
        <v>2170.9</v>
      </c>
      <c r="E16" s="62">
        <v>4.59</v>
      </c>
      <c r="F16" s="62">
        <v>8.44</v>
      </c>
      <c r="G16" s="62">
        <f t="shared" si="0"/>
        <v>99.64430999999999</v>
      </c>
      <c r="H16" s="63">
        <f t="shared" si="1"/>
        <v>183.22395999999998</v>
      </c>
      <c r="I16" s="118">
        <v>1083.2000000000003</v>
      </c>
      <c r="J16" s="119">
        <v>1115.6960000000004</v>
      </c>
      <c r="K16" s="120">
        <v>4.7017448301329372</v>
      </c>
      <c r="L16" s="121">
        <v>8.5311853766617407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1115.6960000000004</v>
      </c>
      <c r="S16" s="62">
        <f t="shared" si="3"/>
        <v>52.457178999999996</v>
      </c>
      <c r="T16" s="63">
        <f t="shared" si="4"/>
        <v>95.182094000000006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17">
        <v>3286.6</v>
      </c>
      <c r="AI16" s="117">
        <v>4.63</v>
      </c>
      <c r="AJ16" s="117">
        <v>8.4700000000000006</v>
      </c>
      <c r="AK16" s="62">
        <f t="shared" si="9"/>
        <v>152.16958</v>
      </c>
      <c r="AL16" s="72">
        <f t="shared" si="10"/>
        <v>278.37502000000001</v>
      </c>
      <c r="AM16" s="73">
        <f t="shared" si="15"/>
        <v>-3.9999999994506652E-3</v>
      </c>
      <c r="AN16" s="74">
        <f t="shared" si="11"/>
        <v>-6.8091000000009672E-2</v>
      </c>
      <c r="AO16" s="74">
        <f t="shared" si="11"/>
        <v>3.1033999999976913E-2</v>
      </c>
      <c r="AP16" s="75">
        <f t="shared" si="16"/>
        <v>-2.5099690107545272E-4</v>
      </c>
      <c r="AQ16" s="76">
        <f t="shared" si="12"/>
        <v>-23.425534899207861</v>
      </c>
      <c r="AR16" s="77">
        <f t="shared" si="17"/>
        <v>-3.9999999994506652E-3</v>
      </c>
    </row>
    <row r="17" spans="1:49" x14ac:dyDescent="0.25">
      <c r="A17" t="str">
        <f t="shared" si="14"/>
        <v>46210E</v>
      </c>
      <c r="B17" s="51">
        <f t="shared" si="18"/>
        <v>46210</v>
      </c>
      <c r="C17" s="52" t="s">
        <v>88</v>
      </c>
      <c r="D17" s="91">
        <v>3286.6</v>
      </c>
      <c r="E17" s="62">
        <v>4.63</v>
      </c>
      <c r="F17" s="62">
        <v>8.4700000000000006</v>
      </c>
      <c r="G17" s="62">
        <f t="shared" si="0"/>
        <v>152.16958</v>
      </c>
      <c r="H17" s="63">
        <f t="shared" si="1"/>
        <v>278.37502000000001</v>
      </c>
      <c r="I17" s="118">
        <v>1074.4000000000001</v>
      </c>
      <c r="J17" s="119">
        <v>1106.6320000000001</v>
      </c>
      <c r="K17" s="120">
        <v>4.3877513030528661</v>
      </c>
      <c r="L17" s="121">
        <v>8.3211559940431865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1106.6320000000001</v>
      </c>
      <c r="S17" s="62">
        <f t="shared" si="3"/>
        <v>48.556259999999995</v>
      </c>
      <c r="T17" s="63">
        <f t="shared" si="4"/>
        <v>92.084575000000001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89">
        <v>4393.2</v>
      </c>
      <c r="AI17" s="66">
        <v>4.57</v>
      </c>
      <c r="AJ17" s="66">
        <v>8.43</v>
      </c>
      <c r="AK17" s="62">
        <f t="shared" si="9"/>
        <v>200.76924000000002</v>
      </c>
      <c r="AL17" s="72">
        <f t="shared" si="10"/>
        <v>370.34675999999996</v>
      </c>
      <c r="AM17" s="73">
        <f t="shared" si="15"/>
        <v>3.2000000000152795E-2</v>
      </c>
      <c r="AN17" s="74">
        <f t="shared" si="11"/>
        <v>-4.3400000000019645E-2</v>
      </c>
      <c r="AO17" s="74">
        <f t="shared" si="11"/>
        <v>0.11283500000007507</v>
      </c>
      <c r="AP17" s="75">
        <f t="shared" si="16"/>
        <v>4.9370440668995914E-4</v>
      </c>
      <c r="AQ17" s="76">
        <f t="shared" si="12"/>
        <v>12.93796547030659</v>
      </c>
      <c r="AR17" s="77">
        <f t="shared" si="17"/>
        <v>3.2000000000152795E-2</v>
      </c>
    </row>
    <row r="18" spans="1:49" x14ac:dyDescent="0.25">
      <c r="A18" t="str">
        <f t="shared" si="14"/>
        <v>46211M</v>
      </c>
      <c r="B18" s="51">
        <f t="shared" si="18"/>
        <v>46211</v>
      </c>
      <c r="C18" s="52" t="s">
        <v>87</v>
      </c>
      <c r="D18" s="91">
        <v>4393.2</v>
      </c>
      <c r="E18" s="62">
        <v>4.57</v>
      </c>
      <c r="F18" s="62">
        <v>8.43</v>
      </c>
      <c r="G18" s="62">
        <f t="shared" si="0"/>
        <v>200.76924000000002</v>
      </c>
      <c r="H18" s="63">
        <f t="shared" si="1"/>
        <v>370.34675999999996</v>
      </c>
      <c r="I18" s="118">
        <v>1160.1000000000001</v>
      </c>
      <c r="J18" s="119">
        <v>1194.9030000000002</v>
      </c>
      <c r="K18" s="120">
        <v>4.5614257391604172</v>
      </c>
      <c r="L18" s="121">
        <v>8.3856736488233796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1194.9030000000002</v>
      </c>
      <c r="S18" s="62">
        <f t="shared" si="3"/>
        <v>54.504613000000013</v>
      </c>
      <c r="T18" s="63">
        <f t="shared" si="4"/>
        <v>100.20066600000006</v>
      </c>
      <c r="U18" s="64" t="s">
        <v>170</v>
      </c>
      <c r="V18" s="65" t="s">
        <v>328</v>
      </c>
      <c r="W18" s="66" t="s">
        <v>181</v>
      </c>
      <c r="X18" s="67">
        <v>3100</v>
      </c>
      <c r="Y18" s="68">
        <v>4.6500000000000004</v>
      </c>
      <c r="Z18" s="68">
        <v>8.4</v>
      </c>
      <c r="AA18" s="62">
        <f t="shared" si="5"/>
        <v>144.15000000000003</v>
      </c>
      <c r="AB18" s="63">
        <f t="shared" si="6"/>
        <v>260.40000000000003</v>
      </c>
      <c r="AC18" s="69">
        <v>3120</v>
      </c>
      <c r="AD18" s="70">
        <v>4.6500000000000004</v>
      </c>
      <c r="AE18" s="70">
        <v>8.34</v>
      </c>
      <c r="AF18" s="62">
        <f t="shared" si="7"/>
        <v>145.08000000000001</v>
      </c>
      <c r="AG18" s="63">
        <f t="shared" si="8"/>
        <v>260.20800000000003</v>
      </c>
      <c r="AH18" s="89">
        <v>2488.1</v>
      </c>
      <c r="AI18" s="66">
        <v>4.57</v>
      </c>
      <c r="AJ18" s="66">
        <v>8.42</v>
      </c>
      <c r="AK18" s="62">
        <f t="shared" si="9"/>
        <v>113.70617</v>
      </c>
      <c r="AL18" s="72">
        <f t="shared" si="10"/>
        <v>209.49802</v>
      </c>
      <c r="AM18" s="73">
        <f t="shared" si="15"/>
        <v>-19.996999999999844</v>
      </c>
      <c r="AN18" s="74">
        <f t="shared" si="11"/>
        <v>-3.5123169999999817</v>
      </c>
      <c r="AO18" s="74">
        <f t="shared" si="11"/>
        <v>0.84140600000000632</v>
      </c>
      <c r="AP18" s="75">
        <f t="shared" si="16"/>
        <v>-1.72645110578287E-2</v>
      </c>
      <c r="AQ18" s="76">
        <f t="shared" si="12"/>
        <v>-1435.7890254902784</v>
      </c>
      <c r="AR18" s="77">
        <f t="shared" si="17"/>
        <v>2.9999999997016857E-3</v>
      </c>
    </row>
    <row r="19" spans="1:49" x14ac:dyDescent="0.25">
      <c r="A19" t="str">
        <f t="shared" si="14"/>
        <v>46211E</v>
      </c>
      <c r="B19" s="51">
        <f t="shared" si="18"/>
        <v>46211</v>
      </c>
      <c r="C19" s="52" t="s">
        <v>88</v>
      </c>
      <c r="D19" s="91">
        <v>2488.1</v>
      </c>
      <c r="E19" s="62">
        <v>4.57</v>
      </c>
      <c r="F19" s="62">
        <v>8.42</v>
      </c>
      <c r="G19" s="62">
        <f t="shared" si="0"/>
        <v>113.70617</v>
      </c>
      <c r="H19" s="63">
        <f t="shared" si="1"/>
        <v>209.49802</v>
      </c>
      <c r="I19" s="118">
        <v>1083.3999999999999</v>
      </c>
      <c r="J19" s="119">
        <v>1115.9019999999998</v>
      </c>
      <c r="K19" s="120">
        <v>4.3802289089902162</v>
      </c>
      <c r="L19" s="121">
        <v>8.3012183865608264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1115.9019999999998</v>
      </c>
      <c r="S19" s="62">
        <f t="shared" si="3"/>
        <v>48.879061999999998</v>
      </c>
      <c r="T19" s="63">
        <f t="shared" si="4"/>
        <v>92.63346199999998</v>
      </c>
      <c r="U19" s="64" t="s">
        <v>180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3">
        <f t="shared" si="8"/>
        <v>0</v>
      </c>
      <c r="AH19" s="89">
        <v>3604</v>
      </c>
      <c r="AI19" s="66">
        <v>4.51</v>
      </c>
      <c r="AJ19" s="66">
        <v>8.3800000000000008</v>
      </c>
      <c r="AK19" s="62">
        <f t="shared" si="9"/>
        <v>162.54040000000001</v>
      </c>
      <c r="AL19" s="72">
        <f t="shared" si="10"/>
        <v>302.01520000000005</v>
      </c>
      <c r="AM19" s="73">
        <f t="shared" si="15"/>
        <v>1.9999999994979589E-3</v>
      </c>
      <c r="AN19" s="74">
        <f t="shared" si="11"/>
        <v>4.4831999999985328E-2</v>
      </c>
      <c r="AO19" s="74">
        <f t="shared" si="11"/>
        <v>0.11628199999995559</v>
      </c>
      <c r="AP19" s="75">
        <f t="shared" si="16"/>
        <v>1.1385140724360266E-3</v>
      </c>
      <c r="AQ19" s="76">
        <f t="shared" si="12"/>
        <v>56.368658919545169</v>
      </c>
      <c r="AR19" s="77">
        <f t="shared" si="17"/>
        <v>1.9999999994979589E-3</v>
      </c>
    </row>
    <row r="20" spans="1:49" x14ac:dyDescent="0.25">
      <c r="A20" t="str">
        <f t="shared" si="14"/>
        <v>46212M</v>
      </c>
      <c r="B20" s="51">
        <f t="shared" si="18"/>
        <v>46212</v>
      </c>
      <c r="C20" s="52" t="s">
        <v>87</v>
      </c>
      <c r="D20" s="91">
        <v>3604</v>
      </c>
      <c r="E20" s="62">
        <v>4.51</v>
      </c>
      <c r="F20" s="62">
        <v>8.3800000000000008</v>
      </c>
      <c r="G20" s="62">
        <f t="shared" si="0"/>
        <v>162.54040000000001</v>
      </c>
      <c r="H20" s="63">
        <f t="shared" si="1"/>
        <v>302.01520000000005</v>
      </c>
      <c r="I20" s="118">
        <v>1177.8000000000002</v>
      </c>
      <c r="J20" s="119">
        <v>1213.1340000000002</v>
      </c>
      <c r="K20" s="120">
        <v>4.6847257598913234</v>
      </c>
      <c r="L20" s="121">
        <v>8.3222788249278334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1213.1340000000002</v>
      </c>
      <c r="S20" s="62">
        <f t="shared" si="3"/>
        <v>56.83200100000002</v>
      </c>
      <c r="T20" s="63">
        <f t="shared" si="4"/>
        <v>100.96039400000005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89">
        <v>4817.1000000000004</v>
      </c>
      <c r="AI20" s="66">
        <v>4.55</v>
      </c>
      <c r="AJ20" s="66">
        <v>8.36</v>
      </c>
      <c r="AK20" s="62">
        <f t="shared" si="9"/>
        <v>219.17805000000001</v>
      </c>
      <c r="AL20" s="72">
        <f t="shared" si="10"/>
        <v>402.70956000000001</v>
      </c>
      <c r="AM20" s="73">
        <f t="shared" si="15"/>
        <v>3.3999999999650754E-2</v>
      </c>
      <c r="AN20" s="74">
        <f t="shared" ref="AN20:AO65" si="19">+G20+S20-AF20-AK20</f>
        <v>0.19435100000001171</v>
      </c>
      <c r="AO20" s="74">
        <f t="shared" si="19"/>
        <v>0.26603400000010424</v>
      </c>
      <c r="AP20" s="75">
        <f t="shared" si="16"/>
        <v>2.9176627935719956E-3</v>
      </c>
      <c r="AQ20" s="76">
        <f t="shared" si="12"/>
        <v>173.06679555978485</v>
      </c>
      <c r="AR20" s="77">
        <f t="shared" si="17"/>
        <v>3.3999999999650754E-2</v>
      </c>
    </row>
    <row r="21" spans="1:49" x14ac:dyDescent="0.25">
      <c r="A21" t="str">
        <f t="shared" si="14"/>
        <v>46212E</v>
      </c>
      <c r="B21" s="51">
        <f t="shared" si="18"/>
        <v>46212</v>
      </c>
      <c r="C21" s="52" t="s">
        <v>88</v>
      </c>
      <c r="D21" s="91">
        <v>4817.1000000000004</v>
      </c>
      <c r="E21" s="62">
        <v>4.55</v>
      </c>
      <c r="F21" s="62">
        <v>8.36</v>
      </c>
      <c r="G21" s="62">
        <f t="shared" si="0"/>
        <v>219.17805000000001</v>
      </c>
      <c r="H21" s="63">
        <f t="shared" si="1"/>
        <v>402.70956000000001</v>
      </c>
      <c r="I21" s="118">
        <v>1091.7</v>
      </c>
      <c r="J21" s="119">
        <v>1124.451</v>
      </c>
      <c r="K21" s="120">
        <v>4.3530640285792819</v>
      </c>
      <c r="L21" s="121">
        <v>8.1788678208299022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1124.451</v>
      </c>
      <c r="S21" s="62">
        <f t="shared" si="3"/>
        <v>48.948072000000018</v>
      </c>
      <c r="T21" s="63">
        <f t="shared" si="4"/>
        <v>91.967361000000039</v>
      </c>
      <c r="U21" s="64" t="s">
        <v>170</v>
      </c>
      <c r="V21" s="65" t="s">
        <v>393</v>
      </c>
      <c r="W21" s="66" t="s">
        <v>181</v>
      </c>
      <c r="X21" s="67">
        <v>5750</v>
      </c>
      <c r="Y21" s="68">
        <v>4.62</v>
      </c>
      <c r="Z21" s="68">
        <v>8.4499999999999993</v>
      </c>
      <c r="AA21" s="62">
        <f t="shared" si="5"/>
        <v>265.64999999999998</v>
      </c>
      <c r="AB21" s="63">
        <f t="shared" si="6"/>
        <v>485.87499999999994</v>
      </c>
      <c r="AC21" s="69">
        <v>5730</v>
      </c>
      <c r="AD21" s="70">
        <v>4.5725130890052359</v>
      </c>
      <c r="AE21" s="70">
        <v>8.2545026178010463</v>
      </c>
      <c r="AF21" s="62">
        <f t="shared" si="7"/>
        <v>262.00500000000005</v>
      </c>
      <c r="AG21" s="63">
        <f t="shared" si="8"/>
        <v>472.98299999999995</v>
      </c>
      <c r="AH21" s="89">
        <v>200</v>
      </c>
      <c r="AI21" s="66">
        <v>4.3</v>
      </c>
      <c r="AJ21" s="66">
        <v>8.11</v>
      </c>
      <c r="AK21" s="62">
        <f t="shared" si="9"/>
        <v>8.6</v>
      </c>
      <c r="AL21" s="72">
        <f t="shared" si="10"/>
        <v>16.22</v>
      </c>
      <c r="AM21" s="73">
        <f t="shared" si="15"/>
        <v>11.551000000000386</v>
      </c>
      <c r="AN21" s="74">
        <f t="shared" si="19"/>
        <v>-2.4788780000000425</v>
      </c>
      <c r="AO21" s="74">
        <f t="shared" si="19"/>
        <v>5.4739210000001037</v>
      </c>
      <c r="AP21" s="75">
        <f t="shared" si="16"/>
        <v>2.1254187254280799E-2</v>
      </c>
      <c r="AQ21" s="76">
        <f t="shared" si="12"/>
        <v>448.20905023935302</v>
      </c>
      <c r="AR21" s="77">
        <f t="shared" si="17"/>
        <v>-8.4489999999996144</v>
      </c>
    </row>
    <row r="22" spans="1:49" x14ac:dyDescent="0.25">
      <c r="A22" t="str">
        <f t="shared" si="14"/>
        <v>46213M</v>
      </c>
      <c r="B22" s="51">
        <f t="shared" si="18"/>
        <v>46213</v>
      </c>
      <c r="C22" s="52" t="s">
        <v>87</v>
      </c>
      <c r="D22" s="91">
        <v>200</v>
      </c>
      <c r="E22" s="62">
        <v>4.3</v>
      </c>
      <c r="F22" s="62">
        <v>8.11</v>
      </c>
      <c r="G22" s="62">
        <f t="shared" si="0"/>
        <v>8.6</v>
      </c>
      <c r="H22" s="63">
        <f t="shared" si="1"/>
        <v>16.22</v>
      </c>
      <c r="I22" s="118">
        <v>1228.0999999999999</v>
      </c>
      <c r="J22" s="119">
        <v>1264.943</v>
      </c>
      <c r="K22" s="120">
        <v>4.4709388486279629</v>
      </c>
      <c r="L22" s="121">
        <v>8.2371142415112786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1264.943</v>
      </c>
      <c r="S22" s="62">
        <f t="shared" si="3"/>
        <v>56.554828000000015</v>
      </c>
      <c r="T22" s="63">
        <f t="shared" si="4"/>
        <v>104.19480000000001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89">
        <v>1464.9</v>
      </c>
      <c r="AI22" s="66">
        <v>4.43</v>
      </c>
      <c r="AJ22" s="66">
        <v>8.18</v>
      </c>
      <c r="AK22" s="62">
        <f t="shared" si="9"/>
        <v>64.895070000000004</v>
      </c>
      <c r="AL22" s="72">
        <f t="shared" si="10"/>
        <v>119.82882000000001</v>
      </c>
      <c r="AM22" s="73">
        <f t="shared" si="15"/>
        <v>4.299999999989268E-2</v>
      </c>
      <c r="AN22" s="74">
        <f t="shared" si="19"/>
        <v>0.25975800000000504</v>
      </c>
      <c r="AO22" s="74">
        <f t="shared" si="19"/>
        <v>0.58598000000000638</v>
      </c>
      <c r="AP22" s="75">
        <f t="shared" si="16"/>
        <v>5.261212797332329E-3</v>
      </c>
      <c r="AQ22" s="76">
        <f t="shared" si="12"/>
        <v>300.3179665010166</v>
      </c>
      <c r="AR22" s="77">
        <f t="shared" si="17"/>
        <v>4.299999999989268E-2</v>
      </c>
      <c r="AT22" s="83"/>
      <c r="AU22" s="83"/>
      <c r="AW22">
        <f>AS22*AU22%</f>
        <v>0</v>
      </c>
    </row>
    <row r="23" spans="1:49" x14ac:dyDescent="0.25">
      <c r="A23" t="str">
        <f t="shared" si="14"/>
        <v>46213E</v>
      </c>
      <c r="B23" s="51">
        <f t="shared" si="18"/>
        <v>46213</v>
      </c>
      <c r="C23" s="52" t="s">
        <v>88</v>
      </c>
      <c r="D23" s="91">
        <v>1464.9</v>
      </c>
      <c r="E23" s="62">
        <v>4.43</v>
      </c>
      <c r="F23" s="62">
        <v>8.18</v>
      </c>
      <c r="G23" s="62">
        <f t="shared" si="0"/>
        <v>64.895070000000004</v>
      </c>
      <c r="H23" s="63">
        <f t="shared" si="1"/>
        <v>119.82882000000001</v>
      </c>
      <c r="I23" s="118">
        <v>1134.7</v>
      </c>
      <c r="J23" s="119">
        <v>1168.741</v>
      </c>
      <c r="K23" s="120">
        <v>4.2914955494844431</v>
      </c>
      <c r="L23" s="121">
        <v>8.1333215827972154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1168.741</v>
      </c>
      <c r="S23" s="62">
        <f t="shared" si="3"/>
        <v>50.156467999999975</v>
      </c>
      <c r="T23" s="63">
        <f t="shared" si="4"/>
        <v>95.057463999999996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89">
        <v>2633.6</v>
      </c>
      <c r="AI23" s="66">
        <v>4.3600000000000003</v>
      </c>
      <c r="AJ23" s="84">
        <v>8.15</v>
      </c>
      <c r="AK23" s="62">
        <f t="shared" si="9"/>
        <v>114.82495999999999</v>
      </c>
      <c r="AL23" s="72">
        <f t="shared" si="10"/>
        <v>214.63839999999999</v>
      </c>
      <c r="AM23" s="73">
        <f t="shared" si="15"/>
        <v>4.1000000000167347E-2</v>
      </c>
      <c r="AN23" s="74">
        <f t="shared" si="19"/>
        <v>0.22657799999998929</v>
      </c>
      <c r="AO23" s="74">
        <f t="shared" si="19"/>
        <v>0.24788399999999911</v>
      </c>
      <c r="AP23" s="75">
        <f t="shared" si="16"/>
        <v>3.2673311263273861E-3</v>
      </c>
      <c r="AQ23" s="76">
        <f t="shared" si="12"/>
        <v>183.11715451397725</v>
      </c>
      <c r="AR23" s="77">
        <f t="shared" si="17"/>
        <v>4.1000000000167347E-2</v>
      </c>
      <c r="AU23" s="83"/>
      <c r="AW23">
        <f>AS23*AU23%</f>
        <v>0</v>
      </c>
    </row>
    <row r="24" spans="1:49" x14ac:dyDescent="0.25">
      <c r="A24" t="str">
        <f t="shared" si="14"/>
        <v>46214M</v>
      </c>
      <c r="B24" s="51">
        <f t="shared" si="18"/>
        <v>46214</v>
      </c>
      <c r="C24" s="52" t="s">
        <v>87</v>
      </c>
      <c r="D24" s="91">
        <v>2633.6</v>
      </c>
      <c r="E24" s="62">
        <v>4.3600000000000003</v>
      </c>
      <c r="F24" s="62">
        <v>8.15</v>
      </c>
      <c r="G24" s="62">
        <f t="shared" si="0"/>
        <v>114.82495999999999</v>
      </c>
      <c r="H24" s="63">
        <f t="shared" si="1"/>
        <v>214.63839999999999</v>
      </c>
      <c r="I24" s="118">
        <v>1381.7</v>
      </c>
      <c r="J24" s="119">
        <v>1423.1510000000001</v>
      </c>
      <c r="K24" s="120">
        <v>4.5689078671202132</v>
      </c>
      <c r="L24" s="121">
        <v>8.3173409567923589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1423.1510000000001</v>
      </c>
      <c r="S24" s="62">
        <f t="shared" si="3"/>
        <v>65.022457999999986</v>
      </c>
      <c r="T24" s="63">
        <f t="shared" si="4"/>
        <v>118.36832100000002</v>
      </c>
      <c r="U24" s="64" t="s">
        <v>192</v>
      </c>
      <c r="V24" s="65" t="s">
        <v>434</v>
      </c>
      <c r="W24" s="66" t="s">
        <v>435</v>
      </c>
      <c r="X24" s="67">
        <v>3935</v>
      </c>
      <c r="Y24" s="68">
        <v>4.6500000000000004</v>
      </c>
      <c r="Z24" s="68">
        <v>8.34</v>
      </c>
      <c r="AA24" s="62">
        <f t="shared" si="5"/>
        <v>182.97750000000002</v>
      </c>
      <c r="AB24" s="63">
        <f t="shared" si="6"/>
        <v>328.17900000000003</v>
      </c>
      <c r="AC24" s="69">
        <v>3930</v>
      </c>
      <c r="AD24" s="70">
        <v>4.5999999999999996</v>
      </c>
      <c r="AE24" s="70">
        <v>8.1999999999999993</v>
      </c>
      <c r="AF24" s="62">
        <f t="shared" si="7"/>
        <v>180.78</v>
      </c>
      <c r="AG24" s="63">
        <f t="shared" si="8"/>
        <v>322.25999999999993</v>
      </c>
      <c r="AH24" s="89">
        <v>121.7</v>
      </c>
      <c r="AI24" s="66">
        <v>4.43</v>
      </c>
      <c r="AJ24" s="66">
        <v>8.1999999999999993</v>
      </c>
      <c r="AK24" s="62">
        <f t="shared" si="9"/>
        <v>5.3913099999999998</v>
      </c>
      <c r="AL24" s="72">
        <f t="shared" si="10"/>
        <v>9.9793999999999983</v>
      </c>
      <c r="AM24" s="73">
        <f t="shared" si="15"/>
        <v>5.0510000000002009</v>
      </c>
      <c r="AN24" s="74">
        <f t="shared" si="19"/>
        <v>-6.3238920000000247</v>
      </c>
      <c r="AO24" s="74">
        <f t="shared" si="19"/>
        <v>0.76732100000009495</v>
      </c>
      <c r="AP24" s="75">
        <f t="shared" si="16"/>
        <v>-3.0299075178692216E-2</v>
      </c>
      <c r="AQ24" s="76">
        <f t="shared" si="12"/>
        <v>-2809.0301176644257</v>
      </c>
      <c r="AR24" s="77">
        <f t="shared" si="17"/>
        <v>5.1000000000385626E-2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4"/>
        <v>46214E</v>
      </c>
      <c r="B25" s="51">
        <f t="shared" si="18"/>
        <v>46214</v>
      </c>
      <c r="C25" s="52" t="s">
        <v>88</v>
      </c>
      <c r="D25" s="91">
        <v>121.7</v>
      </c>
      <c r="E25" s="62">
        <v>4.43</v>
      </c>
      <c r="F25" s="62">
        <v>8.1999999999999993</v>
      </c>
      <c r="G25" s="62">
        <f t="shared" si="0"/>
        <v>5.3913099999999998</v>
      </c>
      <c r="H25" s="63">
        <f t="shared" si="1"/>
        <v>9.9793999999999983</v>
      </c>
      <c r="I25" s="118">
        <v>1181.7</v>
      </c>
      <c r="J25" s="119">
        <v>1217.1510000000001</v>
      </c>
      <c r="K25" s="120">
        <v>4.4816958618938818</v>
      </c>
      <c r="L25" s="121">
        <v>8.3409748667174384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1217.1510000000001</v>
      </c>
      <c r="S25" s="62">
        <f t="shared" si="3"/>
        <v>54.549006000000006</v>
      </c>
      <c r="T25" s="63">
        <f t="shared" si="4"/>
        <v>101.52225899999996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89">
        <v>1338.8</v>
      </c>
      <c r="AI25" s="66">
        <v>4.47</v>
      </c>
      <c r="AJ25" s="66">
        <v>8.32</v>
      </c>
      <c r="AK25" s="62">
        <f t="shared" si="9"/>
        <v>59.844359999999995</v>
      </c>
      <c r="AL25" s="72">
        <f t="shared" si="10"/>
        <v>111.38815999999998</v>
      </c>
      <c r="AM25" s="73">
        <f t="shared" si="15"/>
        <v>5.1000000000158252E-2</v>
      </c>
      <c r="AN25" s="74">
        <f t="shared" si="19"/>
        <v>9.5956000000008146E-2</v>
      </c>
      <c r="AO25" s="74">
        <f t="shared" si="19"/>
        <v>0.11349899999997604</v>
      </c>
      <c r="AP25" s="75">
        <f t="shared" si="16"/>
        <v>1.3420471731294304E-3</v>
      </c>
      <c r="AQ25" s="76">
        <f t="shared" si="12"/>
        <v>80.101921098715181</v>
      </c>
      <c r="AR25" s="77">
        <f t="shared" si="17"/>
        <v>5.1000000000158252E-2</v>
      </c>
    </row>
    <row r="26" spans="1:49" x14ac:dyDescent="0.25">
      <c r="A26" t="str">
        <f t="shared" si="14"/>
        <v>46215M</v>
      </c>
      <c r="B26" s="51">
        <f t="shared" si="18"/>
        <v>46215</v>
      </c>
      <c r="C26" s="52" t="s">
        <v>87</v>
      </c>
      <c r="D26" s="91">
        <v>1338.8</v>
      </c>
      <c r="E26" s="62">
        <v>4.47</v>
      </c>
      <c r="F26" s="62">
        <v>8.32</v>
      </c>
      <c r="G26" s="62">
        <f t="shared" si="0"/>
        <v>59.844359999999995</v>
      </c>
      <c r="H26" s="63">
        <f t="shared" si="1"/>
        <v>111.38815999999998</v>
      </c>
      <c r="I26" s="118">
        <v>1508.6000000000004</v>
      </c>
      <c r="J26" s="119">
        <v>1553.8580000000004</v>
      </c>
      <c r="K26" s="120">
        <v>4.3798422378364066</v>
      </c>
      <c r="L26" s="121">
        <v>8.2671947500994296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1553.8580000000004</v>
      </c>
      <c r="S26" s="62">
        <f t="shared" si="3"/>
        <v>68.056529000000054</v>
      </c>
      <c r="T26" s="63">
        <f t="shared" si="4"/>
        <v>128.46046700000002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89">
        <v>2892.6</v>
      </c>
      <c r="AI26" s="66">
        <v>4.42</v>
      </c>
      <c r="AJ26" s="66">
        <v>8.2899999999999991</v>
      </c>
      <c r="AK26" s="62">
        <f t="shared" si="9"/>
        <v>127.85291999999998</v>
      </c>
      <c r="AL26" s="72">
        <f t="shared" si="10"/>
        <v>239.79653999999996</v>
      </c>
      <c r="AM26" s="73">
        <f t="shared" si="15"/>
        <v>5.8000000000447471E-2</v>
      </c>
      <c r="AN26" s="74">
        <f t="shared" si="19"/>
        <v>4.7969000000065876E-2</v>
      </c>
      <c r="AO26" s="74">
        <f t="shared" si="19"/>
        <v>5.208700000005706E-2</v>
      </c>
      <c r="AP26" s="75">
        <f t="shared" si="16"/>
        <v>5.0914680173577915E-4</v>
      </c>
      <c r="AQ26" s="76">
        <f t="shared" si="12"/>
        <v>38.65025851444787</v>
      </c>
      <c r="AR26" s="77">
        <f t="shared" si="17"/>
        <v>5.8000000000447471E-2</v>
      </c>
    </row>
    <row r="27" spans="1:49" x14ac:dyDescent="0.25">
      <c r="A27" t="str">
        <f t="shared" si="14"/>
        <v>46215E</v>
      </c>
      <c r="B27" s="51">
        <f t="shared" si="18"/>
        <v>46215</v>
      </c>
      <c r="C27" s="52" t="s">
        <v>88</v>
      </c>
      <c r="D27" s="91">
        <v>2892.6</v>
      </c>
      <c r="E27" s="62">
        <v>4.42</v>
      </c>
      <c r="F27" s="62">
        <v>8.2899999999999991</v>
      </c>
      <c r="G27" s="62">
        <f t="shared" si="0"/>
        <v>127.85291999999998</v>
      </c>
      <c r="H27" s="63">
        <f t="shared" si="1"/>
        <v>239.79653999999996</v>
      </c>
      <c r="I27" s="118">
        <v>1397.9999999999998</v>
      </c>
      <c r="J27" s="119">
        <v>1439.9399999999998</v>
      </c>
      <c r="K27" s="120">
        <v>4.2908011444921303</v>
      </c>
      <c r="L27" s="121">
        <v>8.3138626609442028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1439.9399999999998</v>
      </c>
      <c r="S27" s="62">
        <f t="shared" si="3"/>
        <v>61.784961999999972</v>
      </c>
      <c r="T27" s="63">
        <f t="shared" si="4"/>
        <v>119.71463399999995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89">
        <v>4332.5</v>
      </c>
      <c r="AI27" s="66">
        <v>4.41</v>
      </c>
      <c r="AJ27" s="66">
        <v>8.31</v>
      </c>
      <c r="AK27" s="62">
        <f t="shared" si="9"/>
        <v>191.06325000000001</v>
      </c>
      <c r="AL27" s="72">
        <f t="shared" si="10"/>
        <v>360.03075000000001</v>
      </c>
      <c r="AM27" s="73">
        <f t="shared" si="15"/>
        <v>3.999999999996362E-2</v>
      </c>
      <c r="AN27" s="74">
        <f t="shared" si="19"/>
        <v>-1.4253680000000486</v>
      </c>
      <c r="AO27" s="74">
        <f t="shared" si="19"/>
        <v>-0.51957600000008597</v>
      </c>
      <c r="AP27" s="75">
        <f t="shared" si="16"/>
        <v>-1.0715968756206683E-2</v>
      </c>
      <c r="AQ27" s="76">
        <f t="shared" si="12"/>
        <v>-840.54410110260096</v>
      </c>
      <c r="AR27" s="77">
        <f t="shared" si="17"/>
        <v>3.999999999996362E-2</v>
      </c>
    </row>
    <row r="28" spans="1:49" x14ac:dyDescent="0.25">
      <c r="A28" t="str">
        <f t="shared" si="14"/>
        <v>46216M</v>
      </c>
      <c r="B28" s="51">
        <f t="shared" si="18"/>
        <v>46216</v>
      </c>
      <c r="C28" s="52" t="s">
        <v>87</v>
      </c>
      <c r="D28" s="91">
        <v>4332.5</v>
      </c>
      <c r="E28" s="62">
        <v>4.41</v>
      </c>
      <c r="F28" s="62">
        <v>8.31</v>
      </c>
      <c r="G28" s="62">
        <f t="shared" si="0"/>
        <v>191.06325000000001</v>
      </c>
      <c r="H28" s="63">
        <f t="shared" si="1"/>
        <v>360.03075000000001</v>
      </c>
      <c r="I28" s="118">
        <v>1460.5</v>
      </c>
      <c r="J28" s="119">
        <v>1504.3150000000001</v>
      </c>
      <c r="K28" s="120">
        <v>4.5909209174940093</v>
      </c>
      <c r="L28" s="121">
        <v>8.3100445053064043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1504.3150000000001</v>
      </c>
      <c r="S28" s="62">
        <f t="shared" si="3"/>
        <v>69.061912000000021</v>
      </c>
      <c r="T28" s="63">
        <f t="shared" si="4"/>
        <v>125.00924600000005</v>
      </c>
      <c r="U28" s="64" t="s">
        <v>170</v>
      </c>
      <c r="V28" s="65" t="s">
        <v>489</v>
      </c>
      <c r="W28" s="66" t="s">
        <v>272</v>
      </c>
      <c r="X28" s="67">
        <v>3100</v>
      </c>
      <c r="Y28" s="68">
        <v>4.5999999999999996</v>
      </c>
      <c r="Z28" s="68">
        <v>8.58</v>
      </c>
      <c r="AA28" s="62">
        <f t="shared" si="5"/>
        <v>142.6</v>
      </c>
      <c r="AB28" s="63">
        <f t="shared" si="6"/>
        <v>265.98</v>
      </c>
      <c r="AC28" s="69">
        <v>3100</v>
      </c>
      <c r="AD28" s="70">
        <v>4.55</v>
      </c>
      <c r="AE28" s="70">
        <v>8.4499999999999993</v>
      </c>
      <c r="AF28" s="62">
        <f t="shared" si="7"/>
        <v>141.04999999999998</v>
      </c>
      <c r="AG28" s="63">
        <f t="shared" si="8"/>
        <v>261.95</v>
      </c>
      <c r="AH28" s="89">
        <v>2736.8</v>
      </c>
      <c r="AI28" s="66">
        <v>4.45</v>
      </c>
      <c r="AJ28" s="66">
        <v>8.31</v>
      </c>
      <c r="AK28" s="62">
        <f t="shared" si="9"/>
        <v>121.78760000000003</v>
      </c>
      <c r="AL28" s="72">
        <f t="shared" si="10"/>
        <v>227.42808000000002</v>
      </c>
      <c r="AM28" s="73">
        <f t="shared" si="15"/>
        <v>1.5000000000327418E-2</v>
      </c>
      <c r="AN28" s="74">
        <f t="shared" si="19"/>
        <v>-2.7124379999999633</v>
      </c>
      <c r="AO28" s="74">
        <f t="shared" si="19"/>
        <v>-4.3380839999999239</v>
      </c>
      <c r="AP28" s="75">
        <f t="shared" si="16"/>
        <v>-3.6329571445128821E-2</v>
      </c>
      <c r="AQ28" s="76">
        <f t="shared" si="12"/>
        <v>-2602.6322773209322</v>
      </c>
      <c r="AR28" s="77">
        <f t="shared" si="17"/>
        <v>1.5000000000327418E-2</v>
      </c>
    </row>
    <row r="29" spans="1:49" x14ac:dyDescent="0.25">
      <c r="A29" t="str">
        <f t="shared" si="14"/>
        <v>46216E</v>
      </c>
      <c r="B29" s="51">
        <f t="shared" si="18"/>
        <v>46216</v>
      </c>
      <c r="C29" s="52" t="s">
        <v>88</v>
      </c>
      <c r="D29" s="91">
        <v>2736.8</v>
      </c>
      <c r="E29" s="62">
        <v>4.45</v>
      </c>
      <c r="F29" s="62">
        <v>8.31</v>
      </c>
      <c r="G29" s="62">
        <f t="shared" si="0"/>
        <v>121.78760000000003</v>
      </c>
      <c r="H29" s="63">
        <f t="shared" si="1"/>
        <v>227.42808000000002</v>
      </c>
      <c r="I29" s="118">
        <v>1346.8</v>
      </c>
      <c r="J29" s="119">
        <v>1387.204</v>
      </c>
      <c r="K29" s="120">
        <v>4.3327071577071568</v>
      </c>
      <c r="L29" s="121">
        <v>8.2563483813483796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1387.204</v>
      </c>
      <c r="S29" s="62">
        <f t="shared" si="3"/>
        <v>60.10348699999998</v>
      </c>
      <c r="T29" s="63">
        <f t="shared" si="4"/>
        <v>114.53239499999998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>
        <v>4124</v>
      </c>
      <c r="AI29" s="66">
        <v>4.4000000000000004</v>
      </c>
      <c r="AJ29" s="66">
        <v>8.2899999999999991</v>
      </c>
      <c r="AK29" s="62">
        <f t="shared" si="9"/>
        <v>181.45600000000002</v>
      </c>
      <c r="AL29" s="72">
        <f t="shared" si="10"/>
        <v>341.87959999999993</v>
      </c>
      <c r="AM29" s="73">
        <f t="shared" si="15"/>
        <v>3.9999999999054126E-3</v>
      </c>
      <c r="AN29" s="74">
        <f t="shared" si="19"/>
        <v>0.43508699999998157</v>
      </c>
      <c r="AO29" s="74">
        <f t="shared" si="19"/>
        <v>8.0875000000048658E-2</v>
      </c>
      <c r="AP29" s="75">
        <f t="shared" si="16"/>
        <v>2.9545016413066267E-3</v>
      </c>
      <c r="AQ29" s="76">
        <f t="shared" si="12"/>
        <v>233.29480653611992</v>
      </c>
      <c r="AR29" s="77">
        <f t="shared" si="17"/>
        <v>3.9999999999054126E-3</v>
      </c>
    </row>
    <row r="30" spans="1:49" x14ac:dyDescent="0.25">
      <c r="A30" t="str">
        <f t="shared" si="14"/>
        <v>46217M</v>
      </c>
      <c r="B30" s="51">
        <f t="shared" si="18"/>
        <v>46217</v>
      </c>
      <c r="C30" s="52" t="s">
        <v>87</v>
      </c>
      <c r="D30" s="91">
        <v>4124</v>
      </c>
      <c r="E30" s="62">
        <v>4.4000000000000004</v>
      </c>
      <c r="F30" s="62">
        <v>8.2899999999999991</v>
      </c>
      <c r="G30" s="62">
        <f t="shared" si="0"/>
        <v>181.45600000000002</v>
      </c>
      <c r="H30" s="63">
        <f t="shared" si="1"/>
        <v>341.87959999999993</v>
      </c>
      <c r="I30" s="118">
        <v>1591.5</v>
      </c>
      <c r="J30" s="119">
        <v>1639.2450000000001</v>
      </c>
      <c r="K30" s="120">
        <v>4.5717310713163686</v>
      </c>
      <c r="L30" s="121">
        <v>8.2891234684260127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1639.2450000000001</v>
      </c>
      <c r="S30" s="62">
        <f t="shared" si="3"/>
        <v>74.941873000000015</v>
      </c>
      <c r="T30" s="63">
        <f t="shared" si="4"/>
        <v>135.879042</v>
      </c>
      <c r="U30" s="64" t="s">
        <v>192</v>
      </c>
      <c r="V30" s="65" t="s">
        <v>539</v>
      </c>
      <c r="W30" s="66" t="s">
        <v>181</v>
      </c>
      <c r="X30" s="67">
        <v>3320</v>
      </c>
      <c r="Y30" s="68">
        <v>4.4400000000000004</v>
      </c>
      <c r="Z30" s="68">
        <v>8.2899999999999991</v>
      </c>
      <c r="AA30" s="62">
        <f t="shared" si="5"/>
        <v>147.40800000000002</v>
      </c>
      <c r="AB30" s="63">
        <f t="shared" si="6"/>
        <v>275.22799999999995</v>
      </c>
      <c r="AC30" s="69">
        <v>3350</v>
      </c>
      <c r="AD30" s="70">
        <v>4.6059701492537322</v>
      </c>
      <c r="AE30" s="70">
        <v>8.0811940298507459</v>
      </c>
      <c r="AF30" s="62">
        <f t="shared" si="7"/>
        <v>154.30000000000004</v>
      </c>
      <c r="AG30" s="63">
        <f t="shared" si="8"/>
        <v>270.71999999999997</v>
      </c>
      <c r="AH30" s="89">
        <v>2443.1999999999998</v>
      </c>
      <c r="AI30" s="66">
        <v>4.4400000000000004</v>
      </c>
      <c r="AJ30" s="66">
        <v>8.2899999999999991</v>
      </c>
      <c r="AK30" s="62">
        <f t="shared" si="9"/>
        <v>108.47807999999999</v>
      </c>
      <c r="AL30" s="72">
        <f t="shared" si="10"/>
        <v>202.54127999999994</v>
      </c>
      <c r="AM30" s="73">
        <f t="shared" si="15"/>
        <v>-29.954999999999927</v>
      </c>
      <c r="AN30" s="74">
        <f t="shared" si="19"/>
        <v>-6.3802070000000271</v>
      </c>
      <c r="AO30" s="74">
        <f t="shared" si="19"/>
        <v>4.4973619999999812</v>
      </c>
      <c r="AP30" s="75">
        <f t="shared" si="16"/>
        <v>-8.9310161660196077E-3</v>
      </c>
      <c r="AQ30" s="76">
        <f t="shared" si="12"/>
        <v>-1718.9772352476114</v>
      </c>
      <c r="AR30" s="77">
        <f t="shared" si="17"/>
        <v>4.500000000007276E-2</v>
      </c>
    </row>
    <row r="31" spans="1:49" x14ac:dyDescent="0.25">
      <c r="A31" t="str">
        <f t="shared" si="14"/>
        <v>46217E</v>
      </c>
      <c r="B31" s="51">
        <f t="shared" si="18"/>
        <v>46217</v>
      </c>
      <c r="C31" s="52" t="s">
        <v>88</v>
      </c>
      <c r="D31" s="91">
        <v>2443.1999999999998</v>
      </c>
      <c r="E31" s="62">
        <v>4.4400000000000004</v>
      </c>
      <c r="F31" s="62">
        <v>8.2899999999999991</v>
      </c>
      <c r="G31" s="62">
        <f t="shared" si="0"/>
        <v>108.47807999999999</v>
      </c>
      <c r="H31" s="63">
        <f t="shared" si="1"/>
        <v>202.54127999999994</v>
      </c>
      <c r="I31" s="118">
        <v>1256.8000000000002</v>
      </c>
      <c r="J31" s="119">
        <v>1294.5040000000001</v>
      </c>
      <c r="K31" s="120">
        <v>4.3726368555060464</v>
      </c>
      <c r="L31" s="121">
        <v>8.3248965626989158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1294.5040000000001</v>
      </c>
      <c r="S31" s="62">
        <f t="shared" si="3"/>
        <v>56.603958999999996</v>
      </c>
      <c r="T31" s="63">
        <f t="shared" si="4"/>
        <v>107.76611899999999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3737.1</v>
      </c>
      <c r="AI31" s="66">
        <v>4.41</v>
      </c>
      <c r="AJ31" s="66">
        <v>8.3000000000000007</v>
      </c>
      <c r="AK31" s="62">
        <f t="shared" si="9"/>
        <v>164.80610999999999</v>
      </c>
      <c r="AL31" s="72">
        <f t="shared" si="10"/>
        <v>310.17930000000001</v>
      </c>
      <c r="AM31" s="73">
        <f t="shared" si="15"/>
        <v>0.60399999999981446</v>
      </c>
      <c r="AN31" s="74">
        <f t="shared" si="19"/>
        <v>0.27592899999999076</v>
      </c>
      <c r="AO31" s="74">
        <f t="shared" si="19"/>
        <v>0.12809899999990648</v>
      </c>
      <c r="AP31" s="75">
        <f t="shared" si="16"/>
        <v>2.4580386218463514E-3</v>
      </c>
      <c r="AQ31" s="76">
        <f t="shared" si="12"/>
        <v>170.95737509988746</v>
      </c>
      <c r="AR31" s="77">
        <f t="shared" si="17"/>
        <v>0.60399999999981446</v>
      </c>
    </row>
    <row r="32" spans="1:49" x14ac:dyDescent="0.25">
      <c r="A32" t="str">
        <f t="shared" si="14"/>
        <v>46218M</v>
      </c>
      <c r="B32" s="51">
        <f t="shared" si="18"/>
        <v>46218</v>
      </c>
      <c r="C32" s="52" t="s">
        <v>87</v>
      </c>
      <c r="D32" s="91">
        <v>3737.1</v>
      </c>
      <c r="E32" s="62">
        <v>4.41</v>
      </c>
      <c r="F32" s="62">
        <v>8.3000000000000007</v>
      </c>
      <c r="G32" s="62">
        <f t="shared" si="0"/>
        <v>164.80610999999999</v>
      </c>
      <c r="H32" s="63">
        <f t="shared" si="1"/>
        <v>310.17930000000001</v>
      </c>
      <c r="I32" s="118">
        <v>1618.8999999999996</v>
      </c>
      <c r="J32" s="119">
        <v>1667.4669999999996</v>
      </c>
      <c r="K32" s="120">
        <v>4.4202792019272339</v>
      </c>
      <c r="L32" s="121">
        <v>8.2705417258632394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1667.4669999999996</v>
      </c>
      <c r="S32" s="62">
        <f t="shared" si="3"/>
        <v>73.706696999999977</v>
      </c>
      <c r="T32" s="63">
        <f t="shared" si="4"/>
        <v>137.90855399999995</v>
      </c>
      <c r="U32" s="64" t="s">
        <v>192</v>
      </c>
      <c r="V32" s="65" t="s">
        <v>540</v>
      </c>
      <c r="W32" s="66" t="s">
        <v>541</v>
      </c>
      <c r="X32" s="67">
        <v>5500</v>
      </c>
      <c r="Y32" s="68">
        <v>4.5999999999999996</v>
      </c>
      <c r="Z32" s="68">
        <v>8.33</v>
      </c>
      <c r="AA32" s="62">
        <f t="shared" si="5"/>
        <v>253</v>
      </c>
      <c r="AB32" s="63">
        <f t="shared" si="6"/>
        <v>458.15</v>
      </c>
      <c r="AC32" s="69">
        <v>5460</v>
      </c>
      <c r="AD32" s="70">
        <v>4.55</v>
      </c>
      <c r="AE32" s="70">
        <v>8.19</v>
      </c>
      <c r="AF32" s="62">
        <f t="shared" si="7"/>
        <v>248.43</v>
      </c>
      <c r="AG32" s="63">
        <f t="shared" si="8"/>
        <v>447.17399999999998</v>
      </c>
      <c r="AH32" s="89">
        <v>0</v>
      </c>
      <c r="AI32" s="66">
        <v>0</v>
      </c>
      <c r="AJ32" s="66">
        <v>0</v>
      </c>
      <c r="AK32" s="62">
        <f t="shared" si="9"/>
        <v>0</v>
      </c>
      <c r="AL32" s="72">
        <f t="shared" si="10"/>
        <v>0</v>
      </c>
      <c r="AM32" s="73">
        <f t="shared" si="15"/>
        <v>-55.433000000000902</v>
      </c>
      <c r="AN32" s="74">
        <f t="shared" si="19"/>
        <v>-9.9171930000000543</v>
      </c>
      <c r="AO32" s="74">
        <f t="shared" si="19"/>
        <v>0.91385400000001482</v>
      </c>
      <c r="AP32" s="75">
        <f t="shared" si="16"/>
        <v>-4.2545794584531345E-2</v>
      </c>
      <c r="AQ32" s="76">
        <f t="shared" si="12"/>
        <v>-4491.8428682799322</v>
      </c>
      <c r="AR32" s="77">
        <f t="shared" si="17"/>
        <v>-95.433000000000902</v>
      </c>
    </row>
    <row r="33" spans="1:44" x14ac:dyDescent="0.25">
      <c r="A33" t="str">
        <f t="shared" si="14"/>
        <v>46218E</v>
      </c>
      <c r="B33" s="51">
        <f t="shared" si="18"/>
        <v>46218</v>
      </c>
      <c r="C33" s="52" t="s">
        <v>88</v>
      </c>
      <c r="D33" s="91">
        <v>0</v>
      </c>
      <c r="E33" s="62">
        <v>0</v>
      </c>
      <c r="F33" s="62">
        <v>0</v>
      </c>
      <c r="G33" s="62">
        <f t="shared" si="0"/>
        <v>0</v>
      </c>
      <c r="H33" s="63">
        <f t="shared" si="1"/>
        <v>0</v>
      </c>
      <c r="I33" s="118">
        <v>1265.5999999999997</v>
      </c>
      <c r="J33" s="119">
        <v>1303.5679999999998</v>
      </c>
      <c r="K33" s="120">
        <v>4.1852402022756001</v>
      </c>
      <c r="L33" s="121">
        <v>8.2139617572692778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1303.5679999999998</v>
      </c>
      <c r="S33" s="62">
        <f t="shared" si="3"/>
        <v>54.557451999999984</v>
      </c>
      <c r="T33" s="63">
        <f t="shared" si="4"/>
        <v>107.07457699999996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>
        <v>1303.5</v>
      </c>
      <c r="AI33" s="66">
        <v>4.1900000000000004</v>
      </c>
      <c r="AJ33" s="66">
        <v>8.2200000000000006</v>
      </c>
      <c r="AK33" s="62">
        <f t="shared" si="9"/>
        <v>54.616650000000007</v>
      </c>
      <c r="AL33" s="72">
        <f t="shared" si="10"/>
        <v>107.14770000000001</v>
      </c>
      <c r="AM33" s="73">
        <f t="shared" si="15"/>
        <v>6.7999999999756255E-2</v>
      </c>
      <c r="AN33" s="74">
        <f t="shared" si="19"/>
        <v>-5.9198000000023399E-2</v>
      </c>
      <c r="AO33" s="74">
        <f t="shared" si="19"/>
        <v>-7.312300000005223E-2</v>
      </c>
      <c r="AP33" s="75">
        <f t="shared" si="16"/>
        <v>-8.1865581233330734E-4</v>
      </c>
      <c r="AQ33" s="76">
        <f t="shared" si="12"/>
        <v>-50.346253205017298</v>
      </c>
      <c r="AR33" s="77">
        <f t="shared" si="17"/>
        <v>6.7999999999756255E-2</v>
      </c>
    </row>
    <row r="34" spans="1:44" x14ac:dyDescent="0.25">
      <c r="A34" t="str">
        <f t="shared" si="14"/>
        <v>46219M</v>
      </c>
      <c r="B34" s="51">
        <f t="shared" si="18"/>
        <v>46219</v>
      </c>
      <c r="C34" s="52" t="s">
        <v>87</v>
      </c>
      <c r="D34" s="91">
        <v>1303.5</v>
      </c>
      <c r="E34" s="62">
        <v>4.1900000000000004</v>
      </c>
      <c r="F34" s="62">
        <v>8.2200000000000006</v>
      </c>
      <c r="G34" s="62">
        <f t="shared" si="0"/>
        <v>54.616650000000007</v>
      </c>
      <c r="H34" s="63">
        <f t="shared" si="1"/>
        <v>107.14770000000001</v>
      </c>
      <c r="I34" s="118">
        <v>1547.1</v>
      </c>
      <c r="J34" s="119">
        <v>1593.5129999999999</v>
      </c>
      <c r="K34" s="120">
        <v>4.6624264753409612</v>
      </c>
      <c r="L34" s="121">
        <v>8.3092172451683801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1593.5129999999999</v>
      </c>
      <c r="S34" s="62">
        <f t="shared" si="3"/>
        <v>74.296372000000005</v>
      </c>
      <c r="T34" s="63">
        <f t="shared" si="4"/>
        <v>132.408457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ref="AA34:AA65" si="20">X34*Y34%</f>
        <v>0</v>
      </c>
      <c r="AB34" s="63">
        <f t="shared" ref="AB34:AB65" si="21">X34*Z34%</f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2897</v>
      </c>
      <c r="AI34" s="66">
        <v>4.45</v>
      </c>
      <c r="AJ34" s="66">
        <v>8.27</v>
      </c>
      <c r="AK34" s="62">
        <f t="shared" si="9"/>
        <v>128.91650000000001</v>
      </c>
      <c r="AL34" s="72">
        <f t="shared" si="10"/>
        <v>239.58189999999999</v>
      </c>
      <c r="AM34" s="73">
        <f t="shared" si="15"/>
        <v>1.2999999999919964E-2</v>
      </c>
      <c r="AN34" s="74">
        <f t="shared" si="19"/>
        <v>-3.4780000000012024E-3</v>
      </c>
      <c r="AO34" s="74">
        <f t="shared" si="19"/>
        <v>-2.5742999999977201E-2</v>
      </c>
      <c r="AP34" s="75">
        <f t="shared" si="16"/>
        <v>-1.413658313709662E-4</v>
      </c>
      <c r="AQ34" s="76">
        <f t="shared" si="12"/>
        <v>-9.3810915191203854</v>
      </c>
      <c r="AR34" s="77">
        <f t="shared" si="17"/>
        <v>1.2999999999919964E-2</v>
      </c>
    </row>
    <row r="35" spans="1:44" x14ac:dyDescent="0.25">
      <c r="A35" t="str">
        <f t="shared" si="14"/>
        <v>46219E</v>
      </c>
      <c r="B35" s="51">
        <f t="shared" si="18"/>
        <v>46219</v>
      </c>
      <c r="C35" s="52" t="s">
        <v>88</v>
      </c>
      <c r="D35" s="91">
        <v>2897</v>
      </c>
      <c r="E35" s="62">
        <v>4.45</v>
      </c>
      <c r="F35" s="62">
        <v>8.27</v>
      </c>
      <c r="G35" s="62">
        <f t="shared" si="0"/>
        <v>128.91650000000001</v>
      </c>
      <c r="H35" s="63">
        <f t="shared" si="1"/>
        <v>239.58189999999999</v>
      </c>
      <c r="I35" s="118">
        <v>1387.4000000000005</v>
      </c>
      <c r="J35" s="119">
        <v>1429.0220000000006</v>
      </c>
      <c r="K35" s="120">
        <v>4.3658642064292925</v>
      </c>
      <c r="L35" s="121">
        <v>8.2805175147758376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1429.0220000000006</v>
      </c>
      <c r="S35" s="62">
        <f t="shared" si="3"/>
        <v>62.389160000000025</v>
      </c>
      <c r="T35" s="63">
        <f t="shared" si="4"/>
        <v>118.33041700000001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20"/>
        <v>0</v>
      </c>
      <c r="AB35" s="63">
        <f t="shared" si="21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>
        <v>4326.1000000000004</v>
      </c>
      <c r="AI35" s="66">
        <v>4.42</v>
      </c>
      <c r="AJ35" s="66">
        <v>8.27</v>
      </c>
      <c r="AK35" s="62">
        <f t="shared" si="9"/>
        <v>191.21361999999999</v>
      </c>
      <c r="AL35" s="72">
        <f t="shared" si="10"/>
        <v>357.76847000000004</v>
      </c>
      <c r="AM35" s="73">
        <f t="shared" si="15"/>
        <v>-7.7999999999519787E-2</v>
      </c>
      <c r="AN35" s="74">
        <f t="shared" si="19"/>
        <v>9.2040000000054079E-2</v>
      </c>
      <c r="AO35" s="74">
        <f t="shared" si="19"/>
        <v>0.14384699999999384</v>
      </c>
      <c r="AP35" s="75">
        <f t="shared" si="16"/>
        <v>1.3052653393497476E-3</v>
      </c>
      <c r="AQ35" s="76">
        <f t="shared" si="12"/>
        <v>87.309111473534642</v>
      </c>
      <c r="AR35" s="77">
        <f t="shared" si="17"/>
        <v>-7.7999999999519787E-2</v>
      </c>
    </row>
    <row r="36" spans="1:44" x14ac:dyDescent="0.25">
      <c r="A36" t="str">
        <f t="shared" si="14"/>
        <v>46220M</v>
      </c>
      <c r="B36" s="51">
        <f t="shared" si="18"/>
        <v>46220</v>
      </c>
      <c r="C36" s="52" t="s">
        <v>87</v>
      </c>
      <c r="D36" s="91">
        <v>4326.1000000000004</v>
      </c>
      <c r="E36" s="62">
        <v>4.42</v>
      </c>
      <c r="F36" s="62">
        <v>8.27</v>
      </c>
      <c r="G36" s="62">
        <f t="shared" si="0"/>
        <v>191.21361999999999</v>
      </c>
      <c r="H36" s="63">
        <f t="shared" si="1"/>
        <v>357.76847000000004</v>
      </c>
      <c r="I36" s="118">
        <v>1494.4</v>
      </c>
      <c r="J36" s="119">
        <v>1539.2320000000002</v>
      </c>
      <c r="K36" s="120">
        <v>4.4746051927194861</v>
      </c>
      <c r="L36" s="121">
        <v>8.2736282119914364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1539.2320000000002</v>
      </c>
      <c r="S36" s="62">
        <f t="shared" si="3"/>
        <v>68.874555000000001</v>
      </c>
      <c r="T36" s="63">
        <f t="shared" si="4"/>
        <v>127.35033300000005</v>
      </c>
      <c r="U36" s="64" t="s">
        <v>170</v>
      </c>
      <c r="V36" s="85" t="s">
        <v>630</v>
      </c>
      <c r="W36" s="66" t="s">
        <v>181</v>
      </c>
      <c r="X36" s="67">
        <v>3100</v>
      </c>
      <c r="Y36" s="68">
        <v>4.7</v>
      </c>
      <c r="Z36" s="68">
        <v>8.5299999999999994</v>
      </c>
      <c r="AA36" s="62">
        <f t="shared" si="20"/>
        <v>145.69999999999999</v>
      </c>
      <c r="AB36" s="63">
        <f t="shared" si="21"/>
        <v>264.42999999999995</v>
      </c>
      <c r="AC36" s="69">
        <v>3130</v>
      </c>
      <c r="AD36" s="70">
        <v>4.6500000000000004</v>
      </c>
      <c r="AE36" s="70">
        <v>8.4600000000000009</v>
      </c>
      <c r="AF36" s="62">
        <f t="shared" si="7"/>
        <v>145.54500000000002</v>
      </c>
      <c r="AG36" s="63">
        <f t="shared" si="8"/>
        <v>264.798</v>
      </c>
      <c r="AH36" s="89">
        <v>2765.3</v>
      </c>
      <c r="AI36" s="66">
        <v>4.4400000000000004</v>
      </c>
      <c r="AJ36" s="66">
        <v>8.27</v>
      </c>
      <c r="AK36" s="62">
        <f t="shared" si="9"/>
        <v>122.77932000000001</v>
      </c>
      <c r="AL36" s="72">
        <f t="shared" si="10"/>
        <v>228.69031000000001</v>
      </c>
      <c r="AM36" s="73">
        <f t="shared" si="15"/>
        <v>-29.967999999999847</v>
      </c>
      <c r="AN36" s="74">
        <f t="shared" si="19"/>
        <v>-8.2361450000000502</v>
      </c>
      <c r="AO36" s="74">
        <f t="shared" si="19"/>
        <v>-8.3695069999999419</v>
      </c>
      <c r="AP36" s="75">
        <f t="shared" si="16"/>
        <v>-8.4625615890273759E-2</v>
      </c>
      <c r="AQ36" s="76">
        <f t="shared" si="12"/>
        <v>-6464.3285664523682</v>
      </c>
      <c r="AR36" s="77">
        <f t="shared" si="17"/>
        <v>3.2000000000152795E-2</v>
      </c>
    </row>
    <row r="37" spans="1:44" x14ac:dyDescent="0.25">
      <c r="A37" t="str">
        <f t="shared" si="14"/>
        <v>46220E</v>
      </c>
      <c r="B37" s="51">
        <f t="shared" si="18"/>
        <v>46220</v>
      </c>
      <c r="C37" s="52" t="s">
        <v>88</v>
      </c>
      <c r="D37" s="91">
        <v>2765.3</v>
      </c>
      <c r="E37" s="62">
        <v>4.4400000000000004</v>
      </c>
      <c r="F37" s="62">
        <v>8.27</v>
      </c>
      <c r="G37" s="62">
        <f t="shared" si="0"/>
        <v>122.77932000000001</v>
      </c>
      <c r="H37" s="63">
        <f t="shared" si="1"/>
        <v>228.69031000000001</v>
      </c>
      <c r="I37" s="118">
        <v>1432.9999999999998</v>
      </c>
      <c r="J37" s="119">
        <v>1475.9899999999998</v>
      </c>
      <c r="K37" s="120">
        <v>4.2804396371249132</v>
      </c>
      <c r="L37" s="121">
        <v>8.2390160502442455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1475.9899999999998</v>
      </c>
      <c r="S37" s="62">
        <f t="shared" si="3"/>
        <v>63.178860999999998</v>
      </c>
      <c r="T37" s="63">
        <f t="shared" si="4"/>
        <v>121.60705300000002</v>
      </c>
      <c r="U37" s="64" t="s">
        <v>180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0"/>
        <v>0</v>
      </c>
      <c r="AB37" s="63">
        <f t="shared" si="21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4241.2</v>
      </c>
      <c r="AI37" s="66">
        <v>4.38</v>
      </c>
      <c r="AJ37" s="66">
        <v>8.25</v>
      </c>
      <c r="AK37" s="62">
        <f t="shared" si="9"/>
        <v>185.76455999999999</v>
      </c>
      <c r="AL37" s="72">
        <f t="shared" si="10"/>
        <v>349.899</v>
      </c>
      <c r="AM37" s="73">
        <f t="shared" si="15"/>
        <v>9.0000000000145519E-2</v>
      </c>
      <c r="AN37" s="74">
        <f t="shared" si="19"/>
        <v>0.19362100000003579</v>
      </c>
      <c r="AO37" s="74">
        <f t="shared" si="19"/>
        <v>0.39836300000001756</v>
      </c>
      <c r="AP37" s="75">
        <f t="shared" si="16"/>
        <v>3.2036208127858342E-3</v>
      </c>
      <c r="AQ37" s="76">
        <f t="shared" si="12"/>
        <v>212.34736424049601</v>
      </c>
      <c r="AR37" s="77">
        <f t="shared" si="17"/>
        <v>9.0000000000145519E-2</v>
      </c>
    </row>
    <row r="38" spans="1:44" x14ac:dyDescent="0.25">
      <c r="A38" t="str">
        <f t="shared" si="14"/>
        <v>46221M</v>
      </c>
      <c r="B38" s="51">
        <f t="shared" si="18"/>
        <v>46221</v>
      </c>
      <c r="C38" s="52" t="s">
        <v>87</v>
      </c>
      <c r="D38" s="91">
        <v>4241.2</v>
      </c>
      <c r="E38" s="62">
        <v>4.38</v>
      </c>
      <c r="F38" s="62">
        <v>8.25</v>
      </c>
      <c r="G38" s="62">
        <f t="shared" si="0"/>
        <v>185.76455999999999</v>
      </c>
      <c r="H38" s="63">
        <f t="shared" si="1"/>
        <v>349.899</v>
      </c>
      <c r="I38" s="118">
        <v>1676.2999999999997</v>
      </c>
      <c r="J38" s="119">
        <v>1726.5889999999997</v>
      </c>
      <c r="K38" s="120">
        <v>4.5948457913261329</v>
      </c>
      <c r="L38" s="121">
        <v>8.2315456660502253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1726.5889999999997</v>
      </c>
      <c r="S38" s="62">
        <f t="shared" si="3"/>
        <v>79.334101999999945</v>
      </c>
      <c r="T38" s="63">
        <f t="shared" si="4"/>
        <v>142.12496199999993</v>
      </c>
      <c r="U38" s="64" t="s">
        <v>195</v>
      </c>
      <c r="V38" s="65" t="s">
        <v>631</v>
      </c>
      <c r="W38" s="66" t="s">
        <v>181</v>
      </c>
      <c r="X38" s="67">
        <v>4800</v>
      </c>
      <c r="Y38" s="68">
        <v>4.7</v>
      </c>
      <c r="Z38" s="68">
        <v>8.6</v>
      </c>
      <c r="AA38" s="62">
        <f t="shared" si="20"/>
        <v>225.6</v>
      </c>
      <c r="AB38" s="63">
        <f t="shared" si="21"/>
        <v>412.79999999999995</v>
      </c>
      <c r="AC38" s="69">
        <v>4820</v>
      </c>
      <c r="AD38" s="70">
        <v>4.6500000000000004</v>
      </c>
      <c r="AE38" s="70">
        <v>8.4</v>
      </c>
      <c r="AF38" s="62">
        <f t="shared" si="7"/>
        <v>224.13000000000002</v>
      </c>
      <c r="AG38" s="63">
        <f t="shared" si="8"/>
        <v>404.88000000000005</v>
      </c>
      <c r="AH38" s="89">
        <v>1167.7</v>
      </c>
      <c r="AI38" s="66">
        <v>4.4400000000000004</v>
      </c>
      <c r="AJ38" s="66">
        <v>8.24</v>
      </c>
      <c r="AK38" s="62">
        <f t="shared" si="9"/>
        <v>51.845880000000001</v>
      </c>
      <c r="AL38" s="72">
        <f t="shared" si="10"/>
        <v>96.21848</v>
      </c>
      <c r="AM38" s="73">
        <f t="shared" si="15"/>
        <v>-19.911000000000286</v>
      </c>
      <c r="AN38" s="74">
        <f t="shared" si="19"/>
        <v>-10.877218000000092</v>
      </c>
      <c r="AO38" s="74">
        <f t="shared" si="19"/>
        <v>-9.0745180000001255</v>
      </c>
      <c r="AP38" s="75">
        <f t="shared" si="16"/>
        <v>-9.0092207740931435E-2</v>
      </c>
      <c r="AQ38" s="76">
        <f t="shared" si="12"/>
        <v>-7944.5946185702487</v>
      </c>
      <c r="AR38" s="77">
        <f t="shared" si="17"/>
        <v>8.8999999999941792E-2</v>
      </c>
    </row>
    <row r="39" spans="1:44" x14ac:dyDescent="0.25">
      <c r="A39" t="str">
        <f t="shared" si="14"/>
        <v>46221E</v>
      </c>
      <c r="B39" s="51">
        <f t="shared" si="18"/>
        <v>46221</v>
      </c>
      <c r="C39" s="52" t="s">
        <v>88</v>
      </c>
      <c r="D39" s="91">
        <v>1167.7</v>
      </c>
      <c r="E39" s="62">
        <v>4.4400000000000004</v>
      </c>
      <c r="F39" s="62">
        <v>8.24</v>
      </c>
      <c r="G39" s="62">
        <f t="shared" si="0"/>
        <v>51.845880000000001</v>
      </c>
      <c r="H39" s="63">
        <f t="shared" si="1"/>
        <v>96.21848</v>
      </c>
      <c r="I39" s="118">
        <v>1584.4999999999993</v>
      </c>
      <c r="J39" s="119">
        <v>1632.0349999999994</v>
      </c>
      <c r="K39" s="120">
        <v>4.2770211423161868</v>
      </c>
      <c r="L39" s="121">
        <v>8.2423351214894272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1632.0349999999994</v>
      </c>
      <c r="S39" s="62">
        <f t="shared" si="3"/>
        <v>69.802481999999955</v>
      </c>
      <c r="T39" s="63">
        <f t="shared" si="4"/>
        <v>134.51779399999992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0"/>
        <v>0</v>
      </c>
      <c r="AB39" s="63">
        <f t="shared" si="21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2799.7</v>
      </c>
      <c r="AI39" s="66">
        <v>4.34</v>
      </c>
      <c r="AJ39" s="66">
        <v>8.24</v>
      </c>
      <c r="AK39" s="62">
        <f t="shared" si="9"/>
        <v>121.50698</v>
      </c>
      <c r="AL39" s="72">
        <f t="shared" si="10"/>
        <v>230.69528</v>
      </c>
      <c r="AM39" s="73">
        <f t="shared" si="15"/>
        <v>3.4999999999854481E-2</v>
      </c>
      <c r="AN39" s="74">
        <f t="shared" si="19"/>
        <v>0.14138199999996459</v>
      </c>
      <c r="AO39" s="74">
        <f t="shared" si="19"/>
        <v>4.09939999999267E-2</v>
      </c>
      <c r="AP39" s="75">
        <f t="shared" si="16"/>
        <v>8.9259863764030653E-4</v>
      </c>
      <c r="AQ39" s="76">
        <f t="shared" si="12"/>
        <v>80.215990529173951</v>
      </c>
      <c r="AR39" s="77">
        <f t="shared" si="17"/>
        <v>3.4999999999854481E-2</v>
      </c>
    </row>
    <row r="40" spans="1:44" x14ac:dyDescent="0.25">
      <c r="A40" t="str">
        <f t="shared" si="14"/>
        <v>46222M</v>
      </c>
      <c r="B40" s="51">
        <f t="shared" si="18"/>
        <v>46222</v>
      </c>
      <c r="C40" s="52" t="s">
        <v>87</v>
      </c>
      <c r="D40" s="91">
        <v>2799.7</v>
      </c>
      <c r="E40" s="62">
        <v>4.34</v>
      </c>
      <c r="F40" s="62">
        <v>8.24</v>
      </c>
      <c r="G40" s="62">
        <f t="shared" si="0"/>
        <v>121.50698</v>
      </c>
      <c r="H40" s="63">
        <f t="shared" si="1"/>
        <v>230.69528</v>
      </c>
      <c r="I40" s="118">
        <v>1745.8000000000002</v>
      </c>
      <c r="J40" s="119">
        <v>1798.1740000000002</v>
      </c>
      <c r="K40" s="120">
        <v>4.5123038148699735</v>
      </c>
      <c r="L40" s="121">
        <v>8.3189483331423979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1798.1740000000002</v>
      </c>
      <c r="S40" s="62">
        <f t="shared" si="3"/>
        <v>81.139074000000008</v>
      </c>
      <c r="T40" s="63">
        <f t="shared" si="4"/>
        <v>149.58916600000001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20"/>
        <v>0</v>
      </c>
      <c r="AB40" s="63">
        <f t="shared" si="21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>
        <v>4597.8</v>
      </c>
      <c r="AI40" s="66">
        <v>4.4000000000000004</v>
      </c>
      <c r="AJ40" s="66">
        <v>8.27</v>
      </c>
      <c r="AK40" s="62">
        <f t="shared" si="9"/>
        <v>202.30320000000003</v>
      </c>
      <c r="AL40" s="72">
        <f t="shared" si="10"/>
        <v>380.23806000000002</v>
      </c>
      <c r="AM40" s="73">
        <f t="shared" si="15"/>
        <v>7.3999999999614374E-2</v>
      </c>
      <c r="AN40" s="74">
        <f t="shared" si="19"/>
        <v>0.34285399999996002</v>
      </c>
      <c r="AO40" s="74">
        <f t="shared" si="19"/>
        <v>4.6385999999984051E-2</v>
      </c>
      <c r="AP40" s="75">
        <f t="shared" si="16"/>
        <v>1.6870063239763976E-3</v>
      </c>
      <c r="AQ40" s="76">
        <f t="shared" si="12"/>
        <v>178.64469972031702</v>
      </c>
      <c r="AR40" s="77">
        <f t="shared" si="17"/>
        <v>7.3999999999614374E-2</v>
      </c>
    </row>
    <row r="41" spans="1:44" x14ac:dyDescent="0.25">
      <c r="A41" t="str">
        <f t="shared" si="14"/>
        <v>46222E</v>
      </c>
      <c r="B41" s="51">
        <f t="shared" si="18"/>
        <v>46222</v>
      </c>
      <c r="C41" s="52" t="s">
        <v>88</v>
      </c>
      <c r="D41" s="91">
        <v>4597.8</v>
      </c>
      <c r="E41" s="62">
        <v>4.4000000000000004</v>
      </c>
      <c r="F41" s="62">
        <v>8.27</v>
      </c>
      <c r="G41" s="62">
        <f t="shared" si="0"/>
        <v>202.30320000000003</v>
      </c>
      <c r="H41" s="63">
        <f t="shared" si="1"/>
        <v>380.23806000000002</v>
      </c>
      <c r="I41" s="118">
        <v>1666.1000000000004</v>
      </c>
      <c r="J41" s="119">
        <v>1716.0830000000003</v>
      </c>
      <c r="K41" s="120">
        <v>4.3565212172138521</v>
      </c>
      <c r="L41" s="121">
        <v>8.2099813936738499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1716.0830000000003</v>
      </c>
      <c r="S41" s="62">
        <f t="shared" si="3"/>
        <v>74.761520000000004</v>
      </c>
      <c r="T41" s="63">
        <f t="shared" si="4"/>
        <v>140.89009500000003</v>
      </c>
      <c r="U41" s="64" t="s">
        <v>170</v>
      </c>
      <c r="V41" s="65" t="s">
        <v>632</v>
      </c>
      <c r="W41" s="66" t="s">
        <v>181</v>
      </c>
      <c r="X41" s="67">
        <v>3100</v>
      </c>
      <c r="Y41" s="68">
        <v>4.5999999999999996</v>
      </c>
      <c r="Z41" s="68">
        <v>8.33</v>
      </c>
      <c r="AA41" s="62">
        <f t="shared" si="20"/>
        <v>142.6</v>
      </c>
      <c r="AB41" s="63">
        <f t="shared" si="21"/>
        <v>258.23</v>
      </c>
      <c r="AC41" s="69">
        <v>3110</v>
      </c>
      <c r="AD41" s="70">
        <v>4.5</v>
      </c>
      <c r="AE41" s="70">
        <v>8.18</v>
      </c>
      <c r="AF41" s="62">
        <f t="shared" si="7"/>
        <v>139.94999999999999</v>
      </c>
      <c r="AG41" s="63">
        <f t="shared" si="8"/>
        <v>254.398</v>
      </c>
      <c r="AH41" s="89">
        <v>3213.8</v>
      </c>
      <c r="AI41" s="66">
        <v>4.38</v>
      </c>
      <c r="AJ41" s="66">
        <v>8.25</v>
      </c>
      <c r="AK41" s="62">
        <f t="shared" si="9"/>
        <v>140.76444000000001</v>
      </c>
      <c r="AL41" s="72">
        <f t="shared" si="10"/>
        <v>265.13850000000002</v>
      </c>
      <c r="AM41" s="73">
        <f t="shared" si="15"/>
        <v>-9.9169999999994616</v>
      </c>
      <c r="AN41" s="74">
        <f t="shared" si="19"/>
        <v>-3.6497199999999737</v>
      </c>
      <c r="AO41" s="74">
        <f t="shared" si="19"/>
        <v>1.5916550000000598</v>
      </c>
      <c r="AP41" s="75">
        <f t="shared" si="16"/>
        <v>-9.5434713067180758E-3</v>
      </c>
      <c r="AQ41" s="76">
        <f t="shared" si="12"/>
        <v>-1277.1227425667887</v>
      </c>
      <c r="AR41" s="77">
        <f t="shared" si="17"/>
        <v>8.3000000000538421E-2</v>
      </c>
    </row>
    <row r="42" spans="1:44" x14ac:dyDescent="0.25">
      <c r="A42" t="str">
        <f t="shared" si="14"/>
        <v>46223M</v>
      </c>
      <c r="B42" s="51">
        <f t="shared" si="18"/>
        <v>46223</v>
      </c>
      <c r="C42" s="52" t="s">
        <v>87</v>
      </c>
      <c r="D42" s="91">
        <v>3213.8</v>
      </c>
      <c r="E42" s="62">
        <v>4.38</v>
      </c>
      <c r="F42" s="62">
        <v>8.25</v>
      </c>
      <c r="G42" s="62">
        <f t="shared" si="0"/>
        <v>140.76444000000001</v>
      </c>
      <c r="H42" s="63">
        <f t="shared" si="1"/>
        <v>265.13850000000002</v>
      </c>
      <c r="I42" s="118">
        <v>1688.9999999999995</v>
      </c>
      <c r="J42" s="119">
        <v>1739.6699999999996</v>
      </c>
      <c r="K42" s="120">
        <v>4.5058436944937812</v>
      </c>
      <c r="L42" s="121">
        <v>8.3826583777383057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1739.6699999999996</v>
      </c>
      <c r="S42" s="62">
        <f t="shared" si="3"/>
        <v>78.386810999999938</v>
      </c>
      <c r="T42" s="63">
        <f t="shared" si="4"/>
        <v>145.83059299999994</v>
      </c>
      <c r="U42" s="64" t="s">
        <v>192</v>
      </c>
      <c r="V42" s="65" t="s">
        <v>633</v>
      </c>
      <c r="W42" s="66" t="s">
        <v>272</v>
      </c>
      <c r="X42" s="67">
        <v>4975</v>
      </c>
      <c r="Y42" s="68">
        <v>4.5999999999999996</v>
      </c>
      <c r="Z42" s="68">
        <v>8.39</v>
      </c>
      <c r="AA42" s="62">
        <f t="shared" si="20"/>
        <v>228.85</v>
      </c>
      <c r="AB42" s="63">
        <f t="shared" si="21"/>
        <v>417.40250000000003</v>
      </c>
      <c r="AC42" s="69">
        <v>4970</v>
      </c>
      <c r="AD42" s="70">
        <v>4.4000000000000004</v>
      </c>
      <c r="AE42" s="70">
        <v>8.0399999999999991</v>
      </c>
      <c r="AF42" s="62">
        <f t="shared" si="7"/>
        <v>218.68000000000004</v>
      </c>
      <c r="AG42" s="63">
        <f t="shared" si="8"/>
        <v>399.58799999999991</v>
      </c>
      <c r="AH42" s="89">
        <v>50</v>
      </c>
      <c r="AI42" s="66">
        <v>4</v>
      </c>
      <c r="AJ42" s="66">
        <v>8.0299999999999994</v>
      </c>
      <c r="AK42" s="62">
        <f t="shared" si="9"/>
        <v>2</v>
      </c>
      <c r="AL42" s="72">
        <f t="shared" si="10"/>
        <v>4.0149999999999997</v>
      </c>
      <c r="AM42" s="73">
        <f t="shared" si="15"/>
        <v>-66.530000000000655</v>
      </c>
      <c r="AN42" s="74">
        <f t="shared" si="19"/>
        <v>-1.5287490000000901</v>
      </c>
      <c r="AO42" s="74">
        <f t="shared" si="19"/>
        <v>7.3660930000000215</v>
      </c>
      <c r="AP42" s="75">
        <f t="shared" si="16"/>
        <v>2.6034303742094592E-2</v>
      </c>
      <c r="AQ42" s="76">
        <f t="shared" si="12"/>
        <v>1471.4656269600341</v>
      </c>
      <c r="AR42" s="77">
        <f t="shared" si="17"/>
        <v>-71.530000000000655</v>
      </c>
    </row>
    <row r="43" spans="1:44" x14ac:dyDescent="0.25">
      <c r="A43" t="str">
        <f t="shared" si="14"/>
        <v>46223E</v>
      </c>
      <c r="B43" s="51">
        <f t="shared" si="18"/>
        <v>46223</v>
      </c>
      <c r="C43" s="52" t="s">
        <v>88</v>
      </c>
      <c r="D43" s="91">
        <v>50</v>
      </c>
      <c r="E43" s="62">
        <v>4</v>
      </c>
      <c r="F43" s="62">
        <v>8.0299999999999994</v>
      </c>
      <c r="G43" s="62">
        <f t="shared" si="0"/>
        <v>2</v>
      </c>
      <c r="H43" s="63">
        <f t="shared" si="1"/>
        <v>4.0149999999999997</v>
      </c>
      <c r="I43" s="118">
        <v>1746.8000000000002</v>
      </c>
      <c r="J43" s="119">
        <v>1799.2040000000002</v>
      </c>
      <c r="K43" s="120">
        <v>4.2893004350812909</v>
      </c>
      <c r="L43" s="121">
        <v>8.2960041218227651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1799.2040000000002</v>
      </c>
      <c r="S43" s="62">
        <f t="shared" si="3"/>
        <v>77.173265000000001</v>
      </c>
      <c r="T43" s="63">
        <f t="shared" si="4"/>
        <v>149.26203800000008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20"/>
        <v>0</v>
      </c>
      <c r="AB43" s="63">
        <f t="shared" si="21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>
        <v>1849.2</v>
      </c>
      <c r="AI43" s="66">
        <v>4.28</v>
      </c>
      <c r="AJ43" s="66">
        <v>8.2899999999999991</v>
      </c>
      <c r="AK43" s="62">
        <f t="shared" si="9"/>
        <v>79.14576000000001</v>
      </c>
      <c r="AL43" s="72">
        <f t="shared" si="10"/>
        <v>153.29867999999999</v>
      </c>
      <c r="AM43" s="73">
        <f t="shared" si="15"/>
        <v>4.0000000001327862E-3</v>
      </c>
      <c r="AN43" s="74">
        <f t="shared" si="19"/>
        <v>2.7504999999990787E-2</v>
      </c>
      <c r="AO43" s="74">
        <f t="shared" si="19"/>
        <v>-2.1641999999928885E-2</v>
      </c>
      <c r="AP43" s="75">
        <f t="shared" si="16"/>
        <v>2.5892605624582753E-5</v>
      </c>
      <c r="AQ43" s="76">
        <f t="shared" si="12"/>
        <v>6.7354613575982212</v>
      </c>
      <c r="AR43" s="77">
        <f t="shared" si="17"/>
        <v>4.0000000001327862E-3</v>
      </c>
    </row>
    <row r="44" spans="1:44" x14ac:dyDescent="0.25">
      <c r="A44" t="str">
        <f t="shared" si="14"/>
        <v>46224M</v>
      </c>
      <c r="B44" s="51">
        <f t="shared" si="18"/>
        <v>46224</v>
      </c>
      <c r="C44" s="52" t="s">
        <v>87</v>
      </c>
      <c r="D44" s="91">
        <v>1849.2</v>
      </c>
      <c r="E44" s="62">
        <v>4.28</v>
      </c>
      <c r="F44" s="62">
        <v>8.2899999999999991</v>
      </c>
      <c r="G44" s="62">
        <f t="shared" si="0"/>
        <v>79.14576000000001</v>
      </c>
      <c r="H44" s="63">
        <f t="shared" si="1"/>
        <v>153.29867999999999</v>
      </c>
      <c r="I44" s="118">
        <v>1974.8999999999996</v>
      </c>
      <c r="J44" s="119">
        <v>2034.1469999999997</v>
      </c>
      <c r="K44" s="120">
        <v>4.4319712390500792</v>
      </c>
      <c r="L44" s="121">
        <v>8.3900703833105474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2034.1469999999997</v>
      </c>
      <c r="S44" s="62">
        <f t="shared" si="3"/>
        <v>90.152809999999988</v>
      </c>
      <c r="T44" s="63">
        <f t="shared" si="4"/>
        <v>170.66636499999998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20"/>
        <v>0</v>
      </c>
      <c r="AB44" s="63">
        <f t="shared" si="21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>
        <v>3883.3</v>
      </c>
      <c r="AI44" s="66">
        <v>4.3499999999999996</v>
      </c>
      <c r="AJ44" s="66">
        <v>8.34</v>
      </c>
      <c r="AK44" s="62">
        <f t="shared" si="9"/>
        <v>168.92355000000001</v>
      </c>
      <c r="AL44" s="72">
        <f t="shared" si="10"/>
        <v>323.86722000000003</v>
      </c>
      <c r="AM44" s="73">
        <f t="shared" si="15"/>
        <v>4.6999999999570719E-2</v>
      </c>
      <c r="AN44" s="74">
        <f t="shared" si="19"/>
        <v>0.37501999999997793</v>
      </c>
      <c r="AO44" s="74">
        <f t="shared" si="19"/>
        <v>9.7824999999943429E-2</v>
      </c>
      <c r="AP44" s="75">
        <f t="shared" si="16"/>
        <v>1.8129226886785506E-3</v>
      </c>
      <c r="AQ44" s="76">
        <f t="shared" si="12"/>
        <v>209.50703217237523</v>
      </c>
      <c r="AR44" s="77">
        <f t="shared" si="17"/>
        <v>4.6999999999570719E-2</v>
      </c>
    </row>
    <row r="45" spans="1:44" x14ac:dyDescent="0.25">
      <c r="A45" t="str">
        <f t="shared" si="14"/>
        <v>46224E</v>
      </c>
      <c r="B45" s="51">
        <f t="shared" si="18"/>
        <v>46224</v>
      </c>
      <c r="C45" s="52" t="s">
        <v>88</v>
      </c>
      <c r="D45" s="91">
        <v>3883.3</v>
      </c>
      <c r="E45" s="62">
        <v>4.3499999999999996</v>
      </c>
      <c r="F45" s="62">
        <v>8.34</v>
      </c>
      <c r="G45" s="62">
        <f t="shared" si="0"/>
        <v>168.92355000000001</v>
      </c>
      <c r="H45" s="63">
        <f t="shared" si="1"/>
        <v>323.86722000000003</v>
      </c>
      <c r="I45" s="118">
        <v>1999.3999999999996</v>
      </c>
      <c r="J45" s="119">
        <v>2059.3819999999996</v>
      </c>
      <c r="K45" s="120">
        <v>4.1889916975092527</v>
      </c>
      <c r="L45" s="121">
        <v>8.2034110233069892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2059.3819999999996</v>
      </c>
      <c r="S45" s="62">
        <f t="shared" si="3"/>
        <v>86.267340999999988</v>
      </c>
      <c r="T45" s="63">
        <f t="shared" si="4"/>
        <v>168.93956999999992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20"/>
        <v>0</v>
      </c>
      <c r="AB45" s="63">
        <f t="shared" si="21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5942.6</v>
      </c>
      <c r="AI45" s="66">
        <v>4.29</v>
      </c>
      <c r="AJ45" s="66">
        <v>8.2899999999999991</v>
      </c>
      <c r="AK45" s="62">
        <f t="shared" si="9"/>
        <v>254.93754000000001</v>
      </c>
      <c r="AL45" s="72">
        <f t="shared" si="10"/>
        <v>492.64153999999996</v>
      </c>
      <c r="AM45" s="73">
        <f t="shared" si="15"/>
        <v>8.1999999999425199E-2</v>
      </c>
      <c r="AN45" s="74">
        <f t="shared" si="19"/>
        <v>0.25335099999998079</v>
      </c>
      <c r="AO45" s="74">
        <f t="shared" si="19"/>
        <v>0.16525000000001455</v>
      </c>
      <c r="AP45" s="75">
        <f t="shared" si="16"/>
        <v>1.6402416312307291E-3</v>
      </c>
      <c r="AQ45" s="76">
        <f t="shared" si="12"/>
        <v>171.23430502952905</v>
      </c>
      <c r="AR45" s="77">
        <f t="shared" si="17"/>
        <v>8.1999999999425199E-2</v>
      </c>
    </row>
    <row r="46" spans="1:44" x14ac:dyDescent="0.25">
      <c r="A46" t="str">
        <f t="shared" si="14"/>
        <v>46225M</v>
      </c>
      <c r="B46" s="51">
        <f t="shared" si="18"/>
        <v>46225</v>
      </c>
      <c r="C46" s="52" t="s">
        <v>87</v>
      </c>
      <c r="D46" s="91">
        <v>5942.6</v>
      </c>
      <c r="E46" s="62">
        <v>4.29</v>
      </c>
      <c r="F46" s="62">
        <v>8.2899999999999991</v>
      </c>
      <c r="G46" s="62">
        <f t="shared" si="0"/>
        <v>254.93754000000001</v>
      </c>
      <c r="H46" s="63">
        <f t="shared" si="1"/>
        <v>492.64153999999996</v>
      </c>
      <c r="I46" s="118">
        <v>1979.7999999999997</v>
      </c>
      <c r="J46" s="119">
        <v>2039.1939999999997</v>
      </c>
      <c r="K46" s="120">
        <v>4.3890898070512181</v>
      </c>
      <c r="L46" s="121">
        <v>8.2250227295686447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2039.1939999999997</v>
      </c>
      <c r="S46" s="62">
        <f t="shared" si="3"/>
        <v>89.50205600000001</v>
      </c>
      <c r="T46" s="63">
        <f t="shared" si="4"/>
        <v>167.72416999999999</v>
      </c>
      <c r="U46" s="64" t="s">
        <v>170</v>
      </c>
      <c r="V46" s="65" t="s">
        <v>706</v>
      </c>
      <c r="W46" s="66" t="s">
        <v>181</v>
      </c>
      <c r="X46" s="67">
        <v>6200</v>
      </c>
      <c r="Y46" s="68">
        <v>4.55</v>
      </c>
      <c r="Z46" s="68">
        <v>8.57</v>
      </c>
      <c r="AA46" s="62">
        <f t="shared" si="20"/>
        <v>282.09999999999997</v>
      </c>
      <c r="AB46" s="63">
        <f t="shared" si="21"/>
        <v>531.34</v>
      </c>
      <c r="AC46" s="69">
        <v>6230</v>
      </c>
      <c r="AD46" s="70">
        <v>4.5000000000000009</v>
      </c>
      <c r="AE46" s="70">
        <v>8.43</v>
      </c>
      <c r="AF46" s="62">
        <f t="shared" si="7"/>
        <v>280.35000000000008</v>
      </c>
      <c r="AG46" s="63">
        <f t="shared" si="8"/>
        <v>525.18899999999996</v>
      </c>
      <c r="AH46" s="89">
        <v>1765.3</v>
      </c>
      <c r="AI46" s="66">
        <v>4.3099999999999996</v>
      </c>
      <c r="AJ46" s="66">
        <v>8.27</v>
      </c>
      <c r="AK46" s="62">
        <f t="shared" si="9"/>
        <v>76.084429999999998</v>
      </c>
      <c r="AL46" s="72">
        <f t="shared" si="10"/>
        <v>145.99030999999999</v>
      </c>
      <c r="AM46" s="73">
        <f t="shared" si="15"/>
        <v>-13.506000000000085</v>
      </c>
      <c r="AN46" s="74">
        <f t="shared" si="19"/>
        <v>-11.994834000000026</v>
      </c>
      <c r="AO46" s="74">
        <f t="shared" si="19"/>
        <v>-10.813600000000037</v>
      </c>
      <c r="AP46" s="75">
        <f t="shared" si="16"/>
        <v>-8.8670717425213333E-2</v>
      </c>
      <c r="AQ46" s="76">
        <f t="shared" si="12"/>
        <v>-9002.485057779526</v>
      </c>
      <c r="AR46" s="77">
        <f t="shared" si="17"/>
        <v>16.493999999999687</v>
      </c>
    </row>
    <row r="47" spans="1:44" x14ac:dyDescent="0.25">
      <c r="A47" t="str">
        <f t="shared" si="14"/>
        <v>46225E</v>
      </c>
      <c r="B47" s="51">
        <f t="shared" si="18"/>
        <v>46225</v>
      </c>
      <c r="C47" s="52" t="s">
        <v>88</v>
      </c>
      <c r="D47" s="91">
        <v>1765.3</v>
      </c>
      <c r="E47" s="62">
        <v>4.3099999999999996</v>
      </c>
      <c r="F47" s="62">
        <v>8.27</v>
      </c>
      <c r="G47" s="62">
        <f t="shared" si="0"/>
        <v>76.084429999999998</v>
      </c>
      <c r="H47" s="63">
        <f t="shared" si="1"/>
        <v>145.99030999999999</v>
      </c>
      <c r="I47" s="118">
        <v>2090.6</v>
      </c>
      <c r="J47" s="119">
        <v>2153.3179999999998</v>
      </c>
      <c r="K47" s="120">
        <v>4.1558165120061208</v>
      </c>
      <c r="L47" s="121">
        <v>8.2056443126375189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2153.3179999999998</v>
      </c>
      <c r="S47" s="62">
        <f t="shared" si="3"/>
        <v>89.487944999999939</v>
      </c>
      <c r="T47" s="63">
        <f t="shared" si="4"/>
        <v>176.69361599999996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20"/>
        <v>0</v>
      </c>
      <c r="AB47" s="63">
        <f t="shared" si="21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3918.6</v>
      </c>
      <c r="AI47" s="66">
        <v>4.22</v>
      </c>
      <c r="AJ47" s="66">
        <v>8.23</v>
      </c>
      <c r="AK47" s="62">
        <f t="shared" si="9"/>
        <v>165.36491999999998</v>
      </c>
      <c r="AL47" s="72">
        <f t="shared" si="10"/>
        <v>322.50077999999996</v>
      </c>
      <c r="AM47" s="73">
        <f t="shared" si="15"/>
        <v>1.7999999999574356E-2</v>
      </c>
      <c r="AN47" s="74">
        <f t="shared" si="19"/>
        <v>0.20745499999995332</v>
      </c>
      <c r="AO47" s="74">
        <f t="shared" si="19"/>
        <v>0.18314599999996517</v>
      </c>
      <c r="AP47" s="75">
        <f t="shared" si="16"/>
        <v>1.4674232074246446E-3</v>
      </c>
      <c r="AQ47" s="76">
        <f t="shared" si="12"/>
        <v>154.53947595941204</v>
      </c>
      <c r="AR47" s="77">
        <f t="shared" si="17"/>
        <v>1.7999999999574356E-2</v>
      </c>
    </row>
    <row r="48" spans="1:44" x14ac:dyDescent="0.25">
      <c r="A48" t="str">
        <f t="shared" si="14"/>
        <v>46226M</v>
      </c>
      <c r="B48" s="51">
        <f t="shared" si="18"/>
        <v>46226</v>
      </c>
      <c r="C48" s="52" t="s">
        <v>87</v>
      </c>
      <c r="D48" s="91">
        <v>3918.6</v>
      </c>
      <c r="E48" s="62">
        <v>4.22</v>
      </c>
      <c r="F48" s="62">
        <v>8.23</v>
      </c>
      <c r="G48" s="62">
        <f t="shared" si="0"/>
        <v>165.36491999999998</v>
      </c>
      <c r="H48" s="63">
        <f t="shared" si="1"/>
        <v>322.50077999999996</v>
      </c>
      <c r="I48" s="118">
        <v>1699.3000000000002</v>
      </c>
      <c r="J48" s="119">
        <v>1750.2790000000002</v>
      </c>
      <c r="K48" s="120">
        <v>4.7399693991643597</v>
      </c>
      <c r="L48" s="121">
        <v>8.4133290178308702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1750.2790000000002</v>
      </c>
      <c r="S48" s="62">
        <f t="shared" si="3"/>
        <v>82.962688999999969</v>
      </c>
      <c r="T48" s="63">
        <f t="shared" si="4"/>
        <v>147.256731</v>
      </c>
      <c r="U48" s="64" t="s">
        <v>170</v>
      </c>
      <c r="V48" s="65" t="s">
        <v>762</v>
      </c>
      <c r="W48" s="66" t="s">
        <v>212</v>
      </c>
      <c r="X48" s="67">
        <v>3100</v>
      </c>
      <c r="Y48" s="68">
        <v>4.5999999999999996</v>
      </c>
      <c r="Z48" s="68">
        <v>8.58</v>
      </c>
      <c r="AA48" s="62">
        <f t="shared" si="20"/>
        <v>142.6</v>
      </c>
      <c r="AB48" s="63">
        <f t="shared" si="21"/>
        <v>265.98</v>
      </c>
      <c r="AC48" s="69">
        <v>3070</v>
      </c>
      <c r="AD48" s="70">
        <v>4.55</v>
      </c>
      <c r="AE48" s="70">
        <v>8.26</v>
      </c>
      <c r="AF48" s="62">
        <f t="shared" si="7"/>
        <v>139.685</v>
      </c>
      <c r="AG48" s="63">
        <f t="shared" si="8"/>
        <v>253.58199999999997</v>
      </c>
      <c r="AH48" s="89">
        <v>2568.8000000000002</v>
      </c>
      <c r="AI48" s="66">
        <v>4.38</v>
      </c>
      <c r="AJ48" s="66">
        <v>8.2799999999999994</v>
      </c>
      <c r="AK48" s="62">
        <f t="shared" si="9"/>
        <v>112.51344</v>
      </c>
      <c r="AL48" s="72">
        <f t="shared" si="10"/>
        <v>212.69664</v>
      </c>
      <c r="AM48" s="73">
        <f t="shared" si="15"/>
        <v>30.078999999999724</v>
      </c>
      <c r="AN48" s="74">
        <f t="shared" si="19"/>
        <v>-3.8708310000000665</v>
      </c>
      <c r="AO48" s="74">
        <f t="shared" si="19"/>
        <v>3.478870999999998</v>
      </c>
      <c r="AP48" s="75">
        <f t="shared" si="16"/>
        <v>-1.7025496806484376E-3</v>
      </c>
      <c r="AQ48" s="76">
        <f t="shared" si="12"/>
        <v>-818.16938340085153</v>
      </c>
      <c r="AR48" s="77">
        <f t="shared" si="17"/>
        <v>7.8999999999723514E-2</v>
      </c>
    </row>
    <row r="49" spans="1:44" x14ac:dyDescent="0.25">
      <c r="A49" t="str">
        <f t="shared" si="14"/>
        <v>46226E</v>
      </c>
      <c r="B49" s="51">
        <f t="shared" si="18"/>
        <v>46226</v>
      </c>
      <c r="C49" s="52" t="s">
        <v>88</v>
      </c>
      <c r="D49" s="91">
        <v>2568.8000000000002</v>
      </c>
      <c r="E49" s="62">
        <v>4.38</v>
      </c>
      <c r="F49" s="62">
        <v>8.2799999999999994</v>
      </c>
      <c r="G49" s="62">
        <f t="shared" si="0"/>
        <v>112.51344</v>
      </c>
      <c r="H49" s="63">
        <f t="shared" si="1"/>
        <v>212.69664</v>
      </c>
      <c r="I49" s="118">
        <v>1316.8</v>
      </c>
      <c r="J49" s="119">
        <v>1356.3040000000001</v>
      </c>
      <c r="K49" s="120">
        <v>4.5030452612393681</v>
      </c>
      <c r="L49" s="121">
        <v>8.2570929526123944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1356.3040000000001</v>
      </c>
      <c r="S49" s="62">
        <f t="shared" si="3"/>
        <v>61.074983000000003</v>
      </c>
      <c r="T49" s="63">
        <f t="shared" si="4"/>
        <v>111.99128200000001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20"/>
        <v>0</v>
      </c>
      <c r="AB49" s="63">
        <f t="shared" si="21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3925.1</v>
      </c>
      <c r="AI49" s="66">
        <v>4.42</v>
      </c>
      <c r="AJ49" s="66">
        <v>8.27</v>
      </c>
      <c r="AK49" s="62">
        <f t="shared" si="9"/>
        <v>173.48941999999997</v>
      </c>
      <c r="AL49" s="72">
        <f t="shared" si="10"/>
        <v>324.60576999999995</v>
      </c>
      <c r="AM49" s="73">
        <f t="shared" si="15"/>
        <v>4.0000000003601599E-3</v>
      </c>
      <c r="AN49" s="74">
        <f t="shared" si="19"/>
        <v>9.900300000003881E-2</v>
      </c>
      <c r="AO49" s="74">
        <f t="shared" si="19"/>
        <v>8.2152000000064618E-2</v>
      </c>
      <c r="AP49" s="75">
        <f t="shared" si="16"/>
        <v>1.0467377914471282E-3</v>
      </c>
      <c r="AQ49" s="76">
        <f t="shared" si="12"/>
        <v>72.177956334729032</v>
      </c>
      <c r="AR49" s="77">
        <f t="shared" si="17"/>
        <v>4.0000000003601599E-3</v>
      </c>
    </row>
    <row r="50" spans="1:44" x14ac:dyDescent="0.25">
      <c r="A50" t="str">
        <f t="shared" si="14"/>
        <v>46227M</v>
      </c>
      <c r="B50" s="51">
        <f t="shared" si="18"/>
        <v>46227</v>
      </c>
      <c r="C50" s="52" t="s">
        <v>87</v>
      </c>
      <c r="D50" s="91">
        <v>3925.1</v>
      </c>
      <c r="E50" s="62">
        <v>4.42</v>
      </c>
      <c r="F50" s="62">
        <v>8.27</v>
      </c>
      <c r="G50" s="62">
        <f t="shared" si="0"/>
        <v>173.48941999999997</v>
      </c>
      <c r="H50" s="63">
        <f t="shared" si="1"/>
        <v>324.60576999999995</v>
      </c>
      <c r="I50" s="118">
        <v>1202.5</v>
      </c>
      <c r="J50" s="119">
        <v>1238.575</v>
      </c>
      <c r="K50" s="120">
        <v>4.798469854469853</v>
      </c>
      <c r="L50" s="121">
        <v>8.2742536382536365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1238.575</v>
      </c>
      <c r="S50" s="62">
        <f t="shared" si="3"/>
        <v>59.432647999999979</v>
      </c>
      <c r="T50" s="63">
        <f t="shared" si="4"/>
        <v>102.48283699999999</v>
      </c>
      <c r="U50" s="64" t="s">
        <v>196</v>
      </c>
      <c r="V50" s="65" t="s">
        <v>808</v>
      </c>
      <c r="W50" s="66" t="s">
        <v>181</v>
      </c>
      <c r="X50" s="67">
        <v>4580</v>
      </c>
      <c r="Y50" s="68">
        <v>4.6500000000000004</v>
      </c>
      <c r="Z50" s="68">
        <v>8.52</v>
      </c>
      <c r="AA50" s="62">
        <f t="shared" si="20"/>
        <v>212.97000000000003</v>
      </c>
      <c r="AB50" s="63">
        <f t="shared" si="21"/>
        <v>390.21600000000001</v>
      </c>
      <c r="AC50" s="69">
        <v>4580</v>
      </c>
      <c r="AD50" s="70">
        <v>4.6500000000000004</v>
      </c>
      <c r="AE50" s="70">
        <v>8.52</v>
      </c>
      <c r="AF50" s="62">
        <f t="shared" si="7"/>
        <v>212.97000000000003</v>
      </c>
      <c r="AG50" s="63">
        <f t="shared" si="8"/>
        <v>390.21600000000001</v>
      </c>
      <c r="AH50" s="89">
        <v>583.6</v>
      </c>
      <c r="AI50" s="66">
        <v>4.51</v>
      </c>
      <c r="AJ50" s="66">
        <v>8.27</v>
      </c>
      <c r="AK50" s="62">
        <f t="shared" si="9"/>
        <v>26.320360000000001</v>
      </c>
      <c r="AL50" s="72">
        <f t="shared" si="10"/>
        <v>48.263719999999999</v>
      </c>
      <c r="AM50" s="73">
        <f t="shared" si="15"/>
        <v>7.5000000000159162E-2</v>
      </c>
      <c r="AN50" s="74">
        <f t="shared" si="19"/>
        <v>-6.3682920000000891</v>
      </c>
      <c r="AO50" s="74">
        <f t="shared" si="19"/>
        <v>-11.391113000000097</v>
      </c>
      <c r="AP50" s="75">
        <f t="shared" si="16"/>
        <v>-0.10968317823338633</v>
      </c>
      <c r="AQ50" s="76">
        <f t="shared" si="12"/>
        <v>-6471.7085051328722</v>
      </c>
      <c r="AR50" s="77">
        <f t="shared" si="17"/>
        <v>7.4999999999818101E-2</v>
      </c>
    </row>
    <row r="51" spans="1:44" x14ac:dyDescent="0.25">
      <c r="A51" t="str">
        <f t="shared" si="14"/>
        <v>46227E</v>
      </c>
      <c r="B51" s="51">
        <f t="shared" si="18"/>
        <v>46227</v>
      </c>
      <c r="C51" s="52" t="s">
        <v>88</v>
      </c>
      <c r="D51" s="91">
        <v>583.6</v>
      </c>
      <c r="E51" s="62">
        <v>4.51</v>
      </c>
      <c r="F51" s="62">
        <v>8.27</v>
      </c>
      <c r="G51" s="62">
        <f t="shared" si="0"/>
        <v>26.320360000000001</v>
      </c>
      <c r="H51" s="63">
        <f t="shared" si="1"/>
        <v>48.263719999999999</v>
      </c>
      <c r="I51" s="118">
        <v>1276.2</v>
      </c>
      <c r="J51" s="119">
        <v>1314.4860000000001</v>
      </c>
      <c r="K51" s="120">
        <v>4.4400172386773242</v>
      </c>
      <c r="L51" s="121">
        <v>8.1641748942172097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1314.4860000000001</v>
      </c>
      <c r="S51" s="62">
        <f t="shared" si="3"/>
        <v>58.363405000000014</v>
      </c>
      <c r="T51" s="63">
        <f t="shared" si="4"/>
        <v>107.31693600000003</v>
      </c>
      <c r="U51" s="64" t="s">
        <v>167</v>
      </c>
      <c r="V51" s="85" t="s">
        <v>180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20"/>
        <v>0</v>
      </c>
      <c r="AB51" s="63">
        <f t="shared" si="21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1898</v>
      </c>
      <c r="AI51" s="66">
        <v>4.46</v>
      </c>
      <c r="AJ51" s="66">
        <v>8.19</v>
      </c>
      <c r="AK51" s="62">
        <f t="shared" si="9"/>
        <v>84.650800000000004</v>
      </c>
      <c r="AL51" s="72">
        <f t="shared" si="10"/>
        <v>155.4462</v>
      </c>
      <c r="AM51" s="73">
        <f t="shared" si="15"/>
        <v>8.6000000000240107E-2</v>
      </c>
      <c r="AN51" s="74">
        <f t="shared" si="19"/>
        <v>3.2965000000018563E-2</v>
      </c>
      <c r="AO51" s="74">
        <f t="shared" si="19"/>
        <v>0.13445600000002855</v>
      </c>
      <c r="AP51" s="75">
        <f t="shared" si="16"/>
        <v>1.0105061287871628E-3</v>
      </c>
      <c r="AQ51" s="76">
        <f t="shared" si="12"/>
        <v>56.109130396914182</v>
      </c>
      <c r="AR51" s="77">
        <f t="shared" si="17"/>
        <v>8.6000000000240107E-2</v>
      </c>
    </row>
    <row r="52" spans="1:44" x14ac:dyDescent="0.25">
      <c r="A52" t="str">
        <f t="shared" si="14"/>
        <v>46228M</v>
      </c>
      <c r="B52" s="51">
        <f t="shared" si="18"/>
        <v>46228</v>
      </c>
      <c r="C52" s="52" t="s">
        <v>87</v>
      </c>
      <c r="D52" s="91">
        <v>1898</v>
      </c>
      <c r="E52" s="62">
        <v>4.46</v>
      </c>
      <c r="F52" s="62">
        <v>8.19</v>
      </c>
      <c r="G52" s="62">
        <f t="shared" si="0"/>
        <v>84.650800000000004</v>
      </c>
      <c r="H52" s="63">
        <f t="shared" si="1"/>
        <v>155.4462</v>
      </c>
      <c r="I52" s="118">
        <v>1477.3</v>
      </c>
      <c r="J52" s="119">
        <v>1521.6189999999999</v>
      </c>
      <c r="K52" s="120">
        <v>4.7819941785690112</v>
      </c>
      <c r="L52" s="121">
        <v>8.4161307791240798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1521.6189999999999</v>
      </c>
      <c r="S52" s="62">
        <f t="shared" si="3"/>
        <v>72.763732000000005</v>
      </c>
      <c r="T52" s="63">
        <f t="shared" si="4"/>
        <v>128.06144500000002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20"/>
        <v>0</v>
      </c>
      <c r="AB52" s="63">
        <f t="shared" si="21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>
        <v>3419.6</v>
      </c>
      <c r="AI52" s="66">
        <v>4.5999999999999996</v>
      </c>
      <c r="AJ52" s="66">
        <v>8.2100000000000009</v>
      </c>
      <c r="AK52" s="62">
        <f t="shared" si="9"/>
        <v>157.30159999999998</v>
      </c>
      <c r="AL52" s="72">
        <f t="shared" si="10"/>
        <v>280.74916000000002</v>
      </c>
      <c r="AM52" s="73">
        <f t="shared" si="15"/>
        <v>1.8999999999778083E-2</v>
      </c>
      <c r="AN52" s="74">
        <f t="shared" si="19"/>
        <v>0.11293200000002912</v>
      </c>
      <c r="AO52" s="74">
        <f t="shared" si="19"/>
        <v>2.7584850000000074</v>
      </c>
      <c r="AP52" s="75">
        <f t="shared" si="16"/>
        <v>1.4298092713743936E-2</v>
      </c>
      <c r="AQ52" s="76">
        <f t="shared" si="12"/>
        <v>880.40920158978486</v>
      </c>
      <c r="AR52" s="77">
        <f t="shared" si="17"/>
        <v>1.8999999999778083E-2</v>
      </c>
    </row>
    <row r="53" spans="1:44" x14ac:dyDescent="0.25">
      <c r="A53" t="str">
        <f t="shared" si="14"/>
        <v>46228E</v>
      </c>
      <c r="B53" s="51">
        <f t="shared" si="18"/>
        <v>46228</v>
      </c>
      <c r="C53" s="52" t="s">
        <v>88</v>
      </c>
      <c r="D53" s="91">
        <v>3419.6</v>
      </c>
      <c r="E53" s="62">
        <v>4.5999999999999996</v>
      </c>
      <c r="F53" s="62">
        <v>8.2100000000000009</v>
      </c>
      <c r="G53" s="62">
        <f t="shared" si="0"/>
        <v>157.30159999999998</v>
      </c>
      <c r="H53" s="63">
        <f t="shared" si="1"/>
        <v>280.74916000000002</v>
      </c>
      <c r="I53" s="118">
        <v>1289</v>
      </c>
      <c r="J53" s="119">
        <v>1327.67</v>
      </c>
      <c r="K53" s="120">
        <v>4.4070364623739335</v>
      </c>
      <c r="L53" s="121">
        <v>8.2119394879751777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1327.67</v>
      </c>
      <c r="S53" s="62">
        <f t="shared" si="3"/>
        <v>58.510901000000011</v>
      </c>
      <c r="T53" s="63">
        <f t="shared" si="4"/>
        <v>109.02745700000006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20"/>
        <v>0</v>
      </c>
      <c r="AB53" s="63">
        <f t="shared" si="21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4747.2</v>
      </c>
      <c r="AI53" s="66">
        <v>4.54</v>
      </c>
      <c r="AJ53" s="66">
        <v>8.2100000000000009</v>
      </c>
      <c r="AK53" s="62">
        <f t="shared" si="9"/>
        <v>215.52288000000001</v>
      </c>
      <c r="AL53" s="72">
        <f t="shared" si="10"/>
        <v>389.74512000000004</v>
      </c>
      <c r="AM53" s="73">
        <f t="shared" si="15"/>
        <v>7.0000000000618456E-2</v>
      </c>
      <c r="AN53" s="74">
        <f t="shared" si="19"/>
        <v>0.28962099999998259</v>
      </c>
      <c r="AO53" s="74">
        <f t="shared" si="19"/>
        <v>3.1497000000058506E-2</v>
      </c>
      <c r="AP53" s="75">
        <f t="shared" si="16"/>
        <v>1.9166834618257447E-3</v>
      </c>
      <c r="AQ53" s="76">
        <f t="shared" si="12"/>
        <v>148.60538772596067</v>
      </c>
      <c r="AR53" s="77">
        <f t="shared" si="17"/>
        <v>7.0000000000618456E-2</v>
      </c>
    </row>
    <row r="54" spans="1:44" x14ac:dyDescent="0.25">
      <c r="A54" t="str">
        <f t="shared" si="14"/>
        <v>46229M</v>
      </c>
      <c r="B54" s="51">
        <f t="shared" si="18"/>
        <v>46229</v>
      </c>
      <c r="C54" s="52" t="s">
        <v>87</v>
      </c>
      <c r="D54" s="91">
        <v>4747.2</v>
      </c>
      <c r="E54" s="62">
        <v>4.54</v>
      </c>
      <c r="F54" s="62">
        <v>8.2100000000000009</v>
      </c>
      <c r="G54" s="62">
        <f t="shared" si="0"/>
        <v>215.52288000000001</v>
      </c>
      <c r="H54" s="63">
        <f t="shared" si="1"/>
        <v>389.74512000000004</v>
      </c>
      <c r="I54" s="118">
        <v>1395.1000000000004</v>
      </c>
      <c r="J54" s="119">
        <v>1436.9530000000004</v>
      </c>
      <c r="K54" s="120">
        <v>4.8699304709339826</v>
      </c>
      <c r="L54" s="121">
        <v>8.3534800372733127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1436.9530000000004</v>
      </c>
      <c r="S54" s="62">
        <f t="shared" si="3"/>
        <v>69.978612000000012</v>
      </c>
      <c r="T54" s="63">
        <f t="shared" si="4"/>
        <v>120.03558200000002</v>
      </c>
      <c r="U54" s="64" t="s">
        <v>170</v>
      </c>
      <c r="V54" s="65" t="s">
        <v>853</v>
      </c>
      <c r="W54" s="66" t="s">
        <v>187</v>
      </c>
      <c r="X54" s="67">
        <v>6200</v>
      </c>
      <c r="Y54" s="68">
        <v>4.6500000000000004</v>
      </c>
      <c r="Z54" s="68">
        <v>8.4600000000000009</v>
      </c>
      <c r="AA54" s="62">
        <f t="shared" si="20"/>
        <v>288.30000000000007</v>
      </c>
      <c r="AB54" s="63">
        <f t="shared" si="21"/>
        <v>524.5200000000001</v>
      </c>
      <c r="AC54" s="69">
        <v>6200</v>
      </c>
      <c r="AD54" s="70">
        <v>4.5999999999999996</v>
      </c>
      <c r="AE54" s="70">
        <v>8.27</v>
      </c>
      <c r="AF54" s="62">
        <f t="shared" si="7"/>
        <v>285.2</v>
      </c>
      <c r="AG54" s="63">
        <f t="shared" si="8"/>
        <v>512.74</v>
      </c>
      <c r="AH54" s="89">
        <v>60</v>
      </c>
      <c r="AI54" s="66">
        <v>4.6100000000000003</v>
      </c>
      <c r="AJ54" s="66">
        <v>8.24</v>
      </c>
      <c r="AK54" s="62">
        <f t="shared" si="9"/>
        <v>2.766</v>
      </c>
      <c r="AL54" s="72">
        <f t="shared" si="10"/>
        <v>4.944</v>
      </c>
      <c r="AM54" s="73">
        <f t="shared" si="15"/>
        <v>-75.846999999999753</v>
      </c>
      <c r="AN54" s="74">
        <f t="shared" si="19"/>
        <v>-2.4645079999999471</v>
      </c>
      <c r="AO54" s="74">
        <f t="shared" si="19"/>
        <v>-7.9032979999999329</v>
      </c>
      <c r="AP54" s="75">
        <f t="shared" si="16"/>
        <v>-5.4563323832533685E-2</v>
      </c>
      <c r="AQ54" s="76">
        <f t="shared" si="12"/>
        <v>-3551.2436967286139</v>
      </c>
      <c r="AR54" s="77">
        <f t="shared" si="17"/>
        <v>-75.846999999999753</v>
      </c>
    </row>
    <row r="55" spans="1:44" x14ac:dyDescent="0.25">
      <c r="A55" t="str">
        <f t="shared" si="14"/>
        <v>46229E</v>
      </c>
      <c r="B55" s="51">
        <f t="shared" si="18"/>
        <v>46229</v>
      </c>
      <c r="C55" s="52" t="s">
        <v>88</v>
      </c>
      <c r="D55" s="91">
        <v>60</v>
      </c>
      <c r="E55" s="62">
        <v>4.6100000000000003</v>
      </c>
      <c r="F55" s="62">
        <v>8.24</v>
      </c>
      <c r="G55" s="62">
        <f t="shared" si="0"/>
        <v>2.766</v>
      </c>
      <c r="H55" s="63">
        <f t="shared" si="1"/>
        <v>4.944</v>
      </c>
      <c r="I55" s="118">
        <v>1194.4999999999995</v>
      </c>
      <c r="J55" s="119">
        <v>1230.3349999999996</v>
      </c>
      <c r="K55" s="120">
        <v>4.296843867727083</v>
      </c>
      <c r="L55" s="121">
        <v>8.1978317287568032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2"/>
        <v>1230.3349999999996</v>
      </c>
      <c r="S55" s="62">
        <f t="shared" si="3"/>
        <v>52.865573999999988</v>
      </c>
      <c r="T55" s="63">
        <f t="shared" si="4"/>
        <v>100.86079299999999</v>
      </c>
      <c r="U55" s="64" t="s">
        <v>167</v>
      </c>
      <c r="V55" s="65" t="s">
        <v>180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20"/>
        <v>0</v>
      </c>
      <c r="AB55" s="63">
        <f t="shared" si="21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>
        <v>1290.3</v>
      </c>
      <c r="AI55" s="66">
        <v>4.3099999999999996</v>
      </c>
      <c r="AJ55" s="66">
        <v>8.1999999999999993</v>
      </c>
      <c r="AK55" s="62">
        <f t="shared" si="9"/>
        <v>55.611929999999994</v>
      </c>
      <c r="AL55" s="72">
        <f t="shared" si="10"/>
        <v>105.80459999999998</v>
      </c>
      <c r="AM55" s="73">
        <f t="shared" si="15"/>
        <v>3.4999999999627107E-2</v>
      </c>
      <c r="AN55" s="74">
        <f t="shared" si="19"/>
        <v>1.9643999999992445E-2</v>
      </c>
      <c r="AO55" s="74">
        <f t="shared" si="19"/>
        <v>1.9300000001010176E-4</v>
      </c>
      <c r="AP55" s="75">
        <f t="shared" si="16"/>
        <v>1.2904097317282303E-4</v>
      </c>
      <c r="AQ55" s="76">
        <f t="shared" si="12"/>
        <v>9.4973831238001409</v>
      </c>
      <c r="AR55" s="77">
        <f t="shared" si="17"/>
        <v>3.4999999999627107E-2</v>
      </c>
    </row>
    <row r="56" spans="1:44" x14ac:dyDescent="0.25">
      <c r="A56" t="str">
        <f t="shared" si="14"/>
        <v>46230M</v>
      </c>
      <c r="B56" s="51">
        <f t="shared" si="18"/>
        <v>46230</v>
      </c>
      <c r="C56" s="52" t="s">
        <v>87</v>
      </c>
      <c r="D56" s="91">
        <v>1290.3</v>
      </c>
      <c r="E56" s="62">
        <v>4.3099999999999996</v>
      </c>
      <c r="F56" s="62">
        <v>8.1999999999999993</v>
      </c>
      <c r="G56" s="62">
        <f t="shared" si="0"/>
        <v>55.611929999999994</v>
      </c>
      <c r="H56" s="63">
        <f t="shared" si="1"/>
        <v>105.80459999999998</v>
      </c>
      <c r="I56" s="118">
        <v>1137.7</v>
      </c>
      <c r="J56" s="119">
        <v>1171.8310000000001</v>
      </c>
      <c r="K56" s="120">
        <v>4.9671618177023831</v>
      </c>
      <c r="L56" s="121">
        <v>8.3978904807945849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1171.8310000000001</v>
      </c>
      <c r="S56" s="62">
        <f t="shared" si="3"/>
        <v>58.20674200000002</v>
      </c>
      <c r="T56" s="63">
        <f t="shared" si="4"/>
        <v>98.409083999999993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20"/>
        <v>0</v>
      </c>
      <c r="AB56" s="63">
        <f t="shared" si="21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>
        <v>2462.1</v>
      </c>
      <c r="AI56" s="66">
        <v>4.6100000000000003</v>
      </c>
      <c r="AJ56" s="66">
        <v>8.2899999999999991</v>
      </c>
      <c r="AK56" s="62">
        <f t="shared" si="9"/>
        <v>113.50281</v>
      </c>
      <c r="AL56" s="72">
        <f t="shared" si="10"/>
        <v>204.10808999999998</v>
      </c>
      <c r="AM56" s="73">
        <f t="shared" si="15"/>
        <v>3.1000000000403816E-2</v>
      </c>
      <c r="AN56" s="74">
        <f t="shared" si="19"/>
        <v>0.31586200000002407</v>
      </c>
      <c r="AO56" s="74">
        <f t="shared" si="19"/>
        <v>0.10559399999999641</v>
      </c>
      <c r="AP56" s="75">
        <f t="shared" si="16"/>
        <v>2.6910179562569902E-3</v>
      </c>
      <c r="AQ56" s="76">
        <f t="shared" si="12"/>
        <v>183.40643412735668</v>
      </c>
      <c r="AR56" s="77">
        <f t="shared" si="17"/>
        <v>3.1000000000403816E-2</v>
      </c>
    </row>
    <row r="57" spans="1:44" x14ac:dyDescent="0.25">
      <c r="A57" t="str">
        <f t="shared" si="14"/>
        <v>46230E</v>
      </c>
      <c r="B57" s="51">
        <f t="shared" si="18"/>
        <v>46230</v>
      </c>
      <c r="C57" s="52" t="s">
        <v>88</v>
      </c>
      <c r="D57" s="91">
        <v>2462.1</v>
      </c>
      <c r="E57" s="62">
        <v>4.6100000000000003</v>
      </c>
      <c r="F57" s="62">
        <v>8.2899999999999991</v>
      </c>
      <c r="G57" s="62">
        <f t="shared" si="0"/>
        <v>113.50281</v>
      </c>
      <c r="H57" s="63">
        <f t="shared" si="1"/>
        <v>204.10808999999998</v>
      </c>
      <c r="I57" s="118">
        <v>1251.2999999999997</v>
      </c>
      <c r="J57" s="119">
        <v>1288.8389999999997</v>
      </c>
      <c r="K57" s="120">
        <v>4.4216814512906568</v>
      </c>
      <c r="L57" s="121">
        <v>8.1076560377207709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1288.8389999999997</v>
      </c>
      <c r="S57" s="62">
        <f t="shared" si="3"/>
        <v>56.988354999999977</v>
      </c>
      <c r="T57" s="63">
        <f t="shared" si="4"/>
        <v>104.49463299999999</v>
      </c>
      <c r="U57" s="64" t="s">
        <v>180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20"/>
        <v>0</v>
      </c>
      <c r="AB57" s="63">
        <f t="shared" si="21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>
        <v>3750.9</v>
      </c>
      <c r="AI57" s="66">
        <v>4.54</v>
      </c>
      <c r="AJ57" s="66">
        <v>8.2200000000000006</v>
      </c>
      <c r="AK57" s="62">
        <f t="shared" si="9"/>
        <v>170.29086000000001</v>
      </c>
      <c r="AL57" s="72">
        <f t="shared" si="10"/>
        <v>308.32398000000006</v>
      </c>
      <c r="AM57" s="73">
        <f t="shared" si="15"/>
        <v>3.8999999999305146E-2</v>
      </c>
      <c r="AN57" s="74">
        <f t="shared" si="19"/>
        <v>0.20030499999995754</v>
      </c>
      <c r="AO57" s="74">
        <f t="shared" si="19"/>
        <v>0.27874299999990626</v>
      </c>
      <c r="AP57" s="75">
        <f t="shared" si="16"/>
        <v>2.9665539753318403E-3</v>
      </c>
      <c r="AQ57" s="76">
        <f t="shared" si="12"/>
        <v>179.73411869910495</v>
      </c>
      <c r="AR57" s="77">
        <f t="shared" si="17"/>
        <v>3.8999999999305146E-2</v>
      </c>
    </row>
    <row r="58" spans="1:44" x14ac:dyDescent="0.25">
      <c r="A58" t="str">
        <f t="shared" si="14"/>
        <v>46231M</v>
      </c>
      <c r="B58" s="51">
        <f t="shared" si="18"/>
        <v>46231</v>
      </c>
      <c r="C58" s="52" t="s">
        <v>87</v>
      </c>
      <c r="D58" s="91">
        <v>3750.9</v>
      </c>
      <c r="E58" s="62">
        <v>4.54</v>
      </c>
      <c r="F58" s="62">
        <v>8.2200000000000006</v>
      </c>
      <c r="G58" s="62">
        <f t="shared" si="0"/>
        <v>170.29086000000001</v>
      </c>
      <c r="H58" s="63">
        <f t="shared" si="1"/>
        <v>308.32398000000006</v>
      </c>
      <c r="I58" s="118">
        <v>1474.7000000000005</v>
      </c>
      <c r="J58" s="119">
        <v>1518.9410000000005</v>
      </c>
      <c r="K58" s="120">
        <v>4.9987116023597995</v>
      </c>
      <c r="L58" s="121">
        <v>8.4323523428493896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1518.9410000000005</v>
      </c>
      <c r="S58" s="62">
        <f t="shared" si="3"/>
        <v>75.927479999999989</v>
      </c>
      <c r="T58" s="63">
        <f t="shared" si="4"/>
        <v>128.08245699999998</v>
      </c>
      <c r="U58" s="64" t="s">
        <v>170</v>
      </c>
      <c r="V58" s="65" t="s">
        <v>854</v>
      </c>
      <c r="W58" s="66" t="s">
        <v>175</v>
      </c>
      <c r="X58" s="67">
        <v>3100</v>
      </c>
      <c r="Y58" s="68">
        <v>4.8</v>
      </c>
      <c r="Z58" s="68">
        <v>8.43</v>
      </c>
      <c r="AA58" s="62">
        <f t="shared" si="20"/>
        <v>148.80000000000001</v>
      </c>
      <c r="AB58" s="63">
        <f t="shared" si="21"/>
        <v>261.33</v>
      </c>
      <c r="AC58" s="69">
        <v>3050</v>
      </c>
      <c r="AD58" s="70">
        <v>4.7</v>
      </c>
      <c r="AE58" s="70">
        <v>8.23</v>
      </c>
      <c r="AF58" s="62">
        <f t="shared" si="7"/>
        <v>143.35</v>
      </c>
      <c r="AG58" s="63">
        <f t="shared" si="8"/>
        <v>251.01499999999999</v>
      </c>
      <c r="AH58" s="89">
        <v>2169.8000000000002</v>
      </c>
      <c r="AI58" s="66">
        <v>4.67</v>
      </c>
      <c r="AJ58" s="66">
        <v>8.2799999999999994</v>
      </c>
      <c r="AK58" s="62">
        <f t="shared" si="9"/>
        <v>101.32966</v>
      </c>
      <c r="AL58" s="72">
        <f t="shared" si="10"/>
        <v>179.65944000000002</v>
      </c>
      <c r="AM58" s="73">
        <f t="shared" si="15"/>
        <v>50.041000000000167</v>
      </c>
      <c r="AN58" s="74">
        <f t="shared" si="19"/>
        <v>1.5386800000000136</v>
      </c>
      <c r="AO58" s="74">
        <f t="shared" si="19"/>
        <v>5.7319970000000353</v>
      </c>
      <c r="AP58" s="75">
        <f t="shared" si="16"/>
        <v>3.5638837533683715E-2</v>
      </c>
      <c r="AQ58" s="76">
        <f t="shared" si="12"/>
        <v>2456.0678908676427</v>
      </c>
      <c r="AR58" s="77">
        <f t="shared" si="17"/>
        <v>4.1000000000167347E-2</v>
      </c>
    </row>
    <row r="59" spans="1:44" x14ac:dyDescent="0.25">
      <c r="A59" t="str">
        <f t="shared" si="14"/>
        <v>46231E</v>
      </c>
      <c r="B59" s="51">
        <f t="shared" si="18"/>
        <v>46231</v>
      </c>
      <c r="C59" s="52" t="s">
        <v>88</v>
      </c>
      <c r="D59" s="91">
        <v>2169.8000000000002</v>
      </c>
      <c r="E59" s="62">
        <v>4.67</v>
      </c>
      <c r="F59" s="62">
        <v>8.2799999999999994</v>
      </c>
      <c r="G59" s="62">
        <f t="shared" si="0"/>
        <v>101.32966</v>
      </c>
      <c r="H59" s="63">
        <f t="shared" si="1"/>
        <v>179.65944000000002</v>
      </c>
      <c r="I59" s="118">
        <v>1124.9000000000001</v>
      </c>
      <c r="J59" s="119">
        <v>1158.6470000000002</v>
      </c>
      <c r="K59" s="120">
        <v>4.5237265534714179</v>
      </c>
      <c r="L59" s="121">
        <v>8.1946306338341195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1158.6470000000002</v>
      </c>
      <c r="S59" s="62">
        <f t="shared" si="3"/>
        <v>52.414021999999989</v>
      </c>
      <c r="T59" s="63">
        <f t="shared" si="4"/>
        <v>94.946842000000032</v>
      </c>
      <c r="U59" s="64" t="s">
        <v>167</v>
      </c>
      <c r="V59" s="65" t="s">
        <v>180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20"/>
        <v>0</v>
      </c>
      <c r="AB59" s="63">
        <f t="shared" si="21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>
        <v>3379.8</v>
      </c>
      <c r="AI59" s="66">
        <v>4.6100000000000003</v>
      </c>
      <c r="AJ59" s="66">
        <v>8.25</v>
      </c>
      <c r="AK59" s="62">
        <f t="shared" si="9"/>
        <v>155.80878000000001</v>
      </c>
      <c r="AL59" s="72">
        <f t="shared" si="10"/>
        <v>278.83350000000002</v>
      </c>
      <c r="AM59" s="73">
        <f t="shared" si="15"/>
        <v>-51.353000000000065</v>
      </c>
      <c r="AN59" s="74">
        <f t="shared" si="19"/>
        <v>-2.0650980000000345</v>
      </c>
      <c r="AO59" s="74">
        <f t="shared" si="19"/>
        <v>-4.2272179999999366</v>
      </c>
      <c r="AP59" s="75">
        <f t="shared" si="16"/>
        <v>-4.2700048229901602E-2</v>
      </c>
      <c r="AQ59" s="76">
        <f t="shared" si="12"/>
        <v>-2258.3609587035821</v>
      </c>
      <c r="AR59" s="77">
        <f t="shared" si="17"/>
        <v>-51.353000000000065</v>
      </c>
    </row>
    <row r="60" spans="1:44" x14ac:dyDescent="0.25">
      <c r="A60" t="str">
        <f t="shared" si="14"/>
        <v>46232M</v>
      </c>
      <c r="B60" s="51">
        <f t="shared" si="18"/>
        <v>46232</v>
      </c>
      <c r="C60" s="52" t="s">
        <v>87</v>
      </c>
      <c r="D60" s="91">
        <v>3379.8</v>
      </c>
      <c r="E60" s="62">
        <v>4.6100000000000003</v>
      </c>
      <c r="F60" s="62">
        <v>8.25</v>
      </c>
      <c r="G60" s="62">
        <f t="shared" si="0"/>
        <v>155.80878000000001</v>
      </c>
      <c r="H60" s="63">
        <f t="shared" si="1"/>
        <v>278.83350000000002</v>
      </c>
      <c r="I60" s="118">
        <v>1270.9999999999998</v>
      </c>
      <c r="J60" s="119">
        <v>1309.1299999999999</v>
      </c>
      <c r="K60" s="120">
        <v>4.945680566483083</v>
      </c>
      <c r="L60" s="121">
        <v>8.3520771046420119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2"/>
        <v>1309.1299999999999</v>
      </c>
      <c r="S60" s="62">
        <f t="shared" si="3"/>
        <v>64.745387999999977</v>
      </c>
      <c r="T60" s="63">
        <f t="shared" si="4"/>
        <v>109.33954699999997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20"/>
        <v>0</v>
      </c>
      <c r="AB60" s="63">
        <f t="shared" si="21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>
        <v>4688.8999999999996</v>
      </c>
      <c r="AI60" s="66">
        <v>4.7</v>
      </c>
      <c r="AJ60" s="66">
        <v>8.27</v>
      </c>
      <c r="AK60" s="62">
        <f t="shared" si="9"/>
        <v>220.3783</v>
      </c>
      <c r="AL60" s="72">
        <f t="shared" si="10"/>
        <v>387.77202999999997</v>
      </c>
      <c r="AM60" s="73">
        <f t="shared" si="15"/>
        <v>3.0000000000654836E-2</v>
      </c>
      <c r="AN60" s="74">
        <f t="shared" si="19"/>
        <v>0.17586800000000835</v>
      </c>
      <c r="AO60" s="74">
        <f t="shared" si="19"/>
        <v>0.40101700000002438</v>
      </c>
      <c r="AP60" s="75">
        <f t="shared" si="16"/>
        <v>3.3138134554838586E-3</v>
      </c>
      <c r="AQ60" s="76">
        <f t="shared" si="12"/>
        <v>204.61131931652608</v>
      </c>
      <c r="AR60" s="77">
        <f t="shared" si="17"/>
        <v>3.0000000000654836E-2</v>
      </c>
    </row>
    <row r="61" spans="1:44" x14ac:dyDescent="0.25">
      <c r="A61" t="str">
        <f t="shared" si="14"/>
        <v>46232E</v>
      </c>
      <c r="B61" s="51">
        <f t="shared" si="18"/>
        <v>46232</v>
      </c>
      <c r="C61" s="52" t="s">
        <v>88</v>
      </c>
      <c r="D61" s="91">
        <v>4688.8999999999996</v>
      </c>
      <c r="E61" s="62">
        <v>4.7</v>
      </c>
      <c r="F61" s="62">
        <v>8.27</v>
      </c>
      <c r="G61" s="62">
        <f t="shared" si="0"/>
        <v>220.3783</v>
      </c>
      <c r="H61" s="63">
        <f t="shared" si="1"/>
        <v>387.77202999999997</v>
      </c>
      <c r="I61" s="118">
        <v>1206.5999999999999</v>
      </c>
      <c r="J61" s="119">
        <v>1242.798</v>
      </c>
      <c r="K61" s="120">
        <v>4.580515498093817</v>
      </c>
      <c r="L61" s="121">
        <v>8.2476545665506382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1242.798</v>
      </c>
      <c r="S61" s="62">
        <f t="shared" si="3"/>
        <v>56.926555</v>
      </c>
      <c r="T61" s="63">
        <f t="shared" si="4"/>
        <v>102.50168600000001</v>
      </c>
      <c r="U61" s="64" t="s">
        <v>170</v>
      </c>
      <c r="V61" s="65" t="s">
        <v>937</v>
      </c>
      <c r="W61" s="66" t="s">
        <v>272</v>
      </c>
      <c r="X61" s="67">
        <v>3100</v>
      </c>
      <c r="Y61" s="68">
        <v>4.75</v>
      </c>
      <c r="Z61" s="68">
        <v>8.42</v>
      </c>
      <c r="AA61" s="62">
        <f t="shared" si="20"/>
        <v>147.25</v>
      </c>
      <c r="AB61" s="63">
        <f t="shared" si="21"/>
        <v>261.02</v>
      </c>
      <c r="AC61" s="69">
        <v>3080</v>
      </c>
      <c r="AD61" s="70">
        <v>4.6500000000000004</v>
      </c>
      <c r="AE61" s="70">
        <v>8.2100000000000009</v>
      </c>
      <c r="AF61" s="62">
        <f t="shared" si="7"/>
        <v>143.22000000000003</v>
      </c>
      <c r="AG61" s="63">
        <f t="shared" si="8"/>
        <v>252.86800000000002</v>
      </c>
      <c r="AH61" s="89">
        <v>2831.6</v>
      </c>
      <c r="AI61" s="66">
        <v>4.67</v>
      </c>
      <c r="AJ61" s="66">
        <v>8.26</v>
      </c>
      <c r="AK61" s="62">
        <f t="shared" si="9"/>
        <v>132.23571999999999</v>
      </c>
      <c r="AL61" s="72">
        <f t="shared" si="10"/>
        <v>233.89015999999998</v>
      </c>
      <c r="AM61" s="73">
        <f t="shared" si="15"/>
        <v>20.097999999999502</v>
      </c>
      <c r="AN61" s="74">
        <f t="shared" si="19"/>
        <v>1.8491349999999613</v>
      </c>
      <c r="AO61" s="74">
        <f t="shared" si="19"/>
        <v>3.5155559999999753</v>
      </c>
      <c r="AP61" s="75">
        <f t="shared" si="16"/>
        <v>3.3649565261150538E-2</v>
      </c>
      <c r="AQ61" s="76">
        <f t="shared" si="12"/>
        <v>1941.4472749586503</v>
      </c>
      <c r="AR61" s="77">
        <f t="shared" si="17"/>
        <v>9.799999999904685E-2</v>
      </c>
    </row>
    <row r="62" spans="1:44" x14ac:dyDescent="0.25">
      <c r="A62" t="str">
        <f t="shared" si="14"/>
        <v>46233M</v>
      </c>
      <c r="B62" s="51">
        <f t="shared" si="18"/>
        <v>46233</v>
      </c>
      <c r="C62" s="52" t="s">
        <v>87</v>
      </c>
      <c r="D62" s="91">
        <v>2831.6</v>
      </c>
      <c r="E62" s="62">
        <v>4.67</v>
      </c>
      <c r="F62" s="62">
        <v>8.26</v>
      </c>
      <c r="G62" s="62">
        <f t="shared" si="0"/>
        <v>132.23571999999999</v>
      </c>
      <c r="H62" s="63">
        <f t="shared" si="1"/>
        <v>233.89015999999998</v>
      </c>
      <c r="I62" s="118">
        <v>1418.5000000000002</v>
      </c>
      <c r="J62" s="119">
        <v>1461.0550000000003</v>
      </c>
      <c r="K62" s="120">
        <v>4.6473951357067325</v>
      </c>
      <c r="L62" s="121">
        <v>8.3592738808600657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1461.0550000000003</v>
      </c>
      <c r="S62" s="62">
        <f t="shared" si="3"/>
        <v>67.900999000000013</v>
      </c>
      <c r="T62" s="63">
        <f t="shared" si="4"/>
        <v>122.13358900000006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20"/>
        <v>0</v>
      </c>
      <c r="AB62" s="63">
        <f t="shared" si="21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>
        <v>4247.6000000000004</v>
      </c>
      <c r="AI62" s="66">
        <v>4.71</v>
      </c>
      <c r="AJ62" s="66">
        <v>8.3800000000000008</v>
      </c>
      <c r="AK62" s="62">
        <f t="shared" si="9"/>
        <v>200.06196000000003</v>
      </c>
      <c r="AL62" s="72">
        <f t="shared" si="10"/>
        <v>355.94888000000009</v>
      </c>
      <c r="AM62" s="73">
        <f t="shared" si="15"/>
        <v>45.055000000000291</v>
      </c>
      <c r="AN62" s="74">
        <f t="shared" si="19"/>
        <v>7.475899999997182E-2</v>
      </c>
      <c r="AO62" s="74">
        <f t="shared" si="19"/>
        <v>7.4868999999978314E-2</v>
      </c>
      <c r="AP62" s="75">
        <f t="shared" si="16"/>
        <v>7.8737245453417185E-4</v>
      </c>
      <c r="AQ62" s="76">
        <f t="shared" si="12"/>
        <v>58.346731616115562</v>
      </c>
      <c r="AR62" s="77">
        <f t="shared" si="17"/>
        <v>45.055000000000291</v>
      </c>
    </row>
    <row r="63" spans="1:44" x14ac:dyDescent="0.25">
      <c r="A63" t="str">
        <f t="shared" si="14"/>
        <v>46233E</v>
      </c>
      <c r="B63" s="51">
        <f t="shared" si="18"/>
        <v>46233</v>
      </c>
      <c r="C63" s="52" t="s">
        <v>88</v>
      </c>
      <c r="D63" s="91">
        <v>4247.6000000000004</v>
      </c>
      <c r="E63" s="62">
        <v>4.71</v>
      </c>
      <c r="F63" s="62">
        <v>8.3800000000000008</v>
      </c>
      <c r="G63" s="62">
        <f t="shared" si="0"/>
        <v>200.06196000000003</v>
      </c>
      <c r="H63" s="63">
        <f t="shared" si="1"/>
        <v>355.94888000000009</v>
      </c>
      <c r="I63" s="118">
        <v>1195.5000000000002</v>
      </c>
      <c r="J63" s="119">
        <v>1231.3650000000002</v>
      </c>
      <c r="K63" s="120">
        <v>4.5629694688414917</v>
      </c>
      <c r="L63" s="121">
        <v>8.1992053534086153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1231.3650000000002</v>
      </c>
      <c r="S63" s="62">
        <f t="shared" si="3"/>
        <v>56.186809000000039</v>
      </c>
      <c r="T63" s="63">
        <f t="shared" si="4"/>
        <v>100.96214500000002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20"/>
        <v>0</v>
      </c>
      <c r="AB63" s="63">
        <f t="shared" si="21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>
        <v>5478.9</v>
      </c>
      <c r="AI63" s="66">
        <v>4.67</v>
      </c>
      <c r="AJ63" s="66">
        <v>8.33</v>
      </c>
      <c r="AK63" s="62">
        <f t="shared" si="9"/>
        <v>255.86462999999998</v>
      </c>
      <c r="AL63" s="72">
        <f t="shared" si="10"/>
        <v>456.39236999999997</v>
      </c>
      <c r="AM63" s="73">
        <f t="shared" si="15"/>
        <v>6.5000000000509317E-2</v>
      </c>
      <c r="AN63" s="74">
        <f t="shared" si="19"/>
        <v>0.38413900000006151</v>
      </c>
      <c r="AO63" s="74">
        <f t="shared" si="19"/>
        <v>0.51865500000013753</v>
      </c>
      <c r="AP63" s="75">
        <f t="shared" si="16"/>
        <v>5.7448298383214105E-3</v>
      </c>
      <c r="AQ63" s="76">
        <f t="shared" si="12"/>
        <v>339.92384701960714</v>
      </c>
      <c r="AR63" s="77">
        <f t="shared" si="17"/>
        <v>6.5000000000509317E-2</v>
      </c>
    </row>
    <row r="64" spans="1:44" x14ac:dyDescent="0.25">
      <c r="A64" t="str">
        <f t="shared" si="14"/>
        <v>46234M</v>
      </c>
      <c r="B64" s="51">
        <f t="shared" si="18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20"/>
        <v>0</v>
      </c>
      <c r="AB64" s="63">
        <f t="shared" si="21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66"/>
      <c r="AJ64" s="66"/>
      <c r="AK64" s="62">
        <f t="shared" si="9"/>
        <v>0</v>
      </c>
      <c r="AL64" s="72">
        <f t="shared" si="10"/>
        <v>0</v>
      </c>
      <c r="AM64" s="73">
        <f t="shared" si="15"/>
        <v>0</v>
      </c>
      <c r="AN64" s="74">
        <f t="shared" si="19"/>
        <v>0</v>
      </c>
      <c r="AO64" s="74">
        <f t="shared" si="19"/>
        <v>0</v>
      </c>
      <c r="AP64" s="75" t="e">
        <f t="shared" si="16"/>
        <v>#DIV/0!</v>
      </c>
      <c r="AQ64" s="76">
        <f t="shared" si="12"/>
        <v>0</v>
      </c>
      <c r="AR64" s="77">
        <f t="shared" si="17"/>
        <v>0</v>
      </c>
    </row>
    <row r="65" spans="1:44" ht="15.75" thickBot="1" x14ac:dyDescent="0.3">
      <c r="A65" t="str">
        <f t="shared" si="14"/>
        <v>46234E</v>
      </c>
      <c r="B65" s="51">
        <f t="shared" si="18"/>
        <v>46234</v>
      </c>
      <c r="C65" s="9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20"/>
        <v>0</v>
      </c>
      <c r="AB65" s="63">
        <f t="shared" si="21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66"/>
      <c r="AJ65" s="66"/>
      <c r="AK65" s="62">
        <f t="shared" si="9"/>
        <v>0</v>
      </c>
      <c r="AL65" s="72">
        <f t="shared" si="10"/>
        <v>0</v>
      </c>
      <c r="AM65" s="73">
        <f t="shared" si="15"/>
        <v>0</v>
      </c>
      <c r="AN65" s="74">
        <f t="shared" si="19"/>
        <v>0</v>
      </c>
      <c r="AO65" s="74">
        <f t="shared" si="19"/>
        <v>0</v>
      </c>
      <c r="AP65" s="75" t="e">
        <f t="shared" si="16"/>
        <v>#DIV/0!</v>
      </c>
      <c r="AQ65" s="76">
        <f t="shared" si="12"/>
        <v>0</v>
      </c>
      <c r="AR65" s="77">
        <f t="shared" si="17"/>
        <v>0</v>
      </c>
    </row>
    <row r="66" spans="1:44" ht="15.75" thickBot="1" x14ac:dyDescent="0.3">
      <c r="J66" s="83">
        <f>SUM(J4:J65)</f>
        <v>83646.506000000008</v>
      </c>
      <c r="R66">
        <f>+J66+O66</f>
        <v>83646.506000000008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3">
        <f>-SUM(AM4:AM65)</f>
        <v>418.99399999999906</v>
      </c>
      <c r="AN66" s="93">
        <f>-SUM(AN4:AN65)</f>
        <v>81.869301000000462</v>
      </c>
      <c r="AO66" s="93">
        <f>-SUM(AO4:AO65)</f>
        <v>-18.052255000000454</v>
      </c>
      <c r="AP66" s="94"/>
      <c r="AQ66" s="95">
        <f>-SUM(AQ4:AQ65)</f>
        <v>33934.374021517178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9" priority="2" operator="lessThan">
      <formula>0.1</formula>
    </cfRule>
    <cfRule type="cellIs" dxfId="78" priority="3" operator="greaterThan">
      <formula>0.1</formula>
    </cfRule>
  </conditionalFormatting>
  <conditionalFormatting sqref="AP1:AQ1">
    <cfRule type="cellIs" dxfId="77" priority="1" operator="lessThan">
      <formula>1</formula>
    </cfRule>
  </conditionalFormatting>
  <conditionalFormatting sqref="AQ4:AQ65">
    <cfRule type="cellIs" dxfId="76" priority="4" operator="lessThan">
      <formula>0</formula>
    </cfRule>
    <cfRule type="cellIs" dxfId="75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71"/>
  <sheetViews>
    <sheetView zoomScale="80" zoomScaleNormal="80" workbookViewId="0">
      <pane xSplit="3" ySplit="3" topLeftCell="L49" activePane="bottomRight" state="frozen"/>
      <selection pane="topRight" activeCell="D1" sqref="D1"/>
      <selection pane="bottomLeft" activeCell="A4" sqref="A4"/>
      <selection pane="bottomRight" activeCell="AC56" sqref="AC56:AE56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8.8554687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147</v>
      </c>
      <c r="C1" s="44"/>
      <c r="G1" s="207"/>
      <c r="H1" s="207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1783</v>
      </c>
      <c r="E4" s="88">
        <v>4.13</v>
      </c>
      <c r="F4" s="88">
        <v>8.19</v>
      </c>
      <c r="G4" s="62">
        <f t="shared" ref="G4:G65" si="0">+D4*E4%</f>
        <v>73.637899999999988</v>
      </c>
      <c r="H4" s="63">
        <f t="shared" ref="H4:H65" si="1">+D4*F4%</f>
        <v>146.02770000000001</v>
      </c>
      <c r="I4" s="202">
        <v>1058.0999999999999</v>
      </c>
      <c r="J4" s="202">
        <v>1089.8429999999998</v>
      </c>
      <c r="K4" s="202">
        <v>4.4318306398261029</v>
      </c>
      <c r="L4" s="202">
        <v>8.3227388715622332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1089.8429999999998</v>
      </c>
      <c r="S4" s="62">
        <f t="shared" ref="S4:S65" si="3">+J4*K4%+O4*P4%</f>
        <v>48.299995999999986</v>
      </c>
      <c r="T4" s="63">
        <f t="shared" ref="T4:T65" si="4">+J4*L4%+O4*Q4%</f>
        <v>90.704786999999982</v>
      </c>
      <c r="U4" s="64" t="s">
        <v>170</v>
      </c>
      <c r="V4" s="65" t="s">
        <v>231</v>
      </c>
      <c r="W4" s="66" t="s">
        <v>193</v>
      </c>
      <c r="X4" s="67">
        <v>2990</v>
      </c>
      <c r="Y4" s="68">
        <v>4.1500000000000004</v>
      </c>
      <c r="Z4" s="68">
        <v>7.8</v>
      </c>
      <c r="AA4" s="62">
        <f t="shared" ref="AA4:AA65" si="5">X4*Y4%</f>
        <v>124.08500000000001</v>
      </c>
      <c r="AB4" s="63">
        <f t="shared" ref="AB4:AB65" si="6">X4*Z4%</f>
        <v>233.22</v>
      </c>
      <c r="AC4" s="69">
        <v>2990</v>
      </c>
      <c r="AD4" s="70">
        <v>4.0999999999999996</v>
      </c>
      <c r="AE4" s="70">
        <v>7.73</v>
      </c>
      <c r="AF4" s="62">
        <f t="shared" ref="AF4:AF65" si="7">AC4*AD4%</f>
        <v>122.58999999999999</v>
      </c>
      <c r="AG4" s="62">
        <f t="shared" ref="AG4:AG65" si="8">AC4*AE4%</f>
        <v>231.12700000000001</v>
      </c>
      <c r="AH4" s="89">
        <v>0</v>
      </c>
      <c r="AI4" s="66">
        <v>0</v>
      </c>
      <c r="AJ4" s="66">
        <v>0</v>
      </c>
      <c r="AK4" s="62">
        <f t="shared" ref="AK4:AK65" si="9">AH4*AI4%</f>
        <v>0</v>
      </c>
      <c r="AL4" s="72">
        <f t="shared" ref="AL4:AL65" si="10">AH4*AJ4%</f>
        <v>0</v>
      </c>
      <c r="AM4" s="73">
        <f t="shared" ref="AM4:AM65" si="11">+D4+R4-AC4-AH4</f>
        <v>-117.15700000000015</v>
      </c>
      <c r="AN4" s="74">
        <f t="shared" ref="AN4:AO19" si="12">+G4+S4-AF4-AK4</f>
        <v>-0.65210400000002267</v>
      </c>
      <c r="AO4" s="74">
        <f t="shared" si="12"/>
        <v>5.6054869999999823</v>
      </c>
      <c r="AP4" s="75">
        <f t="shared" ref="AP4:AP65" si="13">(AN4+AO4)/(S4+T4)</f>
        <v>3.5634622730931209E-2</v>
      </c>
      <c r="AQ4" s="76">
        <f t="shared" ref="AQ4:AQ65" si="14">($AP$1*AN4+$AQ$1*AO4)</f>
        <v>1365.4362579357203</v>
      </c>
      <c r="AR4" s="90">
        <f t="shared" ref="AR4:AR65" si="15">(D4+J4+O4)-(X4+AH4)</f>
        <v>-117.15700000000015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0</v>
      </c>
      <c r="E5" s="62">
        <v>0</v>
      </c>
      <c r="F5" s="62">
        <v>0</v>
      </c>
      <c r="G5" s="62">
        <f t="shared" si="0"/>
        <v>0</v>
      </c>
      <c r="H5" s="63">
        <f t="shared" si="1"/>
        <v>0</v>
      </c>
      <c r="I5" s="202">
        <v>1852.0000000000002</v>
      </c>
      <c r="J5" s="202">
        <v>1907.5600000000002</v>
      </c>
      <c r="K5" s="202">
        <v>3.9065550755939538</v>
      </c>
      <c r="L5" s="202">
        <v>8.2483369330453602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1907.5600000000002</v>
      </c>
      <c r="S5" s="62">
        <f t="shared" si="3"/>
        <v>74.519882000000038</v>
      </c>
      <c r="T5" s="63">
        <f t="shared" si="4"/>
        <v>157.34197600000007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1907.5</v>
      </c>
      <c r="AI5" s="66">
        <v>3.91</v>
      </c>
      <c r="AJ5" s="66">
        <v>8.25</v>
      </c>
      <c r="AK5" s="62">
        <f t="shared" si="9"/>
        <v>74.583250000000007</v>
      </c>
      <c r="AL5" s="72">
        <f t="shared" si="10"/>
        <v>157.36875000000001</v>
      </c>
      <c r="AM5" s="73">
        <f t="shared" si="11"/>
        <v>6.0000000000172804E-2</v>
      </c>
      <c r="AN5" s="74">
        <f t="shared" si="12"/>
        <v>-6.3367999999968561E-2</v>
      </c>
      <c r="AO5" s="74">
        <f t="shared" si="12"/>
        <v>-2.677399999993213E-2</v>
      </c>
      <c r="AP5" s="75">
        <f t="shared" si="13"/>
        <v>-3.8877459525878832E-4</v>
      </c>
      <c r="AQ5" s="76">
        <f t="shared" si="14"/>
        <v>-38.46896104603421</v>
      </c>
      <c r="AR5" s="90">
        <f t="shared" si="15"/>
        <v>6.0000000000172804E-2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1907.5</v>
      </c>
      <c r="E6" s="62">
        <v>3.91</v>
      </c>
      <c r="F6" s="62">
        <v>8.25</v>
      </c>
      <c r="G6" s="62">
        <f t="shared" ref="G6:G39" si="17">+D6*E6%</f>
        <v>74.583250000000007</v>
      </c>
      <c r="H6" s="63">
        <f t="shared" ref="H6:H39" si="18">+D6*F6%</f>
        <v>157.36875000000001</v>
      </c>
      <c r="I6" s="202">
        <v>1200.0999999999997</v>
      </c>
      <c r="J6" s="202">
        <v>1236.1029999999996</v>
      </c>
      <c r="K6" s="202">
        <v>4.5630030830764108</v>
      </c>
      <c r="L6" s="202">
        <v>8.4067744354637117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ref="R6:R40" si="19">+J6+O6</f>
        <v>1236.1029999999996</v>
      </c>
      <c r="S6" s="62">
        <f t="shared" ref="S6:S40" si="20">+J6*K6%+O6*P6%</f>
        <v>56.403417999999988</v>
      </c>
      <c r="T6" s="63">
        <f t="shared" ref="T6:T40" si="21">+J6*L6%+O6*Q6%</f>
        <v>103.91639099999996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ref="AA6:AA40" si="22">X6*Y6%</f>
        <v>0</v>
      </c>
      <c r="AB6" s="63">
        <f t="shared" ref="AB6:AB40" si="23">X6*Z6%</f>
        <v>0</v>
      </c>
      <c r="AC6" s="69"/>
      <c r="AD6" s="70"/>
      <c r="AE6" s="70"/>
      <c r="AF6" s="62">
        <f t="shared" ref="AF6:AF40" si="24">AC6*AD6%</f>
        <v>0</v>
      </c>
      <c r="AG6" s="62">
        <f t="shared" ref="AG6:AG40" si="25">AC6*AE6%</f>
        <v>0</v>
      </c>
      <c r="AH6" s="89">
        <v>3143.6</v>
      </c>
      <c r="AI6" s="66">
        <v>4.16</v>
      </c>
      <c r="AJ6" s="66">
        <v>8.31</v>
      </c>
      <c r="AK6" s="62">
        <f t="shared" ref="AK6:AK40" si="26">AH6*AI6%</f>
        <v>130.77375999999998</v>
      </c>
      <c r="AL6" s="72">
        <f t="shared" ref="AL6:AL40" si="27">AH6*AJ6%</f>
        <v>261.23316</v>
      </c>
      <c r="AM6" s="73">
        <f t="shared" si="11"/>
        <v>2.9999999997016857E-3</v>
      </c>
      <c r="AN6" s="74">
        <f t="shared" si="12"/>
        <v>0.21290800000002719</v>
      </c>
      <c r="AO6" s="74">
        <f t="shared" si="12"/>
        <v>5.1980999999955202E-2</v>
      </c>
      <c r="AP6" s="75">
        <f t="shared" si="13"/>
        <v>1.6522537149478668E-3</v>
      </c>
      <c r="AQ6" s="76">
        <f t="shared" si="14"/>
        <v>117.87707013296445</v>
      </c>
      <c r="AR6" s="90">
        <f t="shared" si="15"/>
        <v>2.9999999997016857E-3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3143.6</v>
      </c>
      <c r="E7" s="62">
        <v>4.16</v>
      </c>
      <c r="F7" s="62">
        <v>8.31</v>
      </c>
      <c r="G7" s="62">
        <f t="shared" si="17"/>
        <v>130.77375999999998</v>
      </c>
      <c r="H7" s="63">
        <f t="shared" si="18"/>
        <v>261.23316</v>
      </c>
      <c r="I7" s="202">
        <v>1738.6</v>
      </c>
      <c r="J7" s="202">
        <v>1790.758</v>
      </c>
      <c r="K7" s="202">
        <v>3.945904750949039</v>
      </c>
      <c r="L7" s="202">
        <v>8.2303002415736799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9"/>
        <v>1790.758</v>
      </c>
      <c r="S7" s="62">
        <f t="shared" si="20"/>
        <v>70.661604999999994</v>
      </c>
      <c r="T7" s="63">
        <f t="shared" si="21"/>
        <v>147.38476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2"/>
        <v>0</v>
      </c>
      <c r="AB7" s="63">
        <f t="shared" si="23"/>
        <v>0</v>
      </c>
      <c r="AC7" s="69"/>
      <c r="AD7" s="70"/>
      <c r="AE7" s="70"/>
      <c r="AF7" s="62">
        <f t="shared" si="24"/>
        <v>0</v>
      </c>
      <c r="AG7" s="62">
        <f t="shared" si="25"/>
        <v>0</v>
      </c>
      <c r="AH7" s="89">
        <v>4934.3</v>
      </c>
      <c r="AI7" s="66">
        <v>4.08</v>
      </c>
      <c r="AJ7" s="66">
        <v>8.2799999999999994</v>
      </c>
      <c r="AK7" s="62">
        <f t="shared" si="26"/>
        <v>201.31944000000001</v>
      </c>
      <c r="AL7" s="72">
        <f t="shared" si="27"/>
        <v>408.56004000000001</v>
      </c>
      <c r="AM7" s="73">
        <f t="shared" si="11"/>
        <v>5.7999999999992724E-2</v>
      </c>
      <c r="AN7" s="74">
        <f t="shared" si="12"/>
        <v>0.11592499999997585</v>
      </c>
      <c r="AO7" s="74">
        <f t="shared" si="12"/>
        <v>5.7880000000011478E-2</v>
      </c>
      <c r="AP7" s="75">
        <f t="shared" si="13"/>
        <v>7.9710111195840092E-4</v>
      </c>
      <c r="AQ7" s="76">
        <f t="shared" si="14"/>
        <v>73.040280167045637</v>
      </c>
      <c r="AR7" s="90">
        <f t="shared" si="15"/>
        <v>5.7999999999992724E-2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4934.3</v>
      </c>
      <c r="E8" s="62">
        <v>4.08</v>
      </c>
      <c r="F8" s="62">
        <v>8.2799999999999994</v>
      </c>
      <c r="G8" s="62">
        <f t="shared" si="17"/>
        <v>201.31944000000001</v>
      </c>
      <c r="H8" s="63">
        <f t="shared" si="18"/>
        <v>408.56004000000001</v>
      </c>
      <c r="I8" s="202">
        <v>1217.8</v>
      </c>
      <c r="J8" s="202">
        <v>1254.3340000000001</v>
      </c>
      <c r="K8" s="202">
        <v>4.4690343241911643</v>
      </c>
      <c r="L8" s="202">
        <v>8.2495073082607977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9"/>
        <v>1254.3340000000001</v>
      </c>
      <c r="S8" s="62">
        <f t="shared" si="20"/>
        <v>56.056617000000003</v>
      </c>
      <c r="T8" s="63">
        <f t="shared" si="21"/>
        <v>103.476375</v>
      </c>
      <c r="U8" s="64" t="s">
        <v>269</v>
      </c>
      <c r="V8" s="65" t="s">
        <v>270</v>
      </c>
      <c r="W8" s="66" t="s">
        <v>181</v>
      </c>
      <c r="X8" s="67">
        <v>6260</v>
      </c>
      <c r="Y8" s="68">
        <v>4.26</v>
      </c>
      <c r="Z8" s="68">
        <v>8.1300000000000008</v>
      </c>
      <c r="AA8" s="62">
        <f t="shared" si="22"/>
        <v>266.67599999999999</v>
      </c>
      <c r="AB8" s="63">
        <f t="shared" si="23"/>
        <v>508.93800000000005</v>
      </c>
      <c r="AC8" s="69">
        <v>6260</v>
      </c>
      <c r="AD8" s="70">
        <v>4.4467252396166135</v>
      </c>
      <c r="AE8" s="70">
        <v>8.1364057507987209</v>
      </c>
      <c r="AF8" s="62">
        <f t="shared" si="24"/>
        <v>278.36500000000001</v>
      </c>
      <c r="AG8" s="62">
        <f t="shared" si="25"/>
        <v>509.33899999999994</v>
      </c>
      <c r="AH8" s="89">
        <v>0</v>
      </c>
      <c r="AI8" s="66">
        <v>0</v>
      </c>
      <c r="AJ8" s="66">
        <v>0</v>
      </c>
      <c r="AK8" s="62">
        <f t="shared" si="26"/>
        <v>0</v>
      </c>
      <c r="AL8" s="72">
        <f t="shared" si="27"/>
        <v>0</v>
      </c>
      <c r="AM8" s="73">
        <f t="shared" si="11"/>
        <v>-71.365999999999985</v>
      </c>
      <c r="AN8" s="74">
        <f t="shared" si="12"/>
        <v>-20.988943000000006</v>
      </c>
      <c r="AO8" s="74">
        <f t="shared" si="12"/>
        <v>2.6974150000000918</v>
      </c>
      <c r="AP8" s="75">
        <f t="shared" si="13"/>
        <v>-0.11465671000516253</v>
      </c>
      <c r="AQ8" s="76">
        <f t="shared" si="14"/>
        <v>-9278.0184478395222</v>
      </c>
      <c r="AR8" s="90">
        <f t="shared" si="15"/>
        <v>-71.365999999999985</v>
      </c>
    </row>
    <row r="9" spans="1:44" x14ac:dyDescent="0.25">
      <c r="A9" t="str">
        <f t="shared" si="16"/>
        <v>46206E</v>
      </c>
      <c r="B9" s="51">
        <f t="shared" ref="B9:B65" si="28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17"/>
        <v>0</v>
      </c>
      <c r="H9" s="63">
        <f t="shared" si="18"/>
        <v>0</v>
      </c>
      <c r="I9" s="202">
        <v>1821.3000000000002</v>
      </c>
      <c r="J9" s="202">
        <v>1875.9390000000003</v>
      </c>
      <c r="K9" s="202">
        <v>3.8764673584802067</v>
      </c>
      <c r="L9" s="202">
        <v>8.2200680832372459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9"/>
        <v>1875.9390000000003</v>
      </c>
      <c r="S9" s="62">
        <f t="shared" si="20"/>
        <v>72.720163000000014</v>
      </c>
      <c r="T9" s="63">
        <f t="shared" si="21"/>
        <v>154.203463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22"/>
        <v>0</v>
      </c>
      <c r="AB9" s="63">
        <f t="shared" si="23"/>
        <v>0</v>
      </c>
      <c r="AC9" s="69"/>
      <c r="AD9" s="70"/>
      <c r="AE9" s="70"/>
      <c r="AF9" s="62">
        <f t="shared" si="24"/>
        <v>0</v>
      </c>
      <c r="AG9" s="62">
        <f t="shared" si="25"/>
        <v>0</v>
      </c>
      <c r="AH9" s="89">
        <v>1875.9</v>
      </c>
      <c r="AI9" s="66">
        <v>3.87</v>
      </c>
      <c r="AJ9" s="66">
        <v>8.2200000000000006</v>
      </c>
      <c r="AK9" s="62">
        <f t="shared" si="26"/>
        <v>72.597329999999999</v>
      </c>
      <c r="AL9" s="72">
        <f t="shared" si="27"/>
        <v>154.19898000000003</v>
      </c>
      <c r="AM9" s="73">
        <f t="shared" si="11"/>
        <v>3.9000000000214641E-2</v>
      </c>
      <c r="AN9" s="74">
        <f t="shared" si="12"/>
        <v>0.12283300000001418</v>
      </c>
      <c r="AO9" s="74">
        <f t="shared" si="12"/>
        <v>4.4829999999649317E-3</v>
      </c>
      <c r="AP9" s="75">
        <f t="shared" si="13"/>
        <v>5.6105220176580072E-4</v>
      </c>
      <c r="AQ9" s="76">
        <f t="shared" si="14"/>
        <v>60.367872865140598</v>
      </c>
      <c r="AR9" s="90">
        <f t="shared" si="15"/>
        <v>3.9000000000214641E-2</v>
      </c>
    </row>
    <row r="10" spans="1:44" x14ac:dyDescent="0.25">
      <c r="A10" t="str">
        <f t="shared" si="16"/>
        <v>46207M</v>
      </c>
      <c r="B10" s="51">
        <f t="shared" si="28"/>
        <v>46207</v>
      </c>
      <c r="C10" s="52" t="s">
        <v>87</v>
      </c>
      <c r="D10" s="91">
        <v>1875.9</v>
      </c>
      <c r="E10" s="62">
        <v>3.87</v>
      </c>
      <c r="F10" s="62">
        <v>8.2200000000000006</v>
      </c>
      <c r="G10" s="62">
        <f t="shared" si="17"/>
        <v>72.597329999999999</v>
      </c>
      <c r="H10" s="63">
        <f t="shared" si="18"/>
        <v>154.19898000000003</v>
      </c>
      <c r="I10" s="202">
        <v>1163.7</v>
      </c>
      <c r="J10" s="202">
        <v>1198.6110000000001</v>
      </c>
      <c r="K10" s="202">
        <v>4.4890349746498224</v>
      </c>
      <c r="L10" s="202">
        <v>8.2758099166451835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9"/>
        <v>1198.6110000000001</v>
      </c>
      <c r="S10" s="62">
        <f t="shared" si="20"/>
        <v>53.806066999999985</v>
      </c>
      <c r="T10" s="63">
        <f t="shared" si="21"/>
        <v>99.19476800000001</v>
      </c>
      <c r="U10" s="64" t="s">
        <v>170</v>
      </c>
      <c r="V10" s="65" t="s">
        <v>329</v>
      </c>
      <c r="W10" s="66" t="s">
        <v>193</v>
      </c>
      <c r="X10" s="67">
        <v>3100</v>
      </c>
      <c r="Y10" s="68">
        <v>4.3</v>
      </c>
      <c r="Z10" s="68">
        <v>8.14</v>
      </c>
      <c r="AA10" s="62">
        <f t="shared" si="22"/>
        <v>133.29999999999998</v>
      </c>
      <c r="AB10" s="63">
        <f t="shared" si="23"/>
        <v>252.34</v>
      </c>
      <c r="AC10" s="69">
        <v>3080</v>
      </c>
      <c r="AD10" s="70">
        <v>4.25</v>
      </c>
      <c r="AE10" s="70">
        <v>8.01</v>
      </c>
      <c r="AF10" s="62">
        <f t="shared" si="24"/>
        <v>130.9</v>
      </c>
      <c r="AG10" s="62">
        <f t="shared" si="25"/>
        <v>246.70800000000003</v>
      </c>
      <c r="AH10" s="89">
        <v>0</v>
      </c>
      <c r="AI10" s="66">
        <v>0</v>
      </c>
      <c r="AJ10" s="66">
        <v>0</v>
      </c>
      <c r="AK10" s="62">
        <f t="shared" si="26"/>
        <v>0</v>
      </c>
      <c r="AL10" s="72">
        <f t="shared" si="27"/>
        <v>0</v>
      </c>
      <c r="AM10" s="73">
        <f t="shared" si="11"/>
        <v>-5.488999999999578</v>
      </c>
      <c r="AN10" s="74">
        <f t="shared" si="12"/>
        <v>-4.4966030000000217</v>
      </c>
      <c r="AO10" s="74">
        <f t="shared" si="12"/>
        <v>6.685748000000018</v>
      </c>
      <c r="AP10" s="75">
        <f t="shared" si="13"/>
        <v>1.4308059168435234E-2</v>
      </c>
      <c r="AQ10" s="76">
        <f t="shared" si="14"/>
        <v>-158.44208380059627</v>
      </c>
      <c r="AR10" s="90">
        <f t="shared" si="15"/>
        <v>-25.488999999999578</v>
      </c>
    </row>
    <row r="11" spans="1:44" x14ac:dyDescent="0.25">
      <c r="A11" t="str">
        <f t="shared" si="16"/>
        <v>46207E</v>
      </c>
      <c r="B11" s="51">
        <f t="shared" si="28"/>
        <v>46207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17"/>
        <v>0</v>
      </c>
      <c r="H11" s="63">
        <f t="shared" si="18"/>
        <v>0</v>
      </c>
      <c r="I11" s="202">
        <v>1913</v>
      </c>
      <c r="J11" s="202">
        <v>1970.39</v>
      </c>
      <c r="K11" s="202">
        <v>3.7586722425509667</v>
      </c>
      <c r="L11" s="202">
        <v>8.203742812336646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9"/>
        <v>1970.39</v>
      </c>
      <c r="S11" s="62">
        <f t="shared" si="20"/>
        <v>74.060502</v>
      </c>
      <c r="T11" s="63">
        <f t="shared" si="21"/>
        <v>161.64572800000005</v>
      </c>
      <c r="U11" s="64" t="s">
        <v>167</v>
      </c>
      <c r="V11" s="65" t="s">
        <v>180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2"/>
        <v>0</v>
      </c>
      <c r="AB11" s="63">
        <f t="shared" si="23"/>
        <v>0</v>
      </c>
      <c r="AC11" s="69"/>
      <c r="AD11" s="70"/>
      <c r="AE11" s="70"/>
      <c r="AF11" s="62">
        <f t="shared" si="24"/>
        <v>0</v>
      </c>
      <c r="AG11" s="62">
        <f t="shared" si="25"/>
        <v>0</v>
      </c>
      <c r="AH11" s="89">
        <v>1970.3</v>
      </c>
      <c r="AI11" s="66">
        <v>3.76</v>
      </c>
      <c r="AJ11" s="66">
        <v>8.1999999999999993</v>
      </c>
      <c r="AK11" s="62">
        <f t="shared" si="26"/>
        <v>74.083279999999988</v>
      </c>
      <c r="AL11" s="72">
        <f t="shared" si="27"/>
        <v>161.56459999999998</v>
      </c>
      <c r="AM11" s="73">
        <f t="shared" si="11"/>
        <v>9.0000000000145519E-2</v>
      </c>
      <c r="AN11" s="74">
        <f t="shared" si="12"/>
        <v>-2.2777999999988197E-2</v>
      </c>
      <c r="AO11" s="74">
        <f t="shared" si="12"/>
        <v>8.1128000000063594E-2</v>
      </c>
      <c r="AP11" s="75">
        <f t="shared" si="13"/>
        <v>2.475539148883565E-4</v>
      </c>
      <c r="AQ11" s="76">
        <f t="shared" si="14"/>
        <v>13.351543414625539</v>
      </c>
      <c r="AR11" s="90">
        <f t="shared" si="15"/>
        <v>9.0000000000145519E-2</v>
      </c>
    </row>
    <row r="12" spans="1:44" x14ac:dyDescent="0.25">
      <c r="A12" t="str">
        <f t="shared" si="16"/>
        <v>46208M</v>
      </c>
      <c r="B12" s="51">
        <f t="shared" si="28"/>
        <v>46208</v>
      </c>
      <c r="C12" s="52" t="s">
        <v>87</v>
      </c>
      <c r="D12" s="91">
        <v>1970.3</v>
      </c>
      <c r="E12" s="62">
        <v>3.76</v>
      </c>
      <c r="F12" s="62">
        <v>8.1999999999999993</v>
      </c>
      <c r="G12" s="62">
        <f t="shared" si="17"/>
        <v>74.083279999999988</v>
      </c>
      <c r="H12" s="63">
        <f t="shared" si="18"/>
        <v>161.56459999999998</v>
      </c>
      <c r="I12" s="202">
        <v>1149.6000000000001</v>
      </c>
      <c r="J12" s="202">
        <v>1184.0880000000002</v>
      </c>
      <c r="K12" s="202">
        <v>4.5558368128044551</v>
      </c>
      <c r="L12" s="202">
        <v>8.1764265831593601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9"/>
        <v>1184.0880000000002</v>
      </c>
      <c r="S12" s="62">
        <f t="shared" si="20"/>
        <v>53.945117000000025</v>
      </c>
      <c r="T12" s="63">
        <f t="shared" si="21"/>
        <v>96.816086000000027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22"/>
        <v>0</v>
      </c>
      <c r="AB12" s="63">
        <f t="shared" si="23"/>
        <v>0</v>
      </c>
      <c r="AC12" s="69"/>
      <c r="AD12" s="70"/>
      <c r="AE12" s="70"/>
      <c r="AF12" s="62">
        <f t="shared" si="24"/>
        <v>0</v>
      </c>
      <c r="AG12" s="62">
        <f t="shared" si="25"/>
        <v>0</v>
      </c>
      <c r="AH12" s="89">
        <v>3154.3</v>
      </c>
      <c r="AI12" s="66">
        <v>4.0599999999999996</v>
      </c>
      <c r="AJ12" s="66">
        <v>8.19</v>
      </c>
      <c r="AK12" s="62">
        <f t="shared" si="26"/>
        <v>128.06458000000001</v>
      </c>
      <c r="AL12" s="72">
        <f t="shared" si="27"/>
        <v>258.33717000000001</v>
      </c>
      <c r="AM12" s="73">
        <f t="shared" si="11"/>
        <v>8.7999999999738066E-2</v>
      </c>
      <c r="AN12" s="74">
        <f t="shared" si="12"/>
        <v>-3.6182999999994081E-2</v>
      </c>
      <c r="AO12" s="74">
        <f t="shared" si="12"/>
        <v>4.351600000001099E-2</v>
      </c>
      <c r="AP12" s="75">
        <f t="shared" si="13"/>
        <v>4.8639834745925363E-5</v>
      </c>
      <c r="AQ12" s="76">
        <f t="shared" si="14"/>
        <v>-4.354454528983501</v>
      </c>
      <c r="AR12" s="90">
        <f t="shared" si="15"/>
        <v>8.7999999999738066E-2</v>
      </c>
    </row>
    <row r="13" spans="1:44" x14ac:dyDescent="0.25">
      <c r="A13" t="str">
        <f t="shared" si="16"/>
        <v>46208E</v>
      </c>
      <c r="B13" s="51">
        <f t="shared" si="28"/>
        <v>46208</v>
      </c>
      <c r="C13" s="52" t="s">
        <v>88</v>
      </c>
      <c r="D13" s="91">
        <v>3154.3</v>
      </c>
      <c r="E13" s="62">
        <v>4.0599999999999996</v>
      </c>
      <c r="F13" s="62">
        <v>8.19</v>
      </c>
      <c r="G13" s="62">
        <f t="shared" si="17"/>
        <v>128.06458000000001</v>
      </c>
      <c r="H13" s="63">
        <f t="shared" si="18"/>
        <v>258.33717000000001</v>
      </c>
      <c r="I13" s="202">
        <v>1874</v>
      </c>
      <c r="J13" s="202">
        <v>1930.22</v>
      </c>
      <c r="K13" s="202">
        <v>3.9648132337246547</v>
      </c>
      <c r="L13" s="202">
        <v>8.1763607257203876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9"/>
        <v>1930.22</v>
      </c>
      <c r="S13" s="62">
        <f t="shared" si="20"/>
        <v>76.529618000000028</v>
      </c>
      <c r="T13" s="63">
        <f t="shared" si="21"/>
        <v>157.82175000000007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2"/>
        <v>0</v>
      </c>
      <c r="AB13" s="63">
        <f t="shared" si="23"/>
        <v>0</v>
      </c>
      <c r="AC13" s="69"/>
      <c r="AD13" s="70"/>
      <c r="AE13" s="70"/>
      <c r="AF13" s="62">
        <f t="shared" si="24"/>
        <v>0</v>
      </c>
      <c r="AG13" s="62">
        <f t="shared" si="25"/>
        <v>0</v>
      </c>
      <c r="AH13" s="89">
        <v>5084.2</v>
      </c>
      <c r="AI13" s="66">
        <v>4.0199999999999996</v>
      </c>
      <c r="AJ13" s="66">
        <v>8.18</v>
      </c>
      <c r="AK13" s="62">
        <f t="shared" si="26"/>
        <v>204.38483999999997</v>
      </c>
      <c r="AL13" s="72">
        <f t="shared" si="27"/>
        <v>415.88755999999995</v>
      </c>
      <c r="AM13" s="73">
        <f t="shared" si="11"/>
        <v>0.32000000000061846</v>
      </c>
      <c r="AN13" s="74">
        <f t="shared" si="12"/>
        <v>0.20935800000006566</v>
      </c>
      <c r="AO13" s="74">
        <f t="shared" si="12"/>
        <v>0.27136000000012928</v>
      </c>
      <c r="AP13" s="75">
        <f t="shared" si="13"/>
        <v>2.0512702959779383E-3</v>
      </c>
      <c r="AQ13" s="76">
        <f t="shared" si="14"/>
        <v>181.87323706925412</v>
      </c>
      <c r="AR13" s="90">
        <f t="shared" si="15"/>
        <v>0.32000000000061846</v>
      </c>
    </row>
    <row r="14" spans="1:44" x14ac:dyDescent="0.25">
      <c r="A14" t="str">
        <f t="shared" si="16"/>
        <v>46209M</v>
      </c>
      <c r="B14" s="51">
        <f t="shared" si="28"/>
        <v>46209</v>
      </c>
      <c r="C14" s="52" t="s">
        <v>87</v>
      </c>
      <c r="D14" s="91">
        <v>5084.2</v>
      </c>
      <c r="E14" s="62">
        <v>4.0199999999999996</v>
      </c>
      <c r="F14" s="62">
        <v>8.18</v>
      </c>
      <c r="G14" s="62">
        <f t="shared" si="17"/>
        <v>204.38483999999997</v>
      </c>
      <c r="H14" s="63">
        <f t="shared" si="18"/>
        <v>415.88755999999995</v>
      </c>
      <c r="I14" s="202">
        <v>1199.8999999999999</v>
      </c>
      <c r="J14" s="202">
        <v>1235.8969999999999</v>
      </c>
      <c r="K14" s="202">
        <v>4.4851737644803737</v>
      </c>
      <c r="L14" s="202">
        <v>8.2452537711475991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9"/>
        <v>1235.8969999999999</v>
      </c>
      <c r="S14" s="62">
        <f t="shared" si="20"/>
        <v>55.432128000000006</v>
      </c>
      <c r="T14" s="63">
        <f t="shared" si="21"/>
        <v>101.90284400000004</v>
      </c>
      <c r="U14" s="64" t="s">
        <v>192</v>
      </c>
      <c r="V14" s="65" t="s">
        <v>330</v>
      </c>
      <c r="W14" s="66" t="s">
        <v>181</v>
      </c>
      <c r="X14" s="67">
        <v>6350</v>
      </c>
      <c r="Y14" s="68">
        <v>4.25</v>
      </c>
      <c r="Z14" s="68">
        <v>8.1999999999999993</v>
      </c>
      <c r="AA14" s="62">
        <f t="shared" si="22"/>
        <v>269.875</v>
      </c>
      <c r="AB14" s="63">
        <f t="shared" si="23"/>
        <v>520.69999999999993</v>
      </c>
      <c r="AC14" s="69">
        <v>6350</v>
      </c>
      <c r="AD14" s="70">
        <v>4.3629921259842526</v>
      </c>
      <c r="AE14" s="70">
        <v>7.9625984251968474</v>
      </c>
      <c r="AF14" s="62">
        <f t="shared" si="24"/>
        <v>277.05</v>
      </c>
      <c r="AG14" s="62">
        <f t="shared" si="25"/>
        <v>505.62499999999977</v>
      </c>
      <c r="AH14" s="89">
        <v>0</v>
      </c>
      <c r="AI14" s="66">
        <v>0</v>
      </c>
      <c r="AJ14" s="66">
        <v>0</v>
      </c>
      <c r="AK14" s="62">
        <f t="shared" si="26"/>
        <v>0</v>
      </c>
      <c r="AL14" s="72">
        <f t="shared" si="27"/>
        <v>0</v>
      </c>
      <c r="AM14" s="73">
        <f t="shared" si="11"/>
        <v>-29.903000000000247</v>
      </c>
      <c r="AN14" s="74">
        <f t="shared" si="12"/>
        <v>-17.233032000000037</v>
      </c>
      <c r="AO14" s="74">
        <f t="shared" si="12"/>
        <v>12.165404000000194</v>
      </c>
      <c r="AP14" s="75">
        <f t="shared" si="13"/>
        <v>-3.2209164533361603E-2</v>
      </c>
      <c r="AQ14" s="76">
        <f t="shared" si="14"/>
        <v>-4637.6025542380339</v>
      </c>
      <c r="AR14" s="90">
        <f t="shared" si="15"/>
        <v>-29.903000000000247</v>
      </c>
    </row>
    <row r="15" spans="1:44" x14ac:dyDescent="0.25">
      <c r="A15" t="str">
        <f t="shared" si="16"/>
        <v>46209E</v>
      </c>
      <c r="B15" s="51">
        <f t="shared" si="28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17"/>
        <v>0</v>
      </c>
      <c r="H15" s="63">
        <f t="shared" si="18"/>
        <v>0</v>
      </c>
      <c r="I15" s="202">
        <v>1911.0999999999997</v>
      </c>
      <c r="J15" s="202">
        <v>1968.4329999999998</v>
      </c>
      <c r="K15" s="202">
        <v>3.9264664329443768</v>
      </c>
      <c r="L15" s="202">
        <v>8.1910732039139766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9"/>
        <v>1968.4329999999998</v>
      </c>
      <c r="S15" s="62">
        <f t="shared" si="20"/>
        <v>77.289860999999974</v>
      </c>
      <c r="T15" s="63">
        <f t="shared" si="21"/>
        <v>161.23578799999999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2"/>
        <v>0</v>
      </c>
      <c r="AB15" s="63">
        <f t="shared" si="23"/>
        <v>0</v>
      </c>
      <c r="AC15" s="69"/>
      <c r="AD15" s="70"/>
      <c r="AE15" s="70"/>
      <c r="AF15" s="62">
        <f t="shared" si="24"/>
        <v>0</v>
      </c>
      <c r="AG15" s="62">
        <f t="shared" si="25"/>
        <v>0</v>
      </c>
      <c r="AH15" s="89">
        <v>1968.4</v>
      </c>
      <c r="AI15" s="66">
        <v>3.93</v>
      </c>
      <c r="AJ15" s="66">
        <v>8.19</v>
      </c>
      <c r="AK15" s="62">
        <f t="shared" si="26"/>
        <v>77.358120000000014</v>
      </c>
      <c r="AL15" s="72">
        <f t="shared" si="27"/>
        <v>161.21196</v>
      </c>
      <c r="AM15" s="73">
        <f t="shared" si="11"/>
        <v>3.2999999999674401E-2</v>
      </c>
      <c r="AN15" s="74">
        <f t="shared" si="12"/>
        <v>-6.825900000004026E-2</v>
      </c>
      <c r="AO15" s="74">
        <f t="shared" si="12"/>
        <v>2.382799999998042E-2</v>
      </c>
      <c r="AP15" s="75">
        <f t="shared" si="13"/>
        <v>-1.8627346864512608E-4</v>
      </c>
      <c r="AQ15" s="76">
        <f t="shared" si="14"/>
        <v>-25.664397215526446</v>
      </c>
      <c r="AR15" s="90">
        <f t="shared" si="15"/>
        <v>3.2999999999674401E-2</v>
      </c>
    </row>
    <row r="16" spans="1:44" x14ac:dyDescent="0.25">
      <c r="A16" t="str">
        <f t="shared" si="16"/>
        <v>46210M</v>
      </c>
      <c r="B16" s="51">
        <f t="shared" si="28"/>
        <v>46210</v>
      </c>
      <c r="C16" s="52" t="s">
        <v>87</v>
      </c>
      <c r="D16" s="91">
        <v>1968.4</v>
      </c>
      <c r="E16" s="62">
        <v>3.93</v>
      </c>
      <c r="F16" s="62">
        <v>8.19</v>
      </c>
      <c r="G16" s="62">
        <f t="shared" si="17"/>
        <v>77.358120000000014</v>
      </c>
      <c r="H16" s="63">
        <f t="shared" si="18"/>
        <v>161.21196</v>
      </c>
      <c r="I16" s="202">
        <v>1265.3999999999999</v>
      </c>
      <c r="J16" s="202">
        <v>1303.3619999999999</v>
      </c>
      <c r="K16" s="202">
        <v>4.5421684842737466</v>
      </c>
      <c r="L16" s="202">
        <v>8.3252094199462618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9"/>
        <v>1303.3619999999999</v>
      </c>
      <c r="S16" s="62">
        <f t="shared" si="20"/>
        <v>59.200897999999981</v>
      </c>
      <c r="T16" s="63">
        <f t="shared" si="21"/>
        <v>108.50761599999997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2"/>
        <v>0</v>
      </c>
      <c r="AB16" s="63">
        <f t="shared" si="23"/>
        <v>0</v>
      </c>
      <c r="AC16" s="69"/>
      <c r="AD16" s="70"/>
      <c r="AE16" s="70"/>
      <c r="AF16" s="62">
        <f t="shared" si="24"/>
        <v>0</v>
      </c>
      <c r="AG16" s="62">
        <f t="shared" si="25"/>
        <v>0</v>
      </c>
      <c r="AH16" s="89">
        <v>3271.7</v>
      </c>
      <c r="AI16" s="66">
        <v>4.17</v>
      </c>
      <c r="AJ16" s="66">
        <v>8.24</v>
      </c>
      <c r="AK16" s="62">
        <f t="shared" si="26"/>
        <v>136.42989</v>
      </c>
      <c r="AL16" s="72">
        <f t="shared" si="27"/>
        <v>269.58807999999999</v>
      </c>
      <c r="AM16" s="73">
        <f t="shared" si="11"/>
        <v>6.1999999999898137E-2</v>
      </c>
      <c r="AN16" s="74">
        <f t="shared" si="12"/>
        <v>0.12912799999998015</v>
      </c>
      <c r="AO16" s="74">
        <f t="shared" si="12"/>
        <v>0.13149599999997008</v>
      </c>
      <c r="AP16" s="75">
        <f t="shared" si="13"/>
        <v>1.5540296302425666E-3</v>
      </c>
      <c r="AQ16" s="76">
        <f t="shared" si="14"/>
        <v>101.43208801024022</v>
      </c>
      <c r="AR16" s="90">
        <f t="shared" si="15"/>
        <v>6.1999999999898137E-2</v>
      </c>
    </row>
    <row r="17" spans="1:48" x14ac:dyDescent="0.25">
      <c r="A17" t="str">
        <f t="shared" si="16"/>
        <v>46210E</v>
      </c>
      <c r="B17" s="51">
        <f t="shared" si="28"/>
        <v>46210</v>
      </c>
      <c r="C17" s="52" t="s">
        <v>88</v>
      </c>
      <c r="D17" s="91">
        <v>3271.7</v>
      </c>
      <c r="E17" s="62">
        <v>4.17</v>
      </c>
      <c r="F17" s="62">
        <v>8.24</v>
      </c>
      <c r="G17" s="62">
        <f t="shared" si="17"/>
        <v>136.42989</v>
      </c>
      <c r="H17" s="63">
        <f t="shared" si="18"/>
        <v>269.58807999999999</v>
      </c>
      <c r="I17" s="202">
        <v>2104.7999999999997</v>
      </c>
      <c r="J17" s="202">
        <v>2167.944</v>
      </c>
      <c r="K17" s="202">
        <v>4.0656499429874557</v>
      </c>
      <c r="L17" s="202">
        <v>8.2150513112884802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9"/>
        <v>2167.944</v>
      </c>
      <c r="S17" s="62">
        <f t="shared" si="20"/>
        <v>88.14101399999997</v>
      </c>
      <c r="T17" s="63">
        <f t="shared" si="21"/>
        <v>178.09771199999994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22"/>
        <v>0</v>
      </c>
      <c r="AB17" s="63">
        <f t="shared" si="23"/>
        <v>0</v>
      </c>
      <c r="AC17" s="69"/>
      <c r="AD17" s="70"/>
      <c r="AE17" s="70"/>
      <c r="AF17" s="62">
        <f t="shared" si="24"/>
        <v>0</v>
      </c>
      <c r="AG17" s="62">
        <f t="shared" si="25"/>
        <v>0</v>
      </c>
      <c r="AH17" s="89">
        <v>5439.6</v>
      </c>
      <c r="AI17" s="66">
        <v>4.12</v>
      </c>
      <c r="AJ17" s="66">
        <v>8.2200000000000006</v>
      </c>
      <c r="AK17" s="62">
        <f t="shared" si="26"/>
        <v>224.11152000000001</v>
      </c>
      <c r="AL17" s="72">
        <f t="shared" si="27"/>
        <v>447.13512000000009</v>
      </c>
      <c r="AM17" s="73">
        <f t="shared" si="11"/>
        <v>4.3999999999869033E-2</v>
      </c>
      <c r="AN17" s="74">
        <f t="shared" si="12"/>
        <v>0.45938399999997159</v>
      </c>
      <c r="AO17" s="74">
        <f t="shared" si="12"/>
        <v>0.5506719999998495</v>
      </c>
      <c r="AP17" s="75">
        <f t="shared" si="13"/>
        <v>3.7937982019934295E-3</v>
      </c>
      <c r="AQ17" s="76">
        <f t="shared" si="14"/>
        <v>385.67032494357932</v>
      </c>
      <c r="AR17" s="90">
        <f t="shared" si="15"/>
        <v>4.3999999999869033E-2</v>
      </c>
    </row>
    <row r="18" spans="1:48" x14ac:dyDescent="0.25">
      <c r="A18" t="str">
        <f t="shared" si="16"/>
        <v>46211M</v>
      </c>
      <c r="B18" s="51">
        <f t="shared" si="28"/>
        <v>46211</v>
      </c>
      <c r="C18" s="52" t="s">
        <v>87</v>
      </c>
      <c r="D18" s="91">
        <v>5439.6</v>
      </c>
      <c r="E18" s="62">
        <v>4.12</v>
      </c>
      <c r="F18" s="62">
        <v>8.2200000000000006</v>
      </c>
      <c r="G18" s="62">
        <f t="shared" si="17"/>
        <v>224.11152000000001</v>
      </c>
      <c r="H18" s="63">
        <f t="shared" si="18"/>
        <v>447.13512000000009</v>
      </c>
      <c r="I18" s="202">
        <v>1255.7</v>
      </c>
      <c r="J18" s="202">
        <v>1293.3710000000001</v>
      </c>
      <c r="K18" s="202">
        <v>4.4568208967109957</v>
      </c>
      <c r="L18" s="202">
        <v>8.2830293859998392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9"/>
        <v>1293.3710000000001</v>
      </c>
      <c r="S18" s="62">
        <f t="shared" si="20"/>
        <v>57.643228999999977</v>
      </c>
      <c r="T18" s="63">
        <f t="shared" si="21"/>
        <v>107.13029999999999</v>
      </c>
      <c r="U18" s="64" t="s">
        <v>170</v>
      </c>
      <c r="V18" s="65" t="s">
        <v>331</v>
      </c>
      <c r="W18" s="66" t="s">
        <v>193</v>
      </c>
      <c r="X18" s="67">
        <v>3100</v>
      </c>
      <c r="Y18" s="68">
        <v>4.3499999999999996</v>
      </c>
      <c r="Z18" s="68">
        <v>8.09</v>
      </c>
      <c r="AA18" s="62">
        <f t="shared" si="22"/>
        <v>134.85</v>
      </c>
      <c r="AB18" s="63">
        <f t="shared" si="23"/>
        <v>250.79</v>
      </c>
      <c r="AC18" s="69">
        <v>3070</v>
      </c>
      <c r="AD18" s="70">
        <v>4.3</v>
      </c>
      <c r="AE18" s="70">
        <v>7.95</v>
      </c>
      <c r="AF18" s="62">
        <f t="shared" si="24"/>
        <v>132.01</v>
      </c>
      <c r="AG18" s="62">
        <f t="shared" si="25"/>
        <v>244.065</v>
      </c>
      <c r="AH18" s="89">
        <v>3632.9</v>
      </c>
      <c r="AI18" s="66">
        <v>4.18</v>
      </c>
      <c r="AJ18" s="66">
        <v>8.23</v>
      </c>
      <c r="AK18" s="62">
        <f t="shared" si="26"/>
        <v>151.85522</v>
      </c>
      <c r="AL18" s="72">
        <f t="shared" si="27"/>
        <v>298.98766999999998</v>
      </c>
      <c r="AM18" s="73">
        <f t="shared" si="11"/>
        <v>30.071000000000367</v>
      </c>
      <c r="AN18" s="74">
        <f t="shared" si="12"/>
        <v>-2.1104709999999898</v>
      </c>
      <c r="AO18" s="74">
        <f t="shared" si="12"/>
        <v>11.212750000000085</v>
      </c>
      <c r="AP18" s="75">
        <f t="shared" si="13"/>
        <v>5.5241148594930546E-2</v>
      </c>
      <c r="AQ18" s="76">
        <f t="shared" si="14"/>
        <v>2343.968799581864</v>
      </c>
      <c r="AR18" s="90">
        <f>(D18+J18+O18)-(X18+AH18)</f>
        <v>7.1000000000822183E-2</v>
      </c>
    </row>
    <row r="19" spans="1:48" x14ac:dyDescent="0.25">
      <c r="A19" t="str">
        <f t="shared" si="16"/>
        <v>46211E</v>
      </c>
      <c r="B19" s="51">
        <f t="shared" si="28"/>
        <v>46211</v>
      </c>
      <c r="C19" s="52" t="s">
        <v>88</v>
      </c>
      <c r="D19" s="91">
        <v>3632.9</v>
      </c>
      <c r="E19" s="62">
        <v>4.18</v>
      </c>
      <c r="F19" s="62">
        <v>8.23</v>
      </c>
      <c r="G19" s="62">
        <f t="shared" si="17"/>
        <v>151.85522</v>
      </c>
      <c r="H19" s="63">
        <f t="shared" si="18"/>
        <v>298.98766999999998</v>
      </c>
      <c r="I19" s="202">
        <v>2033.7000000000007</v>
      </c>
      <c r="J19" s="202">
        <v>2094.7110000000007</v>
      </c>
      <c r="K19" s="202">
        <v>3.9915621773122889</v>
      </c>
      <c r="L19" s="202">
        <v>8.2021832128632557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9"/>
        <v>2094.7110000000007</v>
      </c>
      <c r="S19" s="62">
        <f t="shared" si="20"/>
        <v>83.611692000000048</v>
      </c>
      <c r="T19" s="63">
        <f t="shared" si="21"/>
        <v>171.81203400000007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2"/>
        <v>0</v>
      </c>
      <c r="AB19" s="63">
        <f t="shared" si="23"/>
        <v>0</v>
      </c>
      <c r="AC19" s="69"/>
      <c r="AD19" s="70"/>
      <c r="AE19" s="70"/>
      <c r="AF19" s="62">
        <f t="shared" si="24"/>
        <v>0</v>
      </c>
      <c r="AG19" s="62">
        <f t="shared" si="25"/>
        <v>0</v>
      </c>
      <c r="AH19" s="89">
        <v>5727.6</v>
      </c>
      <c r="AI19" s="66">
        <v>4.1100000000000003</v>
      </c>
      <c r="AJ19" s="66">
        <v>8.2100000000000009</v>
      </c>
      <c r="AK19" s="62">
        <f t="shared" si="26"/>
        <v>235.40436000000005</v>
      </c>
      <c r="AL19" s="72">
        <f t="shared" si="27"/>
        <v>470.23596000000009</v>
      </c>
      <c r="AM19" s="73">
        <f t="shared" si="11"/>
        <v>1.1000000000422006E-2</v>
      </c>
      <c r="AN19" s="74">
        <f t="shared" si="12"/>
        <v>6.2551999999982399E-2</v>
      </c>
      <c r="AO19" s="74">
        <f t="shared" si="12"/>
        <v>0.56374399999992875</v>
      </c>
      <c r="AP19" s="75">
        <f t="shared" si="13"/>
        <v>2.4519883481768285E-3</v>
      </c>
      <c r="AQ19" s="76">
        <f t="shared" si="14"/>
        <v>198.89458110680221</v>
      </c>
      <c r="AR19" s="90">
        <f>(D19+J19+O19)-(X19+AH19)</f>
        <v>1.1000000000422006E-2</v>
      </c>
    </row>
    <row r="20" spans="1:48" x14ac:dyDescent="0.25">
      <c r="A20" t="str">
        <f t="shared" si="16"/>
        <v>46212M</v>
      </c>
      <c r="B20" s="51">
        <f t="shared" si="28"/>
        <v>46212</v>
      </c>
      <c r="C20" s="52" t="s">
        <v>87</v>
      </c>
      <c r="D20" s="91">
        <v>5727.6</v>
      </c>
      <c r="E20" s="62">
        <v>4.1100000000000003</v>
      </c>
      <c r="F20" s="62">
        <v>8.2100000000000009</v>
      </c>
      <c r="G20" s="62">
        <f t="shared" si="17"/>
        <v>235.40436000000005</v>
      </c>
      <c r="H20" s="63">
        <f t="shared" si="18"/>
        <v>470.23596000000009</v>
      </c>
      <c r="I20" s="202">
        <v>1334.6999999999998</v>
      </c>
      <c r="J20" s="202">
        <v>1374.7409999999998</v>
      </c>
      <c r="K20" s="202">
        <v>4.4093504158237806</v>
      </c>
      <c r="L20" s="202">
        <v>8.1980744736644944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9"/>
        <v>1374.7409999999998</v>
      </c>
      <c r="S20" s="62">
        <f t="shared" si="20"/>
        <v>60.617147999999986</v>
      </c>
      <c r="T20" s="63">
        <f t="shared" si="21"/>
        <v>112.70229099999999</v>
      </c>
      <c r="U20" s="64" t="s">
        <v>192</v>
      </c>
      <c r="V20" s="65" t="s">
        <v>394</v>
      </c>
      <c r="W20" s="66" t="s">
        <v>181</v>
      </c>
      <c r="X20" s="67">
        <v>7230</v>
      </c>
      <c r="Y20" s="68">
        <v>4.25</v>
      </c>
      <c r="Z20" s="68">
        <v>8.1300000000000008</v>
      </c>
      <c r="AA20" s="62">
        <f t="shared" si="22"/>
        <v>307.27500000000003</v>
      </c>
      <c r="AB20" s="63">
        <f t="shared" si="23"/>
        <v>587.79900000000009</v>
      </c>
      <c r="AC20" s="69">
        <v>7230</v>
      </c>
      <c r="AD20" s="70">
        <v>4.3116182572614115</v>
      </c>
      <c r="AE20" s="70">
        <v>8.0483679114799447</v>
      </c>
      <c r="AF20" s="62">
        <f t="shared" si="24"/>
        <v>311.73</v>
      </c>
      <c r="AG20" s="62">
        <f t="shared" si="25"/>
        <v>581.89700000000005</v>
      </c>
      <c r="AH20" s="89">
        <v>0</v>
      </c>
      <c r="AI20" s="66">
        <v>0</v>
      </c>
      <c r="AJ20" s="66">
        <v>0</v>
      </c>
      <c r="AK20" s="62">
        <f t="shared" si="26"/>
        <v>0</v>
      </c>
      <c r="AL20" s="72">
        <f t="shared" si="27"/>
        <v>0</v>
      </c>
      <c r="AM20" s="73">
        <f t="shared" si="11"/>
        <v>-127.65899999999965</v>
      </c>
      <c r="AN20" s="74">
        <f t="shared" ref="AN20:AO65" si="29">+G20+S20-AF20-AK20</f>
        <v>-15.708491999999978</v>
      </c>
      <c r="AO20" s="74">
        <f t="shared" si="29"/>
        <v>1.0412509999999884</v>
      </c>
      <c r="AP20" s="75">
        <f t="shared" si="13"/>
        <v>-8.4625481622981655E-2</v>
      </c>
      <c r="AQ20" s="76">
        <f t="shared" si="14"/>
        <v>-7236.5962565153959</v>
      </c>
      <c r="AR20" s="90">
        <f>(D20+J20+O20)-(X20+AH20)</f>
        <v>-127.65899999999965</v>
      </c>
    </row>
    <row r="21" spans="1:48" x14ac:dyDescent="0.25">
      <c r="A21" t="str">
        <f t="shared" si="16"/>
        <v>46212E</v>
      </c>
      <c r="B21" s="51">
        <f t="shared" si="28"/>
        <v>46212</v>
      </c>
      <c r="C21" s="52" t="s">
        <v>88</v>
      </c>
      <c r="D21" s="91">
        <v>0</v>
      </c>
      <c r="E21" s="62">
        <v>0</v>
      </c>
      <c r="F21" s="62">
        <v>0</v>
      </c>
      <c r="G21" s="62">
        <f t="shared" si="17"/>
        <v>0</v>
      </c>
      <c r="H21" s="63">
        <f t="shared" si="18"/>
        <v>0</v>
      </c>
      <c r="I21" s="202">
        <v>2044.2</v>
      </c>
      <c r="J21" s="202">
        <v>2105.5260000000003</v>
      </c>
      <c r="K21" s="202">
        <v>4.0213530965658935</v>
      </c>
      <c r="L21" s="202">
        <v>8.0913120046962135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9"/>
        <v>2105.5260000000003</v>
      </c>
      <c r="S21" s="62">
        <f t="shared" si="20"/>
        <v>84.670635000000004</v>
      </c>
      <c r="T21" s="63">
        <f t="shared" si="21"/>
        <v>170.36467800000003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2"/>
        <v>0</v>
      </c>
      <c r="AB21" s="63">
        <f t="shared" si="23"/>
        <v>0</v>
      </c>
      <c r="AC21" s="69"/>
      <c r="AD21" s="70"/>
      <c r="AE21" s="70"/>
      <c r="AF21" s="62">
        <f t="shared" si="24"/>
        <v>0</v>
      </c>
      <c r="AG21" s="62">
        <f t="shared" si="25"/>
        <v>0</v>
      </c>
      <c r="AH21" s="89">
        <v>2105.5</v>
      </c>
      <c r="AI21" s="66">
        <v>4.0199999999999996</v>
      </c>
      <c r="AJ21" s="66">
        <v>8.09</v>
      </c>
      <c r="AK21" s="62">
        <f t="shared" si="26"/>
        <v>84.64109999999998</v>
      </c>
      <c r="AL21" s="72">
        <f t="shared" si="27"/>
        <v>170.33494999999999</v>
      </c>
      <c r="AM21" s="73">
        <f t="shared" si="11"/>
        <v>2.6000000000294676E-2</v>
      </c>
      <c r="AN21" s="74">
        <f t="shared" si="29"/>
        <v>2.953500000002407E-2</v>
      </c>
      <c r="AO21" s="74">
        <f t="shared" si="29"/>
        <v>2.9728000000034172E-2</v>
      </c>
      <c r="AP21" s="75">
        <f t="shared" si="13"/>
        <v>2.3237174218324126E-4</v>
      </c>
      <c r="AQ21" s="76">
        <f t="shared" si="14"/>
        <v>23.095800104854973</v>
      </c>
      <c r="AR21" s="90">
        <f>(D21+J21+O21)-(X21+AH21)</f>
        <v>2.6000000000294676E-2</v>
      </c>
    </row>
    <row r="22" spans="1:48" x14ac:dyDescent="0.25">
      <c r="A22" t="str">
        <f t="shared" si="16"/>
        <v>46213M</v>
      </c>
      <c r="B22" s="51">
        <f t="shared" si="28"/>
        <v>46213</v>
      </c>
      <c r="C22" s="52" t="s">
        <v>87</v>
      </c>
      <c r="D22" s="91">
        <v>2105.5</v>
      </c>
      <c r="E22" s="62">
        <v>4.0199999999999996</v>
      </c>
      <c r="F22" s="62">
        <v>8.09</v>
      </c>
      <c r="G22" s="62">
        <f t="shared" si="17"/>
        <v>84.64109999999998</v>
      </c>
      <c r="H22" s="63">
        <f t="shared" si="18"/>
        <v>170.33494999999999</v>
      </c>
      <c r="I22" s="202">
        <v>1251.8000000000002</v>
      </c>
      <c r="J22" s="202">
        <v>1289.3540000000003</v>
      </c>
      <c r="K22" s="202">
        <v>4.5884646109602167</v>
      </c>
      <c r="L22" s="202">
        <v>8.2225435373062794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9"/>
        <v>1289.3540000000003</v>
      </c>
      <c r="S22" s="62">
        <f t="shared" si="20"/>
        <v>59.161552000000007</v>
      </c>
      <c r="T22" s="63">
        <f t="shared" si="21"/>
        <v>106.01769400000002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22"/>
        <v>0</v>
      </c>
      <c r="AB22" s="63">
        <f t="shared" si="23"/>
        <v>0</v>
      </c>
      <c r="AC22" s="69"/>
      <c r="AD22" s="70"/>
      <c r="AE22" s="70"/>
      <c r="AF22" s="62">
        <f t="shared" si="24"/>
        <v>0</v>
      </c>
      <c r="AG22" s="62">
        <f t="shared" si="25"/>
        <v>0</v>
      </c>
      <c r="AH22" s="89">
        <v>3394.8</v>
      </c>
      <c r="AI22" s="66">
        <v>4.2300000000000004</v>
      </c>
      <c r="AJ22" s="66">
        <v>8.1300000000000008</v>
      </c>
      <c r="AK22" s="62">
        <f t="shared" si="26"/>
        <v>143.60004000000004</v>
      </c>
      <c r="AL22" s="72">
        <f t="shared" si="27"/>
        <v>275.99724000000003</v>
      </c>
      <c r="AM22" s="73">
        <f t="shared" si="11"/>
        <v>5.4000000000087311E-2</v>
      </c>
      <c r="AN22" s="74">
        <f t="shared" si="29"/>
        <v>0.20261199999995938</v>
      </c>
      <c r="AO22" s="74">
        <f t="shared" si="29"/>
        <v>0.35540399999996453</v>
      </c>
      <c r="AP22" s="75">
        <f t="shared" si="13"/>
        <v>3.3782452306382596E-3</v>
      </c>
      <c r="AQ22" s="76">
        <f t="shared" si="14"/>
        <v>203.80199430832826</v>
      </c>
      <c r="AR22" s="90">
        <f t="shared" si="15"/>
        <v>5.4000000000087311E-2</v>
      </c>
      <c r="AT22" s="83"/>
      <c r="AU22" s="83"/>
    </row>
    <row r="23" spans="1:48" x14ac:dyDescent="0.25">
      <c r="A23" t="str">
        <f t="shared" si="16"/>
        <v>46213E</v>
      </c>
      <c r="B23" s="51">
        <f t="shared" si="28"/>
        <v>46213</v>
      </c>
      <c r="C23" s="52" t="s">
        <v>88</v>
      </c>
      <c r="D23" s="91">
        <v>3394.8</v>
      </c>
      <c r="E23" s="62">
        <v>4.2300000000000004</v>
      </c>
      <c r="F23" s="62">
        <v>8.1300000000000008</v>
      </c>
      <c r="G23" s="62">
        <f t="shared" si="17"/>
        <v>143.60004000000004</v>
      </c>
      <c r="H23" s="63">
        <f t="shared" si="18"/>
        <v>275.99724000000003</v>
      </c>
      <c r="I23" s="202">
        <v>2069.6</v>
      </c>
      <c r="J23" s="202">
        <v>2131.6880000000001</v>
      </c>
      <c r="K23" s="202">
        <v>4.2924719752609199</v>
      </c>
      <c r="L23" s="202">
        <v>8.1612582141476597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9"/>
        <v>2131.6880000000001</v>
      </c>
      <c r="S23" s="62">
        <f t="shared" si="20"/>
        <v>91.502110000000002</v>
      </c>
      <c r="T23" s="63">
        <f t="shared" si="21"/>
        <v>173.97256199999998</v>
      </c>
      <c r="U23" s="64" t="s">
        <v>170</v>
      </c>
      <c r="V23" s="65" t="s">
        <v>436</v>
      </c>
      <c r="W23" s="66" t="s">
        <v>181</v>
      </c>
      <c r="X23" s="67">
        <v>5525</v>
      </c>
      <c r="Y23" s="68">
        <v>4.38</v>
      </c>
      <c r="Z23" s="68">
        <v>8.18</v>
      </c>
      <c r="AA23" s="62">
        <f t="shared" si="22"/>
        <v>241.995</v>
      </c>
      <c r="AB23" s="63">
        <f t="shared" si="23"/>
        <v>451.94499999999999</v>
      </c>
      <c r="AC23" s="69">
        <v>5510</v>
      </c>
      <c r="AD23" s="70">
        <v>4.327949183303085</v>
      </c>
      <c r="AE23" s="70">
        <v>8.0591288566243193</v>
      </c>
      <c r="AF23" s="62">
        <f t="shared" si="24"/>
        <v>238.46999999999997</v>
      </c>
      <c r="AG23" s="62">
        <f t="shared" si="25"/>
        <v>444.05799999999999</v>
      </c>
      <c r="AH23" s="89">
        <v>0</v>
      </c>
      <c r="AI23" s="66">
        <v>0</v>
      </c>
      <c r="AJ23" s="66">
        <v>0</v>
      </c>
      <c r="AK23" s="62">
        <f t="shared" si="26"/>
        <v>0</v>
      </c>
      <c r="AL23" s="72">
        <f t="shared" si="27"/>
        <v>0</v>
      </c>
      <c r="AM23" s="73">
        <f t="shared" si="11"/>
        <v>16.488000000000284</v>
      </c>
      <c r="AN23" s="74">
        <f t="shared" si="29"/>
        <v>-3.367849999999919</v>
      </c>
      <c r="AO23" s="74">
        <f t="shared" si="29"/>
        <v>5.9118020000000229</v>
      </c>
      <c r="AP23" s="75">
        <f t="shared" si="13"/>
        <v>9.5826542729473795E-3</v>
      </c>
      <c r="AQ23" s="76">
        <f t="shared" si="14"/>
        <v>152.17053263785192</v>
      </c>
      <c r="AR23" s="90">
        <f t="shared" si="15"/>
        <v>1.4880000000002838</v>
      </c>
      <c r="AU23" s="83"/>
    </row>
    <row r="24" spans="1:48" x14ac:dyDescent="0.25">
      <c r="A24" t="str">
        <f t="shared" si="16"/>
        <v>46214M</v>
      </c>
      <c r="B24" s="51">
        <f t="shared" si="28"/>
        <v>46214</v>
      </c>
      <c r="C24" s="52" t="s">
        <v>87</v>
      </c>
      <c r="D24" s="91">
        <v>0</v>
      </c>
      <c r="E24" s="62">
        <v>0</v>
      </c>
      <c r="F24" s="62">
        <v>0</v>
      </c>
      <c r="G24" s="62">
        <f t="shared" si="17"/>
        <v>0</v>
      </c>
      <c r="H24" s="63">
        <f t="shared" si="18"/>
        <v>0</v>
      </c>
      <c r="I24" s="202">
        <v>1449.2000000000003</v>
      </c>
      <c r="J24" s="202">
        <v>1492.6760000000004</v>
      </c>
      <c r="K24" s="202">
        <v>4.467216395252553</v>
      </c>
      <c r="L24" s="202">
        <v>8.3121170300855631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9"/>
        <v>1492.6760000000004</v>
      </c>
      <c r="S24" s="62">
        <f t="shared" si="20"/>
        <v>66.681067000000013</v>
      </c>
      <c r="T24" s="63">
        <f t="shared" si="21"/>
        <v>124.07297600000001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22"/>
        <v>0</v>
      </c>
      <c r="AB24" s="63">
        <f t="shared" si="23"/>
        <v>0</v>
      </c>
      <c r="AC24" s="69"/>
      <c r="AD24" s="70"/>
      <c r="AE24" s="70"/>
      <c r="AF24" s="62">
        <f t="shared" si="24"/>
        <v>0</v>
      </c>
      <c r="AG24" s="62">
        <f t="shared" si="25"/>
        <v>0</v>
      </c>
      <c r="AH24" s="89">
        <v>1492.6</v>
      </c>
      <c r="AI24" s="66">
        <v>4.5</v>
      </c>
      <c r="AJ24" s="66">
        <v>8.25</v>
      </c>
      <c r="AK24" s="62">
        <f t="shared" si="26"/>
        <v>67.166999999999987</v>
      </c>
      <c r="AL24" s="72">
        <f t="shared" si="27"/>
        <v>123.1395</v>
      </c>
      <c r="AM24" s="73">
        <f t="shared" si="11"/>
        <v>7.6000000000476575E-2</v>
      </c>
      <c r="AN24" s="74">
        <f t="shared" si="29"/>
        <v>-0.48593299999997441</v>
      </c>
      <c r="AO24" s="74">
        <f t="shared" si="29"/>
        <v>0.93347600000001307</v>
      </c>
      <c r="AP24" s="75">
        <f t="shared" si="13"/>
        <v>2.3461783192717891E-3</v>
      </c>
      <c r="AQ24" s="76">
        <f t="shared" si="14"/>
        <v>46.061129837365485</v>
      </c>
      <c r="AR24" s="90">
        <f t="shared" si="15"/>
        <v>7.6000000000476575E-2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28"/>
        <v>46214</v>
      </c>
      <c r="C25" s="52" t="s">
        <v>88</v>
      </c>
      <c r="D25" s="91">
        <v>1492.6</v>
      </c>
      <c r="E25" s="62">
        <v>4.5</v>
      </c>
      <c r="F25" s="62">
        <v>8.25</v>
      </c>
      <c r="G25" s="62">
        <f t="shared" si="17"/>
        <v>67.166999999999987</v>
      </c>
      <c r="H25" s="63">
        <f t="shared" si="18"/>
        <v>123.1395</v>
      </c>
      <c r="I25" s="202">
        <v>2159.1999999999998</v>
      </c>
      <c r="J25" s="202">
        <v>2223.9759999999997</v>
      </c>
      <c r="K25" s="202">
        <v>4.1927102630603921</v>
      </c>
      <c r="L25" s="202">
        <v>8.1502361985920686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9"/>
        <v>2223.9759999999997</v>
      </c>
      <c r="S25" s="62">
        <f t="shared" si="20"/>
        <v>93.244869999999977</v>
      </c>
      <c r="T25" s="63">
        <f t="shared" si="21"/>
        <v>181.25929699999992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2"/>
        <v>0</v>
      </c>
      <c r="AB25" s="63">
        <f t="shared" si="23"/>
        <v>0</v>
      </c>
      <c r="AC25" s="69"/>
      <c r="AD25" s="70"/>
      <c r="AE25" s="70"/>
      <c r="AF25" s="62">
        <f t="shared" si="24"/>
        <v>0</v>
      </c>
      <c r="AG25" s="62">
        <f t="shared" si="25"/>
        <v>0</v>
      </c>
      <c r="AH25" s="89">
        <v>3716.5</v>
      </c>
      <c r="AI25" s="66">
        <v>4.3099999999999996</v>
      </c>
      <c r="AJ25" s="66">
        <v>8.19</v>
      </c>
      <c r="AK25" s="62">
        <f t="shared" si="26"/>
        <v>160.18115</v>
      </c>
      <c r="AL25" s="72">
        <f t="shared" si="27"/>
        <v>304.38135</v>
      </c>
      <c r="AM25" s="73">
        <f t="shared" si="11"/>
        <v>7.5999999999567081E-2</v>
      </c>
      <c r="AN25" s="74">
        <f t="shared" si="29"/>
        <v>0.23071999999996251</v>
      </c>
      <c r="AO25" s="74">
        <f t="shared" si="29"/>
        <v>1.7446999999947366E-2</v>
      </c>
      <c r="AP25" s="75">
        <f t="shared" si="13"/>
        <v>9.0405549289861956E-4</v>
      </c>
      <c r="AQ25" s="76">
        <f t="shared" si="14"/>
        <v>116.09369028918096</v>
      </c>
      <c r="AR25" s="90">
        <f t="shared" si="15"/>
        <v>7.5999999999567081E-2</v>
      </c>
    </row>
    <row r="26" spans="1:48" x14ac:dyDescent="0.25">
      <c r="A26" t="str">
        <f t="shared" si="16"/>
        <v>46215M</v>
      </c>
      <c r="B26" s="51">
        <f t="shared" si="28"/>
        <v>46215</v>
      </c>
      <c r="C26" s="52" t="s">
        <v>87</v>
      </c>
      <c r="D26" s="91">
        <v>3716.5</v>
      </c>
      <c r="E26" s="62">
        <v>4.3099999999999996</v>
      </c>
      <c r="F26" s="62">
        <v>8.19</v>
      </c>
      <c r="G26" s="62">
        <f t="shared" si="17"/>
        <v>160.18115</v>
      </c>
      <c r="H26" s="63">
        <f t="shared" si="18"/>
        <v>304.38135</v>
      </c>
      <c r="I26" s="202">
        <v>1559.9</v>
      </c>
      <c r="J26" s="202">
        <v>1606.6970000000001</v>
      </c>
      <c r="K26" s="202">
        <v>4.4531764856721585</v>
      </c>
      <c r="L26" s="202">
        <v>8.1878069106994058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9"/>
        <v>1606.6970000000001</v>
      </c>
      <c r="S26" s="62">
        <f t="shared" si="20"/>
        <v>71.549053000000001</v>
      </c>
      <c r="T26" s="63">
        <f t="shared" si="21"/>
        <v>131.55324800000005</v>
      </c>
      <c r="U26" s="64" t="s">
        <v>269</v>
      </c>
      <c r="V26" s="65" t="s">
        <v>437</v>
      </c>
      <c r="W26" s="66" t="s">
        <v>181</v>
      </c>
      <c r="X26" s="67">
        <v>5650</v>
      </c>
      <c r="Y26" s="68">
        <v>4.28</v>
      </c>
      <c r="Z26" s="68">
        <v>8.17</v>
      </c>
      <c r="AA26" s="62">
        <f t="shared" si="22"/>
        <v>241.82000000000002</v>
      </c>
      <c r="AB26" s="63">
        <f t="shared" si="23"/>
        <v>461.60499999999996</v>
      </c>
      <c r="AC26" s="221">
        <v>5650</v>
      </c>
      <c r="AD26" s="222">
        <v>4.28</v>
      </c>
      <c r="AE26" s="222">
        <v>8.17</v>
      </c>
      <c r="AF26" s="62">
        <f t="shared" si="24"/>
        <v>241.82000000000002</v>
      </c>
      <c r="AG26" s="62">
        <f t="shared" si="25"/>
        <v>461.60499999999996</v>
      </c>
      <c r="AH26" s="89">
        <v>0</v>
      </c>
      <c r="AI26" s="66">
        <v>0</v>
      </c>
      <c r="AJ26" s="66">
        <v>0</v>
      </c>
      <c r="AK26" s="62">
        <f t="shared" si="26"/>
        <v>0</v>
      </c>
      <c r="AL26" s="72">
        <f t="shared" si="27"/>
        <v>0</v>
      </c>
      <c r="AM26" s="73">
        <f t="shared" si="11"/>
        <v>-326.80299999999988</v>
      </c>
      <c r="AN26" s="74">
        <f t="shared" si="29"/>
        <v>-10.089797000000004</v>
      </c>
      <c r="AO26" s="74">
        <f t="shared" si="29"/>
        <v>-25.67040199999991</v>
      </c>
      <c r="AP26" s="75">
        <f t="shared" si="13"/>
        <v>-0.17606988608169388</v>
      </c>
      <c r="AQ26" s="76">
        <f t="shared" si="14"/>
        <v>-12536.53271329055</v>
      </c>
      <c r="AR26" s="90">
        <f t="shared" si="15"/>
        <v>-326.80299999999988</v>
      </c>
    </row>
    <row r="27" spans="1:48" x14ac:dyDescent="0.25">
      <c r="A27" t="str">
        <f t="shared" si="16"/>
        <v>46215E</v>
      </c>
      <c r="B27" s="51">
        <f t="shared" si="28"/>
        <v>46215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17"/>
        <v>0</v>
      </c>
      <c r="H27" s="63">
        <f t="shared" si="18"/>
        <v>0</v>
      </c>
      <c r="I27" s="202">
        <v>2332.1000000000008</v>
      </c>
      <c r="J27" s="202">
        <v>2402.063000000001</v>
      </c>
      <c r="K27" s="202">
        <v>4.0475236910938621</v>
      </c>
      <c r="L27" s="202">
        <v>8.1568328973886182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9"/>
        <v>2402.063000000001</v>
      </c>
      <c r="S27" s="62">
        <f t="shared" si="20"/>
        <v>97.224069</v>
      </c>
      <c r="T27" s="63">
        <f t="shared" si="21"/>
        <v>195.93226500000003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2"/>
        <v>0</v>
      </c>
      <c r="AB27" s="63">
        <f t="shared" si="23"/>
        <v>0</v>
      </c>
      <c r="AC27" s="69"/>
      <c r="AD27" s="70"/>
      <c r="AE27" s="70"/>
      <c r="AF27" s="62">
        <f t="shared" si="24"/>
        <v>0</v>
      </c>
      <c r="AG27" s="62">
        <f t="shared" si="25"/>
        <v>0</v>
      </c>
      <c r="AH27" s="89">
        <v>2402</v>
      </c>
      <c r="AI27" s="66">
        <v>4.05</v>
      </c>
      <c r="AJ27" s="66">
        <v>8.16</v>
      </c>
      <c r="AK27" s="62">
        <f t="shared" si="26"/>
        <v>97.281000000000006</v>
      </c>
      <c r="AL27" s="72">
        <f t="shared" si="27"/>
        <v>196.00320000000002</v>
      </c>
      <c r="AM27" s="73">
        <f t="shared" si="11"/>
        <v>6.3000000001011358E-2</v>
      </c>
      <c r="AN27" s="74">
        <f t="shared" si="29"/>
        <v>-5.6931000000005838E-2</v>
      </c>
      <c r="AO27" s="74">
        <f t="shared" si="29"/>
        <v>-7.0934999999991533E-2</v>
      </c>
      <c r="AP27" s="75">
        <f t="shared" si="13"/>
        <v>-4.361700061373989E-4</v>
      </c>
      <c r="AQ27" s="76">
        <f t="shared" si="14"/>
        <v>-48.6015994009379</v>
      </c>
      <c r="AR27" s="90">
        <f t="shared" si="15"/>
        <v>6.3000000001011358E-2</v>
      </c>
    </row>
    <row r="28" spans="1:48" x14ac:dyDescent="0.25">
      <c r="A28" t="str">
        <f t="shared" si="16"/>
        <v>46216M</v>
      </c>
      <c r="B28" s="51">
        <f t="shared" si="28"/>
        <v>46216</v>
      </c>
      <c r="C28" s="52" t="s">
        <v>87</v>
      </c>
      <c r="D28" s="91">
        <v>2402</v>
      </c>
      <c r="E28" s="62">
        <v>4.05</v>
      </c>
      <c r="F28" s="62">
        <v>8.16</v>
      </c>
      <c r="G28" s="62">
        <f t="shared" si="17"/>
        <v>97.281000000000006</v>
      </c>
      <c r="H28" s="63">
        <f t="shared" si="18"/>
        <v>196.00320000000002</v>
      </c>
      <c r="I28" s="202">
        <v>1447.7</v>
      </c>
      <c r="J28" s="202">
        <v>1491.1310000000001</v>
      </c>
      <c r="K28" s="202">
        <v>4.490522898390549</v>
      </c>
      <c r="L28" s="202">
        <v>8.1423084893278954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9"/>
        <v>1491.1310000000001</v>
      </c>
      <c r="S28" s="62">
        <f t="shared" si="20"/>
        <v>66.959578999999977</v>
      </c>
      <c r="T28" s="63">
        <f t="shared" si="21"/>
        <v>121.41248599999996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22"/>
        <v>0</v>
      </c>
      <c r="AB28" s="63">
        <f t="shared" si="23"/>
        <v>0</v>
      </c>
      <c r="AC28" s="69"/>
      <c r="AD28" s="70"/>
      <c r="AE28" s="70"/>
      <c r="AF28" s="62">
        <f t="shared" si="24"/>
        <v>0</v>
      </c>
      <c r="AG28" s="62">
        <f t="shared" si="25"/>
        <v>0</v>
      </c>
      <c r="AH28" s="89">
        <v>3893.1</v>
      </c>
      <c r="AI28" s="66">
        <v>4.21</v>
      </c>
      <c r="AJ28" s="66">
        <v>8.15</v>
      </c>
      <c r="AK28" s="62">
        <f t="shared" si="26"/>
        <v>163.89950999999999</v>
      </c>
      <c r="AL28" s="72">
        <f t="shared" si="27"/>
        <v>317.28764999999999</v>
      </c>
      <c r="AM28" s="73">
        <f t="shared" si="11"/>
        <v>3.1000000000403816E-2</v>
      </c>
      <c r="AN28" s="74">
        <f t="shared" si="29"/>
        <v>0.34106899999997609</v>
      </c>
      <c r="AO28" s="74">
        <f t="shared" si="29"/>
        <v>0.1280360000000087</v>
      </c>
      <c r="AP28" s="75">
        <f t="shared" si="13"/>
        <v>2.4903108642992523E-3</v>
      </c>
      <c r="AQ28" s="76">
        <f t="shared" si="14"/>
        <v>202.24039723493573</v>
      </c>
      <c r="AR28" s="90">
        <f t="shared" si="15"/>
        <v>3.1000000000403816E-2</v>
      </c>
    </row>
    <row r="29" spans="1:48" x14ac:dyDescent="0.25">
      <c r="A29" t="str">
        <f t="shared" si="16"/>
        <v>46216E</v>
      </c>
      <c r="B29" s="51">
        <f t="shared" si="28"/>
        <v>46216</v>
      </c>
      <c r="C29" s="52" t="s">
        <v>88</v>
      </c>
      <c r="D29" s="91">
        <v>3893.1</v>
      </c>
      <c r="E29" s="62">
        <v>4.21</v>
      </c>
      <c r="F29" s="62">
        <v>8.15</v>
      </c>
      <c r="G29" s="62">
        <f t="shared" si="17"/>
        <v>163.89950999999999</v>
      </c>
      <c r="H29" s="63">
        <f t="shared" si="18"/>
        <v>317.28764999999999</v>
      </c>
      <c r="I29" s="202">
        <v>2263.8000000000002</v>
      </c>
      <c r="J29" s="202">
        <v>2331.7140000000004</v>
      </c>
      <c r="K29" s="202">
        <v>4.1427776305327324</v>
      </c>
      <c r="L29" s="202">
        <v>8.1213048855906003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9"/>
        <v>2331.7140000000004</v>
      </c>
      <c r="S29" s="62">
        <f t="shared" si="20"/>
        <v>96.597726000000009</v>
      </c>
      <c r="T29" s="63">
        <f t="shared" si="21"/>
        <v>189.36560300000005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22"/>
        <v>0</v>
      </c>
      <c r="AB29" s="63">
        <f t="shared" si="23"/>
        <v>0</v>
      </c>
      <c r="AC29" s="69"/>
      <c r="AD29" s="70"/>
      <c r="AE29" s="70"/>
      <c r="AF29" s="62">
        <f t="shared" si="24"/>
        <v>0</v>
      </c>
      <c r="AG29" s="62">
        <f t="shared" si="25"/>
        <v>0</v>
      </c>
      <c r="AH29" s="89">
        <v>6224.8</v>
      </c>
      <c r="AI29" s="66">
        <v>4.18</v>
      </c>
      <c r="AJ29" s="66">
        <v>8.1300000000000008</v>
      </c>
      <c r="AK29" s="62">
        <f t="shared" si="26"/>
        <v>260.19664</v>
      </c>
      <c r="AL29" s="72">
        <f t="shared" si="27"/>
        <v>506.0762400000001</v>
      </c>
      <c r="AM29" s="73">
        <f t="shared" si="11"/>
        <v>1.4000000000123691E-2</v>
      </c>
      <c r="AN29" s="74">
        <f t="shared" si="29"/>
        <v>0.30059599999998454</v>
      </c>
      <c r="AO29" s="74">
        <f t="shared" si="29"/>
        <v>0.57701299999996536</v>
      </c>
      <c r="AP29" s="75">
        <f t="shared" si="13"/>
        <v>3.0689564395158853E-3</v>
      </c>
      <c r="AQ29" s="76">
        <f t="shared" si="14"/>
        <v>317.25641796074149</v>
      </c>
      <c r="AR29" s="90">
        <f t="shared" si="15"/>
        <v>1.4000000000123691E-2</v>
      </c>
    </row>
    <row r="30" spans="1:48" x14ac:dyDescent="0.25">
      <c r="A30" t="str">
        <f t="shared" si="16"/>
        <v>46217M</v>
      </c>
      <c r="B30" s="51">
        <f t="shared" si="28"/>
        <v>46217</v>
      </c>
      <c r="C30" s="52" t="s">
        <v>87</v>
      </c>
      <c r="D30" s="91">
        <v>6224.8</v>
      </c>
      <c r="E30" s="62">
        <v>4.18</v>
      </c>
      <c r="F30" s="62">
        <v>8.1300000000000008</v>
      </c>
      <c r="G30" s="62">
        <f t="shared" si="17"/>
        <v>260.19664</v>
      </c>
      <c r="H30" s="63">
        <f t="shared" si="18"/>
        <v>506.0762400000001</v>
      </c>
      <c r="I30" s="202">
        <v>1474.8999999999999</v>
      </c>
      <c r="J30" s="202">
        <v>1519.1469999999999</v>
      </c>
      <c r="K30" s="202">
        <v>4.3651094989490815</v>
      </c>
      <c r="L30" s="202">
        <v>8.1700386466879102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9"/>
        <v>1519.1469999999999</v>
      </c>
      <c r="S30" s="62">
        <f t="shared" si="20"/>
        <v>66.312430000000006</v>
      </c>
      <c r="T30" s="63">
        <f t="shared" si="21"/>
        <v>124.11489699999998</v>
      </c>
      <c r="U30" s="64" t="s">
        <v>170</v>
      </c>
      <c r="V30" s="65" t="s">
        <v>542</v>
      </c>
      <c r="W30" s="66" t="s">
        <v>187</v>
      </c>
      <c r="X30" s="67">
        <v>3100</v>
      </c>
      <c r="Y30" s="68">
        <v>4.3499999999999996</v>
      </c>
      <c r="Z30" s="68">
        <v>8.2799999999999994</v>
      </c>
      <c r="AA30" s="62">
        <f t="shared" si="22"/>
        <v>134.85</v>
      </c>
      <c r="AB30" s="63">
        <f t="shared" si="23"/>
        <v>256.68</v>
      </c>
      <c r="AC30" s="69">
        <v>3020</v>
      </c>
      <c r="AD30" s="70">
        <v>4.3</v>
      </c>
      <c r="AE30" s="70">
        <v>8.2100000000000009</v>
      </c>
      <c r="AF30" s="62">
        <f t="shared" si="24"/>
        <v>129.85999999999999</v>
      </c>
      <c r="AG30" s="62">
        <f t="shared" si="25"/>
        <v>247.94200000000001</v>
      </c>
      <c r="AH30" s="89">
        <v>4644</v>
      </c>
      <c r="AI30" s="66">
        <v>4.21</v>
      </c>
      <c r="AJ30" s="66">
        <v>8.1300000000000008</v>
      </c>
      <c r="AK30" s="62">
        <f t="shared" si="26"/>
        <v>195.51239999999999</v>
      </c>
      <c r="AL30" s="72">
        <f t="shared" si="27"/>
        <v>377.55720000000008</v>
      </c>
      <c r="AM30" s="73">
        <f t="shared" si="11"/>
        <v>79.947000000000116</v>
      </c>
      <c r="AN30" s="74">
        <f t="shared" si="29"/>
        <v>1.1366700000000378</v>
      </c>
      <c r="AO30" s="74">
        <f t="shared" si="29"/>
        <v>4.691936999999939</v>
      </c>
      <c r="AP30" s="75">
        <f t="shared" si="13"/>
        <v>3.0608038729651323E-2</v>
      </c>
      <c r="AQ30" s="76">
        <f t="shared" si="14"/>
        <v>1951.4002910246863</v>
      </c>
      <c r="AR30" s="90">
        <f t="shared" si="15"/>
        <v>-5.2999999999883585E-2</v>
      </c>
    </row>
    <row r="31" spans="1:48" x14ac:dyDescent="0.25">
      <c r="A31" t="str">
        <f t="shared" si="16"/>
        <v>46217E</v>
      </c>
      <c r="B31" s="51">
        <f t="shared" si="28"/>
        <v>46217</v>
      </c>
      <c r="C31" s="52" t="s">
        <v>88</v>
      </c>
      <c r="D31" s="91">
        <v>4644</v>
      </c>
      <c r="E31" s="62">
        <v>4.21</v>
      </c>
      <c r="F31" s="62">
        <v>8.1300000000000008</v>
      </c>
      <c r="G31" s="62">
        <f t="shared" si="17"/>
        <v>195.51239999999999</v>
      </c>
      <c r="H31" s="63">
        <f t="shared" si="18"/>
        <v>377.55720000000008</v>
      </c>
      <c r="I31" s="202">
        <v>2395.1999999999998</v>
      </c>
      <c r="J31" s="202">
        <v>2467.056</v>
      </c>
      <c r="K31" s="202">
        <v>3.9984761189044744</v>
      </c>
      <c r="L31" s="202">
        <v>8.0948647294589158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9"/>
        <v>2467.056</v>
      </c>
      <c r="S31" s="62">
        <f t="shared" si="20"/>
        <v>98.644644999999983</v>
      </c>
      <c r="T31" s="63">
        <f t="shared" si="21"/>
        <v>199.70484599999995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22"/>
        <v>0</v>
      </c>
      <c r="AB31" s="63">
        <f t="shared" si="23"/>
        <v>0</v>
      </c>
      <c r="AC31" s="69"/>
      <c r="AD31" s="70"/>
      <c r="AE31" s="70"/>
      <c r="AF31" s="62">
        <f t="shared" si="24"/>
        <v>0</v>
      </c>
      <c r="AG31" s="62">
        <f t="shared" si="25"/>
        <v>0</v>
      </c>
      <c r="AH31" s="89">
        <v>7111</v>
      </c>
      <c r="AI31" s="66">
        <v>4.13</v>
      </c>
      <c r="AJ31" s="66">
        <v>8.11</v>
      </c>
      <c r="AK31" s="62">
        <f t="shared" si="26"/>
        <v>293.68429999999995</v>
      </c>
      <c r="AL31" s="72">
        <f t="shared" si="27"/>
        <v>576.70209999999997</v>
      </c>
      <c r="AM31" s="73">
        <f t="shared" si="11"/>
        <v>5.6000000000494765E-2</v>
      </c>
      <c r="AN31" s="74">
        <f t="shared" si="29"/>
        <v>0.47274500000003172</v>
      </c>
      <c r="AO31" s="74">
        <f t="shared" si="29"/>
        <v>0.55994600000008177</v>
      </c>
      <c r="AP31" s="75">
        <f t="shared" si="13"/>
        <v>3.4613466124536266E-3</v>
      </c>
      <c r="AQ31" s="76">
        <f t="shared" si="14"/>
        <v>394.86820073458341</v>
      </c>
      <c r="AR31" s="90">
        <f t="shared" si="15"/>
        <v>5.6000000000494765E-2</v>
      </c>
    </row>
    <row r="32" spans="1:48" x14ac:dyDescent="0.25">
      <c r="A32" t="str">
        <f t="shared" si="16"/>
        <v>46218M</v>
      </c>
      <c r="B32" s="51">
        <f t="shared" si="28"/>
        <v>46218</v>
      </c>
      <c r="C32" s="52" t="s">
        <v>87</v>
      </c>
      <c r="D32" s="91">
        <v>7111</v>
      </c>
      <c r="E32" s="62">
        <v>4.13</v>
      </c>
      <c r="F32" s="62">
        <v>8.11</v>
      </c>
      <c r="G32" s="62">
        <f t="shared" si="17"/>
        <v>293.68429999999995</v>
      </c>
      <c r="H32" s="63">
        <f t="shared" si="18"/>
        <v>576.70209999999997</v>
      </c>
      <c r="I32" s="202">
        <v>1488.0000000000002</v>
      </c>
      <c r="J32" s="202">
        <v>1532.6400000000003</v>
      </c>
      <c r="K32" s="202">
        <v>4.4384744623655932</v>
      </c>
      <c r="L32" s="202">
        <v>8.101491935483871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9"/>
        <v>1532.6400000000003</v>
      </c>
      <c r="S32" s="62">
        <f t="shared" si="20"/>
        <v>68.025835000000043</v>
      </c>
      <c r="T32" s="63">
        <f t="shared" si="21"/>
        <v>124.16670600000002</v>
      </c>
      <c r="U32" s="64" t="s">
        <v>195</v>
      </c>
      <c r="V32" s="65" t="s">
        <v>543</v>
      </c>
      <c r="W32" s="66" t="s">
        <v>187</v>
      </c>
      <c r="X32" s="67">
        <v>4795</v>
      </c>
      <c r="Y32" s="68">
        <v>4.0999999999999996</v>
      </c>
      <c r="Z32" s="68">
        <v>8.1</v>
      </c>
      <c r="AA32" s="62">
        <f t="shared" si="22"/>
        <v>196.59499999999997</v>
      </c>
      <c r="AB32" s="63">
        <f t="shared" si="23"/>
        <v>388.39500000000004</v>
      </c>
      <c r="AC32" s="69">
        <v>4800</v>
      </c>
      <c r="AD32" s="70">
        <v>4.05</v>
      </c>
      <c r="AE32" s="70">
        <v>8.0299999999999994</v>
      </c>
      <c r="AF32" s="62">
        <f t="shared" si="24"/>
        <v>194.4</v>
      </c>
      <c r="AG32" s="62">
        <f t="shared" si="25"/>
        <v>385.44</v>
      </c>
      <c r="AH32" s="89">
        <v>3848.6</v>
      </c>
      <c r="AI32" s="66">
        <v>4.18</v>
      </c>
      <c r="AJ32" s="66">
        <v>8.1</v>
      </c>
      <c r="AK32" s="62">
        <f t="shared" si="26"/>
        <v>160.87147999999999</v>
      </c>
      <c r="AL32" s="72">
        <f t="shared" si="27"/>
        <v>311.73660000000001</v>
      </c>
      <c r="AM32" s="73">
        <f t="shared" si="11"/>
        <v>-4.9600000000004911</v>
      </c>
      <c r="AN32" s="74">
        <f t="shared" si="29"/>
        <v>6.4386549999999829</v>
      </c>
      <c r="AO32" s="74">
        <f t="shared" si="29"/>
        <v>3.6922059999999419</v>
      </c>
      <c r="AP32" s="75">
        <f t="shared" si="13"/>
        <v>5.2712040474036513E-2</v>
      </c>
      <c r="AQ32" s="76">
        <f t="shared" si="14"/>
        <v>4199.7661098015024</v>
      </c>
      <c r="AR32" s="90">
        <f t="shared" si="15"/>
        <v>3.9999999999054126E-2</v>
      </c>
    </row>
    <row r="33" spans="1:44" x14ac:dyDescent="0.25">
      <c r="A33" t="str">
        <f t="shared" si="16"/>
        <v>46218E</v>
      </c>
      <c r="B33" s="51">
        <f t="shared" si="28"/>
        <v>46218</v>
      </c>
      <c r="C33" s="52" t="s">
        <v>88</v>
      </c>
      <c r="D33" s="91">
        <v>3848.6</v>
      </c>
      <c r="E33" s="62">
        <v>4.18</v>
      </c>
      <c r="F33" s="62">
        <v>8.1</v>
      </c>
      <c r="G33" s="62">
        <f t="shared" si="17"/>
        <v>160.87147999999999</v>
      </c>
      <c r="H33" s="63">
        <f t="shared" si="18"/>
        <v>311.73660000000001</v>
      </c>
      <c r="I33" s="202">
        <v>2151.8000000000002</v>
      </c>
      <c r="J33" s="202">
        <v>2216.3540000000003</v>
      </c>
      <c r="K33" s="202">
        <v>4.2020494469746268</v>
      </c>
      <c r="L33" s="202">
        <v>8.1833395296960703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9"/>
        <v>2216.3540000000003</v>
      </c>
      <c r="S33" s="62">
        <f t="shared" si="20"/>
        <v>93.132291000000038</v>
      </c>
      <c r="T33" s="63">
        <f t="shared" si="21"/>
        <v>181.37177300000008</v>
      </c>
      <c r="U33" s="64" t="s">
        <v>170</v>
      </c>
      <c r="V33" s="65" t="s">
        <v>544</v>
      </c>
      <c r="W33" s="66" t="s">
        <v>181</v>
      </c>
      <c r="X33" s="67">
        <v>3100</v>
      </c>
      <c r="Y33" s="68">
        <v>4.5</v>
      </c>
      <c r="Z33" s="68">
        <v>8.18</v>
      </c>
      <c r="AA33" s="62">
        <f t="shared" si="22"/>
        <v>139.5</v>
      </c>
      <c r="AB33" s="63">
        <f t="shared" si="23"/>
        <v>253.57999999999998</v>
      </c>
      <c r="AC33" s="69">
        <v>3120</v>
      </c>
      <c r="AD33" s="70">
        <v>4.5</v>
      </c>
      <c r="AE33" s="70">
        <v>8.1199999999999992</v>
      </c>
      <c r="AF33" s="62">
        <f t="shared" si="24"/>
        <v>140.4</v>
      </c>
      <c r="AG33" s="62">
        <f t="shared" si="25"/>
        <v>253.34399999999999</v>
      </c>
      <c r="AH33" s="89">
        <v>2965</v>
      </c>
      <c r="AI33" s="66">
        <v>4.18</v>
      </c>
      <c r="AJ33" s="66">
        <v>8.1199999999999992</v>
      </c>
      <c r="AK33" s="62">
        <f t="shared" si="26"/>
        <v>123.937</v>
      </c>
      <c r="AL33" s="72">
        <f t="shared" si="27"/>
        <v>240.75799999999998</v>
      </c>
      <c r="AM33" s="73">
        <f t="shared" si="11"/>
        <v>-20.046000000000276</v>
      </c>
      <c r="AN33" s="74">
        <f t="shared" si="29"/>
        <v>-10.333228999999974</v>
      </c>
      <c r="AO33" s="74">
        <f t="shared" si="29"/>
        <v>-0.9936269999998899</v>
      </c>
      <c r="AP33" s="75">
        <f t="shared" si="13"/>
        <v>-4.12629810828588E-2</v>
      </c>
      <c r="AQ33" s="76">
        <f t="shared" si="14"/>
        <v>-5263.0352848939392</v>
      </c>
      <c r="AR33" s="90">
        <f t="shared" si="15"/>
        <v>-4.6000000000276486E-2</v>
      </c>
    </row>
    <row r="34" spans="1:44" x14ac:dyDescent="0.25">
      <c r="A34" t="str">
        <f t="shared" si="16"/>
        <v>46219M</v>
      </c>
      <c r="B34" s="51">
        <f t="shared" si="28"/>
        <v>46219</v>
      </c>
      <c r="C34" s="52" t="s">
        <v>87</v>
      </c>
      <c r="D34" s="91">
        <v>2965</v>
      </c>
      <c r="E34" s="62">
        <v>4.18</v>
      </c>
      <c r="F34" s="62">
        <v>8.1199999999999992</v>
      </c>
      <c r="G34" s="62">
        <f t="shared" si="17"/>
        <v>123.937</v>
      </c>
      <c r="H34" s="63">
        <f t="shared" si="18"/>
        <v>240.75799999999998</v>
      </c>
      <c r="I34" s="202">
        <v>1661.1000000000001</v>
      </c>
      <c r="J34" s="202">
        <v>1710.9330000000002</v>
      </c>
      <c r="K34" s="202">
        <v>4.3781048702666903</v>
      </c>
      <c r="L34" s="202">
        <v>8.1808861597736406</v>
      </c>
      <c r="M34" s="57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9"/>
        <v>1710.9330000000002</v>
      </c>
      <c r="S34" s="62">
        <f t="shared" si="20"/>
        <v>74.906441000000001</v>
      </c>
      <c r="T34" s="63">
        <f t="shared" si="21"/>
        <v>139.96948099999997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2"/>
        <v>0</v>
      </c>
      <c r="AB34" s="63">
        <f t="shared" si="23"/>
        <v>0</v>
      </c>
      <c r="AC34" s="69"/>
      <c r="AD34" s="70"/>
      <c r="AE34" s="70"/>
      <c r="AF34" s="62">
        <f t="shared" si="24"/>
        <v>0</v>
      </c>
      <c r="AG34" s="62">
        <f t="shared" si="25"/>
        <v>0</v>
      </c>
      <c r="AH34" s="89">
        <v>4675.8</v>
      </c>
      <c r="AI34" s="66">
        <v>4.25</v>
      </c>
      <c r="AJ34" s="66">
        <v>8.14</v>
      </c>
      <c r="AK34" s="62">
        <f t="shared" si="26"/>
        <v>198.72150000000002</v>
      </c>
      <c r="AL34" s="72">
        <f t="shared" si="27"/>
        <v>380.61011999999999</v>
      </c>
      <c r="AM34" s="73">
        <f t="shared" si="11"/>
        <v>0.13299999999981083</v>
      </c>
      <c r="AN34" s="74">
        <f t="shared" si="29"/>
        <v>0.12194099999996411</v>
      </c>
      <c r="AO34" s="74">
        <f t="shared" si="29"/>
        <v>0.11736099999995986</v>
      </c>
      <c r="AP34" s="75">
        <f t="shared" si="13"/>
        <v>1.1136752679061174E-3</v>
      </c>
      <c r="AQ34" s="76">
        <f t="shared" si="14"/>
        <v>93.745193936061924</v>
      </c>
      <c r="AR34" s="90">
        <f t="shared" si="15"/>
        <v>0.13299999999981083</v>
      </c>
    </row>
    <row r="35" spans="1:44" x14ac:dyDescent="0.25">
      <c r="A35" t="str">
        <f t="shared" si="16"/>
        <v>46219E</v>
      </c>
      <c r="B35" s="51">
        <f t="shared" si="28"/>
        <v>46219</v>
      </c>
      <c r="C35" s="52" t="s">
        <v>88</v>
      </c>
      <c r="D35" s="91">
        <v>4675.8</v>
      </c>
      <c r="E35" s="62">
        <v>4.25</v>
      </c>
      <c r="F35" s="62">
        <v>8.14</v>
      </c>
      <c r="G35" s="62">
        <f t="shared" si="17"/>
        <v>198.72150000000002</v>
      </c>
      <c r="H35" s="63">
        <f t="shared" si="18"/>
        <v>380.61011999999999</v>
      </c>
      <c r="I35" s="202">
        <v>2087</v>
      </c>
      <c r="J35" s="202">
        <v>2149.61</v>
      </c>
      <c r="K35" s="202">
        <v>4.1158888356492591</v>
      </c>
      <c r="L35" s="202">
        <v>8.1438955438428344</v>
      </c>
      <c r="M35" s="57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9"/>
        <v>2149.61</v>
      </c>
      <c r="S35" s="62">
        <f t="shared" si="20"/>
        <v>88.475558000000035</v>
      </c>
      <c r="T35" s="63">
        <f t="shared" si="21"/>
        <v>175.06199299999997</v>
      </c>
      <c r="U35" s="64" t="s">
        <v>170</v>
      </c>
      <c r="V35" s="65" t="s">
        <v>576</v>
      </c>
      <c r="W35" s="66" t="s">
        <v>193</v>
      </c>
      <c r="X35" s="67">
        <v>3100</v>
      </c>
      <c r="Y35" s="68">
        <v>4.5</v>
      </c>
      <c r="Z35" s="68">
        <v>8.31</v>
      </c>
      <c r="AA35" s="62">
        <f t="shared" si="22"/>
        <v>139.5</v>
      </c>
      <c r="AB35" s="63">
        <f t="shared" si="23"/>
        <v>257.61</v>
      </c>
      <c r="AC35" s="69">
        <v>3070</v>
      </c>
      <c r="AD35" s="70">
        <v>4.5</v>
      </c>
      <c r="AE35" s="70">
        <v>8.1199999999999992</v>
      </c>
      <c r="AF35" s="62">
        <f t="shared" si="24"/>
        <v>138.15</v>
      </c>
      <c r="AG35" s="62">
        <f t="shared" si="25"/>
        <v>249.28399999999999</v>
      </c>
      <c r="AH35" s="89">
        <v>3725.4</v>
      </c>
      <c r="AI35" s="66">
        <v>4.2</v>
      </c>
      <c r="AJ35" s="66">
        <v>8.14</v>
      </c>
      <c r="AK35" s="62">
        <f t="shared" si="26"/>
        <v>156.46680000000001</v>
      </c>
      <c r="AL35" s="72">
        <f t="shared" si="27"/>
        <v>303.24756000000002</v>
      </c>
      <c r="AM35" s="73">
        <f t="shared" si="11"/>
        <v>30.009999999999764</v>
      </c>
      <c r="AN35" s="74">
        <f t="shared" si="29"/>
        <v>-7.4197419999999283</v>
      </c>
      <c r="AO35" s="74">
        <f t="shared" si="29"/>
        <v>3.1405529999999544</v>
      </c>
      <c r="AP35" s="75">
        <f t="shared" si="13"/>
        <v>-1.6237492470285473E-2</v>
      </c>
      <c r="AQ35" s="76">
        <f t="shared" si="14"/>
        <v>-2624.8598523890505</v>
      </c>
      <c r="AR35" s="90">
        <f t="shared" si="15"/>
        <v>1.0000000000218279E-2</v>
      </c>
    </row>
    <row r="36" spans="1:44" x14ac:dyDescent="0.25">
      <c r="A36" t="str">
        <f t="shared" si="16"/>
        <v>46220M</v>
      </c>
      <c r="B36" s="51">
        <f t="shared" si="28"/>
        <v>46220</v>
      </c>
      <c r="C36" s="52" t="s">
        <v>87</v>
      </c>
      <c r="D36" s="91">
        <v>3725.4</v>
      </c>
      <c r="E36" s="62">
        <v>4.2</v>
      </c>
      <c r="F36" s="62">
        <v>8.14</v>
      </c>
      <c r="G36" s="62">
        <f t="shared" si="17"/>
        <v>156.46680000000001</v>
      </c>
      <c r="H36" s="63">
        <f t="shared" si="18"/>
        <v>303.24756000000002</v>
      </c>
      <c r="I36" s="202">
        <v>1530.3999999999999</v>
      </c>
      <c r="J36" s="202">
        <v>1576.3119999999999</v>
      </c>
      <c r="K36" s="202">
        <v>4.526430998431783</v>
      </c>
      <c r="L36" s="202">
        <v>8.2043518034500806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9"/>
        <v>1576.3119999999999</v>
      </c>
      <c r="S36" s="62">
        <f t="shared" si="20"/>
        <v>71.35067500000001</v>
      </c>
      <c r="T36" s="63">
        <f t="shared" si="21"/>
        <v>129.32618200000002</v>
      </c>
      <c r="U36" s="64" t="s">
        <v>192</v>
      </c>
      <c r="V36" s="65" t="s">
        <v>634</v>
      </c>
      <c r="W36" s="66" t="s">
        <v>187</v>
      </c>
      <c r="X36" s="67">
        <v>4100</v>
      </c>
      <c r="Y36" s="68">
        <v>4.25</v>
      </c>
      <c r="Z36" s="68">
        <v>8.26</v>
      </c>
      <c r="AA36" s="62">
        <f t="shared" si="22"/>
        <v>174.25</v>
      </c>
      <c r="AB36" s="63">
        <f t="shared" si="23"/>
        <v>338.65999999999997</v>
      </c>
      <c r="AC36" s="69">
        <v>4090</v>
      </c>
      <c r="AD36" s="70">
        <v>4.4207823960880201</v>
      </c>
      <c r="AE36" s="70">
        <v>8.1641564792176027</v>
      </c>
      <c r="AF36" s="62">
        <f t="shared" si="24"/>
        <v>180.81000000000003</v>
      </c>
      <c r="AG36" s="62">
        <f t="shared" si="25"/>
        <v>333.91399999999999</v>
      </c>
      <c r="AH36" s="89">
        <v>1201.7</v>
      </c>
      <c r="AI36" s="66">
        <v>4.29</v>
      </c>
      <c r="AJ36" s="66">
        <v>8.16</v>
      </c>
      <c r="AK36" s="62">
        <f t="shared" si="26"/>
        <v>51.552930000000003</v>
      </c>
      <c r="AL36" s="72">
        <f t="shared" si="27"/>
        <v>98.058720000000008</v>
      </c>
      <c r="AM36" s="73">
        <f t="shared" si="11"/>
        <v>10.011999999999489</v>
      </c>
      <c r="AN36" s="74">
        <f t="shared" si="29"/>
        <v>-4.5454550000000324</v>
      </c>
      <c r="AO36" s="74">
        <f t="shared" si="29"/>
        <v>0.60102200000004302</v>
      </c>
      <c r="AP36" s="75">
        <f t="shared" si="13"/>
        <v>-1.9655644696488287E-2</v>
      </c>
      <c r="AQ36" s="76">
        <f t="shared" si="14"/>
        <v>-2004.2383274181759</v>
      </c>
      <c r="AR36" s="90">
        <f t="shared" si="15"/>
        <v>1.1999999999716238E-2</v>
      </c>
    </row>
    <row r="37" spans="1:44" x14ac:dyDescent="0.25">
      <c r="A37" t="str">
        <f t="shared" si="16"/>
        <v>46220E</v>
      </c>
      <c r="B37" s="51">
        <f t="shared" si="28"/>
        <v>46220</v>
      </c>
      <c r="C37" s="52" t="s">
        <v>88</v>
      </c>
      <c r="D37" s="91">
        <v>1201.7</v>
      </c>
      <c r="E37" s="62">
        <v>4.29</v>
      </c>
      <c r="F37" s="62">
        <v>8.16</v>
      </c>
      <c r="G37" s="62">
        <f t="shared" si="17"/>
        <v>51.552930000000003</v>
      </c>
      <c r="H37" s="63">
        <f t="shared" si="18"/>
        <v>98.058720000000008</v>
      </c>
      <c r="I37" s="202">
        <v>2251.8000000000002</v>
      </c>
      <c r="J37" s="202">
        <v>2319.3540000000003</v>
      </c>
      <c r="K37" s="202">
        <v>4.046087574384936</v>
      </c>
      <c r="L37" s="202">
        <v>8.1439870325961436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9"/>
        <v>2319.3540000000003</v>
      </c>
      <c r="S37" s="62">
        <f t="shared" si="20"/>
        <v>93.843093999999994</v>
      </c>
      <c r="T37" s="63">
        <f t="shared" si="21"/>
        <v>188.88788899999997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2"/>
        <v>0</v>
      </c>
      <c r="AB37" s="63">
        <f t="shared" si="23"/>
        <v>0</v>
      </c>
      <c r="AC37" s="69"/>
      <c r="AD37" s="70"/>
      <c r="AE37" s="70"/>
      <c r="AF37" s="62">
        <f t="shared" si="24"/>
        <v>0</v>
      </c>
      <c r="AG37" s="62">
        <f t="shared" si="25"/>
        <v>0</v>
      </c>
      <c r="AH37" s="89">
        <v>3521</v>
      </c>
      <c r="AI37" s="66">
        <v>4.13</v>
      </c>
      <c r="AJ37" s="66">
        <v>8.14</v>
      </c>
      <c r="AK37" s="62">
        <f t="shared" si="26"/>
        <v>145.41729999999998</v>
      </c>
      <c r="AL37" s="72">
        <f t="shared" si="27"/>
        <v>286.60939999999999</v>
      </c>
      <c r="AM37" s="73">
        <f t="shared" si="11"/>
        <v>5.4000000000087311E-2</v>
      </c>
      <c r="AN37" s="74">
        <f t="shared" si="29"/>
        <v>-2.1275999999971873E-2</v>
      </c>
      <c r="AO37" s="74">
        <f t="shared" si="29"/>
        <v>0.337208999999973</v>
      </c>
      <c r="AP37" s="75">
        <f t="shared" si="13"/>
        <v>1.1174332457224935E-3</v>
      </c>
      <c r="AQ37" s="76">
        <f t="shared" si="14"/>
        <v>90.767283035407374</v>
      </c>
      <c r="AR37" s="90">
        <f t="shared" si="15"/>
        <v>5.4000000000087311E-2</v>
      </c>
    </row>
    <row r="38" spans="1:44" x14ac:dyDescent="0.25">
      <c r="A38" t="str">
        <f t="shared" si="16"/>
        <v>46221M</v>
      </c>
      <c r="B38" s="51">
        <f t="shared" si="28"/>
        <v>46221</v>
      </c>
      <c r="C38" s="52" t="s">
        <v>87</v>
      </c>
      <c r="D38" s="91">
        <v>3521</v>
      </c>
      <c r="E38" s="62">
        <v>4.13</v>
      </c>
      <c r="F38" s="62">
        <v>8.14</v>
      </c>
      <c r="G38" s="62">
        <f t="shared" si="17"/>
        <v>145.41729999999998</v>
      </c>
      <c r="H38" s="63">
        <f t="shared" si="18"/>
        <v>286.60939999999999</v>
      </c>
      <c r="I38" s="202">
        <v>1364.6</v>
      </c>
      <c r="J38" s="202">
        <v>1405.538</v>
      </c>
      <c r="K38" s="202">
        <v>4.5241535981239913</v>
      </c>
      <c r="L38" s="202">
        <v>8.1861497874835116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9"/>
        <v>1405.538</v>
      </c>
      <c r="S38" s="62">
        <f t="shared" si="20"/>
        <v>63.588697999999987</v>
      </c>
      <c r="T38" s="63">
        <f t="shared" si="21"/>
        <v>115.05944599999999</v>
      </c>
      <c r="U38" s="64" t="s">
        <v>170</v>
      </c>
      <c r="V38" s="65" t="s">
        <v>635</v>
      </c>
      <c r="W38" s="66" t="s">
        <v>181</v>
      </c>
      <c r="X38" s="67">
        <v>5100</v>
      </c>
      <c r="Y38" s="68">
        <v>4.34</v>
      </c>
      <c r="Z38" s="68">
        <v>8.1999999999999993</v>
      </c>
      <c r="AA38" s="62">
        <f t="shared" si="22"/>
        <v>221.34</v>
      </c>
      <c r="AB38" s="63">
        <f t="shared" si="23"/>
        <v>418.19999999999993</v>
      </c>
      <c r="AC38" s="69">
        <v>5110</v>
      </c>
      <c r="AD38" s="70">
        <v>4.3814090019569472</v>
      </c>
      <c r="AE38" s="70">
        <v>8.1116634050880627</v>
      </c>
      <c r="AF38" s="62">
        <f t="shared" si="24"/>
        <v>223.89</v>
      </c>
      <c r="AG38" s="62">
        <f t="shared" si="25"/>
        <v>414.50599999999997</v>
      </c>
      <c r="AH38" s="89">
        <v>0</v>
      </c>
      <c r="AI38" s="66">
        <v>0</v>
      </c>
      <c r="AJ38" s="66">
        <v>0</v>
      </c>
      <c r="AK38" s="62">
        <f t="shared" si="26"/>
        <v>0</v>
      </c>
      <c r="AL38" s="72">
        <f t="shared" si="27"/>
        <v>0</v>
      </c>
      <c r="AM38" s="73">
        <f t="shared" si="11"/>
        <v>-183.46199999999953</v>
      </c>
      <c r="AN38" s="74">
        <f t="shared" si="29"/>
        <v>-14.88400200000001</v>
      </c>
      <c r="AO38" s="74">
        <f t="shared" si="29"/>
        <v>-12.837153999999998</v>
      </c>
      <c r="AP38" s="75">
        <f t="shared" si="13"/>
        <v>-0.15517181079698208</v>
      </c>
      <c r="AQ38" s="76">
        <f t="shared" si="14"/>
        <v>-10996.860722159166</v>
      </c>
      <c r="AR38" s="90">
        <f t="shared" si="15"/>
        <v>-173.46199999999953</v>
      </c>
    </row>
    <row r="39" spans="1:44" x14ac:dyDescent="0.25">
      <c r="A39" t="str">
        <f t="shared" si="16"/>
        <v>46221E</v>
      </c>
      <c r="B39" s="51">
        <f t="shared" si="28"/>
        <v>46221</v>
      </c>
      <c r="C39" s="52" t="s">
        <v>88</v>
      </c>
      <c r="D39" s="91">
        <v>0</v>
      </c>
      <c r="E39" s="62">
        <v>0</v>
      </c>
      <c r="F39" s="62">
        <v>0</v>
      </c>
      <c r="G39" s="62">
        <f t="shared" si="17"/>
        <v>0</v>
      </c>
      <c r="H39" s="63">
        <f t="shared" si="18"/>
        <v>0</v>
      </c>
      <c r="I39" s="202">
        <v>2220</v>
      </c>
      <c r="J39" s="202">
        <v>2286.6</v>
      </c>
      <c r="K39" s="202">
        <v>4.2543558558558567</v>
      </c>
      <c r="L39" s="202">
        <v>8.1870135135135165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9"/>
        <v>2286.6</v>
      </c>
      <c r="S39" s="62">
        <f t="shared" si="20"/>
        <v>97.280101000000016</v>
      </c>
      <c r="T39" s="63">
        <f t="shared" si="21"/>
        <v>187.20425100000006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2"/>
        <v>0</v>
      </c>
      <c r="AB39" s="63">
        <f t="shared" si="23"/>
        <v>0</v>
      </c>
      <c r="AC39" s="69"/>
      <c r="AD39" s="70"/>
      <c r="AE39" s="70"/>
      <c r="AF39" s="62">
        <f t="shared" si="24"/>
        <v>0</v>
      </c>
      <c r="AG39" s="62">
        <f t="shared" si="25"/>
        <v>0</v>
      </c>
      <c r="AH39" s="89">
        <v>2286.6</v>
      </c>
      <c r="AI39" s="66">
        <v>4.2300000000000004</v>
      </c>
      <c r="AJ39" s="66">
        <v>8.18</v>
      </c>
      <c r="AK39" s="62">
        <f t="shared" si="26"/>
        <v>96.723179999999999</v>
      </c>
      <c r="AL39" s="72">
        <f t="shared" si="27"/>
        <v>187.04388</v>
      </c>
      <c r="AM39" s="73">
        <f t="shared" si="11"/>
        <v>0</v>
      </c>
      <c r="AN39" s="74">
        <f t="shared" si="29"/>
        <v>0.55692100000001687</v>
      </c>
      <c r="AO39" s="74">
        <f t="shared" si="29"/>
        <v>0.16037100000005466</v>
      </c>
      <c r="AP39" s="75">
        <f t="shared" si="13"/>
        <v>2.5213759384560856E-3</v>
      </c>
      <c r="AQ39" s="76">
        <f t="shared" si="14"/>
        <v>315.6483530833429</v>
      </c>
      <c r="AR39" s="90">
        <f t="shared" si="15"/>
        <v>0</v>
      </c>
    </row>
    <row r="40" spans="1:44" x14ac:dyDescent="0.25">
      <c r="A40" t="str">
        <f t="shared" si="16"/>
        <v>46222M</v>
      </c>
      <c r="B40" s="51">
        <f t="shared" si="28"/>
        <v>46222</v>
      </c>
      <c r="C40" s="52" t="s">
        <v>87</v>
      </c>
      <c r="D40" s="91">
        <v>2286.6</v>
      </c>
      <c r="E40" s="62">
        <v>4.2300000000000004</v>
      </c>
      <c r="F40" s="62">
        <v>8.18</v>
      </c>
      <c r="G40" s="62">
        <f t="shared" si="0"/>
        <v>96.723179999999999</v>
      </c>
      <c r="H40" s="63">
        <f t="shared" si="1"/>
        <v>187.04388</v>
      </c>
      <c r="I40" s="202">
        <v>1723.3</v>
      </c>
      <c r="J40" s="202">
        <v>1774.999</v>
      </c>
      <c r="K40" s="202">
        <v>4.3724424070098067</v>
      </c>
      <c r="L40" s="202">
        <v>8.1450472929843905</v>
      </c>
      <c r="M40" s="57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9"/>
        <v>1774.999</v>
      </c>
      <c r="S40" s="62">
        <f t="shared" si="20"/>
        <v>77.610808999999989</v>
      </c>
      <c r="T40" s="63">
        <f t="shared" si="21"/>
        <v>144.57450800000001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22"/>
        <v>0</v>
      </c>
      <c r="AB40" s="63">
        <f t="shared" si="23"/>
        <v>0</v>
      </c>
      <c r="AC40" s="69"/>
      <c r="AD40" s="70"/>
      <c r="AE40" s="70"/>
      <c r="AF40" s="62">
        <f t="shared" si="24"/>
        <v>0</v>
      </c>
      <c r="AG40" s="62">
        <f t="shared" si="25"/>
        <v>0</v>
      </c>
      <c r="AH40" s="89">
        <v>4061.6</v>
      </c>
      <c r="AI40" s="66">
        <v>4.29</v>
      </c>
      <c r="AJ40" s="66">
        <v>8.16</v>
      </c>
      <c r="AK40" s="62">
        <f t="shared" si="26"/>
        <v>174.24263999999999</v>
      </c>
      <c r="AL40" s="72">
        <f t="shared" si="27"/>
        <v>331.42655999999999</v>
      </c>
      <c r="AM40" s="73">
        <f t="shared" si="11"/>
        <v>-9.9999999974897946E-4</v>
      </c>
      <c r="AN40" s="74">
        <f t="shared" si="29"/>
        <v>9.1348999999979696E-2</v>
      </c>
      <c r="AO40" s="74">
        <f t="shared" si="29"/>
        <v>0.19182799999998679</v>
      </c>
      <c r="AP40" s="75">
        <f t="shared" si="13"/>
        <v>1.2745081620310962E-3</v>
      </c>
      <c r="AQ40" s="76">
        <f t="shared" si="14"/>
        <v>101.34694583253435</v>
      </c>
      <c r="AR40" s="90">
        <f t="shared" si="15"/>
        <v>-9.9999999974897946E-4</v>
      </c>
    </row>
    <row r="41" spans="1:44" x14ac:dyDescent="0.25">
      <c r="A41" t="str">
        <f t="shared" si="16"/>
        <v>46222E</v>
      </c>
      <c r="B41" s="51">
        <f t="shared" si="28"/>
        <v>46222</v>
      </c>
      <c r="C41" s="52" t="s">
        <v>88</v>
      </c>
      <c r="D41" s="91">
        <v>4061.6</v>
      </c>
      <c r="E41" s="62">
        <v>4.29</v>
      </c>
      <c r="F41" s="62">
        <v>8.16</v>
      </c>
      <c r="G41" s="62">
        <f t="shared" si="0"/>
        <v>174.24263999999999</v>
      </c>
      <c r="H41" s="63">
        <f t="shared" si="1"/>
        <v>331.42655999999999</v>
      </c>
      <c r="I41" s="202">
        <v>2217.6999999999998</v>
      </c>
      <c r="J41" s="202">
        <v>2284.2309999999998</v>
      </c>
      <c r="K41" s="202">
        <v>4.1557830184425315</v>
      </c>
      <c r="L41" s="202">
        <v>8.0940118140415738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2284.2309999999998</v>
      </c>
      <c r="S41" s="62">
        <f t="shared" si="3"/>
        <v>94.927683999999999</v>
      </c>
      <c r="T41" s="63">
        <f t="shared" si="4"/>
        <v>184.88592699999998</v>
      </c>
      <c r="U41" s="64" t="s">
        <v>170</v>
      </c>
      <c r="V41" s="65" t="s">
        <v>636</v>
      </c>
      <c r="W41" s="66" t="s">
        <v>193</v>
      </c>
      <c r="X41" s="67">
        <v>3100</v>
      </c>
      <c r="Y41" s="68">
        <v>4.4000000000000004</v>
      </c>
      <c r="Z41" s="68">
        <v>8.2899999999999991</v>
      </c>
      <c r="AA41" s="62">
        <f t="shared" si="5"/>
        <v>136.4</v>
      </c>
      <c r="AB41" s="63">
        <f t="shared" si="6"/>
        <v>256.98999999999995</v>
      </c>
      <c r="AC41" s="69">
        <v>3040</v>
      </c>
      <c r="AD41" s="70">
        <v>4.3499999999999996</v>
      </c>
      <c r="AE41" s="70">
        <v>8.09</v>
      </c>
      <c r="AF41" s="62">
        <f t="shared" si="7"/>
        <v>132.23999999999998</v>
      </c>
      <c r="AG41" s="63">
        <f t="shared" si="8"/>
        <v>245.93600000000001</v>
      </c>
      <c r="AH41" s="89">
        <v>3245.8</v>
      </c>
      <c r="AI41" s="71">
        <v>4.24</v>
      </c>
      <c r="AJ41" s="71">
        <v>8.1300000000000008</v>
      </c>
      <c r="AK41" s="62">
        <f t="shared" si="9"/>
        <v>137.62192000000002</v>
      </c>
      <c r="AL41" s="72">
        <f t="shared" si="10"/>
        <v>263.88354000000004</v>
      </c>
      <c r="AM41" s="73">
        <f t="shared" si="11"/>
        <v>60.030999999999949</v>
      </c>
      <c r="AN41" s="74">
        <f t="shared" si="29"/>
        <v>-0.6915960000000041</v>
      </c>
      <c r="AO41" s="74">
        <f t="shared" si="29"/>
        <v>6.4929469999998446</v>
      </c>
      <c r="AP41" s="75">
        <f t="shared" si="13"/>
        <v>2.0732912095544346E-2</v>
      </c>
      <c r="AQ41" s="76">
        <f t="shared" si="14"/>
        <v>1612.245435989797</v>
      </c>
      <c r="AR41" s="90">
        <f t="shared" si="15"/>
        <v>3.0999999999949068E-2</v>
      </c>
    </row>
    <row r="42" spans="1:44" x14ac:dyDescent="0.25">
      <c r="A42" t="str">
        <f t="shared" si="16"/>
        <v>46223M</v>
      </c>
      <c r="B42" s="51">
        <f t="shared" si="28"/>
        <v>46223</v>
      </c>
      <c r="C42" s="52" t="s">
        <v>87</v>
      </c>
      <c r="D42" s="91">
        <v>3245.8</v>
      </c>
      <c r="E42" s="62">
        <v>4.24</v>
      </c>
      <c r="F42" s="62">
        <v>8.1300000000000008</v>
      </c>
      <c r="G42" s="62">
        <f t="shared" si="0"/>
        <v>137.62192000000002</v>
      </c>
      <c r="H42" s="63">
        <f t="shared" si="1"/>
        <v>263.88354000000004</v>
      </c>
      <c r="I42" s="202">
        <v>1521.3999999999999</v>
      </c>
      <c r="J42" s="202">
        <v>1567.0419999999999</v>
      </c>
      <c r="K42" s="202">
        <v>4.5132246614959897</v>
      </c>
      <c r="L42" s="202">
        <v>8.1931839095569892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1567.0419999999999</v>
      </c>
      <c r="S42" s="62">
        <f t="shared" si="3"/>
        <v>70.724125999999984</v>
      </c>
      <c r="T42" s="63">
        <f t="shared" si="4"/>
        <v>128.39063300000004</v>
      </c>
      <c r="U42" s="64" t="s">
        <v>167</v>
      </c>
      <c r="V42" s="65" t="s">
        <v>180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>
        <v>4812.8</v>
      </c>
      <c r="AI42" s="66">
        <v>4.32</v>
      </c>
      <c r="AJ42" s="66">
        <v>8.14</v>
      </c>
      <c r="AK42" s="62">
        <f t="shared" si="9"/>
        <v>207.91296000000003</v>
      </c>
      <c r="AL42" s="72">
        <f t="shared" si="10"/>
        <v>391.76192000000003</v>
      </c>
      <c r="AM42" s="73">
        <f t="shared" si="11"/>
        <v>4.2000000000371074E-2</v>
      </c>
      <c r="AN42" s="74">
        <f t="shared" si="29"/>
        <v>0.43308599999997455</v>
      </c>
      <c r="AO42" s="74">
        <f t="shared" si="29"/>
        <v>0.51225300000004381</v>
      </c>
      <c r="AP42" s="75">
        <f t="shared" si="13"/>
        <v>4.7477093347963132E-3</v>
      </c>
      <c r="AQ42" s="76">
        <f t="shared" si="14"/>
        <v>361.52713156330901</v>
      </c>
      <c r="AR42" s="90">
        <f t="shared" si="15"/>
        <v>4.2000000000371074E-2</v>
      </c>
    </row>
    <row r="43" spans="1:44" x14ac:dyDescent="0.25">
      <c r="A43" t="str">
        <f t="shared" si="16"/>
        <v>46223E</v>
      </c>
      <c r="B43" s="51">
        <f t="shared" si="28"/>
        <v>46223</v>
      </c>
      <c r="C43" s="52" t="s">
        <v>88</v>
      </c>
      <c r="D43" s="91">
        <v>4812.8</v>
      </c>
      <c r="E43" s="62">
        <v>4.32</v>
      </c>
      <c r="F43" s="62">
        <v>8.14</v>
      </c>
      <c r="G43" s="62">
        <f t="shared" si="0"/>
        <v>207.91296000000003</v>
      </c>
      <c r="H43" s="63">
        <f t="shared" si="1"/>
        <v>391.76192000000003</v>
      </c>
      <c r="I43" s="202">
        <v>2362.5000000000005</v>
      </c>
      <c r="J43" s="202">
        <v>2433.3750000000005</v>
      </c>
      <c r="K43" s="202">
        <v>4.2088338624338615</v>
      </c>
      <c r="L43" s="202">
        <v>8.1945015873015858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2433.3750000000005</v>
      </c>
      <c r="S43" s="62">
        <f t="shared" si="3"/>
        <v>102.41671099999999</v>
      </c>
      <c r="T43" s="63">
        <f t="shared" si="4"/>
        <v>199.40295300000002</v>
      </c>
      <c r="U43" s="64" t="s">
        <v>192</v>
      </c>
      <c r="V43" s="65" t="s">
        <v>707</v>
      </c>
      <c r="W43" s="66" t="s">
        <v>187</v>
      </c>
      <c r="X43" s="67">
        <v>5160</v>
      </c>
      <c r="Y43" s="68">
        <v>4.4000000000000004</v>
      </c>
      <c r="Z43" s="68">
        <v>8.2899999999999991</v>
      </c>
      <c r="AA43" s="62">
        <f t="shared" si="5"/>
        <v>227.04000000000002</v>
      </c>
      <c r="AB43" s="63">
        <f t="shared" si="6"/>
        <v>427.76399999999995</v>
      </c>
      <c r="AC43" s="69">
        <v>5160</v>
      </c>
      <c r="AD43" s="70">
        <v>4.3018410852713167</v>
      </c>
      <c r="AE43" s="70">
        <v>8.1381589147286828</v>
      </c>
      <c r="AF43" s="62">
        <f t="shared" si="7"/>
        <v>221.97499999999994</v>
      </c>
      <c r="AG43" s="63">
        <f t="shared" si="8"/>
        <v>419.92900000000003</v>
      </c>
      <c r="AH43" s="89">
        <v>2086.1</v>
      </c>
      <c r="AI43" s="71">
        <v>4.28</v>
      </c>
      <c r="AJ43" s="71">
        <v>8.15</v>
      </c>
      <c r="AK43" s="62">
        <f t="shared" si="9"/>
        <v>89.285080000000008</v>
      </c>
      <c r="AL43" s="72">
        <f t="shared" si="10"/>
        <v>170.01714999999999</v>
      </c>
      <c r="AM43" s="73">
        <f t="shared" si="11"/>
        <v>7.5000000001182343E-2</v>
      </c>
      <c r="AN43" s="74">
        <f t="shared" si="29"/>
        <v>-0.93040899999992632</v>
      </c>
      <c r="AO43" s="74">
        <f t="shared" si="29"/>
        <v>1.2187230000000397</v>
      </c>
      <c r="AP43" s="75">
        <f t="shared" si="13"/>
        <v>9.552525378204431E-4</v>
      </c>
      <c r="AQ43" s="76">
        <f t="shared" si="14"/>
        <v>-82.095117182255819</v>
      </c>
      <c r="AR43" s="90">
        <f t="shared" si="15"/>
        <v>7.5000000000727596E-2</v>
      </c>
    </row>
    <row r="44" spans="1:44" x14ac:dyDescent="0.25">
      <c r="A44" t="str">
        <f t="shared" si="16"/>
        <v>46224M</v>
      </c>
      <c r="B44" s="51">
        <f t="shared" si="28"/>
        <v>46224</v>
      </c>
      <c r="C44" s="52" t="s">
        <v>87</v>
      </c>
      <c r="D44" s="91">
        <v>2086.1</v>
      </c>
      <c r="E44" s="62">
        <v>4.28</v>
      </c>
      <c r="F44" s="62">
        <v>8.15</v>
      </c>
      <c r="G44" s="62">
        <f t="shared" si="0"/>
        <v>89.285080000000008</v>
      </c>
      <c r="H44" s="63">
        <f t="shared" si="1"/>
        <v>170.01714999999999</v>
      </c>
      <c r="I44" s="202">
        <v>1667.2</v>
      </c>
      <c r="J44" s="202">
        <v>1717.2160000000001</v>
      </c>
      <c r="K44" s="202">
        <v>4.3909488963531658</v>
      </c>
      <c r="L44" s="202">
        <v>8.1891734644913647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1717.2160000000001</v>
      </c>
      <c r="S44" s="62">
        <f t="shared" si="3"/>
        <v>75.402076999999991</v>
      </c>
      <c r="T44" s="63">
        <f t="shared" si="4"/>
        <v>140.62579700000003</v>
      </c>
      <c r="U44" s="64" t="s">
        <v>170</v>
      </c>
      <c r="V44" s="65" t="s">
        <v>708</v>
      </c>
      <c r="W44" s="66" t="s">
        <v>435</v>
      </c>
      <c r="X44" s="67">
        <v>1210</v>
      </c>
      <c r="Y44" s="68">
        <v>4.3499999999999996</v>
      </c>
      <c r="Z44" s="68">
        <v>8.2799999999999994</v>
      </c>
      <c r="AA44" s="62">
        <f t="shared" si="5"/>
        <v>52.634999999999998</v>
      </c>
      <c r="AB44" s="63">
        <f t="shared" si="6"/>
        <v>100.188</v>
      </c>
      <c r="AC44" s="69">
        <v>1200</v>
      </c>
      <c r="AD44" s="70">
        <v>4.6149999999999993</v>
      </c>
      <c r="AE44" s="70">
        <v>8.6567499999999988</v>
      </c>
      <c r="AF44" s="62">
        <f t="shared" si="7"/>
        <v>55.379999999999995</v>
      </c>
      <c r="AG44" s="63">
        <f t="shared" si="8"/>
        <v>103.88099999999999</v>
      </c>
      <c r="AH44" s="89">
        <v>2593.3000000000002</v>
      </c>
      <c r="AI44" s="66">
        <v>4.32</v>
      </c>
      <c r="AJ44" s="66">
        <v>8.16</v>
      </c>
      <c r="AK44" s="62">
        <f t="shared" si="9"/>
        <v>112.03056000000001</v>
      </c>
      <c r="AL44" s="72">
        <f t="shared" si="10"/>
        <v>211.61328000000003</v>
      </c>
      <c r="AM44" s="73">
        <f t="shared" si="11"/>
        <v>10.015999999999622</v>
      </c>
      <c r="AN44" s="74">
        <f t="shared" si="29"/>
        <v>-2.7234029999999905</v>
      </c>
      <c r="AO44" s="74">
        <f t="shared" si="29"/>
        <v>-4.8513329999999542</v>
      </c>
      <c r="AP44" s="75">
        <f t="shared" si="13"/>
        <v>-3.5063697381940366E-2</v>
      </c>
      <c r="AQ44" s="76">
        <f t="shared" si="14"/>
        <v>-2761.6148229876217</v>
      </c>
      <c r="AR44" s="90">
        <f t="shared" si="15"/>
        <v>1.599999999962165E-2</v>
      </c>
    </row>
    <row r="45" spans="1:44" x14ac:dyDescent="0.25">
      <c r="A45" t="str">
        <f t="shared" si="16"/>
        <v>46224E</v>
      </c>
      <c r="B45" s="51">
        <f t="shared" si="28"/>
        <v>46224</v>
      </c>
      <c r="C45" s="52" t="s">
        <v>88</v>
      </c>
      <c r="D45" s="91">
        <v>2593.3000000000002</v>
      </c>
      <c r="E45" s="62">
        <v>4.32</v>
      </c>
      <c r="F45" s="62">
        <v>8.16</v>
      </c>
      <c r="G45" s="62">
        <f t="shared" si="0"/>
        <v>112.03056000000001</v>
      </c>
      <c r="H45" s="63">
        <f t="shared" si="1"/>
        <v>211.61328000000003</v>
      </c>
      <c r="I45" s="202">
        <v>2137.5</v>
      </c>
      <c r="J45" s="202">
        <v>2201.625</v>
      </c>
      <c r="K45" s="202">
        <v>4.1899181286549716</v>
      </c>
      <c r="L45" s="202">
        <v>8.1891789473684167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2201.625</v>
      </c>
      <c r="S45" s="62">
        <f t="shared" si="3"/>
        <v>92.246285000000015</v>
      </c>
      <c r="T45" s="63">
        <f t="shared" si="4"/>
        <v>180.2950109999999</v>
      </c>
      <c r="U45" s="64" t="s">
        <v>192</v>
      </c>
      <c r="V45" s="65" t="s">
        <v>709</v>
      </c>
      <c r="W45" s="66" t="s">
        <v>187</v>
      </c>
      <c r="X45" s="67">
        <v>4940</v>
      </c>
      <c r="Y45" s="68">
        <v>4.3</v>
      </c>
      <c r="Z45" s="68">
        <v>8.27</v>
      </c>
      <c r="AA45" s="62">
        <f t="shared" si="5"/>
        <v>212.42</v>
      </c>
      <c r="AB45" s="63">
        <f t="shared" si="6"/>
        <v>408.53799999999995</v>
      </c>
      <c r="AC45" s="69">
        <v>4940</v>
      </c>
      <c r="AD45" s="70">
        <v>4.4033400809716605</v>
      </c>
      <c r="AE45" s="70">
        <v>8.1122267206477758</v>
      </c>
      <c r="AF45" s="62">
        <f t="shared" si="7"/>
        <v>217.52500000000003</v>
      </c>
      <c r="AG45" s="63">
        <f t="shared" si="8"/>
        <v>400.74400000000014</v>
      </c>
      <c r="AH45" s="89">
        <v>0</v>
      </c>
      <c r="AI45" s="71">
        <v>0</v>
      </c>
      <c r="AJ45" s="71">
        <v>0</v>
      </c>
      <c r="AK45" s="62">
        <f t="shared" si="9"/>
        <v>0</v>
      </c>
      <c r="AL45" s="72">
        <f t="shared" si="10"/>
        <v>0</v>
      </c>
      <c r="AM45" s="73">
        <f t="shared" si="11"/>
        <v>-145.07499999999982</v>
      </c>
      <c r="AN45" s="74">
        <f t="shared" si="29"/>
        <v>-13.248154999999997</v>
      </c>
      <c r="AO45" s="74">
        <f t="shared" si="29"/>
        <v>-8.835709000000179</v>
      </c>
      <c r="AP45" s="75">
        <f t="shared" si="13"/>
        <v>-8.1029423152079602E-2</v>
      </c>
      <c r="AQ45" s="76">
        <f t="shared" si="14"/>
        <v>-9012.3858430947585</v>
      </c>
      <c r="AR45" s="90">
        <f t="shared" si="15"/>
        <v>-145.07499999999982</v>
      </c>
    </row>
    <row r="46" spans="1:44" x14ac:dyDescent="0.25">
      <c r="A46" t="str">
        <f t="shared" si="16"/>
        <v>46225M</v>
      </c>
      <c r="B46" s="51">
        <f t="shared" si="28"/>
        <v>46225</v>
      </c>
      <c r="C46" s="52" t="s">
        <v>87</v>
      </c>
      <c r="D46" s="91">
        <v>0</v>
      </c>
      <c r="E46" s="62">
        <v>0</v>
      </c>
      <c r="F46" s="62">
        <v>0</v>
      </c>
      <c r="G46" s="62">
        <f t="shared" si="0"/>
        <v>0</v>
      </c>
      <c r="H46" s="63">
        <f t="shared" si="1"/>
        <v>0</v>
      </c>
      <c r="I46" s="202">
        <v>1413.3</v>
      </c>
      <c r="J46" s="202">
        <v>1455.6990000000001</v>
      </c>
      <c r="K46" s="202">
        <v>4.4322366093539927</v>
      </c>
      <c r="L46" s="202">
        <v>8.1713648906813834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1455.6990000000001</v>
      </c>
      <c r="S46" s="62">
        <f t="shared" si="3"/>
        <v>64.520023999999978</v>
      </c>
      <c r="T46" s="63">
        <f t="shared" si="4"/>
        <v>118.95047699999999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1455.6</v>
      </c>
      <c r="AI46" s="66">
        <v>4.43</v>
      </c>
      <c r="AJ46" s="66">
        <v>8.17</v>
      </c>
      <c r="AK46" s="62">
        <f t="shared" si="9"/>
        <v>64.483080000000001</v>
      </c>
      <c r="AL46" s="72">
        <f t="shared" si="10"/>
        <v>118.92251999999999</v>
      </c>
      <c r="AM46" s="73">
        <f t="shared" si="11"/>
        <v>9.9000000000160071E-2</v>
      </c>
      <c r="AN46" s="74">
        <f t="shared" si="29"/>
        <v>3.6943999999976995E-2</v>
      </c>
      <c r="AO46" s="74">
        <f t="shared" si="29"/>
        <v>2.7957000000000676E-2</v>
      </c>
      <c r="AP46" s="75">
        <f t="shared" si="13"/>
        <v>3.5374079018826948E-4</v>
      </c>
      <c r="AQ46" s="76">
        <f t="shared" si="14"/>
        <v>26.125667007636981</v>
      </c>
      <c r="AR46" s="90">
        <f t="shared" si="15"/>
        <v>9.9000000000160071E-2</v>
      </c>
    </row>
    <row r="47" spans="1:44" x14ac:dyDescent="0.25">
      <c r="A47" t="str">
        <f t="shared" si="16"/>
        <v>46225E</v>
      </c>
      <c r="B47" s="51">
        <f t="shared" si="28"/>
        <v>46225</v>
      </c>
      <c r="C47" s="52" t="s">
        <v>88</v>
      </c>
      <c r="D47" s="91">
        <v>1455.6</v>
      </c>
      <c r="E47" s="62">
        <v>4.43</v>
      </c>
      <c r="F47" s="62">
        <v>8.17</v>
      </c>
      <c r="G47" s="62">
        <f t="shared" si="0"/>
        <v>64.483080000000001</v>
      </c>
      <c r="H47" s="63">
        <f t="shared" si="1"/>
        <v>118.92251999999999</v>
      </c>
      <c r="I47" s="202">
        <v>2214.6</v>
      </c>
      <c r="J47" s="202">
        <v>2281.038</v>
      </c>
      <c r="K47" s="202">
        <v>4.1543529305517923</v>
      </c>
      <c r="L47" s="202">
        <v>8.1914837893976316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2281.038</v>
      </c>
      <c r="S47" s="62">
        <f t="shared" si="3"/>
        <v>94.762368999999993</v>
      </c>
      <c r="T47" s="63">
        <f t="shared" si="4"/>
        <v>186.85085799999993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3736.6</v>
      </c>
      <c r="AI47" s="66">
        <v>4.26</v>
      </c>
      <c r="AJ47" s="66">
        <v>8.18</v>
      </c>
      <c r="AK47" s="62">
        <f t="shared" si="9"/>
        <v>159.17916</v>
      </c>
      <c r="AL47" s="72">
        <f t="shared" si="10"/>
        <v>305.65387999999996</v>
      </c>
      <c r="AM47" s="73">
        <f t="shared" si="11"/>
        <v>3.8000000000010914E-2</v>
      </c>
      <c r="AN47" s="74">
        <f t="shared" si="29"/>
        <v>6.6289000000011811E-2</v>
      </c>
      <c r="AO47" s="74">
        <f t="shared" si="29"/>
        <v>0.11949799999996458</v>
      </c>
      <c r="AP47" s="75">
        <f t="shared" si="13"/>
        <v>6.597239837743006E-4</v>
      </c>
      <c r="AQ47" s="76">
        <f t="shared" si="14"/>
        <v>67.642609137740152</v>
      </c>
      <c r="AR47" s="90">
        <f t="shared" si="15"/>
        <v>3.8000000000010914E-2</v>
      </c>
    </row>
    <row r="48" spans="1:44" x14ac:dyDescent="0.25">
      <c r="A48" t="str">
        <f t="shared" si="16"/>
        <v>46226M</v>
      </c>
      <c r="B48" s="51">
        <f t="shared" si="28"/>
        <v>46226</v>
      </c>
      <c r="C48" s="52" t="s">
        <v>87</v>
      </c>
      <c r="D48" s="91">
        <v>3736.6</v>
      </c>
      <c r="E48" s="62">
        <v>4.26</v>
      </c>
      <c r="F48" s="62">
        <v>8.18</v>
      </c>
      <c r="G48" s="62">
        <f t="shared" si="0"/>
        <v>159.17916</v>
      </c>
      <c r="H48" s="63">
        <f t="shared" si="1"/>
        <v>305.65387999999996</v>
      </c>
      <c r="I48" s="202">
        <v>1563.6999999999998</v>
      </c>
      <c r="J48" s="202">
        <v>1610.6109999999999</v>
      </c>
      <c r="K48" s="202">
        <v>4.5335614248257325</v>
      </c>
      <c r="L48" s="202">
        <v>8.1621986314510444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1610.6109999999999</v>
      </c>
      <c r="S48" s="62">
        <f t="shared" si="3"/>
        <v>73.018038999999973</v>
      </c>
      <c r="T48" s="63">
        <f t="shared" si="4"/>
        <v>131.46126899999996</v>
      </c>
      <c r="U48" s="64" t="s">
        <v>192</v>
      </c>
      <c r="V48" s="65" t="s">
        <v>763</v>
      </c>
      <c r="W48" s="66" t="s">
        <v>187</v>
      </c>
      <c r="X48" s="67">
        <v>5150</v>
      </c>
      <c r="Y48" s="68">
        <v>4.3</v>
      </c>
      <c r="Z48" s="68">
        <v>8.14</v>
      </c>
      <c r="AA48" s="62">
        <f t="shared" si="5"/>
        <v>221.45</v>
      </c>
      <c r="AB48" s="63">
        <f t="shared" si="6"/>
        <v>419.21</v>
      </c>
      <c r="AC48" s="69">
        <v>5160</v>
      </c>
      <c r="AD48" s="70">
        <v>4.4430232558139542</v>
      </c>
      <c r="AE48" s="70">
        <v>8.2340697674418628</v>
      </c>
      <c r="AF48" s="62">
        <f t="shared" si="7"/>
        <v>229.26000000000005</v>
      </c>
      <c r="AG48" s="63">
        <f t="shared" si="8"/>
        <v>424.8780000000001</v>
      </c>
      <c r="AH48" s="89">
        <v>197.2</v>
      </c>
      <c r="AI48" s="71">
        <v>4.34</v>
      </c>
      <c r="AJ48" s="71">
        <v>8.17</v>
      </c>
      <c r="AK48" s="62">
        <f t="shared" si="9"/>
        <v>8.5584799999999994</v>
      </c>
      <c r="AL48" s="72">
        <f t="shared" si="10"/>
        <v>16.111239999999999</v>
      </c>
      <c r="AM48" s="73">
        <f t="shared" si="11"/>
        <v>-9.989000000000658</v>
      </c>
      <c r="AN48" s="74">
        <f t="shared" si="29"/>
        <v>-5.6212810000000921</v>
      </c>
      <c r="AO48" s="74">
        <f t="shared" si="29"/>
        <v>-3.8740910000001811</v>
      </c>
      <c r="AP48" s="75">
        <f t="shared" si="13"/>
        <v>-4.6436835555019949E-2</v>
      </c>
      <c r="AQ48" s="76">
        <f t="shared" si="14"/>
        <v>-3861.4642384662902</v>
      </c>
      <c r="AR48" s="90">
        <f t="shared" si="15"/>
        <v>1.0999999999512511E-2</v>
      </c>
    </row>
    <row r="49" spans="1:44" x14ac:dyDescent="0.25">
      <c r="A49" t="str">
        <f t="shared" si="16"/>
        <v>46226E</v>
      </c>
      <c r="B49" s="51">
        <f t="shared" si="28"/>
        <v>46226</v>
      </c>
      <c r="C49" s="52" t="s">
        <v>88</v>
      </c>
      <c r="D49" s="91">
        <v>197.2</v>
      </c>
      <c r="E49" s="62">
        <v>4.34</v>
      </c>
      <c r="F49" s="62">
        <v>8.17</v>
      </c>
      <c r="G49" s="62">
        <f t="shared" si="0"/>
        <v>8.5584799999999994</v>
      </c>
      <c r="H49" s="63">
        <f t="shared" si="1"/>
        <v>16.111239999999999</v>
      </c>
      <c r="I49" s="202">
        <v>2259.5000000000009</v>
      </c>
      <c r="J49" s="202">
        <v>2327.2850000000012</v>
      </c>
      <c r="K49" s="202">
        <v>4.2051958397875646</v>
      </c>
      <c r="L49" s="202">
        <v>8.2017968577118836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2327.2850000000012</v>
      </c>
      <c r="S49" s="62">
        <f t="shared" si="3"/>
        <v>97.866892000000078</v>
      </c>
      <c r="T49" s="63">
        <f t="shared" si="4"/>
        <v>190.87918800000011</v>
      </c>
      <c r="U49" s="64" t="s">
        <v>170</v>
      </c>
      <c r="V49" s="65" t="s">
        <v>764</v>
      </c>
      <c r="W49" s="66" t="s">
        <v>187</v>
      </c>
      <c r="X49" s="67">
        <v>975</v>
      </c>
      <c r="Y49" s="68">
        <v>4.3</v>
      </c>
      <c r="Z49" s="68">
        <v>8.27</v>
      </c>
      <c r="AA49" s="62">
        <f t="shared" si="5"/>
        <v>41.924999999999997</v>
      </c>
      <c r="AB49" s="63">
        <f t="shared" si="6"/>
        <v>80.632499999999993</v>
      </c>
      <c r="AC49" s="69">
        <v>965</v>
      </c>
      <c r="AD49" s="70">
        <v>4.1398963730569962</v>
      </c>
      <c r="AE49" s="70">
        <v>7.5674611398963743</v>
      </c>
      <c r="AF49" s="62">
        <f t="shared" si="7"/>
        <v>39.950000000000017</v>
      </c>
      <c r="AG49" s="63">
        <f t="shared" si="8"/>
        <v>73.02600000000001</v>
      </c>
      <c r="AH49" s="89">
        <v>1549.4</v>
      </c>
      <c r="AI49" s="66">
        <v>4.22</v>
      </c>
      <c r="AJ49" s="66">
        <v>8.19</v>
      </c>
      <c r="AK49" s="62">
        <f t="shared" si="9"/>
        <v>65.384679999999989</v>
      </c>
      <c r="AL49" s="72">
        <f t="shared" si="10"/>
        <v>126.89586000000001</v>
      </c>
      <c r="AM49" s="73">
        <f t="shared" si="11"/>
        <v>10.085000000000946</v>
      </c>
      <c r="AN49" s="74">
        <f t="shared" si="29"/>
        <v>1.0906920000000753</v>
      </c>
      <c r="AO49" s="74">
        <f t="shared" si="29"/>
        <v>7.0685680000000986</v>
      </c>
      <c r="AP49" s="75">
        <f t="shared" si="13"/>
        <v>2.8257561106977344E-2</v>
      </c>
      <c r="AQ49" s="76">
        <f t="shared" si="14"/>
        <v>2641.0861921214732</v>
      </c>
      <c r="AR49" s="90">
        <f t="shared" si="15"/>
        <v>8.5000000000945874E-2</v>
      </c>
    </row>
    <row r="50" spans="1:44" x14ac:dyDescent="0.25">
      <c r="A50" t="str">
        <f t="shared" si="16"/>
        <v>46227M</v>
      </c>
      <c r="B50" s="51">
        <f t="shared" si="28"/>
        <v>46227</v>
      </c>
      <c r="C50" s="52" t="s">
        <v>87</v>
      </c>
      <c r="D50" s="91">
        <v>1549.4</v>
      </c>
      <c r="E50" s="62">
        <v>4.22</v>
      </c>
      <c r="F50" s="62">
        <v>8.19</v>
      </c>
      <c r="G50" s="62">
        <f t="shared" si="0"/>
        <v>65.384679999999989</v>
      </c>
      <c r="H50" s="63">
        <f t="shared" si="1"/>
        <v>126.89586000000001</v>
      </c>
      <c r="I50" s="202">
        <v>1217.7</v>
      </c>
      <c r="J50" s="202">
        <v>1254.231</v>
      </c>
      <c r="K50" s="202">
        <v>4.6586433440091977</v>
      </c>
      <c r="L50" s="202">
        <v>8.210084585694343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1254.231</v>
      </c>
      <c r="S50" s="62">
        <f t="shared" si="3"/>
        <v>58.430148999999993</v>
      </c>
      <c r="T50" s="63">
        <f t="shared" si="4"/>
        <v>102.973426</v>
      </c>
      <c r="U50" s="64" t="s">
        <v>196</v>
      </c>
      <c r="V50" s="65" t="s">
        <v>809</v>
      </c>
      <c r="W50" s="66" t="s">
        <v>193</v>
      </c>
      <c r="X50" s="67">
        <v>1235</v>
      </c>
      <c r="Y50" s="68">
        <v>4.25</v>
      </c>
      <c r="Z50" s="68">
        <v>8.1300000000000008</v>
      </c>
      <c r="AA50" s="62">
        <f t="shared" si="5"/>
        <v>52.487500000000004</v>
      </c>
      <c r="AB50" s="63">
        <f t="shared" si="6"/>
        <v>100.40550000000002</v>
      </c>
      <c r="AC50" s="69">
        <v>1260</v>
      </c>
      <c r="AD50" s="70">
        <v>4.953968253968255</v>
      </c>
      <c r="AE50" s="70">
        <v>8.4369841269841253</v>
      </c>
      <c r="AF50" s="62">
        <f t="shared" si="7"/>
        <v>62.420000000000016</v>
      </c>
      <c r="AG50" s="63">
        <f t="shared" si="8"/>
        <v>106.30599999999997</v>
      </c>
      <c r="AH50" s="89">
        <v>1568.6</v>
      </c>
      <c r="AI50" s="71">
        <v>4.41</v>
      </c>
      <c r="AJ50" s="71">
        <v>8.19</v>
      </c>
      <c r="AK50" s="62">
        <f t="shared" si="9"/>
        <v>69.175259999999994</v>
      </c>
      <c r="AL50" s="72">
        <f t="shared" si="10"/>
        <v>128.46833999999998</v>
      </c>
      <c r="AM50" s="73">
        <f t="shared" si="11"/>
        <v>-24.968999999999596</v>
      </c>
      <c r="AN50" s="74">
        <f t="shared" si="29"/>
        <v>-7.7804310000000356</v>
      </c>
      <c r="AO50" s="74">
        <f t="shared" si="29"/>
        <v>-4.9050539999999359</v>
      </c>
      <c r="AP50" s="75">
        <f t="shared" si="13"/>
        <v>-7.859482046788599E-2</v>
      </c>
      <c r="AQ50" s="76">
        <f t="shared" si="14"/>
        <v>-5207.7703264216307</v>
      </c>
      <c r="AR50" s="90">
        <f t="shared" si="15"/>
        <v>3.1000000000403816E-2</v>
      </c>
    </row>
    <row r="51" spans="1:44" x14ac:dyDescent="0.25">
      <c r="A51" t="str">
        <f t="shared" si="16"/>
        <v>46227E</v>
      </c>
      <c r="B51" s="51">
        <f t="shared" si="28"/>
        <v>46227</v>
      </c>
      <c r="C51" s="52" t="s">
        <v>88</v>
      </c>
      <c r="D51" s="91">
        <v>1568.6</v>
      </c>
      <c r="E51" s="62">
        <v>4.41</v>
      </c>
      <c r="F51" s="62">
        <v>8.19</v>
      </c>
      <c r="G51" s="62">
        <f t="shared" si="0"/>
        <v>69.175259999999994</v>
      </c>
      <c r="H51" s="63">
        <f t="shared" si="1"/>
        <v>128.46833999999998</v>
      </c>
      <c r="I51" s="202">
        <v>2217.2999999999997</v>
      </c>
      <c r="J51" s="202">
        <v>2283.819</v>
      </c>
      <c r="K51" s="202">
        <v>4.0325080052315876</v>
      </c>
      <c r="L51" s="202">
        <v>8.2147251161322359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2283.819</v>
      </c>
      <c r="S51" s="62">
        <f t="shared" si="3"/>
        <v>92.095183999999989</v>
      </c>
      <c r="T51" s="63">
        <f t="shared" si="4"/>
        <v>187.60945300000009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3852.4</v>
      </c>
      <c r="AI51" s="66">
        <v>4.18</v>
      </c>
      <c r="AJ51" s="66">
        <v>8.1999999999999993</v>
      </c>
      <c r="AK51" s="62">
        <f t="shared" si="9"/>
        <v>161.03031999999999</v>
      </c>
      <c r="AL51" s="72">
        <f t="shared" si="10"/>
        <v>315.89679999999998</v>
      </c>
      <c r="AM51" s="73">
        <f t="shared" si="11"/>
        <v>1.8999999999778083E-2</v>
      </c>
      <c r="AN51" s="74">
        <f t="shared" si="29"/>
        <v>0.24012400000000866</v>
      </c>
      <c r="AO51" s="74">
        <f t="shared" si="29"/>
        <v>0.18099300000005769</v>
      </c>
      <c r="AP51" s="75">
        <f t="shared" si="13"/>
        <v>1.5055774709951137E-3</v>
      </c>
      <c r="AQ51" s="76">
        <f t="shared" si="14"/>
        <v>169.59318938575203</v>
      </c>
      <c r="AR51" s="90">
        <f t="shared" si="15"/>
        <v>1.8999999999778083E-2</v>
      </c>
    </row>
    <row r="52" spans="1:44" x14ac:dyDescent="0.25">
      <c r="A52" t="str">
        <f t="shared" si="16"/>
        <v>46228M</v>
      </c>
      <c r="B52" s="51">
        <f t="shared" si="28"/>
        <v>46228</v>
      </c>
      <c r="C52" s="52" t="s">
        <v>87</v>
      </c>
      <c r="D52" s="91">
        <v>3852.4</v>
      </c>
      <c r="E52" s="62">
        <v>4.18</v>
      </c>
      <c r="F52" s="62">
        <v>8.1999999999999993</v>
      </c>
      <c r="G52" s="62">
        <f t="shared" si="0"/>
        <v>161.03031999999999</v>
      </c>
      <c r="H52" s="63">
        <f t="shared" si="1"/>
        <v>315.89679999999998</v>
      </c>
      <c r="I52" s="118">
        <v>1380.8</v>
      </c>
      <c r="J52" s="118">
        <v>1422.2239999999999</v>
      </c>
      <c r="K52" s="118">
        <v>4.3607184241019707</v>
      </c>
      <c r="L52" s="118">
        <v>8.1902520278099686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1422.2239999999999</v>
      </c>
      <c r="S52" s="62">
        <f t="shared" si="3"/>
        <v>62.019184000000003</v>
      </c>
      <c r="T52" s="63">
        <f t="shared" si="4"/>
        <v>116.48373000000005</v>
      </c>
      <c r="U52" s="64" t="s">
        <v>167</v>
      </c>
      <c r="V52" s="65" t="s">
        <v>180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>
        <v>5274.6</v>
      </c>
      <c r="AI52" s="66">
        <v>4.22</v>
      </c>
      <c r="AJ52" s="66">
        <v>8.19</v>
      </c>
      <c r="AK52" s="62">
        <f t="shared" si="9"/>
        <v>222.58811999999998</v>
      </c>
      <c r="AL52" s="72">
        <f t="shared" si="10"/>
        <v>431.98974000000004</v>
      </c>
      <c r="AM52" s="73">
        <f t="shared" si="11"/>
        <v>2.3999999999432475E-2</v>
      </c>
      <c r="AN52" s="74">
        <f t="shared" si="29"/>
        <v>0.46138400000000956</v>
      </c>
      <c r="AO52" s="74">
        <f t="shared" si="29"/>
        <v>0.39078999999998132</v>
      </c>
      <c r="AP52" s="75">
        <f t="shared" si="13"/>
        <v>4.7740060982981525E-3</v>
      </c>
      <c r="AQ52" s="76">
        <f t="shared" si="14"/>
        <v>338.74815438775875</v>
      </c>
      <c r="AR52" s="90">
        <f t="shared" si="15"/>
        <v>2.3999999999432475E-2</v>
      </c>
    </row>
    <row r="53" spans="1:44" x14ac:dyDescent="0.25">
      <c r="A53" t="str">
        <f t="shared" si="16"/>
        <v>46228E</v>
      </c>
      <c r="B53" s="51">
        <f t="shared" si="28"/>
        <v>46228</v>
      </c>
      <c r="C53" s="52" t="s">
        <v>88</v>
      </c>
      <c r="D53" s="91">
        <v>5274.6</v>
      </c>
      <c r="E53" s="62">
        <v>4.22</v>
      </c>
      <c r="F53" s="62">
        <v>8.19</v>
      </c>
      <c r="G53" s="62">
        <f t="shared" si="0"/>
        <v>222.58811999999998</v>
      </c>
      <c r="H53" s="63">
        <f t="shared" si="1"/>
        <v>431.98974000000004</v>
      </c>
      <c r="I53" s="118">
        <v>2196.1</v>
      </c>
      <c r="J53" s="118">
        <v>2261.9830000000002</v>
      </c>
      <c r="K53" s="118">
        <v>3.963517144028049</v>
      </c>
      <c r="L53" s="118">
        <v>8.199098401712126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2261.9830000000002</v>
      </c>
      <c r="S53" s="62">
        <f t="shared" si="3"/>
        <v>89.654083999999983</v>
      </c>
      <c r="T53" s="63">
        <f t="shared" si="4"/>
        <v>185.46221200000002</v>
      </c>
      <c r="U53" s="64" t="s">
        <v>170</v>
      </c>
      <c r="V53" s="65" t="s">
        <v>810</v>
      </c>
      <c r="W53" s="66" t="s">
        <v>181</v>
      </c>
      <c r="X53" s="67">
        <v>5530</v>
      </c>
      <c r="Y53" s="68">
        <v>4.3499999999999996</v>
      </c>
      <c r="Z53" s="68">
        <v>8.2200000000000006</v>
      </c>
      <c r="AA53" s="62">
        <f t="shared" si="5"/>
        <v>240.55499999999998</v>
      </c>
      <c r="AB53" s="63">
        <f t="shared" si="6"/>
        <v>454.56600000000003</v>
      </c>
      <c r="AC53" s="69">
        <v>5480</v>
      </c>
      <c r="AD53" s="70">
        <v>4.336678832116788</v>
      </c>
      <c r="AE53" s="70">
        <v>8.0358941605839416</v>
      </c>
      <c r="AF53" s="62">
        <f t="shared" si="7"/>
        <v>237.64999999999998</v>
      </c>
      <c r="AG53" s="63">
        <f t="shared" si="8"/>
        <v>440.36699999999996</v>
      </c>
      <c r="AH53" s="89">
        <v>2006.5</v>
      </c>
      <c r="AI53" s="66">
        <v>4.1399999999999997</v>
      </c>
      <c r="AJ53" s="66">
        <v>8.19</v>
      </c>
      <c r="AK53" s="62">
        <f t="shared" si="9"/>
        <v>83.069099999999992</v>
      </c>
      <c r="AL53" s="72">
        <f t="shared" si="10"/>
        <v>164.33234999999999</v>
      </c>
      <c r="AM53" s="73">
        <f t="shared" si="11"/>
        <v>50.083000000000538</v>
      </c>
      <c r="AN53" s="74">
        <f t="shared" si="29"/>
        <v>-8.4768960000000106</v>
      </c>
      <c r="AO53" s="74">
        <f t="shared" si="29"/>
        <v>12.752602000000167</v>
      </c>
      <c r="AP53" s="75">
        <f t="shared" si="13"/>
        <v>1.5541449423992519E-2</v>
      </c>
      <c r="AQ53" s="76">
        <f t="shared" si="14"/>
        <v>-254.13365184544409</v>
      </c>
      <c r="AR53" s="90">
        <f t="shared" si="15"/>
        <v>8.3000000000538421E-2</v>
      </c>
    </row>
    <row r="54" spans="1:44" x14ac:dyDescent="0.25">
      <c r="A54" t="str">
        <f t="shared" si="16"/>
        <v>46229M</v>
      </c>
      <c r="B54" s="51">
        <f t="shared" si="28"/>
        <v>46229</v>
      </c>
      <c r="C54" s="52" t="s">
        <v>87</v>
      </c>
      <c r="D54" s="91">
        <v>2006.5</v>
      </c>
      <c r="E54" s="62">
        <v>4.1399999999999997</v>
      </c>
      <c r="F54" s="62">
        <v>8.19</v>
      </c>
      <c r="G54" s="62">
        <f t="shared" si="0"/>
        <v>83.069099999999992</v>
      </c>
      <c r="H54" s="63">
        <f t="shared" si="1"/>
        <v>164.33234999999999</v>
      </c>
      <c r="I54" s="118">
        <v>1476.7999999999995</v>
      </c>
      <c r="J54" s="118">
        <v>1521.1039999999996</v>
      </c>
      <c r="K54" s="118">
        <v>4.4643689057421447</v>
      </c>
      <c r="L54" s="118">
        <v>8.1108206933911156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1521.1039999999996</v>
      </c>
      <c r="S54" s="62">
        <f t="shared" si="3"/>
        <v>67.907693999999978</v>
      </c>
      <c r="T54" s="63">
        <f t="shared" si="4"/>
        <v>123.37401799999996</v>
      </c>
      <c r="U54" s="64" t="s">
        <v>192</v>
      </c>
      <c r="V54" s="65" t="s">
        <v>855</v>
      </c>
      <c r="W54" s="66" t="s">
        <v>181</v>
      </c>
      <c r="X54" s="67">
        <v>3460</v>
      </c>
      <c r="Y54" s="68">
        <v>4.25</v>
      </c>
      <c r="Z54" s="68">
        <v>8.1300000000000008</v>
      </c>
      <c r="AA54" s="62">
        <f t="shared" si="5"/>
        <v>147.05000000000001</v>
      </c>
      <c r="AB54" s="63">
        <f t="shared" si="6"/>
        <v>281.29800000000006</v>
      </c>
      <c r="AC54" s="69">
        <v>3430</v>
      </c>
      <c r="AD54" s="70">
        <v>4.6876093294460643</v>
      </c>
      <c r="AE54" s="70">
        <v>7.9675218658892124</v>
      </c>
      <c r="AF54" s="62">
        <f t="shared" si="7"/>
        <v>160.785</v>
      </c>
      <c r="AG54" s="63">
        <f t="shared" si="8"/>
        <v>273.286</v>
      </c>
      <c r="AH54" s="89">
        <v>67.599999999999994</v>
      </c>
      <c r="AI54" s="66">
        <v>4.2699999999999996</v>
      </c>
      <c r="AJ54" s="66">
        <v>8.15</v>
      </c>
      <c r="AK54" s="62">
        <f t="shared" si="9"/>
        <v>2.8865199999999995</v>
      </c>
      <c r="AL54" s="72">
        <f t="shared" si="10"/>
        <v>5.5093999999999994</v>
      </c>
      <c r="AM54" s="73">
        <f t="shared" si="11"/>
        <v>30.003999999999365</v>
      </c>
      <c r="AN54" s="74">
        <f t="shared" si="29"/>
        <v>-12.694726000000012</v>
      </c>
      <c r="AO54" s="74">
        <f t="shared" si="29"/>
        <v>8.91096799999994</v>
      </c>
      <c r="AP54" s="75">
        <f t="shared" si="13"/>
        <v>-1.9781075568792866E-2</v>
      </c>
      <c r="AQ54" s="76">
        <f t="shared" si="14"/>
        <v>-3431.4734249468875</v>
      </c>
      <c r="AR54" s="90">
        <f t="shared" si="15"/>
        <v>3.9999999994506652E-3</v>
      </c>
    </row>
    <row r="55" spans="1:44" x14ac:dyDescent="0.25">
      <c r="A55" t="str">
        <f t="shared" si="16"/>
        <v>46229E</v>
      </c>
      <c r="B55" s="51">
        <f t="shared" si="28"/>
        <v>46229</v>
      </c>
      <c r="C55" s="52" t="s">
        <v>88</v>
      </c>
      <c r="D55" s="91">
        <v>67.599999999999994</v>
      </c>
      <c r="E55" s="62">
        <v>4.2699999999999996</v>
      </c>
      <c r="F55" s="62">
        <v>8.15</v>
      </c>
      <c r="G55" s="62">
        <f t="shared" si="0"/>
        <v>2.8865199999999995</v>
      </c>
      <c r="H55" s="63">
        <f t="shared" si="1"/>
        <v>5.5093999999999994</v>
      </c>
      <c r="I55" s="118">
        <v>2298.2999999999997</v>
      </c>
      <c r="J55" s="118">
        <v>2367.2489999999998</v>
      </c>
      <c r="K55" s="118">
        <v>3.9731062089370397</v>
      </c>
      <c r="L55" s="118">
        <v>8.1631988861332268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2"/>
        <v>2367.2489999999998</v>
      </c>
      <c r="S55" s="62">
        <f t="shared" si="3"/>
        <v>94.053316999999979</v>
      </c>
      <c r="T55" s="63">
        <f t="shared" si="4"/>
        <v>193.24324399999995</v>
      </c>
      <c r="U55" s="64" t="s">
        <v>167</v>
      </c>
      <c r="V55" s="65" t="s">
        <v>180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>
        <v>2434.8000000000002</v>
      </c>
      <c r="AI55" s="66">
        <v>3.97</v>
      </c>
      <c r="AJ55" s="66">
        <v>8.15</v>
      </c>
      <c r="AK55" s="62">
        <f t="shared" si="9"/>
        <v>96.661560000000009</v>
      </c>
      <c r="AL55" s="72">
        <f t="shared" si="10"/>
        <v>198.43620000000001</v>
      </c>
      <c r="AM55" s="73">
        <f t="shared" si="11"/>
        <v>4.8999999999523425E-2</v>
      </c>
      <c r="AN55" s="74">
        <f t="shared" si="29"/>
        <v>0.27827699999997435</v>
      </c>
      <c r="AO55" s="74">
        <f t="shared" si="29"/>
        <v>0.31644399999993311</v>
      </c>
      <c r="AP55" s="75">
        <f t="shared" si="13"/>
        <v>2.0700595855719537E-3</v>
      </c>
      <c r="AQ55" s="76">
        <f t="shared" si="14"/>
        <v>228.49331627545268</v>
      </c>
      <c r="AR55" s="90">
        <f t="shared" si="15"/>
        <v>4.8999999999523425E-2</v>
      </c>
    </row>
    <row r="56" spans="1:44" x14ac:dyDescent="0.25">
      <c r="A56" t="str">
        <f t="shared" si="16"/>
        <v>46230M</v>
      </c>
      <c r="B56" s="51">
        <f t="shared" si="28"/>
        <v>46230</v>
      </c>
      <c r="C56" s="52" t="s">
        <v>87</v>
      </c>
      <c r="D56" s="91">
        <v>2434.8000000000002</v>
      </c>
      <c r="E56" s="62">
        <v>3.97</v>
      </c>
      <c r="F56" s="62">
        <v>8.15</v>
      </c>
      <c r="G56" s="62">
        <f t="shared" si="0"/>
        <v>96.661560000000009</v>
      </c>
      <c r="H56" s="63">
        <f t="shared" si="1"/>
        <v>198.43620000000001</v>
      </c>
      <c r="I56" s="118">
        <v>1295.5000000000002</v>
      </c>
      <c r="J56" s="118">
        <v>1334.3650000000002</v>
      </c>
      <c r="K56" s="118">
        <v>4.613508297954457</v>
      </c>
      <c r="L56" s="118">
        <v>8.1611115399459653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1334.3650000000002</v>
      </c>
      <c r="S56" s="62">
        <f t="shared" si="3"/>
        <v>61.561040000000006</v>
      </c>
      <c r="T56" s="63">
        <f t="shared" si="4"/>
        <v>108.899016</v>
      </c>
      <c r="U56" s="64" t="s">
        <v>170</v>
      </c>
      <c r="V56" s="65" t="s">
        <v>856</v>
      </c>
      <c r="W56" s="66" t="s">
        <v>181</v>
      </c>
      <c r="X56" s="67">
        <v>2300</v>
      </c>
      <c r="Y56" s="68">
        <v>4.3499999999999996</v>
      </c>
      <c r="Z56" s="68">
        <v>8.09</v>
      </c>
      <c r="AA56" s="62">
        <f t="shared" si="5"/>
        <v>100.05</v>
      </c>
      <c r="AB56" s="63">
        <f t="shared" si="6"/>
        <v>186.07</v>
      </c>
      <c r="AC56" s="69">
        <v>2270</v>
      </c>
      <c r="AD56" s="70">
        <v>4.2295154185022019</v>
      </c>
      <c r="AE56" s="70">
        <v>8.0059030837004403</v>
      </c>
      <c r="AF56" s="62">
        <f t="shared" si="7"/>
        <v>96.009999999999991</v>
      </c>
      <c r="AG56" s="63">
        <f t="shared" si="8"/>
        <v>181.73399999999998</v>
      </c>
      <c r="AH56" s="89">
        <v>1469.1</v>
      </c>
      <c r="AI56" s="66">
        <v>4.1900000000000004</v>
      </c>
      <c r="AJ56" s="66">
        <v>8.15</v>
      </c>
      <c r="AK56" s="62">
        <f t="shared" si="9"/>
        <v>61.555290000000007</v>
      </c>
      <c r="AL56" s="72">
        <f t="shared" si="10"/>
        <v>119.73165</v>
      </c>
      <c r="AM56" s="73">
        <f t="shared" si="11"/>
        <v>30.065000000000509</v>
      </c>
      <c r="AN56" s="74">
        <f t="shared" si="29"/>
        <v>0.6573100000000025</v>
      </c>
      <c r="AO56" s="74">
        <f t="shared" si="29"/>
        <v>5.8695660000000203</v>
      </c>
      <c r="AP56" s="75">
        <f t="shared" si="13"/>
        <v>3.8289768014625213E-2</v>
      </c>
      <c r="AQ56" s="76">
        <f t="shared" si="14"/>
        <v>2073.7416112149203</v>
      </c>
      <c r="AR56" s="90">
        <f t="shared" si="15"/>
        <v>6.5000000000509317E-2</v>
      </c>
    </row>
    <row r="57" spans="1:44" x14ac:dyDescent="0.25">
      <c r="A57" t="str">
        <f t="shared" si="16"/>
        <v>46230E</v>
      </c>
      <c r="B57" s="51">
        <f t="shared" si="28"/>
        <v>46230</v>
      </c>
      <c r="C57" s="52" t="s">
        <v>88</v>
      </c>
      <c r="D57" s="91">
        <v>1469.1</v>
      </c>
      <c r="E57" s="62">
        <v>4.1900000000000004</v>
      </c>
      <c r="F57" s="62">
        <v>8.15</v>
      </c>
      <c r="G57" s="62">
        <f t="shared" si="0"/>
        <v>61.555290000000007</v>
      </c>
      <c r="H57" s="63">
        <f t="shared" si="1"/>
        <v>119.73165</v>
      </c>
      <c r="I57" s="118">
        <v>2074.4000000000005</v>
      </c>
      <c r="J57" s="118">
        <v>2136.6320000000005</v>
      </c>
      <c r="K57" s="118">
        <v>4.1007086386425007</v>
      </c>
      <c r="L57" s="118">
        <v>8.1201118395680698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2136.6320000000005</v>
      </c>
      <c r="S57" s="62">
        <f t="shared" si="3"/>
        <v>87.617053000000055</v>
      </c>
      <c r="T57" s="63">
        <f t="shared" si="4"/>
        <v>173.49690800000008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>
        <v>3608.7</v>
      </c>
      <c r="AI57" s="66">
        <v>4.13</v>
      </c>
      <c r="AJ57" s="66">
        <v>8.1300000000000008</v>
      </c>
      <c r="AK57" s="62">
        <f t="shared" si="9"/>
        <v>149.03930999999997</v>
      </c>
      <c r="AL57" s="72">
        <f t="shared" si="10"/>
        <v>293.38731000000001</v>
      </c>
      <c r="AM57" s="73">
        <f t="shared" si="11"/>
        <v>-2.9679999999993925</v>
      </c>
      <c r="AN57" s="74">
        <f t="shared" si="29"/>
        <v>0.13303300000009699</v>
      </c>
      <c r="AO57" s="74">
        <f t="shared" si="29"/>
        <v>-0.15875199999993583</v>
      </c>
      <c r="AP57" s="75">
        <f t="shared" si="13"/>
        <v>-9.8497222826928162E-5</v>
      </c>
      <c r="AQ57" s="76">
        <f t="shared" si="14"/>
        <v>16.381875540141671</v>
      </c>
      <c r="AR57" s="90">
        <f t="shared" si="15"/>
        <v>-2.9679999999993925</v>
      </c>
    </row>
    <row r="58" spans="1:44" x14ac:dyDescent="0.25">
      <c r="A58" t="str">
        <f t="shared" si="16"/>
        <v>46231M</v>
      </c>
      <c r="B58" s="51">
        <f t="shared" si="28"/>
        <v>46231</v>
      </c>
      <c r="C58" s="52" t="s">
        <v>87</v>
      </c>
      <c r="D58" s="91">
        <v>3608.7</v>
      </c>
      <c r="E58" s="62">
        <v>4.13</v>
      </c>
      <c r="F58" s="62">
        <v>8.1300000000000008</v>
      </c>
      <c r="G58" s="62">
        <f t="shared" si="0"/>
        <v>149.03930999999997</v>
      </c>
      <c r="H58" s="63">
        <f t="shared" si="1"/>
        <v>293.38731000000001</v>
      </c>
      <c r="I58" s="118">
        <v>0</v>
      </c>
      <c r="J58" s="118">
        <v>0</v>
      </c>
      <c r="K58" s="118">
        <v>0</v>
      </c>
      <c r="L58" s="118">
        <v>0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0</v>
      </c>
      <c r="S58" s="62">
        <f t="shared" si="3"/>
        <v>0</v>
      </c>
      <c r="T58" s="63">
        <f t="shared" si="4"/>
        <v>0</v>
      </c>
      <c r="U58" s="64" t="s">
        <v>192</v>
      </c>
      <c r="V58" s="65" t="s">
        <v>857</v>
      </c>
      <c r="W58" s="66" t="s">
        <v>181</v>
      </c>
      <c r="X58" s="67">
        <v>4710</v>
      </c>
      <c r="Y58" s="68">
        <v>4.3</v>
      </c>
      <c r="Z58" s="68">
        <v>8.14</v>
      </c>
      <c r="AA58" s="62">
        <f t="shared" si="5"/>
        <v>202.52999999999997</v>
      </c>
      <c r="AB58" s="63">
        <f t="shared" si="6"/>
        <v>383.39400000000001</v>
      </c>
      <c r="AC58" s="69">
        <v>4710</v>
      </c>
      <c r="AD58" s="70">
        <v>4.5360934182590249</v>
      </c>
      <c r="AE58" s="70">
        <v>8.2159872611464984</v>
      </c>
      <c r="AF58" s="62">
        <f t="shared" si="7"/>
        <v>213.65000000000006</v>
      </c>
      <c r="AG58" s="63">
        <f t="shared" si="8"/>
        <v>386.97300000000007</v>
      </c>
      <c r="AH58" s="89">
        <v>239.8</v>
      </c>
      <c r="AI58" s="66">
        <v>4.21</v>
      </c>
      <c r="AJ58" s="66">
        <v>8.14</v>
      </c>
      <c r="AK58" s="62">
        <f t="shared" si="9"/>
        <v>10.09558</v>
      </c>
      <c r="AL58" s="72">
        <f t="shared" si="10"/>
        <v>19.51972</v>
      </c>
      <c r="AM58" s="73">
        <f t="shared" si="11"/>
        <v>-1341.1000000000001</v>
      </c>
      <c r="AN58" s="74">
        <f t="shared" si="29"/>
        <v>-74.706270000000089</v>
      </c>
      <c r="AO58" s="74">
        <f t="shared" si="29"/>
        <v>-113.10541000000006</v>
      </c>
      <c r="AP58" s="75" t="e">
        <f t="shared" si="13"/>
        <v>#DIV/0!</v>
      </c>
      <c r="AQ58" s="76">
        <f t="shared" si="14"/>
        <v>-69772.857529900386</v>
      </c>
      <c r="AR58" s="90">
        <f t="shared" si="15"/>
        <v>-1341.1000000000004</v>
      </c>
    </row>
    <row r="59" spans="1:44" x14ac:dyDescent="0.25">
      <c r="A59" t="str">
        <f t="shared" si="16"/>
        <v>46231E</v>
      </c>
      <c r="B59" s="51">
        <f t="shared" si="28"/>
        <v>46231</v>
      </c>
      <c r="C59" s="52" t="s">
        <v>88</v>
      </c>
      <c r="D59" s="91">
        <v>239.8</v>
      </c>
      <c r="E59" s="62">
        <v>4.21</v>
      </c>
      <c r="F59" s="62">
        <v>8.14</v>
      </c>
      <c r="G59" s="62">
        <f t="shared" si="0"/>
        <v>10.09558</v>
      </c>
      <c r="H59" s="63">
        <f t="shared" si="1"/>
        <v>19.51972</v>
      </c>
      <c r="I59" s="118">
        <v>3354.6</v>
      </c>
      <c r="J59" s="118">
        <v>3455.2379999999998</v>
      </c>
      <c r="K59" s="118">
        <v>4.1004054134621111</v>
      </c>
      <c r="L59" s="118">
        <v>8.1139748405174963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3455.2379999999998</v>
      </c>
      <c r="S59" s="62">
        <f t="shared" si="3"/>
        <v>141.67876599999997</v>
      </c>
      <c r="T59" s="63">
        <f t="shared" si="4"/>
        <v>280.3571419999999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>
        <v>2405.6</v>
      </c>
      <c r="AI59" s="66">
        <v>3.98</v>
      </c>
      <c r="AJ59" s="66">
        <v>8.14</v>
      </c>
      <c r="AK59" s="62">
        <f t="shared" si="9"/>
        <v>95.74288</v>
      </c>
      <c r="AL59" s="72">
        <f t="shared" si="10"/>
        <v>195.81583999999998</v>
      </c>
      <c r="AM59" s="73">
        <f t="shared" si="11"/>
        <v>1289.4380000000001</v>
      </c>
      <c r="AN59" s="74">
        <f t="shared" si="29"/>
        <v>56.03146599999998</v>
      </c>
      <c r="AO59" s="74">
        <f t="shared" si="29"/>
        <v>104.06102199999992</v>
      </c>
      <c r="AP59" s="75">
        <f t="shared" si="13"/>
        <v>0.37933380777637515</v>
      </c>
      <c r="AQ59" s="76">
        <f t="shared" si="14"/>
        <v>58090.292721544516</v>
      </c>
      <c r="AR59" s="90">
        <f t="shared" si="15"/>
        <v>1289.4380000000001</v>
      </c>
    </row>
    <row r="60" spans="1:44" x14ac:dyDescent="0.25">
      <c r="A60" t="str">
        <f t="shared" si="16"/>
        <v>46232M</v>
      </c>
      <c r="B60" s="51">
        <f t="shared" si="28"/>
        <v>46232</v>
      </c>
      <c r="C60" s="52" t="s">
        <v>87</v>
      </c>
      <c r="D60" s="91">
        <v>2405.6</v>
      </c>
      <c r="E60" s="62">
        <v>3.98</v>
      </c>
      <c r="F60" s="62">
        <v>8.14</v>
      </c>
      <c r="G60" s="62">
        <f t="shared" si="0"/>
        <v>95.74288</v>
      </c>
      <c r="H60" s="63">
        <f t="shared" si="1"/>
        <v>195.81583999999998</v>
      </c>
      <c r="I60" s="118">
        <v>1397.6000000000001</v>
      </c>
      <c r="J60" s="118">
        <v>1439.5280000000002</v>
      </c>
      <c r="K60" s="118">
        <v>4.6825128792215231</v>
      </c>
      <c r="L60" s="118">
        <v>8.2405623926731533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2"/>
        <v>1439.5280000000002</v>
      </c>
      <c r="S60" s="62">
        <f t="shared" si="3"/>
        <v>67.406084000000021</v>
      </c>
      <c r="T60" s="63">
        <f t="shared" si="4"/>
        <v>118.62520300000001</v>
      </c>
      <c r="U60" s="64" t="s">
        <v>167</v>
      </c>
      <c r="V60" s="65" t="s">
        <v>180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>
        <v>3878.6</v>
      </c>
      <c r="AI60" s="66">
        <v>4.24</v>
      </c>
      <c r="AJ60" s="66">
        <v>8.17</v>
      </c>
      <c r="AK60" s="62">
        <f t="shared" si="9"/>
        <v>164.45264</v>
      </c>
      <c r="AL60" s="72">
        <f t="shared" si="10"/>
        <v>316.88162</v>
      </c>
      <c r="AM60" s="73">
        <f t="shared" si="11"/>
        <v>-33.471999999999753</v>
      </c>
      <c r="AN60" s="74">
        <f t="shared" si="29"/>
        <v>-1.3036759999999674</v>
      </c>
      <c r="AO60" s="74">
        <f t="shared" si="29"/>
        <v>-2.4405770000000189</v>
      </c>
      <c r="AP60" s="75">
        <f t="shared" si="13"/>
        <v>-2.0127006915777484E-2</v>
      </c>
      <c r="AQ60" s="76">
        <f t="shared" si="14"/>
        <v>-1357.3898322302978</v>
      </c>
      <c r="AR60" s="90">
        <f t="shared" si="15"/>
        <v>-33.471999999999753</v>
      </c>
    </row>
    <row r="61" spans="1:44" x14ac:dyDescent="0.25">
      <c r="A61" t="str">
        <f t="shared" si="16"/>
        <v>46232E</v>
      </c>
      <c r="B61" s="51">
        <f t="shared" si="28"/>
        <v>46232</v>
      </c>
      <c r="C61" s="52" t="s">
        <v>88</v>
      </c>
      <c r="D61" s="91">
        <v>3878.6</v>
      </c>
      <c r="E61" s="62">
        <v>4.24</v>
      </c>
      <c r="F61" s="62">
        <v>8.17</v>
      </c>
      <c r="G61" s="62">
        <f t="shared" si="0"/>
        <v>164.45264</v>
      </c>
      <c r="H61" s="63">
        <f t="shared" si="1"/>
        <v>316.88162</v>
      </c>
      <c r="I61" s="118">
        <v>2144.5</v>
      </c>
      <c r="J61" s="118">
        <v>2208.835</v>
      </c>
      <c r="K61" s="118">
        <v>4.1088365586383775</v>
      </c>
      <c r="L61" s="118">
        <v>8.2045278619724868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2208.835</v>
      </c>
      <c r="S61" s="62">
        <f t="shared" si="3"/>
        <v>90.75742000000001</v>
      </c>
      <c r="T61" s="63">
        <f t="shared" si="4"/>
        <v>181.22448299999999</v>
      </c>
      <c r="U61" s="64" t="s">
        <v>192</v>
      </c>
      <c r="V61" s="65" t="s">
        <v>938</v>
      </c>
      <c r="W61" s="66" t="s">
        <v>181</v>
      </c>
      <c r="X61" s="67">
        <v>3780</v>
      </c>
      <c r="Y61" s="68">
        <v>4.3</v>
      </c>
      <c r="Z61" s="68">
        <v>8.27</v>
      </c>
      <c r="AA61" s="62">
        <f t="shared" si="5"/>
        <v>162.54</v>
      </c>
      <c r="AB61" s="63">
        <f t="shared" si="6"/>
        <v>312.60599999999999</v>
      </c>
      <c r="AC61" s="69">
        <v>3790</v>
      </c>
      <c r="AD61" s="70">
        <v>4.2178100263852256</v>
      </c>
      <c r="AE61" s="70">
        <v>7.9028759894459064</v>
      </c>
      <c r="AF61" s="62">
        <f t="shared" si="7"/>
        <v>159.85500000000005</v>
      </c>
      <c r="AG61" s="63">
        <f t="shared" si="8"/>
        <v>299.51899999999983</v>
      </c>
      <c r="AH61" s="89">
        <v>2346.4</v>
      </c>
      <c r="AI61" s="66">
        <v>4.1900000000000004</v>
      </c>
      <c r="AJ61" s="66">
        <v>8.18</v>
      </c>
      <c r="AK61" s="62">
        <f t="shared" si="9"/>
        <v>98.314160000000015</v>
      </c>
      <c r="AL61" s="72">
        <f t="shared" si="10"/>
        <v>191.93552</v>
      </c>
      <c r="AM61" s="73">
        <f t="shared" si="11"/>
        <v>-48.9650000000006</v>
      </c>
      <c r="AN61" s="74">
        <f t="shared" si="29"/>
        <v>-2.9591000000000633</v>
      </c>
      <c r="AO61" s="74">
        <f t="shared" si="29"/>
        <v>6.6515830000001301</v>
      </c>
      <c r="AP61" s="75">
        <f t="shared" si="13"/>
        <v>1.3576208414131388E-2</v>
      </c>
      <c r="AQ61" s="76">
        <f t="shared" si="14"/>
        <v>570.1460345807759</v>
      </c>
      <c r="AR61" s="90">
        <f t="shared" si="15"/>
        <v>-38.965000000000146</v>
      </c>
    </row>
    <row r="62" spans="1:44" x14ac:dyDescent="0.25">
      <c r="A62" t="str">
        <f t="shared" si="16"/>
        <v>46233M</v>
      </c>
      <c r="B62" s="51">
        <f t="shared" si="28"/>
        <v>46233</v>
      </c>
      <c r="C62" s="52" t="s">
        <v>87</v>
      </c>
      <c r="D62" s="91">
        <v>2346.4</v>
      </c>
      <c r="E62" s="62">
        <v>4.1900000000000004</v>
      </c>
      <c r="F62" s="62">
        <v>8.18</v>
      </c>
      <c r="G62" s="62">
        <f t="shared" si="0"/>
        <v>98.314160000000015</v>
      </c>
      <c r="H62" s="63">
        <f t="shared" si="1"/>
        <v>191.93552</v>
      </c>
      <c r="I62" s="118">
        <v>1531.1999999999998</v>
      </c>
      <c r="J62" s="118">
        <v>1577.1359999999997</v>
      </c>
      <c r="K62" s="118">
        <v>4.4794017763845373</v>
      </c>
      <c r="L62" s="118">
        <v>8.2362460815047047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1577.1359999999997</v>
      </c>
      <c r="S62" s="62">
        <f t="shared" si="3"/>
        <v>70.646258000000032</v>
      </c>
      <c r="T62" s="63">
        <f t="shared" si="4"/>
        <v>129.89680200000001</v>
      </c>
      <c r="U62" s="64" t="s">
        <v>170</v>
      </c>
      <c r="V62" s="65" t="s">
        <v>939</v>
      </c>
      <c r="W62" s="66" t="s">
        <v>187</v>
      </c>
      <c r="X62" s="67">
        <v>3100</v>
      </c>
      <c r="Y62" s="68">
        <v>4.5999999999999996</v>
      </c>
      <c r="Z62" s="68">
        <v>8.33</v>
      </c>
      <c r="AA62" s="62">
        <f t="shared" si="5"/>
        <v>142.6</v>
      </c>
      <c r="AB62" s="63">
        <f t="shared" si="6"/>
        <v>258.23</v>
      </c>
      <c r="AC62" s="69">
        <v>3080</v>
      </c>
      <c r="AD62" s="70">
        <v>4.55</v>
      </c>
      <c r="AE62" s="70">
        <v>8.1300000000000008</v>
      </c>
      <c r="AF62" s="62">
        <f t="shared" si="7"/>
        <v>140.13999999999999</v>
      </c>
      <c r="AG62" s="63">
        <f t="shared" si="8"/>
        <v>250.40400000000002</v>
      </c>
      <c r="AH62" s="89">
        <v>823.5</v>
      </c>
      <c r="AI62" s="66">
        <v>4.3</v>
      </c>
      <c r="AJ62" s="66">
        <v>8.1999999999999993</v>
      </c>
      <c r="AK62" s="62">
        <f t="shared" si="9"/>
        <v>35.410499999999999</v>
      </c>
      <c r="AL62" s="72">
        <f t="shared" si="10"/>
        <v>67.526999999999987</v>
      </c>
      <c r="AM62" s="73">
        <f t="shared" si="11"/>
        <v>20.036000000000058</v>
      </c>
      <c r="AN62" s="74">
        <f t="shared" si="29"/>
        <v>-6.5900819999999243</v>
      </c>
      <c r="AO62" s="74">
        <f t="shared" si="29"/>
        <v>3.9013219999999649</v>
      </c>
      <c r="AP62" s="75">
        <f t="shared" si="13"/>
        <v>-1.3407394900626125E-2</v>
      </c>
      <c r="AQ62" s="76">
        <f t="shared" si="14"/>
        <v>-1998.3376771759679</v>
      </c>
      <c r="AR62" s="90">
        <f t="shared" si="15"/>
        <v>3.6000000000058208E-2</v>
      </c>
    </row>
    <row r="63" spans="1:44" x14ac:dyDescent="0.25">
      <c r="A63" t="str">
        <f t="shared" si="16"/>
        <v>46233E</v>
      </c>
      <c r="B63" s="51">
        <f t="shared" si="28"/>
        <v>46233</v>
      </c>
      <c r="C63" s="52" t="s">
        <v>88</v>
      </c>
      <c r="D63" s="91">
        <v>823.5</v>
      </c>
      <c r="E63" s="62">
        <v>4.3</v>
      </c>
      <c r="F63" s="62">
        <v>8.1999999999999993</v>
      </c>
      <c r="G63" s="62">
        <f t="shared" si="0"/>
        <v>35.410499999999999</v>
      </c>
      <c r="H63" s="63">
        <f t="shared" si="1"/>
        <v>67.526999999999987</v>
      </c>
      <c r="I63" s="118">
        <v>2290.9</v>
      </c>
      <c r="J63" s="118">
        <v>2359.627</v>
      </c>
      <c r="K63" s="118">
        <v>4.1445283513029816</v>
      </c>
      <c r="L63" s="118">
        <v>8.2957091099567872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2359.627</v>
      </c>
      <c r="S63" s="62">
        <f t="shared" si="3"/>
        <v>97.79540999999999</v>
      </c>
      <c r="T63" s="63">
        <f t="shared" si="4"/>
        <v>195.74779200000006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>
        <v>3183.2</v>
      </c>
      <c r="AI63" s="66">
        <v>4.18</v>
      </c>
      <c r="AJ63" s="66">
        <v>8.26</v>
      </c>
      <c r="AK63" s="62">
        <f t="shared" si="9"/>
        <v>133.05775999999997</v>
      </c>
      <c r="AL63" s="72">
        <f t="shared" si="10"/>
        <v>262.93231999999995</v>
      </c>
      <c r="AM63" s="73">
        <f t="shared" si="11"/>
        <v>-7.2999999999865395E-2</v>
      </c>
      <c r="AN63" s="74">
        <f t="shared" si="29"/>
        <v>0.14815000000001532</v>
      </c>
      <c r="AO63" s="74">
        <f t="shared" si="29"/>
        <v>0.34247200000010025</v>
      </c>
      <c r="AP63" s="75">
        <f t="shared" si="13"/>
        <v>1.6713791927639853E-3</v>
      </c>
      <c r="AQ63" s="76">
        <f t="shared" si="14"/>
        <v>173.7582118922351</v>
      </c>
      <c r="AR63" s="90">
        <v>0</v>
      </c>
    </row>
    <row r="64" spans="1:44" x14ac:dyDescent="0.25">
      <c r="A64" t="str">
        <f t="shared" si="16"/>
        <v>46234M</v>
      </c>
      <c r="B64" s="51">
        <f t="shared" si="28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9"/>
        <v>0</v>
      </c>
      <c r="AO64" s="74">
        <f t="shared" si="29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28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9"/>
        <v>0</v>
      </c>
      <c r="AO65" s="74">
        <f t="shared" si="29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108409.766</v>
      </c>
      <c r="R66" s="83">
        <f>SUM(R4:R65)</f>
        <v>108409.766</v>
      </c>
      <c r="S66" s="83">
        <f t="shared" ref="S66:T66" si="30">SUM(S4:S65)</f>
        <v>4587.2060429999992</v>
      </c>
      <c r="T66" s="83">
        <f t="shared" si="30"/>
        <v>8876.4229919999998</v>
      </c>
      <c r="AH66" s="90"/>
      <c r="AI66" s="77"/>
      <c r="AJ66" s="77"/>
      <c r="AM66" s="83">
        <f>-SUM(AM4:AM65)</f>
        <v>825.43399999999519</v>
      </c>
      <c r="AN66" s="83">
        <f>-SUM(AN4:AN65)</f>
        <v>179.49881699999995</v>
      </c>
      <c r="AO66" s="83">
        <f>-SUM(AO4:AO65)</f>
        <v>-43.681372000000337</v>
      </c>
      <c r="AQ66" s="126">
        <f>-SUM(AQ4:AQ65)</f>
        <v>73172.841573297337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4" priority="2" operator="lessThan">
      <formula>0.1</formula>
    </cfRule>
    <cfRule type="cellIs" dxfId="73" priority="3" operator="greaterThan">
      <formula>0.1</formula>
    </cfRule>
  </conditionalFormatting>
  <conditionalFormatting sqref="AP1:AQ1">
    <cfRule type="cellIs" dxfId="72" priority="1" operator="lessThan">
      <formula>1</formula>
    </cfRule>
  </conditionalFormatting>
  <conditionalFormatting sqref="AQ4:AQ65">
    <cfRule type="cellIs" dxfId="71" priority="4" operator="lessThan">
      <formula>0</formula>
    </cfRule>
    <cfRule type="cellIs" dxfId="7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593-6DC2-4384-B2C9-936E05F26BC3}">
  <dimension ref="A1:AV71"/>
  <sheetViews>
    <sheetView topLeftCell="K32" zoomScale="80" zoomScaleNormal="80" workbookViewId="0">
      <selection activeCell="AC56" sqref="AC56:AE56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211</v>
      </c>
      <c r="C1" s="44"/>
      <c r="G1" s="207"/>
      <c r="H1" s="207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2578.4899999999998</v>
      </c>
      <c r="E4" s="88">
        <v>3.96</v>
      </c>
      <c r="F4" s="88">
        <v>8.09</v>
      </c>
      <c r="G4" s="62">
        <f t="shared" ref="G4:G65" si="0">+D4*E4%</f>
        <v>102.10820399999999</v>
      </c>
      <c r="H4" s="63">
        <f t="shared" ref="H4:H65" si="1">+D4*F4%</f>
        <v>208.59984099999997</v>
      </c>
      <c r="I4" s="202">
        <v>287.8</v>
      </c>
      <c r="J4" s="202">
        <v>296.43400000000003</v>
      </c>
      <c r="K4" s="202">
        <v>4.2838082001389868</v>
      </c>
      <c r="L4" s="202">
        <v>8.0514246004169578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296.43400000000003</v>
      </c>
      <c r="S4" s="62">
        <f t="shared" ref="S4:S65" si="3">+J4*K4%+O4*P4%</f>
        <v>12.698664000000004</v>
      </c>
      <c r="T4" s="63">
        <f t="shared" ref="T4:T65" si="4">+J4*L4%+O4*Q4%</f>
        <v>23.867160000000005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2874.92</v>
      </c>
      <c r="AI4" s="66">
        <v>3.99</v>
      </c>
      <c r="AJ4" s="66">
        <v>8.08</v>
      </c>
      <c r="AK4" s="62">
        <f t="shared" ref="AK4:AK65" si="9">AH4*AI4%</f>
        <v>114.70930800000002</v>
      </c>
      <c r="AL4" s="72">
        <f t="shared" ref="AL4:AL65" si="10">AH4*AJ4%</f>
        <v>232.29353599999999</v>
      </c>
      <c r="AM4" s="73">
        <f t="shared" ref="AM4:AM65" si="11">+D4+R4-AC4-AH4</f>
        <v>3.9999999999054126E-3</v>
      </c>
      <c r="AN4" s="74">
        <f t="shared" ref="AN4:AO19" si="12">+G4+S4-AF4-AK4</f>
        <v>9.7559999999973002E-2</v>
      </c>
      <c r="AO4" s="74">
        <f t="shared" si="12"/>
        <v>0.1734649999999931</v>
      </c>
      <c r="AP4" s="75">
        <f t="shared" ref="AP4:AP65" si="13">(AN4+AO4)/(S4+T4)</f>
        <v>7.4119757290295454E-3</v>
      </c>
      <c r="AQ4" s="76">
        <f t="shared" ref="AQ4:AQ65" si="14">($AP$1*AN4+$AQ$1*AO4)</f>
        <v>98.831978455192981</v>
      </c>
      <c r="AR4" s="90">
        <f t="shared" ref="AR4:AR65" si="15">(D4+J4+O4)-(X4+AH4)</f>
        <v>3.9999999999054126E-3</v>
      </c>
    </row>
    <row r="5" spans="1:44" x14ac:dyDescent="0.25">
      <c r="A5" t="str">
        <f t="shared" ref="A5:A65" si="16">CONCATENATE(B5,C5)</f>
        <v>46204E</v>
      </c>
      <c r="B5" s="51">
        <f>+B4</f>
        <v>46204</v>
      </c>
      <c r="C5" s="52" t="s">
        <v>88</v>
      </c>
      <c r="D5" s="91">
        <v>2874.92</v>
      </c>
      <c r="E5" s="62">
        <v>3.99</v>
      </c>
      <c r="F5" s="62">
        <v>8.08</v>
      </c>
      <c r="G5" s="62">
        <f t="shared" si="0"/>
        <v>114.70930800000002</v>
      </c>
      <c r="H5" s="63">
        <f t="shared" si="1"/>
        <v>232.29353599999999</v>
      </c>
      <c r="I5" s="202">
        <v>715.69999999999993</v>
      </c>
      <c r="J5" s="202">
        <v>737.17099999999994</v>
      </c>
      <c r="K5" s="202">
        <v>3.8592985887941884</v>
      </c>
      <c r="L5" s="202">
        <v>8.0693167528293994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737.17099999999994</v>
      </c>
      <c r="S5" s="62">
        <f t="shared" si="3"/>
        <v>28.449630000000003</v>
      </c>
      <c r="T5" s="63">
        <f t="shared" si="4"/>
        <v>59.484663000000005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3612.09</v>
      </c>
      <c r="AI5" s="66">
        <v>3.95</v>
      </c>
      <c r="AJ5" s="66">
        <v>8</v>
      </c>
      <c r="AK5" s="62">
        <f t="shared" si="9"/>
        <v>142.67755500000001</v>
      </c>
      <c r="AL5" s="72">
        <f t="shared" si="10"/>
        <v>288.96719999999999</v>
      </c>
      <c r="AM5" s="73">
        <f t="shared" si="11"/>
        <v>9.9999999974897946E-4</v>
      </c>
      <c r="AN5" s="74">
        <f t="shared" si="12"/>
        <v>0.48138300000002232</v>
      </c>
      <c r="AO5" s="74">
        <f t="shared" si="12"/>
        <v>2.8109989999999812</v>
      </c>
      <c r="AP5" s="75">
        <f t="shared" si="13"/>
        <v>3.7441388196525364E-2</v>
      </c>
      <c r="AQ5" s="76">
        <f t="shared" si="14"/>
        <v>1073.1893743463843</v>
      </c>
      <c r="AR5" s="90">
        <f t="shared" si="15"/>
        <v>9.9999999974897946E-4</v>
      </c>
    </row>
    <row r="6" spans="1:44" x14ac:dyDescent="0.25">
      <c r="A6" t="str">
        <f t="shared" si="16"/>
        <v>46205M</v>
      </c>
      <c r="B6" s="51">
        <f>+B4+1</f>
        <v>46205</v>
      </c>
      <c r="C6" s="52" t="s">
        <v>87</v>
      </c>
      <c r="D6" s="91">
        <v>3612.09</v>
      </c>
      <c r="E6" s="62">
        <v>3.95</v>
      </c>
      <c r="F6" s="62">
        <v>8</v>
      </c>
      <c r="G6" s="62">
        <f t="shared" si="0"/>
        <v>142.67755500000001</v>
      </c>
      <c r="H6" s="63">
        <f t="shared" si="1"/>
        <v>288.96719999999999</v>
      </c>
      <c r="I6" s="202">
        <v>138.69999999999999</v>
      </c>
      <c r="J6" s="202">
        <v>142.86099999999999</v>
      </c>
      <c r="K6" s="202">
        <v>4.9292718096611381</v>
      </c>
      <c r="L6" s="202">
        <v>8.2120403749098756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142.86099999999999</v>
      </c>
      <c r="S6" s="62">
        <f t="shared" si="3"/>
        <v>7.0420069999999972</v>
      </c>
      <c r="T6" s="63">
        <f t="shared" si="4"/>
        <v>11.731802999999996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3754.8</v>
      </c>
      <c r="AI6" s="66">
        <v>3.98</v>
      </c>
      <c r="AJ6" s="66">
        <v>8.01</v>
      </c>
      <c r="AK6" s="62">
        <f t="shared" si="9"/>
        <v>149.44104000000002</v>
      </c>
      <c r="AL6" s="72">
        <f t="shared" si="10"/>
        <v>300.75948000000005</v>
      </c>
      <c r="AM6" s="73">
        <f t="shared" si="11"/>
        <v>0.15099999999983993</v>
      </c>
      <c r="AN6" s="74">
        <f t="shared" si="12"/>
        <v>0.27852199999998106</v>
      </c>
      <c r="AO6" s="74">
        <f t="shared" si="12"/>
        <v>-6.047700000004852E-2</v>
      </c>
      <c r="AP6" s="75">
        <f t="shared" si="13"/>
        <v>1.161431803133901E-2</v>
      </c>
      <c r="AQ6" s="76">
        <f t="shared" si="14"/>
        <v>115.72656279270025</v>
      </c>
      <c r="AR6" s="90">
        <f t="shared" si="15"/>
        <v>0.15099999999983993</v>
      </c>
    </row>
    <row r="7" spans="1:44" x14ac:dyDescent="0.25">
      <c r="A7" t="str">
        <f t="shared" si="16"/>
        <v>46205E</v>
      </c>
      <c r="B7" s="51">
        <f>+B5+1</f>
        <v>46205</v>
      </c>
      <c r="C7" s="52" t="s">
        <v>88</v>
      </c>
      <c r="D7" s="91">
        <v>3754.8</v>
      </c>
      <c r="E7" s="62">
        <v>3.98</v>
      </c>
      <c r="F7" s="62">
        <v>8.01</v>
      </c>
      <c r="G7" s="62">
        <f t="shared" si="0"/>
        <v>149.44104000000002</v>
      </c>
      <c r="H7" s="63">
        <f t="shared" si="1"/>
        <v>300.75948000000005</v>
      </c>
      <c r="I7" s="202">
        <v>788.40000000000009</v>
      </c>
      <c r="J7" s="202">
        <v>812.05200000000013</v>
      </c>
      <c r="K7" s="202">
        <v>3.820357686453578</v>
      </c>
      <c r="L7" s="202">
        <v>8.039459665144598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812.05200000000013</v>
      </c>
      <c r="S7" s="62">
        <f t="shared" si="3"/>
        <v>31.023291000000015</v>
      </c>
      <c r="T7" s="63">
        <f t="shared" si="4"/>
        <v>65.284593000000015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4525.6000000000004</v>
      </c>
      <c r="AI7" s="66">
        <v>3.95</v>
      </c>
      <c r="AJ7" s="66">
        <v>8</v>
      </c>
      <c r="AK7" s="62">
        <f t="shared" si="9"/>
        <v>178.7612</v>
      </c>
      <c r="AL7" s="72">
        <f t="shared" si="10"/>
        <v>362.04800000000006</v>
      </c>
      <c r="AM7" s="73">
        <f t="shared" si="11"/>
        <v>41.252000000000407</v>
      </c>
      <c r="AN7" s="74">
        <f t="shared" si="12"/>
        <v>1.7031310000000133</v>
      </c>
      <c r="AO7" s="74">
        <f t="shared" si="12"/>
        <v>3.996073000000024</v>
      </c>
      <c r="AP7" s="75">
        <f t="shared" si="13"/>
        <v>5.9176920552008343E-2</v>
      </c>
      <c r="AQ7" s="76">
        <f t="shared" si="14"/>
        <v>2015.1981647424614</v>
      </c>
      <c r="AR7" s="90">
        <f t="shared" si="15"/>
        <v>41.252000000000407</v>
      </c>
    </row>
    <row r="8" spans="1:44" x14ac:dyDescent="0.25">
      <c r="A8" t="str">
        <f t="shared" si="16"/>
        <v>46206M</v>
      </c>
      <c r="B8" s="51">
        <f>+B6+1</f>
        <v>46206</v>
      </c>
      <c r="C8" s="52" t="s">
        <v>87</v>
      </c>
      <c r="D8" s="91">
        <v>4525.6000000000004</v>
      </c>
      <c r="E8" s="62">
        <v>3.95</v>
      </c>
      <c r="F8" s="62">
        <v>8</v>
      </c>
      <c r="G8" s="62">
        <f t="shared" si="0"/>
        <v>178.7612</v>
      </c>
      <c r="H8" s="63">
        <f t="shared" si="1"/>
        <v>362.04800000000006</v>
      </c>
      <c r="I8" s="202">
        <v>1049.8999999999996</v>
      </c>
      <c r="J8" s="202">
        <v>1081.3969999999997</v>
      </c>
      <c r="K8" s="202">
        <v>3.5979140870559103</v>
      </c>
      <c r="L8" s="202">
        <v>7.8787694066101572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1081.3969999999997</v>
      </c>
      <c r="S8" s="62">
        <f t="shared" si="3"/>
        <v>38.907734999999995</v>
      </c>
      <c r="T8" s="63">
        <f t="shared" si="4"/>
        <v>85.200776000000019</v>
      </c>
      <c r="U8" s="64" t="s">
        <v>170</v>
      </c>
      <c r="V8" s="65" t="s">
        <v>271</v>
      </c>
      <c r="W8" s="66" t="s">
        <v>272</v>
      </c>
      <c r="X8" s="67">
        <v>4870</v>
      </c>
      <c r="Y8" s="68">
        <v>4.05</v>
      </c>
      <c r="Z8" s="68">
        <v>8.0299999999999994</v>
      </c>
      <c r="AA8" s="62">
        <f t="shared" si="5"/>
        <v>197.23500000000001</v>
      </c>
      <c r="AB8" s="63">
        <f t="shared" si="6"/>
        <v>391.06099999999998</v>
      </c>
      <c r="AC8" s="69">
        <v>4850</v>
      </c>
      <c r="AD8" s="70">
        <v>3.9817525773195883</v>
      </c>
      <c r="AE8" s="70">
        <v>7.9089072164948453</v>
      </c>
      <c r="AF8" s="62">
        <f t="shared" si="7"/>
        <v>193.11500000000004</v>
      </c>
      <c r="AG8" s="62">
        <f t="shared" si="8"/>
        <v>383.58199999999999</v>
      </c>
      <c r="AH8" s="89">
        <v>0</v>
      </c>
      <c r="AI8" s="66">
        <v>0</v>
      </c>
      <c r="AJ8" s="66">
        <v>0</v>
      </c>
      <c r="AK8" s="62">
        <f t="shared" si="9"/>
        <v>0</v>
      </c>
      <c r="AL8" s="72">
        <f t="shared" si="10"/>
        <v>0</v>
      </c>
      <c r="AM8" s="73">
        <f t="shared" si="11"/>
        <v>756.9970000000003</v>
      </c>
      <c r="AN8" s="74">
        <f t="shared" si="12"/>
        <v>24.553934999999967</v>
      </c>
      <c r="AO8" s="74">
        <f t="shared" si="12"/>
        <v>63.666776000000084</v>
      </c>
      <c r="AP8" s="75">
        <f t="shared" si="13"/>
        <v>0.7108353028262504</v>
      </c>
      <c r="AQ8" s="76">
        <f t="shared" si="14"/>
        <v>30866.597528143422</v>
      </c>
      <c r="AR8" s="90">
        <f t="shared" si="15"/>
        <v>736.9970000000003</v>
      </c>
    </row>
    <row r="9" spans="1:44" x14ac:dyDescent="0.25">
      <c r="A9" t="str">
        <f t="shared" si="16"/>
        <v>46206E</v>
      </c>
      <c r="B9" s="51">
        <f t="shared" ref="B9:B65" si="17">+B7+1</f>
        <v>46206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202">
        <v>0</v>
      </c>
      <c r="J9" s="202">
        <v>0</v>
      </c>
      <c r="K9" s="202">
        <v>0</v>
      </c>
      <c r="L9" s="202">
        <v>0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0</v>
      </c>
      <c r="S9" s="62">
        <f t="shared" si="3"/>
        <v>0</v>
      </c>
      <c r="T9" s="63">
        <f t="shared" si="4"/>
        <v>0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>
        <v>850.05</v>
      </c>
      <c r="AI9" s="66">
        <v>3.45</v>
      </c>
      <c r="AJ9" s="66">
        <v>7.83</v>
      </c>
      <c r="AK9" s="62">
        <f t="shared" si="9"/>
        <v>29.326725</v>
      </c>
      <c r="AL9" s="72">
        <f t="shared" si="10"/>
        <v>66.558914999999999</v>
      </c>
      <c r="AM9" s="73">
        <f t="shared" si="11"/>
        <v>-850.05</v>
      </c>
      <c r="AN9" s="74">
        <f t="shared" si="12"/>
        <v>-29.326725</v>
      </c>
      <c r="AO9" s="74">
        <f t="shared" si="12"/>
        <v>-66.558914999999999</v>
      </c>
      <c r="AP9" s="75" t="e">
        <f t="shared" si="13"/>
        <v>#DIV/0!</v>
      </c>
      <c r="AQ9" s="76">
        <f t="shared" si="14"/>
        <v>-34026.248343598891</v>
      </c>
      <c r="AR9" s="90">
        <f t="shared" si="15"/>
        <v>-850.05</v>
      </c>
    </row>
    <row r="10" spans="1:44" x14ac:dyDescent="0.25">
      <c r="A10" t="str">
        <f t="shared" si="16"/>
        <v>46207M</v>
      </c>
      <c r="B10" s="51">
        <f t="shared" si="17"/>
        <v>46207</v>
      </c>
      <c r="C10" s="52" t="s">
        <v>87</v>
      </c>
      <c r="D10" s="91">
        <v>850.05</v>
      </c>
      <c r="E10" s="62">
        <v>3.45</v>
      </c>
      <c r="F10" s="62">
        <v>7.83</v>
      </c>
      <c r="G10" s="62">
        <f t="shared" si="0"/>
        <v>29.326725</v>
      </c>
      <c r="H10" s="63">
        <f t="shared" si="1"/>
        <v>66.558914999999999</v>
      </c>
      <c r="I10" s="202">
        <v>229.5</v>
      </c>
      <c r="J10" s="202">
        <v>236.38500000000002</v>
      </c>
      <c r="K10" s="202">
        <v>4.5113289760348581</v>
      </c>
      <c r="L10" s="202">
        <v>7.9044444444444446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236.38500000000002</v>
      </c>
      <c r="S10" s="62">
        <f t="shared" si="3"/>
        <v>10.664105000000001</v>
      </c>
      <c r="T10" s="63">
        <f t="shared" si="4"/>
        <v>18.684921000000003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1086.43</v>
      </c>
      <c r="AI10" s="66">
        <v>3.68</v>
      </c>
      <c r="AJ10" s="66">
        <v>7.85</v>
      </c>
      <c r="AK10" s="62">
        <f t="shared" si="9"/>
        <v>39.980623999999999</v>
      </c>
      <c r="AL10" s="72">
        <f t="shared" si="10"/>
        <v>85.284755000000004</v>
      </c>
      <c r="AM10" s="73">
        <f t="shared" si="11"/>
        <v>4.9999999998817657E-3</v>
      </c>
      <c r="AN10" s="74">
        <f t="shared" si="12"/>
        <v>1.0206000000003712E-2</v>
      </c>
      <c r="AO10" s="74">
        <f t="shared" si="12"/>
        <v>-4.091900000000237E-2</v>
      </c>
      <c r="AP10" s="75">
        <f t="shared" si="13"/>
        <v>-1.0464742509682828E-3</v>
      </c>
      <c r="AQ10" s="76">
        <f t="shared" si="14"/>
        <v>-7.3505610493294542</v>
      </c>
      <c r="AR10" s="90">
        <f t="shared" si="15"/>
        <v>4.9999999998817657E-3</v>
      </c>
    </row>
    <row r="11" spans="1:44" x14ac:dyDescent="0.25">
      <c r="A11" t="str">
        <f t="shared" si="16"/>
        <v>46207E</v>
      </c>
      <c r="B11" s="51">
        <f t="shared" si="17"/>
        <v>46207</v>
      </c>
      <c r="C11" s="52" t="s">
        <v>88</v>
      </c>
      <c r="D11" s="91">
        <v>1086.43</v>
      </c>
      <c r="E11" s="62">
        <v>3.68</v>
      </c>
      <c r="F11" s="62">
        <v>7.85</v>
      </c>
      <c r="G11" s="62">
        <f t="shared" si="0"/>
        <v>39.980623999999999</v>
      </c>
      <c r="H11" s="63">
        <f t="shared" si="1"/>
        <v>85.284755000000004</v>
      </c>
      <c r="I11" s="202">
        <v>944.5</v>
      </c>
      <c r="J11" s="202">
        <v>972.83500000000004</v>
      </c>
      <c r="K11" s="202">
        <v>3.6701323451561665</v>
      </c>
      <c r="L11" s="202">
        <v>7.833605082053996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972.83500000000004</v>
      </c>
      <c r="S11" s="62">
        <f t="shared" si="3"/>
        <v>35.704331999999994</v>
      </c>
      <c r="T11" s="63">
        <f t="shared" si="4"/>
        <v>76.208051999999995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>
        <v>2059.2600000000002</v>
      </c>
      <c r="AI11" s="66">
        <v>3.67</v>
      </c>
      <c r="AJ11" s="66">
        <v>7.84</v>
      </c>
      <c r="AK11" s="62">
        <f t="shared" si="9"/>
        <v>75.574842000000004</v>
      </c>
      <c r="AL11" s="72">
        <f t="shared" si="10"/>
        <v>161.44598400000001</v>
      </c>
      <c r="AM11" s="73">
        <f t="shared" si="11"/>
        <v>5.0000000001091394E-3</v>
      </c>
      <c r="AN11" s="74">
        <f t="shared" si="12"/>
        <v>0.11011399999999583</v>
      </c>
      <c r="AO11" s="74">
        <f t="shared" si="12"/>
        <v>4.6822999999989179E-2</v>
      </c>
      <c r="AP11" s="75">
        <f t="shared" si="13"/>
        <v>1.402320229367869E-3</v>
      </c>
      <c r="AQ11" s="76">
        <f t="shared" si="14"/>
        <v>66.936432474833737</v>
      </c>
      <c r="AR11" s="90">
        <f t="shared" si="15"/>
        <v>5.0000000001091394E-3</v>
      </c>
    </row>
    <row r="12" spans="1:44" x14ac:dyDescent="0.25">
      <c r="A12" t="str">
        <f t="shared" si="16"/>
        <v>46208M</v>
      </c>
      <c r="B12" s="51">
        <f t="shared" si="17"/>
        <v>46208</v>
      </c>
      <c r="C12" s="52" t="s">
        <v>87</v>
      </c>
      <c r="D12" s="91">
        <v>2059.2600000000002</v>
      </c>
      <c r="E12" s="62">
        <v>3.67</v>
      </c>
      <c r="F12" s="62">
        <v>7.84</v>
      </c>
      <c r="G12" s="62">
        <f t="shared" si="0"/>
        <v>75.574842000000004</v>
      </c>
      <c r="H12" s="63">
        <f t="shared" si="1"/>
        <v>161.44598400000001</v>
      </c>
      <c r="I12" s="202">
        <v>274.79999999999995</v>
      </c>
      <c r="J12" s="202">
        <v>283.04399999999998</v>
      </c>
      <c r="K12" s="202">
        <v>4.2743813682678322</v>
      </c>
      <c r="L12" s="202">
        <v>7.9201601164483275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283.04399999999998</v>
      </c>
      <c r="S12" s="62">
        <f t="shared" si="3"/>
        <v>12.098380000000002</v>
      </c>
      <c r="T12" s="63">
        <f t="shared" si="4"/>
        <v>22.417538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2342.3000000000002</v>
      </c>
      <c r="AI12" s="66">
        <v>3.74</v>
      </c>
      <c r="AJ12" s="66">
        <v>7.84</v>
      </c>
      <c r="AK12" s="62">
        <f t="shared" si="9"/>
        <v>87.60202000000001</v>
      </c>
      <c r="AL12" s="72">
        <f t="shared" si="10"/>
        <v>183.63632000000001</v>
      </c>
      <c r="AM12" s="73">
        <f t="shared" si="11"/>
        <v>3.9999999999054126E-3</v>
      </c>
      <c r="AN12" s="74">
        <f t="shared" si="12"/>
        <v>7.1201999999999543E-2</v>
      </c>
      <c r="AO12" s="74">
        <f t="shared" si="12"/>
        <v>0.22720200000000546</v>
      </c>
      <c r="AP12" s="75">
        <f t="shared" si="13"/>
        <v>8.6454023908622401E-3</v>
      </c>
      <c r="AQ12" s="76">
        <f t="shared" si="14"/>
        <v>102.25985470228639</v>
      </c>
      <c r="AR12" s="90">
        <f t="shared" si="15"/>
        <v>3.9999999999054126E-3</v>
      </c>
    </row>
    <row r="13" spans="1:44" x14ac:dyDescent="0.25">
      <c r="A13" t="str">
        <f t="shared" si="16"/>
        <v>46208E</v>
      </c>
      <c r="B13" s="51">
        <f t="shared" si="17"/>
        <v>46208</v>
      </c>
      <c r="C13" s="52" t="s">
        <v>88</v>
      </c>
      <c r="D13" s="91">
        <v>2342.3000000000002</v>
      </c>
      <c r="E13" s="62">
        <v>3.74</v>
      </c>
      <c r="F13" s="62">
        <v>7.84</v>
      </c>
      <c r="G13" s="62">
        <f t="shared" si="0"/>
        <v>87.60202000000001</v>
      </c>
      <c r="H13" s="63">
        <f t="shared" si="1"/>
        <v>183.63632000000001</v>
      </c>
      <c r="I13" s="202">
        <v>912.69999999999982</v>
      </c>
      <c r="J13" s="202">
        <v>940.08099999999979</v>
      </c>
      <c r="K13" s="202">
        <v>3.8378218472663517</v>
      </c>
      <c r="L13" s="202">
        <v>7.9117234578722453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940.08099999999979</v>
      </c>
      <c r="S13" s="62">
        <f t="shared" si="3"/>
        <v>36.078633999999987</v>
      </c>
      <c r="T13" s="63">
        <f t="shared" si="4"/>
        <v>74.376608999999959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>
        <v>3282.3</v>
      </c>
      <c r="AI13" s="66">
        <v>3.74</v>
      </c>
      <c r="AJ13" s="66">
        <v>7.84</v>
      </c>
      <c r="AK13" s="62">
        <f t="shared" si="9"/>
        <v>122.75802000000002</v>
      </c>
      <c r="AL13" s="72">
        <f t="shared" si="10"/>
        <v>257.33231999999998</v>
      </c>
      <c r="AM13" s="73">
        <f t="shared" si="11"/>
        <v>8.099999999967622E-2</v>
      </c>
      <c r="AN13" s="74">
        <f t="shared" si="12"/>
        <v>0.92263399999998796</v>
      </c>
      <c r="AO13" s="74">
        <f t="shared" si="12"/>
        <v>0.68060900000000402</v>
      </c>
      <c r="AP13" s="75">
        <f t="shared" si="13"/>
        <v>1.4514865536984903E-2</v>
      </c>
      <c r="AQ13" s="76">
        <f t="shared" si="14"/>
        <v>647.19200180973633</v>
      </c>
      <c r="AR13" s="90">
        <f t="shared" si="15"/>
        <v>8.099999999967622E-2</v>
      </c>
    </row>
    <row r="14" spans="1:44" x14ac:dyDescent="0.25">
      <c r="A14" t="str">
        <f t="shared" si="16"/>
        <v>46209M</v>
      </c>
      <c r="B14" s="51">
        <f t="shared" si="17"/>
        <v>46209</v>
      </c>
      <c r="C14" s="52" t="s">
        <v>87</v>
      </c>
      <c r="D14" s="91">
        <v>3282.3</v>
      </c>
      <c r="E14" s="62">
        <v>3.74</v>
      </c>
      <c r="F14" s="62">
        <v>7.84</v>
      </c>
      <c r="G14" s="62">
        <f t="shared" si="0"/>
        <v>122.75802000000002</v>
      </c>
      <c r="H14" s="63">
        <f t="shared" si="1"/>
        <v>257.33231999999998</v>
      </c>
      <c r="I14" s="202">
        <v>131.50000000000003</v>
      </c>
      <c r="J14" s="202">
        <v>135.44500000000002</v>
      </c>
      <c r="K14" s="202">
        <v>5.0289733840304196</v>
      </c>
      <c r="L14" s="202">
        <v>8.299011406844107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135.44500000000002</v>
      </c>
      <c r="S14" s="62">
        <f t="shared" si="3"/>
        <v>6.8114930000000031</v>
      </c>
      <c r="T14" s="63">
        <f t="shared" si="4"/>
        <v>11.240596000000004</v>
      </c>
      <c r="U14" s="64" t="s">
        <v>192</v>
      </c>
      <c r="V14" s="65" t="s">
        <v>332</v>
      </c>
      <c r="W14" s="66" t="s">
        <v>272</v>
      </c>
      <c r="X14" s="67">
        <v>3450</v>
      </c>
      <c r="Y14" s="68">
        <v>3.9</v>
      </c>
      <c r="Z14" s="68">
        <v>7.87</v>
      </c>
      <c r="AA14" s="62">
        <f t="shared" si="5"/>
        <v>134.55000000000001</v>
      </c>
      <c r="AB14" s="63">
        <f t="shared" si="6"/>
        <v>271.51500000000004</v>
      </c>
      <c r="AC14" s="69">
        <v>3450</v>
      </c>
      <c r="AD14" s="70">
        <v>3.9</v>
      </c>
      <c r="AE14" s="70">
        <v>7.87</v>
      </c>
      <c r="AF14" s="62">
        <f t="shared" si="7"/>
        <v>134.55000000000001</v>
      </c>
      <c r="AG14" s="62">
        <f t="shared" si="8"/>
        <v>271.51500000000004</v>
      </c>
      <c r="AH14" s="89">
        <v>0</v>
      </c>
      <c r="AI14" s="66">
        <v>0</v>
      </c>
      <c r="AJ14" s="66">
        <v>0</v>
      </c>
      <c r="AK14" s="62">
        <f t="shared" si="9"/>
        <v>0</v>
      </c>
      <c r="AL14" s="72">
        <f t="shared" si="10"/>
        <v>0</v>
      </c>
      <c r="AM14" s="73">
        <f t="shared" si="11"/>
        <v>-32.254999999999654</v>
      </c>
      <c r="AN14" s="74">
        <f t="shared" si="12"/>
        <v>-4.9804869999999823</v>
      </c>
      <c r="AO14" s="74">
        <f t="shared" si="12"/>
        <v>-2.9420840000000794</v>
      </c>
      <c r="AP14" s="75">
        <f t="shared" si="13"/>
        <v>-0.4388728085708008</v>
      </c>
      <c r="AQ14" s="76">
        <f t="shared" si="14"/>
        <v>-3274.4140666145413</v>
      </c>
      <c r="AR14" s="90">
        <f t="shared" si="15"/>
        <v>-32.254999999999654</v>
      </c>
    </row>
    <row r="15" spans="1:44" x14ac:dyDescent="0.25">
      <c r="A15" t="str">
        <f t="shared" si="16"/>
        <v>46209E</v>
      </c>
      <c r="B15" s="51">
        <f t="shared" si="17"/>
        <v>46209</v>
      </c>
      <c r="C15" s="52" t="s">
        <v>88</v>
      </c>
      <c r="D15" s="91">
        <v>0</v>
      </c>
      <c r="E15" s="62">
        <v>0</v>
      </c>
      <c r="F15" s="62">
        <v>0</v>
      </c>
      <c r="G15" s="62">
        <f t="shared" si="0"/>
        <v>0</v>
      </c>
      <c r="H15" s="63">
        <f t="shared" si="1"/>
        <v>0</v>
      </c>
      <c r="I15" s="202">
        <v>1043.8999999999999</v>
      </c>
      <c r="J15" s="202">
        <v>1075.2169999999999</v>
      </c>
      <c r="K15" s="202">
        <v>3.769020021074815</v>
      </c>
      <c r="L15" s="202">
        <v>7.8895679662802944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1075.2169999999999</v>
      </c>
      <c r="S15" s="62">
        <f t="shared" si="3"/>
        <v>40.52514399999999</v>
      </c>
      <c r="T15" s="63">
        <f t="shared" si="4"/>
        <v>84.829975999999988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1075.2</v>
      </c>
      <c r="AI15" s="66">
        <v>3.77</v>
      </c>
      <c r="AJ15" s="66">
        <v>7.89</v>
      </c>
      <c r="AK15" s="62">
        <f t="shared" si="9"/>
        <v>40.535040000000002</v>
      </c>
      <c r="AL15" s="72">
        <f t="shared" si="10"/>
        <v>84.833280000000002</v>
      </c>
      <c r="AM15" s="73">
        <f t="shared" si="11"/>
        <v>1.6999999999825377E-2</v>
      </c>
      <c r="AN15" s="74">
        <f t="shared" si="12"/>
        <v>-9.8960000000118953E-3</v>
      </c>
      <c r="AO15" s="74">
        <f t="shared" si="12"/>
        <v>-3.3040000000141845E-3</v>
      </c>
      <c r="AP15" s="75">
        <f t="shared" si="13"/>
        <v>-1.0530084451298107E-4</v>
      </c>
      <c r="AQ15" s="76">
        <f t="shared" si="14"/>
        <v>-5.7448686655416665</v>
      </c>
      <c r="AR15" s="90">
        <f t="shared" si="15"/>
        <v>1.6999999999825377E-2</v>
      </c>
    </row>
    <row r="16" spans="1:44" x14ac:dyDescent="0.25">
      <c r="A16" t="str">
        <f t="shared" si="16"/>
        <v>46210M</v>
      </c>
      <c r="B16" s="51">
        <f t="shared" si="17"/>
        <v>46210</v>
      </c>
      <c r="C16" s="52" t="s">
        <v>87</v>
      </c>
      <c r="D16" s="91">
        <v>1075.2</v>
      </c>
      <c r="E16" s="62">
        <v>3.77</v>
      </c>
      <c r="F16" s="62">
        <v>7.89</v>
      </c>
      <c r="G16" s="62">
        <f t="shared" si="0"/>
        <v>40.535040000000002</v>
      </c>
      <c r="H16" s="63">
        <f t="shared" si="1"/>
        <v>84.833280000000002</v>
      </c>
      <c r="I16" s="202">
        <v>276.10000000000002</v>
      </c>
      <c r="J16" s="202">
        <v>284.38300000000004</v>
      </c>
      <c r="K16" s="202">
        <v>4.7691416153567543</v>
      </c>
      <c r="L16" s="202">
        <v>8.1259326331039468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284.38300000000004</v>
      </c>
      <c r="S16" s="62">
        <f t="shared" si="3"/>
        <v>13.562628</v>
      </c>
      <c r="T16" s="63">
        <f t="shared" si="4"/>
        <v>23.108771000000001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>
        <v>1359.58</v>
      </c>
      <c r="AI16" s="66">
        <v>3.98</v>
      </c>
      <c r="AJ16" s="66">
        <v>7.94</v>
      </c>
      <c r="AK16" s="62">
        <f t="shared" si="9"/>
        <v>54.111283999999998</v>
      </c>
      <c r="AL16" s="72">
        <f t="shared" si="10"/>
        <v>107.95065199999999</v>
      </c>
      <c r="AM16" s="73">
        <f t="shared" si="11"/>
        <v>3.0000000001564331E-3</v>
      </c>
      <c r="AN16" s="74">
        <f t="shared" si="12"/>
        <v>-1.3615999999998962E-2</v>
      </c>
      <c r="AO16" s="74">
        <f t="shared" si="12"/>
        <v>-8.6009999999845377E-3</v>
      </c>
      <c r="AP16" s="75">
        <f t="shared" si="13"/>
        <v>-6.0583998990558008E-4</v>
      </c>
      <c r="AQ16" s="76">
        <f t="shared" si="14"/>
        <v>-9.1188540816289816</v>
      </c>
      <c r="AR16" s="90">
        <f t="shared" si="15"/>
        <v>3.0000000001564331E-3</v>
      </c>
    </row>
    <row r="17" spans="1:48" x14ac:dyDescent="0.25">
      <c r="A17" t="str">
        <f t="shared" si="16"/>
        <v>46210E</v>
      </c>
      <c r="B17" s="51">
        <f t="shared" si="17"/>
        <v>46210</v>
      </c>
      <c r="C17" s="52" t="s">
        <v>88</v>
      </c>
      <c r="D17" s="91">
        <v>1359.58</v>
      </c>
      <c r="E17" s="62">
        <v>3.98</v>
      </c>
      <c r="F17" s="62">
        <v>7.94</v>
      </c>
      <c r="G17" s="62">
        <f t="shared" si="0"/>
        <v>54.111283999999998</v>
      </c>
      <c r="H17" s="63">
        <f t="shared" si="1"/>
        <v>107.95065199999999</v>
      </c>
      <c r="I17" s="202">
        <v>807.39999999999986</v>
      </c>
      <c r="J17" s="202">
        <v>831.62199999999984</v>
      </c>
      <c r="K17" s="202">
        <v>3.6235075551151836</v>
      </c>
      <c r="L17" s="202">
        <v>7.9219841466435454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831.62199999999984</v>
      </c>
      <c r="S17" s="62">
        <f t="shared" si="3"/>
        <v>30.13388599999999</v>
      </c>
      <c r="T17" s="63">
        <f t="shared" si="4"/>
        <v>65.88096299999998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2191.1999999999998</v>
      </c>
      <c r="AI17" s="66">
        <v>3.84</v>
      </c>
      <c r="AJ17" s="66">
        <v>7.94</v>
      </c>
      <c r="AK17" s="62">
        <f t="shared" si="9"/>
        <v>84.142079999999979</v>
      </c>
      <c r="AL17" s="72">
        <f t="shared" si="10"/>
        <v>173.98127999999997</v>
      </c>
      <c r="AM17" s="73">
        <f t="shared" si="11"/>
        <v>1.9999999999527063E-3</v>
      </c>
      <c r="AN17" s="74">
        <f t="shared" si="12"/>
        <v>0.10309000000000879</v>
      </c>
      <c r="AO17" s="74">
        <f t="shared" si="12"/>
        <v>-0.14966499999999883</v>
      </c>
      <c r="AP17" s="75">
        <f t="shared" si="13"/>
        <v>-4.8508121905175373E-4</v>
      </c>
      <c r="AQ17" s="76">
        <f t="shared" si="14"/>
        <v>4.714765105339481</v>
      </c>
      <c r="AR17" s="90">
        <f t="shared" si="15"/>
        <v>1.9999999999527063E-3</v>
      </c>
    </row>
    <row r="18" spans="1:48" x14ac:dyDescent="0.25">
      <c r="A18" t="str">
        <f t="shared" si="16"/>
        <v>46211M</v>
      </c>
      <c r="B18" s="51">
        <f t="shared" si="17"/>
        <v>46211</v>
      </c>
      <c r="C18" s="52" t="s">
        <v>87</v>
      </c>
      <c r="D18" s="91">
        <v>2191.1999999999998</v>
      </c>
      <c r="E18" s="62">
        <v>3.84</v>
      </c>
      <c r="F18" s="62">
        <v>7.94</v>
      </c>
      <c r="G18" s="62">
        <f t="shared" si="0"/>
        <v>84.142079999999979</v>
      </c>
      <c r="H18" s="63">
        <f t="shared" si="1"/>
        <v>173.98127999999997</v>
      </c>
      <c r="I18" s="202">
        <v>377.9</v>
      </c>
      <c r="J18" s="202">
        <v>389.23699999999997</v>
      </c>
      <c r="K18" s="202">
        <v>4.2107965070124376</v>
      </c>
      <c r="L18" s="202">
        <v>8.0123313045779305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389.23699999999997</v>
      </c>
      <c r="S18" s="62">
        <f t="shared" si="3"/>
        <v>16.389977999999999</v>
      </c>
      <c r="T18" s="63">
        <f t="shared" si="4"/>
        <v>31.186957999999994</v>
      </c>
      <c r="U18" s="64" t="s">
        <v>167</v>
      </c>
      <c r="V18" s="65" t="s">
        <v>180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>
        <v>2580.4299999999998</v>
      </c>
      <c r="AI18" s="66">
        <v>3.89</v>
      </c>
      <c r="AJ18" s="66">
        <v>7.95</v>
      </c>
      <c r="AK18" s="62">
        <f t="shared" si="9"/>
        <v>100.378727</v>
      </c>
      <c r="AL18" s="72">
        <f t="shared" si="10"/>
        <v>205.14418499999999</v>
      </c>
      <c r="AM18" s="73">
        <f t="shared" si="11"/>
        <v>7.0000000000618456E-3</v>
      </c>
      <c r="AN18" s="74">
        <f t="shared" si="12"/>
        <v>0.15333099999998012</v>
      </c>
      <c r="AO18" s="74">
        <f t="shared" si="12"/>
        <v>2.4052999999980784E-2</v>
      </c>
      <c r="AP18" s="75">
        <f t="shared" si="13"/>
        <v>3.7283611538153896E-3</v>
      </c>
      <c r="AQ18" s="76">
        <f t="shared" si="14"/>
        <v>80.884195243877215</v>
      </c>
      <c r="AR18" s="90">
        <f>(D18+J18+O18)-(X18+AH18)</f>
        <v>7.0000000000618456E-3</v>
      </c>
    </row>
    <row r="19" spans="1:48" x14ac:dyDescent="0.25">
      <c r="A19" t="str">
        <f t="shared" si="16"/>
        <v>46211E</v>
      </c>
      <c r="B19" s="51">
        <f t="shared" si="17"/>
        <v>46211</v>
      </c>
      <c r="C19" s="52" t="s">
        <v>88</v>
      </c>
      <c r="D19" s="91">
        <v>2580.4299999999998</v>
      </c>
      <c r="E19" s="62">
        <v>3.89</v>
      </c>
      <c r="F19" s="62">
        <v>7.95</v>
      </c>
      <c r="G19" s="62">
        <f t="shared" si="0"/>
        <v>100.378727</v>
      </c>
      <c r="H19" s="63">
        <f t="shared" si="1"/>
        <v>205.14418499999999</v>
      </c>
      <c r="I19" s="202">
        <v>770.2</v>
      </c>
      <c r="J19" s="202">
        <v>793.30600000000004</v>
      </c>
      <c r="K19" s="202">
        <v>3.6861204881848879</v>
      </c>
      <c r="L19" s="202">
        <v>8.0550766034796144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793.30600000000004</v>
      </c>
      <c r="S19" s="62">
        <f t="shared" si="3"/>
        <v>29.242215000000009</v>
      </c>
      <c r="T19" s="63">
        <f t="shared" si="4"/>
        <v>63.901405999999994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3373.73</v>
      </c>
      <c r="AI19" s="66">
        <v>3.84</v>
      </c>
      <c r="AJ19" s="66">
        <v>7.98</v>
      </c>
      <c r="AK19" s="62">
        <f t="shared" si="9"/>
        <v>129.551232</v>
      </c>
      <c r="AL19" s="72">
        <f t="shared" si="10"/>
        <v>269.22365400000001</v>
      </c>
      <c r="AM19" s="73">
        <f t="shared" si="11"/>
        <v>5.9999999998581188E-3</v>
      </c>
      <c r="AN19" s="74">
        <f t="shared" si="12"/>
        <v>6.9710000000014816E-2</v>
      </c>
      <c r="AO19" s="74">
        <f t="shared" si="12"/>
        <v>-0.17806300000000874</v>
      </c>
      <c r="AP19" s="75">
        <f t="shared" si="13"/>
        <v>-1.1632895397097986E-3</v>
      </c>
      <c r="AQ19" s="76">
        <f t="shared" si="14"/>
        <v>-19.830359480840059</v>
      </c>
      <c r="AR19" s="90">
        <f>(D19+J19+O19)-(X19+AH19)</f>
        <v>5.9999999998581188E-3</v>
      </c>
    </row>
    <row r="20" spans="1:48" x14ac:dyDescent="0.25">
      <c r="A20" t="str">
        <f t="shared" si="16"/>
        <v>46212M</v>
      </c>
      <c r="B20" s="51">
        <f t="shared" si="17"/>
        <v>46212</v>
      </c>
      <c r="C20" s="52" t="s">
        <v>87</v>
      </c>
      <c r="D20" s="91">
        <v>3373.73</v>
      </c>
      <c r="E20" s="62">
        <v>3.84</v>
      </c>
      <c r="F20" s="62">
        <v>7.98</v>
      </c>
      <c r="G20" s="62">
        <f t="shared" si="0"/>
        <v>129.551232</v>
      </c>
      <c r="H20" s="63">
        <f t="shared" si="1"/>
        <v>269.22365400000001</v>
      </c>
      <c r="I20" s="202">
        <v>336.09999999999997</v>
      </c>
      <c r="J20" s="202">
        <v>346.18299999999999</v>
      </c>
      <c r="K20" s="202">
        <v>4.3465040166617079</v>
      </c>
      <c r="L20" s="202">
        <v>8.2926807497768547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346.18299999999999</v>
      </c>
      <c r="S20" s="62">
        <f t="shared" si="3"/>
        <v>15.046858</v>
      </c>
      <c r="T20" s="63">
        <f t="shared" si="4"/>
        <v>28.707851000000005</v>
      </c>
      <c r="U20" s="64" t="s">
        <v>192</v>
      </c>
      <c r="V20" s="65" t="s">
        <v>395</v>
      </c>
      <c r="W20" s="66" t="s">
        <v>272</v>
      </c>
      <c r="X20" s="67">
        <v>2690</v>
      </c>
      <c r="Y20" s="68">
        <v>3.9</v>
      </c>
      <c r="Z20" s="68">
        <v>7.87</v>
      </c>
      <c r="AA20" s="62">
        <f t="shared" si="5"/>
        <v>104.91</v>
      </c>
      <c r="AB20" s="63">
        <f t="shared" si="6"/>
        <v>211.703</v>
      </c>
      <c r="AC20" s="69">
        <v>2690</v>
      </c>
      <c r="AD20" s="70">
        <v>3.9</v>
      </c>
      <c r="AE20" s="70">
        <v>7.87</v>
      </c>
      <c r="AF20" s="62">
        <f t="shared" si="7"/>
        <v>104.91</v>
      </c>
      <c r="AG20" s="62">
        <f t="shared" si="8"/>
        <v>211.703</v>
      </c>
      <c r="AH20" s="89">
        <v>1029.9100000000001</v>
      </c>
      <c r="AI20" s="66">
        <v>3.88</v>
      </c>
      <c r="AJ20" s="66">
        <v>7.98</v>
      </c>
      <c r="AK20" s="62">
        <f t="shared" si="9"/>
        <v>39.960508000000004</v>
      </c>
      <c r="AL20" s="72">
        <f t="shared" si="10"/>
        <v>82.186818000000017</v>
      </c>
      <c r="AM20" s="73">
        <f t="shared" si="11"/>
        <v>2.9999999999290594E-3</v>
      </c>
      <c r="AN20" s="74">
        <f t="shared" ref="AN20:AO65" si="18">+G20+S20-AF20-AK20</f>
        <v>-0.27241799999998761</v>
      </c>
      <c r="AO20" s="74">
        <f t="shared" si="18"/>
        <v>4.041686999999996</v>
      </c>
      <c r="AP20" s="75">
        <f t="shared" si="13"/>
        <v>8.61454477962591E-2</v>
      </c>
      <c r="AQ20" s="76">
        <f t="shared" si="14"/>
        <v>1079.5435601046768</v>
      </c>
      <c r="AR20" s="90">
        <f>(D20+J20+O20)-(X20+AH20)</f>
        <v>3.0000000001564331E-3</v>
      </c>
    </row>
    <row r="21" spans="1:48" x14ac:dyDescent="0.25">
      <c r="A21" t="str">
        <f t="shared" si="16"/>
        <v>46212E</v>
      </c>
      <c r="B21" s="51">
        <f t="shared" si="17"/>
        <v>46212</v>
      </c>
      <c r="C21" s="52" t="s">
        <v>88</v>
      </c>
      <c r="D21" s="91">
        <v>1029.9100000000001</v>
      </c>
      <c r="E21" s="62">
        <v>3.88</v>
      </c>
      <c r="F21" s="62">
        <v>7.98</v>
      </c>
      <c r="G21" s="62">
        <f t="shared" si="0"/>
        <v>39.960508000000004</v>
      </c>
      <c r="H21" s="63">
        <f t="shared" si="1"/>
        <v>82.186818000000017</v>
      </c>
      <c r="I21" s="202">
        <v>1078.7</v>
      </c>
      <c r="J21" s="202">
        <v>1111.0610000000001</v>
      </c>
      <c r="K21" s="202">
        <v>4.1121998702141465</v>
      </c>
      <c r="L21" s="202">
        <v>7.8761842959117425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1111.0610000000001</v>
      </c>
      <c r="S21" s="62">
        <f t="shared" si="3"/>
        <v>45.689049000000004</v>
      </c>
      <c r="T21" s="63">
        <f t="shared" si="4"/>
        <v>87.509211999999977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>
        <v>2140.9699999999998</v>
      </c>
      <c r="AI21" s="66">
        <v>3.99</v>
      </c>
      <c r="AJ21" s="66">
        <v>7.9</v>
      </c>
      <c r="AK21" s="62">
        <f t="shared" si="9"/>
        <v>85.424703000000008</v>
      </c>
      <c r="AL21" s="72">
        <f t="shared" si="10"/>
        <v>169.13663</v>
      </c>
      <c r="AM21" s="73">
        <f t="shared" si="11"/>
        <v>1.0000000006584742E-3</v>
      </c>
      <c r="AN21" s="74">
        <f t="shared" si="18"/>
        <v>0.22485400000000766</v>
      </c>
      <c r="AO21" s="74">
        <f t="shared" si="18"/>
        <v>0.55940000000001078</v>
      </c>
      <c r="AP21" s="75">
        <f t="shared" si="13"/>
        <v>5.8878696622024114E-3</v>
      </c>
      <c r="AQ21" s="76">
        <f t="shared" si="14"/>
        <v>275.58498512932192</v>
      </c>
      <c r="AR21" s="90">
        <f>(D21+J21+O21)-(X21+AH21)</f>
        <v>1.0000000006584742E-3</v>
      </c>
    </row>
    <row r="22" spans="1:48" x14ac:dyDescent="0.25">
      <c r="A22" t="str">
        <f t="shared" si="16"/>
        <v>46213M</v>
      </c>
      <c r="B22" s="51">
        <f t="shared" si="17"/>
        <v>46213</v>
      </c>
      <c r="C22" s="52" t="s">
        <v>87</v>
      </c>
      <c r="D22" s="91">
        <v>2140.9699999999998</v>
      </c>
      <c r="E22" s="62">
        <v>3.99</v>
      </c>
      <c r="F22" s="62">
        <v>7.9</v>
      </c>
      <c r="G22" s="62">
        <f t="shared" si="0"/>
        <v>85.424703000000008</v>
      </c>
      <c r="H22" s="63">
        <f t="shared" si="1"/>
        <v>169.13663</v>
      </c>
      <c r="I22" s="202">
        <v>300.39999999999998</v>
      </c>
      <c r="J22" s="202">
        <v>309.41199999999998</v>
      </c>
      <c r="K22" s="202">
        <v>4.3698069241011988</v>
      </c>
      <c r="L22" s="202">
        <v>8.052762982689746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309.41199999999998</v>
      </c>
      <c r="S22" s="62">
        <f t="shared" si="3"/>
        <v>13.520707</v>
      </c>
      <c r="T22" s="63">
        <f t="shared" si="4"/>
        <v>24.916214999999994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2450.38</v>
      </c>
      <c r="AI22" s="66">
        <v>4.03</v>
      </c>
      <c r="AJ22" s="66">
        <v>7.91</v>
      </c>
      <c r="AK22" s="62">
        <f t="shared" si="9"/>
        <v>98.750314000000017</v>
      </c>
      <c r="AL22" s="72">
        <f t="shared" si="10"/>
        <v>193.82505800000001</v>
      </c>
      <c r="AM22" s="73">
        <f t="shared" si="11"/>
        <v>1.9999999994979589E-3</v>
      </c>
      <c r="AN22" s="74">
        <f t="shared" si="18"/>
        <v>0.19509599999999239</v>
      </c>
      <c r="AO22" s="74">
        <f t="shared" si="18"/>
        <v>0.22778699999997798</v>
      </c>
      <c r="AP22" s="75">
        <f t="shared" si="13"/>
        <v>1.1001999587791406E-2</v>
      </c>
      <c r="AQ22" s="76">
        <f t="shared" si="14"/>
        <v>161.97015630116468</v>
      </c>
      <c r="AR22" s="90">
        <f t="shared" si="15"/>
        <v>1.9999999994979589E-3</v>
      </c>
      <c r="AT22" s="83"/>
      <c r="AU22" s="83"/>
    </row>
    <row r="23" spans="1:48" x14ac:dyDescent="0.25">
      <c r="A23" t="str">
        <f t="shared" si="16"/>
        <v>46213E</v>
      </c>
      <c r="B23" s="51">
        <f t="shared" si="17"/>
        <v>46213</v>
      </c>
      <c r="C23" s="52" t="s">
        <v>88</v>
      </c>
      <c r="D23" s="91">
        <v>2450.38</v>
      </c>
      <c r="E23" s="62">
        <v>4.03</v>
      </c>
      <c r="F23" s="62">
        <v>7.91</v>
      </c>
      <c r="G23" s="62">
        <f t="shared" si="0"/>
        <v>98.750314000000017</v>
      </c>
      <c r="H23" s="63">
        <f t="shared" si="1"/>
        <v>193.82505800000001</v>
      </c>
      <c r="I23" s="202">
        <v>875.5</v>
      </c>
      <c r="J23" s="202">
        <v>901.76499999999999</v>
      </c>
      <c r="K23" s="202">
        <v>3.7744260422615654</v>
      </c>
      <c r="L23" s="202">
        <v>8.0176127926898939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901.76499999999999</v>
      </c>
      <c r="S23" s="62">
        <f t="shared" si="3"/>
        <v>34.036453000000002</v>
      </c>
      <c r="T23" s="63">
        <f t="shared" si="4"/>
        <v>72.300026000000017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>
        <v>3352.06</v>
      </c>
      <c r="AI23" s="66">
        <v>3.9</v>
      </c>
      <c r="AJ23" s="66">
        <v>7.93</v>
      </c>
      <c r="AK23" s="62">
        <f t="shared" si="9"/>
        <v>130.73033999999998</v>
      </c>
      <c r="AL23" s="72">
        <f t="shared" si="10"/>
        <v>265.81835799999999</v>
      </c>
      <c r="AM23" s="73">
        <f t="shared" si="11"/>
        <v>8.500000000003638E-2</v>
      </c>
      <c r="AN23" s="74">
        <f t="shared" si="18"/>
        <v>2.056427000000042</v>
      </c>
      <c r="AO23" s="74">
        <f t="shared" si="18"/>
        <v>0.30672600000002603</v>
      </c>
      <c r="AP23" s="75">
        <f t="shared" si="13"/>
        <v>2.2223351969365729E-2</v>
      </c>
      <c r="AQ23" s="76">
        <f t="shared" si="14"/>
        <v>1080.0418092168766</v>
      </c>
      <c r="AR23" s="90">
        <f t="shared" si="15"/>
        <v>8.500000000003638E-2</v>
      </c>
      <c r="AU23" s="83"/>
    </row>
    <row r="24" spans="1:48" x14ac:dyDescent="0.25">
      <c r="A24" t="str">
        <f t="shared" si="16"/>
        <v>46214M</v>
      </c>
      <c r="B24" s="51">
        <f t="shared" si="17"/>
        <v>46214</v>
      </c>
      <c r="C24" s="52" t="s">
        <v>87</v>
      </c>
      <c r="D24" s="91">
        <v>3352.06</v>
      </c>
      <c r="E24" s="62">
        <v>3.9</v>
      </c>
      <c r="F24" s="62">
        <v>7.93</v>
      </c>
      <c r="G24" s="62">
        <f t="shared" si="0"/>
        <v>130.73033999999998</v>
      </c>
      <c r="H24" s="63">
        <f t="shared" si="1"/>
        <v>265.81835799999999</v>
      </c>
      <c r="I24" s="202">
        <v>215.6</v>
      </c>
      <c r="J24" s="202">
        <v>222.06800000000001</v>
      </c>
      <c r="K24" s="202">
        <v>4.8294063079777354</v>
      </c>
      <c r="L24" s="202">
        <v>8.3855287569573278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222.06800000000001</v>
      </c>
      <c r="S24" s="62">
        <f t="shared" si="3"/>
        <v>10.724565999999999</v>
      </c>
      <c r="T24" s="63">
        <f t="shared" si="4"/>
        <v>18.621576000000001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3574.06</v>
      </c>
      <c r="AI24" s="66">
        <v>3.95</v>
      </c>
      <c r="AJ24" s="66">
        <v>7.95</v>
      </c>
      <c r="AK24" s="62">
        <f t="shared" si="9"/>
        <v>141.17536999999999</v>
      </c>
      <c r="AL24" s="72">
        <f t="shared" si="10"/>
        <v>284.13776999999999</v>
      </c>
      <c r="AM24" s="73">
        <f t="shared" si="11"/>
        <v>6.8000000000211003E-2</v>
      </c>
      <c r="AN24" s="74">
        <f t="shared" si="18"/>
        <v>0.27953600000000733</v>
      </c>
      <c r="AO24" s="74">
        <f t="shared" si="18"/>
        <v>0.30216400000000476</v>
      </c>
      <c r="AP24" s="75">
        <f t="shared" si="13"/>
        <v>1.9822026350176186E-2</v>
      </c>
      <c r="AQ24" s="76">
        <f t="shared" si="14"/>
        <v>224.82157387929757</v>
      </c>
      <c r="AR24" s="90">
        <f t="shared" si="15"/>
        <v>6.8000000000211003E-2</v>
      </c>
      <c r="AT24" s="77"/>
      <c r="AU24" s="77"/>
      <c r="AV24" s="77"/>
    </row>
    <row r="25" spans="1:48" x14ac:dyDescent="0.25">
      <c r="A25" t="str">
        <f t="shared" si="16"/>
        <v>46214E</v>
      </c>
      <c r="B25" s="51">
        <f t="shared" si="17"/>
        <v>46214</v>
      </c>
      <c r="C25" s="52" t="s">
        <v>88</v>
      </c>
      <c r="D25" s="91">
        <v>3574.06</v>
      </c>
      <c r="E25" s="62">
        <v>3.95</v>
      </c>
      <c r="F25" s="62">
        <v>7.95</v>
      </c>
      <c r="G25" s="62">
        <f t="shared" si="0"/>
        <v>141.17536999999999</v>
      </c>
      <c r="H25" s="63">
        <f t="shared" si="1"/>
        <v>284.13776999999999</v>
      </c>
      <c r="I25" s="202">
        <v>865.9</v>
      </c>
      <c r="J25" s="202">
        <v>891.87699999999995</v>
      </c>
      <c r="K25" s="202">
        <v>3.7660468876313669</v>
      </c>
      <c r="L25" s="202">
        <v>7.933317935096432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891.87699999999995</v>
      </c>
      <c r="S25" s="62">
        <f t="shared" si="3"/>
        <v>33.588506000000002</v>
      </c>
      <c r="T25" s="63">
        <f t="shared" si="4"/>
        <v>70.755437999999998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>
        <v>4465.8599999999997</v>
      </c>
      <c r="AI25" s="66">
        <v>3.91</v>
      </c>
      <c r="AJ25" s="66">
        <v>7.94</v>
      </c>
      <c r="AK25" s="62">
        <f t="shared" si="9"/>
        <v>174.615126</v>
      </c>
      <c r="AL25" s="72">
        <f t="shared" si="10"/>
        <v>354.58928399999996</v>
      </c>
      <c r="AM25" s="73">
        <f t="shared" si="11"/>
        <v>7.7000000000225555E-2</v>
      </c>
      <c r="AN25" s="74">
        <f t="shared" si="18"/>
        <v>0.1487499999999784</v>
      </c>
      <c r="AO25" s="74">
        <f t="shared" si="18"/>
        <v>0.30392399999999498</v>
      </c>
      <c r="AP25" s="75">
        <f t="shared" si="13"/>
        <v>4.3382872320790692E-3</v>
      </c>
      <c r="AQ25" s="76">
        <f t="shared" si="14"/>
        <v>162.50174859403688</v>
      </c>
      <c r="AR25" s="90">
        <f t="shared" si="15"/>
        <v>7.7000000000225555E-2</v>
      </c>
    </row>
    <row r="26" spans="1:48" x14ac:dyDescent="0.25">
      <c r="A26" t="str">
        <f t="shared" si="16"/>
        <v>46215M</v>
      </c>
      <c r="B26" s="51">
        <f t="shared" si="17"/>
        <v>46215</v>
      </c>
      <c r="C26" s="52" t="s">
        <v>87</v>
      </c>
      <c r="D26" s="91">
        <v>4465.8599999999997</v>
      </c>
      <c r="E26" s="62">
        <v>3.91</v>
      </c>
      <c r="F26" s="62">
        <v>7.94</v>
      </c>
      <c r="G26" s="62">
        <f t="shared" si="0"/>
        <v>174.615126</v>
      </c>
      <c r="H26" s="63">
        <f t="shared" si="1"/>
        <v>354.58928399999996</v>
      </c>
      <c r="I26" s="202">
        <v>329.9</v>
      </c>
      <c r="J26" s="202">
        <v>339.79699999999997</v>
      </c>
      <c r="K26" s="202">
        <v>4.6375265231888454</v>
      </c>
      <c r="L26" s="202">
        <v>8.1685056077599274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339.79699999999997</v>
      </c>
      <c r="S26" s="62">
        <f t="shared" si="3"/>
        <v>15.758175999999999</v>
      </c>
      <c r="T26" s="63">
        <f t="shared" si="4"/>
        <v>27.756336999999998</v>
      </c>
      <c r="U26" s="64" t="s">
        <v>170</v>
      </c>
      <c r="V26" s="65" t="s">
        <v>490</v>
      </c>
      <c r="W26" s="66" t="s">
        <v>272</v>
      </c>
      <c r="X26" s="67">
        <v>4850</v>
      </c>
      <c r="Y26" s="68">
        <v>4.05</v>
      </c>
      <c r="Z26" s="68">
        <v>8.2200000000000006</v>
      </c>
      <c r="AA26" s="62">
        <f t="shared" si="5"/>
        <v>196.42500000000001</v>
      </c>
      <c r="AB26" s="63">
        <f t="shared" si="6"/>
        <v>398.67000000000007</v>
      </c>
      <c r="AC26" s="69">
        <v>4810</v>
      </c>
      <c r="AD26" s="70">
        <v>4</v>
      </c>
      <c r="AE26" s="70">
        <v>8.0363409563409558</v>
      </c>
      <c r="AF26" s="62">
        <f t="shared" si="7"/>
        <v>192.4</v>
      </c>
      <c r="AG26" s="62">
        <f t="shared" si="8"/>
        <v>386.54799999999994</v>
      </c>
      <c r="AH26" s="89">
        <v>0</v>
      </c>
      <c r="AI26" s="66">
        <v>0</v>
      </c>
      <c r="AJ26" s="66">
        <v>0</v>
      </c>
      <c r="AK26" s="62">
        <f t="shared" si="9"/>
        <v>0</v>
      </c>
      <c r="AL26" s="72">
        <f t="shared" si="10"/>
        <v>0</v>
      </c>
      <c r="AM26" s="73">
        <f t="shared" si="11"/>
        <v>-4.3430000000007567</v>
      </c>
      <c r="AN26" s="74">
        <f t="shared" si="18"/>
        <v>-2.0266980000000103</v>
      </c>
      <c r="AO26" s="74">
        <f t="shared" si="18"/>
        <v>-4.2023790000000076</v>
      </c>
      <c r="AP26" s="75">
        <f t="shared" si="13"/>
        <v>-0.143149413162455</v>
      </c>
      <c r="AQ26" s="76">
        <f t="shared" si="14"/>
        <v>-2232.4694495503186</v>
      </c>
      <c r="AR26" s="90">
        <f t="shared" si="15"/>
        <v>-44.343000000000757</v>
      </c>
    </row>
    <row r="27" spans="1:48" x14ac:dyDescent="0.25">
      <c r="A27" t="str">
        <f t="shared" si="16"/>
        <v>46215E</v>
      </c>
      <c r="B27" s="51">
        <f t="shared" si="17"/>
        <v>46215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0"/>
        <v>0</v>
      </c>
      <c r="H27" s="63">
        <f t="shared" si="1"/>
        <v>0</v>
      </c>
      <c r="I27" s="202">
        <v>1036</v>
      </c>
      <c r="J27" s="202">
        <v>1067.08</v>
      </c>
      <c r="K27" s="202">
        <v>3.756138996138997</v>
      </c>
      <c r="L27" s="202">
        <v>7.99842664092664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1067.08</v>
      </c>
      <c r="S27" s="62">
        <f t="shared" si="3"/>
        <v>40.081008000000004</v>
      </c>
      <c r="T27" s="63">
        <f t="shared" si="4"/>
        <v>85.349610999999982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>
        <v>1066.9000000000001</v>
      </c>
      <c r="AI27" s="66">
        <v>3.75</v>
      </c>
      <c r="AJ27" s="66">
        <v>7.9</v>
      </c>
      <c r="AK27" s="62">
        <f t="shared" si="9"/>
        <v>40.008749999999999</v>
      </c>
      <c r="AL27" s="72">
        <f t="shared" si="10"/>
        <v>84.285100000000014</v>
      </c>
      <c r="AM27" s="73">
        <f t="shared" si="11"/>
        <v>0.17999999999983629</v>
      </c>
      <c r="AN27" s="74">
        <f t="shared" si="18"/>
        <v>7.225800000000504E-2</v>
      </c>
      <c r="AO27" s="74">
        <f t="shared" si="18"/>
        <v>1.0645109999999676</v>
      </c>
      <c r="AP27" s="75">
        <f t="shared" si="13"/>
        <v>9.0629306389692042E-3</v>
      </c>
      <c r="AQ27" s="76">
        <f t="shared" si="14"/>
        <v>353.53388841868491</v>
      </c>
      <c r="AR27" s="90">
        <f t="shared" si="15"/>
        <v>0.17999999999983629</v>
      </c>
    </row>
    <row r="28" spans="1:48" x14ac:dyDescent="0.25">
      <c r="A28" t="str">
        <f t="shared" si="16"/>
        <v>46216M</v>
      </c>
      <c r="B28" s="51">
        <f t="shared" si="17"/>
        <v>46216</v>
      </c>
      <c r="C28" s="52" t="s">
        <v>87</v>
      </c>
      <c r="D28" s="91">
        <v>1066.9000000000001</v>
      </c>
      <c r="E28" s="62">
        <v>3.75</v>
      </c>
      <c r="F28" s="62">
        <v>7.9</v>
      </c>
      <c r="G28" s="62">
        <f t="shared" si="0"/>
        <v>40.008749999999999</v>
      </c>
      <c r="H28" s="63">
        <f t="shared" si="1"/>
        <v>84.285100000000014</v>
      </c>
      <c r="I28" s="202">
        <v>178.8</v>
      </c>
      <c r="J28" s="202">
        <v>184.16400000000002</v>
      </c>
      <c r="K28" s="202">
        <v>5.1806487695749448</v>
      </c>
      <c r="L28" s="202">
        <v>8.3482102908277422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184.16400000000002</v>
      </c>
      <c r="S28" s="62">
        <f t="shared" si="3"/>
        <v>9.5408900000000028</v>
      </c>
      <c r="T28" s="63">
        <f t="shared" si="4"/>
        <v>15.374398000000005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2">
        <f t="shared" si="8"/>
        <v>0</v>
      </c>
      <c r="AH28" s="89">
        <v>1251</v>
      </c>
      <c r="AI28" s="66">
        <v>3.96</v>
      </c>
      <c r="AJ28" s="66">
        <v>7.96</v>
      </c>
      <c r="AK28" s="62">
        <f t="shared" si="9"/>
        <v>49.539599999999993</v>
      </c>
      <c r="AL28" s="72">
        <f t="shared" si="10"/>
        <v>99.579599999999999</v>
      </c>
      <c r="AM28" s="73">
        <f t="shared" si="11"/>
        <v>6.4000000000078217E-2</v>
      </c>
      <c r="AN28" s="74">
        <f t="shared" si="18"/>
        <v>1.0040000000010707E-2</v>
      </c>
      <c r="AO28" s="74">
        <f t="shared" si="18"/>
        <v>7.9898000000014235E-2</v>
      </c>
      <c r="AP28" s="75">
        <f t="shared" si="13"/>
        <v>3.6097515710043133E-3</v>
      </c>
      <c r="AQ28" s="76">
        <f t="shared" si="14"/>
        <v>28.753286473295638</v>
      </c>
      <c r="AR28" s="90">
        <f t="shared" si="15"/>
        <v>6.4000000000078217E-2</v>
      </c>
    </row>
    <row r="29" spans="1:48" x14ac:dyDescent="0.25">
      <c r="A29" t="str">
        <f t="shared" si="16"/>
        <v>46216E</v>
      </c>
      <c r="B29" s="51">
        <f t="shared" si="17"/>
        <v>46216</v>
      </c>
      <c r="C29" s="52" t="s">
        <v>88</v>
      </c>
      <c r="D29" s="91">
        <v>1251</v>
      </c>
      <c r="E29" s="62">
        <v>3.96</v>
      </c>
      <c r="F29" s="62">
        <v>7.96</v>
      </c>
      <c r="G29" s="62">
        <f t="shared" si="0"/>
        <v>49.539599999999993</v>
      </c>
      <c r="H29" s="63">
        <f t="shared" si="1"/>
        <v>99.579599999999999</v>
      </c>
      <c r="I29" s="202">
        <v>1011.2</v>
      </c>
      <c r="J29" s="202">
        <v>1041.5360000000001</v>
      </c>
      <c r="K29" s="202">
        <v>3.829934731012659</v>
      </c>
      <c r="L29" s="202">
        <v>7.9071103639240494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1041.5360000000001</v>
      </c>
      <c r="S29" s="62">
        <f t="shared" si="3"/>
        <v>39.890149000000008</v>
      </c>
      <c r="T29" s="63">
        <f t="shared" si="4"/>
        <v>82.355401000000001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2">
        <f t="shared" si="8"/>
        <v>0</v>
      </c>
      <c r="AH29" s="89">
        <v>2292.5</v>
      </c>
      <c r="AI29" s="66">
        <v>3.9</v>
      </c>
      <c r="AJ29" s="66">
        <v>7.93</v>
      </c>
      <c r="AK29" s="62">
        <f t="shared" si="9"/>
        <v>89.407499999999999</v>
      </c>
      <c r="AL29" s="72">
        <f t="shared" si="10"/>
        <v>181.79524999999998</v>
      </c>
      <c r="AM29" s="73">
        <f t="shared" si="11"/>
        <v>3.6000000000058208E-2</v>
      </c>
      <c r="AN29" s="74">
        <f t="shared" si="18"/>
        <v>2.2249000000002184E-2</v>
      </c>
      <c r="AO29" s="74">
        <f t="shared" si="18"/>
        <v>0.13975100000001817</v>
      </c>
      <c r="AP29" s="75">
        <f t="shared" si="13"/>
        <v>1.3252016126560054E-3</v>
      </c>
      <c r="AQ29" s="76">
        <f t="shared" si="14"/>
        <v>52.545548990610015</v>
      </c>
      <c r="AR29" s="90">
        <f t="shared" si="15"/>
        <v>3.6000000000058208E-2</v>
      </c>
    </row>
    <row r="30" spans="1:48" x14ac:dyDescent="0.25">
      <c r="A30" t="str">
        <f t="shared" si="16"/>
        <v>46217M</v>
      </c>
      <c r="B30" s="51">
        <f t="shared" si="17"/>
        <v>46217</v>
      </c>
      <c r="C30" s="52" t="s">
        <v>87</v>
      </c>
      <c r="D30" s="91">
        <v>2292.5</v>
      </c>
      <c r="E30" s="62">
        <v>3.9</v>
      </c>
      <c r="F30" s="62">
        <v>7.93</v>
      </c>
      <c r="G30" s="62">
        <f t="shared" si="0"/>
        <v>89.407499999999999</v>
      </c>
      <c r="H30" s="63">
        <f t="shared" si="1"/>
        <v>181.79524999999998</v>
      </c>
      <c r="I30" s="202">
        <v>319.5</v>
      </c>
      <c r="J30" s="202">
        <v>329.08500000000004</v>
      </c>
      <c r="K30" s="202">
        <v>4.730672926447574</v>
      </c>
      <c r="L30" s="202">
        <v>8.1093896713615035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329.08500000000004</v>
      </c>
      <c r="S30" s="62">
        <f t="shared" si="3"/>
        <v>15.567935</v>
      </c>
      <c r="T30" s="63">
        <f t="shared" si="4"/>
        <v>26.686785000000008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2">
        <f t="shared" si="8"/>
        <v>0</v>
      </c>
      <c r="AH30" s="89">
        <v>2621.58</v>
      </c>
      <c r="AI30" s="66">
        <v>4</v>
      </c>
      <c r="AJ30" s="66">
        <v>7.95</v>
      </c>
      <c r="AK30" s="62">
        <f t="shared" si="9"/>
        <v>104.86320000000001</v>
      </c>
      <c r="AL30" s="72">
        <f t="shared" si="10"/>
        <v>208.41560999999999</v>
      </c>
      <c r="AM30" s="73">
        <f t="shared" si="11"/>
        <v>5.0000000001091394E-3</v>
      </c>
      <c r="AN30" s="74">
        <f t="shared" si="18"/>
        <v>0.11223499999999831</v>
      </c>
      <c r="AO30" s="74">
        <f t="shared" si="18"/>
        <v>6.6425000000009504E-2</v>
      </c>
      <c r="AP30" s="75">
        <f t="shared" si="13"/>
        <v>4.2281666994836977E-3</v>
      </c>
      <c r="AQ30" s="76">
        <f t="shared" si="14"/>
        <v>73.826266498788357</v>
      </c>
      <c r="AR30" s="90">
        <f t="shared" si="15"/>
        <v>5.0000000001091394E-3</v>
      </c>
    </row>
    <row r="31" spans="1:48" x14ac:dyDescent="0.25">
      <c r="A31" t="str">
        <f t="shared" si="16"/>
        <v>46217E</v>
      </c>
      <c r="B31" s="51">
        <f t="shared" si="17"/>
        <v>46217</v>
      </c>
      <c r="C31" s="52" t="s">
        <v>88</v>
      </c>
      <c r="D31" s="91">
        <v>2621.58</v>
      </c>
      <c r="E31" s="62">
        <v>4</v>
      </c>
      <c r="F31" s="62">
        <v>7.95</v>
      </c>
      <c r="G31" s="62">
        <f t="shared" si="0"/>
        <v>104.86320000000001</v>
      </c>
      <c r="H31" s="63">
        <f t="shared" si="1"/>
        <v>208.41560999999999</v>
      </c>
      <c r="I31" s="202">
        <v>1083</v>
      </c>
      <c r="J31" s="202">
        <v>1115.49</v>
      </c>
      <c r="K31" s="202">
        <v>3.7871098799630647</v>
      </c>
      <c r="L31" s="202">
        <v>7.8379224376731287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1115.49</v>
      </c>
      <c r="S31" s="62">
        <f t="shared" si="3"/>
        <v>42.244831999999988</v>
      </c>
      <c r="T31" s="63">
        <f t="shared" si="4"/>
        <v>87.431240999999986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2">
        <f t="shared" si="8"/>
        <v>0</v>
      </c>
      <c r="AH31" s="89">
        <v>3737.07</v>
      </c>
      <c r="AI31" s="66">
        <v>3.94</v>
      </c>
      <c r="AJ31" s="66">
        <v>7.92</v>
      </c>
      <c r="AK31" s="62">
        <f t="shared" si="9"/>
        <v>147.24055799999999</v>
      </c>
      <c r="AL31" s="72">
        <f t="shared" si="10"/>
        <v>295.97594399999997</v>
      </c>
      <c r="AM31" s="73">
        <f t="shared" si="11"/>
        <v>0</v>
      </c>
      <c r="AN31" s="74">
        <f t="shared" si="18"/>
        <v>-0.1325260000000128</v>
      </c>
      <c r="AO31" s="74">
        <f t="shared" si="18"/>
        <v>-0.12909300000001167</v>
      </c>
      <c r="AP31" s="75">
        <f t="shared" si="13"/>
        <v>-2.0174808964181427E-3</v>
      </c>
      <c r="AQ31" s="76">
        <f t="shared" si="14"/>
        <v>-102.34526049575675</v>
      </c>
      <c r="AR31" s="90">
        <f t="shared" si="15"/>
        <v>0</v>
      </c>
    </row>
    <row r="32" spans="1:48" x14ac:dyDescent="0.25">
      <c r="A32" t="str">
        <f t="shared" si="16"/>
        <v>46218M</v>
      </c>
      <c r="B32" s="51">
        <f t="shared" si="17"/>
        <v>46218</v>
      </c>
      <c r="C32" s="52" t="s">
        <v>87</v>
      </c>
      <c r="D32" s="91">
        <v>3737.07</v>
      </c>
      <c r="E32" s="62">
        <v>3.94</v>
      </c>
      <c r="F32" s="62">
        <v>7.92</v>
      </c>
      <c r="G32" s="62">
        <f t="shared" si="0"/>
        <v>147.24055799999999</v>
      </c>
      <c r="H32" s="63">
        <f t="shared" si="1"/>
        <v>295.97594399999997</v>
      </c>
      <c r="I32" s="202">
        <v>314.60000000000002</v>
      </c>
      <c r="J32" s="202">
        <v>324.03800000000001</v>
      </c>
      <c r="K32" s="202">
        <v>4.9305785123966945</v>
      </c>
      <c r="L32" s="202">
        <v>8.2373490146217421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324.03800000000001</v>
      </c>
      <c r="S32" s="62">
        <f t="shared" si="3"/>
        <v>15.976948000000002</v>
      </c>
      <c r="T32" s="63">
        <f t="shared" si="4"/>
        <v>26.692141000000003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2">
        <f t="shared" si="8"/>
        <v>0</v>
      </c>
      <c r="AH32" s="89">
        <v>4061.1</v>
      </c>
      <c r="AI32" s="66">
        <v>4.0199999999999996</v>
      </c>
      <c r="AJ32" s="66">
        <v>7.95</v>
      </c>
      <c r="AK32" s="62">
        <f t="shared" si="9"/>
        <v>163.25621999999996</v>
      </c>
      <c r="AL32" s="72">
        <f t="shared" si="10"/>
        <v>322.85744999999997</v>
      </c>
      <c r="AM32" s="73">
        <f t="shared" si="11"/>
        <v>8.0000000002655725E-3</v>
      </c>
      <c r="AN32" s="74">
        <f t="shared" si="18"/>
        <v>-3.8713999999970383E-2</v>
      </c>
      <c r="AO32" s="74">
        <f t="shared" si="18"/>
        <v>-0.18936500000000933</v>
      </c>
      <c r="AP32" s="75">
        <f t="shared" si="13"/>
        <v>-5.3452980915524037E-3</v>
      </c>
      <c r="AQ32" s="76">
        <f t="shared" si="14"/>
        <v>-75.316468678307487</v>
      </c>
      <c r="AR32" s="90">
        <f t="shared" si="15"/>
        <v>8.0000000002655725E-3</v>
      </c>
    </row>
    <row r="33" spans="1:44" x14ac:dyDescent="0.25">
      <c r="A33" t="str">
        <f t="shared" si="16"/>
        <v>46218E</v>
      </c>
      <c r="B33" s="51">
        <f t="shared" si="17"/>
        <v>46218</v>
      </c>
      <c r="C33" s="52" t="s">
        <v>88</v>
      </c>
      <c r="D33" s="91">
        <v>4061.1</v>
      </c>
      <c r="E33" s="62">
        <v>4.0199999999999996</v>
      </c>
      <c r="F33" s="62">
        <v>7.95</v>
      </c>
      <c r="G33" s="62">
        <f t="shared" si="0"/>
        <v>163.25621999999996</v>
      </c>
      <c r="H33" s="63">
        <f t="shared" si="1"/>
        <v>322.85744999999997</v>
      </c>
      <c r="I33" s="202">
        <v>1008.8</v>
      </c>
      <c r="J33" s="202">
        <v>1039.0640000000001</v>
      </c>
      <c r="K33" s="202">
        <v>3.7783703409992069</v>
      </c>
      <c r="L33" s="202">
        <v>7.954708564631245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1039.0640000000001</v>
      </c>
      <c r="S33" s="62">
        <f t="shared" si="3"/>
        <v>39.259686000000002</v>
      </c>
      <c r="T33" s="63">
        <f t="shared" si="4"/>
        <v>82.654513000000009</v>
      </c>
      <c r="U33" s="64" t="s">
        <v>170</v>
      </c>
      <c r="V33" s="65" t="s">
        <v>577</v>
      </c>
      <c r="W33" s="66" t="s">
        <v>272</v>
      </c>
      <c r="X33" s="67">
        <v>3100</v>
      </c>
      <c r="Y33" s="68">
        <v>4.1500000000000004</v>
      </c>
      <c r="Z33" s="68">
        <v>8.11</v>
      </c>
      <c r="AA33" s="62">
        <f t="shared" si="5"/>
        <v>128.65</v>
      </c>
      <c r="AB33" s="63">
        <f t="shared" si="6"/>
        <v>251.40999999999997</v>
      </c>
      <c r="AC33" s="69">
        <v>3090</v>
      </c>
      <c r="AD33" s="70">
        <v>4.0999999999999996</v>
      </c>
      <c r="AE33" s="70">
        <v>8.0399999999999991</v>
      </c>
      <c r="AF33" s="62">
        <f t="shared" si="7"/>
        <v>126.68999999999998</v>
      </c>
      <c r="AG33" s="62">
        <f t="shared" si="8"/>
        <v>248.43599999999995</v>
      </c>
      <c r="AH33" s="89">
        <v>2000.16</v>
      </c>
      <c r="AI33" s="66">
        <v>3.98</v>
      </c>
      <c r="AJ33" s="66">
        <v>7.95</v>
      </c>
      <c r="AK33" s="62">
        <f t="shared" si="9"/>
        <v>79.606368000000003</v>
      </c>
      <c r="AL33" s="72">
        <f t="shared" si="10"/>
        <v>159.01272</v>
      </c>
      <c r="AM33" s="73">
        <f t="shared" si="11"/>
        <v>10.003999999999678</v>
      </c>
      <c r="AN33" s="74">
        <f t="shared" si="18"/>
        <v>-3.7804620000000142</v>
      </c>
      <c r="AO33" s="74">
        <f t="shared" si="18"/>
        <v>-1.9367569999999716</v>
      </c>
      <c r="AP33" s="75">
        <f t="shared" si="13"/>
        <v>-4.6895431761808035E-2</v>
      </c>
      <c r="AQ33" s="76">
        <f t="shared" si="14"/>
        <v>-2396.6765110248075</v>
      </c>
      <c r="AR33" s="90">
        <f t="shared" si="15"/>
        <v>3.9999999999054126E-3</v>
      </c>
    </row>
    <row r="34" spans="1:44" x14ac:dyDescent="0.25">
      <c r="A34" t="str">
        <f t="shared" si="16"/>
        <v>46219M</v>
      </c>
      <c r="B34" s="51">
        <f t="shared" si="17"/>
        <v>46219</v>
      </c>
      <c r="C34" s="52" t="s">
        <v>87</v>
      </c>
      <c r="D34" s="91">
        <v>2000.16</v>
      </c>
      <c r="E34" s="62">
        <v>3.98</v>
      </c>
      <c r="F34" s="62">
        <v>7.95</v>
      </c>
      <c r="G34" s="62">
        <f t="shared" si="0"/>
        <v>79.606368000000003</v>
      </c>
      <c r="H34" s="63">
        <f t="shared" si="1"/>
        <v>159.01272</v>
      </c>
      <c r="I34" s="202">
        <v>442.49999999999989</v>
      </c>
      <c r="J34" s="202">
        <v>455.77499999999992</v>
      </c>
      <c r="K34" s="202">
        <v>4.3742146892655365</v>
      </c>
      <c r="L34" s="202">
        <v>8.0630960451977387</v>
      </c>
      <c r="M34" s="57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455.77499999999992</v>
      </c>
      <c r="S34" s="62">
        <f t="shared" si="3"/>
        <v>19.936576999999993</v>
      </c>
      <c r="T34" s="63">
        <f t="shared" si="4"/>
        <v>36.74957599999999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2">
        <f t="shared" si="8"/>
        <v>0</v>
      </c>
      <c r="AH34" s="89">
        <v>2455.9299999999998</v>
      </c>
      <c r="AI34" s="66">
        <v>4.05</v>
      </c>
      <c r="AJ34" s="66">
        <v>7.97</v>
      </c>
      <c r="AK34" s="62">
        <f t="shared" si="9"/>
        <v>99.465164999999999</v>
      </c>
      <c r="AL34" s="72">
        <f t="shared" si="10"/>
        <v>195.73762099999996</v>
      </c>
      <c r="AM34" s="73">
        <f t="shared" si="11"/>
        <v>5.0000000001091394E-3</v>
      </c>
      <c r="AN34" s="74">
        <f t="shared" si="18"/>
        <v>7.7780000000004179E-2</v>
      </c>
      <c r="AO34" s="74">
        <f t="shared" si="18"/>
        <v>2.4675000000030423E-2</v>
      </c>
      <c r="AP34" s="75">
        <f t="shared" si="13"/>
        <v>1.8074078867203183E-3</v>
      </c>
      <c r="AQ34" s="76">
        <f t="shared" si="14"/>
        <v>44.765764291537849</v>
      </c>
      <c r="AR34" s="90">
        <f t="shared" si="15"/>
        <v>5.0000000001091394E-3</v>
      </c>
    </row>
    <row r="35" spans="1:44" x14ac:dyDescent="0.25">
      <c r="A35" t="str">
        <f t="shared" si="16"/>
        <v>46219E</v>
      </c>
      <c r="B35" s="51">
        <f t="shared" si="17"/>
        <v>46219</v>
      </c>
      <c r="C35" s="52" t="s">
        <v>88</v>
      </c>
      <c r="D35" s="91">
        <v>2455.9299999999998</v>
      </c>
      <c r="E35" s="62">
        <v>4.05</v>
      </c>
      <c r="F35" s="62">
        <v>7.97</v>
      </c>
      <c r="G35" s="62">
        <f t="shared" si="0"/>
        <v>99.465164999999999</v>
      </c>
      <c r="H35" s="63">
        <f t="shared" si="1"/>
        <v>195.73762099999996</v>
      </c>
      <c r="I35" s="202">
        <v>1119</v>
      </c>
      <c r="J35" s="202">
        <v>1152.57</v>
      </c>
      <c r="K35" s="202">
        <v>3.9358981233243968</v>
      </c>
      <c r="L35" s="202">
        <v>7.9507685433422708</v>
      </c>
      <c r="M35" s="57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1152.57</v>
      </c>
      <c r="S35" s="62">
        <f t="shared" si="3"/>
        <v>45.363980999999995</v>
      </c>
      <c r="T35" s="63">
        <f t="shared" si="4"/>
        <v>91.638173000000009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2">
        <f t="shared" si="8"/>
        <v>0</v>
      </c>
      <c r="AH35" s="89">
        <v>3608.5</v>
      </c>
      <c r="AI35" s="66">
        <v>4.0199999999999996</v>
      </c>
      <c r="AJ35" s="66">
        <v>7.97</v>
      </c>
      <c r="AK35" s="62">
        <f t="shared" si="9"/>
        <v>145.06169999999997</v>
      </c>
      <c r="AL35" s="72">
        <f t="shared" si="10"/>
        <v>287.59744999999998</v>
      </c>
      <c r="AM35" s="73">
        <f t="shared" si="11"/>
        <v>0</v>
      </c>
      <c r="AN35" s="74">
        <f t="shared" si="18"/>
        <v>-0.23255399999999327</v>
      </c>
      <c r="AO35" s="74">
        <f t="shared" si="18"/>
        <v>-0.22165599999999586</v>
      </c>
      <c r="AP35" s="75">
        <f t="shared" si="13"/>
        <v>-3.3153493338505396E-3</v>
      </c>
      <c r="AQ35" s="76">
        <f t="shared" si="14"/>
        <v>-178.13376450647746</v>
      </c>
      <c r="AR35" s="90">
        <f t="shared" si="15"/>
        <v>0</v>
      </c>
    </row>
    <row r="36" spans="1:44" x14ac:dyDescent="0.25">
      <c r="A36" t="str">
        <f t="shared" si="16"/>
        <v>46220M</v>
      </c>
      <c r="B36" s="51">
        <f t="shared" si="17"/>
        <v>46220</v>
      </c>
      <c r="C36" s="52" t="s">
        <v>87</v>
      </c>
      <c r="D36" s="91">
        <v>3608.5</v>
      </c>
      <c r="E36" s="62">
        <v>4.0199999999999996</v>
      </c>
      <c r="F36" s="62">
        <v>7.97</v>
      </c>
      <c r="G36" s="62">
        <f t="shared" si="0"/>
        <v>145.06169999999997</v>
      </c>
      <c r="H36" s="63">
        <f t="shared" si="1"/>
        <v>287.59744999999998</v>
      </c>
      <c r="I36" s="202">
        <v>237.00000000000003</v>
      </c>
      <c r="J36" s="202">
        <v>244.11000000000004</v>
      </c>
      <c r="K36" s="202">
        <v>5.1833333333333336</v>
      </c>
      <c r="L36" s="202">
        <v>8.2658649789029557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244.11000000000004</v>
      </c>
      <c r="S36" s="62">
        <f t="shared" si="3"/>
        <v>12.653035000000003</v>
      </c>
      <c r="T36" s="63">
        <f t="shared" si="4"/>
        <v>20.177803000000008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2">
        <f t="shared" si="8"/>
        <v>0</v>
      </c>
      <c r="AH36" s="89">
        <v>3852.61</v>
      </c>
      <c r="AI36" s="66">
        <v>4.09</v>
      </c>
      <c r="AJ36" s="66">
        <v>7.98</v>
      </c>
      <c r="AK36" s="62">
        <f t="shared" si="9"/>
        <v>157.57174900000001</v>
      </c>
      <c r="AL36" s="72">
        <f t="shared" si="10"/>
        <v>307.43827800000003</v>
      </c>
      <c r="AM36" s="73">
        <f t="shared" si="11"/>
        <v>0</v>
      </c>
      <c r="AN36" s="74">
        <f t="shared" si="18"/>
        <v>0.14298599999995076</v>
      </c>
      <c r="AO36" s="74">
        <f t="shared" si="18"/>
        <v>0.33697499999993852</v>
      </c>
      <c r="AP36" s="75">
        <f t="shared" si="13"/>
        <v>1.4619212582995568E-2</v>
      </c>
      <c r="AQ36" s="76">
        <f t="shared" si="14"/>
        <v>169.63043925951678</v>
      </c>
      <c r="AR36" s="90">
        <f t="shared" si="15"/>
        <v>0</v>
      </c>
    </row>
    <row r="37" spans="1:44" x14ac:dyDescent="0.25">
      <c r="A37" t="str">
        <f t="shared" si="16"/>
        <v>46220E</v>
      </c>
      <c r="B37" s="51">
        <f t="shared" si="17"/>
        <v>46220</v>
      </c>
      <c r="C37" s="52" t="s">
        <v>88</v>
      </c>
      <c r="D37" s="91">
        <v>3852.61</v>
      </c>
      <c r="E37" s="62">
        <v>4.09</v>
      </c>
      <c r="F37" s="62">
        <v>7.98</v>
      </c>
      <c r="G37" s="62">
        <f t="shared" si="0"/>
        <v>157.57174900000001</v>
      </c>
      <c r="H37" s="63">
        <f t="shared" si="1"/>
        <v>307.43827800000003</v>
      </c>
      <c r="I37" s="202">
        <v>1217.3000000000002</v>
      </c>
      <c r="J37" s="202">
        <v>1253.8190000000002</v>
      </c>
      <c r="K37" s="202">
        <v>3.937229935102275</v>
      </c>
      <c r="L37" s="202">
        <v>8.0725457980777122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1253.8190000000002</v>
      </c>
      <c r="S37" s="62">
        <f t="shared" si="3"/>
        <v>49.365737000000003</v>
      </c>
      <c r="T37" s="63">
        <f t="shared" si="4"/>
        <v>101.21511300000002</v>
      </c>
      <c r="U37" s="64" t="s">
        <v>180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2">
        <f t="shared" si="8"/>
        <v>0</v>
      </c>
      <c r="AH37" s="89">
        <v>5106.42</v>
      </c>
      <c r="AI37" s="66">
        <v>4.05</v>
      </c>
      <c r="AJ37" s="66">
        <v>8</v>
      </c>
      <c r="AK37" s="62">
        <f t="shared" si="9"/>
        <v>206.81001000000001</v>
      </c>
      <c r="AL37" s="72">
        <f t="shared" si="10"/>
        <v>408.5136</v>
      </c>
      <c r="AM37" s="73">
        <f t="shared" si="11"/>
        <v>9.0000000000145519E-3</v>
      </c>
      <c r="AN37" s="74">
        <f t="shared" si="18"/>
        <v>0.12747600000000148</v>
      </c>
      <c r="AO37" s="74">
        <f t="shared" si="18"/>
        <v>0.13979100000005928</v>
      </c>
      <c r="AP37" s="75">
        <f t="shared" si="13"/>
        <v>1.7749069685823976E-3</v>
      </c>
      <c r="AQ37" s="76">
        <f t="shared" si="14"/>
        <v>103.12252689725292</v>
      </c>
      <c r="AR37" s="90">
        <f t="shared" si="15"/>
        <v>9.0000000000145519E-3</v>
      </c>
    </row>
    <row r="38" spans="1:44" x14ac:dyDescent="0.25">
      <c r="A38" t="str">
        <f t="shared" si="16"/>
        <v>46221M</v>
      </c>
      <c r="B38" s="51">
        <f t="shared" si="17"/>
        <v>46221</v>
      </c>
      <c r="C38" s="52" t="s">
        <v>87</v>
      </c>
      <c r="D38" s="91">
        <v>5106.42</v>
      </c>
      <c r="E38" s="62">
        <v>4.05</v>
      </c>
      <c r="F38" s="62">
        <v>8</v>
      </c>
      <c r="G38" s="62">
        <f t="shared" si="0"/>
        <v>206.81001000000001</v>
      </c>
      <c r="H38" s="63">
        <f t="shared" si="1"/>
        <v>408.5136</v>
      </c>
      <c r="I38" s="202">
        <v>516.19999999999993</v>
      </c>
      <c r="J38" s="202">
        <v>531.68599999999992</v>
      </c>
      <c r="K38" s="202">
        <v>4.4265207283998453</v>
      </c>
      <c r="L38" s="202">
        <v>8.0758426966292127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531.68599999999992</v>
      </c>
      <c r="S38" s="62">
        <f t="shared" si="3"/>
        <v>23.535190999999998</v>
      </c>
      <c r="T38" s="63">
        <f t="shared" si="4"/>
        <v>42.938124999999985</v>
      </c>
      <c r="U38" s="64" t="s">
        <v>710</v>
      </c>
      <c r="V38" s="65" t="s">
        <v>711</v>
      </c>
      <c r="W38" s="66" t="s">
        <v>712</v>
      </c>
      <c r="X38" s="67">
        <v>5605</v>
      </c>
      <c r="Y38" s="68">
        <v>3.8999999999999995</v>
      </c>
      <c r="Z38" s="68">
        <v>8.0399999999999991</v>
      </c>
      <c r="AA38" s="62">
        <f t="shared" si="5"/>
        <v>218.59499999999997</v>
      </c>
      <c r="AB38" s="63">
        <f t="shared" si="6"/>
        <v>450.64199999999994</v>
      </c>
      <c r="AC38" s="69">
        <v>5570</v>
      </c>
      <c r="AD38" s="70">
        <v>3.858527827648115</v>
      </c>
      <c r="AE38" s="70">
        <v>7.9814721723518849</v>
      </c>
      <c r="AF38" s="62">
        <f t="shared" si="7"/>
        <v>214.92000000000002</v>
      </c>
      <c r="AG38" s="62">
        <f t="shared" si="8"/>
        <v>444.56799999999998</v>
      </c>
      <c r="AH38" s="89">
        <v>35.1</v>
      </c>
      <c r="AI38" s="66">
        <v>4.08</v>
      </c>
      <c r="AJ38" s="66">
        <v>8</v>
      </c>
      <c r="AK38" s="62">
        <f t="shared" si="9"/>
        <v>1.4320800000000002</v>
      </c>
      <c r="AL38" s="72">
        <f t="shared" si="10"/>
        <v>2.8080000000000003</v>
      </c>
      <c r="AM38" s="73">
        <f t="shared" si="11"/>
        <v>33.005999999999766</v>
      </c>
      <c r="AN38" s="74">
        <f t="shared" si="18"/>
        <v>13.993120999999986</v>
      </c>
      <c r="AO38" s="74">
        <f t="shared" si="18"/>
        <v>4.0757250000000269</v>
      </c>
      <c r="AP38" s="75">
        <f t="shared" si="13"/>
        <v>0.27182104169438487</v>
      </c>
      <c r="AQ38" s="76">
        <f t="shared" si="14"/>
        <v>7944.7934198853563</v>
      </c>
      <c r="AR38" s="90">
        <f t="shared" si="15"/>
        <v>-1.9940000000005966</v>
      </c>
    </row>
    <row r="39" spans="1:44" x14ac:dyDescent="0.25">
      <c r="A39" t="str">
        <f t="shared" si="16"/>
        <v>46221E</v>
      </c>
      <c r="B39" s="51">
        <f t="shared" si="17"/>
        <v>46221</v>
      </c>
      <c r="C39" s="52" t="s">
        <v>88</v>
      </c>
      <c r="D39" s="91">
        <v>35.1</v>
      </c>
      <c r="E39" s="62">
        <v>4.08</v>
      </c>
      <c r="F39" s="62">
        <v>8</v>
      </c>
      <c r="G39" s="62">
        <f t="shared" si="0"/>
        <v>1.4320800000000002</v>
      </c>
      <c r="H39" s="63">
        <f t="shared" si="1"/>
        <v>2.8080000000000003</v>
      </c>
      <c r="I39" s="202">
        <v>1130.0999999999999</v>
      </c>
      <c r="J39" s="202">
        <v>1164.0029999999999</v>
      </c>
      <c r="K39" s="202">
        <v>4.2686753384656217</v>
      </c>
      <c r="L39" s="202">
        <v>8.143518272719227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1164.0029999999999</v>
      </c>
      <c r="S39" s="62">
        <f t="shared" si="3"/>
        <v>49.687508999999991</v>
      </c>
      <c r="T39" s="63">
        <f t="shared" si="4"/>
        <v>94.790796999999984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2">
        <f t="shared" si="8"/>
        <v>0</v>
      </c>
      <c r="AH39" s="89">
        <v>1199.0999999999999</v>
      </c>
      <c r="AI39" s="66">
        <v>4.26</v>
      </c>
      <c r="AJ39" s="66">
        <v>8.1300000000000008</v>
      </c>
      <c r="AK39" s="62">
        <f t="shared" si="9"/>
        <v>51.081659999999992</v>
      </c>
      <c r="AL39" s="72">
        <f t="shared" si="10"/>
        <v>97.486830000000012</v>
      </c>
      <c r="AM39" s="73">
        <f t="shared" si="11"/>
        <v>2.9999999999290594E-3</v>
      </c>
      <c r="AN39" s="74">
        <f t="shared" si="18"/>
        <v>3.7928999999998325E-2</v>
      </c>
      <c r="AO39" s="74">
        <f t="shared" si="18"/>
        <v>0.11196699999997861</v>
      </c>
      <c r="AP39" s="75">
        <f t="shared" si="13"/>
        <v>1.0374983217201963E-3</v>
      </c>
      <c r="AQ39" s="76">
        <f t="shared" si="14"/>
        <v>51.759238665917223</v>
      </c>
      <c r="AR39" s="90">
        <f t="shared" si="15"/>
        <v>2.9999999999290594E-3</v>
      </c>
    </row>
    <row r="40" spans="1:44" x14ac:dyDescent="0.25">
      <c r="A40" t="str">
        <f t="shared" si="16"/>
        <v>46222M</v>
      </c>
      <c r="B40" s="51">
        <f t="shared" si="17"/>
        <v>46222</v>
      </c>
      <c r="C40" s="52" t="s">
        <v>87</v>
      </c>
      <c r="D40" s="91">
        <v>1199.0999999999999</v>
      </c>
      <c r="E40" s="62">
        <v>4.26</v>
      </c>
      <c r="F40" s="62">
        <v>8.1300000000000008</v>
      </c>
      <c r="G40" s="62">
        <f t="shared" si="0"/>
        <v>51.081659999999992</v>
      </c>
      <c r="H40" s="63">
        <f t="shared" si="1"/>
        <v>97.486830000000012</v>
      </c>
      <c r="I40" s="202">
        <v>449.3</v>
      </c>
      <c r="J40" s="202">
        <v>462.779</v>
      </c>
      <c r="K40" s="202">
        <v>4.6456042733140439</v>
      </c>
      <c r="L40" s="202">
        <v>8.1306699310037853</v>
      </c>
      <c r="M40" s="57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462.779</v>
      </c>
      <c r="S40" s="62">
        <f t="shared" si="3"/>
        <v>21.498881000000001</v>
      </c>
      <c r="T40" s="63">
        <f t="shared" si="4"/>
        <v>37.627033000000004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2">
        <f t="shared" si="8"/>
        <v>0</v>
      </c>
      <c r="AH40" s="89">
        <v>1661.87</v>
      </c>
      <c r="AI40" s="66">
        <v>4.3600000000000003</v>
      </c>
      <c r="AJ40" s="66">
        <v>8.1300000000000008</v>
      </c>
      <c r="AK40" s="62">
        <f t="shared" si="9"/>
        <v>72.457532</v>
      </c>
      <c r="AL40" s="72">
        <f t="shared" si="10"/>
        <v>135.11003100000002</v>
      </c>
      <c r="AM40" s="73">
        <f t="shared" si="11"/>
        <v>9.0000000000145519E-3</v>
      </c>
      <c r="AN40" s="74">
        <f t="shared" si="18"/>
        <v>0.12300899999999615</v>
      </c>
      <c r="AO40" s="74">
        <f t="shared" si="18"/>
        <v>3.8319999999885113E-3</v>
      </c>
      <c r="AP40" s="75">
        <f t="shared" si="13"/>
        <v>2.1452691623504482E-3</v>
      </c>
      <c r="AQ40" s="76">
        <f t="shared" si="14"/>
        <v>60.257477888844598</v>
      </c>
      <c r="AR40" s="90">
        <f t="shared" si="15"/>
        <v>9.0000000000145519E-3</v>
      </c>
    </row>
    <row r="41" spans="1:44" x14ac:dyDescent="0.25">
      <c r="A41" t="str">
        <f t="shared" si="16"/>
        <v>46222E</v>
      </c>
      <c r="B41" s="51">
        <f t="shared" si="17"/>
        <v>46222</v>
      </c>
      <c r="C41" s="52" t="s">
        <v>88</v>
      </c>
      <c r="D41" s="91">
        <v>1661.87</v>
      </c>
      <c r="E41" s="62">
        <v>4.3600000000000003</v>
      </c>
      <c r="F41" s="62">
        <v>8.1300000000000008</v>
      </c>
      <c r="G41" s="62">
        <f t="shared" si="0"/>
        <v>72.457532</v>
      </c>
      <c r="H41" s="63">
        <f t="shared" si="1"/>
        <v>135.11003100000002</v>
      </c>
      <c r="I41" s="202">
        <v>956.99999999999989</v>
      </c>
      <c r="J41" s="202">
        <v>985.70999999999992</v>
      </c>
      <c r="K41" s="202">
        <v>3.8950888192267512</v>
      </c>
      <c r="L41" s="202">
        <v>7.9369905956112863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985.70999999999992</v>
      </c>
      <c r="S41" s="62">
        <f t="shared" si="3"/>
        <v>38.394280000000002</v>
      </c>
      <c r="T41" s="63">
        <f t="shared" si="4"/>
        <v>78.235709999999997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2647.58</v>
      </c>
      <c r="AI41" s="71">
        <v>4.18</v>
      </c>
      <c r="AJ41" s="71">
        <v>8.0500000000000007</v>
      </c>
      <c r="AK41" s="62">
        <f t="shared" si="9"/>
        <v>110.66884399999999</v>
      </c>
      <c r="AL41" s="72">
        <f t="shared" si="10"/>
        <v>213.13019</v>
      </c>
      <c r="AM41" s="73">
        <f t="shared" si="11"/>
        <v>0</v>
      </c>
      <c r="AN41" s="74">
        <f t="shared" si="18"/>
        <v>0.18296800000000246</v>
      </c>
      <c r="AO41" s="74">
        <f t="shared" si="18"/>
        <v>0.21555100000003335</v>
      </c>
      <c r="AP41" s="75">
        <f t="shared" si="13"/>
        <v>3.4169513347299084E-3</v>
      </c>
      <c r="AQ41" s="76">
        <f t="shared" si="14"/>
        <v>152.477684509261</v>
      </c>
      <c r="AR41" s="90">
        <f t="shared" si="15"/>
        <v>0</v>
      </c>
    </row>
    <row r="42" spans="1:44" x14ac:dyDescent="0.25">
      <c r="A42" t="str">
        <f t="shared" si="16"/>
        <v>46223M</v>
      </c>
      <c r="B42" s="51">
        <f t="shared" si="17"/>
        <v>46223</v>
      </c>
      <c r="C42" s="52" t="s">
        <v>87</v>
      </c>
      <c r="D42" s="91">
        <v>2647.58</v>
      </c>
      <c r="E42" s="62">
        <v>4.18</v>
      </c>
      <c r="F42" s="62">
        <v>8.0500000000000007</v>
      </c>
      <c r="G42" s="62">
        <f t="shared" si="0"/>
        <v>110.66884399999999</v>
      </c>
      <c r="H42" s="63">
        <f t="shared" si="1"/>
        <v>213.13019</v>
      </c>
      <c r="I42" s="202">
        <v>303.20000000000005</v>
      </c>
      <c r="J42" s="202">
        <v>312.29600000000005</v>
      </c>
      <c r="K42" s="202">
        <v>4.8007915567282318</v>
      </c>
      <c r="L42" s="202">
        <v>8.0406992084432716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312.29600000000005</v>
      </c>
      <c r="S42" s="62">
        <f t="shared" si="3"/>
        <v>14.99268</v>
      </c>
      <c r="T42" s="63">
        <f t="shared" si="4"/>
        <v>25.110782000000004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>
        <v>2959.78</v>
      </c>
      <c r="AI42" s="66">
        <v>4.24</v>
      </c>
      <c r="AJ42" s="66">
        <v>8.0399999999999991</v>
      </c>
      <c r="AK42" s="62">
        <f t="shared" si="9"/>
        <v>125.49467200000001</v>
      </c>
      <c r="AL42" s="72">
        <f t="shared" si="10"/>
        <v>237.96631199999996</v>
      </c>
      <c r="AM42" s="73">
        <f t="shared" si="11"/>
        <v>9.6000000000003638E-2</v>
      </c>
      <c r="AN42" s="74">
        <f t="shared" si="18"/>
        <v>0.16685199999997735</v>
      </c>
      <c r="AO42" s="74">
        <f t="shared" si="18"/>
        <v>0.27466000000003987</v>
      </c>
      <c r="AP42" s="75">
        <f t="shared" si="13"/>
        <v>1.1009323833439047E-2</v>
      </c>
      <c r="AQ42" s="76">
        <f t="shared" si="14"/>
        <v>162.43604127252996</v>
      </c>
      <c r="AR42" s="90">
        <f t="shared" si="15"/>
        <v>9.6000000000003638E-2</v>
      </c>
    </row>
    <row r="43" spans="1:44" x14ac:dyDescent="0.25">
      <c r="A43" t="str">
        <f t="shared" si="16"/>
        <v>46223E</v>
      </c>
      <c r="B43" s="51">
        <f t="shared" si="17"/>
        <v>46223</v>
      </c>
      <c r="C43" s="52" t="s">
        <v>88</v>
      </c>
      <c r="D43" s="91">
        <v>2959.78</v>
      </c>
      <c r="E43" s="62">
        <v>4.24</v>
      </c>
      <c r="F43" s="62">
        <v>8.0399999999999991</v>
      </c>
      <c r="G43" s="62">
        <f t="shared" si="0"/>
        <v>125.49467200000001</v>
      </c>
      <c r="H43" s="63">
        <f t="shared" si="1"/>
        <v>237.96631199999996</v>
      </c>
      <c r="I43" s="202">
        <v>957.7</v>
      </c>
      <c r="J43" s="202">
        <v>986.43100000000004</v>
      </c>
      <c r="K43" s="202">
        <v>4.0901848177926272</v>
      </c>
      <c r="L43" s="202">
        <v>8.0519369322334757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986.43100000000004</v>
      </c>
      <c r="S43" s="62">
        <f t="shared" si="3"/>
        <v>40.346850999999994</v>
      </c>
      <c r="T43" s="63">
        <f t="shared" si="4"/>
        <v>79.426802000000009</v>
      </c>
      <c r="U43" s="64" t="s">
        <v>170</v>
      </c>
      <c r="V43" s="65" t="s">
        <v>713</v>
      </c>
      <c r="W43" s="66" t="s">
        <v>272</v>
      </c>
      <c r="X43" s="67">
        <v>1895</v>
      </c>
      <c r="Y43" s="68">
        <v>4.2</v>
      </c>
      <c r="Z43" s="68">
        <v>8</v>
      </c>
      <c r="AA43" s="62">
        <f t="shared" si="5"/>
        <v>79.59</v>
      </c>
      <c r="AB43" s="63">
        <f t="shared" si="6"/>
        <v>151.6</v>
      </c>
      <c r="AC43" s="69">
        <v>1890</v>
      </c>
      <c r="AD43" s="70">
        <v>4.0999999999999996</v>
      </c>
      <c r="AE43" s="70">
        <v>7.91</v>
      </c>
      <c r="AF43" s="62">
        <f t="shared" si="7"/>
        <v>77.489999999999995</v>
      </c>
      <c r="AG43" s="63">
        <f t="shared" si="8"/>
        <v>149.499</v>
      </c>
      <c r="AH43" s="89">
        <v>2051.21</v>
      </c>
      <c r="AI43" s="71">
        <v>4.2</v>
      </c>
      <c r="AJ43" s="71">
        <v>8.0399999999999991</v>
      </c>
      <c r="AK43" s="62">
        <f t="shared" si="9"/>
        <v>86.15082000000001</v>
      </c>
      <c r="AL43" s="72">
        <f t="shared" si="10"/>
        <v>164.91728399999997</v>
      </c>
      <c r="AM43" s="73">
        <f t="shared" si="11"/>
        <v>5.0010000000002037</v>
      </c>
      <c r="AN43" s="74">
        <f t="shared" si="18"/>
        <v>2.2007029999999901</v>
      </c>
      <c r="AO43" s="74">
        <f t="shared" si="18"/>
        <v>2.9768300000000067</v>
      </c>
      <c r="AP43" s="75">
        <f t="shared" si="13"/>
        <v>4.3227645398775612E-2</v>
      </c>
      <c r="AQ43" s="76">
        <f t="shared" si="14"/>
        <v>1949.0435002546083</v>
      </c>
      <c r="AR43" s="90">
        <f t="shared" si="15"/>
        <v>1.0000000002037268E-3</v>
      </c>
    </row>
    <row r="44" spans="1:44" x14ac:dyDescent="0.25">
      <c r="A44" t="str">
        <f t="shared" si="16"/>
        <v>46224M</v>
      </c>
      <c r="B44" s="51">
        <f t="shared" si="17"/>
        <v>46224</v>
      </c>
      <c r="C44" s="52" t="s">
        <v>87</v>
      </c>
      <c r="D44" s="91">
        <v>2051.21</v>
      </c>
      <c r="E44" s="62">
        <v>4.2</v>
      </c>
      <c r="F44" s="62">
        <v>8.0399999999999991</v>
      </c>
      <c r="G44" s="62">
        <f t="shared" si="0"/>
        <v>86.15082000000001</v>
      </c>
      <c r="H44" s="63">
        <f t="shared" si="1"/>
        <v>164.91728399999997</v>
      </c>
      <c r="I44" s="202">
        <v>365.5</v>
      </c>
      <c r="J44" s="202">
        <v>376.46500000000003</v>
      </c>
      <c r="K44" s="202">
        <v>4.9217236662106707</v>
      </c>
      <c r="L44" s="202">
        <v>8.1958139534883685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376.46500000000003</v>
      </c>
      <c r="S44" s="62">
        <f t="shared" si="3"/>
        <v>18.528567000000002</v>
      </c>
      <c r="T44" s="63">
        <f t="shared" si="4"/>
        <v>30.854370999999986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>
        <v>2427.67</v>
      </c>
      <c r="AI44" s="66">
        <v>4.3099999999999996</v>
      </c>
      <c r="AJ44" s="66">
        <v>8.06</v>
      </c>
      <c r="AK44" s="62">
        <f t="shared" si="9"/>
        <v>104.632577</v>
      </c>
      <c r="AL44" s="72">
        <f t="shared" si="10"/>
        <v>195.67020200000002</v>
      </c>
      <c r="AM44" s="73">
        <f t="shared" si="11"/>
        <v>5.0000000001091394E-3</v>
      </c>
      <c r="AN44" s="74">
        <f t="shared" si="18"/>
        <v>4.6810000000022001E-2</v>
      </c>
      <c r="AO44" s="74">
        <f t="shared" si="18"/>
        <v>0.1014529999999354</v>
      </c>
      <c r="AP44" s="75">
        <f t="shared" si="13"/>
        <v>3.0023122561067032E-3</v>
      </c>
      <c r="AQ44" s="76">
        <f t="shared" si="14"/>
        <v>52.877998811722918</v>
      </c>
      <c r="AR44" s="90">
        <f t="shared" si="15"/>
        <v>5.0000000001091394E-3</v>
      </c>
    </row>
    <row r="45" spans="1:44" x14ac:dyDescent="0.25">
      <c r="A45" t="str">
        <f t="shared" si="16"/>
        <v>46224E</v>
      </c>
      <c r="B45" s="51">
        <f t="shared" si="17"/>
        <v>46224</v>
      </c>
      <c r="C45" s="52" t="s">
        <v>88</v>
      </c>
      <c r="D45" s="91">
        <v>2427.67</v>
      </c>
      <c r="E45" s="62">
        <v>4.3099999999999996</v>
      </c>
      <c r="F45" s="62">
        <v>8.06</v>
      </c>
      <c r="G45" s="62">
        <f t="shared" si="0"/>
        <v>104.632577</v>
      </c>
      <c r="H45" s="63">
        <f t="shared" si="1"/>
        <v>195.67020200000002</v>
      </c>
      <c r="I45" s="202">
        <v>1058.5000000000005</v>
      </c>
      <c r="J45" s="202">
        <v>1090.2550000000006</v>
      </c>
      <c r="K45" s="202">
        <v>3.9427019367028833</v>
      </c>
      <c r="L45" s="202">
        <v>7.9942843646669832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1090.2550000000006</v>
      </c>
      <c r="S45" s="62">
        <f t="shared" si="3"/>
        <v>42.985505000000039</v>
      </c>
      <c r="T45" s="63">
        <f t="shared" si="4"/>
        <v>87.158085000000057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3517.92</v>
      </c>
      <c r="AI45" s="71">
        <v>4.1900000000000004</v>
      </c>
      <c r="AJ45" s="71">
        <v>8.0399999999999991</v>
      </c>
      <c r="AK45" s="62">
        <f t="shared" si="9"/>
        <v>147.40084800000002</v>
      </c>
      <c r="AL45" s="72">
        <f t="shared" si="10"/>
        <v>282.84076799999997</v>
      </c>
      <c r="AM45" s="73">
        <f t="shared" si="11"/>
        <v>5.0000000005638867E-3</v>
      </c>
      <c r="AN45" s="74">
        <f t="shared" si="18"/>
        <v>0.21723400000001902</v>
      </c>
      <c r="AO45" s="74">
        <f t="shared" si="18"/>
        <v>-1.2480999999922915E-2</v>
      </c>
      <c r="AP45" s="75">
        <f t="shared" si="13"/>
        <v>1.5732853227738374E-3</v>
      </c>
      <c r="AQ45" s="76">
        <f t="shared" si="14"/>
        <v>100.65005880250118</v>
      </c>
      <c r="AR45" s="90">
        <f t="shared" si="15"/>
        <v>5.0000000005638867E-3</v>
      </c>
    </row>
    <row r="46" spans="1:44" x14ac:dyDescent="0.25">
      <c r="A46" t="str">
        <f t="shared" si="16"/>
        <v>46225M</v>
      </c>
      <c r="B46" s="51">
        <f t="shared" si="17"/>
        <v>46225</v>
      </c>
      <c r="C46" s="52" t="s">
        <v>87</v>
      </c>
      <c r="D46" s="91">
        <v>3517.92</v>
      </c>
      <c r="E46" s="62">
        <v>4.1900000000000004</v>
      </c>
      <c r="F46" s="62">
        <v>8.0399999999999991</v>
      </c>
      <c r="G46" s="62">
        <f t="shared" si="0"/>
        <v>147.40084800000002</v>
      </c>
      <c r="H46" s="63">
        <f t="shared" si="1"/>
        <v>282.84076799999997</v>
      </c>
      <c r="I46" s="202">
        <v>247.51999999999998</v>
      </c>
      <c r="J46" s="202">
        <v>254.94559999999998</v>
      </c>
      <c r="K46" s="202">
        <v>5.1022866839043317</v>
      </c>
      <c r="L46" s="202">
        <v>8.2202892695539749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254.94559999999998</v>
      </c>
      <c r="S46" s="62">
        <f t="shared" si="3"/>
        <v>13.0080554</v>
      </c>
      <c r="T46" s="63">
        <f t="shared" si="4"/>
        <v>20.957265799999998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3772.87</v>
      </c>
      <c r="AI46" s="66">
        <v>4.25</v>
      </c>
      <c r="AJ46" s="66">
        <v>8.0500000000000007</v>
      </c>
      <c r="AK46" s="62">
        <f t="shared" si="9"/>
        <v>160.34697500000001</v>
      </c>
      <c r="AL46" s="72">
        <f t="shared" si="10"/>
        <v>303.71603499999998</v>
      </c>
      <c r="AM46" s="73">
        <f t="shared" si="11"/>
        <v>-4.3999999998050043E-3</v>
      </c>
      <c r="AN46" s="74">
        <f t="shared" si="18"/>
        <v>6.1928399999999328E-2</v>
      </c>
      <c r="AO46" s="74">
        <f t="shared" si="18"/>
        <v>8.1998800000008032E-2</v>
      </c>
      <c r="AP46" s="75">
        <f t="shared" si="13"/>
        <v>4.2374750161352035E-3</v>
      </c>
      <c r="AQ46" s="76">
        <f t="shared" si="14"/>
        <v>54.316522352845567</v>
      </c>
      <c r="AR46" s="90">
        <f t="shared" si="15"/>
        <v>-4.3999999998050043E-3</v>
      </c>
    </row>
    <row r="47" spans="1:44" x14ac:dyDescent="0.25">
      <c r="A47" t="str">
        <f t="shared" si="16"/>
        <v>46225E</v>
      </c>
      <c r="B47" s="51">
        <f t="shared" si="17"/>
        <v>46225</v>
      </c>
      <c r="C47" s="52" t="s">
        <v>88</v>
      </c>
      <c r="D47" s="91">
        <v>3772.87</v>
      </c>
      <c r="E47" s="62">
        <v>4.25</v>
      </c>
      <c r="F47" s="62">
        <v>8.0500000000000007</v>
      </c>
      <c r="G47" s="62">
        <f t="shared" si="0"/>
        <v>160.34697500000001</v>
      </c>
      <c r="H47" s="63">
        <f t="shared" si="1"/>
        <v>303.71603499999998</v>
      </c>
      <c r="I47" s="202">
        <v>1118.9000000000001</v>
      </c>
      <c r="J47" s="202">
        <v>1152.4670000000001</v>
      </c>
      <c r="K47" s="202">
        <v>3.9016802216462594</v>
      </c>
      <c r="L47" s="202">
        <v>7.9902314773438192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1152.4670000000001</v>
      </c>
      <c r="S47" s="62">
        <f t="shared" si="3"/>
        <v>44.965577000000003</v>
      </c>
      <c r="T47" s="63">
        <f t="shared" si="4"/>
        <v>92.084780999999992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4925.34</v>
      </c>
      <c r="AI47" s="66">
        <v>4.17</v>
      </c>
      <c r="AJ47" s="66">
        <v>8.0299999999999994</v>
      </c>
      <c r="AK47" s="62">
        <f t="shared" si="9"/>
        <v>205.38667800000002</v>
      </c>
      <c r="AL47" s="72">
        <f t="shared" si="10"/>
        <v>395.50480199999998</v>
      </c>
      <c r="AM47" s="73">
        <f t="shared" si="11"/>
        <v>-3.0000000006111804E-3</v>
      </c>
      <c r="AN47" s="74">
        <f t="shared" si="18"/>
        <v>-7.4126000000006798E-2</v>
      </c>
      <c r="AO47" s="74">
        <f t="shared" si="18"/>
        <v>0.29601399999995692</v>
      </c>
      <c r="AP47" s="75">
        <f t="shared" si="13"/>
        <v>1.6190253220640996E-3</v>
      </c>
      <c r="AQ47" s="76">
        <f t="shared" si="14"/>
        <v>53.033602195732804</v>
      </c>
      <c r="AR47" s="90">
        <f t="shared" si="15"/>
        <v>-3.0000000006111804E-3</v>
      </c>
    </row>
    <row r="48" spans="1:44" x14ac:dyDescent="0.25">
      <c r="A48" t="str">
        <f t="shared" si="16"/>
        <v>46226M</v>
      </c>
      <c r="B48" s="51">
        <f t="shared" si="17"/>
        <v>46226</v>
      </c>
      <c r="C48" s="52" t="s">
        <v>87</v>
      </c>
      <c r="D48" s="91">
        <v>4925.34</v>
      </c>
      <c r="E48" s="62">
        <v>4.17</v>
      </c>
      <c r="F48" s="62">
        <v>8.0299999999999994</v>
      </c>
      <c r="G48" s="62">
        <f t="shared" si="0"/>
        <v>205.38667800000002</v>
      </c>
      <c r="H48" s="63">
        <f t="shared" si="1"/>
        <v>395.50480199999998</v>
      </c>
      <c r="I48" s="202">
        <v>425.90000000000003</v>
      </c>
      <c r="J48" s="202">
        <v>438.67700000000002</v>
      </c>
      <c r="K48" s="202">
        <v>4.4637943179150037</v>
      </c>
      <c r="L48" s="202">
        <v>8.1902089692416045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438.67700000000002</v>
      </c>
      <c r="S48" s="62">
        <f t="shared" si="3"/>
        <v>19.581638999999999</v>
      </c>
      <c r="T48" s="63">
        <f t="shared" si="4"/>
        <v>35.92856299999999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>
        <v>5364.01</v>
      </c>
      <c r="AI48" s="71">
        <v>4.1900000000000004</v>
      </c>
      <c r="AJ48" s="71">
        <v>8.0399999999999991</v>
      </c>
      <c r="AK48" s="62">
        <f t="shared" si="9"/>
        <v>224.75201900000005</v>
      </c>
      <c r="AL48" s="72">
        <f t="shared" si="10"/>
        <v>431.26640399999997</v>
      </c>
      <c r="AM48" s="73">
        <f t="shared" si="11"/>
        <v>6.9999999996070983E-3</v>
      </c>
      <c r="AN48" s="74">
        <f t="shared" si="18"/>
        <v>0.21629799999996635</v>
      </c>
      <c r="AO48" s="74">
        <f t="shared" si="18"/>
        <v>0.16696100000001479</v>
      </c>
      <c r="AP48" s="75">
        <f t="shared" si="13"/>
        <v>6.9042984206755583E-3</v>
      </c>
      <c r="AQ48" s="76">
        <f t="shared" si="14"/>
        <v>153.94156185461637</v>
      </c>
      <c r="AR48" s="90">
        <f t="shared" si="15"/>
        <v>6.9999999996070983E-3</v>
      </c>
    </row>
    <row r="49" spans="1:44" x14ac:dyDescent="0.25">
      <c r="A49" t="str">
        <f t="shared" si="16"/>
        <v>46226E</v>
      </c>
      <c r="B49" s="51">
        <f t="shared" si="17"/>
        <v>46226</v>
      </c>
      <c r="C49" s="52" t="s">
        <v>88</v>
      </c>
      <c r="D49" s="91">
        <v>5364.01</v>
      </c>
      <c r="E49" s="62">
        <v>4.1900000000000004</v>
      </c>
      <c r="F49" s="62">
        <v>8.0399999999999991</v>
      </c>
      <c r="G49" s="62">
        <f t="shared" si="0"/>
        <v>224.75201900000005</v>
      </c>
      <c r="H49" s="63">
        <f t="shared" si="1"/>
        <v>431.26640399999997</v>
      </c>
      <c r="I49" s="202">
        <v>996.80000000000007</v>
      </c>
      <c r="J49" s="202">
        <v>1026.7040000000002</v>
      </c>
      <c r="K49" s="202">
        <v>3.8537419743178174</v>
      </c>
      <c r="L49" s="202">
        <v>8.0231239967897299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1026.7040000000002</v>
      </c>
      <c r="S49" s="62">
        <f t="shared" si="3"/>
        <v>39.566523000000011</v>
      </c>
      <c r="T49" s="63">
        <f t="shared" si="4"/>
        <v>82.373735000000039</v>
      </c>
      <c r="U49" s="64" t="s">
        <v>170</v>
      </c>
      <c r="V49" s="65" t="s">
        <v>765</v>
      </c>
      <c r="W49" s="66" t="s">
        <v>272</v>
      </c>
      <c r="X49" s="67">
        <v>2125</v>
      </c>
      <c r="Y49" s="68">
        <v>4.3499999999999996</v>
      </c>
      <c r="Z49" s="68">
        <v>8.5</v>
      </c>
      <c r="AA49" s="62">
        <f t="shared" si="5"/>
        <v>92.4375</v>
      </c>
      <c r="AB49" s="63">
        <f t="shared" si="6"/>
        <v>180.625</v>
      </c>
      <c r="AC49" s="69">
        <v>2125</v>
      </c>
      <c r="AD49" s="70">
        <v>4.3</v>
      </c>
      <c r="AE49" s="70">
        <v>8.4</v>
      </c>
      <c r="AF49" s="62">
        <f t="shared" si="7"/>
        <v>91.374999999999986</v>
      </c>
      <c r="AG49" s="63">
        <f t="shared" si="8"/>
        <v>178.5</v>
      </c>
      <c r="AH49" s="89">
        <v>4265.71</v>
      </c>
      <c r="AI49" s="66">
        <v>4.13</v>
      </c>
      <c r="AJ49" s="66">
        <v>8.0399999999999991</v>
      </c>
      <c r="AK49" s="62">
        <f t="shared" si="9"/>
        <v>176.173823</v>
      </c>
      <c r="AL49" s="72">
        <f t="shared" si="10"/>
        <v>342.96308399999992</v>
      </c>
      <c r="AM49" s="73">
        <f t="shared" si="11"/>
        <v>3.9999999999054126E-3</v>
      </c>
      <c r="AN49" s="74">
        <f t="shared" si="18"/>
        <v>-3.2302809999999624</v>
      </c>
      <c r="AO49" s="74">
        <f t="shared" si="18"/>
        <v>-7.8229449999999474</v>
      </c>
      <c r="AP49" s="75">
        <f t="shared" si="13"/>
        <v>-9.0644600735549571E-2</v>
      </c>
      <c r="AQ49" s="76">
        <f t="shared" si="14"/>
        <v>-3895.157538246101</v>
      </c>
      <c r="AR49" s="90">
        <f t="shared" si="15"/>
        <v>3.9999999999054126E-3</v>
      </c>
    </row>
    <row r="50" spans="1:44" x14ac:dyDescent="0.25">
      <c r="A50" t="str">
        <f t="shared" si="16"/>
        <v>46227M</v>
      </c>
      <c r="B50" s="51">
        <f t="shared" si="17"/>
        <v>46227</v>
      </c>
      <c r="C50" s="52" t="s">
        <v>87</v>
      </c>
      <c r="D50" s="91">
        <v>4265.71</v>
      </c>
      <c r="E50" s="62">
        <v>4.13</v>
      </c>
      <c r="F50" s="62">
        <v>8.0399999999999991</v>
      </c>
      <c r="G50" s="62">
        <f t="shared" si="0"/>
        <v>176.173823</v>
      </c>
      <c r="H50" s="63">
        <f t="shared" si="1"/>
        <v>342.96308399999992</v>
      </c>
      <c r="I50" s="202">
        <v>257</v>
      </c>
      <c r="J50" s="202">
        <v>264.70999999999998</v>
      </c>
      <c r="K50" s="202">
        <v>4.575408560311284</v>
      </c>
      <c r="L50" s="202">
        <v>8.1788715953307367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264.70999999999998</v>
      </c>
      <c r="S50" s="62">
        <f t="shared" si="3"/>
        <v>12.111563999999998</v>
      </c>
      <c r="T50" s="63">
        <f t="shared" si="4"/>
        <v>21.650290999999989</v>
      </c>
      <c r="U50" s="64" t="s">
        <v>196</v>
      </c>
      <c r="V50" s="65" t="s">
        <v>811</v>
      </c>
      <c r="W50" s="66" t="s">
        <v>272</v>
      </c>
      <c r="X50" s="67">
        <v>4750</v>
      </c>
      <c r="Y50" s="68">
        <v>4.05</v>
      </c>
      <c r="Z50" s="68">
        <v>8.02</v>
      </c>
      <c r="AA50" s="62">
        <f t="shared" si="5"/>
        <v>192.375</v>
      </c>
      <c r="AB50" s="63">
        <f t="shared" si="6"/>
        <v>380.95</v>
      </c>
      <c r="AC50" s="69">
        <v>4750</v>
      </c>
      <c r="AD50" s="70">
        <v>4</v>
      </c>
      <c r="AE50" s="70">
        <v>7.96</v>
      </c>
      <c r="AF50" s="62">
        <f t="shared" si="7"/>
        <v>190</v>
      </c>
      <c r="AG50" s="63">
        <f t="shared" si="8"/>
        <v>378.1</v>
      </c>
      <c r="AH50" s="89">
        <v>0</v>
      </c>
      <c r="AI50" s="71">
        <v>0</v>
      </c>
      <c r="AJ50" s="71">
        <v>0</v>
      </c>
      <c r="AK50" s="62">
        <f t="shared" si="9"/>
        <v>0</v>
      </c>
      <c r="AL50" s="72">
        <f t="shared" si="10"/>
        <v>0</v>
      </c>
      <c r="AM50" s="73">
        <f t="shared" si="11"/>
        <v>-219.57999999999993</v>
      </c>
      <c r="AN50" s="74">
        <f t="shared" si="18"/>
        <v>-1.7146130000000142</v>
      </c>
      <c r="AO50" s="74">
        <f t="shared" si="18"/>
        <v>-13.486625000000117</v>
      </c>
      <c r="AP50" s="75">
        <f t="shared" si="13"/>
        <v>-0.45024889775754734</v>
      </c>
      <c r="AQ50" s="76">
        <f t="shared" si="14"/>
        <v>-4863.0514736965724</v>
      </c>
      <c r="AR50" s="90">
        <f t="shared" si="15"/>
        <v>-219.57999999999993</v>
      </c>
    </row>
    <row r="51" spans="1:44" x14ac:dyDescent="0.25">
      <c r="A51" t="str">
        <f t="shared" si="16"/>
        <v>46227E</v>
      </c>
      <c r="B51" s="51">
        <f t="shared" si="17"/>
        <v>46227</v>
      </c>
      <c r="C51" s="52" t="s">
        <v>88</v>
      </c>
      <c r="D51" s="91">
        <v>0</v>
      </c>
      <c r="E51" s="62">
        <v>0</v>
      </c>
      <c r="F51" s="62">
        <v>0</v>
      </c>
      <c r="G51" s="62">
        <f t="shared" si="0"/>
        <v>0</v>
      </c>
      <c r="H51" s="63">
        <f t="shared" si="1"/>
        <v>0</v>
      </c>
      <c r="I51" s="202">
        <v>1111.6000000000001</v>
      </c>
      <c r="J51" s="202">
        <v>1144.9480000000001</v>
      </c>
      <c r="K51" s="202">
        <v>3.8162198632601667</v>
      </c>
      <c r="L51" s="202">
        <v>8.0213925872616016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1144.9480000000001</v>
      </c>
      <c r="S51" s="62">
        <f t="shared" si="3"/>
        <v>43.693733000000016</v>
      </c>
      <c r="T51" s="63">
        <f t="shared" si="4"/>
        <v>91.840773999999968</v>
      </c>
      <c r="U51" s="64" t="s">
        <v>167</v>
      </c>
      <c r="V51" s="85" t="s">
        <v>180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1144.95</v>
      </c>
      <c r="AI51" s="66">
        <v>3.82</v>
      </c>
      <c r="AJ51" s="66">
        <v>8.02</v>
      </c>
      <c r="AK51" s="62">
        <f t="shared" si="9"/>
        <v>43.737090000000002</v>
      </c>
      <c r="AL51" s="72">
        <f t="shared" si="10"/>
        <v>91.82499</v>
      </c>
      <c r="AM51" s="73">
        <f t="shared" si="11"/>
        <v>-1.9999999999527063E-3</v>
      </c>
      <c r="AN51" s="74">
        <f t="shared" si="18"/>
        <v>-4.3356999999986101E-2</v>
      </c>
      <c r="AO51" s="74">
        <f t="shared" si="18"/>
        <v>1.5783999999968046E-2</v>
      </c>
      <c r="AP51" s="75">
        <f t="shared" si="13"/>
        <v>-2.0343896628493329E-4</v>
      </c>
      <c r="AQ51" s="76">
        <f t="shared" si="14"/>
        <v>-16.107282132613886</v>
      </c>
      <c r="AR51" s="90">
        <f t="shared" si="15"/>
        <v>-1.9999999999527063E-3</v>
      </c>
    </row>
    <row r="52" spans="1:44" x14ac:dyDescent="0.25">
      <c r="A52" t="str">
        <f t="shared" si="16"/>
        <v>46228M</v>
      </c>
      <c r="B52" s="51">
        <f t="shared" si="17"/>
        <v>46228</v>
      </c>
      <c r="C52" s="52" t="s">
        <v>87</v>
      </c>
      <c r="D52" s="91">
        <v>1144.95</v>
      </c>
      <c r="E52" s="62">
        <v>3.82</v>
      </c>
      <c r="F52" s="62">
        <v>8.02</v>
      </c>
      <c r="G52" s="62">
        <f t="shared" si="0"/>
        <v>43.737090000000002</v>
      </c>
      <c r="H52" s="63">
        <f t="shared" si="1"/>
        <v>91.82499</v>
      </c>
      <c r="I52" s="118">
        <v>295.89999999999998</v>
      </c>
      <c r="J52" s="118">
        <v>304.77699999999999</v>
      </c>
      <c r="K52" s="118">
        <v>4.5616086515714764</v>
      </c>
      <c r="L52" s="118">
        <v>8.1883068604258167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304.77699999999999</v>
      </c>
      <c r="S52" s="62">
        <f t="shared" si="3"/>
        <v>13.902733999999997</v>
      </c>
      <c r="T52" s="63">
        <f t="shared" si="4"/>
        <v>24.956075999999989</v>
      </c>
      <c r="U52" s="64" t="s">
        <v>170</v>
      </c>
      <c r="V52" s="65" t="s">
        <v>812</v>
      </c>
      <c r="W52" s="66" t="s">
        <v>272</v>
      </c>
      <c r="X52" s="67">
        <v>670</v>
      </c>
      <c r="Y52" s="68">
        <v>4</v>
      </c>
      <c r="Z52" s="68">
        <v>7.96</v>
      </c>
      <c r="AA52" s="62">
        <f t="shared" si="5"/>
        <v>26.8</v>
      </c>
      <c r="AB52" s="63">
        <f t="shared" si="6"/>
        <v>53.332000000000001</v>
      </c>
      <c r="AC52" s="69">
        <v>670</v>
      </c>
      <c r="AD52" s="70">
        <v>4</v>
      </c>
      <c r="AE52" s="70">
        <v>7.89</v>
      </c>
      <c r="AF52" s="62">
        <f t="shared" si="7"/>
        <v>26.8</v>
      </c>
      <c r="AG52" s="63">
        <f t="shared" si="8"/>
        <v>52.863</v>
      </c>
      <c r="AH52" s="89">
        <v>779.65</v>
      </c>
      <c r="AI52" s="66">
        <v>3.97</v>
      </c>
      <c r="AJ52" s="66">
        <v>8.0500000000000007</v>
      </c>
      <c r="AK52" s="62">
        <f t="shared" si="9"/>
        <v>30.952105</v>
      </c>
      <c r="AL52" s="72">
        <f t="shared" si="10"/>
        <v>62.761825000000002</v>
      </c>
      <c r="AM52" s="73">
        <f t="shared" si="11"/>
        <v>7.7000000000111868E-2</v>
      </c>
      <c r="AN52" s="74">
        <f t="shared" si="18"/>
        <v>-0.11228100000000296</v>
      </c>
      <c r="AO52" s="74">
        <f t="shared" si="18"/>
        <v>1.1562409999999801</v>
      </c>
      <c r="AP52" s="75">
        <f t="shared" si="13"/>
        <v>2.6865465000085631E-2</v>
      </c>
      <c r="AQ52" s="76">
        <f t="shared" si="14"/>
        <v>292.32921120650479</v>
      </c>
      <c r="AR52" s="90">
        <f t="shared" si="15"/>
        <v>7.6999999999998181E-2</v>
      </c>
    </row>
    <row r="53" spans="1:44" x14ac:dyDescent="0.25">
      <c r="A53" t="str">
        <f t="shared" si="16"/>
        <v>46228E</v>
      </c>
      <c r="B53" s="51">
        <f t="shared" si="17"/>
        <v>46228</v>
      </c>
      <c r="C53" s="52" t="s">
        <v>88</v>
      </c>
      <c r="D53" s="91">
        <v>779.65</v>
      </c>
      <c r="E53" s="62">
        <v>3.97</v>
      </c>
      <c r="F53" s="62">
        <v>8.0500000000000007</v>
      </c>
      <c r="G53" s="62">
        <f t="shared" si="0"/>
        <v>30.952105</v>
      </c>
      <c r="H53" s="63">
        <f t="shared" si="1"/>
        <v>62.761825000000002</v>
      </c>
      <c r="I53" s="118">
        <v>1255.6000000000001</v>
      </c>
      <c r="J53" s="118">
        <v>1293.2680000000003</v>
      </c>
      <c r="K53" s="118">
        <v>3.941374641605607</v>
      </c>
      <c r="L53" s="118">
        <v>8.080407773176173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1293.2680000000003</v>
      </c>
      <c r="S53" s="62">
        <f t="shared" si="3"/>
        <v>50.97253700000001</v>
      </c>
      <c r="T53" s="63">
        <f t="shared" si="4"/>
        <v>104.50132800000006</v>
      </c>
      <c r="U53" s="64" t="s">
        <v>180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2072.92</v>
      </c>
      <c r="AI53" s="66">
        <v>3.95</v>
      </c>
      <c r="AJ53" s="66">
        <v>8.07</v>
      </c>
      <c r="AK53" s="62">
        <f t="shared" si="9"/>
        <v>81.880340000000004</v>
      </c>
      <c r="AL53" s="72">
        <f t="shared" si="10"/>
        <v>167.28464400000001</v>
      </c>
      <c r="AM53" s="73">
        <f t="shared" si="11"/>
        <v>-1.9999999999527063E-3</v>
      </c>
      <c r="AN53" s="74">
        <f t="shared" si="18"/>
        <v>4.430200000000184E-2</v>
      </c>
      <c r="AO53" s="74">
        <f t="shared" si="18"/>
        <v>-2.1490999999969063E-2</v>
      </c>
      <c r="AP53" s="75">
        <f t="shared" si="13"/>
        <v>1.4671919296553647E-4</v>
      </c>
      <c r="AQ53" s="76">
        <f t="shared" si="14"/>
        <v>14.852189695623895</v>
      </c>
      <c r="AR53" s="90">
        <f t="shared" si="15"/>
        <v>-1.9999999999527063E-3</v>
      </c>
    </row>
    <row r="54" spans="1:44" x14ac:dyDescent="0.25">
      <c r="A54" t="str">
        <f t="shared" si="16"/>
        <v>46229M</v>
      </c>
      <c r="B54" s="51">
        <f t="shared" si="17"/>
        <v>46229</v>
      </c>
      <c r="C54" s="52" t="s">
        <v>87</v>
      </c>
      <c r="D54" s="91">
        <v>2072.92</v>
      </c>
      <c r="E54" s="62">
        <v>3.95</v>
      </c>
      <c r="F54" s="62">
        <v>8.07</v>
      </c>
      <c r="G54" s="62">
        <f t="shared" si="0"/>
        <v>81.880340000000004</v>
      </c>
      <c r="H54" s="63">
        <f t="shared" si="1"/>
        <v>167.28464400000001</v>
      </c>
      <c r="I54" s="118">
        <v>322.09999999999997</v>
      </c>
      <c r="J54" s="118">
        <v>331.76299999999998</v>
      </c>
      <c r="K54" s="118">
        <v>4.7361999379074824</v>
      </c>
      <c r="L54" s="118">
        <v>8.2092828314188147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331.76299999999998</v>
      </c>
      <c r="S54" s="62">
        <f t="shared" si="3"/>
        <v>15.712959</v>
      </c>
      <c r="T54" s="63">
        <f t="shared" si="4"/>
        <v>27.235363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>
        <v>2404.6799999999998</v>
      </c>
      <c r="AI54" s="66">
        <v>4.0599999999999996</v>
      </c>
      <c r="AJ54" s="66">
        <v>8.09</v>
      </c>
      <c r="AK54" s="62">
        <f t="shared" si="9"/>
        <v>97.630007999999989</v>
      </c>
      <c r="AL54" s="72">
        <f t="shared" si="10"/>
        <v>194.53861199999997</v>
      </c>
      <c r="AM54" s="73">
        <f t="shared" si="11"/>
        <v>3.0000000001564331E-3</v>
      </c>
      <c r="AN54" s="74">
        <f t="shared" si="18"/>
        <v>-3.6708999999987668E-2</v>
      </c>
      <c r="AO54" s="74">
        <f t="shared" si="18"/>
        <v>-1.8604999999951133E-2</v>
      </c>
      <c r="AP54" s="75">
        <f t="shared" si="13"/>
        <v>-1.2879199331684904E-3</v>
      </c>
      <c r="AQ54" s="76">
        <f t="shared" si="14"/>
        <v>-23.211901115500513</v>
      </c>
      <c r="AR54" s="90">
        <f t="shared" si="15"/>
        <v>3.0000000001564331E-3</v>
      </c>
    </row>
    <row r="55" spans="1:44" x14ac:dyDescent="0.25">
      <c r="A55" t="str">
        <f t="shared" si="16"/>
        <v>46229E</v>
      </c>
      <c r="B55" s="51">
        <f t="shared" si="17"/>
        <v>46229</v>
      </c>
      <c r="C55" s="52" t="s">
        <v>88</v>
      </c>
      <c r="D55" s="91">
        <v>2404.6799999999998</v>
      </c>
      <c r="E55" s="62">
        <v>4.0599999999999996</v>
      </c>
      <c r="F55" s="62">
        <v>8.09</v>
      </c>
      <c r="G55" s="62">
        <f t="shared" si="0"/>
        <v>97.630007999999989</v>
      </c>
      <c r="H55" s="63">
        <f t="shared" si="1"/>
        <v>194.53861199999997</v>
      </c>
      <c r="I55" s="118">
        <v>1082.0999999999999</v>
      </c>
      <c r="J55" s="118">
        <v>1114.5629999999999</v>
      </c>
      <c r="K55" s="118">
        <v>3.7951205988355974</v>
      </c>
      <c r="L55" s="118">
        <v>7.944164125311894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2"/>
        <v>1114.5629999999999</v>
      </c>
      <c r="S55" s="62">
        <f t="shared" si="3"/>
        <v>42.299009999999996</v>
      </c>
      <c r="T55" s="63">
        <f t="shared" si="4"/>
        <v>88.542713999999989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>
        <v>3519.24</v>
      </c>
      <c r="AI55" s="66">
        <v>3.97</v>
      </c>
      <c r="AJ55" s="66">
        <v>8.0299999999999994</v>
      </c>
      <c r="AK55" s="62">
        <f t="shared" si="9"/>
        <v>139.71382799999998</v>
      </c>
      <c r="AL55" s="72">
        <f t="shared" si="10"/>
        <v>282.59497199999998</v>
      </c>
      <c r="AM55" s="73">
        <f t="shared" si="11"/>
        <v>2.9999999997016857E-3</v>
      </c>
      <c r="AN55" s="74">
        <f t="shared" si="18"/>
        <v>0.21519000000000688</v>
      </c>
      <c r="AO55" s="74">
        <f t="shared" si="18"/>
        <v>0.48635400000000573</v>
      </c>
      <c r="AP55" s="75">
        <f t="shared" si="13"/>
        <v>5.361775881216703E-3</v>
      </c>
      <c r="AQ55" s="76">
        <f t="shared" si="14"/>
        <v>249.06449189348422</v>
      </c>
      <c r="AR55" s="90">
        <f t="shared" si="15"/>
        <v>2.9999999997016857E-3</v>
      </c>
    </row>
    <row r="56" spans="1:44" x14ac:dyDescent="0.25">
      <c r="A56" t="str">
        <f t="shared" si="16"/>
        <v>46230M</v>
      </c>
      <c r="B56" s="51">
        <f t="shared" si="17"/>
        <v>46230</v>
      </c>
      <c r="C56" s="52" t="s">
        <v>87</v>
      </c>
      <c r="D56" s="91">
        <v>3519.24</v>
      </c>
      <c r="E56" s="62">
        <v>3.97</v>
      </c>
      <c r="F56" s="62">
        <v>8.0299999999999994</v>
      </c>
      <c r="G56" s="62">
        <f t="shared" si="0"/>
        <v>139.71382799999998</v>
      </c>
      <c r="H56" s="63">
        <f t="shared" si="1"/>
        <v>282.59497199999998</v>
      </c>
      <c r="I56" s="118">
        <v>335.70000000000005</v>
      </c>
      <c r="J56" s="118">
        <v>345.77100000000007</v>
      </c>
      <c r="K56" s="118">
        <v>4.9375633005659836</v>
      </c>
      <c r="L56" s="118">
        <v>8.2196901995829617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345.77100000000007</v>
      </c>
      <c r="S56" s="62">
        <f t="shared" si="3"/>
        <v>17.072662000000012</v>
      </c>
      <c r="T56" s="63">
        <f t="shared" si="4"/>
        <v>28.421305000000007</v>
      </c>
      <c r="U56" s="64" t="s">
        <v>170</v>
      </c>
      <c r="V56" s="65" t="s">
        <v>858</v>
      </c>
      <c r="W56" s="66" t="s">
        <v>272</v>
      </c>
      <c r="X56" s="67">
        <v>3900</v>
      </c>
      <c r="Y56" s="68">
        <v>4.2</v>
      </c>
      <c r="Z56" s="68">
        <v>8.0500000000000007</v>
      </c>
      <c r="AA56" s="62">
        <f t="shared" si="5"/>
        <v>163.80000000000001</v>
      </c>
      <c r="AB56" s="63">
        <f t="shared" si="6"/>
        <v>313.95</v>
      </c>
      <c r="AC56" s="69">
        <v>3850</v>
      </c>
      <c r="AD56" s="70">
        <v>4.2227272727272727</v>
      </c>
      <c r="AE56" s="70">
        <v>7.9490909090909083</v>
      </c>
      <c r="AF56" s="62">
        <f t="shared" si="7"/>
        <v>162.57499999999999</v>
      </c>
      <c r="AG56" s="63">
        <f t="shared" si="8"/>
        <v>306.03999999999996</v>
      </c>
      <c r="AH56" s="89">
        <v>0</v>
      </c>
      <c r="AI56" s="66">
        <v>0</v>
      </c>
      <c r="AJ56" s="66">
        <v>0</v>
      </c>
      <c r="AK56" s="62">
        <f t="shared" si="9"/>
        <v>0</v>
      </c>
      <c r="AL56" s="72">
        <f t="shared" si="10"/>
        <v>0</v>
      </c>
      <c r="AM56" s="73">
        <f t="shared" si="11"/>
        <v>15.010999999999967</v>
      </c>
      <c r="AN56" s="74">
        <f t="shared" si="18"/>
        <v>-5.7885100000000023</v>
      </c>
      <c r="AO56" s="74">
        <f t="shared" si="18"/>
        <v>4.9762770000000387</v>
      </c>
      <c r="AP56" s="75">
        <f t="shared" si="13"/>
        <v>-1.785364200048686E-2</v>
      </c>
      <c r="AQ56" s="76">
        <f t="shared" si="14"/>
        <v>-1291.2167901712432</v>
      </c>
      <c r="AR56" s="90">
        <f t="shared" si="15"/>
        <v>-34.989000000000033</v>
      </c>
    </row>
    <row r="57" spans="1:44" x14ac:dyDescent="0.25">
      <c r="A57" t="str">
        <f t="shared" si="16"/>
        <v>46230E</v>
      </c>
      <c r="B57" s="51">
        <f t="shared" si="17"/>
        <v>46230</v>
      </c>
      <c r="C57" s="52" t="s">
        <v>88</v>
      </c>
      <c r="D57" s="91">
        <v>0</v>
      </c>
      <c r="E57" s="62">
        <v>0</v>
      </c>
      <c r="F57" s="62">
        <v>0</v>
      </c>
      <c r="G57" s="62">
        <f t="shared" si="0"/>
        <v>0</v>
      </c>
      <c r="H57" s="63">
        <f t="shared" si="1"/>
        <v>0</v>
      </c>
      <c r="I57" s="118">
        <v>1107.2</v>
      </c>
      <c r="J57" s="118">
        <v>1140.4160000000002</v>
      </c>
      <c r="K57" s="118">
        <v>4.0656701589595379</v>
      </c>
      <c r="L57" s="118">
        <v>8.0122019508670554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1140.4160000000002</v>
      </c>
      <c r="S57" s="62">
        <f t="shared" si="3"/>
        <v>46.365553000000006</v>
      </c>
      <c r="T57" s="63">
        <f t="shared" si="4"/>
        <v>91.372433000000044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>
        <v>1140.4100000000001</v>
      </c>
      <c r="AI57" s="66">
        <v>4.07</v>
      </c>
      <c r="AJ57" s="66">
        <v>8.01</v>
      </c>
      <c r="AK57" s="62">
        <f t="shared" si="9"/>
        <v>46.414687000000001</v>
      </c>
      <c r="AL57" s="72">
        <f t="shared" si="10"/>
        <v>91.346841000000012</v>
      </c>
      <c r="AM57" s="73">
        <f t="shared" si="11"/>
        <v>6.0000000000854925E-3</v>
      </c>
      <c r="AN57" s="74">
        <f t="shared" si="18"/>
        <v>-4.9133999999995126E-2</v>
      </c>
      <c r="AO57" s="74">
        <f t="shared" si="18"/>
        <v>2.5592000000031589E-2</v>
      </c>
      <c r="AP57" s="75">
        <f t="shared" si="13"/>
        <v>-1.7091871809395799E-4</v>
      </c>
      <c r="AQ57" s="76">
        <f t="shared" si="14"/>
        <v>-15.945909969128444</v>
      </c>
      <c r="AR57" s="90">
        <f t="shared" si="15"/>
        <v>6.0000000000854925E-3</v>
      </c>
    </row>
    <row r="58" spans="1:44" x14ac:dyDescent="0.25">
      <c r="A58" t="str">
        <f t="shared" si="16"/>
        <v>46231M</v>
      </c>
      <c r="B58" s="51">
        <f t="shared" si="17"/>
        <v>46231</v>
      </c>
      <c r="C58" s="52" t="s">
        <v>87</v>
      </c>
      <c r="D58" s="91">
        <v>1140.4100000000001</v>
      </c>
      <c r="E58" s="62">
        <v>4.07</v>
      </c>
      <c r="F58" s="62">
        <v>8.01</v>
      </c>
      <c r="G58" s="62">
        <f t="shared" si="0"/>
        <v>46.414687000000001</v>
      </c>
      <c r="H58" s="63">
        <f t="shared" si="1"/>
        <v>91.346841000000012</v>
      </c>
      <c r="I58" s="118">
        <v>266.60000000000002</v>
      </c>
      <c r="J58" s="118">
        <v>274.59800000000001</v>
      </c>
      <c r="K58" s="118">
        <v>4.6886721680420109</v>
      </c>
      <c r="L58" s="118">
        <v>8.1384471117779444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274.59800000000001</v>
      </c>
      <c r="S58" s="62">
        <f t="shared" si="3"/>
        <v>12.875000000000002</v>
      </c>
      <c r="T58" s="63">
        <f t="shared" si="4"/>
        <v>22.348012999999998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>
        <v>1415.01</v>
      </c>
      <c r="AI58" s="66">
        <v>4.18</v>
      </c>
      <c r="AJ58" s="66">
        <v>8.0399999999999991</v>
      </c>
      <c r="AK58" s="62">
        <f t="shared" si="9"/>
        <v>59.147417999999995</v>
      </c>
      <c r="AL58" s="72">
        <f t="shared" si="10"/>
        <v>113.76680399999998</v>
      </c>
      <c r="AM58" s="73">
        <f t="shared" si="11"/>
        <v>-1.9999999999527063E-3</v>
      </c>
      <c r="AN58" s="74">
        <f t="shared" si="18"/>
        <v>0.14226900000000597</v>
      </c>
      <c r="AO58" s="74">
        <f t="shared" si="18"/>
        <v>-7.1949999999972647E-2</v>
      </c>
      <c r="AP58" s="75">
        <f t="shared" si="13"/>
        <v>1.996393664563373E-3</v>
      </c>
      <c r="AQ58" s="76">
        <f t="shared" si="14"/>
        <v>46.816500383110679</v>
      </c>
      <c r="AR58" s="90">
        <f t="shared" si="15"/>
        <v>-1.9999999999527063E-3</v>
      </c>
    </row>
    <row r="59" spans="1:44" x14ac:dyDescent="0.25">
      <c r="A59" t="str">
        <f t="shared" si="16"/>
        <v>46231E</v>
      </c>
      <c r="B59" s="51">
        <f t="shared" si="17"/>
        <v>46231</v>
      </c>
      <c r="C59" s="52" t="s">
        <v>88</v>
      </c>
      <c r="D59" s="91">
        <v>1415.01</v>
      </c>
      <c r="E59" s="62">
        <v>4.18</v>
      </c>
      <c r="F59" s="62">
        <v>8.0399999999999991</v>
      </c>
      <c r="G59" s="62">
        <f t="shared" si="0"/>
        <v>59.147417999999995</v>
      </c>
      <c r="H59" s="63">
        <f t="shared" si="1"/>
        <v>113.76680399999998</v>
      </c>
      <c r="I59" s="118">
        <v>808.9</v>
      </c>
      <c r="J59" s="118">
        <v>833.16700000000003</v>
      </c>
      <c r="K59" s="118">
        <v>3.8075287427370492</v>
      </c>
      <c r="L59" s="118">
        <v>7.9891457534923962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833.16700000000003</v>
      </c>
      <c r="S59" s="62">
        <f t="shared" si="3"/>
        <v>31.723072999999992</v>
      </c>
      <c r="T59" s="63">
        <f t="shared" si="4"/>
        <v>66.562926000000004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>
        <v>2248.1799999999998</v>
      </c>
      <c r="AI59" s="66">
        <v>4.04</v>
      </c>
      <c r="AJ59" s="66">
        <v>8.0299999999999994</v>
      </c>
      <c r="AK59" s="62">
        <f t="shared" si="9"/>
        <v>90.826471999999995</v>
      </c>
      <c r="AL59" s="72">
        <f t="shared" si="10"/>
        <v>180.52885399999997</v>
      </c>
      <c r="AM59" s="73">
        <f t="shared" si="11"/>
        <v>-2.9999999997016857E-3</v>
      </c>
      <c r="AN59" s="74">
        <f t="shared" si="18"/>
        <v>4.4018999999991593E-2</v>
      </c>
      <c r="AO59" s="74">
        <f t="shared" si="18"/>
        <v>-0.19912399999998343</v>
      </c>
      <c r="AP59" s="75">
        <f t="shared" si="13"/>
        <v>-1.5780986262345651E-3</v>
      </c>
      <c r="AQ59" s="76">
        <f t="shared" si="14"/>
        <v>-38.483303135279826</v>
      </c>
      <c r="AR59" s="90">
        <f t="shared" si="15"/>
        <v>-2.9999999997016857E-3</v>
      </c>
    </row>
    <row r="60" spans="1:44" x14ac:dyDescent="0.25">
      <c r="A60" t="str">
        <f t="shared" si="16"/>
        <v>46232M</v>
      </c>
      <c r="B60" s="51">
        <f t="shared" si="17"/>
        <v>46232</v>
      </c>
      <c r="C60" s="52" t="s">
        <v>87</v>
      </c>
      <c r="D60" s="91">
        <v>2248.1799999999998</v>
      </c>
      <c r="E60" s="62">
        <v>4.04</v>
      </c>
      <c r="F60" s="62">
        <v>8.0299999999999994</v>
      </c>
      <c r="G60" s="62">
        <f t="shared" si="0"/>
        <v>90.826471999999995</v>
      </c>
      <c r="H60" s="63">
        <f t="shared" si="1"/>
        <v>180.52885399999997</v>
      </c>
      <c r="I60" s="118">
        <v>239.4</v>
      </c>
      <c r="J60" s="118">
        <v>246.58200000000002</v>
      </c>
      <c r="K60" s="118">
        <v>4.9595238095238097</v>
      </c>
      <c r="L60" s="118">
        <v>8.1619883040935672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2"/>
        <v>246.58200000000002</v>
      </c>
      <c r="S60" s="62">
        <f t="shared" si="3"/>
        <v>12.229293</v>
      </c>
      <c r="T60" s="63">
        <f t="shared" si="4"/>
        <v>20.125994000000002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>
        <v>2494.7600000000002</v>
      </c>
      <c r="AI60" s="66">
        <v>4.13</v>
      </c>
      <c r="AJ60" s="66">
        <v>8.0399999999999991</v>
      </c>
      <c r="AK60" s="62">
        <f t="shared" si="9"/>
        <v>103.03358799999999</v>
      </c>
      <c r="AL60" s="72">
        <f t="shared" si="10"/>
        <v>200.57870399999999</v>
      </c>
      <c r="AM60" s="73">
        <f t="shared" si="11"/>
        <v>1.9999999994979589E-3</v>
      </c>
      <c r="AN60" s="74">
        <f t="shared" si="18"/>
        <v>2.2176999999999225E-2</v>
      </c>
      <c r="AO60" s="74">
        <f t="shared" si="18"/>
        <v>7.6143999999970902E-2</v>
      </c>
      <c r="AP60" s="75">
        <f t="shared" si="13"/>
        <v>3.0387923927230227E-3</v>
      </c>
      <c r="AQ60" s="76">
        <f t="shared" si="14"/>
        <v>33.461220409271654</v>
      </c>
      <c r="AR60" s="90">
        <f t="shared" si="15"/>
        <v>1.9999999994979589E-3</v>
      </c>
    </row>
    <row r="61" spans="1:44" x14ac:dyDescent="0.25">
      <c r="A61" t="str">
        <f t="shared" si="16"/>
        <v>46232E</v>
      </c>
      <c r="B61" s="51">
        <f t="shared" si="17"/>
        <v>46232</v>
      </c>
      <c r="C61" s="52" t="s">
        <v>88</v>
      </c>
      <c r="D61" s="91">
        <v>2494.7600000000002</v>
      </c>
      <c r="E61" s="62">
        <v>4.13</v>
      </c>
      <c r="F61" s="62">
        <v>8.0399999999999991</v>
      </c>
      <c r="G61" s="62">
        <f t="shared" si="0"/>
        <v>103.03358799999999</v>
      </c>
      <c r="H61" s="63">
        <f t="shared" si="1"/>
        <v>200.57870399999999</v>
      </c>
      <c r="I61" s="118">
        <v>1071.2</v>
      </c>
      <c r="J61" s="118">
        <v>1103.336</v>
      </c>
      <c r="K61" s="118">
        <v>3.8860343539955191</v>
      </c>
      <c r="L61" s="118">
        <v>8.0753080657206837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1103.336</v>
      </c>
      <c r="S61" s="62">
        <f t="shared" si="3"/>
        <v>42.876016</v>
      </c>
      <c r="T61" s="63">
        <f t="shared" si="4"/>
        <v>89.097780999999955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>
        <v>3598.09</v>
      </c>
      <c r="AI61" s="66">
        <v>4.05</v>
      </c>
      <c r="AJ61" s="66">
        <v>8.0500000000000007</v>
      </c>
      <c r="AK61" s="62">
        <f t="shared" si="9"/>
        <v>145.722645</v>
      </c>
      <c r="AL61" s="72">
        <f t="shared" si="10"/>
        <v>289.64624500000002</v>
      </c>
      <c r="AM61" s="73">
        <f t="shared" si="11"/>
        <v>6.0000000003128662E-3</v>
      </c>
      <c r="AN61" s="74">
        <f t="shared" si="18"/>
        <v>0.18695900000000165</v>
      </c>
      <c r="AO61" s="74">
        <f t="shared" si="18"/>
        <v>3.0239999999935208E-2</v>
      </c>
      <c r="AP61" s="75">
        <f t="shared" si="13"/>
        <v>1.6457736682376194E-3</v>
      </c>
      <c r="AQ61" s="76">
        <f t="shared" si="14"/>
        <v>98.896495135239704</v>
      </c>
      <c r="AR61" s="90">
        <f t="shared" si="15"/>
        <v>6.0000000003128662E-3</v>
      </c>
    </row>
    <row r="62" spans="1:44" x14ac:dyDescent="0.25">
      <c r="A62" t="str">
        <f t="shared" si="16"/>
        <v>46233M</v>
      </c>
      <c r="B62" s="51">
        <f t="shared" si="17"/>
        <v>46233</v>
      </c>
      <c r="C62" s="52" t="s">
        <v>87</v>
      </c>
      <c r="D62" s="91">
        <v>3598.09</v>
      </c>
      <c r="E62" s="62">
        <v>4.05</v>
      </c>
      <c r="F62" s="62">
        <v>8.0500000000000007</v>
      </c>
      <c r="G62" s="62">
        <f t="shared" si="0"/>
        <v>145.722645</v>
      </c>
      <c r="H62" s="63">
        <f t="shared" si="1"/>
        <v>289.64624500000002</v>
      </c>
      <c r="I62" s="118">
        <v>335.60000000000008</v>
      </c>
      <c r="J62" s="118">
        <v>345.66800000000006</v>
      </c>
      <c r="K62" s="118">
        <v>4.7112634088200256</v>
      </c>
      <c r="L62" s="118">
        <v>8.2636471990464866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345.66800000000006</v>
      </c>
      <c r="S62" s="62">
        <f t="shared" si="3"/>
        <v>16.285330000000009</v>
      </c>
      <c r="T62" s="63">
        <f t="shared" si="4"/>
        <v>28.564784000000014</v>
      </c>
      <c r="U62" s="64" t="s">
        <v>180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>
        <v>3943.75</v>
      </c>
      <c r="AI62" s="66">
        <v>4.1100000000000003</v>
      </c>
      <c r="AJ62" s="66">
        <v>8.07</v>
      </c>
      <c r="AK62" s="62">
        <f t="shared" si="9"/>
        <v>162.08812500000002</v>
      </c>
      <c r="AL62" s="72">
        <f t="shared" si="10"/>
        <v>318.260625</v>
      </c>
      <c r="AM62" s="73">
        <f t="shared" si="11"/>
        <v>8.0000000002655725E-3</v>
      </c>
      <c r="AN62" s="74">
        <f t="shared" si="18"/>
        <v>-8.0150000000003274E-2</v>
      </c>
      <c r="AO62" s="74">
        <f t="shared" si="18"/>
        <v>-4.9595999999951346E-2</v>
      </c>
      <c r="AP62" s="75">
        <f t="shared" si="13"/>
        <v>-2.8928800493116819E-3</v>
      </c>
      <c r="AQ62" s="76">
        <f t="shared" si="14"/>
        <v>-53.368244067064822</v>
      </c>
      <c r="AR62" s="90">
        <f t="shared" si="15"/>
        <v>8.0000000002655725E-3</v>
      </c>
    </row>
    <row r="63" spans="1:44" x14ac:dyDescent="0.25">
      <c r="A63" t="str">
        <f t="shared" si="16"/>
        <v>46233E</v>
      </c>
      <c r="B63" s="51">
        <f t="shared" si="17"/>
        <v>46233</v>
      </c>
      <c r="C63" s="52" t="s">
        <v>88</v>
      </c>
      <c r="D63" s="91">
        <v>3943.75</v>
      </c>
      <c r="E63" s="62">
        <v>4.1100000000000003</v>
      </c>
      <c r="F63" s="62">
        <v>8.07</v>
      </c>
      <c r="G63" s="62">
        <f t="shared" si="0"/>
        <v>162.08812500000002</v>
      </c>
      <c r="H63" s="63">
        <f t="shared" si="1"/>
        <v>318.260625</v>
      </c>
      <c r="I63" s="118">
        <v>1003.1000000000001</v>
      </c>
      <c r="J63" s="118">
        <v>1033.1930000000002</v>
      </c>
      <c r="K63" s="118">
        <v>3.8928421892134377</v>
      </c>
      <c r="L63" s="118">
        <v>8.1665237762934879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1033.1930000000002</v>
      </c>
      <c r="S63" s="62">
        <f t="shared" si="3"/>
        <v>40.220573000000002</v>
      </c>
      <c r="T63" s="63">
        <f t="shared" si="4"/>
        <v>84.375951999999998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>
        <v>4976.9399999999996</v>
      </c>
      <c r="AI63" s="66">
        <v>4.0599999999999996</v>
      </c>
      <c r="AJ63" s="66">
        <v>8.09</v>
      </c>
      <c r="AK63" s="62">
        <f t="shared" si="9"/>
        <v>202.06376399999996</v>
      </c>
      <c r="AL63" s="72">
        <f t="shared" si="10"/>
        <v>402.63444599999997</v>
      </c>
      <c r="AM63" s="73">
        <f t="shared" si="11"/>
        <v>3.0000000006111804E-3</v>
      </c>
      <c r="AN63" s="74">
        <f t="shared" si="18"/>
        <v>0.24493400000005749</v>
      </c>
      <c r="AO63" s="74">
        <f t="shared" si="18"/>
        <v>2.131000000019867E-3</v>
      </c>
      <c r="AP63" s="75">
        <f t="shared" si="13"/>
        <v>1.982920470695931E-3</v>
      </c>
      <c r="AQ63" s="76">
        <f t="shared" si="14"/>
        <v>118.33697425500155</v>
      </c>
      <c r="AR63" s="90">
        <v>0</v>
      </c>
    </row>
    <row r="64" spans="1:44" x14ac:dyDescent="0.25">
      <c r="A64" t="str">
        <f t="shared" si="16"/>
        <v>46234M</v>
      </c>
      <c r="B64" s="51">
        <f t="shared" si="17"/>
        <v>46234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8"/>
      <c r="J64" s="118"/>
      <c r="K64" s="118"/>
      <c r="L64" s="118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46234E</v>
      </c>
      <c r="B65" s="51">
        <f t="shared" si="17"/>
        <v>46234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8"/>
      <c r="J65" s="118"/>
      <c r="K65" s="118"/>
      <c r="L65" s="118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39899.542600000001</v>
      </c>
      <c r="R66" s="83">
        <f>SUM(R4:R65)</f>
        <v>39899.542600000001</v>
      </c>
      <c r="S66" s="83">
        <f t="shared" ref="S66:T66" si="19">SUM(S4:S65)</f>
        <v>1613.0085104000002</v>
      </c>
      <c r="T66" s="83">
        <f t="shared" si="19"/>
        <v>3201.3779787999993</v>
      </c>
      <c r="AH66" s="90"/>
      <c r="AI66" s="77"/>
      <c r="AJ66" s="77"/>
      <c r="AM66" s="83">
        <f>-SUM(AM4:AM65)</f>
        <v>243.90739999999914</v>
      </c>
      <c r="AN66" s="83">
        <f>-SUM(AN4:AN65)</f>
        <v>1.7720495999999724</v>
      </c>
      <c r="AO66" s="83">
        <f>-SUM(AO4:AO65)</f>
        <v>4.0106261999998978</v>
      </c>
      <c r="AQ66" s="126">
        <f>-SUM(AQ4:AQ65)</f>
        <v>2052.674348936474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3">
        <v>4640</v>
      </c>
      <c r="W69" s="194">
        <v>4.9000000000000004</v>
      </c>
      <c r="X69" s="194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9" priority="2" operator="lessThan">
      <formula>0.1</formula>
    </cfRule>
    <cfRule type="cellIs" dxfId="68" priority="3" operator="greaterThan">
      <formula>0.1</formula>
    </cfRule>
  </conditionalFormatting>
  <conditionalFormatting sqref="AP1:AQ1">
    <cfRule type="cellIs" dxfId="67" priority="1" operator="lessThan">
      <formula>1</formula>
    </cfRule>
  </conditionalFormatting>
  <conditionalFormatting sqref="AQ4:AQ65">
    <cfRule type="cellIs" dxfId="66" priority="4" operator="lessThan">
      <formula>0</formula>
    </cfRule>
    <cfRule type="cellIs" dxfId="65" priority="5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66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V62" sqref="V62"/>
    </sheetView>
  </sheetViews>
  <sheetFormatPr defaultColWidth="8.85546875" defaultRowHeight="12.75" x14ac:dyDescent="0.2"/>
  <cols>
    <col min="1" max="1" width="4.42578125" style="148" customWidth="1"/>
    <col min="2" max="2" width="9.7109375" style="189" customWidth="1"/>
    <col min="3" max="3" width="5" style="148" bestFit="1" customWidth="1"/>
    <col min="4" max="4" width="8.140625" style="148" bestFit="1" customWidth="1"/>
    <col min="5" max="5" width="5.28515625" style="148" bestFit="1" customWidth="1"/>
    <col min="6" max="6" width="5.140625" style="148" bestFit="1" customWidth="1"/>
    <col min="7" max="7" width="7.140625" style="148" bestFit="1" customWidth="1"/>
    <col min="8" max="8" width="8.140625" style="148" bestFit="1" customWidth="1"/>
    <col min="9" max="9" width="7.140625" style="148" bestFit="1" customWidth="1"/>
    <col min="10" max="10" width="9.28515625" style="148" bestFit="1" customWidth="1"/>
    <col min="11" max="11" width="5.28515625" style="148" bestFit="1" customWidth="1"/>
    <col min="12" max="12" width="5.140625" style="148" bestFit="1" customWidth="1"/>
    <col min="13" max="13" width="5.5703125" style="148" bestFit="1" customWidth="1"/>
    <col min="14" max="14" width="9.5703125" style="148" bestFit="1" customWidth="1"/>
    <col min="15" max="15" width="6.42578125" style="148" bestFit="1" customWidth="1"/>
    <col min="16" max="16" width="5.28515625" style="148" bestFit="1" customWidth="1"/>
    <col min="17" max="17" width="5.140625" style="148" bestFit="1" customWidth="1"/>
    <col min="18" max="20" width="7.140625" style="148" bestFit="1" customWidth="1"/>
    <col min="21" max="21" width="7" style="148" bestFit="1" customWidth="1"/>
    <col min="22" max="22" width="7.7109375" style="148" bestFit="1" customWidth="1"/>
    <col min="23" max="23" width="11.42578125" style="148" bestFit="1" customWidth="1"/>
    <col min="24" max="24" width="6.7109375" style="148" bestFit="1" customWidth="1"/>
    <col min="25" max="25" width="5.28515625" style="148" bestFit="1" customWidth="1"/>
    <col min="26" max="26" width="5.140625" style="148" bestFit="1" customWidth="1"/>
    <col min="27" max="28" width="8.140625" style="148" bestFit="1" customWidth="1"/>
    <col min="29" max="29" width="9.28515625" style="148" bestFit="1" customWidth="1"/>
    <col min="30" max="30" width="5.28515625" style="148" bestFit="1" customWidth="1"/>
    <col min="31" max="31" width="5.140625" style="148" bestFit="1" customWidth="1"/>
    <col min="32" max="33" width="8.140625" style="148" bestFit="1" customWidth="1"/>
    <col min="34" max="34" width="8.5703125" style="148" bestFit="1" customWidth="1"/>
    <col min="35" max="35" width="5.28515625" style="148" bestFit="1" customWidth="1"/>
    <col min="36" max="36" width="5.140625" style="148" bestFit="1" customWidth="1"/>
    <col min="37" max="37" width="7.140625" style="148" bestFit="1" customWidth="1"/>
    <col min="38" max="38" width="8.140625" style="148" bestFit="1" customWidth="1"/>
    <col min="39" max="39" width="6.7109375" style="148" bestFit="1" customWidth="1"/>
    <col min="40" max="40" width="6.42578125" style="148" bestFit="1" customWidth="1"/>
    <col min="41" max="41" width="6.5703125" style="148" bestFit="1" customWidth="1"/>
    <col min="42" max="42" width="8.5703125" style="148" bestFit="1" customWidth="1"/>
    <col min="43" max="43" width="12" style="148" bestFit="1" customWidth="1"/>
    <col min="44" max="44" width="5" style="148" bestFit="1" customWidth="1"/>
    <col min="45" max="45" width="8.7109375" style="148" bestFit="1" customWidth="1"/>
    <col min="46" max="16384" width="8.85546875" style="148"/>
  </cols>
  <sheetData>
    <row r="1" spans="1:44" ht="13.5" thickBot="1" x14ac:dyDescent="0.25">
      <c r="B1" s="149" t="s">
        <v>108</v>
      </c>
      <c r="C1" s="150"/>
      <c r="AP1" s="210">
        <f>Sumarry!K17</f>
        <v>480.53254642564531</v>
      </c>
      <c r="AQ1" s="210">
        <f>Sumarry!L17</f>
        <v>299.49109748895779</v>
      </c>
    </row>
    <row r="2" spans="1:44" x14ac:dyDescent="0.2">
      <c r="B2" s="270" t="s">
        <v>64</v>
      </c>
      <c r="C2" s="272" t="s">
        <v>65</v>
      </c>
      <c r="D2" s="274" t="s">
        <v>66</v>
      </c>
      <c r="E2" s="274"/>
      <c r="F2" s="274"/>
      <c r="G2" s="274"/>
      <c r="H2" s="275"/>
      <c r="I2" s="276" t="s">
        <v>67</v>
      </c>
      <c r="J2" s="276"/>
      <c r="K2" s="267"/>
      <c r="L2" s="267"/>
      <c r="M2" s="276" t="s">
        <v>68</v>
      </c>
      <c r="N2" s="276"/>
      <c r="O2" s="267"/>
      <c r="P2" s="267"/>
      <c r="Q2" s="268"/>
      <c r="R2" s="276" t="s">
        <v>69</v>
      </c>
      <c r="S2" s="267"/>
      <c r="T2" s="268"/>
      <c r="U2" s="263" t="s">
        <v>70</v>
      </c>
      <c r="V2" s="264"/>
      <c r="W2" s="264"/>
      <c r="X2" s="264"/>
      <c r="Y2" s="264"/>
      <c r="Z2" s="264"/>
      <c r="AA2" s="264"/>
      <c r="AB2" s="265"/>
      <c r="AC2" s="266" t="s">
        <v>71</v>
      </c>
      <c r="AD2" s="267"/>
      <c r="AE2" s="267"/>
      <c r="AF2" s="267"/>
      <c r="AG2" s="268"/>
      <c r="AH2" s="266" t="s">
        <v>72</v>
      </c>
      <c r="AI2" s="267"/>
      <c r="AJ2" s="267"/>
      <c r="AK2" s="267"/>
      <c r="AL2" s="269"/>
      <c r="AM2" s="263" t="s">
        <v>73</v>
      </c>
      <c r="AN2" s="264"/>
      <c r="AO2" s="264"/>
      <c r="AP2" s="264"/>
      <c r="AQ2" s="265"/>
    </row>
    <row r="3" spans="1:44" ht="15.6" customHeight="1" x14ac:dyDescent="0.2">
      <c r="B3" s="271"/>
      <c r="C3" s="273"/>
      <c r="D3" s="151" t="s">
        <v>74</v>
      </c>
      <c r="E3" s="151" t="s">
        <v>75</v>
      </c>
      <c r="F3" s="151" t="s">
        <v>76</v>
      </c>
      <c r="G3" s="151" t="s">
        <v>77</v>
      </c>
      <c r="H3" s="152" t="s">
        <v>8</v>
      </c>
      <c r="I3" s="152" t="s">
        <v>78</v>
      </c>
      <c r="J3" s="152" t="s">
        <v>79</v>
      </c>
      <c r="K3" s="152" t="s">
        <v>75</v>
      </c>
      <c r="L3" s="152" t="s">
        <v>76</v>
      </c>
      <c r="M3" s="153" t="s">
        <v>80</v>
      </c>
      <c r="N3" s="153" t="s">
        <v>81</v>
      </c>
      <c r="O3" s="151" t="s">
        <v>79</v>
      </c>
      <c r="P3" s="151" t="s">
        <v>75</v>
      </c>
      <c r="Q3" s="152" t="s">
        <v>76</v>
      </c>
      <c r="R3" s="153" t="s">
        <v>79</v>
      </c>
      <c r="S3" s="151" t="s">
        <v>77</v>
      </c>
      <c r="T3" s="152" t="s">
        <v>8</v>
      </c>
      <c r="U3" s="154" t="s">
        <v>82</v>
      </c>
      <c r="V3" s="151" t="s">
        <v>83</v>
      </c>
      <c r="W3" s="151" t="s">
        <v>84</v>
      </c>
      <c r="X3" s="151" t="s">
        <v>85</v>
      </c>
      <c r="Y3" s="151" t="s">
        <v>75</v>
      </c>
      <c r="Z3" s="151" t="s">
        <v>76</v>
      </c>
      <c r="AA3" s="151" t="s">
        <v>77</v>
      </c>
      <c r="AB3" s="152" t="s">
        <v>8</v>
      </c>
      <c r="AC3" s="154" t="s">
        <v>85</v>
      </c>
      <c r="AD3" s="151" t="s">
        <v>75</v>
      </c>
      <c r="AE3" s="151" t="s">
        <v>76</v>
      </c>
      <c r="AF3" s="151" t="s">
        <v>77</v>
      </c>
      <c r="AG3" s="152" t="s">
        <v>8</v>
      </c>
      <c r="AH3" s="154" t="s">
        <v>85</v>
      </c>
      <c r="AI3" s="151" t="s">
        <v>75</v>
      </c>
      <c r="AJ3" s="151" t="s">
        <v>76</v>
      </c>
      <c r="AK3" s="151" t="s">
        <v>77</v>
      </c>
      <c r="AL3" s="155" t="s">
        <v>8</v>
      </c>
      <c r="AM3" s="154" t="s">
        <v>85</v>
      </c>
      <c r="AN3" s="151" t="s">
        <v>77</v>
      </c>
      <c r="AO3" s="151" t="s">
        <v>8</v>
      </c>
      <c r="AP3" s="151" t="s">
        <v>86</v>
      </c>
      <c r="AQ3" s="156" t="s">
        <v>11</v>
      </c>
    </row>
    <row r="4" spans="1:44" ht="15" x14ac:dyDescent="0.25">
      <c r="A4" s="148" t="str">
        <f>CONCATENATE(B4,C4)</f>
        <v>46204M</v>
      </c>
      <c r="B4" s="51">
        <v>46204</v>
      </c>
      <c r="C4" s="157" t="s">
        <v>87</v>
      </c>
      <c r="D4" s="195">
        <v>7296.5</v>
      </c>
      <c r="E4" s="88">
        <v>4.51</v>
      </c>
      <c r="F4" s="88">
        <v>8.41</v>
      </c>
      <c r="G4" s="169">
        <f t="shared" ref="G4" si="0">+D4*E4%</f>
        <v>329.07215000000002</v>
      </c>
      <c r="H4" s="170">
        <f t="shared" ref="H4" si="1">+D4*F4%</f>
        <v>613.63565000000006</v>
      </c>
      <c r="I4" s="160">
        <v>3193.8999999999996</v>
      </c>
      <c r="J4" s="161">
        <v>3289.7169999999996</v>
      </c>
      <c r="K4" s="162">
        <v>5.0705563730861964</v>
      </c>
      <c r="L4" s="163">
        <v>8.438401327530606</v>
      </c>
      <c r="M4" s="164">
        <v>0</v>
      </c>
      <c r="N4" s="164">
        <v>0</v>
      </c>
      <c r="O4" s="165">
        <v>0</v>
      </c>
      <c r="P4" s="166">
        <v>0</v>
      </c>
      <c r="Q4" s="167">
        <v>0</v>
      </c>
      <c r="R4" s="168">
        <f>+J4+O4</f>
        <v>3289.7169999999996</v>
      </c>
      <c r="S4" s="169">
        <f t="shared" ref="S4" si="2">+J4*K4%+O4*P4%</f>
        <v>166.80695500000002</v>
      </c>
      <c r="T4" s="170">
        <f t="shared" ref="T4" si="3">+J4*L4%+O4*Q4%</f>
        <v>277.59952300000003</v>
      </c>
      <c r="U4" s="171" t="s">
        <v>194</v>
      </c>
      <c r="V4" s="172" t="s">
        <v>232</v>
      </c>
      <c r="W4" s="159" t="s">
        <v>181</v>
      </c>
      <c r="X4" s="173">
        <v>10730</v>
      </c>
      <c r="Y4" s="174">
        <v>4.82</v>
      </c>
      <c r="Z4" s="174">
        <v>8.4</v>
      </c>
      <c r="AA4" s="62">
        <f>X4*Y4%</f>
        <v>517.18600000000004</v>
      </c>
      <c r="AB4" s="63">
        <f t="shared" ref="AB4" si="4">X4*Z4%</f>
        <v>901.32</v>
      </c>
      <c r="AC4" s="175">
        <v>10720</v>
      </c>
      <c r="AD4" s="176">
        <v>4.8284514925373143</v>
      </c>
      <c r="AE4" s="176">
        <v>8.4059328358208969</v>
      </c>
      <c r="AF4" s="169">
        <f t="shared" ref="AF4" si="5">AC4*AD4%</f>
        <v>517.61</v>
      </c>
      <c r="AG4" s="170">
        <f t="shared" ref="AG4" si="6">AC4*AE4%</f>
        <v>901.1160000000001</v>
      </c>
      <c r="AH4" s="177">
        <v>0</v>
      </c>
      <c r="AI4" s="159">
        <v>0</v>
      </c>
      <c r="AJ4" s="159">
        <v>0</v>
      </c>
      <c r="AK4" s="169">
        <f t="shared" ref="AK4:AK5" si="7">AH4*AI4%</f>
        <v>0</v>
      </c>
      <c r="AL4" s="178">
        <f t="shared" ref="AL4:AL5" si="8">AH4*AJ4%</f>
        <v>0</v>
      </c>
      <c r="AM4" s="179">
        <f t="shared" ref="AM4" si="9">+D4+R4-AC4-AH4</f>
        <v>-133.78299999999945</v>
      </c>
      <c r="AN4" s="180">
        <f t="shared" ref="AN4" si="10">+G4+S4-AF4-AK4</f>
        <v>-21.730894999999975</v>
      </c>
      <c r="AO4" s="180">
        <f t="shared" ref="AO4" si="11">+H4+T4-AG4-AL4</f>
        <v>-9.8808270000000675</v>
      </c>
      <c r="AP4" s="181">
        <f t="shared" ref="AP4" si="12">(AN4+AO4)/(S4+T4)</f>
        <v>-7.1132450954056611E-2</v>
      </c>
      <c r="AQ4" s="76">
        <f t="shared" ref="AQ4:AQ65" si="13">($AP$1*AN4+$AQ$1*AO4)</f>
        <v>-13401.622032786858</v>
      </c>
      <c r="AR4" s="182">
        <f t="shared" ref="AR4" si="14">(D4+J4+O4)-(X4+AH4)</f>
        <v>-143.78299999999945</v>
      </c>
    </row>
    <row r="5" spans="1:44" ht="15" x14ac:dyDescent="0.25">
      <c r="A5" s="148" t="str">
        <f t="shared" ref="A5:A65" si="15">CONCATENATE(B5,C5)</f>
        <v>46204E</v>
      </c>
      <c r="B5" s="51">
        <f>+B4</f>
        <v>46204</v>
      </c>
      <c r="C5" s="157" t="s">
        <v>88</v>
      </c>
      <c r="D5" s="11">
        <v>0</v>
      </c>
      <c r="E5" s="169">
        <v>0</v>
      </c>
      <c r="F5" s="169">
        <v>0</v>
      </c>
      <c r="G5" s="169">
        <f t="shared" ref="G5:G65" si="16">+D5*E5%</f>
        <v>0</v>
      </c>
      <c r="H5" s="170">
        <f t="shared" ref="H5:H65" si="17">+D5*F5%</f>
        <v>0</v>
      </c>
      <c r="I5" s="160">
        <v>8152.9499999999971</v>
      </c>
      <c r="J5" s="161">
        <v>8397.5384999999969</v>
      </c>
      <c r="K5" s="162">
        <v>4.4682881656332984</v>
      </c>
      <c r="L5" s="163">
        <v>8.4097940009444443</v>
      </c>
      <c r="M5" s="164">
        <v>0</v>
      </c>
      <c r="N5" s="164">
        <v>0</v>
      </c>
      <c r="O5" s="165">
        <v>0</v>
      </c>
      <c r="P5" s="166">
        <v>0</v>
      </c>
      <c r="Q5" s="167">
        <v>0</v>
      </c>
      <c r="R5" s="168">
        <f t="shared" ref="R5:R65" si="18">+J5+O5</f>
        <v>8397.5384999999969</v>
      </c>
      <c r="S5" s="169">
        <f t="shared" ref="S5:S65" si="19">+J5*K5%+O5*P5%</f>
        <v>375.22621899999984</v>
      </c>
      <c r="T5" s="170">
        <f t="shared" ref="T5:T65" si="20">+J5*L5%+O5*Q5%</f>
        <v>706.21568899999977</v>
      </c>
      <c r="U5" s="171" t="s">
        <v>167</v>
      </c>
      <c r="V5" s="172" t="s">
        <v>167</v>
      </c>
      <c r="W5" s="159">
        <v>0</v>
      </c>
      <c r="X5" s="173">
        <v>0</v>
      </c>
      <c r="Y5" s="174">
        <v>0</v>
      </c>
      <c r="Z5" s="174">
        <v>0</v>
      </c>
      <c r="AA5" s="62">
        <f t="shared" ref="AA5:AA11" si="21">X5*Y5%</f>
        <v>0</v>
      </c>
      <c r="AB5" s="63">
        <f t="shared" ref="AB5:AB11" si="22">X5*Z5%</f>
        <v>0</v>
      </c>
      <c r="AC5" s="175"/>
      <c r="AD5" s="176"/>
      <c r="AE5" s="176"/>
      <c r="AF5" s="169">
        <f t="shared" ref="AF5:AF65" si="23">AC5*AD5%</f>
        <v>0</v>
      </c>
      <c r="AG5" s="170">
        <f t="shared" ref="AG5:AG65" si="24">AC5*AE5%</f>
        <v>0</v>
      </c>
      <c r="AH5" s="183">
        <v>8397.4</v>
      </c>
      <c r="AI5" s="159">
        <v>4.47</v>
      </c>
      <c r="AJ5" s="159">
        <v>8.41</v>
      </c>
      <c r="AK5" s="169">
        <f t="shared" si="7"/>
        <v>375.36377999999996</v>
      </c>
      <c r="AL5" s="178">
        <f t="shared" si="8"/>
        <v>706.22134000000005</v>
      </c>
      <c r="AM5" s="179">
        <f t="shared" ref="AM5" si="25">+D5+R5-AC5-AH5</f>
        <v>0.13849999999729334</v>
      </c>
      <c r="AN5" s="180">
        <f t="shared" ref="AN5" si="26">+G5+S5-AF5-AK5</f>
        <v>-0.13756100000011884</v>
      </c>
      <c r="AO5" s="180">
        <f t="shared" ref="AO5" si="27">+H5+T5-AG5-AL5</f>
        <v>-5.6510000002845118E-3</v>
      </c>
      <c r="AP5" s="181">
        <f t="shared" ref="AP5:AP61" si="28">(AN5+AO5)/(S5+T5)</f>
        <v>-1.3242690054915404E-4</v>
      </c>
      <c r="AQ5" s="76">
        <f t="shared" si="13"/>
        <v>-67.794961810910621</v>
      </c>
      <c r="AR5" s="182">
        <f t="shared" ref="AR5:AR65" si="29">(D5+J5+O5)-(X5+AH5)</f>
        <v>0.13849999999729334</v>
      </c>
    </row>
    <row r="6" spans="1:44" ht="15" x14ac:dyDescent="0.25">
      <c r="A6" s="148" t="str">
        <f t="shared" si="15"/>
        <v>46205M</v>
      </c>
      <c r="B6" s="51">
        <f>+B4+1</f>
        <v>46205</v>
      </c>
      <c r="C6" s="157" t="s">
        <v>87</v>
      </c>
      <c r="D6" s="184">
        <v>8397.4</v>
      </c>
      <c r="E6" s="169">
        <v>4.47</v>
      </c>
      <c r="F6" s="169">
        <v>8.41</v>
      </c>
      <c r="G6" s="169">
        <f t="shared" si="16"/>
        <v>375.36377999999996</v>
      </c>
      <c r="H6" s="170">
        <f t="shared" si="17"/>
        <v>706.22134000000005</v>
      </c>
      <c r="I6" s="160">
        <v>3780.7499999999995</v>
      </c>
      <c r="J6" s="161">
        <v>3894.1724999999997</v>
      </c>
      <c r="K6" s="162">
        <v>5.0678251669642265</v>
      </c>
      <c r="L6" s="163">
        <v>8.4774211465978979</v>
      </c>
      <c r="M6" s="164">
        <v>0</v>
      </c>
      <c r="N6" s="164">
        <v>0</v>
      </c>
      <c r="O6" s="165">
        <v>0</v>
      </c>
      <c r="P6" s="166">
        <v>0</v>
      </c>
      <c r="Q6" s="167">
        <v>0</v>
      </c>
      <c r="R6" s="168">
        <f t="shared" si="18"/>
        <v>3894.1724999999997</v>
      </c>
      <c r="S6" s="169">
        <f t="shared" si="19"/>
        <v>197.34985399999999</v>
      </c>
      <c r="T6" s="170">
        <f t="shared" si="20"/>
        <v>330.12540300000001</v>
      </c>
      <c r="U6" s="171" t="s">
        <v>194</v>
      </c>
      <c r="V6" s="172" t="s">
        <v>233</v>
      </c>
      <c r="W6" s="159" t="s">
        <v>187</v>
      </c>
      <c r="X6" s="173">
        <v>12830</v>
      </c>
      <c r="Y6" s="174">
        <v>4.6399999999999997</v>
      </c>
      <c r="Z6" s="174">
        <v>8.42</v>
      </c>
      <c r="AA6" s="62">
        <f t="shared" si="21"/>
        <v>595.31200000000001</v>
      </c>
      <c r="AB6" s="63">
        <f t="shared" si="22"/>
        <v>1080.2860000000001</v>
      </c>
      <c r="AC6" s="175">
        <v>12840</v>
      </c>
      <c r="AD6" s="176">
        <v>4.6500000000000004</v>
      </c>
      <c r="AE6" s="176">
        <v>8.5567601246105944</v>
      </c>
      <c r="AF6" s="169">
        <f t="shared" si="23"/>
        <v>597.06000000000006</v>
      </c>
      <c r="AG6" s="170">
        <f t="shared" si="24"/>
        <v>1098.6880000000003</v>
      </c>
      <c r="AH6" s="183">
        <v>682.8</v>
      </c>
      <c r="AI6" s="159">
        <v>4.6399999999999997</v>
      </c>
      <c r="AJ6" s="159">
        <v>8.42</v>
      </c>
      <c r="AK6" s="169">
        <f t="shared" ref="AK6:AK65" si="30">AH6*AI6%</f>
        <v>31.681919999999995</v>
      </c>
      <c r="AL6" s="178">
        <f t="shared" ref="AL6:AL65" si="31">AH6*AJ6%</f>
        <v>57.491759999999992</v>
      </c>
      <c r="AM6" s="179">
        <f t="shared" ref="AM6:AM65" si="32">+D6+R6-AC6-AH6</f>
        <v>-1231.2275000000016</v>
      </c>
      <c r="AN6" s="180">
        <f t="shared" ref="AN6:AN65" si="33">+G6+S6-AF6-AK6</f>
        <v>-56.028286000000094</v>
      </c>
      <c r="AO6" s="180">
        <f t="shared" ref="AO6:AO65" si="34">+H6+T6-AG6-AL6</f>
        <v>-119.83301700000027</v>
      </c>
      <c r="AP6" s="181">
        <f t="shared" si="28"/>
        <v>-0.3334019950058062</v>
      </c>
      <c r="AQ6" s="76">
        <f t="shared" si="13"/>
        <v>-62812.336720187392</v>
      </c>
      <c r="AR6" s="182">
        <f t="shared" si="29"/>
        <v>-1221.2275000000009</v>
      </c>
    </row>
    <row r="7" spans="1:44" ht="15" x14ac:dyDescent="0.25">
      <c r="A7" s="148" t="str">
        <f t="shared" si="15"/>
        <v>46205E</v>
      </c>
      <c r="B7" s="51">
        <f>+B5+1</f>
        <v>46205</v>
      </c>
      <c r="C7" s="157" t="s">
        <v>88</v>
      </c>
      <c r="D7" s="184">
        <v>682.8</v>
      </c>
      <c r="E7" s="169">
        <v>4.6399999999999997</v>
      </c>
      <c r="F7" s="169">
        <v>8.42</v>
      </c>
      <c r="G7" s="169">
        <f t="shared" si="16"/>
        <v>31.681919999999995</v>
      </c>
      <c r="H7" s="170">
        <f t="shared" si="17"/>
        <v>57.491759999999992</v>
      </c>
      <c r="I7" s="160">
        <v>5914.4000000000033</v>
      </c>
      <c r="J7" s="161">
        <v>6091.832000000004</v>
      </c>
      <c r="K7" s="162">
        <v>4.6201939334505626</v>
      </c>
      <c r="L7" s="163">
        <v>8.5060158257811445</v>
      </c>
      <c r="M7" s="164">
        <v>0</v>
      </c>
      <c r="N7" s="164">
        <v>0</v>
      </c>
      <c r="O7" s="165">
        <v>0</v>
      </c>
      <c r="P7" s="166">
        <v>0</v>
      </c>
      <c r="Q7" s="167">
        <v>0</v>
      </c>
      <c r="R7" s="168">
        <f t="shared" si="18"/>
        <v>6091.832000000004</v>
      </c>
      <c r="S7" s="169">
        <f t="shared" si="19"/>
        <v>281.45445250000029</v>
      </c>
      <c r="T7" s="170">
        <f t="shared" si="20"/>
        <v>518.17219400000033</v>
      </c>
      <c r="U7" s="171" t="s">
        <v>167</v>
      </c>
      <c r="V7" s="172" t="s">
        <v>167</v>
      </c>
      <c r="W7" s="159">
        <v>0</v>
      </c>
      <c r="X7" s="173">
        <v>0</v>
      </c>
      <c r="Y7" s="174">
        <v>0</v>
      </c>
      <c r="Z7" s="174">
        <v>0</v>
      </c>
      <c r="AA7" s="62">
        <f t="shared" si="21"/>
        <v>0</v>
      </c>
      <c r="AB7" s="63">
        <f t="shared" si="22"/>
        <v>0</v>
      </c>
      <c r="AC7" s="175"/>
      <c r="AD7" s="176"/>
      <c r="AE7" s="176"/>
      <c r="AF7" s="169">
        <f t="shared" si="23"/>
        <v>0</v>
      </c>
      <c r="AG7" s="170">
        <f t="shared" si="24"/>
        <v>0</v>
      </c>
      <c r="AH7" s="183">
        <v>5552.7</v>
      </c>
      <c r="AI7" s="159">
        <v>4.6500000000000004</v>
      </c>
      <c r="AJ7" s="159">
        <v>8.49</v>
      </c>
      <c r="AK7" s="169">
        <f t="shared" si="30"/>
        <v>258.20055000000002</v>
      </c>
      <c r="AL7" s="178">
        <f t="shared" si="31"/>
        <v>471.42423000000002</v>
      </c>
      <c r="AM7" s="179">
        <f t="shared" si="32"/>
        <v>1221.9320000000043</v>
      </c>
      <c r="AN7" s="180">
        <f t="shared" si="33"/>
        <v>54.935822500000256</v>
      </c>
      <c r="AO7" s="180">
        <f t="shared" si="34"/>
        <v>104.23972400000031</v>
      </c>
      <c r="AP7" s="181">
        <f t="shared" si="28"/>
        <v>0.1990623338988497</v>
      </c>
      <c r="AQ7" s="76">
        <f t="shared" si="13"/>
        <v>57617.320018618528</v>
      </c>
      <c r="AR7" s="182">
        <f t="shared" si="29"/>
        <v>1221.9320000000043</v>
      </c>
    </row>
    <row r="8" spans="1:44" ht="15" x14ac:dyDescent="0.25">
      <c r="A8" s="148" t="str">
        <f t="shared" si="15"/>
        <v>46206M</v>
      </c>
      <c r="B8" s="51">
        <f>+B6+1</f>
        <v>46206</v>
      </c>
      <c r="C8" s="157" t="s">
        <v>87</v>
      </c>
      <c r="D8" s="184">
        <v>5552.7</v>
      </c>
      <c r="E8" s="169">
        <v>4.6500000000000004</v>
      </c>
      <c r="F8" s="169">
        <v>8.49</v>
      </c>
      <c r="G8" s="169">
        <f t="shared" si="16"/>
        <v>258.20055000000002</v>
      </c>
      <c r="H8" s="170">
        <f t="shared" si="17"/>
        <v>471.42423000000002</v>
      </c>
      <c r="I8" s="160">
        <v>3240.3000000000015</v>
      </c>
      <c r="J8" s="161">
        <v>3337.5090000000018</v>
      </c>
      <c r="K8" s="162">
        <v>5.2984060117890337</v>
      </c>
      <c r="L8" s="163">
        <v>8.5062941702928789</v>
      </c>
      <c r="M8" s="164">
        <v>0</v>
      </c>
      <c r="N8" s="164">
        <v>0</v>
      </c>
      <c r="O8" s="165">
        <v>0</v>
      </c>
      <c r="P8" s="166">
        <v>0</v>
      </c>
      <c r="Q8" s="167">
        <v>0</v>
      </c>
      <c r="R8" s="168">
        <f t="shared" si="18"/>
        <v>3337.5090000000018</v>
      </c>
      <c r="S8" s="169">
        <f t="shared" si="19"/>
        <v>176.83477750000014</v>
      </c>
      <c r="T8" s="170">
        <f t="shared" si="20"/>
        <v>283.89833350000032</v>
      </c>
      <c r="U8" s="171" t="s">
        <v>167</v>
      </c>
      <c r="V8" s="172" t="s">
        <v>167</v>
      </c>
      <c r="W8" s="159">
        <v>0</v>
      </c>
      <c r="X8" s="173">
        <v>0</v>
      </c>
      <c r="Y8" s="174">
        <v>0</v>
      </c>
      <c r="Z8" s="174">
        <v>0</v>
      </c>
      <c r="AA8" s="62">
        <f t="shared" si="21"/>
        <v>0</v>
      </c>
      <c r="AB8" s="63">
        <f t="shared" si="22"/>
        <v>0</v>
      </c>
      <c r="AC8" s="175"/>
      <c r="AD8" s="176"/>
      <c r="AE8" s="176"/>
      <c r="AF8" s="169">
        <f t="shared" si="23"/>
        <v>0</v>
      </c>
      <c r="AG8" s="170">
        <f t="shared" si="24"/>
        <v>0</v>
      </c>
      <c r="AH8" s="185">
        <v>8890.2000000000007</v>
      </c>
      <c r="AI8" s="159">
        <v>4.8899999999999997</v>
      </c>
      <c r="AJ8" s="159">
        <v>8.49</v>
      </c>
      <c r="AK8" s="169">
        <f t="shared" si="30"/>
        <v>434.73078000000004</v>
      </c>
      <c r="AL8" s="178">
        <f t="shared" si="31"/>
        <v>754.77798000000007</v>
      </c>
      <c r="AM8" s="179">
        <f t="shared" si="32"/>
        <v>9.0000000018335413E-3</v>
      </c>
      <c r="AN8" s="180">
        <f t="shared" si="33"/>
        <v>0.30454750000012609</v>
      </c>
      <c r="AO8" s="180">
        <f t="shared" si="34"/>
        <v>0.54458350000027167</v>
      </c>
      <c r="AP8" s="181">
        <f t="shared" si="28"/>
        <v>1.8429997317913557E-3</v>
      </c>
      <c r="AQ8" s="76">
        <f t="shared" si="13"/>
        <v>309.44289577208406</v>
      </c>
      <c r="AR8" s="182">
        <f t="shared" si="29"/>
        <v>9.0000000018335413E-3</v>
      </c>
    </row>
    <row r="9" spans="1:44" ht="15" x14ac:dyDescent="0.25">
      <c r="A9" s="148" t="str">
        <f t="shared" si="15"/>
        <v>46206E</v>
      </c>
      <c r="B9" s="51">
        <f t="shared" ref="B9:B65" si="35">+B7+1</f>
        <v>46206</v>
      </c>
      <c r="C9" s="157" t="s">
        <v>88</v>
      </c>
      <c r="D9" s="184">
        <v>8890.2000000000007</v>
      </c>
      <c r="E9" s="169">
        <v>4.8899999999999997</v>
      </c>
      <c r="F9" s="169">
        <v>8.49</v>
      </c>
      <c r="G9" s="169">
        <f t="shared" si="16"/>
        <v>434.73078000000004</v>
      </c>
      <c r="H9" s="170">
        <f t="shared" si="17"/>
        <v>754.77798000000007</v>
      </c>
      <c r="I9" s="160">
        <v>6110.1999999999989</v>
      </c>
      <c r="J9" s="161">
        <v>6293.5059999999994</v>
      </c>
      <c r="K9" s="162">
        <v>4.4848793820169606</v>
      </c>
      <c r="L9" s="163">
        <v>8.4768518215443045</v>
      </c>
      <c r="M9" s="164">
        <v>0</v>
      </c>
      <c r="N9" s="164">
        <v>0</v>
      </c>
      <c r="O9" s="165">
        <v>0</v>
      </c>
      <c r="P9" s="166">
        <v>0</v>
      </c>
      <c r="Q9" s="167">
        <v>0</v>
      </c>
      <c r="R9" s="168">
        <f t="shared" si="18"/>
        <v>6293.5059999999994</v>
      </c>
      <c r="S9" s="169">
        <f t="shared" si="19"/>
        <v>282.25615300000027</v>
      </c>
      <c r="T9" s="170">
        <f t="shared" si="20"/>
        <v>533.49117799999999</v>
      </c>
      <c r="U9" s="171" t="s">
        <v>194</v>
      </c>
      <c r="V9" s="172" t="s">
        <v>273</v>
      </c>
      <c r="W9" s="159" t="s">
        <v>187</v>
      </c>
      <c r="X9" s="173">
        <v>15060</v>
      </c>
      <c r="Y9" s="174">
        <v>4.8</v>
      </c>
      <c r="Z9" s="174">
        <v>8.5500000000000007</v>
      </c>
      <c r="AA9" s="62">
        <f t="shared" si="21"/>
        <v>722.88</v>
      </c>
      <c r="AB9" s="63">
        <f t="shared" si="22"/>
        <v>1287.6300000000001</v>
      </c>
      <c r="AC9" s="175">
        <v>15060</v>
      </c>
      <c r="AD9" s="176">
        <v>4.7</v>
      </c>
      <c r="AE9" s="176">
        <v>8.48</v>
      </c>
      <c r="AF9" s="169">
        <f t="shared" si="23"/>
        <v>707.82</v>
      </c>
      <c r="AG9" s="170">
        <f t="shared" si="24"/>
        <v>1277.088</v>
      </c>
      <c r="AH9" s="183">
        <v>123.7</v>
      </c>
      <c r="AI9" s="159">
        <v>4.72</v>
      </c>
      <c r="AJ9" s="159">
        <v>8.48</v>
      </c>
      <c r="AK9" s="169">
        <f t="shared" si="30"/>
        <v>5.8386399999999998</v>
      </c>
      <c r="AL9" s="178">
        <f t="shared" si="31"/>
        <v>10.48976</v>
      </c>
      <c r="AM9" s="179">
        <f t="shared" si="32"/>
        <v>6.0000000001281251E-3</v>
      </c>
      <c r="AN9" s="180">
        <f t="shared" si="33"/>
        <v>3.328293000000313</v>
      </c>
      <c r="AO9" s="180">
        <f t="shared" si="34"/>
        <v>0.69139800000009544</v>
      </c>
      <c r="AP9" s="181">
        <f t="shared" si="28"/>
        <v>4.927617715981724E-3</v>
      </c>
      <c r="AQ9" s="76">
        <f t="shared" si="13"/>
        <v>1806.4206563624998</v>
      </c>
      <c r="AR9" s="182">
        <f t="shared" si="29"/>
        <v>5.9999999994033715E-3</v>
      </c>
    </row>
    <row r="10" spans="1:44" ht="15" x14ac:dyDescent="0.25">
      <c r="A10" s="148" t="str">
        <f t="shared" si="15"/>
        <v>46207M</v>
      </c>
      <c r="B10" s="51">
        <f t="shared" si="35"/>
        <v>46207</v>
      </c>
      <c r="C10" s="157" t="s">
        <v>87</v>
      </c>
      <c r="D10" s="184">
        <v>123.7</v>
      </c>
      <c r="E10" s="169">
        <v>4.72</v>
      </c>
      <c r="F10" s="169">
        <v>8.48</v>
      </c>
      <c r="G10" s="169">
        <f t="shared" si="16"/>
        <v>5.8386399999999998</v>
      </c>
      <c r="H10" s="170">
        <f t="shared" si="17"/>
        <v>10.48976</v>
      </c>
      <c r="I10" s="160">
        <v>3397.5999999999995</v>
      </c>
      <c r="J10" s="161">
        <v>3499.5279999999993</v>
      </c>
      <c r="K10" s="162">
        <v>5.2745128914527921</v>
      </c>
      <c r="L10" s="163">
        <v>8.5058820932422883</v>
      </c>
      <c r="M10" s="164">
        <v>0</v>
      </c>
      <c r="N10" s="164">
        <v>0</v>
      </c>
      <c r="O10" s="165">
        <v>0</v>
      </c>
      <c r="P10" s="166">
        <v>0</v>
      </c>
      <c r="Q10" s="167">
        <v>0</v>
      </c>
      <c r="R10" s="168">
        <f t="shared" si="18"/>
        <v>3499.5279999999993</v>
      </c>
      <c r="S10" s="169">
        <f t="shared" si="19"/>
        <v>184.58305550000003</v>
      </c>
      <c r="T10" s="170">
        <f t="shared" si="20"/>
        <v>297.66572549999995</v>
      </c>
      <c r="U10" s="171" t="s">
        <v>167</v>
      </c>
      <c r="V10" s="172" t="s">
        <v>167</v>
      </c>
      <c r="W10" s="159">
        <v>0</v>
      </c>
      <c r="X10" s="173">
        <v>0</v>
      </c>
      <c r="Y10" s="174">
        <v>0</v>
      </c>
      <c r="Z10" s="174">
        <v>0</v>
      </c>
      <c r="AA10" s="62">
        <f t="shared" si="21"/>
        <v>0</v>
      </c>
      <c r="AB10" s="63">
        <f t="shared" si="22"/>
        <v>0</v>
      </c>
      <c r="AC10" s="175"/>
      <c r="AD10" s="176"/>
      <c r="AE10" s="176"/>
      <c r="AF10" s="169">
        <f t="shared" si="23"/>
        <v>0</v>
      </c>
      <c r="AG10" s="170">
        <f t="shared" si="24"/>
        <v>0</v>
      </c>
      <c r="AH10" s="183">
        <v>3623.2</v>
      </c>
      <c r="AI10" s="159">
        <v>5.26</v>
      </c>
      <c r="AJ10" s="159">
        <v>8.5</v>
      </c>
      <c r="AK10" s="169">
        <f t="shared" si="30"/>
        <v>190.58032</v>
      </c>
      <c r="AL10" s="178">
        <f t="shared" si="31"/>
        <v>307.97199999999998</v>
      </c>
      <c r="AM10" s="179">
        <f t="shared" si="32"/>
        <v>2.7999999999337888E-2</v>
      </c>
      <c r="AN10" s="180">
        <f t="shared" si="33"/>
        <v>-0.15862449999997352</v>
      </c>
      <c r="AO10" s="180">
        <f t="shared" si="34"/>
        <v>0.18348549999996067</v>
      </c>
      <c r="AP10" s="181">
        <f t="shared" si="28"/>
        <v>5.1552229843764278E-5</v>
      </c>
      <c r="AQ10" s="76">
        <f t="shared" si="13"/>
        <v>-21.27196114218367</v>
      </c>
      <c r="AR10" s="182">
        <f t="shared" si="29"/>
        <v>2.7999999999337888E-2</v>
      </c>
    </row>
    <row r="11" spans="1:44" ht="15" x14ac:dyDescent="0.25">
      <c r="A11" s="148" t="str">
        <f t="shared" si="15"/>
        <v>46207E</v>
      </c>
      <c r="B11" s="51">
        <f t="shared" si="35"/>
        <v>46207</v>
      </c>
      <c r="C11" s="157" t="s">
        <v>88</v>
      </c>
      <c r="D11" s="184">
        <v>3623.2</v>
      </c>
      <c r="E11" s="169">
        <v>5.26</v>
      </c>
      <c r="F11" s="169">
        <v>8.5</v>
      </c>
      <c r="G11" s="169">
        <f t="shared" si="16"/>
        <v>190.58032</v>
      </c>
      <c r="H11" s="170">
        <f t="shared" si="17"/>
        <v>307.97199999999998</v>
      </c>
      <c r="I11" s="160">
        <v>8112.1000000000013</v>
      </c>
      <c r="J11" s="161">
        <v>8355.4630000000016</v>
      </c>
      <c r="K11" s="162">
        <v>4.4646712934998316</v>
      </c>
      <c r="L11" s="163">
        <v>8.3344676470950834</v>
      </c>
      <c r="M11" s="164">
        <v>0</v>
      </c>
      <c r="N11" s="164">
        <v>0</v>
      </c>
      <c r="O11" s="165">
        <v>0</v>
      </c>
      <c r="P11" s="166">
        <v>0</v>
      </c>
      <c r="Q11" s="167">
        <v>0</v>
      </c>
      <c r="R11" s="168">
        <f t="shared" si="18"/>
        <v>8355.4630000000016</v>
      </c>
      <c r="S11" s="169">
        <f t="shared" si="19"/>
        <v>373.04395799999986</v>
      </c>
      <c r="T11" s="170">
        <f t="shared" si="20"/>
        <v>696.38336050000044</v>
      </c>
      <c r="U11" s="171" t="s">
        <v>194</v>
      </c>
      <c r="V11" s="172" t="s">
        <v>274</v>
      </c>
      <c r="W11" s="159" t="s">
        <v>187</v>
      </c>
      <c r="X11" s="173">
        <v>12000</v>
      </c>
      <c r="Y11" s="174">
        <v>4.8</v>
      </c>
      <c r="Z11" s="174">
        <v>8.49</v>
      </c>
      <c r="AA11" s="62">
        <f t="shared" si="21"/>
        <v>576</v>
      </c>
      <c r="AB11" s="63">
        <f t="shared" si="22"/>
        <v>1018.8000000000001</v>
      </c>
      <c r="AC11" s="175">
        <v>12010</v>
      </c>
      <c r="AD11" s="176">
        <v>4.7</v>
      </c>
      <c r="AE11" s="176">
        <v>8.23</v>
      </c>
      <c r="AF11" s="169">
        <f t="shared" si="23"/>
        <v>564.47</v>
      </c>
      <c r="AG11" s="170">
        <f t="shared" si="24"/>
        <v>988.423</v>
      </c>
      <c r="AH11" s="183">
        <v>0</v>
      </c>
      <c r="AI11" s="159">
        <v>0</v>
      </c>
      <c r="AJ11" s="159">
        <v>0</v>
      </c>
      <c r="AK11" s="169">
        <f t="shared" si="30"/>
        <v>0</v>
      </c>
      <c r="AL11" s="178">
        <f t="shared" si="31"/>
        <v>0</v>
      </c>
      <c r="AM11" s="179">
        <f t="shared" si="32"/>
        <v>-31.336999999999534</v>
      </c>
      <c r="AN11" s="180">
        <f t="shared" si="33"/>
        <v>-0.84572200000013709</v>
      </c>
      <c r="AO11" s="180">
        <f t="shared" si="34"/>
        <v>15.932360500000414</v>
      </c>
      <c r="AP11" s="181">
        <f t="shared" si="28"/>
        <v>1.4107212560420742E-2</v>
      </c>
      <c r="AQ11" s="76">
        <f t="shared" si="13"/>
        <v>4365.2031855065889</v>
      </c>
      <c r="AR11" s="182">
        <f t="shared" si="29"/>
        <v>-21.336999999999534</v>
      </c>
    </row>
    <row r="12" spans="1:44" ht="15" x14ac:dyDescent="0.25">
      <c r="A12" s="148" t="str">
        <f t="shared" si="15"/>
        <v>46208M</v>
      </c>
      <c r="B12" s="51">
        <f t="shared" si="35"/>
        <v>46208</v>
      </c>
      <c r="C12" s="157" t="s">
        <v>87</v>
      </c>
      <c r="D12" s="184">
        <v>0</v>
      </c>
      <c r="E12" s="169">
        <v>0</v>
      </c>
      <c r="F12" s="169">
        <v>0</v>
      </c>
      <c r="G12" s="169">
        <f t="shared" si="16"/>
        <v>0</v>
      </c>
      <c r="H12" s="170">
        <f t="shared" si="17"/>
        <v>0</v>
      </c>
      <c r="I12" s="160">
        <v>3476.65</v>
      </c>
      <c r="J12" s="161">
        <v>3580.9495000000002</v>
      </c>
      <c r="K12" s="162">
        <v>5.2992320193289517</v>
      </c>
      <c r="L12" s="163">
        <v>8.5022636733637285</v>
      </c>
      <c r="M12" s="164">
        <v>0</v>
      </c>
      <c r="N12" s="164">
        <v>0</v>
      </c>
      <c r="O12" s="165">
        <v>0</v>
      </c>
      <c r="P12" s="166">
        <v>0</v>
      </c>
      <c r="Q12" s="167">
        <v>0</v>
      </c>
      <c r="R12" s="168">
        <f t="shared" si="18"/>
        <v>3580.9495000000002</v>
      </c>
      <c r="S12" s="169">
        <f t="shared" si="19"/>
        <v>189.76282250000003</v>
      </c>
      <c r="T12" s="170">
        <f t="shared" si="20"/>
        <v>304.46176850000012</v>
      </c>
      <c r="U12" s="171" t="s">
        <v>167</v>
      </c>
      <c r="V12" s="172" t="s">
        <v>180</v>
      </c>
      <c r="W12" s="159">
        <v>0</v>
      </c>
      <c r="X12" s="173">
        <v>0</v>
      </c>
      <c r="Y12" s="174">
        <v>0</v>
      </c>
      <c r="Z12" s="174">
        <v>0</v>
      </c>
      <c r="AA12" s="62">
        <f t="shared" ref="AA12:AA55" si="36">X12*Y12%</f>
        <v>0</v>
      </c>
      <c r="AB12" s="63">
        <f t="shared" ref="AB12:AB64" si="37">X12*Z12%</f>
        <v>0</v>
      </c>
      <c r="AC12" s="175"/>
      <c r="AD12" s="176"/>
      <c r="AE12" s="176"/>
      <c r="AF12" s="169">
        <f t="shared" si="23"/>
        <v>0</v>
      </c>
      <c r="AG12" s="170">
        <f t="shared" si="24"/>
        <v>0</v>
      </c>
      <c r="AH12" s="183">
        <v>3580.8</v>
      </c>
      <c r="AI12" s="159">
        <v>5.3</v>
      </c>
      <c r="AJ12" s="159">
        <v>8.5</v>
      </c>
      <c r="AK12" s="169">
        <f t="shared" si="30"/>
        <v>189.7824</v>
      </c>
      <c r="AL12" s="178">
        <f t="shared" si="31"/>
        <v>304.36800000000005</v>
      </c>
      <c r="AM12" s="179">
        <f t="shared" si="32"/>
        <v>0.14949999999998909</v>
      </c>
      <c r="AN12" s="180">
        <f t="shared" si="33"/>
        <v>-1.9577499999968495E-2</v>
      </c>
      <c r="AO12" s="180">
        <f t="shared" si="34"/>
        <v>9.3768500000066979E-2</v>
      </c>
      <c r="AP12" s="181">
        <f t="shared" si="28"/>
        <v>1.5011596215797862E-4</v>
      </c>
      <c r="AQ12" s="76">
        <f t="shared" si="13"/>
        <v>18.675205047280468</v>
      </c>
      <c r="AR12" s="182">
        <f t="shared" si="29"/>
        <v>0.14949999999998909</v>
      </c>
    </row>
    <row r="13" spans="1:44" ht="15" x14ac:dyDescent="0.25">
      <c r="A13" s="148" t="str">
        <f t="shared" si="15"/>
        <v>46208E</v>
      </c>
      <c r="B13" s="51">
        <f t="shared" si="35"/>
        <v>46208</v>
      </c>
      <c r="C13" s="157" t="s">
        <v>88</v>
      </c>
      <c r="D13" s="184">
        <v>3580.8</v>
      </c>
      <c r="E13" s="169">
        <v>5.3</v>
      </c>
      <c r="F13" s="169">
        <v>8.5</v>
      </c>
      <c r="G13" s="169">
        <f t="shared" si="16"/>
        <v>189.7824</v>
      </c>
      <c r="H13" s="170">
        <f t="shared" si="17"/>
        <v>304.36800000000005</v>
      </c>
      <c r="I13" s="160">
        <v>5991.25</v>
      </c>
      <c r="J13" s="161">
        <v>6170.9875000000002</v>
      </c>
      <c r="K13" s="162">
        <v>4.5411475067807228</v>
      </c>
      <c r="L13" s="163">
        <v>8.4061072397245979</v>
      </c>
      <c r="M13" s="164">
        <v>0</v>
      </c>
      <c r="N13" s="164">
        <v>0</v>
      </c>
      <c r="O13" s="165">
        <v>0</v>
      </c>
      <c r="P13" s="166">
        <v>0</v>
      </c>
      <c r="Q13" s="167">
        <v>0</v>
      </c>
      <c r="R13" s="168">
        <f t="shared" si="18"/>
        <v>6170.9875000000002</v>
      </c>
      <c r="S13" s="169">
        <f t="shared" si="19"/>
        <v>280.23364500000002</v>
      </c>
      <c r="T13" s="170">
        <f t="shared" si="20"/>
        <v>518.73982699999999</v>
      </c>
      <c r="U13" s="171" t="s">
        <v>167</v>
      </c>
      <c r="V13" s="172" t="s">
        <v>180</v>
      </c>
      <c r="W13" s="159">
        <v>0</v>
      </c>
      <c r="X13" s="173">
        <v>0</v>
      </c>
      <c r="Y13" s="174">
        <v>0</v>
      </c>
      <c r="Z13" s="174">
        <v>0</v>
      </c>
      <c r="AA13" s="62">
        <f t="shared" si="36"/>
        <v>0</v>
      </c>
      <c r="AB13" s="63">
        <f t="shared" si="37"/>
        <v>0</v>
      </c>
      <c r="AC13" s="175"/>
      <c r="AD13" s="176"/>
      <c r="AE13" s="176"/>
      <c r="AF13" s="169">
        <f t="shared" si="23"/>
        <v>0</v>
      </c>
      <c r="AG13" s="170">
        <f t="shared" si="24"/>
        <v>0</v>
      </c>
      <c r="AH13" s="183">
        <v>9751.7000000000007</v>
      </c>
      <c r="AI13" s="159">
        <v>4.8099999999999996</v>
      </c>
      <c r="AJ13" s="159">
        <v>8.44</v>
      </c>
      <c r="AK13" s="169">
        <f t="shared" si="30"/>
        <v>469.05677000000003</v>
      </c>
      <c r="AL13" s="178">
        <f t="shared" si="31"/>
        <v>823.04347999999993</v>
      </c>
      <c r="AM13" s="179">
        <f t="shared" si="32"/>
        <v>8.7499999999636202E-2</v>
      </c>
      <c r="AN13" s="180">
        <f t="shared" si="33"/>
        <v>0.959274999999991</v>
      </c>
      <c r="AO13" s="180">
        <f t="shared" si="34"/>
        <v>6.434700000011162E-2</v>
      </c>
      <c r="AP13" s="181">
        <f t="shared" si="28"/>
        <v>1.2811714479552866E-3</v>
      </c>
      <c r="AQ13" s="76">
        <f t="shared" si="13"/>
        <v>480.23421212261195</v>
      </c>
      <c r="AR13" s="182">
        <f t="shared" si="29"/>
        <v>8.7499999999636202E-2</v>
      </c>
    </row>
    <row r="14" spans="1:44" ht="15" x14ac:dyDescent="0.25">
      <c r="A14" s="148" t="str">
        <f t="shared" si="15"/>
        <v>46209M</v>
      </c>
      <c r="B14" s="51">
        <f t="shared" si="35"/>
        <v>46209</v>
      </c>
      <c r="C14" s="157" t="s">
        <v>87</v>
      </c>
      <c r="D14" s="184">
        <v>9751.7000000000007</v>
      </c>
      <c r="E14" s="169">
        <v>4.8099999999999996</v>
      </c>
      <c r="F14" s="169">
        <v>8.44</v>
      </c>
      <c r="G14" s="169">
        <f t="shared" si="16"/>
        <v>469.05677000000003</v>
      </c>
      <c r="H14" s="170">
        <f t="shared" si="17"/>
        <v>823.04347999999993</v>
      </c>
      <c r="I14" s="160">
        <v>3330.85</v>
      </c>
      <c r="J14" s="161">
        <v>3430.7755000000002</v>
      </c>
      <c r="K14" s="162">
        <v>5.3220123992374333</v>
      </c>
      <c r="L14" s="163">
        <v>8.4873485746881432</v>
      </c>
      <c r="M14" s="164">
        <v>0</v>
      </c>
      <c r="N14" s="164">
        <v>0</v>
      </c>
      <c r="O14" s="165">
        <v>0</v>
      </c>
      <c r="P14" s="166">
        <v>0</v>
      </c>
      <c r="Q14" s="167">
        <v>0</v>
      </c>
      <c r="R14" s="168">
        <f t="shared" si="18"/>
        <v>3430.7755000000002</v>
      </c>
      <c r="S14" s="169">
        <f t="shared" si="19"/>
        <v>182.58629750000006</v>
      </c>
      <c r="T14" s="170">
        <f t="shared" si="20"/>
        <v>291.18187550000005</v>
      </c>
      <c r="U14" s="171" t="s">
        <v>194</v>
      </c>
      <c r="V14" s="172" t="s">
        <v>333</v>
      </c>
      <c r="W14" s="159" t="s">
        <v>187</v>
      </c>
      <c r="X14" s="173">
        <v>12470</v>
      </c>
      <c r="Y14" s="174">
        <v>5.05</v>
      </c>
      <c r="Z14" s="174">
        <v>8.5500000000000007</v>
      </c>
      <c r="AA14" s="62">
        <f t="shared" si="36"/>
        <v>629.7349999999999</v>
      </c>
      <c r="AB14" s="63">
        <f t="shared" si="37"/>
        <v>1066.1850000000002</v>
      </c>
      <c r="AC14" s="175">
        <v>12420</v>
      </c>
      <c r="AD14" s="176">
        <v>5.060507246376809</v>
      </c>
      <c r="AE14" s="176">
        <v>8.5567793880837328</v>
      </c>
      <c r="AF14" s="169">
        <f t="shared" si="23"/>
        <v>628.51499999999965</v>
      </c>
      <c r="AG14" s="170">
        <f t="shared" si="24"/>
        <v>1062.7519999999995</v>
      </c>
      <c r="AH14" s="177">
        <v>712.4</v>
      </c>
      <c r="AI14" s="159">
        <v>4.9400000000000004</v>
      </c>
      <c r="AJ14" s="159">
        <v>8.4499999999999993</v>
      </c>
      <c r="AK14" s="169">
        <f t="shared" si="30"/>
        <v>35.19256</v>
      </c>
      <c r="AL14" s="178">
        <f t="shared" si="31"/>
        <v>60.197799999999994</v>
      </c>
      <c r="AM14" s="179">
        <f t="shared" si="32"/>
        <v>50.075500000000488</v>
      </c>
      <c r="AN14" s="180">
        <f t="shared" si="33"/>
        <v>-12.064492499999503</v>
      </c>
      <c r="AO14" s="180">
        <f t="shared" si="34"/>
        <v>-8.7244444999995139</v>
      </c>
      <c r="AP14" s="181">
        <f t="shared" si="28"/>
        <v>-4.3879977982393958E-2</v>
      </c>
      <c r="AQ14" s="76">
        <f t="shared" si="13"/>
        <v>-8410.2747606442172</v>
      </c>
      <c r="AR14" s="182">
        <f t="shared" si="29"/>
        <v>7.5500000000829459E-2</v>
      </c>
    </row>
    <row r="15" spans="1:44" ht="15" x14ac:dyDescent="0.25">
      <c r="A15" s="148" t="str">
        <f t="shared" si="15"/>
        <v>46209E</v>
      </c>
      <c r="B15" s="51">
        <f t="shared" si="35"/>
        <v>46209</v>
      </c>
      <c r="C15" s="157" t="s">
        <v>88</v>
      </c>
      <c r="D15" s="184">
        <v>712.4</v>
      </c>
      <c r="E15" s="169">
        <v>4.9400000000000004</v>
      </c>
      <c r="F15" s="169">
        <v>8.4499999999999993</v>
      </c>
      <c r="G15" s="169">
        <f t="shared" si="16"/>
        <v>35.19256</v>
      </c>
      <c r="H15" s="170">
        <f t="shared" si="17"/>
        <v>60.197799999999994</v>
      </c>
      <c r="I15" s="160">
        <v>6582.4000000000005</v>
      </c>
      <c r="J15" s="161">
        <v>6779.8720000000003</v>
      </c>
      <c r="K15" s="162">
        <v>4.5559666686922728</v>
      </c>
      <c r="L15" s="163">
        <v>8.3357217732134199</v>
      </c>
      <c r="M15" s="164">
        <v>0</v>
      </c>
      <c r="N15" s="164">
        <v>0</v>
      </c>
      <c r="O15" s="165">
        <v>0</v>
      </c>
      <c r="P15" s="166">
        <v>0</v>
      </c>
      <c r="Q15" s="167">
        <v>0</v>
      </c>
      <c r="R15" s="168">
        <f t="shared" si="18"/>
        <v>6779.8720000000003</v>
      </c>
      <c r="S15" s="169">
        <f t="shared" si="19"/>
        <v>308.88870850000018</v>
      </c>
      <c r="T15" s="170">
        <f t="shared" si="20"/>
        <v>565.15126650000013</v>
      </c>
      <c r="U15" s="171" t="s">
        <v>167</v>
      </c>
      <c r="V15" s="172" t="s">
        <v>167</v>
      </c>
      <c r="W15" s="159">
        <v>0</v>
      </c>
      <c r="X15" s="173">
        <v>0</v>
      </c>
      <c r="Y15" s="174">
        <v>0</v>
      </c>
      <c r="Z15" s="174">
        <v>0</v>
      </c>
      <c r="AA15" s="62">
        <f t="shared" si="36"/>
        <v>0</v>
      </c>
      <c r="AB15" s="63">
        <f t="shared" si="37"/>
        <v>0</v>
      </c>
      <c r="AC15" s="175"/>
      <c r="AD15" s="176"/>
      <c r="AE15" s="176"/>
      <c r="AF15" s="169">
        <f t="shared" si="23"/>
        <v>0</v>
      </c>
      <c r="AG15" s="170">
        <f t="shared" si="24"/>
        <v>0</v>
      </c>
      <c r="AH15" s="183">
        <v>7047.8</v>
      </c>
      <c r="AI15" s="159">
        <v>4.3600000000000003</v>
      </c>
      <c r="AJ15" s="159">
        <v>8.31</v>
      </c>
      <c r="AK15" s="169">
        <f t="shared" si="30"/>
        <v>307.28408000000002</v>
      </c>
      <c r="AL15" s="178">
        <f t="shared" si="31"/>
        <v>585.67218000000003</v>
      </c>
      <c r="AM15" s="179">
        <f t="shared" si="32"/>
        <v>444.47199999999975</v>
      </c>
      <c r="AN15" s="180">
        <f t="shared" si="33"/>
        <v>36.797188500000175</v>
      </c>
      <c r="AO15" s="180">
        <f t="shared" si="34"/>
        <v>39.676886500000137</v>
      </c>
      <c r="AP15" s="181">
        <f t="shared" si="28"/>
        <v>8.7494939805242061E-2</v>
      </c>
      <c r="AQ15" s="76">
        <f t="shared" si="13"/>
        <v>29565.120974039412</v>
      </c>
      <c r="AR15" s="182">
        <f t="shared" si="29"/>
        <v>444.47199999999975</v>
      </c>
    </row>
    <row r="16" spans="1:44" ht="15" x14ac:dyDescent="0.25">
      <c r="A16" s="148" t="str">
        <f t="shared" si="15"/>
        <v>46210M</v>
      </c>
      <c r="B16" s="51">
        <f t="shared" si="35"/>
        <v>46210</v>
      </c>
      <c r="C16" s="157" t="s">
        <v>87</v>
      </c>
      <c r="D16" s="184">
        <v>7047.8</v>
      </c>
      <c r="E16" s="169">
        <v>4.3600000000000003</v>
      </c>
      <c r="F16" s="169">
        <v>8.31</v>
      </c>
      <c r="G16" s="169">
        <f t="shared" si="16"/>
        <v>307.28408000000002</v>
      </c>
      <c r="H16" s="170">
        <f t="shared" si="17"/>
        <v>585.67218000000003</v>
      </c>
      <c r="I16" s="160">
        <v>4235.3999999999996</v>
      </c>
      <c r="J16" s="161">
        <v>4362.4619999999995</v>
      </c>
      <c r="K16" s="162">
        <v>5.0981666430561461</v>
      </c>
      <c r="L16" s="163">
        <v>8.4601112055531971</v>
      </c>
      <c r="M16" s="164">
        <v>0</v>
      </c>
      <c r="N16" s="164">
        <v>0</v>
      </c>
      <c r="O16" s="165">
        <v>0</v>
      </c>
      <c r="P16" s="166">
        <v>0</v>
      </c>
      <c r="Q16" s="167">
        <v>0</v>
      </c>
      <c r="R16" s="168">
        <f t="shared" si="18"/>
        <v>4362.4619999999995</v>
      </c>
      <c r="S16" s="169">
        <f t="shared" si="19"/>
        <v>222.40558250000001</v>
      </c>
      <c r="T16" s="170">
        <f t="shared" si="20"/>
        <v>369.06913650000007</v>
      </c>
      <c r="U16" s="171" t="s">
        <v>167</v>
      </c>
      <c r="V16" s="172" t="s">
        <v>167</v>
      </c>
      <c r="W16" s="159">
        <v>0</v>
      </c>
      <c r="X16" s="173">
        <v>0</v>
      </c>
      <c r="Y16" s="174">
        <v>0</v>
      </c>
      <c r="Z16" s="174">
        <v>0</v>
      </c>
      <c r="AA16" s="62">
        <f t="shared" si="36"/>
        <v>0</v>
      </c>
      <c r="AB16" s="63">
        <f t="shared" si="37"/>
        <v>0</v>
      </c>
      <c r="AC16" s="175"/>
      <c r="AD16" s="176"/>
      <c r="AE16" s="176"/>
      <c r="AF16" s="169">
        <f t="shared" si="23"/>
        <v>0</v>
      </c>
      <c r="AG16" s="170">
        <f t="shared" si="24"/>
        <v>0</v>
      </c>
      <c r="AH16" s="183">
        <v>11410.2</v>
      </c>
      <c r="AI16" s="186">
        <v>4.6399999999999997</v>
      </c>
      <c r="AJ16" s="186">
        <v>8.36</v>
      </c>
      <c r="AK16" s="169">
        <f t="shared" si="30"/>
        <v>529.43327999999997</v>
      </c>
      <c r="AL16" s="178">
        <f t="shared" si="31"/>
        <v>953.89271999999994</v>
      </c>
      <c r="AM16" s="179">
        <f t="shared" si="32"/>
        <v>6.1999999998079147E-2</v>
      </c>
      <c r="AN16" s="180">
        <f t="shared" si="33"/>
        <v>0.25638250000008611</v>
      </c>
      <c r="AO16" s="180">
        <f t="shared" si="34"/>
        <v>0.84859650000009879</v>
      </c>
      <c r="AP16" s="181">
        <f t="shared" si="28"/>
        <v>1.8681762119408265E-3</v>
      </c>
      <c r="AQ16" s="76">
        <f t="shared" si="13"/>
        <v>377.34723269433232</v>
      </c>
      <c r="AR16" s="182">
        <f t="shared" si="29"/>
        <v>6.1999999998079147E-2</v>
      </c>
    </row>
    <row r="17" spans="1:45" ht="15" x14ac:dyDescent="0.25">
      <c r="A17" s="148" t="str">
        <f t="shared" si="15"/>
        <v>46210E</v>
      </c>
      <c r="B17" s="51">
        <f t="shared" si="35"/>
        <v>46210</v>
      </c>
      <c r="C17" s="157" t="s">
        <v>88</v>
      </c>
      <c r="D17" s="184">
        <v>11410.2</v>
      </c>
      <c r="E17" s="169">
        <v>4.6399999999999997</v>
      </c>
      <c r="F17" s="169">
        <v>8.36</v>
      </c>
      <c r="G17" s="169">
        <f t="shared" si="16"/>
        <v>529.43327999999997</v>
      </c>
      <c r="H17" s="170">
        <f t="shared" si="17"/>
        <v>953.89271999999994</v>
      </c>
      <c r="I17" s="160">
        <v>5803.7999999999984</v>
      </c>
      <c r="J17" s="161">
        <v>5977.9139999999989</v>
      </c>
      <c r="K17" s="162">
        <v>4.5806075329956242</v>
      </c>
      <c r="L17" s="163">
        <v>8.4375435059788444</v>
      </c>
      <c r="M17" s="164">
        <v>0</v>
      </c>
      <c r="N17" s="164">
        <v>0</v>
      </c>
      <c r="O17" s="165">
        <v>0</v>
      </c>
      <c r="P17" s="166">
        <v>0</v>
      </c>
      <c r="Q17" s="167">
        <v>0</v>
      </c>
      <c r="R17" s="168">
        <f t="shared" si="18"/>
        <v>5977.9139999999989</v>
      </c>
      <c r="S17" s="169">
        <f t="shared" si="19"/>
        <v>273.82477899999998</v>
      </c>
      <c r="T17" s="170">
        <f t="shared" si="20"/>
        <v>504.38909450000011</v>
      </c>
      <c r="U17" s="171" t="s">
        <v>194</v>
      </c>
      <c r="V17" s="172" t="s">
        <v>334</v>
      </c>
      <c r="W17" s="159" t="s">
        <v>187</v>
      </c>
      <c r="X17" s="173">
        <v>18340</v>
      </c>
      <c r="Y17" s="174">
        <v>4.7</v>
      </c>
      <c r="Z17" s="174">
        <v>8.5299999999999994</v>
      </c>
      <c r="AA17" s="62">
        <f t="shared" si="36"/>
        <v>861.98</v>
      </c>
      <c r="AB17" s="63">
        <f t="shared" si="37"/>
        <v>1564.4019999999998</v>
      </c>
      <c r="AC17" s="175">
        <v>18340</v>
      </c>
      <c r="AD17" s="176">
        <v>4.5999999999999996</v>
      </c>
      <c r="AE17" s="176">
        <v>8.27</v>
      </c>
      <c r="AF17" s="169">
        <f t="shared" si="23"/>
        <v>843.64</v>
      </c>
      <c r="AG17" s="170">
        <f t="shared" si="24"/>
        <v>1516.7179999999998</v>
      </c>
      <c r="AH17" s="183">
        <v>0</v>
      </c>
      <c r="AI17" s="159">
        <v>0</v>
      </c>
      <c r="AJ17" s="159">
        <v>0</v>
      </c>
      <c r="AK17" s="169">
        <f t="shared" si="30"/>
        <v>0</v>
      </c>
      <c r="AL17" s="178">
        <f t="shared" si="31"/>
        <v>0</v>
      </c>
      <c r="AM17" s="179">
        <f t="shared" si="32"/>
        <v>-951.8859999999986</v>
      </c>
      <c r="AN17" s="180">
        <f t="shared" si="33"/>
        <v>-40.381940999999983</v>
      </c>
      <c r="AO17" s="180">
        <f t="shared" si="34"/>
        <v>-58.436185499999738</v>
      </c>
      <c r="AP17" s="181">
        <f t="shared" si="28"/>
        <v>-0.12698067955993553</v>
      </c>
      <c r="AQ17" s="76">
        <f t="shared" si="13"/>
        <v>-36905.954266803405</v>
      </c>
      <c r="AR17" s="182">
        <f t="shared" si="29"/>
        <v>-951.8859999999986</v>
      </c>
    </row>
    <row r="18" spans="1:45" ht="15" x14ac:dyDescent="0.25">
      <c r="A18" s="148" t="str">
        <f t="shared" si="15"/>
        <v>46211M</v>
      </c>
      <c r="B18" s="51">
        <f t="shared" si="35"/>
        <v>46211</v>
      </c>
      <c r="C18" s="157" t="s">
        <v>87</v>
      </c>
      <c r="D18" s="184">
        <v>0</v>
      </c>
      <c r="E18" s="169">
        <v>0</v>
      </c>
      <c r="F18" s="169">
        <v>0</v>
      </c>
      <c r="G18" s="169">
        <f t="shared" si="16"/>
        <v>0</v>
      </c>
      <c r="H18" s="170">
        <f t="shared" si="17"/>
        <v>0</v>
      </c>
      <c r="I18" s="160">
        <v>3722.1499999999992</v>
      </c>
      <c r="J18" s="161">
        <v>3833.814499999999</v>
      </c>
      <c r="K18" s="162">
        <v>5.1373856507663582</v>
      </c>
      <c r="L18" s="163">
        <v>8.4924358233816424</v>
      </c>
      <c r="M18" s="164">
        <v>0</v>
      </c>
      <c r="N18" s="164">
        <v>0</v>
      </c>
      <c r="O18" s="165">
        <v>0</v>
      </c>
      <c r="P18" s="166">
        <v>0</v>
      </c>
      <c r="Q18" s="167">
        <v>0</v>
      </c>
      <c r="R18" s="168">
        <f t="shared" si="18"/>
        <v>3833.814499999999</v>
      </c>
      <c r="S18" s="169">
        <f t="shared" si="19"/>
        <v>196.95783599999996</v>
      </c>
      <c r="T18" s="170">
        <f t="shared" si="20"/>
        <v>325.58423599999975</v>
      </c>
      <c r="U18" s="171" t="s">
        <v>167</v>
      </c>
      <c r="V18" s="172" t="s">
        <v>180</v>
      </c>
      <c r="W18" s="159">
        <v>0</v>
      </c>
      <c r="X18" s="173">
        <v>0</v>
      </c>
      <c r="Y18" s="174">
        <v>0</v>
      </c>
      <c r="Z18" s="174">
        <v>0</v>
      </c>
      <c r="AA18" s="62">
        <f t="shared" si="36"/>
        <v>0</v>
      </c>
      <c r="AB18" s="63">
        <f t="shared" si="37"/>
        <v>0</v>
      </c>
      <c r="AC18" s="175"/>
      <c r="AD18" s="176"/>
      <c r="AE18" s="176"/>
      <c r="AF18" s="169">
        <f t="shared" si="23"/>
        <v>0</v>
      </c>
      <c r="AG18" s="170">
        <f t="shared" si="24"/>
        <v>0</v>
      </c>
      <c r="AH18" s="183">
        <v>3794</v>
      </c>
      <c r="AI18" s="159">
        <v>5.1100000000000003</v>
      </c>
      <c r="AJ18" s="159">
        <v>8.49</v>
      </c>
      <c r="AK18" s="169">
        <f t="shared" si="30"/>
        <v>193.87340000000003</v>
      </c>
      <c r="AL18" s="178">
        <f t="shared" si="31"/>
        <v>322.11060000000003</v>
      </c>
      <c r="AM18" s="179">
        <f t="shared" si="32"/>
        <v>39.814499999999043</v>
      </c>
      <c r="AN18" s="180">
        <f t="shared" si="33"/>
        <v>3.0844359999999256</v>
      </c>
      <c r="AO18" s="180">
        <f t="shared" si="34"/>
        <v>3.4736359999997148</v>
      </c>
      <c r="AP18" s="181">
        <f t="shared" si="28"/>
        <v>1.255032341204412E-2</v>
      </c>
      <c r="AQ18" s="76">
        <f t="shared" si="13"/>
        <v>2522.4949432839639</v>
      </c>
      <c r="AR18" s="182">
        <f t="shared" si="29"/>
        <v>39.814499999999043</v>
      </c>
    </row>
    <row r="19" spans="1:45" ht="15" x14ac:dyDescent="0.25">
      <c r="A19" s="148" t="str">
        <f t="shared" si="15"/>
        <v>46211E</v>
      </c>
      <c r="B19" s="51">
        <f t="shared" si="35"/>
        <v>46211</v>
      </c>
      <c r="C19" s="157" t="s">
        <v>88</v>
      </c>
      <c r="D19" s="184">
        <v>3794</v>
      </c>
      <c r="E19" s="169">
        <v>5.1100000000000003</v>
      </c>
      <c r="F19" s="169">
        <v>8.49</v>
      </c>
      <c r="G19" s="169">
        <f t="shared" si="16"/>
        <v>193.87340000000003</v>
      </c>
      <c r="H19" s="170">
        <f t="shared" si="17"/>
        <v>322.11060000000003</v>
      </c>
      <c r="I19" s="160">
        <v>9085.7000000000007</v>
      </c>
      <c r="J19" s="161">
        <v>9358.2710000000006</v>
      </c>
      <c r="K19" s="162">
        <v>4.5604268245704782</v>
      </c>
      <c r="L19" s="163">
        <v>8.3726795954081688</v>
      </c>
      <c r="M19" s="164">
        <v>0</v>
      </c>
      <c r="N19" s="164">
        <v>0</v>
      </c>
      <c r="O19" s="165">
        <v>0</v>
      </c>
      <c r="P19" s="166">
        <v>0</v>
      </c>
      <c r="Q19" s="167">
        <v>0</v>
      </c>
      <c r="R19" s="168">
        <f t="shared" si="18"/>
        <v>9358.2710000000006</v>
      </c>
      <c r="S19" s="169">
        <f t="shared" si="19"/>
        <v>426.77710099999996</v>
      </c>
      <c r="T19" s="170">
        <f t="shared" si="20"/>
        <v>783.53804649999995</v>
      </c>
      <c r="U19" s="171" t="s">
        <v>167</v>
      </c>
      <c r="V19" s="172" t="s">
        <v>167</v>
      </c>
      <c r="W19" s="159">
        <v>0</v>
      </c>
      <c r="X19" s="173">
        <v>0</v>
      </c>
      <c r="Y19" s="174">
        <v>0</v>
      </c>
      <c r="Z19" s="174">
        <v>0</v>
      </c>
      <c r="AA19" s="62">
        <f t="shared" si="36"/>
        <v>0</v>
      </c>
      <c r="AB19" s="63">
        <f t="shared" si="37"/>
        <v>0</v>
      </c>
      <c r="AC19" s="175"/>
      <c r="AD19" s="176"/>
      <c r="AE19" s="176"/>
      <c r="AF19" s="169">
        <f t="shared" si="23"/>
        <v>0</v>
      </c>
      <c r="AG19" s="170">
        <f t="shared" si="24"/>
        <v>0</v>
      </c>
      <c r="AH19" s="183">
        <v>13192</v>
      </c>
      <c r="AI19" s="159">
        <v>4.71</v>
      </c>
      <c r="AJ19" s="159">
        <v>8.4</v>
      </c>
      <c r="AK19" s="169">
        <f t="shared" si="30"/>
        <v>621.34320000000002</v>
      </c>
      <c r="AL19" s="178">
        <f t="shared" si="31"/>
        <v>1108.1280000000002</v>
      </c>
      <c r="AM19" s="179">
        <f t="shared" si="32"/>
        <v>-39.72899999999936</v>
      </c>
      <c r="AN19" s="180">
        <f t="shared" si="33"/>
        <v>-0.69269900000006146</v>
      </c>
      <c r="AO19" s="180">
        <f t="shared" si="34"/>
        <v>-2.4793535000001157</v>
      </c>
      <c r="AP19" s="181">
        <f t="shared" si="28"/>
        <v>-2.6208483852757673E-3</v>
      </c>
      <c r="AQ19" s="76">
        <f t="shared" si="13"/>
        <v>-1075.408715154651</v>
      </c>
      <c r="AR19" s="182">
        <f t="shared" si="29"/>
        <v>-39.72899999999936</v>
      </c>
    </row>
    <row r="20" spans="1:45" ht="15" x14ac:dyDescent="0.25">
      <c r="A20" s="148" t="str">
        <f t="shared" si="15"/>
        <v>46212M</v>
      </c>
      <c r="B20" s="51">
        <f t="shared" si="35"/>
        <v>46212</v>
      </c>
      <c r="C20" s="157" t="s">
        <v>87</v>
      </c>
      <c r="D20" s="184">
        <v>13192</v>
      </c>
      <c r="E20" s="169">
        <v>4.71</v>
      </c>
      <c r="F20" s="169">
        <v>8.4</v>
      </c>
      <c r="G20" s="169">
        <f t="shared" si="16"/>
        <v>621.34320000000002</v>
      </c>
      <c r="H20" s="170">
        <f t="shared" si="17"/>
        <v>1108.1280000000002</v>
      </c>
      <c r="I20" s="160">
        <v>3870.5499999999997</v>
      </c>
      <c r="J20" s="161">
        <v>3986.6664999999998</v>
      </c>
      <c r="K20" s="162">
        <v>5.1716694009895257</v>
      </c>
      <c r="L20" s="163">
        <v>8.5392101897663153</v>
      </c>
      <c r="M20" s="164">
        <v>0</v>
      </c>
      <c r="N20" s="164">
        <v>0</v>
      </c>
      <c r="O20" s="165">
        <v>0</v>
      </c>
      <c r="P20" s="166">
        <v>0</v>
      </c>
      <c r="Q20" s="167">
        <v>0</v>
      </c>
      <c r="R20" s="168">
        <f t="shared" si="18"/>
        <v>3986.6664999999998</v>
      </c>
      <c r="S20" s="169">
        <f t="shared" si="19"/>
        <v>206.17721150000008</v>
      </c>
      <c r="T20" s="170">
        <f t="shared" si="20"/>
        <v>340.42983200000009</v>
      </c>
      <c r="U20" s="171" t="s">
        <v>194</v>
      </c>
      <c r="V20" s="172" t="s">
        <v>396</v>
      </c>
      <c r="W20" s="159" t="s">
        <v>187</v>
      </c>
      <c r="X20" s="173">
        <v>17290</v>
      </c>
      <c r="Y20" s="174">
        <v>4.9000000000000004</v>
      </c>
      <c r="Z20" s="174">
        <v>8.51</v>
      </c>
      <c r="AA20" s="62">
        <f t="shared" si="36"/>
        <v>847.21</v>
      </c>
      <c r="AB20" s="63">
        <f t="shared" si="37"/>
        <v>1471.3789999999999</v>
      </c>
      <c r="AC20" s="175">
        <v>17280</v>
      </c>
      <c r="AD20" s="176">
        <v>4.8499999999999996</v>
      </c>
      <c r="AE20" s="176">
        <v>8.4399999999999977</v>
      </c>
      <c r="AF20" s="169">
        <f t="shared" si="23"/>
        <v>838.07999999999993</v>
      </c>
      <c r="AG20" s="170">
        <f t="shared" si="24"/>
        <v>1458.4319999999996</v>
      </c>
      <c r="AH20" s="183">
        <v>0</v>
      </c>
      <c r="AI20" s="159">
        <v>0</v>
      </c>
      <c r="AJ20" s="159">
        <v>0</v>
      </c>
      <c r="AK20" s="169">
        <f t="shared" si="30"/>
        <v>0</v>
      </c>
      <c r="AL20" s="178">
        <f t="shared" si="31"/>
        <v>0</v>
      </c>
      <c r="AM20" s="179">
        <f t="shared" si="32"/>
        <v>-101.33350000000064</v>
      </c>
      <c r="AN20" s="180">
        <f t="shared" si="33"/>
        <v>-10.559588499999791</v>
      </c>
      <c r="AO20" s="180">
        <f t="shared" si="34"/>
        <v>-9.8741679999993721</v>
      </c>
      <c r="AP20" s="181">
        <f t="shared" si="28"/>
        <v>-3.738290009795521E-2</v>
      </c>
      <c r="AQ20" s="76">
        <f t="shared" si="13"/>
        <v>-8031.4513622220193</v>
      </c>
      <c r="AR20" s="182">
        <f t="shared" si="29"/>
        <v>-111.33350000000064</v>
      </c>
    </row>
    <row r="21" spans="1:45" ht="15" x14ac:dyDescent="0.25">
      <c r="A21" s="148" t="str">
        <f t="shared" si="15"/>
        <v>46212E</v>
      </c>
      <c r="B21" s="51">
        <f t="shared" si="35"/>
        <v>46212</v>
      </c>
      <c r="C21" s="157" t="s">
        <v>88</v>
      </c>
      <c r="D21" s="184">
        <v>0</v>
      </c>
      <c r="E21" s="169">
        <v>0</v>
      </c>
      <c r="F21" s="169">
        <v>0</v>
      </c>
      <c r="G21" s="169">
        <f t="shared" si="16"/>
        <v>0</v>
      </c>
      <c r="H21" s="170">
        <f t="shared" si="17"/>
        <v>0</v>
      </c>
      <c r="I21" s="160">
        <v>6129.0499999999975</v>
      </c>
      <c r="J21" s="161">
        <v>6312.9214999999976</v>
      </c>
      <c r="K21" s="162">
        <v>4.5868609327709837</v>
      </c>
      <c r="L21" s="163">
        <v>8.4291007578662267</v>
      </c>
      <c r="M21" s="164">
        <v>0</v>
      </c>
      <c r="N21" s="164">
        <v>0</v>
      </c>
      <c r="O21" s="165">
        <v>0</v>
      </c>
      <c r="P21" s="166">
        <v>0</v>
      </c>
      <c r="Q21" s="167">
        <v>0</v>
      </c>
      <c r="R21" s="168">
        <f t="shared" si="18"/>
        <v>6312.9214999999976</v>
      </c>
      <c r="S21" s="169">
        <f t="shared" si="19"/>
        <v>289.56492999999989</v>
      </c>
      <c r="T21" s="170">
        <f t="shared" si="20"/>
        <v>532.1225139999998</v>
      </c>
      <c r="U21" s="171" t="s">
        <v>167</v>
      </c>
      <c r="V21" s="172" t="s">
        <v>167</v>
      </c>
      <c r="W21" s="159">
        <v>0</v>
      </c>
      <c r="X21" s="173">
        <v>0</v>
      </c>
      <c r="Y21" s="174">
        <v>0</v>
      </c>
      <c r="Z21" s="174">
        <v>0</v>
      </c>
      <c r="AA21" s="62">
        <f t="shared" si="36"/>
        <v>0</v>
      </c>
      <c r="AB21" s="63">
        <f t="shared" si="37"/>
        <v>0</v>
      </c>
      <c r="AC21" s="175"/>
      <c r="AD21" s="176"/>
      <c r="AE21" s="176"/>
      <c r="AF21" s="169">
        <f t="shared" si="23"/>
        <v>0</v>
      </c>
      <c r="AG21" s="170">
        <f t="shared" si="24"/>
        <v>0</v>
      </c>
      <c r="AH21" s="183">
        <v>6312.8</v>
      </c>
      <c r="AI21" s="159">
        <v>4.59</v>
      </c>
      <c r="AJ21" s="159">
        <v>8.43</v>
      </c>
      <c r="AK21" s="169">
        <f t="shared" si="30"/>
        <v>289.75752</v>
      </c>
      <c r="AL21" s="178">
        <f t="shared" si="31"/>
        <v>532.16904</v>
      </c>
      <c r="AM21" s="179">
        <f t="shared" si="32"/>
        <v>0.12149999999746797</v>
      </c>
      <c r="AN21" s="180">
        <f t="shared" si="33"/>
        <v>-0.19259000000010928</v>
      </c>
      <c r="AO21" s="180">
        <f t="shared" si="34"/>
        <v>-4.6526000000199019E-2</v>
      </c>
      <c r="AP21" s="181">
        <f t="shared" si="28"/>
        <v>-2.9100602880857506E-4</v>
      </c>
      <c r="AQ21" s="76">
        <f t="shared" si="13"/>
        <v>-106.4798859179984</v>
      </c>
      <c r="AR21" s="182">
        <f t="shared" si="29"/>
        <v>0.12149999999746797</v>
      </c>
    </row>
    <row r="22" spans="1:45" ht="15" x14ac:dyDescent="0.25">
      <c r="A22" s="148" t="str">
        <f t="shared" si="15"/>
        <v>46213M</v>
      </c>
      <c r="B22" s="51">
        <f t="shared" si="35"/>
        <v>46213</v>
      </c>
      <c r="C22" s="157" t="s">
        <v>87</v>
      </c>
      <c r="D22" s="184">
        <v>6312.8</v>
      </c>
      <c r="E22" s="169">
        <v>4.59</v>
      </c>
      <c r="F22" s="169">
        <v>8.43</v>
      </c>
      <c r="G22" s="169">
        <f t="shared" si="16"/>
        <v>289.75752</v>
      </c>
      <c r="H22" s="170">
        <f t="shared" si="17"/>
        <v>532.16904</v>
      </c>
      <c r="I22" s="160">
        <v>3762.1000000000004</v>
      </c>
      <c r="J22" s="161">
        <v>3874.9630000000006</v>
      </c>
      <c r="K22" s="162">
        <v>5.0854522739959069</v>
      </c>
      <c r="L22" s="163">
        <v>8.4922702745806866</v>
      </c>
      <c r="M22" s="164">
        <v>0</v>
      </c>
      <c r="N22" s="164">
        <v>0</v>
      </c>
      <c r="O22" s="165">
        <v>0</v>
      </c>
      <c r="P22" s="166">
        <v>0</v>
      </c>
      <c r="Q22" s="167">
        <v>0</v>
      </c>
      <c r="R22" s="168">
        <f t="shared" si="18"/>
        <v>3874.9630000000006</v>
      </c>
      <c r="S22" s="169">
        <f t="shared" si="19"/>
        <v>197.05939400000005</v>
      </c>
      <c r="T22" s="170">
        <f t="shared" si="20"/>
        <v>329.07233100000008</v>
      </c>
      <c r="U22" s="171" t="s">
        <v>167</v>
      </c>
      <c r="V22" s="172" t="s">
        <v>167</v>
      </c>
      <c r="W22" s="159">
        <v>0</v>
      </c>
      <c r="X22" s="173">
        <v>0</v>
      </c>
      <c r="Y22" s="174">
        <v>0</v>
      </c>
      <c r="Z22" s="174">
        <v>0</v>
      </c>
      <c r="AA22" s="62">
        <f t="shared" si="36"/>
        <v>0</v>
      </c>
      <c r="AB22" s="63">
        <f t="shared" si="37"/>
        <v>0</v>
      </c>
      <c r="AC22" s="175"/>
      <c r="AD22" s="176"/>
      <c r="AE22" s="176"/>
      <c r="AF22" s="169">
        <f t="shared" si="23"/>
        <v>0</v>
      </c>
      <c r="AG22" s="170">
        <f t="shared" si="24"/>
        <v>0</v>
      </c>
      <c r="AH22" s="183">
        <v>10187.700000000001</v>
      </c>
      <c r="AI22" s="159">
        <v>4.78</v>
      </c>
      <c r="AJ22" s="159">
        <v>8.4499999999999993</v>
      </c>
      <c r="AK22" s="169">
        <f t="shared" si="30"/>
        <v>486.97206000000006</v>
      </c>
      <c r="AL22" s="178">
        <f t="shared" si="31"/>
        <v>860.86064999999996</v>
      </c>
      <c r="AM22" s="179">
        <f t="shared" si="32"/>
        <v>6.3000000000101863E-2</v>
      </c>
      <c r="AN22" s="180">
        <f t="shared" si="33"/>
        <v>-0.155146000000002</v>
      </c>
      <c r="AO22" s="180">
        <f t="shared" si="34"/>
        <v>0.38072100000010778</v>
      </c>
      <c r="AP22" s="181">
        <f t="shared" si="28"/>
        <v>4.2874244087848094E-4</v>
      </c>
      <c r="AQ22" s="76">
        <f t="shared" si="13"/>
        <v>39.469847679371654</v>
      </c>
      <c r="AR22" s="182">
        <f t="shared" si="29"/>
        <v>6.3000000000101863E-2</v>
      </c>
    </row>
    <row r="23" spans="1:45" ht="15" x14ac:dyDescent="0.25">
      <c r="A23" s="148" t="str">
        <f t="shared" si="15"/>
        <v>46213E</v>
      </c>
      <c r="B23" s="51">
        <f t="shared" si="35"/>
        <v>46213</v>
      </c>
      <c r="C23" s="157" t="s">
        <v>88</v>
      </c>
      <c r="D23" s="184">
        <v>10187.700000000001</v>
      </c>
      <c r="E23" s="169">
        <v>4.78</v>
      </c>
      <c r="F23" s="169">
        <v>8.4499999999999993</v>
      </c>
      <c r="G23" s="169">
        <f t="shared" si="16"/>
        <v>486.97206000000006</v>
      </c>
      <c r="H23" s="170">
        <f t="shared" si="17"/>
        <v>860.86064999999996</v>
      </c>
      <c r="I23" s="160">
        <v>6325.65</v>
      </c>
      <c r="J23" s="161">
        <v>6515.4195</v>
      </c>
      <c r="K23" s="162">
        <v>4.5063202990996993</v>
      </c>
      <c r="L23" s="163">
        <v>8.4232205386007752</v>
      </c>
      <c r="M23" s="164">
        <v>0</v>
      </c>
      <c r="N23" s="164">
        <v>0</v>
      </c>
      <c r="O23" s="165">
        <v>0</v>
      </c>
      <c r="P23" s="166">
        <v>0</v>
      </c>
      <c r="Q23" s="167">
        <v>0</v>
      </c>
      <c r="R23" s="168">
        <f t="shared" si="18"/>
        <v>6515.4195</v>
      </c>
      <c r="S23" s="169">
        <f t="shared" si="19"/>
        <v>293.60567150000014</v>
      </c>
      <c r="T23" s="170">
        <f t="shared" si="20"/>
        <v>548.8081535</v>
      </c>
      <c r="U23" s="171" t="s">
        <v>194</v>
      </c>
      <c r="V23" s="172" t="s">
        <v>438</v>
      </c>
      <c r="W23" s="159" t="s">
        <v>187</v>
      </c>
      <c r="X23" s="173">
        <v>9520</v>
      </c>
      <c r="Y23" s="174">
        <v>4.8600000000000003</v>
      </c>
      <c r="Z23" s="174">
        <v>8.5299999999999994</v>
      </c>
      <c r="AA23" s="62">
        <f t="shared" si="36"/>
        <v>462.67200000000003</v>
      </c>
      <c r="AB23" s="63">
        <f t="shared" si="37"/>
        <v>812.05599999999993</v>
      </c>
      <c r="AC23" s="175">
        <v>9510</v>
      </c>
      <c r="AD23" s="176">
        <v>4.8662986330178759</v>
      </c>
      <c r="AE23" s="176">
        <v>8.5381493165089388</v>
      </c>
      <c r="AF23" s="169">
        <f t="shared" si="23"/>
        <v>462.78499999999997</v>
      </c>
      <c r="AG23" s="170">
        <f t="shared" si="24"/>
        <v>811.97800000000007</v>
      </c>
      <c r="AH23" s="183">
        <v>7183</v>
      </c>
      <c r="AI23" s="159">
        <v>4.67</v>
      </c>
      <c r="AJ23" s="187">
        <v>8.44</v>
      </c>
      <c r="AK23" s="169">
        <f t="shared" si="30"/>
        <v>335.4461</v>
      </c>
      <c r="AL23" s="178">
        <f t="shared" si="31"/>
        <v>606.24519999999995</v>
      </c>
      <c r="AM23" s="179">
        <f t="shared" si="32"/>
        <v>10.119500000000698</v>
      </c>
      <c r="AN23" s="180">
        <f t="shared" si="33"/>
        <v>-17.653368499999715</v>
      </c>
      <c r="AO23" s="180">
        <f t="shared" si="34"/>
        <v>-8.5543965000000526</v>
      </c>
      <c r="AP23" s="181">
        <f t="shared" si="28"/>
        <v>-3.1110321580963805E-2</v>
      </c>
      <c r="AQ23" s="76">
        <f t="shared" si="13"/>
        <v>-11044.983714435853</v>
      </c>
      <c r="AR23" s="182">
        <f t="shared" si="29"/>
        <v>0.11950000000069849</v>
      </c>
    </row>
    <row r="24" spans="1:45" ht="15" x14ac:dyDescent="0.25">
      <c r="A24" s="148" t="str">
        <f t="shared" si="15"/>
        <v>46214M</v>
      </c>
      <c r="B24" s="51">
        <f t="shared" si="35"/>
        <v>46214</v>
      </c>
      <c r="C24" s="157" t="s">
        <v>87</v>
      </c>
      <c r="D24" s="184">
        <v>7183</v>
      </c>
      <c r="E24" s="169">
        <v>4.67</v>
      </c>
      <c r="F24" s="169">
        <v>8.44</v>
      </c>
      <c r="G24" s="169">
        <f t="shared" si="16"/>
        <v>335.4461</v>
      </c>
      <c r="H24" s="170">
        <f t="shared" si="17"/>
        <v>606.24519999999995</v>
      </c>
      <c r="I24" s="160">
        <v>4181.8499999999985</v>
      </c>
      <c r="J24" s="161">
        <v>4307.3054999999986</v>
      </c>
      <c r="K24" s="162">
        <v>5.0715460860623915</v>
      </c>
      <c r="L24" s="163">
        <v>8.5224780898406216</v>
      </c>
      <c r="M24" s="164">
        <v>0</v>
      </c>
      <c r="N24" s="164">
        <v>0</v>
      </c>
      <c r="O24" s="165">
        <v>0</v>
      </c>
      <c r="P24" s="166">
        <v>0</v>
      </c>
      <c r="Q24" s="167">
        <v>0</v>
      </c>
      <c r="R24" s="168">
        <f t="shared" si="18"/>
        <v>4307.3054999999986</v>
      </c>
      <c r="S24" s="169">
        <f t="shared" si="19"/>
        <v>218.44698350000004</v>
      </c>
      <c r="T24" s="170">
        <f t="shared" si="20"/>
        <v>367.08916749999992</v>
      </c>
      <c r="U24" s="171" t="s">
        <v>167</v>
      </c>
      <c r="V24" s="172" t="s">
        <v>180</v>
      </c>
      <c r="W24" s="159">
        <v>0</v>
      </c>
      <c r="X24" s="173">
        <v>0</v>
      </c>
      <c r="Y24" s="174">
        <v>0</v>
      </c>
      <c r="Z24" s="174">
        <v>0</v>
      </c>
      <c r="AA24" s="62">
        <f t="shared" si="36"/>
        <v>0</v>
      </c>
      <c r="AB24" s="63">
        <f t="shared" si="37"/>
        <v>0</v>
      </c>
      <c r="AC24" s="175"/>
      <c r="AD24" s="176"/>
      <c r="AE24" s="176"/>
      <c r="AF24" s="169">
        <f t="shared" si="23"/>
        <v>0</v>
      </c>
      <c r="AG24" s="170">
        <f t="shared" si="24"/>
        <v>0</v>
      </c>
      <c r="AH24" s="183">
        <v>11490.2</v>
      </c>
      <c r="AI24" s="159">
        <v>4.8099999999999996</v>
      </c>
      <c r="AJ24" s="159">
        <v>8.4600000000000009</v>
      </c>
      <c r="AK24" s="169">
        <f t="shared" si="30"/>
        <v>552.67862000000002</v>
      </c>
      <c r="AL24" s="178">
        <f t="shared" si="31"/>
        <v>972.07092000000011</v>
      </c>
      <c r="AM24" s="179">
        <f t="shared" si="32"/>
        <v>0.10549999999784632</v>
      </c>
      <c r="AN24" s="180">
        <f t="shared" si="33"/>
        <v>1.214463500000079</v>
      </c>
      <c r="AO24" s="180">
        <f t="shared" si="34"/>
        <v>1.2634474999997565</v>
      </c>
      <c r="AP24" s="181">
        <f t="shared" si="28"/>
        <v>4.2318668040700284E-3</v>
      </c>
      <c r="AQ24" s="76">
        <f t="shared" si="13"/>
        <v>961.98051659064674</v>
      </c>
      <c r="AR24" s="182">
        <f t="shared" si="29"/>
        <v>0.10549999999784632</v>
      </c>
      <c r="AS24" s="188"/>
    </row>
    <row r="25" spans="1:45" ht="15" x14ac:dyDescent="0.25">
      <c r="A25" s="148" t="str">
        <f t="shared" si="15"/>
        <v>46214E</v>
      </c>
      <c r="B25" s="51">
        <f t="shared" si="35"/>
        <v>46214</v>
      </c>
      <c r="C25" s="157" t="s">
        <v>88</v>
      </c>
      <c r="D25" s="184">
        <v>11490.2</v>
      </c>
      <c r="E25" s="169">
        <v>4.8099999999999996</v>
      </c>
      <c r="F25" s="169">
        <v>8.4600000000000009</v>
      </c>
      <c r="G25" s="169">
        <f t="shared" si="16"/>
        <v>552.67862000000002</v>
      </c>
      <c r="H25" s="170">
        <f t="shared" si="17"/>
        <v>972.07092000000011</v>
      </c>
      <c r="I25" s="160">
        <v>9947.8499999999985</v>
      </c>
      <c r="J25" s="161">
        <v>10246.285499999998</v>
      </c>
      <c r="K25" s="162">
        <v>4.4560754333851031</v>
      </c>
      <c r="L25" s="163">
        <v>8.3296657066602329</v>
      </c>
      <c r="M25" s="164">
        <v>0</v>
      </c>
      <c r="N25" s="164">
        <v>0</v>
      </c>
      <c r="O25" s="165">
        <v>0</v>
      </c>
      <c r="P25" s="166">
        <v>0</v>
      </c>
      <c r="Q25" s="167">
        <v>0</v>
      </c>
      <c r="R25" s="168">
        <f t="shared" si="18"/>
        <v>10246.285499999998</v>
      </c>
      <c r="S25" s="169">
        <f t="shared" si="19"/>
        <v>456.58221099999992</v>
      </c>
      <c r="T25" s="170">
        <f t="shared" si="20"/>
        <v>853.48132949999979</v>
      </c>
      <c r="U25" s="171" t="s">
        <v>194</v>
      </c>
      <c r="V25" s="172" t="s">
        <v>439</v>
      </c>
      <c r="W25" s="159" t="s">
        <v>187</v>
      </c>
      <c r="X25" s="173">
        <v>12820</v>
      </c>
      <c r="Y25" s="174">
        <v>4.78</v>
      </c>
      <c r="Z25" s="174">
        <v>8.3699999999999992</v>
      </c>
      <c r="AA25" s="62">
        <f t="shared" si="36"/>
        <v>612.79600000000005</v>
      </c>
      <c r="AB25" s="63">
        <f t="shared" si="37"/>
        <v>1073.0339999999999</v>
      </c>
      <c r="AC25" s="175">
        <v>12830</v>
      </c>
      <c r="AD25" s="176">
        <v>4.7864770070148088</v>
      </c>
      <c r="AE25" s="176">
        <v>8.3648636009353066</v>
      </c>
      <c r="AF25" s="169">
        <f t="shared" si="23"/>
        <v>614.10500000000002</v>
      </c>
      <c r="AG25" s="170">
        <f t="shared" si="24"/>
        <v>1073.212</v>
      </c>
      <c r="AH25" s="183">
        <v>8916.6</v>
      </c>
      <c r="AI25" s="159">
        <v>4.6399999999999997</v>
      </c>
      <c r="AJ25" s="159">
        <v>8.3699999999999992</v>
      </c>
      <c r="AK25" s="169">
        <f t="shared" si="30"/>
        <v>413.73023999999998</v>
      </c>
      <c r="AL25" s="178">
        <f t="shared" si="31"/>
        <v>746.31942000000004</v>
      </c>
      <c r="AM25" s="179">
        <f t="shared" si="32"/>
        <v>-10.114500000001499</v>
      </c>
      <c r="AN25" s="180">
        <f t="shared" si="33"/>
        <v>-18.57440900000006</v>
      </c>
      <c r="AO25" s="180">
        <f t="shared" si="34"/>
        <v>6.0208294999999907</v>
      </c>
      <c r="AP25" s="181">
        <f t="shared" si="28"/>
        <v>-9.5824203268864809E-3</v>
      </c>
      <c r="AQ25" s="76">
        <f t="shared" si="13"/>
        <v>-7122.4232203725624</v>
      </c>
      <c r="AR25" s="182">
        <f t="shared" si="29"/>
        <v>-0.11449999999967986</v>
      </c>
    </row>
    <row r="26" spans="1:45" ht="15" x14ac:dyDescent="0.25">
      <c r="A26" s="148" t="str">
        <f t="shared" si="15"/>
        <v>46215M</v>
      </c>
      <c r="B26" s="51">
        <f t="shared" si="35"/>
        <v>46215</v>
      </c>
      <c r="C26" s="157" t="s">
        <v>87</v>
      </c>
      <c r="D26" s="184">
        <v>8916.6</v>
      </c>
      <c r="E26" s="169">
        <v>4.6399999999999997</v>
      </c>
      <c r="F26" s="169">
        <v>8.3699999999999992</v>
      </c>
      <c r="G26" s="169">
        <f t="shared" si="16"/>
        <v>413.73023999999998</v>
      </c>
      <c r="H26" s="170">
        <f t="shared" si="17"/>
        <v>746.31942000000004</v>
      </c>
      <c r="I26" s="160">
        <v>4441.7</v>
      </c>
      <c r="J26" s="161">
        <v>4574.951</v>
      </c>
      <c r="K26" s="162">
        <v>5.0052614989756155</v>
      </c>
      <c r="L26" s="163">
        <v>8.4849280680820414</v>
      </c>
      <c r="M26" s="164">
        <v>0</v>
      </c>
      <c r="N26" s="164">
        <v>0</v>
      </c>
      <c r="O26" s="165">
        <v>0</v>
      </c>
      <c r="P26" s="166">
        <v>0</v>
      </c>
      <c r="Q26" s="167">
        <v>0</v>
      </c>
      <c r="R26" s="168">
        <f t="shared" si="18"/>
        <v>4574.951</v>
      </c>
      <c r="S26" s="169">
        <f t="shared" si="19"/>
        <v>228.98826099999991</v>
      </c>
      <c r="T26" s="170">
        <f t="shared" si="20"/>
        <v>388.18130150000002</v>
      </c>
      <c r="U26" s="171" t="s">
        <v>167</v>
      </c>
      <c r="V26" s="172" t="s">
        <v>167</v>
      </c>
      <c r="W26" s="159">
        <v>0</v>
      </c>
      <c r="X26" s="173">
        <v>0</v>
      </c>
      <c r="Y26" s="174">
        <v>0</v>
      </c>
      <c r="Z26" s="174">
        <v>0</v>
      </c>
      <c r="AA26" s="62">
        <f t="shared" si="36"/>
        <v>0</v>
      </c>
      <c r="AB26" s="63">
        <f t="shared" si="37"/>
        <v>0</v>
      </c>
      <c r="AC26" s="175"/>
      <c r="AD26" s="176"/>
      <c r="AE26" s="176"/>
      <c r="AF26" s="169">
        <f t="shared" si="23"/>
        <v>0</v>
      </c>
      <c r="AG26" s="170">
        <f t="shared" si="24"/>
        <v>0</v>
      </c>
      <c r="AH26" s="183">
        <v>13491.5</v>
      </c>
      <c r="AI26" s="159">
        <v>4.76</v>
      </c>
      <c r="AJ26" s="159">
        <v>8.42</v>
      </c>
      <c r="AK26" s="169">
        <f t="shared" si="30"/>
        <v>642.19539999999995</v>
      </c>
      <c r="AL26" s="178">
        <f t="shared" si="31"/>
        <v>1135.9842999999998</v>
      </c>
      <c r="AM26" s="179">
        <f t="shared" si="32"/>
        <v>5.0999999999476131E-2</v>
      </c>
      <c r="AN26" s="180">
        <f t="shared" si="33"/>
        <v>0.52310099999988324</v>
      </c>
      <c r="AO26" s="180">
        <f t="shared" si="34"/>
        <v>-1.4835784999997941</v>
      </c>
      <c r="AP26" s="181">
        <f t="shared" si="28"/>
        <v>-1.5562619389544359E-3</v>
      </c>
      <c r="AQ26" s="76">
        <f t="shared" si="13"/>
        <v>-192.95149760821474</v>
      </c>
      <c r="AR26" s="182">
        <f t="shared" si="29"/>
        <v>5.0999999999476131E-2</v>
      </c>
    </row>
    <row r="27" spans="1:45" ht="15" x14ac:dyDescent="0.25">
      <c r="A27" s="148" t="str">
        <f t="shared" si="15"/>
        <v>46215E</v>
      </c>
      <c r="B27" s="51">
        <f t="shared" si="35"/>
        <v>46215</v>
      </c>
      <c r="C27" s="157" t="s">
        <v>88</v>
      </c>
      <c r="D27" s="184">
        <v>13491.5</v>
      </c>
      <c r="E27" s="169">
        <v>4.76</v>
      </c>
      <c r="F27" s="169">
        <v>8.42</v>
      </c>
      <c r="G27" s="169">
        <f t="shared" si="16"/>
        <v>642.19539999999995</v>
      </c>
      <c r="H27" s="170">
        <f t="shared" si="17"/>
        <v>1135.9842999999998</v>
      </c>
      <c r="I27" s="160">
        <v>7292.2499999999973</v>
      </c>
      <c r="J27" s="161">
        <v>7511.0174999999972</v>
      </c>
      <c r="K27" s="162">
        <v>4.393754328225171</v>
      </c>
      <c r="L27" s="163">
        <v>8.3925674517467179</v>
      </c>
      <c r="M27" s="164">
        <v>0</v>
      </c>
      <c r="N27" s="164">
        <v>0</v>
      </c>
      <c r="O27" s="165">
        <v>0</v>
      </c>
      <c r="P27" s="166">
        <v>0</v>
      </c>
      <c r="Q27" s="167">
        <v>0</v>
      </c>
      <c r="R27" s="168">
        <f t="shared" si="18"/>
        <v>7511.0174999999972</v>
      </c>
      <c r="S27" s="169">
        <f t="shared" si="19"/>
        <v>330.01565649999992</v>
      </c>
      <c r="T27" s="170">
        <f t="shared" si="20"/>
        <v>630.36720999999989</v>
      </c>
      <c r="U27" s="171" t="s">
        <v>194</v>
      </c>
      <c r="V27" s="172" t="s">
        <v>545</v>
      </c>
      <c r="W27" s="159" t="s">
        <v>187</v>
      </c>
      <c r="X27" s="173">
        <v>18420</v>
      </c>
      <c r="Y27" s="174">
        <v>4.75</v>
      </c>
      <c r="Z27" s="174">
        <v>8.42</v>
      </c>
      <c r="AA27" s="62">
        <f t="shared" si="36"/>
        <v>874.95</v>
      </c>
      <c r="AB27" s="63">
        <f t="shared" si="37"/>
        <v>1550.9639999999999</v>
      </c>
      <c r="AC27" s="175">
        <v>18320</v>
      </c>
      <c r="AD27" s="176">
        <v>4.6500000000000012</v>
      </c>
      <c r="AE27" s="176">
        <v>8.3400000000000016</v>
      </c>
      <c r="AF27" s="169">
        <f t="shared" si="23"/>
        <v>851.88000000000022</v>
      </c>
      <c r="AG27" s="170">
        <f t="shared" si="24"/>
        <v>1527.8880000000004</v>
      </c>
      <c r="AH27" s="158">
        <v>2582.4</v>
      </c>
      <c r="AI27" s="159">
        <v>4.62</v>
      </c>
      <c r="AJ27" s="159">
        <v>8.4</v>
      </c>
      <c r="AK27" s="169">
        <f t="shared" si="30"/>
        <v>119.30687999999999</v>
      </c>
      <c r="AL27" s="178">
        <f t="shared" si="31"/>
        <v>216.92160000000001</v>
      </c>
      <c r="AM27" s="179">
        <f t="shared" si="32"/>
        <v>100.11749999999802</v>
      </c>
      <c r="AN27" s="180">
        <f t="shared" si="33"/>
        <v>1.0241764999995979</v>
      </c>
      <c r="AO27" s="180">
        <f t="shared" si="34"/>
        <v>21.541909999999348</v>
      </c>
      <c r="AP27" s="181">
        <f t="shared" si="28"/>
        <v>2.3496969060098231E-2</v>
      </c>
      <c r="AQ27" s="76">
        <f t="shared" si="13"/>
        <v>6943.7604094422713</v>
      </c>
      <c r="AR27" s="182">
        <f t="shared" si="29"/>
        <v>0.11749999999665306</v>
      </c>
    </row>
    <row r="28" spans="1:45" ht="15" x14ac:dyDescent="0.25">
      <c r="A28" s="148" t="str">
        <f t="shared" si="15"/>
        <v>46216M</v>
      </c>
      <c r="B28" s="51">
        <f t="shared" si="35"/>
        <v>46216</v>
      </c>
      <c r="C28" s="157" t="s">
        <v>87</v>
      </c>
      <c r="D28" s="184">
        <v>2582.4</v>
      </c>
      <c r="E28" s="169">
        <v>4.62</v>
      </c>
      <c r="F28" s="169">
        <v>8.4</v>
      </c>
      <c r="G28" s="169">
        <f t="shared" si="16"/>
        <v>119.30687999999999</v>
      </c>
      <c r="H28" s="170">
        <f t="shared" si="17"/>
        <v>216.92160000000001</v>
      </c>
      <c r="I28" s="160">
        <v>4316.8999999999987</v>
      </c>
      <c r="J28" s="161">
        <v>4446.4069999999992</v>
      </c>
      <c r="K28" s="162">
        <v>5.1434571104264624</v>
      </c>
      <c r="L28" s="163">
        <v>8.4889561954180088</v>
      </c>
      <c r="M28" s="164">
        <v>0</v>
      </c>
      <c r="N28" s="164">
        <v>0</v>
      </c>
      <c r="O28" s="165">
        <v>0</v>
      </c>
      <c r="P28" s="166">
        <v>0</v>
      </c>
      <c r="Q28" s="167">
        <v>0</v>
      </c>
      <c r="R28" s="168">
        <f t="shared" si="18"/>
        <v>4446.4069999999992</v>
      </c>
      <c r="S28" s="169">
        <f t="shared" si="19"/>
        <v>228.69903699999992</v>
      </c>
      <c r="T28" s="170">
        <f t="shared" si="20"/>
        <v>377.45354249999997</v>
      </c>
      <c r="U28" s="171" t="s">
        <v>167</v>
      </c>
      <c r="V28" s="172" t="s">
        <v>167</v>
      </c>
      <c r="W28" s="159">
        <v>0</v>
      </c>
      <c r="X28" s="173">
        <v>0</v>
      </c>
      <c r="Y28" s="174">
        <v>0</v>
      </c>
      <c r="Z28" s="174">
        <v>0</v>
      </c>
      <c r="AA28" s="62">
        <f t="shared" si="36"/>
        <v>0</v>
      </c>
      <c r="AB28" s="63">
        <f t="shared" si="37"/>
        <v>0</v>
      </c>
      <c r="AC28" s="175"/>
      <c r="AD28" s="176"/>
      <c r="AE28" s="176"/>
      <c r="AF28" s="169">
        <f t="shared" si="23"/>
        <v>0</v>
      </c>
      <c r="AG28" s="170">
        <f t="shared" si="24"/>
        <v>0</v>
      </c>
      <c r="AH28" s="158">
        <v>7028.8</v>
      </c>
      <c r="AI28" s="159">
        <v>4.9400000000000004</v>
      </c>
      <c r="AJ28" s="159">
        <v>8.4499999999999993</v>
      </c>
      <c r="AK28" s="169">
        <f t="shared" si="30"/>
        <v>347.22272000000004</v>
      </c>
      <c r="AL28" s="178">
        <f t="shared" si="31"/>
        <v>593.93359999999996</v>
      </c>
      <c r="AM28" s="179">
        <f t="shared" si="32"/>
        <v>6.9999999986976036E-3</v>
      </c>
      <c r="AN28" s="180">
        <f t="shared" si="33"/>
        <v>0.78319699999985914</v>
      </c>
      <c r="AO28" s="180">
        <f t="shared" si="34"/>
        <v>0.44154250000008233</v>
      </c>
      <c r="AP28" s="181">
        <f t="shared" si="28"/>
        <v>2.0205135495920822E-3</v>
      </c>
      <c r="AQ28" s="76">
        <f t="shared" si="13"/>
        <v>508.58969667590122</v>
      </c>
      <c r="AR28" s="182">
        <f t="shared" si="29"/>
        <v>6.9999999986976036E-3</v>
      </c>
    </row>
    <row r="29" spans="1:45" ht="15" x14ac:dyDescent="0.25">
      <c r="A29" s="148" t="str">
        <f t="shared" si="15"/>
        <v>46216E</v>
      </c>
      <c r="B29" s="51">
        <f t="shared" si="35"/>
        <v>46216</v>
      </c>
      <c r="C29" s="157" t="s">
        <v>88</v>
      </c>
      <c r="D29" s="184">
        <v>7028.8</v>
      </c>
      <c r="E29" s="169">
        <v>4.9400000000000004</v>
      </c>
      <c r="F29" s="169">
        <v>8.4499999999999993</v>
      </c>
      <c r="G29" s="169">
        <f t="shared" si="16"/>
        <v>347.22272000000004</v>
      </c>
      <c r="H29" s="170">
        <f t="shared" si="17"/>
        <v>593.93359999999996</v>
      </c>
      <c r="I29" s="160">
        <v>7303.8499999999995</v>
      </c>
      <c r="J29" s="161">
        <v>7522.9654999999993</v>
      </c>
      <c r="K29" s="162">
        <v>4.5120573396222508</v>
      </c>
      <c r="L29" s="163">
        <v>8.4471662205549087</v>
      </c>
      <c r="M29" s="164">
        <v>0</v>
      </c>
      <c r="N29" s="164">
        <v>0</v>
      </c>
      <c r="O29" s="165">
        <v>0</v>
      </c>
      <c r="P29" s="166">
        <v>0</v>
      </c>
      <c r="Q29" s="167">
        <v>0</v>
      </c>
      <c r="R29" s="168">
        <f t="shared" si="18"/>
        <v>7522.9654999999993</v>
      </c>
      <c r="S29" s="169">
        <f t="shared" si="19"/>
        <v>339.44051699999977</v>
      </c>
      <c r="T29" s="170">
        <f t="shared" si="20"/>
        <v>635.47740049999959</v>
      </c>
      <c r="U29" s="171" t="s">
        <v>194</v>
      </c>
      <c r="V29" s="172" t="s">
        <v>546</v>
      </c>
      <c r="W29" s="159" t="s">
        <v>187</v>
      </c>
      <c r="X29" s="173">
        <v>10615</v>
      </c>
      <c r="Y29" s="174">
        <v>4.82</v>
      </c>
      <c r="Z29" s="174">
        <v>8.5399999999999991</v>
      </c>
      <c r="AA29" s="62">
        <f t="shared" si="36"/>
        <v>511.64299999999997</v>
      </c>
      <c r="AB29" s="63">
        <f t="shared" si="37"/>
        <v>906.52099999999984</v>
      </c>
      <c r="AC29" s="175">
        <v>10615</v>
      </c>
      <c r="AD29" s="176">
        <v>4.8201365991521428</v>
      </c>
      <c r="AE29" s="176">
        <v>8.5531229392369283</v>
      </c>
      <c r="AF29" s="169">
        <f t="shared" si="23"/>
        <v>511.65749999999997</v>
      </c>
      <c r="AG29" s="170">
        <f t="shared" si="24"/>
        <v>907.91399999999999</v>
      </c>
      <c r="AH29" s="158">
        <v>3936.7</v>
      </c>
      <c r="AI29" s="159">
        <v>4.75</v>
      </c>
      <c r="AJ29" s="159">
        <v>8.4499999999999993</v>
      </c>
      <c r="AK29" s="169">
        <f t="shared" si="30"/>
        <v>186.99324999999999</v>
      </c>
      <c r="AL29" s="178">
        <f t="shared" si="31"/>
        <v>332.65114999999997</v>
      </c>
      <c r="AM29" s="179">
        <f t="shared" si="32"/>
        <v>6.5499999999701686E-2</v>
      </c>
      <c r="AN29" s="180">
        <f t="shared" si="33"/>
        <v>-11.987513000000206</v>
      </c>
      <c r="AO29" s="180">
        <f t="shared" si="34"/>
        <v>-11.154149500000415</v>
      </c>
      <c r="AP29" s="181">
        <f t="shared" si="28"/>
        <v>-2.3737036815718014E-2</v>
      </c>
      <c r="AQ29" s="76">
        <f t="shared" si="13"/>
        <v>-9100.95862251166</v>
      </c>
      <c r="AR29" s="182">
        <f t="shared" si="29"/>
        <v>6.5499999998792191E-2</v>
      </c>
    </row>
    <row r="30" spans="1:45" ht="15" x14ac:dyDescent="0.25">
      <c r="A30" s="148" t="str">
        <f t="shared" si="15"/>
        <v>46217M</v>
      </c>
      <c r="B30" s="51">
        <f t="shared" si="35"/>
        <v>46217</v>
      </c>
      <c r="C30" s="157" t="s">
        <v>87</v>
      </c>
      <c r="D30" s="79">
        <v>3936.7</v>
      </c>
      <c r="E30" s="62">
        <v>4.75</v>
      </c>
      <c r="F30" s="62">
        <v>8.4499999999999993</v>
      </c>
      <c r="G30" s="169">
        <f t="shared" si="16"/>
        <v>186.99324999999999</v>
      </c>
      <c r="H30" s="170">
        <f t="shared" si="17"/>
        <v>332.65114999999997</v>
      </c>
      <c r="I30" s="160">
        <v>4594.9000000000024</v>
      </c>
      <c r="J30" s="161">
        <v>4732.7470000000021</v>
      </c>
      <c r="K30" s="162">
        <v>5.1272835099784526</v>
      </c>
      <c r="L30" s="163">
        <v>8.492546083701491</v>
      </c>
      <c r="M30" s="164">
        <v>0</v>
      </c>
      <c r="N30" s="164">
        <v>0</v>
      </c>
      <c r="O30" s="165">
        <v>0</v>
      </c>
      <c r="P30" s="166">
        <v>0</v>
      </c>
      <c r="Q30" s="167">
        <v>0</v>
      </c>
      <c r="R30" s="168">
        <f t="shared" si="18"/>
        <v>4732.7470000000021</v>
      </c>
      <c r="S30" s="169">
        <f t="shared" si="19"/>
        <v>242.66135650000001</v>
      </c>
      <c r="T30" s="170">
        <f t="shared" si="20"/>
        <v>401.93072000000001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36"/>
        <v>0</v>
      </c>
      <c r="AB30" s="63">
        <f t="shared" si="37"/>
        <v>0</v>
      </c>
      <c r="AC30" s="175"/>
      <c r="AD30" s="176"/>
      <c r="AE30" s="176"/>
      <c r="AF30" s="169">
        <f t="shared" si="23"/>
        <v>0</v>
      </c>
      <c r="AG30" s="170">
        <f t="shared" si="24"/>
        <v>0</v>
      </c>
      <c r="AH30" s="71">
        <v>8669.4</v>
      </c>
      <c r="AI30" s="66">
        <v>4.96</v>
      </c>
      <c r="AJ30" s="66">
        <v>8.4700000000000006</v>
      </c>
      <c r="AK30" s="169">
        <f t="shared" si="30"/>
        <v>430.00223999999997</v>
      </c>
      <c r="AL30" s="178">
        <f t="shared" si="31"/>
        <v>734.29818000000012</v>
      </c>
      <c r="AM30" s="179">
        <f t="shared" si="32"/>
        <v>4.7000000002299203E-2</v>
      </c>
      <c r="AN30" s="180">
        <f t="shared" si="33"/>
        <v>-0.34763349999997217</v>
      </c>
      <c r="AO30" s="180">
        <f t="shared" si="34"/>
        <v>0.28368999999986499</v>
      </c>
      <c r="AP30" s="181">
        <f t="shared" si="28"/>
        <v>-9.9199947271004296E-5</v>
      </c>
      <c r="AQ30" s="76">
        <f t="shared" si="13"/>
        <v>-82.086581531244192</v>
      </c>
      <c r="AR30" s="182">
        <f t="shared" si="29"/>
        <v>4.7000000002299203E-2</v>
      </c>
    </row>
    <row r="31" spans="1:45" ht="15" x14ac:dyDescent="0.25">
      <c r="A31" s="148" t="str">
        <f t="shared" si="15"/>
        <v>46217E</v>
      </c>
      <c r="B31" s="51">
        <f t="shared" si="35"/>
        <v>46217</v>
      </c>
      <c r="C31" s="157" t="s">
        <v>88</v>
      </c>
      <c r="D31" s="79">
        <v>8669.4</v>
      </c>
      <c r="E31" s="62">
        <v>4.96</v>
      </c>
      <c r="F31" s="62">
        <v>8.4700000000000006</v>
      </c>
      <c r="G31" s="169">
        <f t="shared" si="16"/>
        <v>430.00223999999997</v>
      </c>
      <c r="H31" s="170">
        <f t="shared" si="17"/>
        <v>734.29818000000012</v>
      </c>
      <c r="I31" s="160">
        <v>6973.9500000000035</v>
      </c>
      <c r="J31" s="161">
        <v>7183.1685000000034</v>
      </c>
      <c r="K31" s="162">
        <v>4.3560980506026015</v>
      </c>
      <c r="L31" s="163">
        <v>8.4064776776432328</v>
      </c>
      <c r="M31" s="164">
        <v>0</v>
      </c>
      <c r="N31" s="164">
        <v>0</v>
      </c>
      <c r="O31" s="165">
        <v>0</v>
      </c>
      <c r="P31" s="166">
        <v>0</v>
      </c>
      <c r="Q31" s="167">
        <v>0</v>
      </c>
      <c r="R31" s="168">
        <f t="shared" si="18"/>
        <v>7183.1685000000034</v>
      </c>
      <c r="S31" s="169">
        <f t="shared" si="19"/>
        <v>312.90586300000024</v>
      </c>
      <c r="T31" s="170">
        <f t="shared" si="20"/>
        <v>603.85145650000049</v>
      </c>
      <c r="U31" s="64" t="s">
        <v>194</v>
      </c>
      <c r="V31" s="85" t="s">
        <v>547</v>
      </c>
      <c r="W31" s="66" t="s">
        <v>187</v>
      </c>
      <c r="X31" s="67">
        <v>14870</v>
      </c>
      <c r="Y31" s="68">
        <v>4.74</v>
      </c>
      <c r="Z31" s="68">
        <v>8.41</v>
      </c>
      <c r="AA31" s="62">
        <f t="shared" si="36"/>
        <v>704.83800000000008</v>
      </c>
      <c r="AB31" s="63">
        <f t="shared" si="37"/>
        <v>1250.567</v>
      </c>
      <c r="AC31" s="175">
        <v>14870</v>
      </c>
      <c r="AD31" s="176">
        <v>4.7476126429051781</v>
      </c>
      <c r="AE31" s="176">
        <v>8.4195225285810391</v>
      </c>
      <c r="AF31" s="169">
        <f t="shared" si="23"/>
        <v>705.97</v>
      </c>
      <c r="AG31" s="170">
        <f t="shared" si="24"/>
        <v>1251.9830000000004</v>
      </c>
      <c r="AH31" s="71">
        <v>982.8</v>
      </c>
      <c r="AI31" s="66">
        <v>4.68</v>
      </c>
      <c r="AJ31" s="66">
        <v>8.44</v>
      </c>
      <c r="AK31" s="169">
        <f t="shared" si="30"/>
        <v>45.995039999999989</v>
      </c>
      <c r="AL31" s="178">
        <f t="shared" si="31"/>
        <v>82.948319999999981</v>
      </c>
      <c r="AM31" s="179">
        <f t="shared" si="32"/>
        <v>-0.23149999999691317</v>
      </c>
      <c r="AN31" s="180">
        <f t="shared" si="33"/>
        <v>-9.0569369999998059</v>
      </c>
      <c r="AO31" s="180">
        <f t="shared" si="34"/>
        <v>3.2183165000003413</v>
      </c>
      <c r="AP31" s="181">
        <f t="shared" si="28"/>
        <v>-6.3687743482471974E-3</v>
      </c>
      <c r="AQ31" s="76">
        <f t="shared" si="13"/>
        <v>-3388.2958587746275</v>
      </c>
      <c r="AR31" s="182">
        <f t="shared" si="29"/>
        <v>-0.23149999999623105</v>
      </c>
    </row>
    <row r="32" spans="1:45" ht="15" x14ac:dyDescent="0.25">
      <c r="A32" s="148" t="str">
        <f t="shared" si="15"/>
        <v>46218M</v>
      </c>
      <c r="B32" s="51">
        <f t="shared" si="35"/>
        <v>46218</v>
      </c>
      <c r="C32" s="157" t="s">
        <v>87</v>
      </c>
      <c r="D32" s="79">
        <v>982.8</v>
      </c>
      <c r="E32" s="62">
        <v>4.68</v>
      </c>
      <c r="F32" s="62">
        <v>8.44</v>
      </c>
      <c r="G32" s="169">
        <f t="shared" si="16"/>
        <v>45.995039999999989</v>
      </c>
      <c r="H32" s="170">
        <f t="shared" si="17"/>
        <v>82.948319999999981</v>
      </c>
      <c r="I32" s="160">
        <v>7376.8000000000011</v>
      </c>
      <c r="J32" s="161">
        <v>7598.1040000000012</v>
      </c>
      <c r="K32" s="162">
        <v>4.8495872193905232</v>
      </c>
      <c r="L32" s="163">
        <v>8.3399536384340092</v>
      </c>
      <c r="M32" s="164">
        <v>0</v>
      </c>
      <c r="N32" s="164">
        <v>0</v>
      </c>
      <c r="O32" s="165">
        <v>0</v>
      </c>
      <c r="P32" s="166">
        <v>0</v>
      </c>
      <c r="Q32" s="167">
        <v>0</v>
      </c>
      <c r="R32" s="168">
        <f t="shared" si="18"/>
        <v>7598.1040000000012</v>
      </c>
      <c r="S32" s="169">
        <f t="shared" si="19"/>
        <v>368.47668050000021</v>
      </c>
      <c r="T32" s="170">
        <f t="shared" si="20"/>
        <v>633.67835100000013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36"/>
        <v>0</v>
      </c>
      <c r="AB32" s="63">
        <f t="shared" si="37"/>
        <v>0</v>
      </c>
      <c r="AC32" s="175"/>
      <c r="AD32" s="176"/>
      <c r="AE32" s="176"/>
      <c r="AF32" s="169">
        <f t="shared" si="23"/>
        <v>0</v>
      </c>
      <c r="AG32" s="170">
        <f t="shared" si="24"/>
        <v>0</v>
      </c>
      <c r="AH32" s="71">
        <v>8580.9</v>
      </c>
      <c r="AI32" s="66">
        <v>4.83</v>
      </c>
      <c r="AJ32" s="66">
        <v>8.35</v>
      </c>
      <c r="AK32" s="169">
        <f t="shared" si="30"/>
        <v>414.45747</v>
      </c>
      <c r="AL32" s="178">
        <f t="shared" si="31"/>
        <v>716.50514999999984</v>
      </c>
      <c r="AM32" s="179">
        <f t="shared" si="32"/>
        <v>4.0000000008149073E-3</v>
      </c>
      <c r="AN32" s="180">
        <f t="shared" si="33"/>
        <v>1.4250500000173361E-2</v>
      </c>
      <c r="AO32" s="180">
        <f t="shared" si="34"/>
        <v>0.12152100000025712</v>
      </c>
      <c r="AP32" s="181">
        <f t="shared" si="28"/>
        <v>1.3547953732987911E-4</v>
      </c>
      <c r="AQ32" s="76">
        <f t="shared" si="13"/>
        <v>43.242286710954609</v>
      </c>
      <c r="AR32" s="182">
        <f t="shared" si="29"/>
        <v>4.0000000008149073E-3</v>
      </c>
    </row>
    <row r="33" spans="1:44" ht="15" x14ac:dyDescent="0.25">
      <c r="A33" s="148" t="str">
        <f t="shared" si="15"/>
        <v>46218E</v>
      </c>
      <c r="B33" s="51">
        <f t="shared" si="35"/>
        <v>46218</v>
      </c>
      <c r="C33" s="157" t="s">
        <v>88</v>
      </c>
      <c r="D33" s="79">
        <v>8580.9</v>
      </c>
      <c r="E33" s="62">
        <v>4.83</v>
      </c>
      <c r="F33" s="62">
        <v>8.35</v>
      </c>
      <c r="G33" s="169">
        <f t="shared" si="16"/>
        <v>414.45747</v>
      </c>
      <c r="H33" s="170">
        <f t="shared" si="17"/>
        <v>716.50514999999984</v>
      </c>
      <c r="I33" s="160">
        <v>7385.1999999999989</v>
      </c>
      <c r="J33" s="161">
        <v>7606.7559999999994</v>
      </c>
      <c r="K33" s="162">
        <v>4.3870572225532136</v>
      </c>
      <c r="L33" s="163">
        <v>8.3932913123544424</v>
      </c>
      <c r="M33" s="164">
        <v>0</v>
      </c>
      <c r="N33" s="164">
        <v>0</v>
      </c>
      <c r="O33" s="165">
        <v>0</v>
      </c>
      <c r="P33" s="166">
        <v>0</v>
      </c>
      <c r="Q33" s="167">
        <v>0</v>
      </c>
      <c r="R33" s="168">
        <f t="shared" si="18"/>
        <v>7606.7559999999994</v>
      </c>
      <c r="S33" s="169">
        <f t="shared" si="19"/>
        <v>333.71273849999994</v>
      </c>
      <c r="T33" s="170">
        <f t="shared" si="20"/>
        <v>638.45719050000025</v>
      </c>
      <c r="U33" s="64" t="s">
        <v>194</v>
      </c>
      <c r="V33" s="65" t="s">
        <v>548</v>
      </c>
      <c r="W33" s="66" t="s">
        <v>187</v>
      </c>
      <c r="X33" s="67">
        <v>14675</v>
      </c>
      <c r="Y33" s="68">
        <v>4.76</v>
      </c>
      <c r="Z33" s="68">
        <v>8.41</v>
      </c>
      <c r="AA33" s="62">
        <f t="shared" si="36"/>
        <v>698.53</v>
      </c>
      <c r="AB33" s="63">
        <f t="shared" si="37"/>
        <v>1234.1675</v>
      </c>
      <c r="AC33" s="175">
        <v>14675</v>
      </c>
      <c r="AD33" s="176">
        <v>4.7628279386712098</v>
      </c>
      <c r="AE33" s="176">
        <v>8.4225655877342422</v>
      </c>
      <c r="AF33" s="169">
        <f t="shared" si="23"/>
        <v>698.94500000000005</v>
      </c>
      <c r="AG33" s="170">
        <f t="shared" si="24"/>
        <v>1236.0115000000001</v>
      </c>
      <c r="AH33" s="71">
        <v>1512.2</v>
      </c>
      <c r="AI33" s="66">
        <v>4.6100000000000003</v>
      </c>
      <c r="AJ33" s="66">
        <v>8.36</v>
      </c>
      <c r="AK33" s="169">
        <f t="shared" si="30"/>
        <v>69.712420000000009</v>
      </c>
      <c r="AL33" s="178">
        <f t="shared" si="31"/>
        <v>126.41991999999999</v>
      </c>
      <c r="AM33" s="179">
        <f t="shared" si="32"/>
        <v>0.4559999999989941</v>
      </c>
      <c r="AN33" s="180">
        <f t="shared" si="33"/>
        <v>-20.487211500000114</v>
      </c>
      <c r="AO33" s="180">
        <f t="shared" si="34"/>
        <v>-7.4690794999998502</v>
      </c>
      <c r="AP33" s="181">
        <f t="shared" si="28"/>
        <v>-2.875658891111408E-2</v>
      </c>
      <c r="AQ33" s="76">
        <f t="shared" si="13"/>
        <v>-12081.69472794305</v>
      </c>
      <c r="AR33" s="182">
        <f t="shared" si="29"/>
        <v>0.45599999999831198</v>
      </c>
    </row>
    <row r="34" spans="1:44" ht="15" x14ac:dyDescent="0.25">
      <c r="A34" s="148" t="str">
        <f t="shared" si="15"/>
        <v>46219M</v>
      </c>
      <c r="B34" s="51">
        <f t="shared" si="35"/>
        <v>46219</v>
      </c>
      <c r="C34" s="157" t="s">
        <v>87</v>
      </c>
      <c r="D34" s="79">
        <v>1512.2</v>
      </c>
      <c r="E34" s="62">
        <v>4.6100000000000003</v>
      </c>
      <c r="F34" s="62">
        <v>8.36</v>
      </c>
      <c r="G34" s="169">
        <f t="shared" si="16"/>
        <v>69.712420000000009</v>
      </c>
      <c r="H34" s="170">
        <f t="shared" si="17"/>
        <v>126.41991999999999</v>
      </c>
      <c r="I34" s="160">
        <v>4326.5</v>
      </c>
      <c r="J34" s="161">
        <v>4456.2950000000001</v>
      </c>
      <c r="K34" s="162">
        <v>5.1887460996186272</v>
      </c>
      <c r="L34" s="163">
        <v>8.4407049578180917</v>
      </c>
      <c r="M34" s="164">
        <v>0</v>
      </c>
      <c r="N34" s="164">
        <v>0</v>
      </c>
      <c r="O34" s="165">
        <v>0</v>
      </c>
      <c r="P34" s="166">
        <v>0</v>
      </c>
      <c r="Q34" s="167">
        <v>0</v>
      </c>
      <c r="R34" s="168">
        <f t="shared" si="18"/>
        <v>4456.2950000000001</v>
      </c>
      <c r="S34" s="169">
        <f t="shared" si="19"/>
        <v>231.22583299999988</v>
      </c>
      <c r="T34" s="170">
        <f t="shared" si="20"/>
        <v>376.14271299999973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36"/>
        <v>0</v>
      </c>
      <c r="AB34" s="63">
        <f t="shared" si="37"/>
        <v>0</v>
      </c>
      <c r="AC34" s="175"/>
      <c r="AD34" s="176"/>
      <c r="AE34" s="176"/>
      <c r="AF34" s="169">
        <f t="shared" si="23"/>
        <v>0</v>
      </c>
      <c r="AG34" s="170">
        <f t="shared" si="24"/>
        <v>0</v>
      </c>
      <c r="AH34" s="71">
        <v>5968.4</v>
      </c>
      <c r="AI34" s="66">
        <v>5.0199999999999996</v>
      </c>
      <c r="AJ34" s="66">
        <v>8.41</v>
      </c>
      <c r="AK34" s="169">
        <f t="shared" si="30"/>
        <v>299.61367999999993</v>
      </c>
      <c r="AL34" s="178">
        <f t="shared" si="31"/>
        <v>501.94244000000003</v>
      </c>
      <c r="AM34" s="179">
        <f t="shared" si="32"/>
        <v>9.5000000000254659E-2</v>
      </c>
      <c r="AN34" s="180">
        <f t="shared" si="33"/>
        <v>1.3245729999999867</v>
      </c>
      <c r="AO34" s="180">
        <f t="shared" si="34"/>
        <v>0.6201929999996878</v>
      </c>
      <c r="AP34" s="181">
        <f t="shared" si="28"/>
        <v>3.2019537607067255E-3</v>
      </c>
      <c r="AQ34" s="76">
        <f t="shared" si="13"/>
        <v>822.24271884152552</v>
      </c>
      <c r="AR34" s="182">
        <f t="shared" si="29"/>
        <v>9.5000000000254659E-2</v>
      </c>
    </row>
    <row r="35" spans="1:44" ht="15" x14ac:dyDescent="0.25">
      <c r="A35" s="148" t="str">
        <f t="shared" si="15"/>
        <v>46219E</v>
      </c>
      <c r="B35" s="51">
        <f t="shared" si="35"/>
        <v>46219</v>
      </c>
      <c r="C35" s="157" t="s">
        <v>88</v>
      </c>
      <c r="D35" s="79">
        <v>5968.4</v>
      </c>
      <c r="E35" s="62">
        <v>5.0199999999999996</v>
      </c>
      <c r="F35" s="62">
        <v>8.41</v>
      </c>
      <c r="G35" s="169">
        <f t="shared" si="16"/>
        <v>299.61367999999993</v>
      </c>
      <c r="H35" s="170">
        <f t="shared" si="17"/>
        <v>501.94244000000003</v>
      </c>
      <c r="I35" s="160">
        <v>7310.25</v>
      </c>
      <c r="J35" s="161">
        <v>7529.5574999999999</v>
      </c>
      <c r="K35" s="162">
        <v>4.4475872918162827</v>
      </c>
      <c r="L35" s="163">
        <v>8.3846804144865015</v>
      </c>
      <c r="M35" s="164">
        <v>0</v>
      </c>
      <c r="N35" s="164">
        <v>0</v>
      </c>
      <c r="O35" s="165">
        <v>0</v>
      </c>
      <c r="P35" s="166">
        <v>0</v>
      </c>
      <c r="Q35" s="167">
        <v>0</v>
      </c>
      <c r="R35" s="168">
        <f t="shared" si="18"/>
        <v>7529.5574999999999</v>
      </c>
      <c r="S35" s="169">
        <f t="shared" si="19"/>
        <v>334.88364249999978</v>
      </c>
      <c r="T35" s="170">
        <f t="shared" si="20"/>
        <v>631.32933299999945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6"/>
        <v>0</v>
      </c>
      <c r="AB35" s="63">
        <f t="shared" si="37"/>
        <v>0</v>
      </c>
      <c r="AC35" s="175"/>
      <c r="AD35" s="176"/>
      <c r="AE35" s="176"/>
      <c r="AF35" s="169">
        <f t="shared" si="23"/>
        <v>0</v>
      </c>
      <c r="AG35" s="170">
        <f t="shared" si="24"/>
        <v>0</v>
      </c>
      <c r="AH35" s="71">
        <v>13497.3</v>
      </c>
      <c r="AI35" s="66">
        <v>4.6900000000000004</v>
      </c>
      <c r="AJ35" s="66">
        <v>8.39</v>
      </c>
      <c r="AK35" s="169">
        <f t="shared" si="30"/>
        <v>633.02337</v>
      </c>
      <c r="AL35" s="178">
        <f t="shared" si="31"/>
        <v>1132.42347</v>
      </c>
      <c r="AM35" s="179">
        <f t="shared" si="32"/>
        <v>0.65750000000116415</v>
      </c>
      <c r="AN35" s="180">
        <f t="shared" si="33"/>
        <v>1.4739524999996547</v>
      </c>
      <c r="AO35" s="180">
        <f t="shared" si="34"/>
        <v>0.8483029999995324</v>
      </c>
      <c r="AP35" s="181">
        <f t="shared" si="28"/>
        <v>2.4034613060308556E-3</v>
      </c>
      <c r="AQ35" s="76">
        <f t="shared" si="13"/>
        <v>962.34134460831535</v>
      </c>
      <c r="AR35" s="182">
        <f t="shared" si="29"/>
        <v>0.65750000000116415</v>
      </c>
    </row>
    <row r="36" spans="1:44" ht="15" x14ac:dyDescent="0.25">
      <c r="A36" s="148" t="str">
        <f t="shared" si="15"/>
        <v>46220M</v>
      </c>
      <c r="B36" s="51">
        <f t="shared" si="35"/>
        <v>46220</v>
      </c>
      <c r="C36" s="157" t="s">
        <v>87</v>
      </c>
      <c r="D36" s="79">
        <v>13497.3</v>
      </c>
      <c r="E36" s="62">
        <v>4.6900000000000004</v>
      </c>
      <c r="F36" s="62">
        <v>8.39</v>
      </c>
      <c r="G36" s="169">
        <f t="shared" si="16"/>
        <v>633.02337</v>
      </c>
      <c r="H36" s="170">
        <f t="shared" si="17"/>
        <v>1132.42347</v>
      </c>
      <c r="I36" s="160">
        <v>4178.6499999999996</v>
      </c>
      <c r="J36" s="161">
        <v>4304.0095000000001</v>
      </c>
      <c r="K36" s="162">
        <v>5.2495937683223071</v>
      </c>
      <c r="L36" s="163">
        <v>8.5129886446579643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168">
        <f t="shared" si="18"/>
        <v>4304.0095000000001</v>
      </c>
      <c r="S36" s="169">
        <f t="shared" si="19"/>
        <v>225.94301450000009</v>
      </c>
      <c r="T36" s="170">
        <f t="shared" si="20"/>
        <v>366.39984000000004</v>
      </c>
      <c r="U36" s="64" t="s">
        <v>194</v>
      </c>
      <c r="V36" s="85" t="s">
        <v>637</v>
      </c>
      <c r="W36" s="66" t="s">
        <v>187</v>
      </c>
      <c r="X36" s="67">
        <v>14100</v>
      </c>
      <c r="Y36" s="68">
        <v>4.84</v>
      </c>
      <c r="Z36" s="68">
        <v>8.5299999999999994</v>
      </c>
      <c r="AA36" s="62">
        <f t="shared" si="36"/>
        <v>682.43999999999994</v>
      </c>
      <c r="AB36" s="63">
        <f t="shared" si="37"/>
        <v>1202.7299999999998</v>
      </c>
      <c r="AC36" s="175">
        <v>14090</v>
      </c>
      <c r="AD36" s="176">
        <v>4.7156139105748744</v>
      </c>
      <c r="AE36" s="176">
        <v>8.5105961674946773</v>
      </c>
      <c r="AF36" s="169">
        <f t="shared" si="23"/>
        <v>664.42999999999984</v>
      </c>
      <c r="AG36" s="170">
        <f t="shared" si="24"/>
        <v>1199.143</v>
      </c>
      <c r="AH36" s="71">
        <v>3701.8</v>
      </c>
      <c r="AI36" s="66">
        <v>4.82</v>
      </c>
      <c r="AJ36" s="66">
        <v>8.41</v>
      </c>
      <c r="AK36" s="169">
        <f t="shared" si="30"/>
        <v>178.42676</v>
      </c>
      <c r="AL36" s="178">
        <f t="shared" si="31"/>
        <v>311.32138000000003</v>
      </c>
      <c r="AM36" s="179">
        <f t="shared" si="32"/>
        <v>9.5094999999992069</v>
      </c>
      <c r="AN36" s="180">
        <f t="shared" si="33"/>
        <v>16.10962450000028</v>
      </c>
      <c r="AO36" s="180">
        <f t="shared" si="34"/>
        <v>-11.64107000000007</v>
      </c>
      <c r="AP36" s="181">
        <f t="shared" si="28"/>
        <v>7.5438649526246761E-3</v>
      </c>
      <c r="AQ36" s="76">
        <f t="shared" si="13"/>
        <v>4254.8020527002936</v>
      </c>
      <c r="AR36" s="182">
        <f t="shared" si="29"/>
        <v>-0.49049999999988358</v>
      </c>
    </row>
    <row r="37" spans="1:44" ht="15" x14ac:dyDescent="0.25">
      <c r="A37" s="148" t="str">
        <f t="shared" si="15"/>
        <v>46220E</v>
      </c>
      <c r="B37" s="51">
        <f t="shared" si="35"/>
        <v>46220</v>
      </c>
      <c r="C37" s="157" t="s">
        <v>88</v>
      </c>
      <c r="D37" s="79">
        <v>3701.8</v>
      </c>
      <c r="E37" s="62">
        <v>4.82</v>
      </c>
      <c r="F37" s="62">
        <v>8.41</v>
      </c>
      <c r="G37" s="169">
        <f t="shared" si="16"/>
        <v>178.42676</v>
      </c>
      <c r="H37" s="170">
        <f t="shared" si="17"/>
        <v>311.32138000000003</v>
      </c>
      <c r="I37" s="160">
        <v>6163.949999999998</v>
      </c>
      <c r="J37" s="161">
        <v>6348.8684999999978</v>
      </c>
      <c r="K37" s="162">
        <v>4.3391907786403205</v>
      </c>
      <c r="L37" s="163">
        <v>8.3802164196659596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168">
        <f t="shared" si="18"/>
        <v>6348.8684999999978</v>
      </c>
      <c r="S37" s="169">
        <f t="shared" si="19"/>
        <v>275.48951649999998</v>
      </c>
      <c r="T37" s="170">
        <f t="shared" si="20"/>
        <v>532.04892049999967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36"/>
        <v>0</v>
      </c>
      <c r="AB37" s="63">
        <f t="shared" si="37"/>
        <v>0</v>
      </c>
      <c r="AC37" s="175"/>
      <c r="AD37" s="176"/>
      <c r="AE37" s="176"/>
      <c r="AF37" s="169">
        <f t="shared" si="23"/>
        <v>0</v>
      </c>
      <c r="AG37" s="170">
        <f t="shared" si="24"/>
        <v>0</v>
      </c>
      <c r="AH37" s="71">
        <v>10050.6</v>
      </c>
      <c r="AI37" s="66">
        <v>4.51</v>
      </c>
      <c r="AJ37" s="66">
        <v>8.39</v>
      </c>
      <c r="AK37" s="169">
        <f t="shared" si="30"/>
        <v>453.28206</v>
      </c>
      <c r="AL37" s="178">
        <f t="shared" si="31"/>
        <v>843.24534000000006</v>
      </c>
      <c r="AM37" s="179">
        <f t="shared" si="32"/>
        <v>6.8499999997584382E-2</v>
      </c>
      <c r="AN37" s="180">
        <f t="shared" si="33"/>
        <v>0.63421649999997953</v>
      </c>
      <c r="AO37" s="180">
        <f t="shared" si="34"/>
        <v>0.12496049999970182</v>
      </c>
      <c r="AP37" s="181">
        <f t="shared" si="28"/>
        <v>9.4011252618515502E-4</v>
      </c>
      <c r="AQ37" s="76">
        <f t="shared" si="13"/>
        <v>342.18622701783005</v>
      </c>
      <c r="AR37" s="182">
        <f t="shared" si="29"/>
        <v>6.8499999997584382E-2</v>
      </c>
    </row>
    <row r="38" spans="1:44" ht="15" x14ac:dyDescent="0.25">
      <c r="A38" s="148" t="str">
        <f t="shared" si="15"/>
        <v>46221M</v>
      </c>
      <c r="B38" s="51">
        <f t="shared" si="35"/>
        <v>46221</v>
      </c>
      <c r="C38" s="157" t="s">
        <v>87</v>
      </c>
      <c r="D38" s="79">
        <v>10050.6</v>
      </c>
      <c r="E38" s="62">
        <v>4.51</v>
      </c>
      <c r="F38" s="62">
        <v>8.39</v>
      </c>
      <c r="G38" s="169">
        <f t="shared" si="16"/>
        <v>453.28206</v>
      </c>
      <c r="H38" s="170">
        <f t="shared" si="17"/>
        <v>843.24534000000006</v>
      </c>
      <c r="I38" s="160">
        <v>4632.9500000000007</v>
      </c>
      <c r="J38" s="161">
        <v>4771.9385000000011</v>
      </c>
      <c r="K38" s="162">
        <v>5.1055472215327162</v>
      </c>
      <c r="L38" s="163">
        <v>8.4811124661392903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168">
        <f t="shared" si="18"/>
        <v>4771.9385000000011</v>
      </c>
      <c r="S38" s="169">
        <f t="shared" si="19"/>
        <v>243.63357350000004</v>
      </c>
      <c r="T38" s="170">
        <f t="shared" si="20"/>
        <v>404.71347100000037</v>
      </c>
      <c r="U38" s="64" t="s">
        <v>194</v>
      </c>
      <c r="V38" s="65" t="s">
        <v>638</v>
      </c>
      <c r="W38" s="66" t="s">
        <v>187</v>
      </c>
      <c r="X38" s="67">
        <v>13460</v>
      </c>
      <c r="Y38" s="68">
        <v>4.92</v>
      </c>
      <c r="Z38" s="68">
        <v>8.51</v>
      </c>
      <c r="AA38" s="62">
        <f t="shared" si="36"/>
        <v>662.23199999999997</v>
      </c>
      <c r="AB38" s="63">
        <f t="shared" si="37"/>
        <v>1145.4459999999999</v>
      </c>
      <c r="AC38" s="175">
        <v>13440</v>
      </c>
      <c r="AD38" s="176">
        <v>4.9247023809523807</v>
      </c>
      <c r="AE38" s="176">
        <v>8.5147023809523787</v>
      </c>
      <c r="AF38" s="169">
        <f t="shared" si="23"/>
        <v>661.88</v>
      </c>
      <c r="AG38" s="170">
        <f t="shared" si="24"/>
        <v>1144.3759999999997</v>
      </c>
      <c r="AH38" s="71">
        <v>1362.4</v>
      </c>
      <c r="AI38" s="66">
        <v>4.7</v>
      </c>
      <c r="AJ38" s="66">
        <v>8.41</v>
      </c>
      <c r="AK38" s="169">
        <f t="shared" si="30"/>
        <v>64.032800000000009</v>
      </c>
      <c r="AL38" s="178">
        <f t="shared" si="31"/>
        <v>114.57784000000002</v>
      </c>
      <c r="AM38" s="179">
        <f t="shared" si="32"/>
        <v>20.138500000002296</v>
      </c>
      <c r="AN38" s="180">
        <f t="shared" si="33"/>
        <v>-28.997166499999992</v>
      </c>
      <c r="AO38" s="180">
        <f t="shared" si="34"/>
        <v>-10.995028999999349</v>
      </c>
      <c r="AP38" s="181">
        <f t="shared" si="28"/>
        <v>-6.1683315809422677E-2</v>
      </c>
      <c r="AQ38" s="76">
        <f t="shared" si="13"/>
        <v>-17226.995559506136</v>
      </c>
      <c r="AR38" s="182">
        <f t="shared" si="29"/>
        <v>0.13850000000275031</v>
      </c>
    </row>
    <row r="39" spans="1:44" ht="15" x14ac:dyDescent="0.25">
      <c r="A39" s="148" t="str">
        <f t="shared" si="15"/>
        <v>46221E</v>
      </c>
      <c r="B39" s="51">
        <f t="shared" si="35"/>
        <v>46221</v>
      </c>
      <c r="C39" s="157" t="s">
        <v>88</v>
      </c>
      <c r="D39" s="79">
        <v>1362.4</v>
      </c>
      <c r="E39" s="62">
        <v>4.7</v>
      </c>
      <c r="F39" s="62">
        <v>8.41</v>
      </c>
      <c r="G39" s="169">
        <f t="shared" si="16"/>
        <v>64.032800000000009</v>
      </c>
      <c r="H39" s="170">
        <f t="shared" si="17"/>
        <v>114.57784000000002</v>
      </c>
      <c r="I39" s="160">
        <v>9794.2999999999993</v>
      </c>
      <c r="J39" s="161">
        <v>10088.128999999999</v>
      </c>
      <c r="K39" s="162">
        <v>4.3041937657617177</v>
      </c>
      <c r="L39" s="163">
        <v>8.2613948929479371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168">
        <f t="shared" si="18"/>
        <v>10088.128999999999</v>
      </c>
      <c r="S39" s="169">
        <f t="shared" si="19"/>
        <v>434.2126194999999</v>
      </c>
      <c r="T39" s="170">
        <f t="shared" si="20"/>
        <v>833.42017399999975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6"/>
        <v>0</v>
      </c>
      <c r="AB39" s="63">
        <f t="shared" si="37"/>
        <v>0</v>
      </c>
      <c r="AC39" s="175"/>
      <c r="AD39" s="176"/>
      <c r="AE39" s="176"/>
      <c r="AF39" s="169">
        <f t="shared" si="23"/>
        <v>0</v>
      </c>
      <c r="AG39" s="170">
        <f t="shared" si="24"/>
        <v>0</v>
      </c>
      <c r="AH39" s="71">
        <v>11450.2</v>
      </c>
      <c r="AI39" s="66">
        <v>4.33</v>
      </c>
      <c r="AJ39" s="66">
        <v>8.26</v>
      </c>
      <c r="AK39" s="169">
        <f t="shared" si="30"/>
        <v>495.79365999999999</v>
      </c>
      <c r="AL39" s="178">
        <f t="shared" si="31"/>
        <v>945.78652</v>
      </c>
      <c r="AM39" s="179">
        <f t="shared" si="32"/>
        <v>0.32899999999790452</v>
      </c>
      <c r="AN39" s="180">
        <f t="shared" si="33"/>
        <v>2.4517594999999233</v>
      </c>
      <c r="AO39" s="180">
        <f t="shared" si="34"/>
        <v>2.2114939999997887</v>
      </c>
      <c r="AP39" s="181">
        <f t="shared" si="28"/>
        <v>3.6787100522417283E-3</v>
      </c>
      <c r="AQ39" s="76">
        <f t="shared" si="13"/>
        <v>1840.4730009084119</v>
      </c>
      <c r="AR39" s="182">
        <f t="shared" si="29"/>
        <v>0.32899999999790452</v>
      </c>
    </row>
    <row r="40" spans="1:44" ht="15" x14ac:dyDescent="0.25">
      <c r="A40" s="148" t="str">
        <f t="shared" si="15"/>
        <v>46222M</v>
      </c>
      <c r="B40" s="51">
        <f t="shared" si="35"/>
        <v>46222</v>
      </c>
      <c r="C40" s="157" t="s">
        <v>87</v>
      </c>
      <c r="D40" s="79">
        <v>11450.2</v>
      </c>
      <c r="E40" s="62">
        <v>4.33</v>
      </c>
      <c r="F40" s="62">
        <v>8.26</v>
      </c>
      <c r="G40" s="169">
        <f t="shared" si="16"/>
        <v>495.79365999999999</v>
      </c>
      <c r="H40" s="170">
        <f t="shared" si="17"/>
        <v>945.78652</v>
      </c>
      <c r="I40" s="160">
        <v>5075.7999999999993</v>
      </c>
      <c r="J40" s="161">
        <v>5228.0739999999996</v>
      </c>
      <c r="K40" s="162">
        <v>4.7319703298002285</v>
      </c>
      <c r="L40" s="163">
        <v>8.2840084321683261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168">
        <f t="shared" si="18"/>
        <v>5228.0739999999996</v>
      </c>
      <c r="S40" s="169">
        <f t="shared" si="19"/>
        <v>247.39091049999999</v>
      </c>
      <c r="T40" s="170">
        <f t="shared" si="20"/>
        <v>433.09409099999982</v>
      </c>
      <c r="U40" s="64" t="s">
        <v>194</v>
      </c>
      <c r="V40" s="65" t="s">
        <v>639</v>
      </c>
      <c r="W40" s="66" t="s">
        <v>187</v>
      </c>
      <c r="X40" s="67">
        <v>14325</v>
      </c>
      <c r="Y40" s="68">
        <v>4.7</v>
      </c>
      <c r="Z40" s="68">
        <v>8.35</v>
      </c>
      <c r="AA40" s="62">
        <f t="shared" si="36"/>
        <v>673.27499999999998</v>
      </c>
      <c r="AB40" s="63">
        <f t="shared" si="37"/>
        <v>1196.1374999999998</v>
      </c>
      <c r="AC40" s="175">
        <v>14335</v>
      </c>
      <c r="AD40" s="176">
        <v>4.5713637949075698</v>
      </c>
      <c r="AE40" s="176">
        <v>8.3242727589815146</v>
      </c>
      <c r="AF40" s="169">
        <f t="shared" si="23"/>
        <v>655.30500000000018</v>
      </c>
      <c r="AG40" s="170">
        <f t="shared" si="24"/>
        <v>1193.2845</v>
      </c>
      <c r="AH40" s="71">
        <v>2353.9</v>
      </c>
      <c r="AI40" s="66">
        <v>4.45</v>
      </c>
      <c r="AJ40" s="66">
        <v>8.26</v>
      </c>
      <c r="AK40" s="169">
        <f t="shared" si="30"/>
        <v>104.74855000000001</v>
      </c>
      <c r="AL40" s="178">
        <f t="shared" si="31"/>
        <v>194.43214</v>
      </c>
      <c r="AM40" s="179">
        <f t="shared" si="32"/>
        <v>-10.625999999998839</v>
      </c>
      <c r="AN40" s="180">
        <f t="shared" si="33"/>
        <v>-16.868979500000236</v>
      </c>
      <c r="AO40" s="180">
        <f t="shared" si="34"/>
        <v>-8.8360290000001669</v>
      </c>
      <c r="AP40" s="181">
        <f t="shared" si="28"/>
        <v>-3.7774540869142739E-2</v>
      </c>
      <c r="AQ40" s="76">
        <f t="shared" si="13"/>
        <v>-10752.40569739143</v>
      </c>
      <c r="AR40" s="182">
        <f t="shared" si="29"/>
        <v>-0.62600000000020373</v>
      </c>
    </row>
    <row r="41" spans="1:44" ht="15" x14ac:dyDescent="0.25">
      <c r="A41" s="148" t="str">
        <f t="shared" si="15"/>
        <v>46222E</v>
      </c>
      <c r="B41" s="51">
        <f t="shared" si="35"/>
        <v>46222</v>
      </c>
      <c r="C41" s="157" t="s">
        <v>88</v>
      </c>
      <c r="D41" s="79">
        <v>2353.9</v>
      </c>
      <c r="E41" s="62">
        <v>4.45</v>
      </c>
      <c r="F41" s="62">
        <v>8.26</v>
      </c>
      <c r="G41" s="169">
        <f t="shared" si="16"/>
        <v>104.74855000000001</v>
      </c>
      <c r="H41" s="170">
        <f t="shared" si="17"/>
        <v>194.43214</v>
      </c>
      <c r="I41" s="160">
        <v>5639.699999999998</v>
      </c>
      <c r="J41" s="161">
        <v>5808.8909999999978</v>
      </c>
      <c r="K41" s="162">
        <v>4.4273303544514784</v>
      </c>
      <c r="L41" s="163">
        <v>8.3637471851339651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168">
        <f t="shared" si="18"/>
        <v>5808.8909999999978</v>
      </c>
      <c r="S41" s="169">
        <f t="shared" si="19"/>
        <v>257.17879449999992</v>
      </c>
      <c r="T41" s="170">
        <f t="shared" si="20"/>
        <v>485.84095750000006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36"/>
        <v>0</v>
      </c>
      <c r="AB41" s="63">
        <f t="shared" si="37"/>
        <v>0</v>
      </c>
      <c r="AC41" s="175"/>
      <c r="AD41" s="176"/>
      <c r="AE41" s="176"/>
      <c r="AF41" s="169">
        <f t="shared" si="23"/>
        <v>0</v>
      </c>
      <c r="AG41" s="170">
        <f t="shared" si="24"/>
        <v>0</v>
      </c>
      <c r="AH41" s="71">
        <v>8162.7</v>
      </c>
      <c r="AI41" s="66">
        <v>4.43</v>
      </c>
      <c r="AJ41" s="66">
        <v>8.33</v>
      </c>
      <c r="AK41" s="169">
        <f t="shared" si="30"/>
        <v>361.60760999999997</v>
      </c>
      <c r="AL41" s="178">
        <f t="shared" si="31"/>
        <v>679.95290999999997</v>
      </c>
      <c r="AM41" s="179">
        <f t="shared" si="32"/>
        <v>9.0999999997620762E-2</v>
      </c>
      <c r="AN41" s="180">
        <f t="shared" si="33"/>
        <v>0.31973449999998138</v>
      </c>
      <c r="AO41" s="180">
        <f t="shared" si="34"/>
        <v>0.32018750000008822</v>
      </c>
      <c r="AP41" s="181">
        <f t="shared" si="28"/>
        <v>8.612449376716834E-4</v>
      </c>
      <c r="AQ41" s="76">
        <f t="shared" si="13"/>
        <v>249.53613924239363</v>
      </c>
      <c r="AR41" s="182">
        <f t="shared" si="29"/>
        <v>9.0999999997620762E-2</v>
      </c>
    </row>
    <row r="42" spans="1:44" ht="15" x14ac:dyDescent="0.25">
      <c r="A42" s="148" t="str">
        <f t="shared" si="15"/>
        <v>46223M</v>
      </c>
      <c r="B42" s="51">
        <f t="shared" si="35"/>
        <v>46223</v>
      </c>
      <c r="C42" s="157" t="s">
        <v>87</v>
      </c>
      <c r="D42" s="79">
        <v>8162.7</v>
      </c>
      <c r="E42" s="62">
        <v>4.43</v>
      </c>
      <c r="F42" s="62">
        <v>8.33</v>
      </c>
      <c r="G42" s="169">
        <f t="shared" si="16"/>
        <v>361.60760999999997</v>
      </c>
      <c r="H42" s="170">
        <f t="shared" si="17"/>
        <v>679.95290999999997</v>
      </c>
      <c r="I42" s="160">
        <v>5200.0499999999993</v>
      </c>
      <c r="J42" s="161">
        <v>5356.0514999999996</v>
      </c>
      <c r="K42" s="162">
        <v>4.9635695810617202</v>
      </c>
      <c r="L42" s="163">
        <v>8.5136844838030399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168">
        <f t="shared" si="18"/>
        <v>5356.0514999999996</v>
      </c>
      <c r="S42" s="169">
        <f t="shared" si="19"/>
        <v>265.85134299999993</v>
      </c>
      <c r="T42" s="170">
        <f t="shared" si="20"/>
        <v>455.99732549999993</v>
      </c>
      <c r="U42" s="64" t="s">
        <v>194</v>
      </c>
      <c r="V42" s="65" t="s">
        <v>714</v>
      </c>
      <c r="W42" s="66" t="s">
        <v>187</v>
      </c>
      <c r="X42" s="67">
        <v>13825</v>
      </c>
      <c r="Y42" s="68">
        <v>4.82</v>
      </c>
      <c r="Z42" s="68">
        <v>8.5299999999999994</v>
      </c>
      <c r="AA42" s="62">
        <f t="shared" si="36"/>
        <v>666.36500000000001</v>
      </c>
      <c r="AB42" s="63">
        <f t="shared" si="37"/>
        <v>1179.2724999999998</v>
      </c>
      <c r="AC42" s="175">
        <v>13825</v>
      </c>
      <c r="AD42" s="176">
        <v>4.8291139240506338</v>
      </c>
      <c r="AE42" s="176">
        <v>8.5307594936708853</v>
      </c>
      <c r="AF42" s="169">
        <f t="shared" si="23"/>
        <v>667.62500000000011</v>
      </c>
      <c r="AG42" s="170">
        <f t="shared" si="24"/>
        <v>1179.3774999999998</v>
      </c>
      <c r="AH42" s="71">
        <v>0</v>
      </c>
      <c r="AI42" s="66">
        <v>0</v>
      </c>
      <c r="AJ42" s="66">
        <v>0</v>
      </c>
      <c r="AK42" s="169">
        <f t="shared" si="30"/>
        <v>0</v>
      </c>
      <c r="AL42" s="178">
        <f t="shared" si="31"/>
        <v>0</v>
      </c>
      <c r="AM42" s="179">
        <f t="shared" si="32"/>
        <v>-306.24850000000151</v>
      </c>
      <c r="AN42" s="180">
        <f t="shared" si="33"/>
        <v>-40.166047000000276</v>
      </c>
      <c r="AO42" s="180">
        <f t="shared" si="34"/>
        <v>-43.427264499999865</v>
      </c>
      <c r="AP42" s="181">
        <f t="shared" si="28"/>
        <v>-0.11580448250144575</v>
      </c>
      <c r="AQ42" s="76">
        <f t="shared" si="13"/>
        <v>-32307.171950810498</v>
      </c>
      <c r="AR42" s="182">
        <f t="shared" si="29"/>
        <v>-306.24850000000151</v>
      </c>
    </row>
    <row r="43" spans="1:44" ht="15" x14ac:dyDescent="0.25">
      <c r="A43" s="148" t="str">
        <f t="shared" si="15"/>
        <v>46223E</v>
      </c>
      <c r="B43" s="51">
        <f t="shared" si="35"/>
        <v>46223</v>
      </c>
      <c r="C43" s="157" t="s">
        <v>88</v>
      </c>
      <c r="D43" s="79">
        <v>0</v>
      </c>
      <c r="E43" s="62">
        <v>0</v>
      </c>
      <c r="F43" s="62">
        <v>0</v>
      </c>
      <c r="G43" s="169">
        <f t="shared" si="16"/>
        <v>0</v>
      </c>
      <c r="H43" s="170">
        <f t="shared" si="17"/>
        <v>0</v>
      </c>
      <c r="I43" s="160">
        <v>5094.0500000000038</v>
      </c>
      <c r="J43" s="161">
        <v>5246.8715000000038</v>
      </c>
      <c r="K43" s="162">
        <v>4.626920623079867</v>
      </c>
      <c r="L43" s="163">
        <v>8.4848244520568112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168">
        <f t="shared" si="18"/>
        <v>5246.8715000000038</v>
      </c>
      <c r="S43" s="169">
        <f t="shared" si="19"/>
        <v>242.76857950000016</v>
      </c>
      <c r="T43" s="170">
        <f t="shared" si="20"/>
        <v>445.18783600000029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36"/>
        <v>0</v>
      </c>
      <c r="AB43" s="63">
        <f t="shared" si="37"/>
        <v>0</v>
      </c>
      <c r="AC43" s="175"/>
      <c r="AD43" s="176"/>
      <c r="AE43" s="176"/>
      <c r="AF43" s="169">
        <f t="shared" si="23"/>
        <v>0</v>
      </c>
      <c r="AG43" s="170">
        <f t="shared" si="24"/>
        <v>0</v>
      </c>
      <c r="AH43" s="71">
        <v>5246.8</v>
      </c>
      <c r="AI43" s="66">
        <v>4.62</v>
      </c>
      <c r="AJ43" s="66">
        <v>8.48</v>
      </c>
      <c r="AK43" s="169">
        <f t="shared" si="30"/>
        <v>242.40216000000001</v>
      </c>
      <c r="AL43" s="178">
        <f t="shared" si="31"/>
        <v>444.92864000000003</v>
      </c>
      <c r="AM43" s="179">
        <f t="shared" si="32"/>
        <v>7.1500000003652531E-2</v>
      </c>
      <c r="AN43" s="180">
        <f t="shared" si="33"/>
        <v>0.36641950000014845</v>
      </c>
      <c r="AO43" s="180">
        <f t="shared" si="34"/>
        <v>0.25919600000025866</v>
      </c>
      <c r="AP43" s="181">
        <f t="shared" si="28"/>
        <v>9.0938246363429201E-4</v>
      </c>
      <c r="AQ43" s="76">
        <f t="shared" si="13"/>
        <v>253.70338989990844</v>
      </c>
      <c r="AR43" s="182">
        <f t="shared" si="29"/>
        <v>7.1500000003652531E-2</v>
      </c>
    </row>
    <row r="44" spans="1:44" ht="15" x14ac:dyDescent="0.25">
      <c r="A44" s="148" t="str">
        <f t="shared" si="15"/>
        <v>46224M</v>
      </c>
      <c r="B44" s="51">
        <f t="shared" si="35"/>
        <v>46224</v>
      </c>
      <c r="C44" s="157" t="s">
        <v>87</v>
      </c>
      <c r="D44" s="79">
        <v>5246.8</v>
      </c>
      <c r="E44" s="62">
        <v>4.62</v>
      </c>
      <c r="F44" s="62">
        <v>8.48</v>
      </c>
      <c r="G44" s="169">
        <f t="shared" si="16"/>
        <v>242.40216000000001</v>
      </c>
      <c r="H44" s="170">
        <f t="shared" si="17"/>
        <v>444.92864000000003</v>
      </c>
      <c r="I44" s="160">
        <v>4040.4999999999991</v>
      </c>
      <c r="J44" s="161">
        <v>4161.7149999999992</v>
      </c>
      <c r="K44" s="162">
        <v>5.100347729241431</v>
      </c>
      <c r="L44" s="163">
        <v>8.4571711421853735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168">
        <f t="shared" si="18"/>
        <v>4161.7149999999992</v>
      </c>
      <c r="S44" s="169">
        <f t="shared" si="19"/>
        <v>212.26193649999996</v>
      </c>
      <c r="T44" s="170">
        <f t="shared" si="20"/>
        <v>351.96335999999997</v>
      </c>
      <c r="U44" s="64" t="s">
        <v>167</v>
      </c>
      <c r="V44" s="65" t="s">
        <v>180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36"/>
        <v>0</v>
      </c>
      <c r="AB44" s="63">
        <f t="shared" si="37"/>
        <v>0</v>
      </c>
      <c r="AC44" s="175"/>
      <c r="AD44" s="176"/>
      <c r="AE44" s="176"/>
      <c r="AF44" s="169">
        <f t="shared" si="23"/>
        <v>0</v>
      </c>
      <c r="AG44" s="170">
        <f t="shared" si="24"/>
        <v>0</v>
      </c>
      <c r="AH44" s="71">
        <v>9408.5</v>
      </c>
      <c r="AI44" s="66">
        <v>4.82</v>
      </c>
      <c r="AJ44" s="66">
        <v>8.4700000000000006</v>
      </c>
      <c r="AK44" s="169">
        <f t="shared" si="30"/>
        <v>453.48969999999997</v>
      </c>
      <c r="AL44" s="178">
        <f t="shared" si="31"/>
        <v>796.8999500000001</v>
      </c>
      <c r="AM44" s="179">
        <f t="shared" si="32"/>
        <v>1.4999999999417923E-2</v>
      </c>
      <c r="AN44" s="180">
        <f t="shared" si="33"/>
        <v>1.1743965000000003</v>
      </c>
      <c r="AO44" s="180">
        <f t="shared" si="34"/>
        <v>-7.9500000000507498E-3</v>
      </c>
      <c r="AP44" s="181">
        <f t="shared" si="28"/>
        <v>2.0673417289789127E-3</v>
      </c>
      <c r="AQ44" s="76">
        <f t="shared" si="13"/>
        <v>561.95478643331307</v>
      </c>
      <c r="AR44" s="182">
        <f t="shared" si="29"/>
        <v>1.4999999999417923E-2</v>
      </c>
    </row>
    <row r="45" spans="1:44" ht="15" x14ac:dyDescent="0.25">
      <c r="A45" s="148" t="str">
        <f t="shared" si="15"/>
        <v>46224E</v>
      </c>
      <c r="B45" s="51">
        <f t="shared" si="35"/>
        <v>46224</v>
      </c>
      <c r="C45" s="157" t="s">
        <v>88</v>
      </c>
      <c r="D45" s="79">
        <v>9408.5</v>
      </c>
      <c r="E45" s="62">
        <v>4.82</v>
      </c>
      <c r="F45" s="62">
        <v>8.4700000000000006</v>
      </c>
      <c r="G45" s="169">
        <f t="shared" si="16"/>
        <v>453.48969999999997</v>
      </c>
      <c r="H45" s="170">
        <f t="shared" si="17"/>
        <v>796.8999500000001</v>
      </c>
      <c r="I45" s="160">
        <v>6570.1500000000015</v>
      </c>
      <c r="J45" s="161">
        <v>6767.2545000000018</v>
      </c>
      <c r="K45" s="162">
        <v>4.5167522811503575</v>
      </c>
      <c r="L45" s="163">
        <v>8.4403932939126278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168">
        <f t="shared" si="18"/>
        <v>6767.2545000000018</v>
      </c>
      <c r="S45" s="169">
        <f t="shared" si="19"/>
        <v>305.66012200000029</v>
      </c>
      <c r="T45" s="170">
        <f t="shared" si="20"/>
        <v>571.18289500000071</v>
      </c>
      <c r="U45" s="64" t="s">
        <v>194</v>
      </c>
      <c r="V45" s="65" t="s">
        <v>715</v>
      </c>
      <c r="W45" s="66" t="s">
        <v>187</v>
      </c>
      <c r="X45" s="67">
        <v>13660</v>
      </c>
      <c r="Y45" s="68">
        <v>4.76</v>
      </c>
      <c r="Z45" s="68">
        <v>8.52</v>
      </c>
      <c r="AA45" s="62">
        <f t="shared" si="36"/>
        <v>650.21600000000001</v>
      </c>
      <c r="AB45" s="63">
        <f t="shared" si="37"/>
        <v>1163.8319999999999</v>
      </c>
      <c r="AC45" s="175">
        <v>13670</v>
      </c>
      <c r="AD45" s="176">
        <v>4.767593269934161</v>
      </c>
      <c r="AE45" s="176">
        <v>8.5392611558156535</v>
      </c>
      <c r="AF45" s="169">
        <f t="shared" si="23"/>
        <v>651.72999999999979</v>
      </c>
      <c r="AG45" s="170">
        <f t="shared" si="24"/>
        <v>1167.3169999999998</v>
      </c>
      <c r="AH45" s="71">
        <v>2515.6</v>
      </c>
      <c r="AI45" s="66">
        <v>4.6900000000000004</v>
      </c>
      <c r="AJ45" s="66">
        <v>8.4499999999999993</v>
      </c>
      <c r="AK45" s="169">
        <f t="shared" si="30"/>
        <v>117.98164000000001</v>
      </c>
      <c r="AL45" s="178">
        <f t="shared" si="31"/>
        <v>212.56819999999996</v>
      </c>
      <c r="AM45" s="179">
        <f t="shared" si="32"/>
        <v>-9.8454999999971733</v>
      </c>
      <c r="AN45" s="180">
        <f t="shared" si="33"/>
        <v>-10.561817999999491</v>
      </c>
      <c r="AO45" s="180">
        <f t="shared" si="34"/>
        <v>-11.802354999998926</v>
      </c>
      <c r="AP45" s="181">
        <f t="shared" si="28"/>
        <v>-2.5505332843402673E-2</v>
      </c>
      <c r="AQ45" s="76">
        <f t="shared" si="13"/>
        <v>-8609.9975503279384</v>
      </c>
      <c r="AR45" s="182">
        <f t="shared" si="29"/>
        <v>0.15450000000237196</v>
      </c>
    </row>
    <row r="46" spans="1:44" ht="14.25" customHeight="1" x14ac:dyDescent="0.25">
      <c r="A46" s="148" t="str">
        <f t="shared" si="15"/>
        <v>46225M</v>
      </c>
      <c r="B46" s="51">
        <f t="shared" si="35"/>
        <v>46225</v>
      </c>
      <c r="C46" s="157" t="s">
        <v>87</v>
      </c>
      <c r="D46" s="79">
        <v>2515.6</v>
      </c>
      <c r="E46" s="62">
        <v>4.6900000000000004</v>
      </c>
      <c r="F46" s="62">
        <v>8.4499999999999993</v>
      </c>
      <c r="G46" s="169">
        <f t="shared" si="16"/>
        <v>117.98164000000001</v>
      </c>
      <c r="H46" s="170">
        <f t="shared" si="17"/>
        <v>212.56819999999996</v>
      </c>
      <c r="I46" s="160">
        <v>4461.05</v>
      </c>
      <c r="J46" s="161">
        <v>4594.8815000000004</v>
      </c>
      <c r="K46" s="162">
        <v>5.1165151701953606</v>
      </c>
      <c r="L46" s="163">
        <v>8.5467658959213626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168">
        <f t="shared" si="18"/>
        <v>4594.8815000000004</v>
      </c>
      <c r="S46" s="169">
        <f t="shared" si="19"/>
        <v>235.09780900000015</v>
      </c>
      <c r="T46" s="170">
        <f t="shared" si="20"/>
        <v>392.71376499999997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36"/>
        <v>0</v>
      </c>
      <c r="AB46" s="63">
        <f t="shared" si="37"/>
        <v>0</v>
      </c>
      <c r="AC46" s="175"/>
      <c r="AD46" s="176"/>
      <c r="AE46" s="176"/>
      <c r="AF46" s="169">
        <f t="shared" si="23"/>
        <v>0</v>
      </c>
      <c r="AG46" s="170">
        <f t="shared" si="24"/>
        <v>0</v>
      </c>
      <c r="AH46" s="71">
        <v>7110.6</v>
      </c>
      <c r="AI46" s="66">
        <v>4.96</v>
      </c>
      <c r="AJ46" s="66">
        <v>8.51</v>
      </c>
      <c r="AK46" s="169">
        <f t="shared" si="30"/>
        <v>352.68576000000002</v>
      </c>
      <c r="AL46" s="178">
        <f t="shared" si="31"/>
        <v>605.11206000000004</v>
      </c>
      <c r="AM46" s="179">
        <f t="shared" si="32"/>
        <v>-0.11850000000049477</v>
      </c>
      <c r="AN46" s="180">
        <f t="shared" si="33"/>
        <v>0.39368900000016538</v>
      </c>
      <c r="AO46" s="180">
        <f t="shared" si="34"/>
        <v>0.16990499999985786</v>
      </c>
      <c r="AP46" s="181">
        <f t="shared" si="28"/>
        <v>8.9771202593347406E-4</v>
      </c>
      <c r="AQ46" s="76">
        <f t="shared" si="13"/>
        <v>240.06541258866415</v>
      </c>
      <c r="AR46" s="182">
        <f t="shared" si="29"/>
        <v>-0.11850000000049477</v>
      </c>
    </row>
    <row r="47" spans="1:44" ht="15" x14ac:dyDescent="0.25">
      <c r="A47" s="148" t="str">
        <f t="shared" si="15"/>
        <v>46225E</v>
      </c>
      <c r="B47" s="51">
        <f t="shared" si="35"/>
        <v>46225</v>
      </c>
      <c r="C47" s="157" t="s">
        <v>88</v>
      </c>
      <c r="D47" s="79">
        <v>7110.6</v>
      </c>
      <c r="E47" s="62">
        <v>4.96</v>
      </c>
      <c r="F47" s="62">
        <v>8.51</v>
      </c>
      <c r="G47" s="169">
        <f t="shared" si="16"/>
        <v>352.68576000000002</v>
      </c>
      <c r="H47" s="170">
        <f t="shared" si="17"/>
        <v>605.11206000000004</v>
      </c>
      <c r="I47" s="160">
        <v>9831.1500000000015</v>
      </c>
      <c r="J47" s="161">
        <v>10126.084500000003</v>
      </c>
      <c r="K47" s="162">
        <v>4.4878035631640252</v>
      </c>
      <c r="L47" s="163">
        <v>8.4184841040976934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168">
        <f t="shared" si="18"/>
        <v>10126.084500000003</v>
      </c>
      <c r="S47" s="169">
        <f t="shared" si="19"/>
        <v>454.43878100000018</v>
      </c>
      <c r="T47" s="170">
        <f t="shared" si="20"/>
        <v>852.46281400000066</v>
      </c>
      <c r="U47" s="64" t="s">
        <v>194</v>
      </c>
      <c r="V47" s="65" t="s">
        <v>716</v>
      </c>
      <c r="W47" s="66" t="s">
        <v>187</v>
      </c>
      <c r="X47" s="67">
        <v>17350</v>
      </c>
      <c r="Y47" s="68">
        <v>4.8</v>
      </c>
      <c r="Z47" s="68">
        <v>8.5500000000000007</v>
      </c>
      <c r="AA47" s="62">
        <f t="shared" si="36"/>
        <v>832.80000000000007</v>
      </c>
      <c r="AB47" s="63">
        <f t="shared" si="37"/>
        <v>1483.4250000000002</v>
      </c>
      <c r="AC47" s="175">
        <v>17330</v>
      </c>
      <c r="AD47" s="176">
        <v>4.7499999999999991</v>
      </c>
      <c r="AE47" s="176">
        <v>8.3000000000000007</v>
      </c>
      <c r="AF47" s="169">
        <f t="shared" si="23"/>
        <v>823.17499999999984</v>
      </c>
      <c r="AG47" s="170">
        <f t="shared" si="24"/>
        <v>1438.39</v>
      </c>
      <c r="AH47" s="71">
        <v>0</v>
      </c>
      <c r="AI47" s="66">
        <v>0</v>
      </c>
      <c r="AJ47" s="66">
        <v>0</v>
      </c>
      <c r="AK47" s="169">
        <f t="shared" si="30"/>
        <v>0</v>
      </c>
      <c r="AL47" s="178">
        <f t="shared" si="31"/>
        <v>0</v>
      </c>
      <c r="AM47" s="179">
        <f t="shared" si="32"/>
        <v>-93.315499999996973</v>
      </c>
      <c r="AN47" s="180">
        <f t="shared" si="33"/>
        <v>-16.050458999999705</v>
      </c>
      <c r="AO47" s="180">
        <f t="shared" si="34"/>
        <v>19.184874000000718</v>
      </c>
      <c r="AP47" s="181">
        <f t="shared" si="28"/>
        <v>2.3983557843932474E-3</v>
      </c>
      <c r="AQ47" s="76">
        <f t="shared" si="13"/>
        <v>-1967.0689651226876</v>
      </c>
      <c r="AR47" s="182">
        <f t="shared" si="29"/>
        <v>-113.31549999999697</v>
      </c>
    </row>
    <row r="48" spans="1:44" ht="15" x14ac:dyDescent="0.25">
      <c r="A48" s="148" t="str">
        <f t="shared" si="15"/>
        <v>46226M</v>
      </c>
      <c r="B48" s="51">
        <f t="shared" si="35"/>
        <v>46226</v>
      </c>
      <c r="C48" s="157" t="s">
        <v>87</v>
      </c>
      <c r="D48" s="79">
        <v>0</v>
      </c>
      <c r="E48" s="62">
        <v>0</v>
      </c>
      <c r="F48" s="62">
        <v>0</v>
      </c>
      <c r="G48" s="169">
        <f t="shared" si="16"/>
        <v>0</v>
      </c>
      <c r="H48" s="170">
        <f t="shared" si="17"/>
        <v>0</v>
      </c>
      <c r="I48" s="160">
        <v>4498.9999999999982</v>
      </c>
      <c r="J48" s="161">
        <v>4633.9699999999984</v>
      </c>
      <c r="K48" s="162">
        <v>5.2146910424538815</v>
      </c>
      <c r="L48" s="163">
        <v>8.5956334741053553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168">
        <f t="shared" si="18"/>
        <v>4633.9699999999984</v>
      </c>
      <c r="S48" s="169">
        <f t="shared" si="19"/>
        <v>241.64721850000004</v>
      </c>
      <c r="T48" s="170">
        <f t="shared" si="20"/>
        <v>398.31907649999977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36"/>
        <v>0</v>
      </c>
      <c r="AB48" s="63">
        <f t="shared" si="37"/>
        <v>0</v>
      </c>
      <c r="AC48" s="175"/>
      <c r="AD48" s="176"/>
      <c r="AE48" s="176"/>
      <c r="AF48" s="169">
        <f t="shared" si="23"/>
        <v>0</v>
      </c>
      <c r="AG48" s="170">
        <f t="shared" si="24"/>
        <v>0</v>
      </c>
      <c r="AH48" s="71">
        <v>4633.8999999999996</v>
      </c>
      <c r="AI48" s="66">
        <v>5.22</v>
      </c>
      <c r="AJ48" s="66">
        <v>8.6</v>
      </c>
      <c r="AK48" s="169">
        <f t="shared" si="30"/>
        <v>241.88957999999997</v>
      </c>
      <c r="AL48" s="178">
        <f t="shared" si="31"/>
        <v>398.51539999999994</v>
      </c>
      <c r="AM48" s="179">
        <f t="shared" si="32"/>
        <v>6.9999999998799467E-2</v>
      </c>
      <c r="AN48" s="180">
        <f t="shared" si="33"/>
        <v>-0.24236149999993017</v>
      </c>
      <c r="AO48" s="180">
        <f t="shared" si="34"/>
        <v>-0.19632350000017595</v>
      </c>
      <c r="AP48" s="181">
        <f t="shared" si="28"/>
        <v>-6.8548141273612896E-4</v>
      </c>
      <c r="AQ48" s="76">
        <f t="shared" si="13"/>
        <v>-175.25972922843158</v>
      </c>
      <c r="AR48" s="182">
        <f t="shared" si="29"/>
        <v>6.9999999998799467E-2</v>
      </c>
    </row>
    <row r="49" spans="1:44" ht="15" x14ac:dyDescent="0.25">
      <c r="A49" s="148" t="str">
        <f t="shared" si="15"/>
        <v>46226E</v>
      </c>
      <c r="B49" s="51">
        <f t="shared" si="35"/>
        <v>46226</v>
      </c>
      <c r="C49" s="157" t="s">
        <v>88</v>
      </c>
      <c r="D49" s="79">
        <v>4633.8999999999996</v>
      </c>
      <c r="E49" s="62">
        <v>5.22</v>
      </c>
      <c r="F49" s="62">
        <v>8.6</v>
      </c>
      <c r="G49" s="169">
        <f t="shared" si="16"/>
        <v>241.88957999999997</v>
      </c>
      <c r="H49" s="170">
        <f t="shared" si="17"/>
        <v>398.51539999999994</v>
      </c>
      <c r="I49" s="160">
        <v>7331.1</v>
      </c>
      <c r="J49" s="161">
        <v>7551.0330000000004</v>
      </c>
      <c r="K49" s="162">
        <v>4.5399585328259056</v>
      </c>
      <c r="L49" s="163">
        <v>8.4854605720833156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168">
        <f t="shared" si="18"/>
        <v>7551.0330000000004</v>
      </c>
      <c r="S49" s="169">
        <f t="shared" si="19"/>
        <v>342.81376699999998</v>
      </c>
      <c r="T49" s="170">
        <f t="shared" si="20"/>
        <v>640.73992799999996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6"/>
        <v>0</v>
      </c>
      <c r="AB49" s="63">
        <f t="shared" si="37"/>
        <v>0</v>
      </c>
      <c r="AC49" s="175"/>
      <c r="AD49" s="176"/>
      <c r="AE49" s="176"/>
      <c r="AF49" s="169">
        <f t="shared" si="23"/>
        <v>0</v>
      </c>
      <c r="AG49" s="170">
        <f t="shared" si="24"/>
        <v>0</v>
      </c>
      <c r="AH49" s="71">
        <v>12184.9</v>
      </c>
      <c r="AI49" s="66">
        <v>4.79</v>
      </c>
      <c r="AJ49" s="66">
        <v>8.5299999999999994</v>
      </c>
      <c r="AK49" s="169">
        <f t="shared" si="30"/>
        <v>583.65670999999998</v>
      </c>
      <c r="AL49" s="178">
        <f t="shared" si="31"/>
        <v>1039.3719699999999</v>
      </c>
      <c r="AM49" s="179">
        <f t="shared" si="32"/>
        <v>3.3000000001266017E-2</v>
      </c>
      <c r="AN49" s="180">
        <f t="shared" si="33"/>
        <v>1.0466369999999188</v>
      </c>
      <c r="AO49" s="180">
        <f t="shared" si="34"/>
        <v>-0.11664199999995617</v>
      </c>
      <c r="AP49" s="181">
        <f t="shared" si="28"/>
        <v>9.4554573352496289E-4</v>
      </c>
      <c r="AQ49" s="76">
        <f t="shared" si="13"/>
        <v>468.00990219996521</v>
      </c>
      <c r="AR49" s="182">
        <f t="shared" si="29"/>
        <v>3.3000000001266017E-2</v>
      </c>
    </row>
    <row r="50" spans="1:44" ht="15" x14ac:dyDescent="0.25">
      <c r="A50" s="148" t="str">
        <f t="shared" si="15"/>
        <v>46227M</v>
      </c>
      <c r="B50" s="51">
        <f t="shared" si="35"/>
        <v>46227</v>
      </c>
      <c r="C50" s="157" t="s">
        <v>87</v>
      </c>
      <c r="D50" s="79">
        <v>12184.9</v>
      </c>
      <c r="E50" s="62">
        <v>4.79</v>
      </c>
      <c r="F50" s="62">
        <v>8.5299999999999994</v>
      </c>
      <c r="G50" s="169">
        <f t="shared" si="16"/>
        <v>583.65670999999998</v>
      </c>
      <c r="H50" s="170">
        <f t="shared" si="17"/>
        <v>1039.3719699999999</v>
      </c>
      <c r="I50" s="160">
        <v>5437.449999999998</v>
      </c>
      <c r="J50" s="161">
        <v>5600.5734999999977</v>
      </c>
      <c r="K50" s="162">
        <v>5.0003236811372975</v>
      </c>
      <c r="L50" s="163">
        <v>8.4756715004275893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168">
        <f t="shared" si="18"/>
        <v>5600.5734999999977</v>
      </c>
      <c r="S50" s="169">
        <f t="shared" si="19"/>
        <v>280.04680299999984</v>
      </c>
      <c r="T50" s="170">
        <f t="shared" si="20"/>
        <v>474.68621199999978</v>
      </c>
      <c r="U50" s="64" t="s">
        <v>194</v>
      </c>
      <c r="V50" s="65" t="s">
        <v>813</v>
      </c>
      <c r="W50" s="66" t="s">
        <v>187</v>
      </c>
      <c r="X50" s="67">
        <v>13610</v>
      </c>
      <c r="Y50" s="68">
        <v>5.0199999999999996</v>
      </c>
      <c r="Z50" s="68">
        <v>8.6300000000000008</v>
      </c>
      <c r="AA50" s="62">
        <f t="shared" si="36"/>
        <v>683.22199999999998</v>
      </c>
      <c r="AB50" s="63">
        <f t="shared" si="37"/>
        <v>1174.5430000000001</v>
      </c>
      <c r="AC50" s="175">
        <v>13625</v>
      </c>
      <c r="AD50" s="176">
        <v>5.0209724770642215</v>
      </c>
      <c r="AE50" s="176">
        <v>8.6367779816513757</v>
      </c>
      <c r="AF50" s="169">
        <f t="shared" si="23"/>
        <v>684.10750000000019</v>
      </c>
      <c r="AG50" s="170">
        <f t="shared" si="24"/>
        <v>1176.761</v>
      </c>
      <c r="AH50" s="71">
        <v>4175.6000000000004</v>
      </c>
      <c r="AI50" s="66">
        <v>4.8499999999999996</v>
      </c>
      <c r="AJ50" s="66">
        <v>8.51</v>
      </c>
      <c r="AK50" s="169">
        <f t="shared" si="30"/>
        <v>202.51659999999998</v>
      </c>
      <c r="AL50" s="178">
        <f t="shared" si="31"/>
        <v>355.34356000000002</v>
      </c>
      <c r="AM50" s="179">
        <f t="shared" si="32"/>
        <v>-15.126500000003944</v>
      </c>
      <c r="AN50" s="180">
        <f t="shared" si="33"/>
        <v>-22.920587000000353</v>
      </c>
      <c r="AO50" s="180">
        <f t="shared" si="34"/>
        <v>-18.046378000000232</v>
      </c>
      <c r="AP50" s="181">
        <f t="shared" si="28"/>
        <v>-5.4280075451582845E-2</v>
      </c>
      <c r="AQ50" s="76">
        <f t="shared" si="13"/>
        <v>-16418.817589601364</v>
      </c>
      <c r="AR50" s="182">
        <f t="shared" si="29"/>
        <v>-0.12650000000212458</v>
      </c>
    </row>
    <row r="51" spans="1:44" ht="15" x14ac:dyDescent="0.25">
      <c r="A51" s="148" t="str">
        <f t="shared" si="15"/>
        <v>46227E</v>
      </c>
      <c r="B51" s="51">
        <f t="shared" si="35"/>
        <v>46227</v>
      </c>
      <c r="C51" s="157" t="s">
        <v>88</v>
      </c>
      <c r="D51" s="79">
        <v>4175.6000000000004</v>
      </c>
      <c r="E51" s="62">
        <v>4.8499999999999996</v>
      </c>
      <c r="F51" s="62">
        <v>8.51</v>
      </c>
      <c r="G51" s="169">
        <f t="shared" si="16"/>
        <v>202.51659999999998</v>
      </c>
      <c r="H51" s="170">
        <f t="shared" si="17"/>
        <v>355.34356000000002</v>
      </c>
      <c r="I51" s="160">
        <v>7165.9</v>
      </c>
      <c r="J51" s="161">
        <v>7380.8769999999995</v>
      </c>
      <c r="K51" s="162">
        <v>4.5228757029821809</v>
      </c>
      <c r="L51" s="163">
        <v>8.4491564213846146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168">
        <f t="shared" si="18"/>
        <v>7380.8769999999995</v>
      </c>
      <c r="S51" s="169">
        <f t="shared" si="19"/>
        <v>333.82789250000008</v>
      </c>
      <c r="T51" s="170">
        <f t="shared" si="20"/>
        <v>623.62184300000001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36"/>
        <v>0</v>
      </c>
      <c r="AB51" s="63">
        <f t="shared" si="37"/>
        <v>0</v>
      </c>
      <c r="AC51" s="175"/>
      <c r="AD51" s="176"/>
      <c r="AE51" s="176"/>
      <c r="AF51" s="169">
        <f t="shared" si="23"/>
        <v>0</v>
      </c>
      <c r="AG51" s="170">
        <f t="shared" si="24"/>
        <v>0</v>
      </c>
      <c r="AH51" s="71">
        <v>11556.4</v>
      </c>
      <c r="AI51" s="66">
        <v>4.63</v>
      </c>
      <c r="AJ51" s="66">
        <v>8.4700000000000006</v>
      </c>
      <c r="AK51" s="169">
        <f t="shared" si="30"/>
        <v>535.06132000000002</v>
      </c>
      <c r="AL51" s="178">
        <f t="shared" si="31"/>
        <v>978.82708000000014</v>
      </c>
      <c r="AM51" s="179">
        <f t="shared" si="32"/>
        <v>7.699999999931606E-2</v>
      </c>
      <c r="AN51" s="180">
        <f t="shared" si="33"/>
        <v>1.2831725000000915</v>
      </c>
      <c r="AO51" s="180">
        <f t="shared" si="34"/>
        <v>0.13832299999990028</v>
      </c>
      <c r="AP51" s="181">
        <f t="shared" si="28"/>
        <v>1.484668539030571E-3</v>
      </c>
      <c r="AQ51" s="76">
        <f t="shared" si="13"/>
        <v>658.03265600634063</v>
      </c>
      <c r="AR51" s="182">
        <f t="shared" si="29"/>
        <v>7.699999999931606E-2</v>
      </c>
    </row>
    <row r="52" spans="1:44" ht="15" x14ac:dyDescent="0.25">
      <c r="A52" s="148" t="str">
        <f t="shared" si="15"/>
        <v>46228M</v>
      </c>
      <c r="B52" s="51">
        <f t="shared" si="35"/>
        <v>46228</v>
      </c>
      <c r="C52" s="157" t="s">
        <v>87</v>
      </c>
      <c r="D52" s="79">
        <v>11556.4</v>
      </c>
      <c r="E52" s="62">
        <v>4.63</v>
      </c>
      <c r="F52" s="62">
        <v>8.4700000000000006</v>
      </c>
      <c r="G52" s="169">
        <f t="shared" si="16"/>
        <v>535.06132000000002</v>
      </c>
      <c r="H52" s="170">
        <f t="shared" si="17"/>
        <v>978.82708000000014</v>
      </c>
      <c r="I52" s="118">
        <v>5791.7</v>
      </c>
      <c r="J52" s="119">
        <v>5965.451</v>
      </c>
      <c r="K52" s="120">
        <v>5.0107947580157832</v>
      </c>
      <c r="L52" s="121">
        <v>8.496996564048553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168">
        <f t="shared" si="18"/>
        <v>5965.451</v>
      </c>
      <c r="S52" s="169">
        <f t="shared" si="19"/>
        <v>298.91650600000014</v>
      </c>
      <c r="T52" s="170">
        <f t="shared" si="20"/>
        <v>506.88416650000005</v>
      </c>
      <c r="U52" s="64" t="s">
        <v>814</v>
      </c>
      <c r="V52" s="65" t="s">
        <v>815</v>
      </c>
      <c r="W52" s="66" t="s">
        <v>187</v>
      </c>
      <c r="X52" s="67">
        <v>17625</v>
      </c>
      <c r="Y52" s="68">
        <v>4.8499999999999996</v>
      </c>
      <c r="Z52" s="68">
        <v>8.6</v>
      </c>
      <c r="AA52" s="62">
        <f t="shared" si="36"/>
        <v>854.81249999999989</v>
      </c>
      <c r="AB52" s="63">
        <f t="shared" si="37"/>
        <v>1515.7499999999998</v>
      </c>
      <c r="AC52" s="175">
        <v>17635</v>
      </c>
      <c r="AD52" s="176">
        <v>4.8560391267366017</v>
      </c>
      <c r="AE52" s="176">
        <v>8.6023929685284966</v>
      </c>
      <c r="AF52" s="169">
        <f t="shared" si="23"/>
        <v>856.36249999999973</v>
      </c>
      <c r="AG52" s="170">
        <f t="shared" si="24"/>
        <v>1517.0320000000004</v>
      </c>
      <c r="AH52" s="71">
        <v>0</v>
      </c>
      <c r="AI52" s="66">
        <v>0</v>
      </c>
      <c r="AJ52" s="66">
        <v>0</v>
      </c>
      <c r="AK52" s="169">
        <f t="shared" si="30"/>
        <v>0</v>
      </c>
      <c r="AL52" s="178">
        <f t="shared" si="31"/>
        <v>0</v>
      </c>
      <c r="AM52" s="179">
        <f t="shared" si="32"/>
        <v>-113.14900000000125</v>
      </c>
      <c r="AN52" s="180">
        <f t="shared" si="33"/>
        <v>-22.384673999999563</v>
      </c>
      <c r="AO52" s="180">
        <f t="shared" si="34"/>
        <v>-31.320753500000137</v>
      </c>
      <c r="AP52" s="181">
        <f t="shared" si="28"/>
        <v>-6.6648526531230573E-2</v>
      </c>
      <c r="AQ52" s="76">
        <f t="shared" si="13"/>
        <v>-20136.851238023883</v>
      </c>
      <c r="AR52" s="182">
        <f t="shared" si="29"/>
        <v>-103.14900000000125</v>
      </c>
    </row>
    <row r="53" spans="1:44" ht="15" x14ac:dyDescent="0.25">
      <c r="A53" s="148" t="str">
        <f t="shared" si="15"/>
        <v>46228E</v>
      </c>
      <c r="B53" s="51">
        <f t="shared" si="35"/>
        <v>46228</v>
      </c>
      <c r="C53" s="157" t="s">
        <v>88</v>
      </c>
      <c r="D53" s="79">
        <v>0</v>
      </c>
      <c r="E53" s="62">
        <v>0</v>
      </c>
      <c r="F53" s="62">
        <v>0</v>
      </c>
      <c r="G53" s="169">
        <f t="shared" si="16"/>
        <v>0</v>
      </c>
      <c r="H53" s="170">
        <f t="shared" si="17"/>
        <v>0</v>
      </c>
      <c r="I53" s="118">
        <v>5831.7999999999984</v>
      </c>
      <c r="J53" s="119">
        <v>6006.7539999999981</v>
      </c>
      <c r="K53" s="120">
        <v>4.4565057100723626</v>
      </c>
      <c r="L53" s="121">
        <v>8.4633655132206176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168">
        <f t="shared" si="18"/>
        <v>6006.7539999999981</v>
      </c>
      <c r="S53" s="169">
        <f t="shared" si="19"/>
        <v>267.69133499999998</v>
      </c>
      <c r="T53" s="170">
        <f t="shared" si="20"/>
        <v>508.3735464999998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36"/>
        <v>0</v>
      </c>
      <c r="AB53" s="63">
        <f t="shared" si="37"/>
        <v>0</v>
      </c>
      <c r="AC53" s="175"/>
      <c r="AD53" s="176"/>
      <c r="AE53" s="176"/>
      <c r="AF53" s="169">
        <f t="shared" si="23"/>
        <v>0</v>
      </c>
      <c r="AG53" s="170">
        <f t="shared" si="24"/>
        <v>0</v>
      </c>
      <c r="AH53" s="71">
        <v>6006.7</v>
      </c>
      <c r="AI53" s="66">
        <v>4.46</v>
      </c>
      <c r="AJ53" s="66">
        <v>8.4600000000000009</v>
      </c>
      <c r="AK53" s="169">
        <f t="shared" si="30"/>
        <v>267.89882</v>
      </c>
      <c r="AL53" s="178">
        <f t="shared" si="31"/>
        <v>508.16682000000003</v>
      </c>
      <c r="AM53" s="179">
        <f t="shared" si="32"/>
        <v>5.3999999998268322E-2</v>
      </c>
      <c r="AN53" s="180">
        <f t="shared" si="33"/>
        <v>-0.20748500000001968</v>
      </c>
      <c r="AO53" s="180">
        <f t="shared" si="34"/>
        <v>0.20672649999977466</v>
      </c>
      <c r="AP53" s="181">
        <f t="shared" si="28"/>
        <v>-9.7736673611486147E-7</v>
      </c>
      <c r="AQ53" s="76">
        <f t="shared" si="13"/>
        <v>-37.790549030150927</v>
      </c>
      <c r="AR53" s="182">
        <f t="shared" si="29"/>
        <v>5.3999999998268322E-2</v>
      </c>
    </row>
    <row r="54" spans="1:44" ht="15" x14ac:dyDescent="0.25">
      <c r="A54" s="148" t="str">
        <f t="shared" si="15"/>
        <v>46229M</v>
      </c>
      <c r="B54" s="51">
        <f t="shared" si="35"/>
        <v>46229</v>
      </c>
      <c r="C54" s="157" t="s">
        <v>87</v>
      </c>
      <c r="D54" s="79">
        <v>6006.7</v>
      </c>
      <c r="E54" s="62">
        <v>4.46</v>
      </c>
      <c r="F54" s="62">
        <v>8.4600000000000009</v>
      </c>
      <c r="G54" s="169">
        <f t="shared" si="16"/>
        <v>267.89882</v>
      </c>
      <c r="H54" s="170">
        <f t="shared" si="17"/>
        <v>508.16682000000003</v>
      </c>
      <c r="I54" s="118">
        <v>7127.4499999999971</v>
      </c>
      <c r="J54" s="119">
        <v>7341.2734999999975</v>
      </c>
      <c r="K54" s="120">
        <v>4.9038421875986513</v>
      </c>
      <c r="L54" s="121">
        <v>8.4027141544311021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168">
        <f t="shared" si="18"/>
        <v>7341.2734999999975</v>
      </c>
      <c r="S54" s="169">
        <f t="shared" si="19"/>
        <v>360.00446699999992</v>
      </c>
      <c r="T54" s="170">
        <f t="shared" si="20"/>
        <v>616.86622749999935</v>
      </c>
      <c r="U54" s="64" t="s">
        <v>194</v>
      </c>
      <c r="V54" s="65" t="s">
        <v>816</v>
      </c>
      <c r="W54" s="66" t="s">
        <v>187</v>
      </c>
      <c r="X54" s="67">
        <v>13350</v>
      </c>
      <c r="Y54" s="68">
        <v>4.78</v>
      </c>
      <c r="Z54" s="68">
        <v>8.5299999999999994</v>
      </c>
      <c r="AA54" s="62">
        <f t="shared" si="36"/>
        <v>638.13</v>
      </c>
      <c r="AB54" s="63">
        <f t="shared" si="37"/>
        <v>1138.7549999999999</v>
      </c>
      <c r="AC54" s="175">
        <v>13350</v>
      </c>
      <c r="AD54" s="176">
        <v>4.7187640449438195</v>
      </c>
      <c r="AE54" s="176">
        <v>8.5325393258426967</v>
      </c>
      <c r="AF54" s="169">
        <f t="shared" si="23"/>
        <v>629.95499999999993</v>
      </c>
      <c r="AG54" s="170">
        <f t="shared" si="24"/>
        <v>1139.0940000000001</v>
      </c>
      <c r="AH54" s="71">
        <v>0</v>
      </c>
      <c r="AI54" s="66">
        <v>0</v>
      </c>
      <c r="AJ54" s="66">
        <v>0</v>
      </c>
      <c r="AK54" s="169">
        <f t="shared" si="30"/>
        <v>0</v>
      </c>
      <c r="AL54" s="178">
        <f t="shared" si="31"/>
        <v>0</v>
      </c>
      <c r="AM54" s="179">
        <f t="shared" si="32"/>
        <v>-2.0265000000035798</v>
      </c>
      <c r="AN54" s="180">
        <f t="shared" si="33"/>
        <v>-2.0517130000000634</v>
      </c>
      <c r="AO54" s="180">
        <f t="shared" si="34"/>
        <v>-14.060952500000667</v>
      </c>
      <c r="AP54" s="181">
        <f t="shared" si="28"/>
        <v>-1.6494164059500039E-2</v>
      </c>
      <c r="AQ54" s="76">
        <f t="shared" si="13"/>
        <v>-5197.0449683899351</v>
      </c>
      <c r="AR54" s="182">
        <f t="shared" si="29"/>
        <v>-2.0265000000035798</v>
      </c>
    </row>
    <row r="55" spans="1:44" ht="15" x14ac:dyDescent="0.25">
      <c r="A55" s="148" t="str">
        <f t="shared" si="15"/>
        <v>46229E</v>
      </c>
      <c r="B55" s="51">
        <f t="shared" si="35"/>
        <v>46229</v>
      </c>
      <c r="C55" s="157" t="s">
        <v>88</v>
      </c>
      <c r="D55" s="79">
        <v>0</v>
      </c>
      <c r="E55" s="62">
        <v>0</v>
      </c>
      <c r="F55" s="62">
        <v>0</v>
      </c>
      <c r="G55" s="169">
        <f t="shared" si="16"/>
        <v>0</v>
      </c>
      <c r="H55" s="170">
        <f t="shared" si="17"/>
        <v>0</v>
      </c>
      <c r="I55" s="118">
        <v>7084.0999999999985</v>
      </c>
      <c r="J55" s="119">
        <v>7296.6229999999987</v>
      </c>
      <c r="K55" s="120">
        <v>4.4284482150167284</v>
      </c>
      <c r="L55" s="121">
        <v>8.420535424401125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168">
        <f t="shared" si="18"/>
        <v>7296.6229999999987</v>
      </c>
      <c r="S55" s="169">
        <f t="shared" si="19"/>
        <v>323.12717099999998</v>
      </c>
      <c r="T55" s="170">
        <f t="shared" si="20"/>
        <v>614.41472450000003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36"/>
        <v>0</v>
      </c>
      <c r="AB55" s="63">
        <f t="shared" si="37"/>
        <v>0</v>
      </c>
      <c r="AC55" s="175"/>
      <c r="AD55" s="176"/>
      <c r="AE55" s="176"/>
      <c r="AF55" s="169">
        <f t="shared" si="23"/>
        <v>0</v>
      </c>
      <c r="AG55" s="170">
        <f t="shared" si="24"/>
        <v>0</v>
      </c>
      <c r="AH55" s="71">
        <v>7296.6</v>
      </c>
      <c r="AI55" s="66">
        <v>4.43</v>
      </c>
      <c r="AJ55" s="66">
        <v>8.42</v>
      </c>
      <c r="AK55" s="169">
        <f t="shared" si="30"/>
        <v>323.23937999999998</v>
      </c>
      <c r="AL55" s="178">
        <f t="shared" si="31"/>
        <v>614.37372000000005</v>
      </c>
      <c r="AM55" s="179">
        <f t="shared" si="32"/>
        <v>2.2999999998319254E-2</v>
      </c>
      <c r="AN55" s="180">
        <f t="shared" si="33"/>
        <v>-0.11220900000000711</v>
      </c>
      <c r="AO55" s="180">
        <f t="shared" si="34"/>
        <v>4.1004499999985455E-2</v>
      </c>
      <c r="AP55" s="181">
        <f t="shared" si="28"/>
        <v>-7.5948072658713151E-5</v>
      </c>
      <c r="AQ55" s="76">
        <f t="shared" si="13"/>
        <v>-41.639593794897031</v>
      </c>
      <c r="AR55" s="182">
        <f t="shared" si="29"/>
        <v>2.2999999998319254E-2</v>
      </c>
    </row>
    <row r="56" spans="1:44" ht="15" x14ac:dyDescent="0.25">
      <c r="A56" s="148" t="str">
        <f t="shared" si="15"/>
        <v>46230M</v>
      </c>
      <c r="B56" s="51">
        <f t="shared" si="35"/>
        <v>46230</v>
      </c>
      <c r="C56" s="157" t="s">
        <v>87</v>
      </c>
      <c r="D56" s="184">
        <v>7296.6</v>
      </c>
      <c r="E56" s="169">
        <v>4.43</v>
      </c>
      <c r="F56" s="169">
        <v>8.42</v>
      </c>
      <c r="G56" s="169">
        <f t="shared" si="16"/>
        <v>323.23937999999998</v>
      </c>
      <c r="H56" s="170">
        <f t="shared" si="17"/>
        <v>614.37372000000005</v>
      </c>
      <c r="I56" s="160">
        <v>4349.2</v>
      </c>
      <c r="J56" s="161">
        <v>4479.6759999999995</v>
      </c>
      <c r="K56" s="162">
        <v>5.3592120389956746</v>
      </c>
      <c r="L56" s="163">
        <v>8.5238262209141933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168">
        <f t="shared" si="18"/>
        <v>4479.6759999999995</v>
      </c>
      <c r="S56" s="169">
        <f t="shared" si="19"/>
        <v>240.07533549999985</v>
      </c>
      <c r="T56" s="170">
        <f t="shared" si="20"/>
        <v>381.83979750000009</v>
      </c>
      <c r="U56" s="171" t="s">
        <v>167</v>
      </c>
      <c r="V56" s="172" t="s">
        <v>180</v>
      </c>
      <c r="W56" s="159">
        <v>0</v>
      </c>
      <c r="X56" s="67">
        <v>0</v>
      </c>
      <c r="Y56" s="68">
        <v>0</v>
      </c>
      <c r="Z56" s="68">
        <v>0</v>
      </c>
      <c r="AA56" s="62">
        <f t="shared" ref="AA56:AA61" si="38">X56*Y56%</f>
        <v>0</v>
      </c>
      <c r="AB56" s="63">
        <f t="shared" si="37"/>
        <v>0</v>
      </c>
      <c r="AC56" s="175"/>
      <c r="AD56" s="176"/>
      <c r="AE56" s="176"/>
      <c r="AF56" s="169">
        <f t="shared" si="23"/>
        <v>0</v>
      </c>
      <c r="AG56" s="170">
        <f t="shared" si="24"/>
        <v>0</v>
      </c>
      <c r="AH56" s="158">
        <v>11776</v>
      </c>
      <c r="AI56" s="159">
        <v>4.76</v>
      </c>
      <c r="AJ56" s="159">
        <v>8.4499999999999993</v>
      </c>
      <c r="AK56" s="169">
        <f t="shared" si="30"/>
        <v>560.5376</v>
      </c>
      <c r="AL56" s="178">
        <f t="shared" si="31"/>
        <v>995.07199999999989</v>
      </c>
      <c r="AM56" s="179">
        <f t="shared" si="32"/>
        <v>0.27599999999983993</v>
      </c>
      <c r="AN56" s="180">
        <f t="shared" si="33"/>
        <v>2.7771154999998089</v>
      </c>
      <c r="AO56" s="180">
        <f t="shared" si="34"/>
        <v>1.1415175000001909</v>
      </c>
      <c r="AP56" s="181">
        <f t="shared" si="28"/>
        <v>6.3009127645716895E-3</v>
      </c>
      <c r="AQ56" s="76">
        <f t="shared" si="13"/>
        <v>1676.3687118109458</v>
      </c>
      <c r="AR56" s="182">
        <f t="shared" si="29"/>
        <v>0.27599999999983993</v>
      </c>
    </row>
    <row r="57" spans="1:44" ht="15" x14ac:dyDescent="0.25">
      <c r="A57" s="148" t="str">
        <f t="shared" si="15"/>
        <v>46230E</v>
      </c>
      <c r="B57" s="51">
        <f t="shared" si="35"/>
        <v>46230</v>
      </c>
      <c r="C57" s="157" t="s">
        <v>88</v>
      </c>
      <c r="D57" s="184">
        <v>11776</v>
      </c>
      <c r="E57" s="169">
        <v>4.76</v>
      </c>
      <c r="F57" s="169">
        <v>8.4499999999999993</v>
      </c>
      <c r="G57" s="169">
        <f t="shared" si="16"/>
        <v>560.5376</v>
      </c>
      <c r="H57" s="170">
        <f t="shared" si="17"/>
        <v>995.07199999999989</v>
      </c>
      <c r="I57" s="160">
        <v>6926.6999999999971</v>
      </c>
      <c r="J57" s="161">
        <v>7134.5009999999975</v>
      </c>
      <c r="K57" s="162">
        <v>4.5216055264411619</v>
      </c>
      <c r="L57" s="163">
        <v>8.4470642585935547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168">
        <f t="shared" si="18"/>
        <v>7134.5009999999975</v>
      </c>
      <c r="S57" s="169">
        <f t="shared" si="19"/>
        <v>322.59399149999985</v>
      </c>
      <c r="T57" s="170">
        <f t="shared" si="20"/>
        <v>602.65588399999956</v>
      </c>
      <c r="U57" s="171" t="s">
        <v>194</v>
      </c>
      <c r="V57" s="172" t="s">
        <v>859</v>
      </c>
      <c r="W57" s="159" t="s">
        <v>187</v>
      </c>
      <c r="X57" s="67">
        <v>15110</v>
      </c>
      <c r="Y57" s="68">
        <v>4.82</v>
      </c>
      <c r="Z57" s="68">
        <v>8.5299999999999994</v>
      </c>
      <c r="AA57" s="62">
        <f t="shared" si="38"/>
        <v>728.30200000000002</v>
      </c>
      <c r="AB57" s="63">
        <f t="shared" si="37"/>
        <v>1288.8829999999998</v>
      </c>
      <c r="AC57" s="175">
        <v>15040</v>
      </c>
      <c r="AD57" s="176">
        <v>4.7672207446808503</v>
      </c>
      <c r="AE57" s="176">
        <v>8.5360172872340438</v>
      </c>
      <c r="AF57" s="169">
        <f t="shared" si="23"/>
        <v>716.9899999999999</v>
      </c>
      <c r="AG57" s="170">
        <f t="shared" si="24"/>
        <v>1283.8170000000002</v>
      </c>
      <c r="AH57" s="158">
        <v>3800.5</v>
      </c>
      <c r="AI57" s="159">
        <v>4.66</v>
      </c>
      <c r="AJ57" s="159">
        <v>8.4499999999999993</v>
      </c>
      <c r="AK57" s="169">
        <f t="shared" si="30"/>
        <v>177.10330000000002</v>
      </c>
      <c r="AL57" s="178">
        <f t="shared" si="31"/>
        <v>321.14224999999999</v>
      </c>
      <c r="AM57" s="179">
        <f t="shared" si="32"/>
        <v>70.000999999996566</v>
      </c>
      <c r="AN57" s="180">
        <f t="shared" si="33"/>
        <v>-10.961708500000128</v>
      </c>
      <c r="AO57" s="180">
        <f t="shared" si="34"/>
        <v>-7.2313660000007758</v>
      </c>
      <c r="AP57" s="181">
        <f t="shared" si="28"/>
        <v>-1.9662877004084412E-2</v>
      </c>
      <c r="AQ57" s="76">
        <f t="shared" si="13"/>
        <v>-7433.1874383652694</v>
      </c>
      <c r="AR57" s="182">
        <f t="shared" si="29"/>
        <v>9.9999999656574801E-4</v>
      </c>
    </row>
    <row r="58" spans="1:44" ht="15" x14ac:dyDescent="0.25">
      <c r="A58" s="148" t="str">
        <f t="shared" si="15"/>
        <v>46231M</v>
      </c>
      <c r="B58" s="51">
        <f t="shared" si="35"/>
        <v>46231</v>
      </c>
      <c r="C58" s="157" t="s">
        <v>87</v>
      </c>
      <c r="D58" s="184">
        <v>3800.5</v>
      </c>
      <c r="E58" s="169">
        <v>4.66</v>
      </c>
      <c r="F58" s="169">
        <v>8.4499999999999993</v>
      </c>
      <c r="G58" s="169">
        <f t="shared" si="16"/>
        <v>177.10330000000002</v>
      </c>
      <c r="H58" s="170">
        <f t="shared" si="17"/>
        <v>321.14224999999999</v>
      </c>
      <c r="I58" s="160">
        <v>4341.1499999999996</v>
      </c>
      <c r="J58" s="161">
        <v>4471.3845000000001</v>
      </c>
      <c r="K58" s="162">
        <v>5.2118079310781678</v>
      </c>
      <c r="L58" s="163">
        <v>8.5154601891203896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168">
        <f t="shared" si="18"/>
        <v>4471.3845000000001</v>
      </c>
      <c r="S58" s="169">
        <f t="shared" si="19"/>
        <v>233.03997199999986</v>
      </c>
      <c r="T58" s="170">
        <f t="shared" si="20"/>
        <v>380.75896699999981</v>
      </c>
      <c r="U58" s="171" t="s">
        <v>167</v>
      </c>
      <c r="V58" s="172" t="s">
        <v>167</v>
      </c>
      <c r="W58" s="159">
        <v>0</v>
      </c>
      <c r="X58" s="67">
        <v>0</v>
      </c>
      <c r="Y58" s="68">
        <v>0</v>
      </c>
      <c r="Z58" s="68">
        <v>0</v>
      </c>
      <c r="AA58" s="62">
        <f t="shared" si="38"/>
        <v>0</v>
      </c>
      <c r="AB58" s="63">
        <f t="shared" si="37"/>
        <v>0</v>
      </c>
      <c r="AC58" s="175"/>
      <c r="AD58" s="176"/>
      <c r="AE58" s="176"/>
      <c r="AF58" s="169">
        <f t="shared" si="23"/>
        <v>0</v>
      </c>
      <c r="AG58" s="170">
        <f t="shared" si="24"/>
        <v>0</v>
      </c>
      <c r="AH58" s="158">
        <v>8271.2999999999993</v>
      </c>
      <c r="AI58" s="159">
        <v>4.95</v>
      </c>
      <c r="AJ58" s="159">
        <v>8.48</v>
      </c>
      <c r="AK58" s="169">
        <f t="shared" si="30"/>
        <v>409.42935</v>
      </c>
      <c r="AL58" s="178">
        <f t="shared" si="31"/>
        <v>701.40623999999991</v>
      </c>
      <c r="AM58" s="179">
        <f t="shared" si="32"/>
        <v>0.58450000000084401</v>
      </c>
      <c r="AN58" s="180">
        <f t="shared" si="33"/>
        <v>0.71392199999991135</v>
      </c>
      <c r="AO58" s="180">
        <f t="shared" si="34"/>
        <v>0.49497699999994893</v>
      </c>
      <c r="AP58" s="181">
        <f t="shared" si="28"/>
        <v>1.9695358254763306E-3</v>
      </c>
      <c r="AQ58" s="76">
        <f t="shared" si="13"/>
        <v>491.30396157102348</v>
      </c>
      <c r="AR58" s="182">
        <f t="shared" si="29"/>
        <v>0.58450000000084401</v>
      </c>
    </row>
    <row r="59" spans="1:44" ht="15" x14ac:dyDescent="0.25">
      <c r="A59" s="148" t="str">
        <f t="shared" si="15"/>
        <v>46231E</v>
      </c>
      <c r="B59" s="51">
        <f t="shared" si="35"/>
        <v>46231</v>
      </c>
      <c r="C59" s="157" t="s">
        <v>88</v>
      </c>
      <c r="D59" s="184">
        <v>8271.2999999999993</v>
      </c>
      <c r="E59" s="169">
        <v>4.95</v>
      </c>
      <c r="F59" s="169">
        <v>8.48</v>
      </c>
      <c r="G59" s="169">
        <f t="shared" si="16"/>
        <v>409.42935</v>
      </c>
      <c r="H59" s="170">
        <f t="shared" si="17"/>
        <v>701.40623999999991</v>
      </c>
      <c r="I59" s="160">
        <v>9128.9</v>
      </c>
      <c r="J59" s="161">
        <v>9402.7669999999998</v>
      </c>
      <c r="K59" s="162">
        <v>4.5616673421770404</v>
      </c>
      <c r="L59" s="163">
        <v>8.4080738095498884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168">
        <f t="shared" si="18"/>
        <v>9402.7669999999998</v>
      </c>
      <c r="S59" s="169">
        <f t="shared" si="19"/>
        <v>428.92295149999984</v>
      </c>
      <c r="T59" s="170">
        <f t="shared" si="20"/>
        <v>790.59158949999983</v>
      </c>
      <c r="U59" s="171" t="s">
        <v>194</v>
      </c>
      <c r="V59" s="172" t="s">
        <v>860</v>
      </c>
      <c r="W59" s="159" t="s">
        <v>187</v>
      </c>
      <c r="X59" s="67">
        <v>18220</v>
      </c>
      <c r="Y59" s="68">
        <v>4.6500000000000004</v>
      </c>
      <c r="Z59" s="68">
        <v>8.4</v>
      </c>
      <c r="AA59" s="62">
        <f t="shared" si="38"/>
        <v>847.23000000000013</v>
      </c>
      <c r="AB59" s="63">
        <f t="shared" si="37"/>
        <v>1530.48</v>
      </c>
      <c r="AC59" s="175">
        <v>18230</v>
      </c>
      <c r="AD59" s="176">
        <v>4.55</v>
      </c>
      <c r="AE59" s="176">
        <v>8.3199999999999985</v>
      </c>
      <c r="AF59" s="169">
        <f t="shared" si="23"/>
        <v>829.46500000000003</v>
      </c>
      <c r="AG59" s="170">
        <f t="shared" si="24"/>
        <v>1516.7359999999996</v>
      </c>
      <c r="AH59" s="158">
        <v>0</v>
      </c>
      <c r="AI59" s="159">
        <v>0</v>
      </c>
      <c r="AJ59" s="159">
        <v>0</v>
      </c>
      <c r="AK59" s="169">
        <f t="shared" si="30"/>
        <v>0</v>
      </c>
      <c r="AL59" s="178">
        <f t="shared" si="31"/>
        <v>0</v>
      </c>
      <c r="AM59" s="179">
        <f t="shared" si="32"/>
        <v>-555.9330000000009</v>
      </c>
      <c r="AN59" s="180">
        <f t="shared" si="33"/>
        <v>8.8873014999998077</v>
      </c>
      <c r="AO59" s="180">
        <f t="shared" si="34"/>
        <v>-24.738170500000024</v>
      </c>
      <c r="AP59" s="181">
        <f t="shared" si="28"/>
        <v>-1.2997687577388404E-2</v>
      </c>
      <c r="AQ59" s="76">
        <f t="shared" si="13"/>
        <v>-3138.2242122666021</v>
      </c>
      <c r="AR59" s="182">
        <f t="shared" si="29"/>
        <v>-545.9330000000009</v>
      </c>
    </row>
    <row r="60" spans="1:44" ht="15" x14ac:dyDescent="0.25">
      <c r="A60" s="148" t="str">
        <f t="shared" si="15"/>
        <v>46232M</v>
      </c>
      <c r="B60" s="51">
        <f t="shared" si="35"/>
        <v>46232</v>
      </c>
      <c r="C60" s="157" t="s">
        <v>87</v>
      </c>
      <c r="D60" s="184">
        <v>0</v>
      </c>
      <c r="E60" s="169">
        <v>0</v>
      </c>
      <c r="F60" s="169">
        <v>0</v>
      </c>
      <c r="G60" s="169">
        <f t="shared" si="16"/>
        <v>0</v>
      </c>
      <c r="H60" s="170">
        <f t="shared" si="17"/>
        <v>0</v>
      </c>
      <c r="I60" s="160">
        <v>4392.199999999998</v>
      </c>
      <c r="J60" s="161">
        <v>4523.9659999999976</v>
      </c>
      <c r="K60" s="162">
        <v>5.4323801284094539</v>
      </c>
      <c r="L60" s="163">
        <v>8.6265140476298878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168">
        <f t="shared" si="18"/>
        <v>4523.9659999999976</v>
      </c>
      <c r="S60" s="169">
        <f t="shared" si="19"/>
        <v>245.75902999999991</v>
      </c>
      <c r="T60" s="170">
        <f t="shared" si="20"/>
        <v>390.26056249999971</v>
      </c>
      <c r="U60" s="171" t="s">
        <v>167</v>
      </c>
      <c r="V60" s="172" t="s">
        <v>167</v>
      </c>
      <c r="W60" s="159">
        <v>0</v>
      </c>
      <c r="X60" s="67">
        <v>0</v>
      </c>
      <c r="Y60" s="68">
        <v>0</v>
      </c>
      <c r="Z60" s="68">
        <v>0</v>
      </c>
      <c r="AA60" s="62">
        <f t="shared" si="38"/>
        <v>0</v>
      </c>
      <c r="AB60" s="63">
        <f t="shared" si="37"/>
        <v>0</v>
      </c>
      <c r="AC60" s="175"/>
      <c r="AD60" s="176"/>
      <c r="AE60" s="176"/>
      <c r="AF60" s="169">
        <f t="shared" si="23"/>
        <v>0</v>
      </c>
      <c r="AG60" s="170">
        <f t="shared" si="24"/>
        <v>0</v>
      </c>
      <c r="AH60" s="158">
        <v>4523.8999999999996</v>
      </c>
      <c r="AI60" s="159">
        <v>5.43</v>
      </c>
      <c r="AJ60" s="159">
        <v>8.6300000000000008</v>
      </c>
      <c r="AK60" s="169">
        <f t="shared" si="30"/>
        <v>245.64776999999995</v>
      </c>
      <c r="AL60" s="178">
        <f t="shared" si="31"/>
        <v>390.41256999999996</v>
      </c>
      <c r="AM60" s="179">
        <f t="shared" si="32"/>
        <v>6.599999999798456E-2</v>
      </c>
      <c r="AN60" s="180">
        <f t="shared" si="33"/>
        <v>0.11125999999995884</v>
      </c>
      <c r="AO60" s="180">
        <f t="shared" si="34"/>
        <v>-0.15200750000025209</v>
      </c>
      <c r="AP60" s="181">
        <f t="shared" si="28"/>
        <v>-6.4066422608346436E-5</v>
      </c>
      <c r="AQ60" s="76">
        <f t="shared" si="13"/>
        <v>7.939158113669265</v>
      </c>
      <c r="AR60" s="182">
        <f t="shared" si="29"/>
        <v>6.599999999798456E-2</v>
      </c>
    </row>
    <row r="61" spans="1:44" ht="15" x14ac:dyDescent="0.25">
      <c r="A61" s="148" t="str">
        <f t="shared" si="15"/>
        <v>46232E</v>
      </c>
      <c r="B61" s="51">
        <f t="shared" si="35"/>
        <v>46232</v>
      </c>
      <c r="C61" s="157" t="s">
        <v>88</v>
      </c>
      <c r="D61" s="184">
        <v>4523.8999999999996</v>
      </c>
      <c r="E61" s="169">
        <v>5.43</v>
      </c>
      <c r="F61" s="169">
        <v>8.6300000000000008</v>
      </c>
      <c r="G61" s="169">
        <f t="shared" si="16"/>
        <v>245.64776999999995</v>
      </c>
      <c r="H61" s="170">
        <f t="shared" si="17"/>
        <v>390.41256999999996</v>
      </c>
      <c r="I61" s="160">
        <v>7060.6</v>
      </c>
      <c r="J61" s="161">
        <v>7272.4180000000006</v>
      </c>
      <c r="K61" s="162">
        <v>4.7696052743392885</v>
      </c>
      <c r="L61" s="163">
        <v>8.6025429850154396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168">
        <f t="shared" si="18"/>
        <v>7272.4180000000006</v>
      </c>
      <c r="S61" s="169">
        <f t="shared" si="19"/>
        <v>346.86563249999983</v>
      </c>
      <c r="T61" s="170">
        <f t="shared" si="20"/>
        <v>625.61288450000018</v>
      </c>
      <c r="U61" s="171" t="s">
        <v>167</v>
      </c>
      <c r="V61" s="172" t="s">
        <v>167</v>
      </c>
      <c r="W61" s="159">
        <v>0</v>
      </c>
      <c r="X61" s="67">
        <v>0</v>
      </c>
      <c r="Y61" s="68">
        <v>0</v>
      </c>
      <c r="Z61" s="68">
        <v>0</v>
      </c>
      <c r="AA61" s="62">
        <f t="shared" si="38"/>
        <v>0</v>
      </c>
      <c r="AB61" s="63">
        <f t="shared" si="37"/>
        <v>0</v>
      </c>
      <c r="AC61" s="175"/>
      <c r="AD61" s="176"/>
      <c r="AE61" s="176"/>
      <c r="AF61" s="169">
        <f t="shared" si="23"/>
        <v>0</v>
      </c>
      <c r="AG61" s="170">
        <f t="shared" si="24"/>
        <v>0</v>
      </c>
      <c r="AH61" s="158">
        <v>11796.3</v>
      </c>
      <c r="AI61" s="159">
        <v>5.0199999999999996</v>
      </c>
      <c r="AJ61" s="159">
        <v>8.61</v>
      </c>
      <c r="AK61" s="169">
        <f t="shared" si="30"/>
        <v>592.17425999999989</v>
      </c>
      <c r="AL61" s="178">
        <f t="shared" si="31"/>
        <v>1015.6614299999999</v>
      </c>
      <c r="AM61" s="179">
        <f t="shared" si="32"/>
        <v>1.8000000000029104E-2</v>
      </c>
      <c r="AN61" s="180">
        <f t="shared" si="33"/>
        <v>0.33914249999986623</v>
      </c>
      <c r="AO61" s="180">
        <f t="shared" si="34"/>
        <v>0.3640245000002551</v>
      </c>
      <c r="AP61" s="181">
        <f t="shared" si="28"/>
        <v>7.2306687264344098E-4</v>
      </c>
      <c r="AQ61" s="76">
        <f t="shared" si="13"/>
        <v>271.99110614404066</v>
      </c>
      <c r="AR61" s="182">
        <f t="shared" si="29"/>
        <v>1.8000000000029104E-2</v>
      </c>
    </row>
    <row r="62" spans="1:44" ht="15" x14ac:dyDescent="0.25">
      <c r="A62" s="148" t="str">
        <f t="shared" si="15"/>
        <v>46233M</v>
      </c>
      <c r="B62" s="51">
        <f t="shared" si="35"/>
        <v>46233</v>
      </c>
      <c r="C62" s="157" t="s">
        <v>87</v>
      </c>
      <c r="D62" s="184">
        <v>11796.3</v>
      </c>
      <c r="E62" s="169">
        <v>5.0199999999999996</v>
      </c>
      <c r="F62" s="169">
        <v>8.61</v>
      </c>
      <c r="G62" s="169">
        <f t="shared" si="16"/>
        <v>592.17425999999989</v>
      </c>
      <c r="H62" s="170">
        <f t="shared" si="17"/>
        <v>1015.6614299999999</v>
      </c>
      <c r="I62" s="160">
        <v>5236.7000000000007</v>
      </c>
      <c r="J62" s="161">
        <v>5393.8010000000013</v>
      </c>
      <c r="K62" s="162">
        <v>5.2682557717646645</v>
      </c>
      <c r="L62" s="163">
        <v>8.5643611434682168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168">
        <f t="shared" si="18"/>
        <v>5393.8010000000013</v>
      </c>
      <c r="S62" s="169">
        <f t="shared" si="19"/>
        <v>284.15923250000026</v>
      </c>
      <c r="T62" s="170">
        <f t="shared" si="20"/>
        <v>461.94459700000027</v>
      </c>
      <c r="U62" s="171" t="s">
        <v>194</v>
      </c>
      <c r="V62" s="172" t="s">
        <v>940</v>
      </c>
      <c r="W62" s="159" t="s">
        <v>187</v>
      </c>
      <c r="X62" s="67">
        <v>13000</v>
      </c>
      <c r="Y62" s="68">
        <v>4.84</v>
      </c>
      <c r="Z62" s="68">
        <v>8.6199999999999992</v>
      </c>
      <c r="AA62" s="62">
        <f t="shared" ref="AA62:AA65" si="39">X62*Y62%</f>
        <v>629.19999999999993</v>
      </c>
      <c r="AB62" s="63">
        <f t="shared" si="37"/>
        <v>1120.5999999999999</v>
      </c>
      <c r="AC62" s="225">
        <v>13000</v>
      </c>
      <c r="AD62" s="226">
        <v>4.84</v>
      </c>
      <c r="AE62" s="226">
        <v>8.6199999999999992</v>
      </c>
      <c r="AF62" s="169">
        <f t="shared" si="23"/>
        <v>629.19999999999993</v>
      </c>
      <c r="AG62" s="170">
        <f t="shared" si="24"/>
        <v>1120.5999999999999</v>
      </c>
      <c r="AH62" s="158">
        <v>4190.1000000000004</v>
      </c>
      <c r="AI62" s="159">
        <v>5.09</v>
      </c>
      <c r="AJ62" s="159">
        <v>8.59</v>
      </c>
      <c r="AK62" s="169">
        <f t="shared" si="30"/>
        <v>213.27609000000001</v>
      </c>
      <c r="AL62" s="178">
        <f t="shared" si="31"/>
        <v>359.92959000000008</v>
      </c>
      <c r="AM62" s="179">
        <f t="shared" si="32"/>
        <v>1.0000000020227162E-3</v>
      </c>
      <c r="AN62" s="180">
        <f t="shared" si="33"/>
        <v>33.857402500000205</v>
      </c>
      <c r="AO62" s="180">
        <f t="shared" si="34"/>
        <v>-2.9235629999997172</v>
      </c>
      <c r="AP62" s="181">
        <f t="shared" ref="AP62:AP65" si="40">(AN62+AO62)/(S62+T62)</f>
        <v>4.1460502247697505E-2</v>
      </c>
      <c r="AQ62" s="76">
        <f t="shared" si="13"/>
        <v>15394.002747235083</v>
      </c>
      <c r="AR62" s="182">
        <f t="shared" si="29"/>
        <v>1.0000000038417056E-3</v>
      </c>
    </row>
    <row r="63" spans="1:44" ht="15" x14ac:dyDescent="0.25">
      <c r="A63" s="148" t="str">
        <f t="shared" si="15"/>
        <v>46233E</v>
      </c>
      <c r="B63" s="51">
        <f t="shared" si="35"/>
        <v>46233</v>
      </c>
      <c r="C63" s="157" t="s">
        <v>88</v>
      </c>
      <c r="D63" s="184">
        <v>4190.1000000000004</v>
      </c>
      <c r="E63" s="169">
        <v>5.09</v>
      </c>
      <c r="F63" s="169">
        <v>8.59</v>
      </c>
      <c r="G63" s="169">
        <f t="shared" si="16"/>
        <v>213.27609000000001</v>
      </c>
      <c r="H63" s="170">
        <f t="shared" si="17"/>
        <v>359.92959000000008</v>
      </c>
      <c r="I63" s="160">
        <v>7001.9500000000016</v>
      </c>
      <c r="J63" s="161">
        <v>7212.0085000000017</v>
      </c>
      <c r="K63" s="162">
        <v>4.7806153999957157</v>
      </c>
      <c r="L63" s="163">
        <v>8.6094709330972083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168">
        <f t="shared" si="18"/>
        <v>7212.0085000000017</v>
      </c>
      <c r="S63" s="169">
        <f t="shared" si="19"/>
        <v>344.77838900000012</v>
      </c>
      <c r="T63" s="170">
        <f t="shared" si="20"/>
        <v>620.91577550000011</v>
      </c>
      <c r="U63" s="171" t="s">
        <v>167</v>
      </c>
      <c r="V63" s="172" t="s">
        <v>167</v>
      </c>
      <c r="W63" s="159">
        <v>0</v>
      </c>
      <c r="X63" s="67">
        <v>0</v>
      </c>
      <c r="Y63" s="68">
        <v>0</v>
      </c>
      <c r="Z63" s="68">
        <v>0</v>
      </c>
      <c r="AA63" s="62">
        <f t="shared" si="39"/>
        <v>0</v>
      </c>
      <c r="AB63" s="63">
        <f t="shared" si="37"/>
        <v>0</v>
      </c>
      <c r="AC63" s="175"/>
      <c r="AD63" s="176"/>
      <c r="AE63" s="176"/>
      <c r="AF63" s="169">
        <f t="shared" si="23"/>
        <v>0</v>
      </c>
      <c r="AG63" s="170">
        <f t="shared" si="24"/>
        <v>0</v>
      </c>
      <c r="AH63" s="158">
        <v>11402</v>
      </c>
      <c r="AI63" s="159">
        <v>4.8899999999999997</v>
      </c>
      <c r="AJ63" s="159">
        <v>8.6</v>
      </c>
      <c r="AK63" s="169">
        <f t="shared" si="30"/>
        <v>557.55780000000004</v>
      </c>
      <c r="AL63" s="178">
        <f t="shared" si="31"/>
        <v>980.57199999999989</v>
      </c>
      <c r="AM63" s="179">
        <f t="shared" si="32"/>
        <v>0.10850000000209548</v>
      </c>
      <c r="AN63" s="180">
        <f t="shared" si="33"/>
        <v>0.49667900000008558</v>
      </c>
      <c r="AO63" s="180">
        <f t="shared" si="34"/>
        <v>0.27336550000029547</v>
      </c>
      <c r="AP63" s="181">
        <f t="shared" si="40"/>
        <v>7.9739997227702101E-4</v>
      </c>
      <c r="AQ63" s="76">
        <f t="shared" si="13"/>
        <v>320.54095823689039</v>
      </c>
      <c r="AR63" s="182">
        <f t="shared" si="29"/>
        <v>0.10850000000209548</v>
      </c>
    </row>
    <row r="64" spans="1:44" ht="15" x14ac:dyDescent="0.25">
      <c r="A64" s="148" t="str">
        <f t="shared" si="15"/>
        <v>46234M</v>
      </c>
      <c r="B64" s="51">
        <f t="shared" si="35"/>
        <v>46234</v>
      </c>
      <c r="C64" s="157" t="s">
        <v>87</v>
      </c>
      <c r="D64" s="184"/>
      <c r="E64" s="169"/>
      <c r="F64" s="169"/>
      <c r="G64" s="169">
        <f t="shared" si="16"/>
        <v>0</v>
      </c>
      <c r="H64" s="170">
        <f t="shared" si="17"/>
        <v>0</v>
      </c>
      <c r="I64" s="160"/>
      <c r="J64" s="161"/>
      <c r="K64" s="162"/>
      <c r="L64" s="163"/>
      <c r="M64" s="58"/>
      <c r="N64" s="58"/>
      <c r="O64" s="59"/>
      <c r="P64" s="56"/>
      <c r="Q64" s="60"/>
      <c r="R64" s="168">
        <f t="shared" si="18"/>
        <v>0</v>
      </c>
      <c r="S64" s="169">
        <f t="shared" si="19"/>
        <v>0</v>
      </c>
      <c r="T64" s="170">
        <f t="shared" si="20"/>
        <v>0</v>
      </c>
      <c r="U64" s="171"/>
      <c r="V64" s="172"/>
      <c r="W64" s="159"/>
      <c r="X64" s="67"/>
      <c r="Y64" s="68"/>
      <c r="Z64" s="68"/>
      <c r="AA64" s="62">
        <f t="shared" si="39"/>
        <v>0</v>
      </c>
      <c r="AB64" s="63">
        <f t="shared" si="37"/>
        <v>0</v>
      </c>
      <c r="AC64" s="175"/>
      <c r="AD64" s="176"/>
      <c r="AE64" s="176"/>
      <c r="AF64" s="169">
        <f t="shared" si="23"/>
        <v>0</v>
      </c>
      <c r="AG64" s="170">
        <f t="shared" si="24"/>
        <v>0</v>
      </c>
      <c r="AH64" s="158"/>
      <c r="AI64" s="159"/>
      <c r="AJ64" s="159"/>
      <c r="AK64" s="169">
        <f t="shared" si="30"/>
        <v>0</v>
      </c>
      <c r="AL64" s="178">
        <f t="shared" si="31"/>
        <v>0</v>
      </c>
      <c r="AM64" s="179">
        <f t="shared" si="32"/>
        <v>0</v>
      </c>
      <c r="AN64" s="180">
        <f t="shared" si="33"/>
        <v>0</v>
      </c>
      <c r="AO64" s="180">
        <f t="shared" si="34"/>
        <v>0</v>
      </c>
      <c r="AP64" s="181" t="e">
        <f t="shared" si="40"/>
        <v>#DIV/0!</v>
      </c>
      <c r="AQ64" s="76">
        <f t="shared" si="13"/>
        <v>0</v>
      </c>
      <c r="AR64" s="182">
        <f t="shared" si="29"/>
        <v>0</v>
      </c>
    </row>
    <row r="65" spans="1:44" ht="15" x14ac:dyDescent="0.25">
      <c r="A65" s="148" t="str">
        <f t="shared" si="15"/>
        <v>46234E</v>
      </c>
      <c r="B65" s="51">
        <f t="shared" si="35"/>
        <v>46234</v>
      </c>
      <c r="C65" s="157" t="s">
        <v>88</v>
      </c>
      <c r="D65" s="184"/>
      <c r="E65" s="169"/>
      <c r="F65" s="169"/>
      <c r="G65" s="169">
        <f t="shared" si="16"/>
        <v>0</v>
      </c>
      <c r="H65" s="170">
        <f t="shared" si="17"/>
        <v>0</v>
      </c>
      <c r="I65" s="160"/>
      <c r="J65" s="161"/>
      <c r="K65" s="162"/>
      <c r="L65" s="163"/>
      <c r="M65" s="58"/>
      <c r="N65" s="58"/>
      <c r="O65" s="59"/>
      <c r="P65" s="56"/>
      <c r="Q65" s="60"/>
      <c r="R65" s="168">
        <f t="shared" si="18"/>
        <v>0</v>
      </c>
      <c r="S65" s="169">
        <f t="shared" si="19"/>
        <v>0</v>
      </c>
      <c r="T65" s="170">
        <f t="shared" si="20"/>
        <v>0</v>
      </c>
      <c r="U65" s="171"/>
      <c r="V65" s="172"/>
      <c r="W65" s="159"/>
      <c r="X65" s="67"/>
      <c r="Y65" s="68"/>
      <c r="Z65" s="68"/>
      <c r="AA65" s="62">
        <f t="shared" si="39"/>
        <v>0</v>
      </c>
      <c r="AB65" s="63">
        <f t="shared" ref="AB65" si="41">X65*Z65%</f>
        <v>0</v>
      </c>
      <c r="AC65" s="175"/>
      <c r="AD65" s="176"/>
      <c r="AE65" s="176"/>
      <c r="AF65" s="169">
        <f t="shared" si="23"/>
        <v>0</v>
      </c>
      <c r="AG65" s="170">
        <f t="shared" si="24"/>
        <v>0</v>
      </c>
      <c r="AH65" s="158"/>
      <c r="AI65" s="159"/>
      <c r="AJ65" s="159"/>
      <c r="AK65" s="169">
        <f t="shared" si="30"/>
        <v>0</v>
      </c>
      <c r="AL65" s="178">
        <f t="shared" si="31"/>
        <v>0</v>
      </c>
      <c r="AM65" s="179">
        <f t="shared" si="32"/>
        <v>0</v>
      </c>
      <c r="AN65" s="180">
        <f t="shared" si="33"/>
        <v>0</v>
      </c>
      <c r="AO65" s="180">
        <f t="shared" si="34"/>
        <v>0</v>
      </c>
      <c r="AP65" s="181" t="e">
        <f t="shared" si="40"/>
        <v>#DIV/0!</v>
      </c>
      <c r="AQ65" s="76">
        <f t="shared" si="13"/>
        <v>0</v>
      </c>
      <c r="AR65" s="182">
        <f t="shared" si="29"/>
        <v>0</v>
      </c>
    </row>
    <row r="66" spans="1:44" x14ac:dyDescent="0.2">
      <c r="J66" s="190">
        <f>SUM(J4:J65)</f>
        <v>359529.68849999993</v>
      </c>
      <c r="AM66" s="190">
        <f>-SUM(AM4:AM65)</f>
        <v>1635.8115000000137</v>
      </c>
      <c r="AN66" s="190">
        <f t="shared" ref="AN66:AO66" si="42">-SUM(AN4:AN65)</f>
        <v>215.61327199999909</v>
      </c>
      <c r="AO66" s="190">
        <f t="shared" si="42"/>
        <v>198.01741499999912</v>
      </c>
      <c r="AQ66" s="190">
        <f>-SUM(AQ4:AQ65)</f>
        <v>162913.64757760096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4" priority="6" operator="lessThan">
      <formula>0.1</formula>
    </cfRule>
    <cfRule type="cellIs" dxfId="63" priority="7" operator="greaterThan">
      <formula>0.1</formula>
    </cfRule>
  </conditionalFormatting>
  <conditionalFormatting sqref="AP1:AQ1">
    <cfRule type="cellIs" dxfId="62" priority="5" operator="lessThan">
      <formula>1</formula>
    </cfRule>
  </conditionalFormatting>
  <conditionalFormatting sqref="AQ4:AQ65">
    <cfRule type="cellIs" dxfId="61" priority="1" operator="lessThan">
      <formula>0</formula>
    </cfRule>
    <cfRule type="cellIs" dxfId="60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6"/>
  <sheetViews>
    <sheetView topLeftCell="A30" zoomScale="80" zoomScaleNormal="80" workbookViewId="0">
      <selection activeCell="AH50" sqref="AH50:AJ63"/>
    </sheetView>
  </sheetViews>
  <sheetFormatPr defaultRowHeight="15" x14ac:dyDescent="0.25"/>
  <cols>
    <col min="1" max="1" width="5" customWidth="1"/>
    <col min="2" max="2" width="9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175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3">
        <v>2158</v>
      </c>
      <c r="E4" s="55">
        <v>4.7</v>
      </c>
      <c r="F4" s="55">
        <v>8.4</v>
      </c>
      <c r="G4" s="169">
        <f t="shared" ref="G4:G65" si="0">+D4*E4%</f>
        <v>101.426</v>
      </c>
      <c r="H4" s="170">
        <f t="shared" ref="H4:H65" si="1">+D4*F4%</f>
        <v>181.27200000000002</v>
      </c>
      <c r="I4" s="118">
        <v>781.8599999999999</v>
      </c>
      <c r="J4" s="119">
        <v>805.31579999999997</v>
      </c>
      <c r="K4" s="120">
        <v>5.308931266467142</v>
      </c>
      <c r="L4" s="121">
        <v>8.2600324866344348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805.31579999999997</v>
      </c>
      <c r="S4" s="62">
        <f t="shared" ref="S4:S65" si="2">+J4*K4%+O4*P4%</f>
        <v>42.753662299999995</v>
      </c>
      <c r="T4" s="63">
        <f t="shared" ref="T4:T65" si="3">+J4*L4%+O4*Q4%</f>
        <v>66.519346699999986</v>
      </c>
      <c r="U4" s="64" t="s">
        <v>180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56" si="4">X4*Y4%</f>
        <v>0</v>
      </c>
      <c r="AB4" s="63">
        <f t="shared" ref="AB4:AB56" si="5">X4*Z4%</f>
        <v>0</v>
      </c>
      <c r="AC4" s="69"/>
      <c r="AD4" s="70"/>
      <c r="AE4" s="70"/>
      <c r="AF4" s="62">
        <f t="shared" ref="AF4:AF65" si="6">AC4*AD4%</f>
        <v>0</v>
      </c>
      <c r="AG4" s="63">
        <f>AC4*AE4%</f>
        <v>0</v>
      </c>
      <c r="AH4" s="89">
        <v>2963.3</v>
      </c>
      <c r="AI4" s="66">
        <v>4.87</v>
      </c>
      <c r="AJ4" s="66">
        <v>8.36</v>
      </c>
      <c r="AK4" s="62">
        <f t="shared" ref="AK4:AK65" si="7">AH4*AI4%</f>
        <v>144.31271000000001</v>
      </c>
      <c r="AL4" s="72">
        <f t="shared" ref="AL4:AL65" si="8">AH4*AJ4%</f>
        <v>247.73187999999999</v>
      </c>
      <c r="AM4" s="73">
        <f>+D4+R4-AC4-AH4</f>
        <v>1.5799999999671854E-2</v>
      </c>
      <c r="AN4" s="74">
        <f t="shared" ref="AN4:AO19" si="9">+G4+S4-AF4-AK4</f>
        <v>-0.13304770000002009</v>
      </c>
      <c r="AO4" s="74">
        <f t="shared" si="9"/>
        <v>5.9466700000029959E-2</v>
      </c>
      <c r="AP4" s="75">
        <f>(AN4+AO4)/(S4+T4)</f>
        <v>-6.7336848022543378E-4</v>
      </c>
      <c r="AQ4" s="76">
        <f t="shared" ref="AQ4:AQ65" si="10">($AP$1*AN4+$AQ$1*AO4)</f>
        <v>-46.124002830029397</v>
      </c>
      <c r="AR4" s="83">
        <f>(D4+J4+O4)-(X4+AH4)</f>
        <v>1.5799999999671854E-2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2963.3</v>
      </c>
      <c r="E5" s="62">
        <v>4.87</v>
      </c>
      <c r="F5" s="62">
        <v>8.36</v>
      </c>
      <c r="G5" s="169">
        <f t="shared" si="0"/>
        <v>144.31271000000001</v>
      </c>
      <c r="H5" s="170">
        <f t="shared" si="1"/>
        <v>247.73187999999999</v>
      </c>
      <c r="I5" s="118">
        <v>1571.65</v>
      </c>
      <c r="J5" s="119">
        <v>1618.7995000000001</v>
      </c>
      <c r="K5" s="120">
        <v>4.208401997900296</v>
      </c>
      <c r="L5" s="121">
        <v>8.2901956542487198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1618.7995000000001</v>
      </c>
      <c r="S5" s="62">
        <f t="shared" si="2"/>
        <v>68.125590500000015</v>
      </c>
      <c r="T5" s="63">
        <f t="shared" si="3"/>
        <v>134.20164579999999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ref="AG5:AG65" si="13">AC5*AE5%</f>
        <v>0</v>
      </c>
      <c r="AH5" s="96">
        <v>4580.3999999999996</v>
      </c>
      <c r="AI5" s="66">
        <v>4.6399999999999997</v>
      </c>
      <c r="AJ5" s="66">
        <v>8.31</v>
      </c>
      <c r="AK5" s="62">
        <f t="shared" si="7"/>
        <v>212.53055999999998</v>
      </c>
      <c r="AL5" s="72">
        <f t="shared" si="8"/>
        <v>380.63123999999999</v>
      </c>
      <c r="AM5" s="73">
        <f t="shared" ref="AM5:AM65" si="14">+D5+R5-AC5-AH5</f>
        <v>1.6995000000006257</v>
      </c>
      <c r="AN5" s="74">
        <f t="shared" si="9"/>
        <v>-9.2259499999954642E-2</v>
      </c>
      <c r="AO5" s="74">
        <f t="shared" si="9"/>
        <v>1.3022857999999928</v>
      </c>
      <c r="AP5" s="75">
        <f t="shared" ref="AP5:AP65" si="15">(AN5+AO5)/(S5+T5)</f>
        <v>5.9805408413026303E-3</v>
      </c>
      <c r="AQ5" s="76">
        <f t="shared" si="10"/>
        <v>345.68931101934822</v>
      </c>
      <c r="AR5" s="83">
        <f t="shared" ref="AR5:AR65" si="16">(D5+J5+O5)-(X5+AH5)</f>
        <v>1.6995000000006257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79">
        <v>4580.3999999999996</v>
      </c>
      <c r="E6" s="62">
        <v>4.6399999999999997</v>
      </c>
      <c r="F6" s="62">
        <v>8.31</v>
      </c>
      <c r="G6" s="169">
        <f t="shared" si="0"/>
        <v>212.53055999999998</v>
      </c>
      <c r="H6" s="170">
        <f t="shared" si="1"/>
        <v>380.63123999999999</v>
      </c>
      <c r="I6" s="118">
        <v>830.83</v>
      </c>
      <c r="J6" s="119">
        <v>855.75490000000002</v>
      </c>
      <c r="K6" s="120">
        <v>4.9018511608873068</v>
      </c>
      <c r="L6" s="121">
        <v>8.7095579119675506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855.75490000000002</v>
      </c>
      <c r="S6" s="62">
        <f t="shared" si="2"/>
        <v>41.947831500000014</v>
      </c>
      <c r="T6" s="63">
        <f t="shared" si="3"/>
        <v>74.532468600000001</v>
      </c>
      <c r="U6" s="64" t="s">
        <v>194</v>
      </c>
      <c r="V6" s="65" t="s">
        <v>234</v>
      </c>
      <c r="W6" s="66" t="s">
        <v>190</v>
      </c>
      <c r="X6" s="67">
        <v>5570</v>
      </c>
      <c r="Y6" s="68">
        <v>4.7</v>
      </c>
      <c r="Z6" s="68">
        <v>8.41</v>
      </c>
      <c r="AA6" s="62">
        <f t="shared" si="4"/>
        <v>261.79000000000002</v>
      </c>
      <c r="AB6" s="63">
        <f t="shared" si="5"/>
        <v>468.43700000000007</v>
      </c>
      <c r="AC6" s="69">
        <v>5570</v>
      </c>
      <c r="AD6" s="70">
        <v>4.6500000000000004</v>
      </c>
      <c r="AE6" s="70">
        <v>8.27</v>
      </c>
      <c r="AF6" s="62">
        <f t="shared" si="6"/>
        <v>259.00500000000005</v>
      </c>
      <c r="AG6" s="63">
        <f t="shared" si="13"/>
        <v>460.63899999999995</v>
      </c>
      <c r="AH6" s="96">
        <v>0</v>
      </c>
      <c r="AI6" s="66">
        <v>0</v>
      </c>
      <c r="AJ6" s="66">
        <v>0</v>
      </c>
      <c r="AK6" s="62">
        <f t="shared" si="7"/>
        <v>0</v>
      </c>
      <c r="AL6" s="72">
        <f t="shared" si="8"/>
        <v>0</v>
      </c>
      <c r="AM6" s="73">
        <f t="shared" si="14"/>
        <v>-133.84510000000046</v>
      </c>
      <c r="AN6" s="74">
        <f t="shared" si="9"/>
        <v>-4.5266085000000658</v>
      </c>
      <c r="AO6" s="74">
        <f t="shared" si="9"/>
        <v>-5.4752913999999464</v>
      </c>
      <c r="AP6" s="75">
        <f t="shared" si="15"/>
        <v>-8.5867738075994279E-2</v>
      </c>
      <c r="AQ6" s="76">
        <f t="shared" si="10"/>
        <v>-3814.9837396348385</v>
      </c>
      <c r="AR6" s="83">
        <f t="shared" si="16"/>
        <v>-133.84510000000046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79">
        <v>0</v>
      </c>
      <c r="E7" s="62">
        <v>0</v>
      </c>
      <c r="F7" s="62">
        <v>0</v>
      </c>
      <c r="G7" s="169">
        <f t="shared" si="0"/>
        <v>0</v>
      </c>
      <c r="H7" s="170">
        <f t="shared" si="1"/>
        <v>0</v>
      </c>
      <c r="I7" s="118">
        <v>2090.6</v>
      </c>
      <c r="J7" s="119">
        <v>2153.3179999999998</v>
      </c>
      <c r="K7" s="120">
        <v>4.4891514397780536</v>
      </c>
      <c r="L7" s="121">
        <v>8.4609490098536302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2153.3179999999998</v>
      </c>
      <c r="S7" s="62">
        <f t="shared" si="2"/>
        <v>96.665705999999986</v>
      </c>
      <c r="T7" s="63">
        <f t="shared" si="3"/>
        <v>182.19113799999997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13"/>
        <v>0</v>
      </c>
      <c r="AH7" s="96">
        <v>2153.3000000000002</v>
      </c>
      <c r="AI7" s="66">
        <v>4.49</v>
      </c>
      <c r="AJ7" s="66">
        <v>8.4600000000000009</v>
      </c>
      <c r="AK7" s="62">
        <f t="shared" si="7"/>
        <v>96.683170000000018</v>
      </c>
      <c r="AL7" s="72">
        <f t="shared" si="8"/>
        <v>182.16918000000004</v>
      </c>
      <c r="AM7" s="73">
        <f t="shared" si="14"/>
        <v>1.7999999999574356E-2</v>
      </c>
      <c r="AN7" s="74">
        <f t="shared" si="9"/>
        <v>-1.7464000000032343E-2</v>
      </c>
      <c r="AO7" s="74">
        <f t="shared" si="9"/>
        <v>2.1957999999926869E-2</v>
      </c>
      <c r="AP7" s="75">
        <f t="shared" si="15"/>
        <v>1.6115795959788339E-5</v>
      </c>
      <c r="AQ7" s="76">
        <f t="shared" si="10"/>
        <v>-1.8157948721523773</v>
      </c>
      <c r="AR7" s="83">
        <f t="shared" si="16"/>
        <v>1.7999999999574356E-2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79">
        <v>2153.3000000000002</v>
      </c>
      <c r="E8" s="62">
        <v>4.49</v>
      </c>
      <c r="F8" s="62">
        <v>8.4600000000000009</v>
      </c>
      <c r="G8" s="169">
        <f t="shared" si="0"/>
        <v>96.683170000000018</v>
      </c>
      <c r="H8" s="170">
        <f t="shared" si="1"/>
        <v>182.16918000000004</v>
      </c>
      <c r="I8" s="118">
        <v>637.54999999999995</v>
      </c>
      <c r="J8" s="119">
        <v>656.67649999999992</v>
      </c>
      <c r="K8" s="120">
        <v>5.1273280527017482</v>
      </c>
      <c r="L8" s="121">
        <v>8.5826084228687947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656.67649999999992</v>
      </c>
      <c r="S8" s="62">
        <f t="shared" si="2"/>
        <v>33.669958399999992</v>
      </c>
      <c r="T8" s="63">
        <f t="shared" si="3"/>
        <v>56.359972599999992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13"/>
        <v>0</v>
      </c>
      <c r="AH8" s="96">
        <v>2809.9</v>
      </c>
      <c r="AI8" s="66">
        <v>4.6399999999999997</v>
      </c>
      <c r="AJ8" s="66">
        <v>8.49</v>
      </c>
      <c r="AK8" s="62">
        <f t="shared" si="7"/>
        <v>130.37935999999999</v>
      </c>
      <c r="AL8" s="72">
        <f t="shared" si="8"/>
        <v>238.56051000000002</v>
      </c>
      <c r="AM8" s="73">
        <f t="shared" si="14"/>
        <v>7.6500000000123691E-2</v>
      </c>
      <c r="AN8" s="74">
        <f t="shared" si="9"/>
        <v>-2.6231599999988475E-2</v>
      </c>
      <c r="AO8" s="74">
        <f t="shared" si="9"/>
        <v>-3.1357399999990321E-2</v>
      </c>
      <c r="AP8" s="75">
        <f t="shared" si="15"/>
        <v>-6.3966504650524289E-4</v>
      </c>
      <c r="AQ8" s="76">
        <f t="shared" si="10"/>
        <v>-21.996399685210768</v>
      </c>
      <c r="AR8" s="83">
        <f t="shared" si="16"/>
        <v>7.6500000000123691E-2</v>
      </c>
    </row>
    <row r="9" spans="1:44" x14ac:dyDescent="0.25">
      <c r="A9" t="str">
        <f t="shared" si="11"/>
        <v>46206E</v>
      </c>
      <c r="B9" s="51">
        <f t="shared" ref="B9:B65" si="17">+B7+1</f>
        <v>46206</v>
      </c>
      <c r="C9" s="52" t="s">
        <v>88</v>
      </c>
      <c r="D9" s="79">
        <v>2809.9</v>
      </c>
      <c r="E9" s="62">
        <v>4.6399999999999997</v>
      </c>
      <c r="F9" s="62">
        <v>8.49</v>
      </c>
      <c r="G9" s="169">
        <f t="shared" si="0"/>
        <v>130.37935999999999</v>
      </c>
      <c r="H9" s="170">
        <f t="shared" si="1"/>
        <v>238.56051000000002</v>
      </c>
      <c r="I9" s="118">
        <v>1842.6699999999996</v>
      </c>
      <c r="J9" s="119">
        <v>1897.9500999999996</v>
      </c>
      <c r="K9" s="120">
        <v>4.2708520787769917</v>
      </c>
      <c r="L9" s="121">
        <v>8.3102671666657617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1897.9500999999996</v>
      </c>
      <c r="S9" s="62">
        <f t="shared" si="2"/>
        <v>81.058641299999977</v>
      </c>
      <c r="T9" s="63">
        <f t="shared" si="3"/>
        <v>157.72472399999995</v>
      </c>
      <c r="U9" s="64" t="s">
        <v>167</v>
      </c>
      <c r="V9" s="65" t="s">
        <v>180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13"/>
        <v>0</v>
      </c>
      <c r="AH9" s="109">
        <v>4707.8999999999996</v>
      </c>
      <c r="AI9" s="66">
        <v>4.49</v>
      </c>
      <c r="AJ9" s="66">
        <v>8.42</v>
      </c>
      <c r="AK9" s="62">
        <f t="shared" si="7"/>
        <v>211.38470999999998</v>
      </c>
      <c r="AL9" s="72">
        <f t="shared" si="8"/>
        <v>396.40517999999997</v>
      </c>
      <c r="AM9" s="73">
        <f t="shared" si="14"/>
        <v>-4.9899999999979627E-2</v>
      </c>
      <c r="AN9" s="74">
        <f t="shared" si="9"/>
        <v>5.3291299999983721E-2</v>
      </c>
      <c r="AO9" s="74">
        <f t="shared" si="9"/>
        <v>-0.1199460000000272</v>
      </c>
      <c r="AP9" s="75">
        <f t="shared" si="15"/>
        <v>-2.7914297931223392E-4</v>
      </c>
      <c r="AQ9" s="76">
        <f t="shared" si="10"/>
        <v>-10.314555088093506</v>
      </c>
      <c r="AR9" s="83">
        <f t="shared" si="16"/>
        <v>-4.9899999999979627E-2</v>
      </c>
    </row>
    <row r="10" spans="1:44" x14ac:dyDescent="0.25">
      <c r="A10" t="str">
        <f t="shared" si="11"/>
        <v>46207M</v>
      </c>
      <c r="B10" s="51">
        <f t="shared" si="17"/>
        <v>46207</v>
      </c>
      <c r="C10" s="52" t="s">
        <v>87</v>
      </c>
      <c r="D10" s="79">
        <v>4707.8999999999996</v>
      </c>
      <c r="E10" s="62">
        <v>4.49</v>
      </c>
      <c r="F10" s="62">
        <v>8.42</v>
      </c>
      <c r="G10" s="169">
        <f t="shared" si="0"/>
        <v>211.38470999999998</v>
      </c>
      <c r="H10" s="170">
        <f t="shared" si="1"/>
        <v>396.40517999999997</v>
      </c>
      <c r="I10" s="118">
        <v>1108.4000000000001</v>
      </c>
      <c r="J10" s="119">
        <v>1141.652</v>
      </c>
      <c r="K10" s="120">
        <v>5.0207966438108986</v>
      </c>
      <c r="L10" s="121">
        <v>8.1824864669794319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1141.652</v>
      </c>
      <c r="S10" s="62">
        <f t="shared" si="2"/>
        <v>57.320025300000005</v>
      </c>
      <c r="T10" s="63">
        <f t="shared" si="3"/>
        <v>93.41552040000002</v>
      </c>
      <c r="U10" s="64" t="s">
        <v>192</v>
      </c>
      <c r="V10" s="65" t="s">
        <v>275</v>
      </c>
      <c r="W10" s="66" t="s">
        <v>187</v>
      </c>
      <c r="X10" s="67">
        <v>5860</v>
      </c>
      <c r="Y10" s="68">
        <v>4.7</v>
      </c>
      <c r="Z10" s="68">
        <v>8.4700000000000006</v>
      </c>
      <c r="AA10" s="62">
        <f t="shared" si="4"/>
        <v>275.42</v>
      </c>
      <c r="AB10" s="63">
        <f t="shared" si="5"/>
        <v>496.34200000000004</v>
      </c>
      <c r="AC10" s="69">
        <v>5850</v>
      </c>
      <c r="AD10" s="70">
        <v>4.7823076923076924</v>
      </c>
      <c r="AE10" s="70">
        <v>8.7185811965811979</v>
      </c>
      <c r="AF10" s="62">
        <f t="shared" si="6"/>
        <v>279.76500000000004</v>
      </c>
      <c r="AG10" s="63">
        <f t="shared" si="13"/>
        <v>510.03700000000003</v>
      </c>
      <c r="AH10" s="96">
        <v>0</v>
      </c>
      <c r="AI10" s="66">
        <v>0</v>
      </c>
      <c r="AJ10" s="66">
        <v>0</v>
      </c>
      <c r="AK10" s="62">
        <f t="shared" si="7"/>
        <v>0</v>
      </c>
      <c r="AL10" s="72">
        <f t="shared" si="8"/>
        <v>0</v>
      </c>
      <c r="AM10" s="73">
        <f t="shared" si="14"/>
        <v>-0.44800000000032014</v>
      </c>
      <c r="AN10" s="74">
        <f t="shared" si="9"/>
        <v>-11.060264700000062</v>
      </c>
      <c r="AO10" s="74">
        <f t="shared" si="9"/>
        <v>-20.21629960000007</v>
      </c>
      <c r="AP10" s="75">
        <f t="shared" si="15"/>
        <v>-0.20749295831155853</v>
      </c>
      <c r="AQ10" s="76">
        <f t="shared" si="10"/>
        <v>-11369.418914802305</v>
      </c>
      <c r="AR10" s="83">
        <f t="shared" si="16"/>
        <v>-10.44800000000032</v>
      </c>
    </row>
    <row r="11" spans="1:44" x14ac:dyDescent="0.25">
      <c r="A11" t="str">
        <f t="shared" si="11"/>
        <v>46207E</v>
      </c>
      <c r="B11" s="51">
        <f t="shared" si="17"/>
        <v>46207</v>
      </c>
      <c r="C11" s="52" t="s">
        <v>88</v>
      </c>
      <c r="D11" s="79">
        <v>0</v>
      </c>
      <c r="E11" s="62">
        <v>0</v>
      </c>
      <c r="F11" s="62">
        <v>0</v>
      </c>
      <c r="G11" s="169">
        <f t="shared" si="0"/>
        <v>0</v>
      </c>
      <c r="H11" s="170">
        <f t="shared" si="1"/>
        <v>0</v>
      </c>
      <c r="I11" s="118">
        <v>1836.3999999999999</v>
      </c>
      <c r="J11" s="119">
        <v>1891.492</v>
      </c>
      <c r="K11" s="120">
        <v>4.2111250272271832</v>
      </c>
      <c r="L11" s="121">
        <v>8.3171640165541287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1891.492</v>
      </c>
      <c r="S11" s="62">
        <f t="shared" si="2"/>
        <v>79.653092999999998</v>
      </c>
      <c r="T11" s="63">
        <f t="shared" si="3"/>
        <v>157.31849200000002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13"/>
        <v>0</v>
      </c>
      <c r="AH11" s="96">
        <v>1891.4</v>
      </c>
      <c r="AI11" s="66">
        <v>4.21</v>
      </c>
      <c r="AJ11" s="66">
        <v>8.32</v>
      </c>
      <c r="AK11" s="62">
        <f t="shared" si="7"/>
        <v>79.627939999999995</v>
      </c>
      <c r="AL11" s="72">
        <f t="shared" si="8"/>
        <v>157.36447999999999</v>
      </c>
      <c r="AM11" s="73">
        <f t="shared" si="14"/>
        <v>9.1999999999870852E-2</v>
      </c>
      <c r="AN11" s="74">
        <f t="shared" si="9"/>
        <v>2.515300000000309E-2</v>
      </c>
      <c r="AO11" s="74">
        <f t="shared" si="9"/>
        <v>-4.5987999999965723E-2</v>
      </c>
      <c r="AP11" s="75">
        <f t="shared" si="15"/>
        <v>-8.7921933762491537E-5</v>
      </c>
      <c r="AQ11" s="76">
        <f t="shared" si="10"/>
        <v>-1.6861614510661838</v>
      </c>
      <c r="AR11" s="83">
        <f t="shared" si="16"/>
        <v>9.1999999999870852E-2</v>
      </c>
    </row>
    <row r="12" spans="1:44" x14ac:dyDescent="0.25">
      <c r="A12" t="str">
        <f t="shared" si="11"/>
        <v>46208M</v>
      </c>
      <c r="B12" s="51">
        <f t="shared" si="17"/>
        <v>46208</v>
      </c>
      <c r="C12" s="52" t="s">
        <v>87</v>
      </c>
      <c r="D12" s="79">
        <v>1891.4</v>
      </c>
      <c r="E12" s="62">
        <v>4.21</v>
      </c>
      <c r="F12" s="62">
        <v>8.32</v>
      </c>
      <c r="G12" s="169">
        <f t="shared" si="0"/>
        <v>79.627939999999995</v>
      </c>
      <c r="H12" s="170">
        <f t="shared" si="1"/>
        <v>157.36447999999999</v>
      </c>
      <c r="I12" s="118">
        <v>1134.0999999999999</v>
      </c>
      <c r="J12" s="119">
        <v>1168.123</v>
      </c>
      <c r="K12" s="120">
        <v>4.5420245128295562</v>
      </c>
      <c r="L12" s="121">
        <v>8.5110484084295912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1168.123</v>
      </c>
      <c r="S12" s="62">
        <f t="shared" si="2"/>
        <v>53.056432999999998</v>
      </c>
      <c r="T12" s="63">
        <f t="shared" si="3"/>
        <v>99.419514000000007</v>
      </c>
      <c r="U12" s="64" t="s">
        <v>167</v>
      </c>
      <c r="V12" s="65" t="s">
        <v>180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13"/>
        <v>0</v>
      </c>
      <c r="AH12" s="96">
        <v>3059.6</v>
      </c>
      <c r="AI12" s="66">
        <v>4.34</v>
      </c>
      <c r="AJ12" s="66">
        <v>8.39</v>
      </c>
      <c r="AK12" s="62">
        <f t="shared" si="7"/>
        <v>132.78664000000001</v>
      </c>
      <c r="AL12" s="72">
        <f t="shared" si="8"/>
        <v>256.70044000000001</v>
      </c>
      <c r="AM12" s="73">
        <f t="shared" si="14"/>
        <v>-7.6999999999770807E-2</v>
      </c>
      <c r="AN12" s="74">
        <f t="shared" si="9"/>
        <v>-0.10226700000001188</v>
      </c>
      <c r="AO12" s="74">
        <f t="shared" si="9"/>
        <v>8.3553999999992357E-2</v>
      </c>
      <c r="AP12" s="75">
        <f t="shared" si="15"/>
        <v>-1.2272755387457616E-4</v>
      </c>
      <c r="AQ12" s="76">
        <f t="shared" si="10"/>
        <v>-24.118942765727081</v>
      </c>
      <c r="AR12" s="83">
        <f t="shared" si="16"/>
        <v>-7.6999999999770807E-2</v>
      </c>
    </row>
    <row r="13" spans="1:44" x14ac:dyDescent="0.25">
      <c r="A13" t="str">
        <f t="shared" si="11"/>
        <v>46208E</v>
      </c>
      <c r="B13" s="51">
        <f t="shared" si="17"/>
        <v>46208</v>
      </c>
      <c r="C13" s="52" t="s">
        <v>88</v>
      </c>
      <c r="D13" s="79">
        <v>3059.6</v>
      </c>
      <c r="E13" s="62">
        <v>4.34</v>
      </c>
      <c r="F13" s="62">
        <v>8.39</v>
      </c>
      <c r="G13" s="169">
        <f t="shared" si="0"/>
        <v>132.78664000000001</v>
      </c>
      <c r="H13" s="170">
        <f t="shared" si="1"/>
        <v>256.70044000000001</v>
      </c>
      <c r="I13" s="118">
        <v>1659.3000000000002</v>
      </c>
      <c r="J13" s="119">
        <v>1709.0790000000002</v>
      </c>
      <c r="K13" s="120">
        <v>4.2429639004399444</v>
      </c>
      <c r="L13" s="121">
        <v>8.2330199481709148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1709.0790000000002</v>
      </c>
      <c r="S13" s="62">
        <f t="shared" si="2"/>
        <v>72.515605000000008</v>
      </c>
      <c r="T13" s="63">
        <f t="shared" si="3"/>
        <v>140.70881500000002</v>
      </c>
      <c r="U13" s="64" t="s">
        <v>167</v>
      </c>
      <c r="V13" s="65" t="s">
        <v>180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13"/>
        <v>0</v>
      </c>
      <c r="AH13" s="96">
        <v>4768.6000000000004</v>
      </c>
      <c r="AI13" s="66">
        <v>4.3</v>
      </c>
      <c r="AJ13" s="66">
        <v>8.33</v>
      </c>
      <c r="AK13" s="62">
        <f t="shared" si="7"/>
        <v>205.0498</v>
      </c>
      <c r="AL13" s="72">
        <f t="shared" si="8"/>
        <v>397.22438000000005</v>
      </c>
      <c r="AM13" s="73">
        <f t="shared" si="14"/>
        <v>7.8999999999723514E-2</v>
      </c>
      <c r="AN13" s="74">
        <f t="shared" si="9"/>
        <v>0.2524450000000229</v>
      </c>
      <c r="AO13" s="74">
        <f t="shared" si="9"/>
        <v>0.18487499999997681</v>
      </c>
      <c r="AP13" s="75">
        <f t="shared" si="15"/>
        <v>2.0509845917273438E-3</v>
      </c>
      <c r="AQ13" s="76">
        <f t="shared" si="10"/>
        <v>176.67645533069717</v>
      </c>
      <c r="AR13" s="83">
        <f t="shared" si="16"/>
        <v>7.8999999999723514E-2</v>
      </c>
    </row>
    <row r="14" spans="1:44" x14ac:dyDescent="0.25">
      <c r="A14" t="str">
        <f t="shared" si="11"/>
        <v>46209M</v>
      </c>
      <c r="B14" s="51">
        <f t="shared" si="17"/>
        <v>46209</v>
      </c>
      <c r="C14" s="52" t="s">
        <v>87</v>
      </c>
      <c r="D14" s="79">
        <v>4768.6000000000004</v>
      </c>
      <c r="E14" s="62">
        <v>4.3</v>
      </c>
      <c r="F14" s="62">
        <v>8.33</v>
      </c>
      <c r="G14" s="169">
        <f t="shared" si="0"/>
        <v>205.0498</v>
      </c>
      <c r="H14" s="170">
        <f t="shared" si="1"/>
        <v>397.22438000000005</v>
      </c>
      <c r="I14" s="118">
        <v>946.5</v>
      </c>
      <c r="J14" s="119">
        <v>974.89499999999998</v>
      </c>
      <c r="K14" s="120">
        <v>4.7365134706814587</v>
      </c>
      <c r="L14" s="121">
        <v>8.3974960380348662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974.89499999999998</v>
      </c>
      <c r="S14" s="62">
        <f t="shared" si="2"/>
        <v>46.176033000000011</v>
      </c>
      <c r="T14" s="63">
        <f t="shared" si="3"/>
        <v>81.866769000000005</v>
      </c>
      <c r="U14" s="64" t="s">
        <v>194</v>
      </c>
      <c r="V14" s="65" t="s">
        <v>335</v>
      </c>
      <c r="W14" s="66" t="s">
        <v>190</v>
      </c>
      <c r="X14" s="67">
        <v>5810</v>
      </c>
      <c r="Y14" s="68">
        <v>4.45</v>
      </c>
      <c r="Z14" s="68">
        <v>8.42</v>
      </c>
      <c r="AA14" s="62">
        <f t="shared" si="4"/>
        <v>258.54500000000002</v>
      </c>
      <c r="AB14" s="63">
        <f t="shared" si="5"/>
        <v>489.202</v>
      </c>
      <c r="AC14" s="69">
        <v>5810</v>
      </c>
      <c r="AD14" s="70">
        <v>4.4000000000000004</v>
      </c>
      <c r="AE14" s="70">
        <v>8.41</v>
      </c>
      <c r="AF14" s="62">
        <f t="shared" si="6"/>
        <v>255.64000000000001</v>
      </c>
      <c r="AG14" s="63">
        <f t="shared" si="13"/>
        <v>488.62100000000004</v>
      </c>
      <c r="AH14" s="89">
        <v>0</v>
      </c>
      <c r="AI14" s="66">
        <v>0</v>
      </c>
      <c r="AJ14" s="66">
        <v>0</v>
      </c>
      <c r="AK14" s="62">
        <f t="shared" si="7"/>
        <v>0</v>
      </c>
      <c r="AL14" s="72">
        <f t="shared" si="8"/>
        <v>0</v>
      </c>
      <c r="AM14" s="73">
        <f t="shared" si="14"/>
        <v>-66.5049999999992</v>
      </c>
      <c r="AN14" s="74">
        <f t="shared" si="9"/>
        <v>-4.414166999999992</v>
      </c>
      <c r="AO14" s="74">
        <f t="shared" si="9"/>
        <v>-9.529850999999951</v>
      </c>
      <c r="AP14" s="75">
        <f t="shared" si="15"/>
        <v>-0.10890122507628301</v>
      </c>
      <c r="AQ14" s="76">
        <f t="shared" si="10"/>
        <v>-4975.2564437542751</v>
      </c>
      <c r="AR14" s="90">
        <f t="shared" si="16"/>
        <v>-66.5049999999992</v>
      </c>
    </row>
    <row r="15" spans="1:44" x14ac:dyDescent="0.25">
      <c r="A15" t="str">
        <f t="shared" si="11"/>
        <v>46209E</v>
      </c>
      <c r="B15" s="51">
        <f t="shared" si="17"/>
        <v>46209</v>
      </c>
      <c r="C15" s="52" t="s">
        <v>88</v>
      </c>
      <c r="D15" s="79">
        <v>0</v>
      </c>
      <c r="E15" s="62">
        <v>0</v>
      </c>
      <c r="F15" s="62">
        <v>0</v>
      </c>
      <c r="G15" s="169">
        <f t="shared" si="0"/>
        <v>0</v>
      </c>
      <c r="H15" s="170">
        <f t="shared" si="1"/>
        <v>0</v>
      </c>
      <c r="I15" s="118">
        <v>1620.62</v>
      </c>
      <c r="J15" s="119">
        <v>1669.2385999999999</v>
      </c>
      <c r="K15" s="120">
        <v>4.0878651380335924</v>
      </c>
      <c r="L15" s="121">
        <v>8.2220495859609279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1669.2385999999999</v>
      </c>
      <c r="S15" s="62">
        <f t="shared" si="2"/>
        <v>68.236222800000007</v>
      </c>
      <c r="T15" s="63">
        <f t="shared" si="3"/>
        <v>137.24562539999997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13"/>
        <v>0</v>
      </c>
      <c r="AH15" s="89">
        <v>1669.2</v>
      </c>
      <c r="AI15" s="66">
        <v>4.09</v>
      </c>
      <c r="AJ15" s="66">
        <v>8.2200000000000006</v>
      </c>
      <c r="AK15" s="62">
        <f t="shared" si="7"/>
        <v>68.27028</v>
      </c>
      <c r="AL15" s="72">
        <f t="shared" si="8"/>
        <v>137.20824000000002</v>
      </c>
      <c r="AM15" s="73">
        <f t="shared" si="14"/>
        <v>3.8599999999860302E-2</v>
      </c>
      <c r="AN15" s="74">
        <f t="shared" si="9"/>
        <v>-3.4057199999992349E-2</v>
      </c>
      <c r="AO15" s="74">
        <f t="shared" si="9"/>
        <v>3.7385399999948277E-2</v>
      </c>
      <c r="AP15" s="75">
        <f t="shared" si="15"/>
        <v>1.6197051122085089E-5</v>
      </c>
      <c r="AQ15" s="76">
        <f t="shared" si="10"/>
        <v>-5.1689985640756202</v>
      </c>
      <c r="AR15" s="90">
        <f t="shared" si="16"/>
        <v>3.8599999999860302E-2</v>
      </c>
    </row>
    <row r="16" spans="1:44" x14ac:dyDescent="0.25">
      <c r="A16" t="str">
        <f t="shared" si="11"/>
        <v>46210M</v>
      </c>
      <c r="B16" s="51">
        <f t="shared" si="17"/>
        <v>46210</v>
      </c>
      <c r="C16" s="52" t="s">
        <v>87</v>
      </c>
      <c r="D16" s="79">
        <v>1669.2</v>
      </c>
      <c r="E16" s="62">
        <v>4.09</v>
      </c>
      <c r="F16" s="62">
        <v>8.2200000000000006</v>
      </c>
      <c r="G16" s="169">
        <f t="shared" si="0"/>
        <v>68.27028</v>
      </c>
      <c r="H16" s="170">
        <f t="shared" si="1"/>
        <v>137.20824000000002</v>
      </c>
      <c r="I16" s="118">
        <v>1092.81</v>
      </c>
      <c r="J16" s="119">
        <v>1125.5943</v>
      </c>
      <c r="K16" s="120">
        <v>4.9244196154866806</v>
      </c>
      <c r="L16" s="121">
        <v>8.395589352220421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1125.5943</v>
      </c>
      <c r="S16" s="62">
        <f t="shared" si="2"/>
        <v>55.428986499999993</v>
      </c>
      <c r="T16" s="63">
        <f t="shared" si="3"/>
        <v>94.50027519999999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13"/>
        <v>0</v>
      </c>
      <c r="AH16" s="96">
        <v>2794.6</v>
      </c>
      <c r="AI16" s="117">
        <v>4.42</v>
      </c>
      <c r="AJ16" s="117">
        <v>8.2899999999999991</v>
      </c>
      <c r="AK16" s="62">
        <f t="shared" si="7"/>
        <v>123.52131999999999</v>
      </c>
      <c r="AL16" s="72">
        <f t="shared" si="8"/>
        <v>231.67233999999996</v>
      </c>
      <c r="AM16" s="73">
        <f t="shared" si="14"/>
        <v>0.19430000000011205</v>
      </c>
      <c r="AN16" s="74">
        <f t="shared" si="9"/>
        <v>0.17794650000000445</v>
      </c>
      <c r="AO16" s="74">
        <f t="shared" si="9"/>
        <v>3.6175200000059249E-2</v>
      </c>
      <c r="AP16" s="75">
        <f t="shared" si="15"/>
        <v>1.4281515000621372E-3</v>
      </c>
      <c r="AQ16" s="76">
        <f t="shared" si="10"/>
        <v>96.343235122433526</v>
      </c>
      <c r="AR16" s="90">
        <f t="shared" si="16"/>
        <v>0.19430000000011205</v>
      </c>
    </row>
    <row r="17" spans="1:48" x14ac:dyDescent="0.25">
      <c r="A17" t="str">
        <f t="shared" si="11"/>
        <v>46210E</v>
      </c>
      <c r="B17" s="51">
        <f t="shared" si="17"/>
        <v>46210</v>
      </c>
      <c r="C17" s="52" t="s">
        <v>88</v>
      </c>
      <c r="D17" s="79">
        <v>2794.6</v>
      </c>
      <c r="E17" s="62">
        <v>4.42</v>
      </c>
      <c r="F17" s="62">
        <v>8.2899999999999991</v>
      </c>
      <c r="G17" s="169">
        <f t="shared" si="0"/>
        <v>123.52131999999999</v>
      </c>
      <c r="H17" s="170">
        <f t="shared" si="1"/>
        <v>231.67233999999996</v>
      </c>
      <c r="I17" s="118">
        <v>1489.3000000000002</v>
      </c>
      <c r="J17" s="119">
        <v>1533.9790000000003</v>
      </c>
      <c r="K17" s="120">
        <v>4.3629288927684158</v>
      </c>
      <c r="L17" s="121">
        <v>8.3164238232726788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1533.9790000000003</v>
      </c>
      <c r="S17" s="62">
        <f t="shared" si="2"/>
        <v>66.926413000000039</v>
      </c>
      <c r="T17" s="63">
        <f t="shared" si="3"/>
        <v>127.57219500000002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13"/>
        <v>0</v>
      </c>
      <c r="AH17" s="96">
        <v>4386.7</v>
      </c>
      <c r="AI17" s="66">
        <v>4.4000000000000004</v>
      </c>
      <c r="AJ17" s="66">
        <v>8.3000000000000007</v>
      </c>
      <c r="AK17" s="62">
        <f t="shared" si="7"/>
        <v>193.01480000000001</v>
      </c>
      <c r="AL17" s="72">
        <f t="shared" si="8"/>
        <v>364.09609999999998</v>
      </c>
      <c r="AM17" s="73">
        <f t="shared" si="14"/>
        <v>-58.121000000000095</v>
      </c>
      <c r="AN17" s="74">
        <f t="shared" si="9"/>
        <v>-2.5670669999999802</v>
      </c>
      <c r="AO17" s="74">
        <f t="shared" si="9"/>
        <v>-4.8515649999999937</v>
      </c>
      <c r="AP17" s="75">
        <f t="shared" si="15"/>
        <v>-3.8142339815614372E-2</v>
      </c>
      <c r="AQ17" s="76">
        <f t="shared" si="10"/>
        <v>-2686.559768744246</v>
      </c>
      <c r="AR17" s="90">
        <f t="shared" si="16"/>
        <v>-58.121000000000095</v>
      </c>
    </row>
    <row r="18" spans="1:48" x14ac:dyDescent="0.25">
      <c r="A18" t="str">
        <f t="shared" si="11"/>
        <v>46211M</v>
      </c>
      <c r="B18" s="51">
        <f t="shared" si="17"/>
        <v>46211</v>
      </c>
      <c r="C18" s="52" t="s">
        <v>87</v>
      </c>
      <c r="D18" s="79">
        <v>4386.7</v>
      </c>
      <c r="E18" s="62">
        <v>4.4000000000000004</v>
      </c>
      <c r="F18" s="62">
        <v>8.3000000000000007</v>
      </c>
      <c r="G18" s="169">
        <f t="shared" si="0"/>
        <v>193.01480000000001</v>
      </c>
      <c r="H18" s="170">
        <f t="shared" si="1"/>
        <v>364.09609999999998</v>
      </c>
      <c r="I18" s="118">
        <v>1092.9000000000001</v>
      </c>
      <c r="J18" s="119">
        <v>1125.6870000000001</v>
      </c>
      <c r="K18" s="120">
        <v>4.5669777655778212</v>
      </c>
      <c r="L18" s="121">
        <v>8.3422637020770427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1125.6870000000001</v>
      </c>
      <c r="S18" s="62">
        <f t="shared" si="2"/>
        <v>51.409875000000014</v>
      </c>
      <c r="T18" s="63">
        <f t="shared" si="3"/>
        <v>93.907778000000008</v>
      </c>
      <c r="U18" s="64" t="s">
        <v>192</v>
      </c>
      <c r="V18" s="65" t="s">
        <v>336</v>
      </c>
      <c r="W18" s="66" t="s">
        <v>187</v>
      </c>
      <c r="X18" s="67">
        <v>5620</v>
      </c>
      <c r="Y18" s="68">
        <v>4.5999999999999996</v>
      </c>
      <c r="Z18" s="68">
        <v>8.49</v>
      </c>
      <c r="AA18" s="62">
        <f t="shared" si="4"/>
        <v>258.52</v>
      </c>
      <c r="AB18" s="63">
        <f t="shared" si="5"/>
        <v>477.13800000000003</v>
      </c>
      <c r="AC18" s="69">
        <v>5630</v>
      </c>
      <c r="AD18" s="70">
        <v>4.6287744227353471</v>
      </c>
      <c r="AE18" s="70">
        <v>8.4991651865008837</v>
      </c>
      <c r="AF18" s="62">
        <f t="shared" si="6"/>
        <v>260.60000000000002</v>
      </c>
      <c r="AG18" s="63">
        <f t="shared" si="13"/>
        <v>478.50299999999982</v>
      </c>
      <c r="AH18" s="96">
        <v>0</v>
      </c>
      <c r="AI18" s="66">
        <v>0</v>
      </c>
      <c r="AJ18" s="66">
        <v>0</v>
      </c>
      <c r="AK18" s="62">
        <f t="shared" si="7"/>
        <v>0</v>
      </c>
      <c r="AL18" s="72">
        <f t="shared" si="8"/>
        <v>0</v>
      </c>
      <c r="AM18" s="73">
        <f t="shared" si="14"/>
        <v>-117.61300000000028</v>
      </c>
      <c r="AN18" s="74">
        <f t="shared" si="9"/>
        <v>-16.175324999999987</v>
      </c>
      <c r="AO18" s="74">
        <f t="shared" si="9"/>
        <v>-20.499121999999829</v>
      </c>
      <c r="AP18" s="75">
        <f t="shared" si="15"/>
        <v>-0.25237434160872263</v>
      </c>
      <c r="AQ18" s="76">
        <f t="shared" si="10"/>
        <v>-13912.074656852383</v>
      </c>
      <c r="AR18" s="90">
        <f t="shared" si="16"/>
        <v>-107.61300000000028</v>
      </c>
    </row>
    <row r="19" spans="1:48" x14ac:dyDescent="0.25">
      <c r="A19" t="str">
        <f t="shared" si="11"/>
        <v>46211E</v>
      </c>
      <c r="B19" s="51">
        <f t="shared" si="17"/>
        <v>46211</v>
      </c>
      <c r="C19" s="52" t="s">
        <v>88</v>
      </c>
      <c r="D19" s="79">
        <v>0</v>
      </c>
      <c r="E19" s="62">
        <v>0</v>
      </c>
      <c r="F19" s="62">
        <v>0</v>
      </c>
      <c r="G19" s="169">
        <f t="shared" si="0"/>
        <v>0</v>
      </c>
      <c r="H19" s="170">
        <f t="shared" si="1"/>
        <v>0</v>
      </c>
      <c r="I19" s="118">
        <v>1568.35</v>
      </c>
      <c r="J19" s="119">
        <v>1615.4005</v>
      </c>
      <c r="K19" s="120">
        <v>4.4735581981062884</v>
      </c>
      <c r="L19" s="121">
        <v>8.3359626358912244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1615.4005</v>
      </c>
      <c r="S19" s="62">
        <f t="shared" si="2"/>
        <v>72.265881499999978</v>
      </c>
      <c r="T19" s="63">
        <f t="shared" si="3"/>
        <v>134.65918210000001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13"/>
        <v>0</v>
      </c>
      <c r="AH19" s="96">
        <v>1615.3</v>
      </c>
      <c r="AI19" s="66">
        <v>4.47</v>
      </c>
      <c r="AJ19" s="66">
        <v>8.34</v>
      </c>
      <c r="AK19" s="62">
        <f t="shared" si="7"/>
        <v>72.203909999999993</v>
      </c>
      <c r="AL19" s="72">
        <f t="shared" si="8"/>
        <v>134.71601999999999</v>
      </c>
      <c r="AM19" s="73">
        <f t="shared" si="14"/>
        <v>0.10050000000001091</v>
      </c>
      <c r="AN19" s="74">
        <f t="shared" si="9"/>
        <v>6.1971499999984303E-2</v>
      </c>
      <c r="AO19" s="74">
        <f t="shared" si="9"/>
        <v>-5.6837899999976571E-2</v>
      </c>
      <c r="AP19" s="75">
        <f t="shared" si="15"/>
        <v>2.4808981138849978E-5</v>
      </c>
      <c r="AQ19" s="76">
        <f t="shared" si="10"/>
        <v>12.756877650848718</v>
      </c>
      <c r="AR19" s="90">
        <f t="shared" si="16"/>
        <v>0.10050000000001091</v>
      </c>
    </row>
    <row r="20" spans="1:48" x14ac:dyDescent="0.25">
      <c r="A20" t="str">
        <f t="shared" si="11"/>
        <v>46212M</v>
      </c>
      <c r="B20" s="51">
        <f t="shared" si="17"/>
        <v>46212</v>
      </c>
      <c r="C20" s="52" t="s">
        <v>87</v>
      </c>
      <c r="D20" s="79">
        <v>1615.3</v>
      </c>
      <c r="E20" s="62">
        <v>4.47</v>
      </c>
      <c r="F20" s="62">
        <v>8.34</v>
      </c>
      <c r="G20" s="169">
        <f t="shared" si="0"/>
        <v>72.203909999999993</v>
      </c>
      <c r="H20" s="170">
        <f t="shared" si="1"/>
        <v>134.71601999999999</v>
      </c>
      <c r="I20" s="118">
        <v>1219.5999999999999</v>
      </c>
      <c r="J20" s="119">
        <v>1256.1879999999999</v>
      </c>
      <c r="K20" s="120">
        <v>4.6156215152509015</v>
      </c>
      <c r="L20" s="121">
        <v>8.2350450967530318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1256.1879999999999</v>
      </c>
      <c r="S20" s="62">
        <f t="shared" si="2"/>
        <v>57.980883599999984</v>
      </c>
      <c r="T20" s="63">
        <f t="shared" si="3"/>
        <v>103.44764829999995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4"/>
        <v>0</v>
      </c>
      <c r="AB20" s="63">
        <f t="shared" si="5"/>
        <v>0</v>
      </c>
      <c r="AC20" s="69"/>
      <c r="AD20" s="70"/>
      <c r="AE20" s="70"/>
      <c r="AF20" s="62">
        <f t="shared" si="6"/>
        <v>0</v>
      </c>
      <c r="AG20" s="63">
        <f t="shared" si="13"/>
        <v>0</v>
      </c>
      <c r="AH20" s="96">
        <v>2871.5</v>
      </c>
      <c r="AI20" s="66">
        <v>4.54</v>
      </c>
      <c r="AJ20" s="66">
        <v>8.2899999999999991</v>
      </c>
      <c r="AK20" s="62">
        <f t="shared" si="7"/>
        <v>130.36610000000002</v>
      </c>
      <c r="AL20" s="72">
        <f t="shared" si="8"/>
        <v>238.04734999999997</v>
      </c>
      <c r="AM20" s="73">
        <f t="shared" si="14"/>
        <v>-1.2000000000170985E-2</v>
      </c>
      <c r="AN20" s="74">
        <f t="shared" ref="AN20:AO65" si="18">+G20+S20-AF20-AK20</f>
        <v>-0.1813064000000395</v>
      </c>
      <c r="AO20" s="74">
        <f t="shared" si="18"/>
        <v>0.11631829999996057</v>
      </c>
      <c r="AP20" s="75">
        <f t="shared" si="15"/>
        <v>-4.0258124902193301E-4</v>
      </c>
      <c r="AQ20" s="76">
        <f t="shared" si="10"/>
        <v>-52.28733075024757</v>
      </c>
      <c r="AR20" s="90">
        <f t="shared" si="16"/>
        <v>-1.2000000000170985E-2</v>
      </c>
    </row>
    <row r="21" spans="1:48" x14ac:dyDescent="0.25">
      <c r="A21" t="str">
        <f t="shared" si="11"/>
        <v>46212E</v>
      </c>
      <c r="B21" s="51">
        <f t="shared" si="17"/>
        <v>46212</v>
      </c>
      <c r="C21" s="52" t="s">
        <v>88</v>
      </c>
      <c r="D21" s="79">
        <v>2871.5</v>
      </c>
      <c r="E21" s="62">
        <v>4.54</v>
      </c>
      <c r="F21" s="62">
        <v>8.2899999999999991</v>
      </c>
      <c r="G21" s="169">
        <f t="shared" si="0"/>
        <v>130.36610000000002</v>
      </c>
      <c r="H21" s="170">
        <f t="shared" si="1"/>
        <v>238.04734999999997</v>
      </c>
      <c r="I21" s="118">
        <v>1334.6999999999998</v>
      </c>
      <c r="J21" s="119">
        <v>1374.7409999999998</v>
      </c>
      <c r="K21" s="120">
        <v>4.2676931145575789</v>
      </c>
      <c r="L21" s="121">
        <v>8.2236457630928292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1374.7409999999998</v>
      </c>
      <c r="S21" s="62">
        <f t="shared" si="2"/>
        <v>58.669726999999995</v>
      </c>
      <c r="T21" s="63">
        <f t="shared" si="3"/>
        <v>113.05382999999998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13"/>
        <v>0</v>
      </c>
      <c r="AH21" s="96">
        <v>4246.2</v>
      </c>
      <c r="AI21" s="66">
        <v>4.45</v>
      </c>
      <c r="AJ21" s="66">
        <v>8.27</v>
      </c>
      <c r="AK21" s="62">
        <f t="shared" si="7"/>
        <v>188.95590000000001</v>
      </c>
      <c r="AL21" s="72">
        <f t="shared" si="8"/>
        <v>351.16073999999998</v>
      </c>
      <c r="AM21" s="73">
        <f t="shared" si="14"/>
        <v>4.1000000000167347E-2</v>
      </c>
      <c r="AN21" s="74">
        <f t="shared" si="18"/>
        <v>7.9926999999997861E-2</v>
      </c>
      <c r="AO21" s="74">
        <f t="shared" si="18"/>
        <v>-5.9560000000033142E-2</v>
      </c>
      <c r="AP21" s="75">
        <f t="shared" si="15"/>
        <v>1.1860341327523703E-4</v>
      </c>
      <c r="AQ21" s="76">
        <f t="shared" si="10"/>
        <v>20.569835071709271</v>
      </c>
      <c r="AR21" s="90">
        <f t="shared" si="16"/>
        <v>4.1000000000167347E-2</v>
      </c>
    </row>
    <row r="22" spans="1:48" x14ac:dyDescent="0.25">
      <c r="A22" t="str">
        <f t="shared" si="11"/>
        <v>46213M</v>
      </c>
      <c r="B22" s="51">
        <f t="shared" si="17"/>
        <v>46213</v>
      </c>
      <c r="C22" s="52" t="s">
        <v>87</v>
      </c>
      <c r="D22" s="79">
        <v>4246.2</v>
      </c>
      <c r="E22" s="62">
        <v>4.45</v>
      </c>
      <c r="F22" s="62">
        <v>8.27</v>
      </c>
      <c r="G22" s="169">
        <f t="shared" si="0"/>
        <v>188.95590000000001</v>
      </c>
      <c r="H22" s="170">
        <f t="shared" si="1"/>
        <v>351.16073999999998</v>
      </c>
      <c r="I22" s="118">
        <v>1159.3000000000002</v>
      </c>
      <c r="J22" s="119">
        <v>1194.0790000000002</v>
      </c>
      <c r="K22" s="120">
        <v>4.7024066246873106</v>
      </c>
      <c r="L22" s="121">
        <v>8.5113344259466928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1194.0790000000002</v>
      </c>
      <c r="S22" s="62">
        <f t="shared" si="2"/>
        <v>56.150450000000006</v>
      </c>
      <c r="T22" s="63">
        <f t="shared" si="3"/>
        <v>101.63205700000003</v>
      </c>
      <c r="U22" s="64" t="s">
        <v>194</v>
      </c>
      <c r="V22" s="65" t="s">
        <v>440</v>
      </c>
      <c r="W22" s="66" t="s">
        <v>190</v>
      </c>
      <c r="X22" s="67">
        <v>5530</v>
      </c>
      <c r="Y22" s="68">
        <v>4.5999999999999996</v>
      </c>
      <c r="Z22" s="68">
        <v>8.4499999999999993</v>
      </c>
      <c r="AA22" s="62">
        <f t="shared" si="4"/>
        <v>254.38</v>
      </c>
      <c r="AB22" s="63">
        <f t="shared" si="5"/>
        <v>467.28499999999997</v>
      </c>
      <c r="AC22" s="69">
        <v>5530</v>
      </c>
      <c r="AD22" s="70">
        <v>4.55</v>
      </c>
      <c r="AE22" s="70">
        <v>8.3800000000000008</v>
      </c>
      <c r="AF22" s="62">
        <f t="shared" si="6"/>
        <v>251.61499999999998</v>
      </c>
      <c r="AG22" s="63">
        <f t="shared" si="13"/>
        <v>463.4140000000001</v>
      </c>
      <c r="AH22" s="96">
        <v>0</v>
      </c>
      <c r="AI22" s="66">
        <v>0</v>
      </c>
      <c r="AJ22" s="66">
        <v>0</v>
      </c>
      <c r="AK22" s="62">
        <f t="shared" si="7"/>
        <v>0</v>
      </c>
      <c r="AL22" s="72">
        <f t="shared" si="8"/>
        <v>0</v>
      </c>
      <c r="AM22" s="73">
        <f t="shared" si="14"/>
        <v>-89.720999999999549</v>
      </c>
      <c r="AN22" s="74">
        <f t="shared" si="18"/>
        <v>-6.5086499999999603</v>
      </c>
      <c r="AO22" s="74">
        <f t="shared" si="18"/>
        <v>-10.621203000000094</v>
      </c>
      <c r="AP22" s="75">
        <f t="shared" si="15"/>
        <v>-0.10856623668680869</v>
      </c>
      <c r="AQ22" s="76">
        <f t="shared" si="10"/>
        <v>-6308.5739014162964</v>
      </c>
      <c r="AR22" s="83">
        <f>(D22+J22+O22)-(X22+AH22)</f>
        <v>-89.720999999999549</v>
      </c>
      <c r="AT22" s="83"/>
      <c r="AU22" s="83"/>
    </row>
    <row r="23" spans="1:48" x14ac:dyDescent="0.25">
      <c r="A23" t="str">
        <f t="shared" si="11"/>
        <v>46213E</v>
      </c>
      <c r="B23" s="51">
        <f t="shared" si="17"/>
        <v>46213</v>
      </c>
      <c r="C23" s="52" t="s">
        <v>88</v>
      </c>
      <c r="D23" s="79">
        <v>0</v>
      </c>
      <c r="E23" s="62">
        <v>0</v>
      </c>
      <c r="F23" s="62">
        <v>0</v>
      </c>
      <c r="G23" s="169">
        <f t="shared" si="0"/>
        <v>0</v>
      </c>
      <c r="H23" s="170">
        <f t="shared" si="1"/>
        <v>0</v>
      </c>
      <c r="I23" s="118">
        <v>1384.8</v>
      </c>
      <c r="J23" s="119">
        <v>1426.3440000000001</v>
      </c>
      <c r="K23" s="120">
        <v>4.3934719815135761</v>
      </c>
      <c r="L23" s="121">
        <v>8.3199451184286541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1426.3440000000001</v>
      </c>
      <c r="S23" s="62">
        <f t="shared" si="2"/>
        <v>62.666024000000007</v>
      </c>
      <c r="T23" s="63">
        <f t="shared" si="3"/>
        <v>118.671038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13"/>
        <v>0</v>
      </c>
      <c r="AH23" s="96">
        <v>1426.3</v>
      </c>
      <c r="AI23" s="66">
        <v>4.4000000000000004</v>
      </c>
      <c r="AJ23" s="84">
        <v>8.32</v>
      </c>
      <c r="AK23" s="62">
        <f t="shared" si="7"/>
        <v>62.757200000000005</v>
      </c>
      <c r="AL23" s="72">
        <f t="shared" si="8"/>
        <v>118.66815999999999</v>
      </c>
      <c r="AM23" s="73">
        <f t="shared" si="14"/>
        <v>4.4000000000096406E-2</v>
      </c>
      <c r="AN23" s="74">
        <f t="shared" si="18"/>
        <v>-9.1175999999997259E-2</v>
      </c>
      <c r="AO23" s="74">
        <f t="shared" si="18"/>
        <v>2.8780000000097061E-3</v>
      </c>
      <c r="AP23" s="75">
        <f t="shared" si="15"/>
        <v>-4.8692748755346853E-4</v>
      </c>
      <c r="AQ23" s="76">
        <f t="shared" si="10"/>
        <v>-42.951100074327194</v>
      </c>
      <c r="AR23" s="83">
        <f t="shared" si="16"/>
        <v>4.4000000000096406E-2</v>
      </c>
      <c r="AU23" s="83"/>
    </row>
    <row r="24" spans="1:48" x14ac:dyDescent="0.25">
      <c r="A24" t="str">
        <f t="shared" si="11"/>
        <v>46214M</v>
      </c>
      <c r="B24" s="51">
        <f t="shared" si="17"/>
        <v>46214</v>
      </c>
      <c r="C24" s="52" t="s">
        <v>87</v>
      </c>
      <c r="D24" s="79">
        <v>1426.3</v>
      </c>
      <c r="E24" s="62">
        <v>4.4000000000000004</v>
      </c>
      <c r="F24" s="62">
        <v>8.32</v>
      </c>
      <c r="G24" s="169">
        <f t="shared" si="0"/>
        <v>62.757200000000005</v>
      </c>
      <c r="H24" s="170">
        <f t="shared" si="1"/>
        <v>118.66815999999999</v>
      </c>
      <c r="I24" s="118">
        <v>1362.9</v>
      </c>
      <c r="J24" s="119">
        <v>1403.787</v>
      </c>
      <c r="K24" s="120">
        <v>4.7458654340010273</v>
      </c>
      <c r="L24" s="121">
        <v>8.1658742387555954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1403.787</v>
      </c>
      <c r="S24" s="62">
        <f t="shared" si="2"/>
        <v>66.621842000000001</v>
      </c>
      <c r="T24" s="63">
        <f t="shared" si="3"/>
        <v>114.63148100000001</v>
      </c>
      <c r="U24" s="64" t="s">
        <v>194</v>
      </c>
      <c r="V24" s="65" t="s">
        <v>441</v>
      </c>
      <c r="W24" s="66" t="s">
        <v>190</v>
      </c>
      <c r="X24" s="67">
        <v>3120</v>
      </c>
      <c r="Y24" s="68">
        <v>4.7</v>
      </c>
      <c r="Z24" s="68">
        <v>8.35</v>
      </c>
      <c r="AA24" s="62">
        <f t="shared" si="4"/>
        <v>146.63999999999999</v>
      </c>
      <c r="AB24" s="63">
        <f t="shared" si="5"/>
        <v>260.52</v>
      </c>
      <c r="AC24" s="69">
        <v>3120</v>
      </c>
      <c r="AD24" s="70">
        <v>4.5999999999999996</v>
      </c>
      <c r="AE24" s="70">
        <v>8.34</v>
      </c>
      <c r="AF24" s="62">
        <f t="shared" si="6"/>
        <v>143.52000000000001</v>
      </c>
      <c r="AG24" s="63">
        <f t="shared" si="13"/>
        <v>260.20800000000003</v>
      </c>
      <c r="AH24" s="96">
        <v>0</v>
      </c>
      <c r="AI24" s="66">
        <v>0</v>
      </c>
      <c r="AJ24" s="66">
        <v>0</v>
      </c>
      <c r="AK24" s="62">
        <f t="shared" si="7"/>
        <v>0</v>
      </c>
      <c r="AL24" s="72">
        <f t="shared" si="8"/>
        <v>0</v>
      </c>
      <c r="AM24" s="73">
        <f t="shared" si="14"/>
        <v>-289.91300000000001</v>
      </c>
      <c r="AN24" s="74">
        <f t="shared" si="18"/>
        <v>-14.140958000000012</v>
      </c>
      <c r="AO24" s="74">
        <f t="shared" si="18"/>
        <v>-26.908359000000019</v>
      </c>
      <c r="AP24" s="75">
        <f t="shared" si="15"/>
        <v>-0.22647483820200098</v>
      </c>
      <c r="AQ24" s="76">
        <f t="shared" si="10"/>
        <v>-14854.004525174987</v>
      </c>
      <c r="AR24" s="83">
        <f t="shared" si="16"/>
        <v>-289.91300000000001</v>
      </c>
      <c r="AT24" s="77"/>
      <c r="AU24" s="77"/>
      <c r="AV24" s="77"/>
    </row>
    <row r="25" spans="1:48" x14ac:dyDescent="0.25">
      <c r="A25" t="str">
        <f t="shared" si="11"/>
        <v>46214E</v>
      </c>
      <c r="B25" s="51">
        <f t="shared" si="17"/>
        <v>46214</v>
      </c>
      <c r="C25" s="52" t="s">
        <v>88</v>
      </c>
      <c r="D25" s="79">
        <v>0</v>
      </c>
      <c r="E25" s="62">
        <v>0</v>
      </c>
      <c r="F25" s="62">
        <v>0</v>
      </c>
      <c r="G25" s="169">
        <f t="shared" si="0"/>
        <v>0</v>
      </c>
      <c r="H25" s="170">
        <f t="shared" si="1"/>
        <v>0</v>
      </c>
      <c r="I25" s="118">
        <v>1448.5</v>
      </c>
      <c r="J25" s="119">
        <v>1491.9549999999999</v>
      </c>
      <c r="K25" s="120">
        <v>4.4814842940973412</v>
      </c>
      <c r="L25" s="121">
        <v>8.3006006213324142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1491.9549999999999</v>
      </c>
      <c r="S25" s="62">
        <f t="shared" si="2"/>
        <v>66.861728999999983</v>
      </c>
      <c r="T25" s="63">
        <f t="shared" si="3"/>
        <v>123.84122600000002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13"/>
        <v>0</v>
      </c>
      <c r="AH25" s="96">
        <v>1491.5</v>
      </c>
      <c r="AI25" s="66">
        <v>4.4800000000000004</v>
      </c>
      <c r="AJ25" s="66">
        <v>8.3000000000000007</v>
      </c>
      <c r="AK25" s="62">
        <f t="shared" si="7"/>
        <v>66.819200000000009</v>
      </c>
      <c r="AL25" s="72">
        <f t="shared" si="8"/>
        <v>123.79450000000001</v>
      </c>
      <c r="AM25" s="73">
        <f t="shared" si="14"/>
        <v>0.45499999999992724</v>
      </c>
      <c r="AN25" s="74">
        <f t="shared" si="18"/>
        <v>4.2528999999973394E-2</v>
      </c>
      <c r="AO25" s="74">
        <f t="shared" si="18"/>
        <v>4.6726000000006707E-2</v>
      </c>
      <c r="AP25" s="75">
        <f t="shared" si="15"/>
        <v>4.6803155200180352E-4</v>
      </c>
      <c r="AQ25" s="76">
        <f t="shared" si="10"/>
        <v>34.430589688194537</v>
      </c>
      <c r="AR25" s="83">
        <f t="shared" si="16"/>
        <v>0.45499999999992724</v>
      </c>
    </row>
    <row r="26" spans="1:48" x14ac:dyDescent="0.25">
      <c r="A26" t="str">
        <f t="shared" si="11"/>
        <v>46215M</v>
      </c>
      <c r="B26" s="51">
        <f t="shared" si="17"/>
        <v>46215</v>
      </c>
      <c r="C26" s="52" t="s">
        <v>87</v>
      </c>
      <c r="D26" s="79">
        <v>1491.5</v>
      </c>
      <c r="E26" s="62">
        <v>4.4800000000000004</v>
      </c>
      <c r="F26" s="62">
        <v>8.3000000000000007</v>
      </c>
      <c r="G26" s="169">
        <f t="shared" si="0"/>
        <v>66.819200000000009</v>
      </c>
      <c r="H26" s="170">
        <f t="shared" si="1"/>
        <v>123.79450000000001</v>
      </c>
      <c r="I26" s="118">
        <v>1314.3</v>
      </c>
      <c r="J26" s="119">
        <v>1353.729</v>
      </c>
      <c r="K26" s="120">
        <v>4.9299931522483442</v>
      </c>
      <c r="L26" s="121">
        <v>8.2536255040706088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1353.729</v>
      </c>
      <c r="S26" s="62">
        <f t="shared" si="2"/>
        <v>66.738746999999989</v>
      </c>
      <c r="T26" s="63">
        <f t="shared" si="3"/>
        <v>111.73172200000002</v>
      </c>
      <c r="U26" s="64" t="s">
        <v>167</v>
      </c>
      <c r="V26" s="65" t="s">
        <v>180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13"/>
        <v>0</v>
      </c>
      <c r="AH26" s="96">
        <v>2845.6</v>
      </c>
      <c r="AI26" s="66">
        <v>4.6900000000000004</v>
      </c>
      <c r="AJ26" s="66">
        <v>8.2799999999999994</v>
      </c>
      <c r="AK26" s="62">
        <f t="shared" si="7"/>
        <v>133.45864</v>
      </c>
      <c r="AL26" s="72">
        <f t="shared" si="8"/>
        <v>235.61568</v>
      </c>
      <c r="AM26" s="73">
        <f t="shared" si="14"/>
        <v>-0.37099999999963984</v>
      </c>
      <c r="AN26" s="74">
        <f t="shared" si="18"/>
        <v>9.9307000000010248E-2</v>
      </c>
      <c r="AO26" s="74">
        <f t="shared" si="18"/>
        <v>-8.9457999999979165E-2</v>
      </c>
      <c r="AP26" s="75">
        <f t="shared" si="15"/>
        <v>5.518560048178661E-5</v>
      </c>
      <c r="AQ26" s="76">
        <f t="shared" si="10"/>
        <v>20.928370988735541</v>
      </c>
      <c r="AR26" s="83">
        <f t="shared" si="16"/>
        <v>-0.37099999999963984</v>
      </c>
    </row>
    <row r="27" spans="1:48" x14ac:dyDescent="0.25">
      <c r="A27" t="str">
        <f t="shared" si="11"/>
        <v>46215E</v>
      </c>
      <c r="B27" s="51">
        <f t="shared" si="17"/>
        <v>46215</v>
      </c>
      <c r="C27" s="52" t="s">
        <v>88</v>
      </c>
      <c r="D27" s="79">
        <v>2845.6</v>
      </c>
      <c r="E27" s="62">
        <v>4.6900000000000004</v>
      </c>
      <c r="F27" s="62">
        <v>8.2799999999999994</v>
      </c>
      <c r="G27" s="169">
        <f t="shared" si="0"/>
        <v>133.45864</v>
      </c>
      <c r="H27" s="170">
        <f t="shared" si="1"/>
        <v>235.61568</v>
      </c>
      <c r="I27" s="118">
        <v>1578.4</v>
      </c>
      <c r="J27" s="119">
        <v>1625.7520000000002</v>
      </c>
      <c r="K27" s="120">
        <v>4.5192790167257986</v>
      </c>
      <c r="L27" s="121">
        <v>8.4637671059300565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1625.7520000000002</v>
      </c>
      <c r="S27" s="62">
        <f t="shared" si="2"/>
        <v>73.472269000000011</v>
      </c>
      <c r="T27" s="63">
        <f t="shared" si="3"/>
        <v>137.59986300000003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13"/>
        <v>0</v>
      </c>
      <c r="AH27" s="96">
        <v>4471.3999999999996</v>
      </c>
      <c r="AI27" s="66">
        <v>4.63</v>
      </c>
      <c r="AJ27" s="66">
        <v>8.35</v>
      </c>
      <c r="AK27" s="62">
        <f t="shared" si="7"/>
        <v>207.02581999999998</v>
      </c>
      <c r="AL27" s="72">
        <f t="shared" si="8"/>
        <v>373.36189999999993</v>
      </c>
      <c r="AM27" s="73">
        <f t="shared" si="14"/>
        <v>-4.7999999999774445E-2</v>
      </c>
      <c r="AN27" s="74">
        <f t="shared" si="18"/>
        <v>-9.4910999999967771E-2</v>
      </c>
      <c r="AO27" s="74">
        <f t="shared" si="18"/>
        <v>-0.14635699999990948</v>
      </c>
      <c r="AP27" s="75">
        <f t="shared" si="15"/>
        <v>-1.1430594731467307E-3</v>
      </c>
      <c r="AQ27" s="76">
        <f t="shared" si="10"/>
        <v>-89.440443068953215</v>
      </c>
      <c r="AR27" s="83">
        <f t="shared" si="16"/>
        <v>-4.7999999999774445E-2</v>
      </c>
    </row>
    <row r="28" spans="1:48" x14ac:dyDescent="0.25">
      <c r="A28" t="str">
        <f t="shared" si="11"/>
        <v>46216M</v>
      </c>
      <c r="B28" s="51">
        <f t="shared" si="17"/>
        <v>46216</v>
      </c>
      <c r="C28" s="52" t="s">
        <v>87</v>
      </c>
      <c r="D28" s="79">
        <v>4471.3999999999996</v>
      </c>
      <c r="E28" s="62">
        <v>4.63</v>
      </c>
      <c r="F28" s="62">
        <v>8.35</v>
      </c>
      <c r="G28" s="169">
        <f t="shared" si="0"/>
        <v>207.02581999999998</v>
      </c>
      <c r="H28" s="170">
        <f t="shared" si="1"/>
        <v>373.36189999999993</v>
      </c>
      <c r="I28" s="118">
        <v>1124</v>
      </c>
      <c r="J28" s="119">
        <v>1157.72</v>
      </c>
      <c r="K28" s="120">
        <v>5.3940925266903905</v>
      </c>
      <c r="L28" s="121">
        <v>8.4694839857651214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1157.72</v>
      </c>
      <c r="S28" s="62">
        <f t="shared" si="2"/>
        <v>62.44848799999999</v>
      </c>
      <c r="T28" s="63">
        <f t="shared" si="3"/>
        <v>98.052909999999954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13"/>
        <v>0</v>
      </c>
      <c r="AH28" s="71">
        <v>5629.1</v>
      </c>
      <c r="AI28" s="66">
        <v>4.79</v>
      </c>
      <c r="AJ28" s="66">
        <v>8.3699999999999992</v>
      </c>
      <c r="AK28" s="62">
        <f t="shared" si="7"/>
        <v>269.63389000000001</v>
      </c>
      <c r="AL28" s="72">
        <f t="shared" si="8"/>
        <v>471.15566999999999</v>
      </c>
      <c r="AM28" s="73">
        <f t="shared" si="14"/>
        <v>1.9999999999527063E-2</v>
      </c>
      <c r="AN28" s="74">
        <f t="shared" si="18"/>
        <v>-0.15958200000005718</v>
      </c>
      <c r="AO28" s="74">
        <f t="shared" si="18"/>
        <v>0.25913999999988846</v>
      </c>
      <c r="AP28" s="75">
        <f t="shared" si="15"/>
        <v>6.2029366248779537E-4</v>
      </c>
      <c r="AQ28" s="76">
        <f t="shared" si="10"/>
        <v>0.92577817953031172</v>
      </c>
      <c r="AR28" s="90">
        <f t="shared" si="16"/>
        <v>1.9999999999527063E-2</v>
      </c>
    </row>
    <row r="29" spans="1:48" x14ac:dyDescent="0.25">
      <c r="A29" t="str">
        <f t="shared" si="11"/>
        <v>46216E</v>
      </c>
      <c r="B29" s="51">
        <f t="shared" si="17"/>
        <v>46216</v>
      </c>
      <c r="C29" s="52" t="s">
        <v>88</v>
      </c>
      <c r="D29" s="79">
        <v>5629.1</v>
      </c>
      <c r="E29" s="62">
        <v>4.79</v>
      </c>
      <c r="F29" s="62">
        <v>8.3699999999999992</v>
      </c>
      <c r="G29" s="169">
        <f t="shared" si="0"/>
        <v>269.63389000000001</v>
      </c>
      <c r="H29" s="170">
        <f t="shared" si="1"/>
        <v>471.15566999999999</v>
      </c>
      <c r="I29" s="118">
        <v>1607.7000000000003</v>
      </c>
      <c r="J29" s="119">
        <v>1655.9310000000003</v>
      </c>
      <c r="K29" s="120">
        <v>4.6830565403993276</v>
      </c>
      <c r="L29" s="121">
        <v>8.2118741058655225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1655.9310000000003</v>
      </c>
      <c r="S29" s="62">
        <f t="shared" si="2"/>
        <v>77.548185000000004</v>
      </c>
      <c r="T29" s="63">
        <f t="shared" si="3"/>
        <v>135.98296900000003</v>
      </c>
      <c r="U29" s="64" t="s">
        <v>194</v>
      </c>
      <c r="V29" s="65" t="s">
        <v>491</v>
      </c>
      <c r="W29" s="66" t="s">
        <v>190</v>
      </c>
      <c r="X29" s="67">
        <v>7445</v>
      </c>
      <c r="Y29" s="68">
        <v>4.8499999999999996</v>
      </c>
      <c r="Z29" s="68">
        <v>8.44</v>
      </c>
      <c r="AA29" s="62">
        <f t="shared" si="4"/>
        <v>361.08249999999998</v>
      </c>
      <c r="AB29" s="63">
        <f t="shared" si="5"/>
        <v>628.35799999999995</v>
      </c>
      <c r="AC29" s="69">
        <v>7445</v>
      </c>
      <c r="AD29" s="70">
        <v>4.6500000000000004</v>
      </c>
      <c r="AE29" s="70">
        <v>8.4</v>
      </c>
      <c r="AF29" s="62">
        <f t="shared" si="6"/>
        <v>346.19250000000005</v>
      </c>
      <c r="AG29" s="63">
        <f t="shared" si="13"/>
        <v>625.38</v>
      </c>
      <c r="AH29" s="71">
        <v>0</v>
      </c>
      <c r="AI29" s="66">
        <v>0</v>
      </c>
      <c r="AJ29" s="66">
        <v>0</v>
      </c>
      <c r="AK29" s="62">
        <f t="shared" si="7"/>
        <v>0</v>
      </c>
      <c r="AL29" s="72">
        <f t="shared" si="8"/>
        <v>0</v>
      </c>
      <c r="AM29" s="73">
        <f t="shared" si="14"/>
        <v>-159.96899999999914</v>
      </c>
      <c r="AN29" s="74">
        <f t="shared" si="18"/>
        <v>0.98957499999994525</v>
      </c>
      <c r="AO29" s="74">
        <f t="shared" si="18"/>
        <v>-18.241360999999984</v>
      </c>
      <c r="AP29" s="75">
        <f t="shared" si="15"/>
        <v>-8.0792828947105474E-2</v>
      </c>
      <c r="AQ29" s="76">
        <f t="shared" si="10"/>
        <v>-4987.6022309531354</v>
      </c>
      <c r="AR29" s="90">
        <f t="shared" si="16"/>
        <v>-159.96899999999914</v>
      </c>
    </row>
    <row r="30" spans="1:48" x14ac:dyDescent="0.25">
      <c r="A30" t="str">
        <f t="shared" si="11"/>
        <v>46217M</v>
      </c>
      <c r="B30" s="51">
        <f t="shared" si="17"/>
        <v>46217</v>
      </c>
      <c r="C30" s="52" t="s">
        <v>87</v>
      </c>
      <c r="D30" s="79">
        <v>0</v>
      </c>
      <c r="E30" s="62">
        <v>0</v>
      </c>
      <c r="F30" s="62">
        <v>0</v>
      </c>
      <c r="G30" s="169">
        <f t="shared" si="0"/>
        <v>0</v>
      </c>
      <c r="H30" s="170">
        <f t="shared" si="1"/>
        <v>0</v>
      </c>
      <c r="I30" s="118">
        <v>1346</v>
      </c>
      <c r="J30" s="119">
        <v>1386.38</v>
      </c>
      <c r="K30" s="120">
        <v>4.6516493313521554</v>
      </c>
      <c r="L30" s="121">
        <v>8.5924071322436841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1386.38</v>
      </c>
      <c r="S30" s="62">
        <f t="shared" si="2"/>
        <v>64.489536000000015</v>
      </c>
      <c r="T30" s="63">
        <f t="shared" si="3"/>
        <v>119.123414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13"/>
        <v>0</v>
      </c>
      <c r="AH30" s="71">
        <v>1386.3</v>
      </c>
      <c r="AI30" s="66">
        <v>4.6500000000000004</v>
      </c>
      <c r="AJ30" s="66">
        <v>8.59</v>
      </c>
      <c r="AK30" s="62">
        <f t="shared" si="7"/>
        <v>64.462950000000006</v>
      </c>
      <c r="AL30" s="72">
        <f t="shared" si="8"/>
        <v>119.08317</v>
      </c>
      <c r="AM30" s="73">
        <f t="shared" si="14"/>
        <v>8.0000000000154614E-2</v>
      </c>
      <c r="AN30" s="74">
        <f t="shared" si="18"/>
        <v>2.658600000000888E-2</v>
      </c>
      <c r="AO30" s="74">
        <f t="shared" si="18"/>
        <v>4.0244000000001279E-2</v>
      </c>
      <c r="AP30" s="75">
        <f t="shared" si="15"/>
        <v>3.6397214902331317E-4</v>
      </c>
      <c r="AQ30" s="76">
        <f t="shared" si="10"/>
        <v>24.828158006622473</v>
      </c>
      <c r="AR30" s="90">
        <f t="shared" si="16"/>
        <v>8.0000000000154614E-2</v>
      </c>
    </row>
    <row r="31" spans="1:48" x14ac:dyDescent="0.25">
      <c r="A31" t="str">
        <f t="shared" si="11"/>
        <v>46217E</v>
      </c>
      <c r="B31" s="51">
        <f t="shared" si="17"/>
        <v>46217</v>
      </c>
      <c r="C31" s="52" t="s">
        <v>88</v>
      </c>
      <c r="D31" s="79">
        <v>1386.3</v>
      </c>
      <c r="E31" s="62">
        <v>4.6500000000000004</v>
      </c>
      <c r="F31" s="62">
        <v>8.59</v>
      </c>
      <c r="G31" s="169">
        <f t="shared" si="0"/>
        <v>64.462950000000006</v>
      </c>
      <c r="H31" s="170">
        <f t="shared" si="1"/>
        <v>119.08317</v>
      </c>
      <c r="I31" s="118">
        <v>1973.8</v>
      </c>
      <c r="J31" s="119">
        <v>2033.0139999999999</v>
      </c>
      <c r="K31" s="120">
        <v>4.3575640895734127</v>
      </c>
      <c r="L31" s="121">
        <v>8.4665416962204887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2033.0139999999999</v>
      </c>
      <c r="S31" s="62">
        <f t="shared" si="2"/>
        <v>88.589888000000016</v>
      </c>
      <c r="T31" s="63">
        <f t="shared" si="3"/>
        <v>172.125978</v>
      </c>
      <c r="U31" s="64" t="s">
        <v>194</v>
      </c>
      <c r="V31" s="65" t="s">
        <v>492</v>
      </c>
      <c r="W31" s="66" t="s">
        <v>190</v>
      </c>
      <c r="X31" s="67">
        <v>3540</v>
      </c>
      <c r="Y31" s="68">
        <v>4.5999999999999996</v>
      </c>
      <c r="Z31" s="68">
        <v>8.51</v>
      </c>
      <c r="AA31" s="62">
        <f t="shared" si="4"/>
        <v>162.84</v>
      </c>
      <c r="AB31" s="63">
        <f t="shared" si="5"/>
        <v>301.25399999999996</v>
      </c>
      <c r="AC31" s="69">
        <v>3540</v>
      </c>
      <c r="AD31" s="70">
        <v>4.5</v>
      </c>
      <c r="AE31" s="70">
        <v>8.3699999999999992</v>
      </c>
      <c r="AF31" s="62">
        <f t="shared" si="6"/>
        <v>159.29999999999998</v>
      </c>
      <c r="AG31" s="63">
        <f t="shared" si="13"/>
        <v>296.298</v>
      </c>
      <c r="AH31" s="71">
        <v>0</v>
      </c>
      <c r="AI31" s="66">
        <v>0</v>
      </c>
      <c r="AJ31" s="66">
        <v>0</v>
      </c>
      <c r="AK31" s="62">
        <f t="shared" si="7"/>
        <v>0</v>
      </c>
      <c r="AL31" s="72">
        <f t="shared" si="8"/>
        <v>0</v>
      </c>
      <c r="AM31" s="73">
        <f t="shared" si="14"/>
        <v>-120.68600000000015</v>
      </c>
      <c r="AN31" s="74">
        <f t="shared" si="18"/>
        <v>-6.2471619999999746</v>
      </c>
      <c r="AO31" s="74">
        <f t="shared" si="18"/>
        <v>-5.0888519999999744</v>
      </c>
      <c r="AP31" s="75">
        <f t="shared" si="15"/>
        <v>-4.348033809342447E-2</v>
      </c>
      <c r="AQ31" s="76">
        <f t="shared" si="10"/>
        <v>-4526.0305342323845</v>
      </c>
      <c r="AR31" s="90">
        <f t="shared" si="16"/>
        <v>-120.68600000000015</v>
      </c>
    </row>
    <row r="32" spans="1:48" x14ac:dyDescent="0.25">
      <c r="A32" t="str">
        <f t="shared" si="11"/>
        <v>46218M</v>
      </c>
      <c r="B32" s="51">
        <f t="shared" si="17"/>
        <v>46218</v>
      </c>
      <c r="C32" s="52" t="s">
        <v>87</v>
      </c>
      <c r="D32" s="79">
        <v>0</v>
      </c>
      <c r="E32" s="62">
        <v>0</v>
      </c>
      <c r="F32" s="62">
        <v>0</v>
      </c>
      <c r="G32" s="169">
        <f t="shared" si="0"/>
        <v>0</v>
      </c>
      <c r="H32" s="170">
        <f t="shared" si="1"/>
        <v>0</v>
      </c>
      <c r="I32" s="118">
        <v>1422.6</v>
      </c>
      <c r="J32" s="119">
        <v>1465.278</v>
      </c>
      <c r="K32" s="120">
        <v>4.6144524110783074</v>
      </c>
      <c r="L32" s="121">
        <v>8.3603753690425968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1465.278</v>
      </c>
      <c r="S32" s="62">
        <f t="shared" si="2"/>
        <v>67.614556000000007</v>
      </c>
      <c r="T32" s="63">
        <f t="shared" si="3"/>
        <v>122.50274099999999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13"/>
        <v>0</v>
      </c>
      <c r="AH32" s="71">
        <v>1355.8</v>
      </c>
      <c r="AI32" s="66">
        <v>4.68</v>
      </c>
      <c r="AJ32" s="66">
        <v>8.4</v>
      </c>
      <c r="AK32" s="62">
        <f t="shared" si="7"/>
        <v>63.451439999999991</v>
      </c>
      <c r="AL32" s="72">
        <f t="shared" si="8"/>
        <v>113.88720000000001</v>
      </c>
      <c r="AM32" s="73">
        <f t="shared" si="14"/>
        <v>109.47800000000007</v>
      </c>
      <c r="AN32" s="74">
        <f t="shared" si="18"/>
        <v>4.1631160000000165</v>
      </c>
      <c r="AO32" s="74">
        <f t="shared" si="18"/>
        <v>8.615540999999979</v>
      </c>
      <c r="AP32" s="75">
        <f t="shared" si="15"/>
        <v>6.721459436697122E-2</v>
      </c>
      <c r="AQ32" s="76">
        <f t="shared" si="10"/>
        <v>4580.7905620964611</v>
      </c>
      <c r="AR32" s="90">
        <f t="shared" si="16"/>
        <v>109.47800000000007</v>
      </c>
    </row>
    <row r="33" spans="1:44" x14ac:dyDescent="0.25">
      <c r="A33" t="str">
        <f t="shared" si="11"/>
        <v>46218E</v>
      </c>
      <c r="B33" s="51">
        <f t="shared" si="17"/>
        <v>46218</v>
      </c>
      <c r="C33" s="52" t="s">
        <v>88</v>
      </c>
      <c r="D33" s="79">
        <v>1355.8</v>
      </c>
      <c r="E33" s="62">
        <v>4.68</v>
      </c>
      <c r="F33" s="62">
        <v>8.4</v>
      </c>
      <c r="G33" s="169">
        <f t="shared" si="0"/>
        <v>63.451439999999991</v>
      </c>
      <c r="H33" s="170">
        <f t="shared" si="1"/>
        <v>113.88720000000001</v>
      </c>
      <c r="I33" s="118">
        <v>2221.4</v>
      </c>
      <c r="J33" s="119">
        <v>2288.0420000000004</v>
      </c>
      <c r="K33" s="120">
        <v>4.7208697217970652</v>
      </c>
      <c r="L33" s="121">
        <v>8.5396551724137932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2288.0420000000004</v>
      </c>
      <c r="S33" s="62">
        <f t="shared" si="2"/>
        <v>108.01548200000002</v>
      </c>
      <c r="T33" s="63">
        <f t="shared" si="3"/>
        <v>195.39089700000002</v>
      </c>
      <c r="U33" s="64" t="s">
        <v>194</v>
      </c>
      <c r="V33" s="65" t="s">
        <v>549</v>
      </c>
      <c r="W33" s="66" t="s">
        <v>190</v>
      </c>
      <c r="X33" s="67">
        <v>3765</v>
      </c>
      <c r="Y33" s="68">
        <v>4.8</v>
      </c>
      <c r="Z33" s="68">
        <v>8.5</v>
      </c>
      <c r="AA33" s="62">
        <f t="shared" si="4"/>
        <v>180.72</v>
      </c>
      <c r="AB33" s="63">
        <f t="shared" si="5"/>
        <v>320.02500000000003</v>
      </c>
      <c r="AC33" s="69">
        <v>3765</v>
      </c>
      <c r="AD33" s="70">
        <v>4.7</v>
      </c>
      <c r="AE33" s="70">
        <v>8.41</v>
      </c>
      <c r="AF33" s="62">
        <f t="shared" si="6"/>
        <v>176.95500000000001</v>
      </c>
      <c r="AG33" s="63">
        <f t="shared" si="13"/>
        <v>316.63650000000001</v>
      </c>
      <c r="AH33" s="71">
        <v>0</v>
      </c>
      <c r="AI33" s="66">
        <v>0</v>
      </c>
      <c r="AJ33" s="66">
        <v>0</v>
      </c>
      <c r="AK33" s="62">
        <f t="shared" si="7"/>
        <v>0</v>
      </c>
      <c r="AL33" s="72">
        <f t="shared" si="8"/>
        <v>0</v>
      </c>
      <c r="AM33" s="73">
        <f t="shared" si="14"/>
        <v>-121.15799999999945</v>
      </c>
      <c r="AN33" s="74">
        <f t="shared" si="18"/>
        <v>-5.4880780000000016</v>
      </c>
      <c r="AO33" s="74">
        <f t="shared" si="18"/>
        <v>-7.3584030000000098</v>
      </c>
      <c r="AP33" s="75">
        <f t="shared" si="15"/>
        <v>-4.2340840170667637E-2</v>
      </c>
      <c r="AQ33" s="76">
        <f t="shared" si="10"/>
        <v>-4840.9762865586054</v>
      </c>
      <c r="AR33" s="90">
        <f t="shared" si="16"/>
        <v>-121.15799999999945</v>
      </c>
    </row>
    <row r="34" spans="1:44" x14ac:dyDescent="0.25">
      <c r="A34" t="str">
        <f t="shared" si="11"/>
        <v>46219M</v>
      </c>
      <c r="B34" s="51">
        <f t="shared" si="17"/>
        <v>46219</v>
      </c>
      <c r="C34" s="52" t="s">
        <v>87</v>
      </c>
      <c r="D34" s="79">
        <v>0</v>
      </c>
      <c r="E34" s="62">
        <v>0</v>
      </c>
      <c r="F34" s="62">
        <v>0</v>
      </c>
      <c r="G34" s="169">
        <f t="shared" si="0"/>
        <v>0</v>
      </c>
      <c r="H34" s="170">
        <f t="shared" si="1"/>
        <v>0</v>
      </c>
      <c r="I34" s="118">
        <v>1178</v>
      </c>
      <c r="J34" s="119">
        <v>1213.3399999999999</v>
      </c>
      <c r="K34" s="120">
        <v>4.8582427843803053</v>
      </c>
      <c r="L34" s="121">
        <v>8.4682258064516116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1213.3399999999999</v>
      </c>
      <c r="S34" s="62">
        <f t="shared" si="2"/>
        <v>58.947002999999995</v>
      </c>
      <c r="T34" s="63">
        <f t="shared" si="3"/>
        <v>102.74837099999998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13"/>
        <v>0</v>
      </c>
      <c r="AH34" s="71">
        <v>1213.3</v>
      </c>
      <c r="AI34" s="66">
        <v>4.8600000000000003</v>
      </c>
      <c r="AJ34" s="66">
        <v>8.4700000000000006</v>
      </c>
      <c r="AK34" s="62">
        <f t="shared" si="7"/>
        <v>58.966380000000001</v>
      </c>
      <c r="AL34" s="72">
        <f t="shared" si="8"/>
        <v>102.76651000000001</v>
      </c>
      <c r="AM34" s="73">
        <f t="shared" si="14"/>
        <v>3.999999999996362E-2</v>
      </c>
      <c r="AN34" s="74">
        <f t="shared" si="18"/>
        <v>-1.9377000000005751E-2</v>
      </c>
      <c r="AO34" s="74">
        <f t="shared" si="18"/>
        <v>-1.8139000000033434E-2</v>
      </c>
      <c r="AP34" s="75">
        <f t="shared" si="15"/>
        <v>-2.3201653252021419E-4</v>
      </c>
      <c r="AQ34" s="76">
        <f t="shared" si="10"/>
        <v>-14.743748169454712</v>
      </c>
      <c r="AR34" s="90">
        <f t="shared" si="16"/>
        <v>3.999999999996362E-2</v>
      </c>
    </row>
    <row r="35" spans="1:44" x14ac:dyDescent="0.25">
      <c r="A35" t="str">
        <f t="shared" si="11"/>
        <v>46219E</v>
      </c>
      <c r="B35" s="51">
        <f t="shared" si="17"/>
        <v>46219</v>
      </c>
      <c r="C35" s="52" t="s">
        <v>88</v>
      </c>
      <c r="D35" s="79">
        <v>1213.3</v>
      </c>
      <c r="E35" s="62">
        <v>4.8600000000000003</v>
      </c>
      <c r="F35" s="62">
        <v>8.4700000000000006</v>
      </c>
      <c r="G35" s="169">
        <f t="shared" si="0"/>
        <v>58.966380000000001</v>
      </c>
      <c r="H35" s="170">
        <f t="shared" si="1"/>
        <v>102.76651000000001</v>
      </c>
      <c r="I35" s="118">
        <v>2308</v>
      </c>
      <c r="J35" s="119">
        <v>2377.2400000000002</v>
      </c>
      <c r="K35" s="120">
        <v>4.3650606585788569</v>
      </c>
      <c r="L35" s="121">
        <v>8.2011525129982665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2377.2400000000002</v>
      </c>
      <c r="S35" s="62">
        <f t="shared" si="2"/>
        <v>103.76796800000004</v>
      </c>
      <c r="T35" s="63">
        <f t="shared" si="3"/>
        <v>194.96107800000001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13"/>
        <v>0</v>
      </c>
      <c r="AH35" s="71">
        <v>3590.5</v>
      </c>
      <c r="AI35" s="66">
        <v>4.53</v>
      </c>
      <c r="AJ35" s="66">
        <v>8.2899999999999991</v>
      </c>
      <c r="AK35" s="62">
        <f t="shared" si="7"/>
        <v>162.64965000000001</v>
      </c>
      <c r="AL35" s="72">
        <f t="shared" si="8"/>
        <v>297.65244999999993</v>
      </c>
      <c r="AM35" s="73">
        <f t="shared" si="14"/>
        <v>3.999999999996362E-2</v>
      </c>
      <c r="AN35" s="74">
        <f t="shared" si="18"/>
        <v>8.469800000003147E-2</v>
      </c>
      <c r="AO35" s="74">
        <f t="shared" si="18"/>
        <v>7.5138000000094962E-2</v>
      </c>
      <c r="AP35" s="75">
        <f t="shared" si="15"/>
        <v>5.3505342764736182E-4</v>
      </c>
      <c r="AQ35" s="76">
        <f t="shared" si="10"/>
        <v>63.203307700328182</v>
      </c>
      <c r="AR35" s="90">
        <f t="shared" si="16"/>
        <v>3.999999999996362E-2</v>
      </c>
    </row>
    <row r="36" spans="1:44" x14ac:dyDescent="0.25">
      <c r="A36" t="str">
        <f t="shared" si="11"/>
        <v>46220M</v>
      </c>
      <c r="B36" s="51">
        <f t="shared" si="17"/>
        <v>46220</v>
      </c>
      <c r="C36" s="52" t="s">
        <v>87</v>
      </c>
      <c r="D36" s="79">
        <v>3590.5</v>
      </c>
      <c r="E36" s="62">
        <v>4.53</v>
      </c>
      <c r="F36" s="62">
        <v>8.2899999999999991</v>
      </c>
      <c r="G36" s="169">
        <f t="shared" si="0"/>
        <v>162.64965000000001</v>
      </c>
      <c r="H36" s="170">
        <f t="shared" si="1"/>
        <v>297.65244999999993</v>
      </c>
      <c r="I36" s="118">
        <v>1282.6000000000001</v>
      </c>
      <c r="J36" s="119">
        <v>1321.0780000000002</v>
      </c>
      <c r="K36" s="120">
        <v>4.7999142367066892</v>
      </c>
      <c r="L36" s="121">
        <v>8.4525651021362869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1321.0780000000002</v>
      </c>
      <c r="S36" s="62">
        <f t="shared" si="2"/>
        <v>63.410611000000003</v>
      </c>
      <c r="T36" s="63">
        <f t="shared" si="3"/>
        <v>111.66497800000002</v>
      </c>
      <c r="U36" s="64" t="s">
        <v>194</v>
      </c>
      <c r="V36" s="65" t="s">
        <v>640</v>
      </c>
      <c r="W36" s="66" t="s">
        <v>190</v>
      </c>
      <c r="X36" s="67">
        <v>4400</v>
      </c>
      <c r="Y36" s="68">
        <v>4.6500000000000004</v>
      </c>
      <c r="Z36" s="68">
        <v>8.34</v>
      </c>
      <c r="AA36" s="62">
        <f t="shared" si="4"/>
        <v>204.60000000000002</v>
      </c>
      <c r="AB36" s="63">
        <f t="shared" si="5"/>
        <v>366.96000000000004</v>
      </c>
      <c r="AC36" s="69">
        <v>4400</v>
      </c>
      <c r="AD36" s="70">
        <v>4.6500000000000004</v>
      </c>
      <c r="AE36" s="70">
        <v>8.34</v>
      </c>
      <c r="AF36" s="62">
        <f t="shared" si="6"/>
        <v>204.60000000000002</v>
      </c>
      <c r="AG36" s="63">
        <f t="shared" si="13"/>
        <v>366.96000000000004</v>
      </c>
      <c r="AH36" s="71">
        <v>511.6</v>
      </c>
      <c r="AI36" s="66">
        <v>4.5999999999999996</v>
      </c>
      <c r="AJ36" s="66">
        <v>8.34</v>
      </c>
      <c r="AK36" s="62">
        <f t="shared" si="7"/>
        <v>23.5336</v>
      </c>
      <c r="AL36" s="72">
        <f t="shared" si="8"/>
        <v>42.667440000000006</v>
      </c>
      <c r="AM36" s="73">
        <f t="shared" si="14"/>
        <v>-2.1999999999593456E-2</v>
      </c>
      <c r="AN36" s="74">
        <f t="shared" si="18"/>
        <v>-2.0733389999999972</v>
      </c>
      <c r="AO36" s="74">
        <f t="shared" si="18"/>
        <v>-0.31001200000009277</v>
      </c>
      <c r="AP36" s="75">
        <f t="shared" si="15"/>
        <v>-1.3613268495130349E-2</v>
      </c>
      <c r="AQ36" s="76">
        <f t="shared" si="10"/>
        <v>-1089.1527033883742</v>
      </c>
      <c r="AR36" s="90">
        <f t="shared" si="16"/>
        <v>-2.1999999999934516E-2</v>
      </c>
    </row>
    <row r="37" spans="1:44" x14ac:dyDescent="0.25">
      <c r="A37" t="str">
        <f t="shared" si="11"/>
        <v>46220E</v>
      </c>
      <c r="B37" s="51">
        <f t="shared" si="17"/>
        <v>46220</v>
      </c>
      <c r="C37" s="52" t="s">
        <v>88</v>
      </c>
      <c r="D37" s="79">
        <v>511.6</v>
      </c>
      <c r="E37" s="62">
        <v>4.5999999999999996</v>
      </c>
      <c r="F37" s="62">
        <v>8.34</v>
      </c>
      <c r="G37" s="169">
        <f t="shared" si="0"/>
        <v>23.5336</v>
      </c>
      <c r="H37" s="170">
        <f t="shared" si="1"/>
        <v>42.667440000000006</v>
      </c>
      <c r="I37" s="118">
        <v>2887.7</v>
      </c>
      <c r="J37" s="119">
        <v>2974.3309999999997</v>
      </c>
      <c r="K37" s="120">
        <v>4.5167087993905186</v>
      </c>
      <c r="L37" s="121">
        <v>8.4419641929563323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2974.3309999999997</v>
      </c>
      <c r="S37" s="62">
        <f t="shared" si="2"/>
        <v>134.34187</v>
      </c>
      <c r="T37" s="63">
        <f t="shared" si="3"/>
        <v>251.09195799999998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13"/>
        <v>0</v>
      </c>
      <c r="AH37" s="71">
        <v>3485.9</v>
      </c>
      <c r="AI37" s="66">
        <v>4.57</v>
      </c>
      <c r="AJ37" s="66">
        <v>8.3800000000000008</v>
      </c>
      <c r="AK37" s="62">
        <f t="shared" si="7"/>
        <v>159.30563000000001</v>
      </c>
      <c r="AL37" s="72">
        <f t="shared" si="8"/>
        <v>292.11842000000007</v>
      </c>
      <c r="AM37" s="73">
        <f t="shared" si="14"/>
        <v>3.0999999999494321E-2</v>
      </c>
      <c r="AN37" s="74">
        <f t="shared" si="18"/>
        <v>-1.4301600000000008</v>
      </c>
      <c r="AO37" s="74">
        <f t="shared" si="18"/>
        <v>1.6409779999999046</v>
      </c>
      <c r="AP37" s="75">
        <f t="shared" si="15"/>
        <v>5.4696288878905517E-4</v>
      </c>
      <c r="AQ37" s="76">
        <f t="shared" si="10"/>
        <v>-195.78012442089488</v>
      </c>
      <c r="AR37" s="90">
        <f t="shared" si="16"/>
        <v>3.0999999999494321E-2</v>
      </c>
    </row>
    <row r="38" spans="1:44" x14ac:dyDescent="0.25">
      <c r="A38" t="str">
        <f t="shared" si="11"/>
        <v>46221M</v>
      </c>
      <c r="B38" s="51">
        <f t="shared" si="17"/>
        <v>46221</v>
      </c>
      <c r="C38" s="52" t="s">
        <v>87</v>
      </c>
      <c r="D38" s="79">
        <v>3485.9</v>
      </c>
      <c r="E38" s="62">
        <v>4.57</v>
      </c>
      <c r="F38" s="62">
        <v>8.3800000000000008</v>
      </c>
      <c r="G38" s="169">
        <f t="shared" si="0"/>
        <v>159.30563000000001</v>
      </c>
      <c r="H38" s="170">
        <f t="shared" si="1"/>
        <v>292.11842000000007</v>
      </c>
      <c r="I38" s="118">
        <v>1375.8999999999999</v>
      </c>
      <c r="J38" s="119">
        <v>1417.1769999999999</v>
      </c>
      <c r="K38" s="120">
        <v>5.1178864743077259</v>
      </c>
      <c r="L38" s="121">
        <v>8.4673595464786668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1417.1769999999999</v>
      </c>
      <c r="S38" s="62">
        <f t="shared" si="2"/>
        <v>72.529509999999988</v>
      </c>
      <c r="T38" s="63">
        <f t="shared" si="3"/>
        <v>119.99747199999997</v>
      </c>
      <c r="U38" s="64" t="s">
        <v>194</v>
      </c>
      <c r="V38" s="65" t="s">
        <v>641</v>
      </c>
      <c r="W38" s="66" t="s">
        <v>190</v>
      </c>
      <c r="X38" s="67">
        <v>5020</v>
      </c>
      <c r="Y38" s="68">
        <v>4.75</v>
      </c>
      <c r="Z38" s="68">
        <v>8.42</v>
      </c>
      <c r="AA38" s="62">
        <f t="shared" si="4"/>
        <v>238.45</v>
      </c>
      <c r="AB38" s="63">
        <f t="shared" si="5"/>
        <v>422.68399999999997</v>
      </c>
      <c r="AC38" s="69">
        <v>5020</v>
      </c>
      <c r="AD38" s="70">
        <v>4.6500000000000004</v>
      </c>
      <c r="AE38" s="70">
        <v>8.24</v>
      </c>
      <c r="AF38" s="62">
        <f t="shared" si="6"/>
        <v>233.43000000000004</v>
      </c>
      <c r="AG38" s="63">
        <f t="shared" si="13"/>
        <v>413.64800000000002</v>
      </c>
      <c r="AH38" s="71">
        <v>0</v>
      </c>
      <c r="AI38" s="66">
        <v>0</v>
      </c>
      <c r="AJ38" s="66">
        <v>0</v>
      </c>
      <c r="AK38" s="62">
        <f t="shared" si="7"/>
        <v>0</v>
      </c>
      <c r="AL38" s="72">
        <f t="shared" si="8"/>
        <v>0</v>
      </c>
      <c r="AM38" s="73">
        <f t="shared" si="14"/>
        <v>-116.92299999999977</v>
      </c>
      <c r="AN38" s="74">
        <f t="shared" si="18"/>
        <v>-1.5948600000000397</v>
      </c>
      <c r="AO38" s="74">
        <f t="shared" si="18"/>
        <v>-1.5321079999999938</v>
      </c>
      <c r="AP38" s="75">
        <f t="shared" si="15"/>
        <v>-1.6241713070638764E-2</v>
      </c>
      <c r="AQ38" s="76">
        <f t="shared" si="10"/>
        <v>-1225.2348433840341</v>
      </c>
      <c r="AR38" s="90">
        <f t="shared" si="16"/>
        <v>-116.92299999999977</v>
      </c>
    </row>
    <row r="39" spans="1:44" x14ac:dyDescent="0.25">
      <c r="A39" t="str">
        <f t="shared" si="11"/>
        <v>46221E</v>
      </c>
      <c r="B39" s="51">
        <f t="shared" si="17"/>
        <v>46221</v>
      </c>
      <c r="C39" s="52" t="s">
        <v>88</v>
      </c>
      <c r="D39" s="79">
        <v>0</v>
      </c>
      <c r="E39" s="62">
        <v>0</v>
      </c>
      <c r="F39" s="62">
        <v>0</v>
      </c>
      <c r="G39" s="169">
        <f t="shared" si="0"/>
        <v>0</v>
      </c>
      <c r="H39" s="170">
        <f t="shared" si="1"/>
        <v>0</v>
      </c>
      <c r="I39" s="118">
        <v>2054.9</v>
      </c>
      <c r="J39" s="119">
        <v>2116.547</v>
      </c>
      <c r="K39" s="120">
        <v>4.4521923207941985</v>
      </c>
      <c r="L39" s="121">
        <v>8.347345369604362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2116.547</v>
      </c>
      <c r="S39" s="62">
        <f t="shared" si="2"/>
        <v>94.232742999999985</v>
      </c>
      <c r="T39" s="63">
        <f t="shared" si="3"/>
        <v>176.67548800000003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13"/>
        <v>0</v>
      </c>
      <c r="AH39" s="71">
        <v>2116.5</v>
      </c>
      <c r="AI39" s="66">
        <v>4.45</v>
      </c>
      <c r="AJ39" s="66">
        <v>8.35</v>
      </c>
      <c r="AK39" s="62">
        <f t="shared" si="7"/>
        <v>94.184250000000006</v>
      </c>
      <c r="AL39" s="72">
        <f t="shared" si="8"/>
        <v>176.72774999999999</v>
      </c>
      <c r="AM39" s="73">
        <f t="shared" si="14"/>
        <v>4.7000000000025466E-2</v>
      </c>
      <c r="AN39" s="74">
        <f t="shared" si="18"/>
        <v>4.8492999999979247E-2</v>
      </c>
      <c r="AO39" s="74">
        <f t="shared" si="18"/>
        <v>-5.2261999999956288E-2</v>
      </c>
      <c r="AP39" s="75">
        <f t="shared" si="15"/>
        <v>-1.3912460267687624E-5</v>
      </c>
      <c r="AQ39" s="76">
        <f t="shared" si="10"/>
        <v>7.6504610368540256</v>
      </c>
      <c r="AR39" s="90">
        <f t="shared" si="16"/>
        <v>4.7000000000025466E-2</v>
      </c>
    </row>
    <row r="40" spans="1:44" x14ac:dyDescent="0.25">
      <c r="A40" t="str">
        <f t="shared" si="11"/>
        <v>46222M</v>
      </c>
      <c r="B40" s="51">
        <f t="shared" si="17"/>
        <v>46222</v>
      </c>
      <c r="C40" s="52" t="s">
        <v>87</v>
      </c>
      <c r="D40" s="79">
        <v>2116.5</v>
      </c>
      <c r="E40" s="62">
        <v>4.45</v>
      </c>
      <c r="F40" s="62">
        <v>8.35</v>
      </c>
      <c r="G40" s="169">
        <f t="shared" si="0"/>
        <v>94.184250000000006</v>
      </c>
      <c r="H40" s="170">
        <f t="shared" si="1"/>
        <v>176.72774999999999</v>
      </c>
      <c r="I40" s="118">
        <v>1812.9999999999998</v>
      </c>
      <c r="J40" s="119">
        <v>1867.3899999999999</v>
      </c>
      <c r="K40" s="120">
        <v>5.1494815223386645</v>
      </c>
      <c r="L40" s="121">
        <v>8.5085107556536137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1867.3899999999999</v>
      </c>
      <c r="S40" s="62">
        <f t="shared" si="2"/>
        <v>96.160902999999976</v>
      </c>
      <c r="T40" s="63">
        <f t="shared" si="3"/>
        <v>158.88707900000003</v>
      </c>
      <c r="U40" s="64" t="s">
        <v>194</v>
      </c>
      <c r="V40" s="65" t="s">
        <v>642</v>
      </c>
      <c r="W40" s="66" t="s">
        <v>190</v>
      </c>
      <c r="X40" s="67">
        <v>4105</v>
      </c>
      <c r="Y40" s="68">
        <v>4.75</v>
      </c>
      <c r="Z40" s="68">
        <v>8.42</v>
      </c>
      <c r="AA40" s="62">
        <f t="shared" si="4"/>
        <v>194.98750000000001</v>
      </c>
      <c r="AB40" s="63">
        <f t="shared" si="5"/>
        <v>345.64099999999996</v>
      </c>
      <c r="AC40" s="69">
        <v>4105</v>
      </c>
      <c r="AD40" s="70">
        <v>4.7</v>
      </c>
      <c r="AE40" s="70">
        <v>8.35</v>
      </c>
      <c r="AF40" s="62">
        <f t="shared" si="6"/>
        <v>192.935</v>
      </c>
      <c r="AG40" s="63">
        <f t="shared" si="13"/>
        <v>342.76749999999998</v>
      </c>
      <c r="AH40" s="71">
        <v>0</v>
      </c>
      <c r="AI40" s="66">
        <v>0</v>
      </c>
      <c r="AJ40" s="66">
        <v>0</v>
      </c>
      <c r="AK40" s="62">
        <f t="shared" si="7"/>
        <v>0</v>
      </c>
      <c r="AL40" s="72">
        <f t="shared" si="8"/>
        <v>0</v>
      </c>
      <c r="AM40" s="73">
        <f t="shared" si="14"/>
        <v>-121.11000000000013</v>
      </c>
      <c r="AN40" s="74">
        <f t="shared" si="18"/>
        <v>-2.5898470000000202</v>
      </c>
      <c r="AO40" s="74">
        <f t="shared" si="18"/>
        <v>-7.152670999999998</v>
      </c>
      <c r="AP40" s="75">
        <f t="shared" si="15"/>
        <v>-3.8198765281742236E-2</v>
      </c>
      <c r="AQ40" s="76">
        <f t="shared" si="10"/>
        <v>-3386.6670615302683</v>
      </c>
      <c r="AR40" s="90">
        <f t="shared" si="16"/>
        <v>-121.11000000000013</v>
      </c>
    </row>
    <row r="41" spans="1:44" x14ac:dyDescent="0.25">
      <c r="A41" t="str">
        <f t="shared" si="11"/>
        <v>46222E</v>
      </c>
      <c r="B41" s="51">
        <f t="shared" si="17"/>
        <v>46222</v>
      </c>
      <c r="C41" s="52" t="s">
        <v>88</v>
      </c>
      <c r="D41" s="79">
        <v>0</v>
      </c>
      <c r="E41" s="62">
        <v>0</v>
      </c>
      <c r="F41" s="62">
        <v>0</v>
      </c>
      <c r="G41" s="169">
        <f t="shared" si="0"/>
        <v>0</v>
      </c>
      <c r="H41" s="170">
        <f t="shared" si="1"/>
        <v>0</v>
      </c>
      <c r="I41" s="118">
        <v>2211.2999999999997</v>
      </c>
      <c r="J41" s="119">
        <v>2277.6389999999997</v>
      </c>
      <c r="K41" s="120">
        <v>4.4789445122778462</v>
      </c>
      <c r="L41" s="121">
        <v>8.4526929860263209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2277.6389999999997</v>
      </c>
      <c r="S41" s="62">
        <f t="shared" si="2"/>
        <v>102.01418700000001</v>
      </c>
      <c r="T41" s="63">
        <f t="shared" si="3"/>
        <v>192.52183200000002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13"/>
        <v>0</v>
      </c>
      <c r="AH41" s="71">
        <v>2277.6</v>
      </c>
      <c r="AI41" s="66">
        <v>4.4800000000000004</v>
      </c>
      <c r="AJ41" s="66">
        <v>8.4499999999999993</v>
      </c>
      <c r="AK41" s="62">
        <f t="shared" si="7"/>
        <v>102.03648000000001</v>
      </c>
      <c r="AL41" s="72">
        <f t="shared" si="8"/>
        <v>192.45719999999997</v>
      </c>
      <c r="AM41" s="73">
        <f t="shared" si="14"/>
        <v>3.8999999999759893E-2</v>
      </c>
      <c r="AN41" s="74">
        <f t="shared" si="18"/>
        <v>-2.2293000000004781E-2</v>
      </c>
      <c r="AO41" s="74">
        <f t="shared" si="18"/>
        <v>6.4632000000045764E-2</v>
      </c>
      <c r="AP41" s="75">
        <f t="shared" si="15"/>
        <v>1.4374812338331015E-4</v>
      </c>
      <c r="AQ41" s="76">
        <f t="shared" si="10"/>
        <v>8.6441965554508187</v>
      </c>
      <c r="AR41" s="90">
        <f t="shared" si="16"/>
        <v>3.8999999999759893E-2</v>
      </c>
    </row>
    <row r="42" spans="1:44" x14ac:dyDescent="0.25">
      <c r="A42" t="str">
        <f t="shared" si="11"/>
        <v>46223M</v>
      </c>
      <c r="B42" s="51">
        <f t="shared" si="17"/>
        <v>46223</v>
      </c>
      <c r="C42" s="52" t="s">
        <v>87</v>
      </c>
      <c r="D42" s="79">
        <v>2277.6</v>
      </c>
      <c r="E42" s="62">
        <v>4.4800000000000004</v>
      </c>
      <c r="F42" s="62">
        <v>8.4499999999999993</v>
      </c>
      <c r="G42" s="169">
        <f t="shared" si="0"/>
        <v>102.03648000000001</v>
      </c>
      <c r="H42" s="170">
        <f t="shared" si="1"/>
        <v>192.45719999999997</v>
      </c>
      <c r="I42" s="118">
        <v>1523.7</v>
      </c>
      <c r="J42" s="119">
        <v>1569.4110000000001</v>
      </c>
      <c r="K42" s="120">
        <v>5.0497341996455996</v>
      </c>
      <c r="L42" s="121">
        <v>8.505762289164533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1569.4110000000001</v>
      </c>
      <c r="S42" s="62">
        <f t="shared" si="2"/>
        <v>79.251084000000006</v>
      </c>
      <c r="T42" s="63">
        <f t="shared" si="3"/>
        <v>133.49036899999999</v>
      </c>
      <c r="U42" s="64" t="s">
        <v>194</v>
      </c>
      <c r="V42" s="65" t="s">
        <v>643</v>
      </c>
      <c r="W42" s="66" t="s">
        <v>190</v>
      </c>
      <c r="X42" s="67">
        <v>4025</v>
      </c>
      <c r="Y42" s="68">
        <v>4.8</v>
      </c>
      <c r="Z42" s="68">
        <v>8.49</v>
      </c>
      <c r="AA42" s="62">
        <f t="shared" si="4"/>
        <v>193.20000000000002</v>
      </c>
      <c r="AB42" s="63">
        <f t="shared" si="5"/>
        <v>341.72250000000003</v>
      </c>
      <c r="AC42" s="69">
        <v>4025</v>
      </c>
      <c r="AD42" s="70">
        <v>4.7</v>
      </c>
      <c r="AE42" s="70">
        <v>8.35</v>
      </c>
      <c r="AF42" s="62">
        <f t="shared" si="6"/>
        <v>189.17500000000001</v>
      </c>
      <c r="AG42" s="63">
        <f t="shared" si="13"/>
        <v>336.08749999999998</v>
      </c>
      <c r="AH42" s="71">
        <v>0</v>
      </c>
      <c r="AI42" s="66">
        <v>0</v>
      </c>
      <c r="AJ42" s="66">
        <v>0</v>
      </c>
      <c r="AK42" s="62">
        <f t="shared" si="7"/>
        <v>0</v>
      </c>
      <c r="AL42" s="72">
        <f t="shared" si="8"/>
        <v>0</v>
      </c>
      <c r="AM42" s="73">
        <f t="shared" si="14"/>
        <v>-177.98900000000003</v>
      </c>
      <c r="AN42" s="74">
        <f t="shared" si="18"/>
        <v>-7.8874359999999797</v>
      </c>
      <c r="AO42" s="74">
        <f t="shared" si="18"/>
        <v>-10.139931000000047</v>
      </c>
      <c r="AP42" s="75">
        <f t="shared" si="15"/>
        <v>-8.4738384295984043E-2</v>
      </c>
      <c r="AQ42" s="76">
        <f t="shared" si="10"/>
        <v>-6826.9887695016159</v>
      </c>
      <c r="AR42" s="90">
        <f t="shared" si="16"/>
        <v>-177.98900000000003</v>
      </c>
    </row>
    <row r="43" spans="1:44" x14ac:dyDescent="0.25">
      <c r="A43" t="str">
        <f t="shared" si="11"/>
        <v>46223E</v>
      </c>
      <c r="B43" s="51">
        <f t="shared" si="17"/>
        <v>46223</v>
      </c>
      <c r="C43" s="52" t="s">
        <v>88</v>
      </c>
      <c r="D43" s="79">
        <v>0</v>
      </c>
      <c r="E43" s="62">
        <v>0</v>
      </c>
      <c r="F43" s="62">
        <v>0</v>
      </c>
      <c r="G43" s="169">
        <f t="shared" si="0"/>
        <v>0</v>
      </c>
      <c r="H43" s="170">
        <f t="shared" si="1"/>
        <v>0</v>
      </c>
      <c r="I43" s="118">
        <v>2219.2000000000003</v>
      </c>
      <c r="J43" s="119">
        <v>2285.7760000000003</v>
      </c>
      <c r="K43" s="120">
        <v>4.3941690699351126</v>
      </c>
      <c r="L43" s="121">
        <v>8.3327189978370573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2285.7760000000003</v>
      </c>
      <c r="S43" s="62">
        <f t="shared" si="2"/>
        <v>100.44086200000002</v>
      </c>
      <c r="T43" s="63">
        <f t="shared" si="3"/>
        <v>190.46729100000002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13"/>
        <v>0</v>
      </c>
      <c r="AH43" s="71">
        <v>2285.6999999999998</v>
      </c>
      <c r="AI43" s="66">
        <v>4.3899999999999997</v>
      </c>
      <c r="AJ43" s="66">
        <v>8.33</v>
      </c>
      <c r="AK43" s="62">
        <f t="shared" si="7"/>
        <v>100.34222999999999</v>
      </c>
      <c r="AL43" s="72">
        <f t="shared" si="8"/>
        <v>190.39880999999997</v>
      </c>
      <c r="AM43" s="73">
        <f t="shared" si="14"/>
        <v>7.6000000000476575E-2</v>
      </c>
      <c r="AN43" s="74">
        <f t="shared" si="18"/>
        <v>9.8632000000037579E-2</v>
      </c>
      <c r="AO43" s="74">
        <f t="shared" si="18"/>
        <v>6.8481000000048198E-2</v>
      </c>
      <c r="AP43" s="75">
        <f t="shared" si="15"/>
        <v>5.744527895719917E-4</v>
      </c>
      <c r="AQ43" s="76">
        <f t="shared" si="10"/>
        <v>67.905335966228066</v>
      </c>
      <c r="AR43" s="90">
        <f t="shared" si="16"/>
        <v>7.6000000000476575E-2</v>
      </c>
    </row>
    <row r="44" spans="1:44" x14ac:dyDescent="0.25">
      <c r="A44" t="str">
        <f t="shared" si="11"/>
        <v>46224M</v>
      </c>
      <c r="B44" s="51">
        <f t="shared" si="17"/>
        <v>46224</v>
      </c>
      <c r="C44" s="52" t="s">
        <v>87</v>
      </c>
      <c r="D44" s="79">
        <v>2285.6999999999998</v>
      </c>
      <c r="E44" s="62">
        <v>4.3899999999999997</v>
      </c>
      <c r="F44" s="62">
        <v>8.33</v>
      </c>
      <c r="G44" s="169">
        <f t="shared" si="0"/>
        <v>100.34222999999999</v>
      </c>
      <c r="H44" s="170">
        <f t="shared" si="1"/>
        <v>190.39880999999997</v>
      </c>
      <c r="I44" s="118">
        <v>2379.3000000000002</v>
      </c>
      <c r="J44" s="119">
        <v>2450.6790000000001</v>
      </c>
      <c r="K44" s="120">
        <v>4.9613751943849032</v>
      </c>
      <c r="L44" s="121">
        <v>8.4405035094355476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2450.6790000000001</v>
      </c>
      <c r="S44" s="62">
        <f t="shared" si="2"/>
        <v>121.58738000000001</v>
      </c>
      <c r="T44" s="63">
        <f t="shared" si="3"/>
        <v>206.84964699999998</v>
      </c>
      <c r="U44" s="64" t="s">
        <v>194</v>
      </c>
      <c r="V44" s="65" t="s">
        <v>717</v>
      </c>
      <c r="W44" s="66" t="s">
        <v>190</v>
      </c>
      <c r="X44" s="67">
        <v>4810</v>
      </c>
      <c r="Y44" s="68">
        <v>4.8</v>
      </c>
      <c r="Z44" s="68">
        <v>8.49</v>
      </c>
      <c r="AA44" s="62">
        <f t="shared" si="4"/>
        <v>230.88</v>
      </c>
      <c r="AB44" s="63">
        <f t="shared" si="5"/>
        <v>408.36900000000003</v>
      </c>
      <c r="AC44" s="69">
        <v>4810</v>
      </c>
      <c r="AD44" s="70">
        <v>4.7</v>
      </c>
      <c r="AE44" s="70">
        <v>8.35</v>
      </c>
      <c r="AF44" s="62">
        <f t="shared" si="6"/>
        <v>226.07</v>
      </c>
      <c r="AG44" s="63">
        <f t="shared" si="13"/>
        <v>401.63499999999993</v>
      </c>
      <c r="AH44" s="71">
        <v>0</v>
      </c>
      <c r="AI44" s="66">
        <v>0</v>
      </c>
      <c r="AJ44" s="66">
        <v>0</v>
      </c>
      <c r="AK44" s="62">
        <f t="shared" si="7"/>
        <v>0</v>
      </c>
      <c r="AL44" s="72">
        <f t="shared" si="8"/>
        <v>0</v>
      </c>
      <c r="AM44" s="73">
        <f t="shared" si="14"/>
        <v>-73.621000000000095</v>
      </c>
      <c r="AN44" s="74">
        <f t="shared" si="18"/>
        <v>-4.1403899999999965</v>
      </c>
      <c r="AO44" s="74">
        <f t="shared" si="18"/>
        <v>-4.3865430000000174</v>
      </c>
      <c r="AP44" s="75">
        <f t="shared" si="15"/>
        <v>-2.5962154991739143E-2</v>
      </c>
      <c r="AQ44" s="76">
        <f t="shared" si="10"/>
        <v>-3303.3227271477863</v>
      </c>
      <c r="AR44" s="90">
        <f>(D44+J44+O44)-(X44+AH44)</f>
        <v>-73.621000000000095</v>
      </c>
    </row>
    <row r="45" spans="1:44" x14ac:dyDescent="0.25">
      <c r="A45" t="str">
        <f t="shared" si="11"/>
        <v>46224E</v>
      </c>
      <c r="B45" s="51">
        <f t="shared" si="17"/>
        <v>46224</v>
      </c>
      <c r="C45" s="52" t="s">
        <v>88</v>
      </c>
      <c r="D45" s="79">
        <v>0</v>
      </c>
      <c r="E45" s="62">
        <v>0</v>
      </c>
      <c r="F45" s="62">
        <v>0</v>
      </c>
      <c r="G45" s="169">
        <f t="shared" si="0"/>
        <v>0</v>
      </c>
      <c r="H45" s="170">
        <f t="shared" si="1"/>
        <v>0</v>
      </c>
      <c r="I45" s="118">
        <v>2302.6</v>
      </c>
      <c r="J45" s="119">
        <v>2371.6779999999999</v>
      </c>
      <c r="K45" s="120">
        <v>4.6146269434552254</v>
      </c>
      <c r="L45" s="121">
        <v>8.4386649874055433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2371.6779999999999</v>
      </c>
      <c r="S45" s="62">
        <f t="shared" si="2"/>
        <v>109.44409200000001</v>
      </c>
      <c r="T45" s="63">
        <f t="shared" si="3"/>
        <v>200.13796100000002</v>
      </c>
      <c r="U45" s="64" t="s">
        <v>167</v>
      </c>
      <c r="V45" s="65" t="s">
        <v>180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13"/>
        <v>0</v>
      </c>
      <c r="AH45" s="71">
        <v>2371.6</v>
      </c>
      <c r="AI45" s="66">
        <v>4.6100000000000003</v>
      </c>
      <c r="AJ45" s="66">
        <v>8.44</v>
      </c>
      <c r="AK45" s="62">
        <f t="shared" si="7"/>
        <v>109.33076</v>
      </c>
      <c r="AL45" s="72">
        <f t="shared" si="8"/>
        <v>200.16303999999997</v>
      </c>
      <c r="AM45" s="73">
        <f t="shared" si="14"/>
        <v>7.7999999999974534E-2</v>
      </c>
      <c r="AN45" s="74">
        <f t="shared" si="18"/>
        <v>0.11333200000001398</v>
      </c>
      <c r="AO45" s="74">
        <f t="shared" si="18"/>
        <v>-2.5078999999948337E-2</v>
      </c>
      <c r="AP45" s="75">
        <f t="shared" si="15"/>
        <v>2.8507143468056798E-4</v>
      </c>
      <c r="AQ45" s="76">
        <f t="shared" si="10"/>
        <v>46.948777317607849</v>
      </c>
      <c r="AR45" s="90">
        <f>(D45+J45+O45)-(X45+AH45)</f>
        <v>7.7999999999974534E-2</v>
      </c>
    </row>
    <row r="46" spans="1:44" x14ac:dyDescent="0.25">
      <c r="A46" t="str">
        <f t="shared" si="11"/>
        <v>46225M</v>
      </c>
      <c r="B46" s="51">
        <f t="shared" si="17"/>
        <v>46225</v>
      </c>
      <c r="C46" s="52" t="s">
        <v>87</v>
      </c>
      <c r="D46" s="79">
        <v>2371.6</v>
      </c>
      <c r="E46" s="62">
        <v>4.6100000000000003</v>
      </c>
      <c r="F46" s="62">
        <v>8.44</v>
      </c>
      <c r="G46" s="169">
        <f t="shared" si="0"/>
        <v>109.33076</v>
      </c>
      <c r="H46" s="170">
        <f t="shared" si="1"/>
        <v>200.16303999999997</v>
      </c>
      <c r="I46" s="118">
        <v>1098.3999999999999</v>
      </c>
      <c r="J46" s="119">
        <v>1131.3519999999999</v>
      </c>
      <c r="K46" s="120">
        <v>4.7179442825928621</v>
      </c>
      <c r="L46" s="121">
        <v>8.2974599417334325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1131.3519999999999</v>
      </c>
      <c r="S46" s="62">
        <f t="shared" si="2"/>
        <v>53.376556999999991</v>
      </c>
      <c r="T46" s="63">
        <f t="shared" si="3"/>
        <v>93.873479000000017</v>
      </c>
      <c r="U46" s="64" t="s">
        <v>192</v>
      </c>
      <c r="V46" s="65" t="s">
        <v>766</v>
      </c>
      <c r="W46" s="66" t="s">
        <v>767</v>
      </c>
      <c r="X46" s="67">
        <v>3520</v>
      </c>
      <c r="Y46" s="68">
        <v>4.7</v>
      </c>
      <c r="Z46" s="68">
        <v>8.4700000000000006</v>
      </c>
      <c r="AA46" s="62">
        <f t="shared" si="4"/>
        <v>165.44</v>
      </c>
      <c r="AB46" s="63">
        <f t="shared" si="5"/>
        <v>298.14400000000006</v>
      </c>
      <c r="AC46" s="69">
        <v>3450</v>
      </c>
      <c r="AD46" s="70">
        <v>4.6500000000000004</v>
      </c>
      <c r="AE46" s="70">
        <v>8.4</v>
      </c>
      <c r="AF46" s="62">
        <f t="shared" si="6"/>
        <v>160.42500000000001</v>
      </c>
      <c r="AG46" s="63">
        <f t="shared" si="13"/>
        <v>289.8</v>
      </c>
      <c r="AH46" s="71">
        <v>0</v>
      </c>
      <c r="AI46" s="66">
        <v>0</v>
      </c>
      <c r="AJ46" s="66">
        <v>0</v>
      </c>
      <c r="AK46" s="62">
        <f t="shared" si="7"/>
        <v>0</v>
      </c>
      <c r="AL46" s="72">
        <f t="shared" si="8"/>
        <v>0</v>
      </c>
      <c r="AM46" s="73">
        <f t="shared" si="14"/>
        <v>52.951999999999771</v>
      </c>
      <c r="AN46" s="74">
        <f t="shared" si="18"/>
        <v>2.2823169999999777</v>
      </c>
      <c r="AO46" s="74">
        <f t="shared" si="18"/>
        <v>4.236518999999987</v>
      </c>
      <c r="AP46" s="75">
        <f t="shared" si="15"/>
        <v>4.4270522283607207E-2</v>
      </c>
      <c r="AQ46" s="76">
        <f t="shared" si="10"/>
        <v>2365.5273246033466</v>
      </c>
      <c r="AR46" s="90">
        <f>(D46+J46+O46)-(X46+AH46)</f>
        <v>-17.048000000000229</v>
      </c>
    </row>
    <row r="47" spans="1:44" x14ac:dyDescent="0.25">
      <c r="A47" t="str">
        <f t="shared" si="11"/>
        <v>46225E</v>
      </c>
      <c r="B47" s="51">
        <f t="shared" si="17"/>
        <v>46225</v>
      </c>
      <c r="C47" s="52" t="s">
        <v>88</v>
      </c>
      <c r="D47" s="79">
        <v>0</v>
      </c>
      <c r="E47" s="62">
        <v>0</v>
      </c>
      <c r="F47" s="62">
        <v>0</v>
      </c>
      <c r="G47" s="169">
        <f t="shared" si="0"/>
        <v>0</v>
      </c>
      <c r="H47" s="170">
        <f t="shared" si="1"/>
        <v>0</v>
      </c>
      <c r="I47" s="118">
        <v>3158.7000000000003</v>
      </c>
      <c r="J47" s="119">
        <v>3253.4610000000002</v>
      </c>
      <c r="K47" s="120">
        <v>4.6910596131319853</v>
      </c>
      <c r="L47" s="121">
        <v>8.4519169278500659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3253.4610000000002</v>
      </c>
      <c r="S47" s="62">
        <f t="shared" si="2"/>
        <v>152.62179500000002</v>
      </c>
      <c r="T47" s="63">
        <f t="shared" si="3"/>
        <v>274.97982100000007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13"/>
        <v>0</v>
      </c>
      <c r="AH47" s="71">
        <v>3253.5</v>
      </c>
      <c r="AI47" s="66">
        <v>4.6900000000000004</v>
      </c>
      <c r="AJ47" s="66">
        <v>8.4499999999999993</v>
      </c>
      <c r="AK47" s="62">
        <f t="shared" si="7"/>
        <v>152.58915000000002</v>
      </c>
      <c r="AL47" s="72">
        <f t="shared" si="8"/>
        <v>274.92075</v>
      </c>
      <c r="AM47" s="73">
        <f t="shared" si="14"/>
        <v>-3.8999999999759893E-2</v>
      </c>
      <c r="AN47" s="74">
        <f t="shared" si="18"/>
        <v>3.2645000000002256E-2</v>
      </c>
      <c r="AO47" s="74">
        <f t="shared" si="18"/>
        <v>5.9071000000074037E-2</v>
      </c>
      <c r="AP47" s="75">
        <f t="shared" si="15"/>
        <v>2.1448936713110148E-4</v>
      </c>
      <c r="AQ47" s="76">
        <f t="shared" si="10"/>
        <v>33.378223597858671</v>
      </c>
      <c r="AR47" s="90">
        <f>(D47+J47+O47)-(X47+AH47)</f>
        <v>-3.8999999999759893E-2</v>
      </c>
    </row>
    <row r="48" spans="1:44" x14ac:dyDescent="0.25">
      <c r="A48" t="str">
        <f t="shared" si="11"/>
        <v>46226M</v>
      </c>
      <c r="B48" s="51">
        <f t="shared" si="17"/>
        <v>46226</v>
      </c>
      <c r="C48" s="52" t="s">
        <v>87</v>
      </c>
      <c r="D48" s="79">
        <v>3253.5</v>
      </c>
      <c r="E48" s="62">
        <v>4.6900000000000004</v>
      </c>
      <c r="F48" s="62">
        <v>8.4499999999999993</v>
      </c>
      <c r="G48" s="169">
        <f t="shared" si="0"/>
        <v>152.58915000000002</v>
      </c>
      <c r="H48" s="170">
        <f t="shared" si="1"/>
        <v>274.92075</v>
      </c>
      <c r="I48" s="118">
        <v>1492.1999999999998</v>
      </c>
      <c r="J48" s="119">
        <v>1536.9659999999999</v>
      </c>
      <c r="K48" s="120">
        <v>5.1060112585444308</v>
      </c>
      <c r="L48" s="121">
        <v>8.7249564401554753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1536.9659999999999</v>
      </c>
      <c r="S48" s="62">
        <f t="shared" si="2"/>
        <v>78.477656999999994</v>
      </c>
      <c r="T48" s="63">
        <f t="shared" si="3"/>
        <v>134.09961399999997</v>
      </c>
      <c r="U48" s="64" t="s">
        <v>191</v>
      </c>
      <c r="V48" s="65" t="s">
        <v>768</v>
      </c>
      <c r="W48" s="66" t="s">
        <v>769</v>
      </c>
      <c r="X48" s="67">
        <v>4880</v>
      </c>
      <c r="Y48" s="68">
        <v>4.95</v>
      </c>
      <c r="Z48" s="68">
        <v>8.58</v>
      </c>
      <c r="AA48" s="62">
        <f t="shared" si="4"/>
        <v>241.56</v>
      </c>
      <c r="AB48" s="63">
        <f t="shared" si="5"/>
        <v>418.70400000000001</v>
      </c>
      <c r="AC48" s="69">
        <v>4880</v>
      </c>
      <c r="AD48" s="70">
        <v>4.9000000000000004</v>
      </c>
      <c r="AE48" s="70">
        <v>8.51</v>
      </c>
      <c r="AF48" s="62">
        <f t="shared" si="6"/>
        <v>239.12</v>
      </c>
      <c r="AG48" s="63">
        <f t="shared" si="13"/>
        <v>415.28799999999995</v>
      </c>
      <c r="AH48" s="71">
        <v>0</v>
      </c>
      <c r="AI48" s="66">
        <v>0</v>
      </c>
      <c r="AJ48" s="66">
        <v>0</v>
      </c>
      <c r="AK48" s="62">
        <f t="shared" si="7"/>
        <v>0</v>
      </c>
      <c r="AL48" s="72">
        <f t="shared" si="8"/>
        <v>0</v>
      </c>
      <c r="AM48" s="73">
        <f t="shared" si="14"/>
        <v>-89.533999999999651</v>
      </c>
      <c r="AN48" s="74">
        <f t="shared" si="18"/>
        <v>-8.0531929999999932</v>
      </c>
      <c r="AO48" s="74">
        <f t="shared" si="18"/>
        <v>-6.2676359999999818</v>
      </c>
      <c r="AP48" s="75">
        <f t="shared" si="15"/>
        <v>-6.7367639694650039E-2</v>
      </c>
      <c r="AQ48" s="76">
        <f t="shared" si="10"/>
        <v>-5746.9225234484747</v>
      </c>
      <c r="AR48" s="83">
        <f t="shared" si="16"/>
        <v>-89.533999999999651</v>
      </c>
    </row>
    <row r="49" spans="1:44" x14ac:dyDescent="0.25">
      <c r="A49" t="str">
        <f t="shared" si="11"/>
        <v>46226E</v>
      </c>
      <c r="B49" s="51">
        <f t="shared" si="17"/>
        <v>46226</v>
      </c>
      <c r="C49" s="52" t="s">
        <v>88</v>
      </c>
      <c r="D49" s="79">
        <v>0</v>
      </c>
      <c r="E49" s="62">
        <v>0</v>
      </c>
      <c r="F49" s="62">
        <v>0</v>
      </c>
      <c r="G49" s="169">
        <f t="shared" si="0"/>
        <v>0</v>
      </c>
      <c r="H49" s="170">
        <f t="shared" si="1"/>
        <v>0</v>
      </c>
      <c r="I49" s="118">
        <v>3242.5</v>
      </c>
      <c r="J49" s="119">
        <v>3339.7750000000001</v>
      </c>
      <c r="K49" s="120">
        <v>4.7045705474171164</v>
      </c>
      <c r="L49" s="121">
        <v>8.5235034695451048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3339.7750000000001</v>
      </c>
      <c r="S49" s="62">
        <f t="shared" si="2"/>
        <v>157.12207100000001</v>
      </c>
      <c r="T49" s="63">
        <f t="shared" si="3"/>
        <v>284.66583800000001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13"/>
        <v>0</v>
      </c>
      <c r="AH49" s="71">
        <v>3339.7</v>
      </c>
      <c r="AI49" s="66">
        <v>4.7</v>
      </c>
      <c r="AJ49" s="66">
        <v>8.52</v>
      </c>
      <c r="AK49" s="62">
        <f t="shared" si="7"/>
        <v>156.9659</v>
      </c>
      <c r="AL49" s="72">
        <f t="shared" si="8"/>
        <v>284.54244</v>
      </c>
      <c r="AM49" s="73">
        <f t="shared" si="14"/>
        <v>7.5000000000272848E-2</v>
      </c>
      <c r="AN49" s="74">
        <f t="shared" si="18"/>
        <v>0.1561710000000005</v>
      </c>
      <c r="AO49" s="74">
        <f t="shared" si="18"/>
        <v>0.12339800000000878</v>
      </c>
      <c r="AP49" s="75">
        <f t="shared" si="15"/>
        <v>6.3281270108279323E-4</v>
      </c>
      <c r="AQ49" s="76">
        <f t="shared" si="10"/>
        <v>112.00185075578474</v>
      </c>
      <c r="AR49" s="83">
        <f t="shared" si="16"/>
        <v>7.5000000000272848E-2</v>
      </c>
    </row>
    <row r="50" spans="1:44" x14ac:dyDescent="0.25">
      <c r="A50" t="str">
        <f t="shared" si="11"/>
        <v>46227M</v>
      </c>
      <c r="B50" s="51">
        <f t="shared" si="17"/>
        <v>46227</v>
      </c>
      <c r="C50" s="52" t="s">
        <v>87</v>
      </c>
      <c r="D50" s="79">
        <v>3339.7</v>
      </c>
      <c r="E50" s="62">
        <v>4.7</v>
      </c>
      <c r="F50" s="62">
        <v>8.52</v>
      </c>
      <c r="G50" s="169">
        <f t="shared" si="0"/>
        <v>156.9659</v>
      </c>
      <c r="H50" s="170">
        <f t="shared" si="1"/>
        <v>284.54244</v>
      </c>
      <c r="I50" s="118">
        <v>1393.6000000000001</v>
      </c>
      <c r="J50" s="119">
        <v>1435.4080000000001</v>
      </c>
      <c r="K50" s="120">
        <v>5.2655496555683117</v>
      </c>
      <c r="L50" s="121">
        <v>8.6419202066590142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2"/>
        <v>1435.4080000000001</v>
      </c>
      <c r="S50" s="62">
        <f t="shared" si="2"/>
        <v>75.582120999999987</v>
      </c>
      <c r="T50" s="63">
        <f t="shared" si="3"/>
        <v>124.04681400000003</v>
      </c>
      <c r="U50" s="64" t="s">
        <v>194</v>
      </c>
      <c r="V50" s="65" t="s">
        <v>817</v>
      </c>
      <c r="W50" s="66" t="s">
        <v>190</v>
      </c>
      <c r="X50" s="67">
        <v>4835</v>
      </c>
      <c r="Y50" s="68">
        <v>4.87</v>
      </c>
      <c r="Z50" s="68">
        <v>8.56</v>
      </c>
      <c r="AA50" s="62">
        <f t="shared" si="4"/>
        <v>235.46450000000002</v>
      </c>
      <c r="AB50" s="63">
        <f t="shared" si="5"/>
        <v>413.87600000000003</v>
      </c>
      <c r="AC50" s="69">
        <v>4835</v>
      </c>
      <c r="AD50" s="70">
        <v>4.75</v>
      </c>
      <c r="AE50" s="70">
        <v>8.42</v>
      </c>
      <c r="AF50" s="62">
        <f t="shared" si="6"/>
        <v>229.66249999999999</v>
      </c>
      <c r="AG50" s="63">
        <f t="shared" si="13"/>
        <v>407.10699999999997</v>
      </c>
      <c r="AH50" s="71">
        <v>0</v>
      </c>
      <c r="AI50" s="66">
        <v>0</v>
      </c>
      <c r="AJ50" s="66">
        <v>0</v>
      </c>
      <c r="AK50" s="62">
        <f t="shared" si="7"/>
        <v>0</v>
      </c>
      <c r="AL50" s="72">
        <f t="shared" si="8"/>
        <v>0</v>
      </c>
      <c r="AM50" s="73">
        <f t="shared" si="14"/>
        <v>-59.891999999999825</v>
      </c>
      <c r="AN50" s="74">
        <f t="shared" si="18"/>
        <v>2.8855210000000113</v>
      </c>
      <c r="AO50" s="74">
        <f t="shared" si="18"/>
        <v>1.4822540000000686</v>
      </c>
      <c r="AP50" s="75">
        <f t="shared" si="15"/>
        <v>2.1879468524941437E-2</v>
      </c>
      <c r="AQ50" s="76">
        <f t="shared" si="10"/>
        <v>1830.5086311120981</v>
      </c>
      <c r="AR50" s="83">
        <f t="shared" si="16"/>
        <v>-59.891999999999825</v>
      </c>
    </row>
    <row r="51" spans="1:44" x14ac:dyDescent="0.25">
      <c r="A51" t="str">
        <f t="shared" si="11"/>
        <v>46227E</v>
      </c>
      <c r="B51" s="51">
        <f t="shared" si="17"/>
        <v>46227</v>
      </c>
      <c r="C51" s="52" t="s">
        <v>88</v>
      </c>
      <c r="D51" s="79">
        <v>0</v>
      </c>
      <c r="E51" s="62">
        <v>0</v>
      </c>
      <c r="F51" s="62">
        <v>0</v>
      </c>
      <c r="G51" s="169">
        <f t="shared" si="0"/>
        <v>0</v>
      </c>
      <c r="H51" s="170">
        <f t="shared" si="1"/>
        <v>0</v>
      </c>
      <c r="I51" s="118">
        <v>3207.5999999999995</v>
      </c>
      <c r="J51" s="119">
        <v>3303.8279999999995</v>
      </c>
      <c r="K51" s="120">
        <v>4.6280708317745356</v>
      </c>
      <c r="L51" s="121">
        <v>8.4509789250530005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2"/>
        <v>3303.8279999999995</v>
      </c>
      <c r="S51" s="62">
        <f t="shared" si="2"/>
        <v>152.90349999999998</v>
      </c>
      <c r="T51" s="63">
        <f t="shared" si="3"/>
        <v>279.20580799999999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13"/>
        <v>0</v>
      </c>
      <c r="AH51" s="71">
        <v>3303.8</v>
      </c>
      <c r="AI51" s="66">
        <v>4.63</v>
      </c>
      <c r="AJ51" s="66">
        <v>8.4499999999999993</v>
      </c>
      <c r="AK51" s="62">
        <f t="shared" si="7"/>
        <v>152.96594000000002</v>
      </c>
      <c r="AL51" s="72">
        <f t="shared" si="8"/>
        <v>279.17109999999997</v>
      </c>
      <c r="AM51" s="73">
        <f t="shared" si="14"/>
        <v>2.7999999999337888E-2</v>
      </c>
      <c r="AN51" s="74">
        <f t="shared" si="18"/>
        <v>-6.2440000000037799E-2</v>
      </c>
      <c r="AO51" s="74">
        <f t="shared" si="18"/>
        <v>3.4708000000023276E-2</v>
      </c>
      <c r="AP51" s="75">
        <f t="shared" si="15"/>
        <v>-6.4178205575739477E-5</v>
      </c>
      <c r="AQ51" s="76">
        <f t="shared" si="10"/>
        <v>-19.609715187181738</v>
      </c>
      <c r="AR51" s="83">
        <f t="shared" si="16"/>
        <v>2.7999999999337888E-2</v>
      </c>
    </row>
    <row r="52" spans="1:44" x14ac:dyDescent="0.25">
      <c r="A52" t="str">
        <f t="shared" si="11"/>
        <v>46228M</v>
      </c>
      <c r="B52" s="51">
        <f t="shared" si="17"/>
        <v>46228</v>
      </c>
      <c r="C52" s="52" t="s">
        <v>87</v>
      </c>
      <c r="D52" s="79">
        <v>3303.8</v>
      </c>
      <c r="E52" s="62">
        <v>4.63</v>
      </c>
      <c r="F52" s="62">
        <v>8.4499999999999993</v>
      </c>
      <c r="G52" s="169">
        <f t="shared" si="0"/>
        <v>152.96594000000002</v>
      </c>
      <c r="H52" s="170">
        <f t="shared" si="1"/>
        <v>279.17109999999997</v>
      </c>
      <c r="I52" s="118">
        <v>1433.6</v>
      </c>
      <c r="J52" s="119">
        <v>1476.6079999999999</v>
      </c>
      <c r="K52" s="120">
        <v>5.0259626116071425</v>
      </c>
      <c r="L52" s="121">
        <v>8.674993024553574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2"/>
        <v>1476.6079999999999</v>
      </c>
      <c r="S52" s="62">
        <f t="shared" si="2"/>
        <v>74.213765999999993</v>
      </c>
      <c r="T52" s="63">
        <f t="shared" si="3"/>
        <v>128.09564100000003</v>
      </c>
      <c r="U52" s="64" t="s">
        <v>194</v>
      </c>
      <c r="V52" s="65" t="s">
        <v>818</v>
      </c>
      <c r="W52" s="66" t="s">
        <v>190</v>
      </c>
      <c r="X52" s="67">
        <v>4860</v>
      </c>
      <c r="Y52" s="68">
        <v>4.8499999999999996</v>
      </c>
      <c r="Z52" s="68">
        <v>8.6300000000000008</v>
      </c>
      <c r="AA52" s="62">
        <f t="shared" si="4"/>
        <v>235.70999999999998</v>
      </c>
      <c r="AB52" s="63">
        <f t="shared" si="5"/>
        <v>419.41800000000001</v>
      </c>
      <c r="AC52" s="69">
        <v>4860</v>
      </c>
      <c r="AD52" s="70">
        <v>4.8</v>
      </c>
      <c r="AE52" s="70">
        <v>8.49</v>
      </c>
      <c r="AF52" s="62">
        <f t="shared" si="6"/>
        <v>233.28</v>
      </c>
      <c r="AG52" s="63">
        <f t="shared" si="13"/>
        <v>412.61400000000003</v>
      </c>
      <c r="AH52" s="71">
        <v>0</v>
      </c>
      <c r="AI52" s="66">
        <v>0</v>
      </c>
      <c r="AJ52" s="66">
        <v>0</v>
      </c>
      <c r="AK52" s="62">
        <f t="shared" si="7"/>
        <v>0</v>
      </c>
      <c r="AL52" s="72">
        <f t="shared" si="8"/>
        <v>0</v>
      </c>
      <c r="AM52" s="73">
        <f t="shared" si="14"/>
        <v>-79.591999999999643</v>
      </c>
      <c r="AN52" s="74">
        <f t="shared" si="18"/>
        <v>-6.100293999999991</v>
      </c>
      <c r="AO52" s="74">
        <f t="shared" si="18"/>
        <v>-5.3472590000000082</v>
      </c>
      <c r="AP52" s="75">
        <f t="shared" si="15"/>
        <v>-5.6584383147344194E-2</v>
      </c>
      <c r="AQ52" s="76">
        <f t="shared" si="10"/>
        <v>-4532.8462762327908</v>
      </c>
      <c r="AR52" s="83">
        <f t="shared" si="16"/>
        <v>-79.591999999999643</v>
      </c>
    </row>
    <row r="53" spans="1:44" x14ac:dyDescent="0.25">
      <c r="A53" t="str">
        <f t="shared" si="11"/>
        <v>46228E</v>
      </c>
      <c r="B53" s="51">
        <f t="shared" si="17"/>
        <v>46228</v>
      </c>
      <c r="C53" s="52" t="s">
        <v>88</v>
      </c>
      <c r="D53" s="79">
        <v>0</v>
      </c>
      <c r="E53" s="62">
        <v>0</v>
      </c>
      <c r="F53" s="62">
        <v>0</v>
      </c>
      <c r="G53" s="169">
        <f t="shared" si="0"/>
        <v>0</v>
      </c>
      <c r="H53" s="170">
        <f t="shared" si="1"/>
        <v>0</v>
      </c>
      <c r="I53" s="118">
        <v>3322.8000000000011</v>
      </c>
      <c r="J53" s="119">
        <v>3422.4840000000013</v>
      </c>
      <c r="K53" s="120">
        <v>4.4406043096183936</v>
      </c>
      <c r="L53" s="121">
        <v>8.2847869266883372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2"/>
        <v>3422.4840000000013</v>
      </c>
      <c r="S53" s="62">
        <f t="shared" si="2"/>
        <v>151.97897200000003</v>
      </c>
      <c r="T53" s="63">
        <f t="shared" si="3"/>
        <v>283.54550700000016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13"/>
        <v>0</v>
      </c>
      <c r="AH53" s="71">
        <v>3422.4</v>
      </c>
      <c r="AI53" s="66">
        <v>4.4400000000000004</v>
      </c>
      <c r="AJ53" s="66">
        <v>8.2899999999999991</v>
      </c>
      <c r="AK53" s="62">
        <f t="shared" si="7"/>
        <v>151.95456000000001</v>
      </c>
      <c r="AL53" s="72">
        <f t="shared" si="8"/>
        <v>283.71695999999997</v>
      </c>
      <c r="AM53" s="73">
        <f t="shared" si="14"/>
        <v>8.4000000001196895E-2</v>
      </c>
      <c r="AN53" s="74">
        <f t="shared" si="18"/>
        <v>2.4412000000012313E-2</v>
      </c>
      <c r="AO53" s="74">
        <f t="shared" si="18"/>
        <v>-0.17145299999981489</v>
      </c>
      <c r="AP53" s="75">
        <f t="shared" si="15"/>
        <v>-3.3761822145432729E-4</v>
      </c>
      <c r="AQ53" s="76">
        <f t="shared" si="10"/>
        <v>-39.617886614370072</v>
      </c>
      <c r="AR53" s="83">
        <f t="shared" si="16"/>
        <v>8.4000000001196895E-2</v>
      </c>
    </row>
    <row r="54" spans="1:44" x14ac:dyDescent="0.25">
      <c r="A54" t="str">
        <f t="shared" si="11"/>
        <v>46229M</v>
      </c>
      <c r="B54" s="51">
        <f t="shared" si="17"/>
        <v>46229</v>
      </c>
      <c r="C54" s="52" t="s">
        <v>87</v>
      </c>
      <c r="D54" s="79">
        <v>3422.4</v>
      </c>
      <c r="E54" s="62">
        <v>4.4400000000000004</v>
      </c>
      <c r="F54" s="62">
        <v>8.2899999999999991</v>
      </c>
      <c r="G54" s="169">
        <f t="shared" si="0"/>
        <v>151.95456000000001</v>
      </c>
      <c r="H54" s="170">
        <f t="shared" si="1"/>
        <v>283.71695999999997</v>
      </c>
      <c r="I54" s="118">
        <v>1487.7</v>
      </c>
      <c r="J54" s="119">
        <v>1532.3310000000001</v>
      </c>
      <c r="K54" s="120">
        <v>4.9595751831686501</v>
      </c>
      <c r="L54" s="121">
        <v>8.3211198494320104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2"/>
        <v>1532.3310000000001</v>
      </c>
      <c r="S54" s="62">
        <f t="shared" si="2"/>
        <v>75.997108000000011</v>
      </c>
      <c r="T54" s="63">
        <f t="shared" si="3"/>
        <v>127.50709900000003</v>
      </c>
      <c r="U54" s="64" t="s">
        <v>194</v>
      </c>
      <c r="V54" s="65" t="s">
        <v>819</v>
      </c>
      <c r="W54" s="66" t="s">
        <v>190</v>
      </c>
      <c r="X54" s="67">
        <v>5010</v>
      </c>
      <c r="Y54" s="68">
        <v>4.7</v>
      </c>
      <c r="Z54" s="68">
        <v>8.4700000000000006</v>
      </c>
      <c r="AA54" s="62">
        <f t="shared" si="4"/>
        <v>235.47</v>
      </c>
      <c r="AB54" s="63">
        <f t="shared" si="5"/>
        <v>424.34700000000004</v>
      </c>
      <c r="AC54" s="69">
        <v>5010</v>
      </c>
      <c r="AD54" s="70">
        <v>4.6500000000000004</v>
      </c>
      <c r="AE54" s="70">
        <v>8.34</v>
      </c>
      <c r="AF54" s="62">
        <f t="shared" si="6"/>
        <v>232.96500000000003</v>
      </c>
      <c r="AG54" s="63">
        <f t="shared" si="13"/>
        <v>417.834</v>
      </c>
      <c r="AH54" s="71">
        <v>0</v>
      </c>
      <c r="AI54" s="66">
        <v>0</v>
      </c>
      <c r="AJ54" s="66">
        <v>0</v>
      </c>
      <c r="AK54" s="62">
        <f t="shared" si="7"/>
        <v>0</v>
      </c>
      <c r="AL54" s="72">
        <f t="shared" si="8"/>
        <v>0</v>
      </c>
      <c r="AM54" s="73">
        <f t="shared" si="14"/>
        <v>-55.269000000000233</v>
      </c>
      <c r="AN54" s="74">
        <f t="shared" si="18"/>
        <v>-5.0133319999999912</v>
      </c>
      <c r="AO54" s="74">
        <f t="shared" si="18"/>
        <v>-6.6099409999999921</v>
      </c>
      <c r="AP54" s="75">
        <f t="shared" si="15"/>
        <v>-5.7115639874707753E-2</v>
      </c>
      <c r="AQ54" s="76">
        <f t="shared" si="10"/>
        <v>-4388.6876764644257</v>
      </c>
      <c r="AR54" s="90">
        <f t="shared" si="16"/>
        <v>-55.269000000000233</v>
      </c>
    </row>
    <row r="55" spans="1:44" x14ac:dyDescent="0.25">
      <c r="A55" t="str">
        <f t="shared" si="11"/>
        <v>46229E</v>
      </c>
      <c r="B55" s="51">
        <f t="shared" si="17"/>
        <v>46229</v>
      </c>
      <c r="C55" s="52" t="s">
        <v>88</v>
      </c>
      <c r="D55" s="79">
        <v>0</v>
      </c>
      <c r="E55" s="62">
        <v>0</v>
      </c>
      <c r="F55" s="62">
        <v>0</v>
      </c>
      <c r="G55" s="169">
        <f t="shared" si="0"/>
        <v>0</v>
      </c>
      <c r="H55" s="170">
        <f t="shared" si="1"/>
        <v>0</v>
      </c>
      <c r="I55" s="118">
        <v>3211.1999999999994</v>
      </c>
      <c r="J55" s="119">
        <v>3307.5359999999996</v>
      </c>
      <c r="K55" s="120">
        <v>4.3830655206776283</v>
      </c>
      <c r="L55" s="121">
        <v>8.1555493273542616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2"/>
        <v>3307.5359999999996</v>
      </c>
      <c r="S55" s="62">
        <f t="shared" si="2"/>
        <v>144.97146999999998</v>
      </c>
      <c r="T55" s="63">
        <f t="shared" si="3"/>
        <v>269.74772999999999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13"/>
        <v>0</v>
      </c>
      <c r="AH55" s="71">
        <v>3307.5</v>
      </c>
      <c r="AI55" s="66">
        <v>4.38</v>
      </c>
      <c r="AJ55" s="66">
        <v>8.16</v>
      </c>
      <c r="AK55" s="62">
        <f t="shared" si="7"/>
        <v>144.86849999999998</v>
      </c>
      <c r="AL55" s="72">
        <f t="shared" si="8"/>
        <v>269.892</v>
      </c>
      <c r="AM55" s="73">
        <f t="shared" si="14"/>
        <v>3.599999999960346E-2</v>
      </c>
      <c r="AN55" s="74">
        <f t="shared" si="18"/>
        <v>0.10296999999999912</v>
      </c>
      <c r="AO55" s="74">
        <f t="shared" si="18"/>
        <v>-0.14427000000000589</v>
      </c>
      <c r="AP55" s="75">
        <f t="shared" si="15"/>
        <v>-9.9585454447266428E-5</v>
      </c>
      <c r="AQ55" s="76">
        <f t="shared" si="10"/>
        <v>6.27285567071457</v>
      </c>
      <c r="AR55" s="90">
        <f t="shared" si="16"/>
        <v>3.599999999960346E-2</v>
      </c>
    </row>
    <row r="56" spans="1:44" x14ac:dyDescent="0.25">
      <c r="A56" t="str">
        <f t="shared" si="11"/>
        <v>46230M</v>
      </c>
      <c r="B56" s="51">
        <f t="shared" si="17"/>
        <v>46230</v>
      </c>
      <c r="C56" s="52" t="s">
        <v>87</v>
      </c>
      <c r="D56" s="79">
        <v>3307.5</v>
      </c>
      <c r="E56" s="62">
        <v>4.38</v>
      </c>
      <c r="F56" s="62">
        <v>8.16</v>
      </c>
      <c r="G56" s="169">
        <f t="shared" si="0"/>
        <v>144.86849999999998</v>
      </c>
      <c r="H56" s="170">
        <f t="shared" si="1"/>
        <v>269.892</v>
      </c>
      <c r="I56" s="118">
        <v>1422.3</v>
      </c>
      <c r="J56" s="119">
        <v>1464.9690000000001</v>
      </c>
      <c r="K56" s="120">
        <v>4.9727764887857688</v>
      </c>
      <c r="L56" s="121">
        <v>8.3724319763762907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2"/>
        <v>1464.9690000000001</v>
      </c>
      <c r="S56" s="62">
        <f t="shared" si="2"/>
        <v>72.849633999999995</v>
      </c>
      <c r="T56" s="63">
        <f t="shared" si="3"/>
        <v>122.65353299999998</v>
      </c>
      <c r="U56" s="64" t="s">
        <v>192</v>
      </c>
      <c r="V56" s="65" t="s">
        <v>861</v>
      </c>
      <c r="W56" s="66" t="s">
        <v>181</v>
      </c>
      <c r="X56" s="67">
        <v>4130</v>
      </c>
      <c r="Y56" s="68">
        <v>4.5999999999999996</v>
      </c>
      <c r="Z56" s="68">
        <v>8.6999999999999993</v>
      </c>
      <c r="AA56" s="62">
        <f t="shared" si="4"/>
        <v>189.98</v>
      </c>
      <c r="AB56" s="63">
        <f t="shared" si="5"/>
        <v>359.31</v>
      </c>
      <c r="AC56" s="69">
        <v>4130</v>
      </c>
      <c r="AD56" s="70">
        <v>4.5679176755447939</v>
      </c>
      <c r="AE56" s="70">
        <v>7.9864164648910396</v>
      </c>
      <c r="AF56" s="62">
        <f t="shared" si="6"/>
        <v>188.655</v>
      </c>
      <c r="AG56" s="63">
        <f t="shared" si="13"/>
        <v>329.83899999999994</v>
      </c>
      <c r="AH56" s="71">
        <v>642.5</v>
      </c>
      <c r="AI56" s="66">
        <v>4.5599999999999996</v>
      </c>
      <c r="AJ56" s="66">
        <v>8.2200000000000006</v>
      </c>
      <c r="AK56" s="62">
        <f t="shared" si="7"/>
        <v>29.297999999999998</v>
      </c>
      <c r="AL56" s="72">
        <f t="shared" si="8"/>
        <v>52.813500000000005</v>
      </c>
      <c r="AM56" s="73">
        <f t="shared" si="14"/>
        <v>-3.0999999999949068E-2</v>
      </c>
      <c r="AN56" s="74">
        <f t="shared" si="18"/>
        <v>-0.23486600000003577</v>
      </c>
      <c r="AO56" s="74">
        <f t="shared" si="18"/>
        <v>9.8930330000000311</v>
      </c>
      <c r="AP56" s="75">
        <f t="shared" si="15"/>
        <v>4.9401588466339255E-2</v>
      </c>
      <c r="AQ56" s="76">
        <f t="shared" si="10"/>
        <v>2850.0145536156629</v>
      </c>
      <c r="AR56" s="90">
        <f t="shared" si="16"/>
        <v>-3.0999999999949068E-2</v>
      </c>
    </row>
    <row r="57" spans="1:44" x14ac:dyDescent="0.25">
      <c r="A57" t="str">
        <f t="shared" si="11"/>
        <v>46230E</v>
      </c>
      <c r="B57" s="51">
        <f t="shared" si="17"/>
        <v>46230</v>
      </c>
      <c r="C57" s="52" t="s">
        <v>88</v>
      </c>
      <c r="D57" s="79">
        <v>642.5</v>
      </c>
      <c r="E57" s="62">
        <v>4.5599999999999996</v>
      </c>
      <c r="F57" s="62">
        <v>8.2200000000000006</v>
      </c>
      <c r="G57" s="169">
        <f t="shared" si="0"/>
        <v>29.297999999999998</v>
      </c>
      <c r="H57" s="170">
        <f t="shared" si="1"/>
        <v>52.813500000000005</v>
      </c>
      <c r="I57" s="118">
        <v>2561.6999999999998</v>
      </c>
      <c r="J57" s="119">
        <v>2638.5509999999999</v>
      </c>
      <c r="K57" s="120">
        <v>4.2986337197954478</v>
      </c>
      <c r="L57" s="121">
        <v>8.0169340672209852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2"/>
        <v>2638.5509999999999</v>
      </c>
      <c r="S57" s="62">
        <f t="shared" si="2"/>
        <v>113.42164299999999</v>
      </c>
      <c r="T57" s="63">
        <f t="shared" si="3"/>
        <v>211.53089399999996</v>
      </c>
      <c r="U57" s="64" t="s">
        <v>194</v>
      </c>
      <c r="V57" s="65" t="s">
        <v>862</v>
      </c>
      <c r="W57" s="66" t="s">
        <v>190</v>
      </c>
      <c r="X57" s="67">
        <v>3370</v>
      </c>
      <c r="Y57" s="68">
        <v>4.45</v>
      </c>
      <c r="Z57" s="68">
        <v>8.3000000000000007</v>
      </c>
      <c r="AA57" s="62">
        <v>0</v>
      </c>
      <c r="AB57" s="63">
        <v>0</v>
      </c>
      <c r="AC57" s="69">
        <v>3370</v>
      </c>
      <c r="AD57" s="70">
        <v>4.4000000000000004</v>
      </c>
      <c r="AE57" s="70">
        <v>8.23</v>
      </c>
      <c r="AF57" s="62">
        <f t="shared" si="6"/>
        <v>148.28</v>
      </c>
      <c r="AG57" s="63">
        <f t="shared" si="13"/>
        <v>277.351</v>
      </c>
      <c r="AH57" s="71">
        <v>0</v>
      </c>
      <c r="AI57" s="66">
        <v>0</v>
      </c>
      <c r="AJ57" s="66">
        <v>0</v>
      </c>
      <c r="AK57" s="62">
        <f t="shared" si="7"/>
        <v>0</v>
      </c>
      <c r="AL57" s="72">
        <f t="shared" si="8"/>
        <v>0</v>
      </c>
      <c r="AM57" s="73">
        <f t="shared" si="14"/>
        <v>-88.949000000000069</v>
      </c>
      <c r="AN57" s="74">
        <f t="shared" si="18"/>
        <v>-5.5603570000000104</v>
      </c>
      <c r="AO57" s="74">
        <f t="shared" si="18"/>
        <v>-13.006606000000033</v>
      </c>
      <c r="AP57" s="75">
        <f t="shared" si="15"/>
        <v>-5.7137461277922096E-2</v>
      </c>
      <c r="AQ57" s="76">
        <f t="shared" si="10"/>
        <v>-6567.2952137921402</v>
      </c>
      <c r="AR57" s="90">
        <f t="shared" si="16"/>
        <v>-88.949000000000069</v>
      </c>
    </row>
    <row r="58" spans="1:44" x14ac:dyDescent="0.25">
      <c r="A58" t="str">
        <f t="shared" si="11"/>
        <v>46231M</v>
      </c>
      <c r="B58" s="51">
        <f t="shared" si="17"/>
        <v>46231</v>
      </c>
      <c r="C58" s="52" t="s">
        <v>87</v>
      </c>
      <c r="D58" s="79">
        <v>0</v>
      </c>
      <c r="E58" s="62">
        <v>0</v>
      </c>
      <c r="F58" s="62">
        <v>0</v>
      </c>
      <c r="G58" s="169">
        <f t="shared" si="0"/>
        <v>0</v>
      </c>
      <c r="H58" s="170">
        <f t="shared" si="1"/>
        <v>0</v>
      </c>
      <c r="I58" s="118">
        <v>2315.9</v>
      </c>
      <c r="J58" s="119">
        <v>2385.377</v>
      </c>
      <c r="K58" s="120">
        <v>4.3664277386761086</v>
      </c>
      <c r="L58" s="121">
        <v>8.2102767822444829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2"/>
        <v>2385.377</v>
      </c>
      <c r="S58" s="62">
        <f t="shared" si="2"/>
        <v>104.15576299999999</v>
      </c>
      <c r="T58" s="63">
        <f t="shared" si="3"/>
        <v>195.84605399999998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ref="AA58:AA65" si="19">X58*Y58%</f>
        <v>0</v>
      </c>
      <c r="AB58" s="63">
        <f t="shared" ref="AB58:AB65" si="20">X58*Z58%</f>
        <v>0</v>
      </c>
      <c r="AC58" s="69"/>
      <c r="AD58" s="70"/>
      <c r="AE58" s="70"/>
      <c r="AF58" s="62">
        <f t="shared" si="6"/>
        <v>0</v>
      </c>
      <c r="AG58" s="63">
        <f t="shared" si="13"/>
        <v>0</v>
      </c>
      <c r="AH58" s="71">
        <v>2385.3000000000002</v>
      </c>
      <c r="AI58" s="66">
        <v>4.37</v>
      </c>
      <c r="AJ58" s="66">
        <v>8.2100000000000009</v>
      </c>
      <c r="AK58" s="62">
        <f t="shared" si="7"/>
        <v>104.23761000000002</v>
      </c>
      <c r="AL58" s="72">
        <f>AH58*AJ58%</f>
        <v>195.83313000000004</v>
      </c>
      <c r="AM58" s="73">
        <f t="shared" si="14"/>
        <v>7.6999999999770807E-2</v>
      </c>
      <c r="AN58" s="74">
        <f t="shared" si="18"/>
        <v>-8.184700000002465E-2</v>
      </c>
      <c r="AO58" s="74">
        <f t="shared" si="18"/>
        <v>1.2923999999941316E-2</v>
      </c>
      <c r="AP58" s="75">
        <f t="shared" si="15"/>
        <v>-2.2974194186324993E-4</v>
      </c>
      <c r="AQ58" s="76">
        <f t="shared" si="10"/>
        <v>-35.459524383381918</v>
      </c>
      <c r="AR58" s="90">
        <f t="shared" si="16"/>
        <v>7.6999999999770807E-2</v>
      </c>
    </row>
    <row r="59" spans="1:44" x14ac:dyDescent="0.25">
      <c r="A59" t="str">
        <f t="shared" si="11"/>
        <v>46231E</v>
      </c>
      <c r="B59" s="51">
        <f t="shared" si="17"/>
        <v>46231</v>
      </c>
      <c r="C59" s="52" t="s">
        <v>88</v>
      </c>
      <c r="D59" s="79">
        <v>2385.3000000000002</v>
      </c>
      <c r="E59" s="62">
        <v>4.37</v>
      </c>
      <c r="F59" s="62">
        <v>8.2100000000000009</v>
      </c>
      <c r="G59" s="169">
        <f t="shared" si="0"/>
        <v>104.23761000000002</v>
      </c>
      <c r="H59" s="170">
        <f t="shared" si="1"/>
        <v>195.83313000000004</v>
      </c>
      <c r="I59" s="118">
        <v>2333.9</v>
      </c>
      <c r="J59" s="119">
        <v>2403.9170000000004</v>
      </c>
      <c r="K59" s="120">
        <v>4.5566348172586659</v>
      </c>
      <c r="L59" s="121">
        <v>8.4939114786409036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2"/>
        <v>2403.9170000000004</v>
      </c>
      <c r="S59" s="62">
        <f t="shared" si="2"/>
        <v>109.53771900000002</v>
      </c>
      <c r="T59" s="63">
        <f t="shared" si="3"/>
        <v>204.18658200000007</v>
      </c>
      <c r="U59" s="64" t="s">
        <v>170</v>
      </c>
      <c r="V59" s="65" t="s">
        <v>863</v>
      </c>
      <c r="W59" s="66" t="s">
        <v>187</v>
      </c>
      <c r="X59" s="67">
        <v>3100</v>
      </c>
      <c r="Y59" s="68">
        <v>4.75</v>
      </c>
      <c r="Z59" s="68">
        <v>8.48</v>
      </c>
      <c r="AA59" s="62">
        <f t="shared" si="19"/>
        <v>147.25</v>
      </c>
      <c r="AB59" s="63">
        <f t="shared" si="20"/>
        <v>262.88</v>
      </c>
      <c r="AC59" s="69">
        <v>3110</v>
      </c>
      <c r="AD59" s="70">
        <v>4.7</v>
      </c>
      <c r="AE59" s="70">
        <v>8.35</v>
      </c>
      <c r="AF59" s="62">
        <f t="shared" si="6"/>
        <v>146.16999999999999</v>
      </c>
      <c r="AG59" s="63">
        <f t="shared" si="13"/>
        <v>259.68499999999995</v>
      </c>
      <c r="AH59" s="71">
        <v>1689.2</v>
      </c>
      <c r="AI59" s="66">
        <v>4.46</v>
      </c>
      <c r="AJ59" s="66">
        <v>8.35</v>
      </c>
      <c r="AK59" s="62">
        <f t="shared" si="7"/>
        <v>75.33832000000001</v>
      </c>
      <c r="AL59" s="72">
        <f t="shared" si="8"/>
        <v>141.04819999999998</v>
      </c>
      <c r="AM59" s="73">
        <f t="shared" si="14"/>
        <v>-9.9829999999994925</v>
      </c>
      <c r="AN59" s="74">
        <f t="shared" si="18"/>
        <v>-7.7329909999999416</v>
      </c>
      <c r="AO59" s="74">
        <f t="shared" si="18"/>
        <v>-0.71348799999978496</v>
      </c>
      <c r="AP59" s="75">
        <f t="shared" si="15"/>
        <v>-2.6923253866775607E-2</v>
      </c>
      <c r="AQ59" s="76">
        <f t="shared" si="10"/>
        <v>-3929.6371608817062</v>
      </c>
      <c r="AR59" s="90">
        <f t="shared" si="16"/>
        <v>1.7000000000734872E-2</v>
      </c>
    </row>
    <row r="60" spans="1:44" x14ac:dyDescent="0.25">
      <c r="A60" t="str">
        <f t="shared" si="11"/>
        <v>46232M</v>
      </c>
      <c r="B60" s="51">
        <f t="shared" si="17"/>
        <v>46232</v>
      </c>
      <c r="C60" s="52" t="s">
        <v>87</v>
      </c>
      <c r="D60" s="79">
        <v>1689.2</v>
      </c>
      <c r="E60" s="62">
        <v>4.46</v>
      </c>
      <c r="F60" s="62">
        <v>8.35</v>
      </c>
      <c r="G60" s="169">
        <f t="shared" si="0"/>
        <v>75.33832000000001</v>
      </c>
      <c r="H60" s="170">
        <f t="shared" si="1"/>
        <v>141.04819999999998</v>
      </c>
      <c r="I60" s="118">
        <v>1256.4000000000001</v>
      </c>
      <c r="J60" s="119">
        <v>1294.0920000000001</v>
      </c>
      <c r="K60" s="120">
        <v>5.1951289398280798</v>
      </c>
      <c r="L60" s="121">
        <v>8.5578319006685764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2"/>
        <v>1294.0920000000001</v>
      </c>
      <c r="S60" s="62">
        <f t="shared" si="2"/>
        <v>67.229748000000001</v>
      </c>
      <c r="T60" s="63">
        <f t="shared" si="3"/>
        <v>110.746218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6"/>
        <v>0</v>
      </c>
      <c r="AG60" s="63">
        <f t="shared" si="13"/>
        <v>0</v>
      </c>
      <c r="AH60" s="71">
        <v>2983.2</v>
      </c>
      <c r="AI60" s="66">
        <v>4.78</v>
      </c>
      <c r="AJ60" s="66">
        <v>8.44</v>
      </c>
      <c r="AK60" s="62">
        <f t="shared" si="7"/>
        <v>142.59696</v>
      </c>
      <c r="AL60" s="72">
        <f t="shared" si="8"/>
        <v>251.78207999999995</v>
      </c>
      <c r="AM60" s="73">
        <f t="shared" si="14"/>
        <v>9.2000000000552973E-2</v>
      </c>
      <c r="AN60" s="74">
        <f t="shared" si="18"/>
        <v>-2.8891999999984819E-2</v>
      </c>
      <c r="AO60" s="74">
        <f t="shared" si="18"/>
        <v>1.233800000002816E-2</v>
      </c>
      <c r="AP60" s="75">
        <f t="shared" si="15"/>
        <v>-9.3012558785362392E-5</v>
      </c>
      <c r="AQ60" s="76">
        <f t="shared" si="10"/>
        <v>-10.188425170495254</v>
      </c>
      <c r="AR60" s="90">
        <f t="shared" si="16"/>
        <v>9.2000000000552973E-2</v>
      </c>
    </row>
    <row r="61" spans="1:44" x14ac:dyDescent="0.25">
      <c r="A61" t="str">
        <f t="shared" si="11"/>
        <v>46232E</v>
      </c>
      <c r="B61" s="51">
        <f t="shared" si="17"/>
        <v>46232</v>
      </c>
      <c r="C61" s="52" t="s">
        <v>88</v>
      </c>
      <c r="D61" s="79">
        <v>2983.2</v>
      </c>
      <c r="E61" s="62">
        <v>4.78</v>
      </c>
      <c r="F61" s="62">
        <v>8.44</v>
      </c>
      <c r="G61" s="169">
        <f t="shared" si="0"/>
        <v>142.59696</v>
      </c>
      <c r="H61" s="170">
        <f t="shared" si="1"/>
        <v>251.78207999999995</v>
      </c>
      <c r="I61" s="118">
        <v>2321.1</v>
      </c>
      <c r="J61" s="119">
        <v>2390.7330000000002</v>
      </c>
      <c r="K61" s="120">
        <v>4.5117444315195385</v>
      </c>
      <c r="L61" s="121">
        <v>8.4052561285597349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2"/>
        <v>2390.7330000000002</v>
      </c>
      <c r="S61" s="62">
        <f t="shared" si="2"/>
        <v>107.86376300000001</v>
      </c>
      <c r="T61" s="63">
        <f t="shared" si="3"/>
        <v>200.94723200000001</v>
      </c>
      <c r="U61" s="64" t="s">
        <v>194</v>
      </c>
      <c r="V61" s="65" t="s">
        <v>910</v>
      </c>
      <c r="W61" s="66" t="s">
        <v>190</v>
      </c>
      <c r="X61" s="67">
        <v>5460</v>
      </c>
      <c r="Y61" s="68">
        <v>4.75</v>
      </c>
      <c r="Z61" s="68">
        <v>8.48</v>
      </c>
      <c r="AA61" s="62">
        <f t="shared" si="19"/>
        <v>259.35000000000002</v>
      </c>
      <c r="AB61" s="63">
        <f t="shared" si="20"/>
        <v>463.00799999999998</v>
      </c>
      <c r="AC61" s="221">
        <v>5460</v>
      </c>
      <c r="AD61" s="222">
        <v>4.75</v>
      </c>
      <c r="AE61" s="222">
        <v>8.48</v>
      </c>
      <c r="AF61" s="62">
        <f t="shared" si="6"/>
        <v>259.35000000000002</v>
      </c>
      <c r="AG61" s="63">
        <f t="shared" si="13"/>
        <v>463.00799999999998</v>
      </c>
      <c r="AH61" s="71">
        <v>0</v>
      </c>
      <c r="AI61" s="66">
        <v>0</v>
      </c>
      <c r="AJ61" s="66">
        <v>0</v>
      </c>
      <c r="AK61" s="62">
        <f t="shared" si="7"/>
        <v>0</v>
      </c>
      <c r="AL61" s="72">
        <f t="shared" si="8"/>
        <v>0</v>
      </c>
      <c r="AM61" s="73">
        <f t="shared" si="14"/>
        <v>-86.067000000000007</v>
      </c>
      <c r="AN61" s="74">
        <f t="shared" si="18"/>
        <v>-8.8892770000000212</v>
      </c>
      <c r="AO61" s="74">
        <f t="shared" si="18"/>
        <v>-10.278688000000045</v>
      </c>
      <c r="AP61" s="75">
        <f t="shared" si="15"/>
        <v>-6.2070215472736209E-2</v>
      </c>
      <c r="AQ61" s="76">
        <f t="shared" si="10"/>
        <v>-7349.9624625595252</v>
      </c>
      <c r="AR61" s="90">
        <f t="shared" si="16"/>
        <v>-86.067000000000007</v>
      </c>
    </row>
    <row r="62" spans="1:44" x14ac:dyDescent="0.25">
      <c r="A62" t="str">
        <f t="shared" si="11"/>
        <v>46233M</v>
      </c>
      <c r="B62" s="51">
        <f t="shared" si="17"/>
        <v>46233</v>
      </c>
      <c r="C62" s="52" t="s">
        <v>87</v>
      </c>
      <c r="D62" s="79">
        <v>0</v>
      </c>
      <c r="E62" s="62">
        <v>0</v>
      </c>
      <c r="F62" s="62">
        <v>0</v>
      </c>
      <c r="G62" s="169">
        <f t="shared" si="0"/>
        <v>0</v>
      </c>
      <c r="H62" s="170">
        <f t="shared" si="1"/>
        <v>0</v>
      </c>
      <c r="I62" s="118">
        <v>1332.1999999999998</v>
      </c>
      <c r="J62" s="119">
        <v>1372.1659999999999</v>
      </c>
      <c r="K62" s="120">
        <v>5.0731872091277577</v>
      </c>
      <c r="L62" s="121">
        <v>8.6008632337486848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2"/>
        <v>1372.1659999999999</v>
      </c>
      <c r="S62" s="62">
        <f t="shared" si="2"/>
        <v>69.612549999999985</v>
      </c>
      <c r="T62" s="63">
        <f t="shared" si="3"/>
        <v>118.01812099999997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6"/>
        <v>0</v>
      </c>
      <c r="AG62" s="63">
        <f t="shared" si="13"/>
        <v>0</v>
      </c>
      <c r="AH62" s="71">
        <v>1372.8</v>
      </c>
      <c r="AI62" s="66">
        <v>5.07</v>
      </c>
      <c r="AJ62" s="66">
        <v>8.58</v>
      </c>
      <c r="AK62" s="62">
        <f t="shared" si="7"/>
        <v>69.600960000000001</v>
      </c>
      <c r="AL62" s="72">
        <f t="shared" si="8"/>
        <v>117.78623999999999</v>
      </c>
      <c r="AM62" s="73">
        <f t="shared" si="14"/>
        <v>-0.63400000000001455</v>
      </c>
      <c r="AN62" s="74">
        <f t="shared" si="18"/>
        <v>1.1589999999984002E-2</v>
      </c>
      <c r="AO62" s="74">
        <f t="shared" si="18"/>
        <v>0.23188099999997291</v>
      </c>
      <c r="AP62" s="75">
        <f t="shared" si="15"/>
        <v>1.2976076816351469E-3</v>
      </c>
      <c r="AQ62" s="76">
        <f t="shared" si="10"/>
        <v>75.015667389894446</v>
      </c>
      <c r="AR62" s="90">
        <f t="shared" si="16"/>
        <v>-0.63400000000001455</v>
      </c>
    </row>
    <row r="63" spans="1:44" x14ac:dyDescent="0.25">
      <c r="A63" t="str">
        <f t="shared" si="11"/>
        <v>46233E</v>
      </c>
      <c r="B63" s="51">
        <f t="shared" si="17"/>
        <v>46233</v>
      </c>
      <c r="C63" s="52" t="s">
        <v>88</v>
      </c>
      <c r="D63" s="79">
        <v>1372.8</v>
      </c>
      <c r="E63" s="62">
        <v>5.07</v>
      </c>
      <c r="F63" s="62">
        <v>8.58</v>
      </c>
      <c r="G63" s="169">
        <f t="shared" si="0"/>
        <v>69.600960000000001</v>
      </c>
      <c r="H63" s="170">
        <f t="shared" si="1"/>
        <v>117.78623999999999</v>
      </c>
      <c r="I63" s="118">
        <v>2322.3000000000002</v>
      </c>
      <c r="J63" s="119">
        <v>2391.9690000000001</v>
      </c>
      <c r="K63" s="120">
        <v>4.3740515867889584</v>
      </c>
      <c r="L63" s="121">
        <v>8.3151746113766514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2"/>
        <v>2391.9690000000001</v>
      </c>
      <c r="S63" s="62">
        <f t="shared" si="2"/>
        <v>104.625958</v>
      </c>
      <c r="T63" s="63">
        <f t="shared" si="3"/>
        <v>198.89639899999997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6"/>
        <v>0</v>
      </c>
      <c r="AG63" s="63">
        <f t="shared" si="13"/>
        <v>0</v>
      </c>
      <c r="AH63" s="71">
        <v>3764.8</v>
      </c>
      <c r="AI63" s="66">
        <v>4.63</v>
      </c>
      <c r="AJ63" s="66">
        <v>8.41</v>
      </c>
      <c r="AK63" s="62">
        <f t="shared" si="7"/>
        <v>174.31024000000002</v>
      </c>
      <c r="AL63" s="72">
        <f t="shared" si="8"/>
        <v>316.61968000000007</v>
      </c>
      <c r="AM63" s="73">
        <f t="shared" si="14"/>
        <v>-3.0999999999949068E-2</v>
      </c>
      <c r="AN63" s="74">
        <f t="shared" si="18"/>
        <v>-8.3322000000009666E-2</v>
      </c>
      <c r="AO63" s="74">
        <f t="shared" si="18"/>
        <v>6.2958999999921161E-2</v>
      </c>
      <c r="AP63" s="75">
        <f t="shared" si="15"/>
        <v>-6.7088962412375141E-5</v>
      </c>
      <c r="AQ63" s="76">
        <f t="shared" si="10"/>
        <v>-21.183272826498577</v>
      </c>
      <c r="AR63" s="90">
        <f t="shared" si="16"/>
        <v>-3.0999999999949068E-2</v>
      </c>
    </row>
    <row r="64" spans="1:44" x14ac:dyDescent="0.25">
      <c r="A64" t="str">
        <f t="shared" si="11"/>
        <v>46234M</v>
      </c>
      <c r="B64" s="51">
        <f t="shared" si="17"/>
        <v>46234</v>
      </c>
      <c r="C64" s="52" t="s">
        <v>87</v>
      </c>
      <c r="D64" s="79"/>
      <c r="E64" s="62"/>
      <c r="F64" s="62"/>
      <c r="G64" s="169">
        <f t="shared" si="0"/>
        <v>0</v>
      </c>
      <c r="H64" s="170">
        <f t="shared" si="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2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7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6"/>
        <v>0</v>
      </c>
      <c r="AG64" s="63">
        <f t="shared" si="13"/>
        <v>0</v>
      </c>
      <c r="AH64" s="89"/>
      <c r="AI64" s="66"/>
      <c r="AJ64" s="66"/>
      <c r="AK64" s="62">
        <f t="shared" si="7"/>
        <v>0</v>
      </c>
      <c r="AL64" s="72">
        <f t="shared" si="8"/>
        <v>0</v>
      </c>
      <c r="AM64" s="73">
        <f t="shared" si="14"/>
        <v>0</v>
      </c>
      <c r="AN64" s="74">
        <f t="shared" si="18"/>
        <v>0</v>
      </c>
      <c r="AO64" s="74">
        <f t="shared" si="18"/>
        <v>0</v>
      </c>
      <c r="AP64" s="75" t="e">
        <f t="shared" si="15"/>
        <v>#DIV/0!</v>
      </c>
      <c r="AQ64" s="76">
        <f t="shared" si="10"/>
        <v>0</v>
      </c>
      <c r="AR64" s="83">
        <f t="shared" si="16"/>
        <v>0</v>
      </c>
    </row>
    <row r="65" spans="1:44" x14ac:dyDescent="0.25">
      <c r="A65" t="str">
        <f t="shared" si="11"/>
        <v>46234E</v>
      </c>
      <c r="B65" s="51">
        <f t="shared" si="17"/>
        <v>46234</v>
      </c>
      <c r="C65" s="52" t="s">
        <v>88</v>
      </c>
      <c r="D65" s="79"/>
      <c r="E65" s="62"/>
      <c r="F65" s="62"/>
      <c r="G65" s="169">
        <f t="shared" si="0"/>
        <v>0</v>
      </c>
      <c r="H65" s="170">
        <f t="shared" si="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2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7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6"/>
        <v>0</v>
      </c>
      <c r="AG65" s="63">
        <f t="shared" si="13"/>
        <v>0</v>
      </c>
      <c r="AH65" s="89"/>
      <c r="AI65" s="66"/>
      <c r="AJ65" s="66"/>
      <c r="AK65" s="62">
        <f t="shared" si="7"/>
        <v>0</v>
      </c>
      <c r="AL65" s="72">
        <f t="shared" si="8"/>
        <v>0</v>
      </c>
      <c r="AM65" s="73">
        <f t="shared" si="14"/>
        <v>0</v>
      </c>
      <c r="AN65" s="74">
        <f t="shared" si="18"/>
        <v>0</v>
      </c>
      <c r="AO65" s="74">
        <f t="shared" si="18"/>
        <v>0</v>
      </c>
      <c r="AP65" s="75" t="e">
        <f t="shared" si="15"/>
        <v>#DIV/0!</v>
      </c>
      <c r="AQ65" s="76">
        <f t="shared" si="10"/>
        <v>0</v>
      </c>
      <c r="AR65" s="83">
        <f t="shared" si="16"/>
        <v>0</v>
      </c>
    </row>
    <row r="66" spans="1:44" x14ac:dyDescent="0.25">
      <c r="J66" s="83">
        <f>SUM(J4:J65)</f>
        <v>107379.70419999996</v>
      </c>
      <c r="AM66" s="97">
        <f t="shared" ref="AM66:AO66" si="21">-SUM(AM4:AM65)</f>
        <v>1952.0957999999966</v>
      </c>
      <c r="AN66" s="97">
        <f t="shared" si="21"/>
        <v>121.8464673000002</v>
      </c>
      <c r="AO66" s="97">
        <f t="shared" si="21"/>
        <v>166.69103589999958</v>
      </c>
      <c r="AQ66" s="128">
        <f>-SUM(AQ4:AQ65)</f>
        <v>108473.67448790035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9" priority="2" operator="lessThan">
      <formula>0.1</formula>
    </cfRule>
    <cfRule type="cellIs" dxfId="58" priority="3" operator="greaterThan">
      <formula>0.1</formula>
    </cfRule>
  </conditionalFormatting>
  <conditionalFormatting sqref="AP1:AQ1">
    <cfRule type="cellIs" dxfId="57" priority="1" operator="lessThan">
      <formula>1</formula>
    </cfRule>
  </conditionalFormatting>
  <conditionalFormatting sqref="AQ4:AQ65">
    <cfRule type="cellIs" dxfId="56" priority="4" operator="lessThan">
      <formula>0</formula>
    </cfRule>
    <cfRule type="cellIs" dxfId="55" priority="5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AV66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W61" sqref="W61"/>
    </sheetView>
  </sheetViews>
  <sheetFormatPr defaultRowHeight="15" x14ac:dyDescent="0.25"/>
  <cols>
    <col min="1" max="1" width="5" customWidth="1"/>
    <col min="2" max="2" width="10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95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3">
        <v>6164.9</v>
      </c>
      <c r="E4" s="55">
        <v>4.2</v>
      </c>
      <c r="F4" s="55">
        <v>8.1999999999999993</v>
      </c>
      <c r="G4" s="169">
        <f t="shared" ref="G4:G29" si="0">+D4*E4%</f>
        <v>258.92579999999998</v>
      </c>
      <c r="H4" s="170">
        <f t="shared" ref="H4:H29" si="1">+D4*F4%</f>
        <v>505.52179999999993</v>
      </c>
      <c r="I4" s="118">
        <v>2967.7000000000003</v>
      </c>
      <c r="J4" s="119">
        <v>3056.7310000000002</v>
      </c>
      <c r="K4" s="120">
        <v>4.1117666880075481</v>
      </c>
      <c r="L4" s="121">
        <v>8.1950972133301878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3056.7310000000002</v>
      </c>
      <c r="S4" s="62">
        <f t="shared" ref="S4" si="2">+J4*K4%+O4*P4%</f>
        <v>125.68564700000002</v>
      </c>
      <c r="T4" s="63">
        <f t="shared" ref="T4" si="3">+J4*L4%+O4*Q4%</f>
        <v>250.50207700000001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>AC4*AE4%</f>
        <v>0</v>
      </c>
      <c r="AH4" s="89">
        <v>9221.6</v>
      </c>
      <c r="AI4" s="66">
        <v>4.16</v>
      </c>
      <c r="AJ4" s="66">
        <v>8.1999999999999993</v>
      </c>
      <c r="AK4" s="62">
        <f t="shared" ref="AK4" si="7">AH4*AI4%</f>
        <v>383.61856</v>
      </c>
      <c r="AL4" s="72">
        <f t="shared" ref="AL4" si="8">AH4*AJ4%</f>
        <v>756.17119999999989</v>
      </c>
      <c r="AM4" s="73">
        <f>+D4+R4-AC4-AH4</f>
        <v>3.0999999999039574E-2</v>
      </c>
      <c r="AN4" s="74">
        <f t="shared" ref="AN4:AO4" si="9">+G4+S4-AF4-AK4</f>
        <v>0.99288699999999608</v>
      </c>
      <c r="AO4" s="74">
        <f t="shared" si="9"/>
        <v>-0.14732299999991483</v>
      </c>
      <c r="AP4" s="75">
        <f>(AN4+AO4)/(S4+T4)</f>
        <v>2.2477182163447768E-3</v>
      </c>
      <c r="AQ4" s="76">
        <f t="shared" ref="AQ4" si="10">($AP$1*AN4+$AQ$1*AO4)</f>
        <v>432.9925914675776</v>
      </c>
      <c r="AR4" s="83">
        <f>(D4+J4+O4)-(X4+AH4)</f>
        <v>3.0999999999039574E-2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9221.6</v>
      </c>
      <c r="E5" s="62">
        <v>4.16</v>
      </c>
      <c r="F5" s="62">
        <v>8.1999999999999993</v>
      </c>
      <c r="G5" s="169">
        <f t="shared" si="0"/>
        <v>383.61856</v>
      </c>
      <c r="H5" s="170">
        <f t="shared" si="1"/>
        <v>756.17119999999989</v>
      </c>
      <c r="I5" s="118">
        <v>3106.2000000000007</v>
      </c>
      <c r="J5" s="119">
        <v>3199.3860000000009</v>
      </c>
      <c r="K5" s="120">
        <v>4.0734112420320656</v>
      </c>
      <c r="L5" s="121">
        <v>8.1777606078166247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49" si="12">+J5+O5</f>
        <v>3199.3860000000009</v>
      </c>
      <c r="S5" s="62">
        <f t="shared" ref="S5:S49" si="13">+J5*K5%+O5*P5%</f>
        <v>130.32414900000006</v>
      </c>
      <c r="T5" s="63">
        <f t="shared" ref="T5:T49" si="14">+J5*L5%+O5*Q5%</f>
        <v>261.63812800000011</v>
      </c>
      <c r="U5" s="64" t="s">
        <v>195</v>
      </c>
      <c r="V5" s="65" t="s">
        <v>235</v>
      </c>
      <c r="W5" s="66" t="s">
        <v>181</v>
      </c>
      <c r="X5" s="67">
        <v>9355</v>
      </c>
      <c r="Y5" s="68">
        <v>4.17</v>
      </c>
      <c r="Z5" s="68">
        <v>8</v>
      </c>
      <c r="AA5" s="62">
        <f t="shared" ref="AA5:AA49" si="15">X5*Y5%</f>
        <v>390.1035</v>
      </c>
      <c r="AB5" s="63">
        <f t="shared" ref="AB5:AB49" si="16">X5*Z5%</f>
        <v>748.4</v>
      </c>
      <c r="AC5" s="69">
        <v>9400</v>
      </c>
      <c r="AD5" s="70">
        <v>4.1500000000000004</v>
      </c>
      <c r="AE5" s="70">
        <v>7.86</v>
      </c>
      <c r="AF5" s="62">
        <f t="shared" ref="AF5:AF49" si="17">AC5*AD5%</f>
        <v>390.1</v>
      </c>
      <c r="AG5" s="63">
        <f t="shared" ref="AG5:AG49" si="18">AC5*AE5%</f>
        <v>738.84</v>
      </c>
      <c r="AH5" s="96">
        <v>3020.9</v>
      </c>
      <c r="AI5" s="66">
        <v>4.1500000000000004</v>
      </c>
      <c r="AJ5" s="66">
        <v>8.19</v>
      </c>
      <c r="AK5" s="62">
        <f t="shared" ref="AK5:AK49" si="19">AH5*AI5%</f>
        <v>125.36735000000002</v>
      </c>
      <c r="AL5" s="72">
        <f t="shared" ref="AL5:AL49" si="20">AH5*AJ5%</f>
        <v>247.41171</v>
      </c>
      <c r="AM5" s="73">
        <f t="shared" ref="AM5:AM65" si="21">+D5+R5-AC5-AH5</f>
        <v>8.6000000000694854E-2</v>
      </c>
      <c r="AN5" s="74">
        <f t="shared" ref="AN5:AN65" si="22">+G5+S5-AF5-AK5</f>
        <v>-1.5246410000000026</v>
      </c>
      <c r="AO5" s="74">
        <f t="shared" ref="AO5:AO65" si="23">+H5+T5-AG5-AL5</f>
        <v>31.557618000000019</v>
      </c>
      <c r="AP5" s="75">
        <f t="shared" ref="AP5:AP65" si="24">(AN5+AO5)/(S5+T5)</f>
        <v>7.6622110754806141E-2</v>
      </c>
      <c r="AQ5" s="76">
        <f t="shared" ref="AQ5:AQ65" si="25">($AP$1*AN5+$AQ$1*AO5)</f>
        <v>8718.5860268423512</v>
      </c>
      <c r="AR5" s="83">
        <f t="shared" ref="AR5:AR65" si="26">(D5+J5+O5)-(X5+AH5)</f>
        <v>45.08600000000115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79">
        <v>3020.9</v>
      </c>
      <c r="E6" s="62">
        <v>4.1500000000000004</v>
      </c>
      <c r="F6" s="62">
        <v>8.19</v>
      </c>
      <c r="G6" s="169">
        <f t="shared" si="0"/>
        <v>125.36735000000002</v>
      </c>
      <c r="H6" s="170">
        <f t="shared" si="1"/>
        <v>247.41171</v>
      </c>
      <c r="I6" s="118">
        <v>3137.2</v>
      </c>
      <c r="J6" s="119">
        <v>3231.3159999999998</v>
      </c>
      <c r="K6" s="120">
        <v>4.1296857069998731</v>
      </c>
      <c r="L6" s="121">
        <v>8.2155935228866532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3231.3159999999998</v>
      </c>
      <c r="S6" s="62">
        <f t="shared" si="13"/>
        <v>133.443195</v>
      </c>
      <c r="T6" s="63">
        <f t="shared" si="14"/>
        <v>265.47178800000006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96">
        <v>6252.2</v>
      </c>
      <c r="AI6" s="66">
        <v>4.13</v>
      </c>
      <c r="AJ6" s="66">
        <v>8.1999999999999993</v>
      </c>
      <c r="AK6" s="62">
        <f t="shared" si="19"/>
        <v>258.21585999999996</v>
      </c>
      <c r="AL6" s="72">
        <f t="shared" si="20"/>
        <v>512.68039999999996</v>
      </c>
      <c r="AM6" s="73">
        <f t="shared" si="21"/>
        <v>1.6000000000531145E-2</v>
      </c>
      <c r="AN6" s="74">
        <f t="shared" si="22"/>
        <v>0.59468500000008362</v>
      </c>
      <c r="AO6" s="74">
        <f t="shared" si="23"/>
        <v>0.20309800000006817</v>
      </c>
      <c r="AP6" s="75">
        <f t="shared" si="24"/>
        <v>1.9998822656409265E-3</v>
      </c>
      <c r="AQ6" s="76">
        <f t="shared" si="25"/>
        <v>346.59154028900781</v>
      </c>
      <c r="AR6" s="83">
        <f t="shared" si="26"/>
        <v>1.6000000000531145E-2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79">
        <v>6252.2</v>
      </c>
      <c r="E7" s="62">
        <v>4.13</v>
      </c>
      <c r="F7" s="62">
        <v>8.1999999999999993</v>
      </c>
      <c r="G7" s="169">
        <f t="shared" si="0"/>
        <v>258.21585999999996</v>
      </c>
      <c r="H7" s="170">
        <f t="shared" si="1"/>
        <v>512.68039999999996</v>
      </c>
      <c r="I7" s="118">
        <v>4179.9999999999991</v>
      </c>
      <c r="J7" s="119">
        <v>4305.3999999999987</v>
      </c>
      <c r="K7" s="120">
        <v>3.8657607655502373</v>
      </c>
      <c r="L7" s="121">
        <v>8.1475933014354087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4305.3999999999987</v>
      </c>
      <c r="S7" s="62">
        <f t="shared" si="13"/>
        <v>166.43646399999986</v>
      </c>
      <c r="T7" s="63">
        <f t="shared" si="14"/>
        <v>350.78648199999998</v>
      </c>
      <c r="U7" s="64" t="s">
        <v>196</v>
      </c>
      <c r="V7" s="65" t="s">
        <v>236</v>
      </c>
      <c r="W7" s="66" t="s">
        <v>181</v>
      </c>
      <c r="X7" s="67">
        <v>10500</v>
      </c>
      <c r="Y7" s="68">
        <v>4.05</v>
      </c>
      <c r="Z7" s="68">
        <v>7.8</v>
      </c>
      <c r="AA7" s="62">
        <f t="shared" si="15"/>
        <v>425.25</v>
      </c>
      <c r="AB7" s="63">
        <f t="shared" si="16"/>
        <v>819</v>
      </c>
      <c r="AC7" s="69">
        <v>10500</v>
      </c>
      <c r="AD7" s="70">
        <v>4</v>
      </c>
      <c r="AE7" s="70">
        <v>7.71</v>
      </c>
      <c r="AF7" s="62">
        <f t="shared" si="17"/>
        <v>420</v>
      </c>
      <c r="AG7" s="63">
        <f t="shared" si="18"/>
        <v>809.55000000000007</v>
      </c>
      <c r="AH7" s="96">
        <v>57.4</v>
      </c>
      <c r="AI7" s="66">
        <v>4.0199999999999996</v>
      </c>
      <c r="AJ7" s="66">
        <v>8.18</v>
      </c>
      <c r="AK7" s="62">
        <f t="shared" si="19"/>
        <v>2.3074799999999995</v>
      </c>
      <c r="AL7" s="72">
        <f t="shared" si="20"/>
        <v>4.6953199999999997</v>
      </c>
      <c r="AM7" s="73">
        <f t="shared" si="21"/>
        <v>0.19999999999854623</v>
      </c>
      <c r="AN7" s="74">
        <f t="shared" si="22"/>
        <v>2.3448439999997945</v>
      </c>
      <c r="AO7" s="74">
        <f t="shared" si="23"/>
        <v>49.221561999999871</v>
      </c>
      <c r="AP7" s="75">
        <f t="shared" si="24"/>
        <v>9.9698604632284971E-2</v>
      </c>
      <c r="AQ7" s="76">
        <f t="shared" si="25"/>
        <v>15868.193481791539</v>
      </c>
      <c r="AR7" s="83">
        <f t="shared" si="26"/>
        <v>0.19999999999890861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79">
        <v>57.4</v>
      </c>
      <c r="E8" s="62">
        <v>4.0199999999999996</v>
      </c>
      <c r="F8" s="62">
        <v>8.18</v>
      </c>
      <c r="G8" s="169">
        <f t="shared" si="0"/>
        <v>2.3074799999999995</v>
      </c>
      <c r="H8" s="170">
        <f t="shared" si="1"/>
        <v>4.6953199999999997</v>
      </c>
      <c r="I8" s="118">
        <v>2612</v>
      </c>
      <c r="J8" s="119">
        <v>2690.36</v>
      </c>
      <c r="K8" s="120">
        <v>4.2455245022970907</v>
      </c>
      <c r="L8" s="121">
        <v>8.1813820826952579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2690.36</v>
      </c>
      <c r="S8" s="62">
        <f t="shared" si="13"/>
        <v>114.21989300000001</v>
      </c>
      <c r="T8" s="63">
        <f t="shared" si="14"/>
        <v>220.10863100000017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96">
        <v>2747.3</v>
      </c>
      <c r="AI8" s="66">
        <v>4.24</v>
      </c>
      <c r="AJ8" s="66">
        <v>8.18</v>
      </c>
      <c r="AK8" s="62">
        <f t="shared" si="19"/>
        <v>116.48552000000001</v>
      </c>
      <c r="AL8" s="72">
        <f t="shared" si="20"/>
        <v>224.72914</v>
      </c>
      <c r="AM8" s="73">
        <f t="shared" si="21"/>
        <v>0.46000000000003638</v>
      </c>
      <c r="AN8" s="74">
        <f t="shared" si="22"/>
        <v>4.1853000000003249E-2</v>
      </c>
      <c r="AO8" s="74">
        <f t="shared" si="23"/>
        <v>7.4811000000181593E-2</v>
      </c>
      <c r="AP8" s="75">
        <f t="shared" si="24"/>
        <v>3.4895018410150601E-4</v>
      </c>
      <c r="AQ8" s="76">
        <f t="shared" si="25"/>
        <v>42.516957159854897</v>
      </c>
      <c r="AR8" s="83">
        <f t="shared" si="26"/>
        <v>0.46000000000003638</v>
      </c>
    </row>
    <row r="9" spans="1:44" x14ac:dyDescent="0.25">
      <c r="A9" t="str">
        <f t="shared" si="11"/>
        <v>46206E</v>
      </c>
      <c r="B9" s="51">
        <f t="shared" ref="B9:B65" si="27">+B7+1</f>
        <v>46206</v>
      </c>
      <c r="C9" s="52" t="s">
        <v>88</v>
      </c>
      <c r="D9" s="79">
        <v>2747.3</v>
      </c>
      <c r="E9" s="62">
        <v>4.24</v>
      </c>
      <c r="F9" s="62">
        <v>8.18</v>
      </c>
      <c r="G9" s="169">
        <f t="shared" si="0"/>
        <v>116.48552000000001</v>
      </c>
      <c r="H9" s="170">
        <f t="shared" si="1"/>
        <v>224.72914</v>
      </c>
      <c r="I9" s="118">
        <v>2938.9</v>
      </c>
      <c r="J9" s="119">
        <v>3027.067</v>
      </c>
      <c r="K9" s="120">
        <v>4.0406444588111174</v>
      </c>
      <c r="L9" s="121">
        <v>8.0996189050324929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3027.067</v>
      </c>
      <c r="S9" s="62">
        <f t="shared" si="13"/>
        <v>122.31301499999994</v>
      </c>
      <c r="T9" s="63">
        <f t="shared" si="14"/>
        <v>245.18089099999995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09">
        <v>5774.3</v>
      </c>
      <c r="AI9" s="66">
        <v>4.13</v>
      </c>
      <c r="AJ9" s="66">
        <v>8.1300000000000008</v>
      </c>
      <c r="AK9" s="62">
        <f t="shared" si="19"/>
        <v>238.47859</v>
      </c>
      <c r="AL9" s="72">
        <f t="shared" si="20"/>
        <v>469.45059000000009</v>
      </c>
      <c r="AM9" s="73">
        <f t="shared" si="21"/>
        <v>6.7000000000007276E-2</v>
      </c>
      <c r="AN9" s="74">
        <f t="shared" si="22"/>
        <v>0.31994499999996151</v>
      </c>
      <c r="AO9" s="74">
        <f t="shared" si="23"/>
        <v>0.4594409999998561</v>
      </c>
      <c r="AP9" s="75">
        <f t="shared" si="24"/>
        <v>2.1208133992834644E-3</v>
      </c>
      <c r="AQ9" s="76">
        <f t="shared" si="25"/>
        <v>291.34247488751578</v>
      </c>
      <c r="AR9" s="83">
        <f t="shared" si="26"/>
        <v>6.7000000000007276E-2</v>
      </c>
    </row>
    <row r="10" spans="1:44" x14ac:dyDescent="0.25">
      <c r="A10" t="str">
        <f t="shared" si="11"/>
        <v>46207M</v>
      </c>
      <c r="B10" s="51">
        <f t="shared" si="27"/>
        <v>46207</v>
      </c>
      <c r="C10" s="52" t="s">
        <v>87</v>
      </c>
      <c r="D10" s="79">
        <v>5774.3</v>
      </c>
      <c r="E10" s="62">
        <v>4.13</v>
      </c>
      <c r="F10" s="62">
        <v>8.1300000000000008</v>
      </c>
      <c r="G10" s="169">
        <f t="shared" si="0"/>
        <v>238.47859</v>
      </c>
      <c r="H10" s="170">
        <f t="shared" si="1"/>
        <v>469.45059000000009</v>
      </c>
      <c r="I10" s="118">
        <v>2690.5999999999995</v>
      </c>
      <c r="J10" s="119">
        <v>2771.3179999999993</v>
      </c>
      <c r="K10" s="120">
        <v>4.296710770831786</v>
      </c>
      <c r="L10" s="121">
        <v>8.1569538392923544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2771.3179999999993</v>
      </c>
      <c r="S10" s="62">
        <f t="shared" si="13"/>
        <v>119.075519</v>
      </c>
      <c r="T10" s="63">
        <f t="shared" si="14"/>
        <v>226.05513000000002</v>
      </c>
      <c r="U10" s="64" t="s">
        <v>195</v>
      </c>
      <c r="V10" s="65" t="s">
        <v>276</v>
      </c>
      <c r="W10" s="66" t="s">
        <v>181</v>
      </c>
      <c r="X10" s="67">
        <v>9130</v>
      </c>
      <c r="Y10" s="68">
        <v>4.3</v>
      </c>
      <c r="Z10" s="68">
        <v>7.88</v>
      </c>
      <c r="AA10" s="62">
        <f t="shared" si="15"/>
        <v>392.59</v>
      </c>
      <c r="AB10" s="63">
        <f t="shared" si="16"/>
        <v>719.44399999999996</v>
      </c>
      <c r="AC10" s="69">
        <v>9140</v>
      </c>
      <c r="AD10" s="70">
        <v>4.2757658643326035</v>
      </c>
      <c r="AE10" s="70">
        <v>7.8251531728665205</v>
      </c>
      <c r="AF10" s="62">
        <f t="shared" si="17"/>
        <v>390.80499999999995</v>
      </c>
      <c r="AG10" s="63">
        <f t="shared" si="18"/>
        <v>715.21900000000005</v>
      </c>
      <c r="AH10" s="96">
        <v>0</v>
      </c>
      <c r="AI10" s="66">
        <v>0</v>
      </c>
      <c r="AJ10" s="66">
        <v>0</v>
      </c>
      <c r="AK10" s="62">
        <f t="shared" si="19"/>
        <v>0</v>
      </c>
      <c r="AL10" s="72">
        <f t="shared" si="20"/>
        <v>0</v>
      </c>
      <c r="AM10" s="73">
        <f t="shared" si="21"/>
        <v>-594.38200000000143</v>
      </c>
      <c r="AN10" s="74">
        <f t="shared" si="22"/>
        <v>-33.250890999999967</v>
      </c>
      <c r="AO10" s="74">
        <f t="shared" si="23"/>
        <v>-19.713279999999941</v>
      </c>
      <c r="AP10" s="75">
        <f t="shared" si="24"/>
        <v>-0.15346122157930955</v>
      </c>
      <c r="AQ10" s="76">
        <f t="shared" si="25"/>
        <v>-21882.087185458662</v>
      </c>
      <c r="AR10" s="83">
        <f t="shared" si="26"/>
        <v>-584.38200000000143</v>
      </c>
    </row>
    <row r="11" spans="1:44" x14ac:dyDescent="0.25">
      <c r="A11" t="str">
        <f t="shared" si="11"/>
        <v>46207E</v>
      </c>
      <c r="B11" s="51">
        <f t="shared" si="27"/>
        <v>46207</v>
      </c>
      <c r="C11" s="52" t="s">
        <v>88</v>
      </c>
      <c r="D11" s="79">
        <v>0</v>
      </c>
      <c r="E11" s="62">
        <v>0</v>
      </c>
      <c r="F11" s="62">
        <v>0</v>
      </c>
      <c r="G11" s="169">
        <f t="shared" si="0"/>
        <v>0</v>
      </c>
      <c r="H11" s="170">
        <f t="shared" si="1"/>
        <v>0</v>
      </c>
      <c r="I11" s="118">
        <v>3306.7</v>
      </c>
      <c r="J11" s="119">
        <v>3405.9009999999998</v>
      </c>
      <c r="K11" s="120">
        <v>3.9022923156016591</v>
      </c>
      <c r="L11" s="121">
        <v>8.0987903347748489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3405.9009999999998</v>
      </c>
      <c r="S11" s="62">
        <f t="shared" si="13"/>
        <v>132.90821300000005</v>
      </c>
      <c r="T11" s="63">
        <f t="shared" si="14"/>
        <v>275.83678099999992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96">
        <v>3405.9</v>
      </c>
      <c r="AI11" s="66">
        <v>3.9</v>
      </c>
      <c r="AJ11" s="66">
        <v>8.1</v>
      </c>
      <c r="AK11" s="62">
        <f t="shared" si="19"/>
        <v>132.83010000000002</v>
      </c>
      <c r="AL11" s="72">
        <f t="shared" si="20"/>
        <v>275.87790000000001</v>
      </c>
      <c r="AM11" s="73">
        <f t="shared" si="21"/>
        <v>9.9999999974897946E-4</v>
      </c>
      <c r="AN11" s="74">
        <f t="shared" si="22"/>
        <v>7.8113000000030297E-2</v>
      </c>
      <c r="AO11" s="74">
        <f t="shared" si="23"/>
        <v>-4.1119000000094275E-2</v>
      </c>
      <c r="AP11" s="75">
        <f t="shared" si="24"/>
        <v>9.0506307215926476E-5</v>
      </c>
      <c r="AQ11" s="76">
        <f t="shared" si="25"/>
        <v>25.221064361284299</v>
      </c>
      <c r="AR11" s="83">
        <f t="shared" si="26"/>
        <v>9.9999999974897946E-4</v>
      </c>
    </row>
    <row r="12" spans="1:44" x14ac:dyDescent="0.25">
      <c r="A12" t="str">
        <f t="shared" si="11"/>
        <v>46208M</v>
      </c>
      <c r="B12" s="51">
        <f t="shared" si="27"/>
        <v>46208</v>
      </c>
      <c r="C12" s="52" t="s">
        <v>87</v>
      </c>
      <c r="D12" s="79">
        <v>3405.9</v>
      </c>
      <c r="E12" s="62">
        <v>3.9</v>
      </c>
      <c r="F12" s="62">
        <v>8.1</v>
      </c>
      <c r="G12" s="169">
        <f t="shared" si="0"/>
        <v>132.83010000000002</v>
      </c>
      <c r="H12" s="170">
        <f t="shared" si="1"/>
        <v>275.87790000000001</v>
      </c>
      <c r="I12" s="118">
        <v>2988.9999999999991</v>
      </c>
      <c r="J12" s="119">
        <v>3078.6699999999992</v>
      </c>
      <c r="K12" s="120">
        <v>4.1611241217798591</v>
      </c>
      <c r="L12" s="121">
        <v>8.0959785881565747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3078.6699999999992</v>
      </c>
      <c r="S12" s="62">
        <f t="shared" si="13"/>
        <v>128.10727999999995</v>
      </c>
      <c r="T12" s="63">
        <f t="shared" si="14"/>
        <v>249.24846399999993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96">
        <v>6484.5</v>
      </c>
      <c r="AI12" s="66">
        <v>4.0199999999999996</v>
      </c>
      <c r="AJ12" s="66">
        <v>8.1</v>
      </c>
      <c r="AK12" s="62">
        <f t="shared" si="19"/>
        <v>260.67689999999993</v>
      </c>
      <c r="AL12" s="72">
        <f t="shared" si="20"/>
        <v>525.24450000000002</v>
      </c>
      <c r="AM12" s="73">
        <f t="shared" si="21"/>
        <v>6.9999999999708962E-2</v>
      </c>
      <c r="AN12" s="74">
        <f t="shared" si="22"/>
        <v>0.26048000000002958</v>
      </c>
      <c r="AO12" s="74">
        <f t="shared" si="23"/>
        <v>-0.11813600000004953</v>
      </c>
      <c r="AP12" s="75">
        <f t="shared" si="24"/>
        <v>3.7721434551683965E-4</v>
      </c>
      <c r="AQ12" s="76">
        <f t="shared" si="25"/>
        <v>89.788437399995942</v>
      </c>
      <c r="AR12" s="83">
        <f t="shared" si="26"/>
        <v>6.9999999999708962E-2</v>
      </c>
    </row>
    <row r="13" spans="1:44" x14ac:dyDescent="0.25">
      <c r="A13" t="str">
        <f t="shared" si="11"/>
        <v>46208E</v>
      </c>
      <c r="B13" s="51">
        <f t="shared" si="27"/>
        <v>46208</v>
      </c>
      <c r="C13" s="52" t="s">
        <v>88</v>
      </c>
      <c r="D13" s="79">
        <v>6484.5</v>
      </c>
      <c r="E13" s="62">
        <v>4.0199999999999996</v>
      </c>
      <c r="F13" s="62">
        <v>8.1</v>
      </c>
      <c r="G13" s="169">
        <f t="shared" si="0"/>
        <v>260.67689999999993</v>
      </c>
      <c r="H13" s="170">
        <f t="shared" si="1"/>
        <v>525.24450000000002</v>
      </c>
      <c r="I13" s="118">
        <v>3143.8999999999992</v>
      </c>
      <c r="J13" s="119">
        <v>3238.2169999999992</v>
      </c>
      <c r="K13" s="120">
        <v>3.8909634530360373</v>
      </c>
      <c r="L13" s="121">
        <v>8.0898756321765948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3238.2169999999992</v>
      </c>
      <c r="S13" s="62">
        <f t="shared" si="13"/>
        <v>125.99783999999994</v>
      </c>
      <c r="T13" s="63">
        <f t="shared" si="14"/>
        <v>261.96772799999991</v>
      </c>
      <c r="U13" s="64" t="s">
        <v>196</v>
      </c>
      <c r="V13" s="65" t="s">
        <v>277</v>
      </c>
      <c r="W13" s="66" t="s">
        <v>181</v>
      </c>
      <c r="X13" s="67">
        <v>9900</v>
      </c>
      <c r="Y13" s="68">
        <v>4.1900000000000004</v>
      </c>
      <c r="Z13" s="68">
        <v>7.99</v>
      </c>
      <c r="AA13" s="62">
        <f t="shared" si="15"/>
        <v>414.81000000000006</v>
      </c>
      <c r="AB13" s="63">
        <f t="shared" si="16"/>
        <v>791.01</v>
      </c>
      <c r="AC13" s="69">
        <v>9880</v>
      </c>
      <c r="AD13" s="70">
        <v>4.1396761133603244</v>
      </c>
      <c r="AE13" s="70">
        <v>7.9363562753036447</v>
      </c>
      <c r="AF13" s="62">
        <f t="shared" si="17"/>
        <v>409.00000000000006</v>
      </c>
      <c r="AG13" s="63">
        <f t="shared" si="18"/>
        <v>784.11200000000019</v>
      </c>
      <c r="AH13" s="96">
        <v>0</v>
      </c>
      <c r="AI13" s="66">
        <v>0</v>
      </c>
      <c r="AJ13" s="66">
        <v>0</v>
      </c>
      <c r="AK13" s="62">
        <f t="shared" si="19"/>
        <v>0</v>
      </c>
      <c r="AL13" s="72">
        <f t="shared" si="20"/>
        <v>0</v>
      </c>
      <c r="AM13" s="73">
        <f t="shared" si="21"/>
        <v>-157.28300000000127</v>
      </c>
      <c r="AN13" s="74">
        <f t="shared" si="22"/>
        <v>-22.325260000000185</v>
      </c>
      <c r="AO13" s="74">
        <f t="shared" si="23"/>
        <v>3.1002279999996745</v>
      </c>
      <c r="AP13" s="75">
        <f t="shared" si="24"/>
        <v>-4.9553449031849439E-2</v>
      </c>
      <c r="AQ13" s="76">
        <f t="shared" si="25"/>
        <v>-9799.5233512287905</v>
      </c>
      <c r="AR13" s="83">
        <f t="shared" si="26"/>
        <v>-177.28300000000127</v>
      </c>
    </row>
    <row r="14" spans="1:44" x14ac:dyDescent="0.25">
      <c r="A14" t="str">
        <f t="shared" si="11"/>
        <v>46209M</v>
      </c>
      <c r="B14" s="51">
        <f t="shared" si="27"/>
        <v>46209</v>
      </c>
      <c r="C14" s="52" t="s">
        <v>87</v>
      </c>
      <c r="D14" s="79">
        <v>0</v>
      </c>
      <c r="E14" s="62">
        <v>0</v>
      </c>
      <c r="F14" s="62">
        <v>0</v>
      </c>
      <c r="G14" s="169">
        <f t="shared" si="0"/>
        <v>0</v>
      </c>
      <c r="H14" s="170">
        <f t="shared" si="1"/>
        <v>0</v>
      </c>
      <c r="I14" s="118">
        <v>2569.3999999999992</v>
      </c>
      <c r="J14" s="119">
        <v>2646.4819999999991</v>
      </c>
      <c r="K14" s="120">
        <v>4.3828714875068115</v>
      </c>
      <c r="L14" s="121">
        <v>8.1142640305129596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2646.4819999999991</v>
      </c>
      <c r="S14" s="62">
        <f t="shared" si="13"/>
        <v>115.99190499999997</v>
      </c>
      <c r="T14" s="63">
        <f t="shared" si="14"/>
        <v>214.74253699999988</v>
      </c>
      <c r="U14" s="64" t="s">
        <v>167</v>
      </c>
      <c r="V14" s="65" t="s">
        <v>180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2646.4</v>
      </c>
      <c r="AI14" s="66">
        <v>4.38</v>
      </c>
      <c r="AJ14" s="66">
        <v>8.11</v>
      </c>
      <c r="AK14" s="62">
        <f t="shared" si="19"/>
        <v>115.91231999999999</v>
      </c>
      <c r="AL14" s="72">
        <f t="shared" si="20"/>
        <v>214.62303999999997</v>
      </c>
      <c r="AM14" s="73">
        <f t="shared" si="21"/>
        <v>8.1999999998970452E-2</v>
      </c>
      <c r="AN14" s="74">
        <f t="shared" si="22"/>
        <v>7.9584999999980255E-2</v>
      </c>
      <c r="AO14" s="74">
        <f t="shared" si="23"/>
        <v>0.11949699999991026</v>
      </c>
      <c r="AP14" s="75">
        <f t="shared" si="24"/>
        <v>6.0193912311040957E-4</v>
      </c>
      <c r="AQ14" s="76">
        <f t="shared" si="25"/>
        <v>74.031470383886614</v>
      </c>
      <c r="AR14" s="90">
        <f t="shared" ref="AR14:AR21" si="28">(D14+J14+O14)-(X14+AH14)</f>
        <v>8.1999999998970452E-2</v>
      </c>
    </row>
    <row r="15" spans="1:44" x14ac:dyDescent="0.25">
      <c r="A15" t="str">
        <f t="shared" si="11"/>
        <v>46209E</v>
      </c>
      <c r="B15" s="51">
        <f t="shared" si="27"/>
        <v>46209</v>
      </c>
      <c r="C15" s="52" t="s">
        <v>88</v>
      </c>
      <c r="D15" s="79">
        <v>2646.4</v>
      </c>
      <c r="E15" s="62">
        <v>4.38</v>
      </c>
      <c r="F15" s="62">
        <v>8.11</v>
      </c>
      <c r="G15" s="169">
        <f t="shared" si="0"/>
        <v>115.91231999999999</v>
      </c>
      <c r="H15" s="170">
        <f t="shared" si="1"/>
        <v>214.62303999999997</v>
      </c>
      <c r="I15" s="118">
        <v>2133.099999999999</v>
      </c>
      <c r="J15" s="119">
        <v>2197.0929999999989</v>
      </c>
      <c r="K15" s="120">
        <v>4.1607097651305605</v>
      </c>
      <c r="L15" s="121">
        <v>8.1114621911771607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2197.0929999999989</v>
      </c>
      <c r="S15" s="62">
        <f t="shared" si="13"/>
        <v>91.414662999999933</v>
      </c>
      <c r="T15" s="63">
        <f t="shared" si="14"/>
        <v>178.2163679999999</v>
      </c>
      <c r="U15" s="64" t="s">
        <v>167</v>
      </c>
      <c r="V15" s="65" t="s">
        <v>180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4843.3999999999996</v>
      </c>
      <c r="AI15" s="66">
        <v>4.28</v>
      </c>
      <c r="AJ15" s="66">
        <v>8.11</v>
      </c>
      <c r="AK15" s="62">
        <f t="shared" si="19"/>
        <v>207.29752000000002</v>
      </c>
      <c r="AL15" s="72">
        <f t="shared" si="20"/>
        <v>392.79973999999993</v>
      </c>
      <c r="AM15" s="73">
        <f t="shared" si="21"/>
        <v>9.299999999893771E-2</v>
      </c>
      <c r="AN15" s="74">
        <f t="shared" si="22"/>
        <v>2.9462999999907424E-2</v>
      </c>
      <c r="AO15" s="74">
        <f t="shared" si="23"/>
        <v>3.9667999999949188E-2</v>
      </c>
      <c r="AP15" s="75">
        <f t="shared" si="24"/>
        <v>2.5639111248978107E-4</v>
      </c>
      <c r="AQ15" s="76">
        <f t="shared" si="25"/>
        <v>26.03814327047106</v>
      </c>
      <c r="AR15" s="90">
        <f t="shared" si="28"/>
        <v>9.299999999893771E-2</v>
      </c>
    </row>
    <row r="16" spans="1:44" x14ac:dyDescent="0.25">
      <c r="A16" t="str">
        <f t="shared" si="11"/>
        <v>46210M</v>
      </c>
      <c r="B16" s="51">
        <f t="shared" si="27"/>
        <v>46210</v>
      </c>
      <c r="C16" s="52" t="s">
        <v>87</v>
      </c>
      <c r="D16" s="79">
        <v>4843.3999999999996</v>
      </c>
      <c r="E16" s="62">
        <v>4.28</v>
      </c>
      <c r="F16" s="62">
        <v>8.11</v>
      </c>
      <c r="G16" s="169">
        <f t="shared" si="0"/>
        <v>207.29752000000002</v>
      </c>
      <c r="H16" s="170">
        <f t="shared" si="1"/>
        <v>392.79973999999993</v>
      </c>
      <c r="I16" s="118">
        <v>2870.4</v>
      </c>
      <c r="J16" s="119">
        <v>2956.5120000000002</v>
      </c>
      <c r="K16" s="120">
        <v>4.3057727146042373</v>
      </c>
      <c r="L16" s="121">
        <v>8.1391130156075828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2956.5120000000002</v>
      </c>
      <c r="S16" s="62">
        <f t="shared" si="13"/>
        <v>127.30068700000002</v>
      </c>
      <c r="T16" s="63">
        <f t="shared" si="14"/>
        <v>240.63385300000007</v>
      </c>
      <c r="U16" s="64" t="s">
        <v>167</v>
      </c>
      <c r="V16" s="65" t="s">
        <v>180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5"/>
        <v>0</v>
      </c>
      <c r="AB16" s="63">
        <f t="shared" si="1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96">
        <v>7790.9</v>
      </c>
      <c r="AI16" s="117">
        <v>4.29</v>
      </c>
      <c r="AJ16" s="117">
        <v>8.1199999999999992</v>
      </c>
      <c r="AK16" s="62">
        <f t="shared" si="19"/>
        <v>334.22960999999998</v>
      </c>
      <c r="AL16" s="72">
        <f t="shared" si="20"/>
        <v>632.62107999999989</v>
      </c>
      <c r="AM16" s="73">
        <f t="shared" si="21"/>
        <v>9.0120000000006257</v>
      </c>
      <c r="AN16" s="74">
        <f t="shared" si="22"/>
        <v>0.36859700000007933</v>
      </c>
      <c r="AO16" s="74">
        <f t="shared" si="23"/>
        <v>0.81251300000008086</v>
      </c>
      <c r="AP16" s="75">
        <f t="shared" si="24"/>
        <v>3.2101090590738231E-3</v>
      </c>
      <c r="AQ16" s="76">
        <f t="shared" si="25"/>
        <v>420.46326510896148</v>
      </c>
      <c r="AR16" s="90">
        <f t="shared" si="28"/>
        <v>9.0120000000006257</v>
      </c>
    </row>
    <row r="17" spans="1:48" x14ac:dyDescent="0.25">
      <c r="A17" t="str">
        <f t="shared" si="11"/>
        <v>46210E</v>
      </c>
      <c r="B17" s="51">
        <f t="shared" si="27"/>
        <v>46210</v>
      </c>
      <c r="C17" s="52" t="s">
        <v>88</v>
      </c>
      <c r="D17" s="79">
        <v>7790.9</v>
      </c>
      <c r="E17" s="62">
        <v>4.29</v>
      </c>
      <c r="F17" s="62">
        <v>8.1199999999999992</v>
      </c>
      <c r="G17" s="169">
        <f t="shared" si="0"/>
        <v>334.22960999999998</v>
      </c>
      <c r="H17" s="170">
        <f t="shared" si="1"/>
        <v>632.62107999999989</v>
      </c>
      <c r="I17" s="118">
        <v>2847.0999999999995</v>
      </c>
      <c r="J17" s="119">
        <v>2932.5129999999995</v>
      </c>
      <c r="K17" s="120">
        <v>4.0163956306417052</v>
      </c>
      <c r="L17" s="121">
        <v>8.0986863826349644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2932.5129999999995</v>
      </c>
      <c r="S17" s="62">
        <f t="shared" si="13"/>
        <v>117.78132399999997</v>
      </c>
      <c r="T17" s="63">
        <f t="shared" si="14"/>
        <v>237.49503100000004</v>
      </c>
      <c r="U17" s="64" t="s">
        <v>195</v>
      </c>
      <c r="V17" s="65" t="s">
        <v>337</v>
      </c>
      <c r="W17" s="66" t="s">
        <v>181</v>
      </c>
      <c r="X17" s="67">
        <v>9310</v>
      </c>
      <c r="Y17" s="68">
        <v>4.3499999999999996</v>
      </c>
      <c r="Z17" s="68">
        <v>8.07</v>
      </c>
      <c r="AA17" s="62">
        <f t="shared" si="15"/>
        <v>404.98499999999996</v>
      </c>
      <c r="AB17" s="63">
        <f t="shared" si="16"/>
        <v>751.31700000000012</v>
      </c>
      <c r="AC17" s="69">
        <v>9300</v>
      </c>
      <c r="AD17" s="70">
        <v>4.3</v>
      </c>
      <c r="AE17" s="70">
        <v>7.89</v>
      </c>
      <c r="AF17" s="62">
        <f t="shared" si="17"/>
        <v>399.9</v>
      </c>
      <c r="AG17" s="63">
        <f t="shared" si="18"/>
        <v>733.77</v>
      </c>
      <c r="AH17" s="96">
        <v>1413.4</v>
      </c>
      <c r="AI17" s="66">
        <v>4.21</v>
      </c>
      <c r="AJ17" s="66">
        <v>8.11</v>
      </c>
      <c r="AK17" s="62">
        <f t="shared" si="19"/>
        <v>59.50414</v>
      </c>
      <c r="AL17" s="72">
        <f t="shared" si="20"/>
        <v>114.62674</v>
      </c>
      <c r="AM17" s="73">
        <f t="shared" si="21"/>
        <v>10.012999999998556</v>
      </c>
      <c r="AN17" s="74">
        <f t="shared" si="22"/>
        <v>-7.3932060000000135</v>
      </c>
      <c r="AO17" s="74">
        <f t="shared" si="23"/>
        <v>21.719370999999953</v>
      </c>
      <c r="AP17" s="75">
        <f t="shared" si="24"/>
        <v>4.0324003549293164E-2</v>
      </c>
      <c r="AQ17" s="76">
        <f t="shared" si="25"/>
        <v>2952.082152130462</v>
      </c>
      <c r="AR17" s="90">
        <f t="shared" si="28"/>
        <v>1.299999999901047E-2</v>
      </c>
    </row>
    <row r="18" spans="1:48" x14ac:dyDescent="0.25">
      <c r="A18" t="str">
        <f t="shared" si="11"/>
        <v>46211M</v>
      </c>
      <c r="B18" s="51">
        <f t="shared" si="27"/>
        <v>46211</v>
      </c>
      <c r="C18" s="52" t="s">
        <v>87</v>
      </c>
      <c r="D18" s="79">
        <v>1413.4</v>
      </c>
      <c r="E18" s="62">
        <v>4.21</v>
      </c>
      <c r="F18" s="62">
        <v>8.11</v>
      </c>
      <c r="G18" s="169">
        <f t="shared" si="0"/>
        <v>59.50414</v>
      </c>
      <c r="H18" s="170">
        <f t="shared" si="1"/>
        <v>114.62674</v>
      </c>
      <c r="I18" s="118">
        <v>2967.8999999999996</v>
      </c>
      <c r="J18" s="119">
        <v>3056.9369999999999</v>
      </c>
      <c r="K18" s="120">
        <v>4.2439603760234501</v>
      </c>
      <c r="L18" s="121">
        <v>8.1163988004986667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3056.9369999999999</v>
      </c>
      <c r="S18" s="62">
        <f t="shared" si="13"/>
        <v>129.73519499999998</v>
      </c>
      <c r="T18" s="63">
        <f t="shared" si="14"/>
        <v>248.11319799999993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96">
        <v>4470.3</v>
      </c>
      <c r="AI18" s="66">
        <v>4.22</v>
      </c>
      <c r="AJ18" s="66">
        <v>8.1199999999999992</v>
      </c>
      <c r="AK18" s="62">
        <f t="shared" si="19"/>
        <v>188.64666</v>
      </c>
      <c r="AL18" s="72">
        <f t="shared" si="20"/>
        <v>362.98836</v>
      </c>
      <c r="AM18" s="73">
        <f t="shared" si="21"/>
        <v>3.699999999935244E-2</v>
      </c>
      <c r="AN18" s="74">
        <f t="shared" si="22"/>
        <v>0.59267499999998563</v>
      </c>
      <c r="AO18" s="74">
        <f t="shared" si="23"/>
        <v>-0.24842200000006187</v>
      </c>
      <c r="AP18" s="75">
        <f t="shared" si="24"/>
        <v>9.1108763826322232E-4</v>
      </c>
      <c r="AQ18" s="76">
        <f t="shared" si="25"/>
        <v>210.39944953239205</v>
      </c>
      <c r="AR18" s="90">
        <f t="shared" si="28"/>
        <v>3.699999999935244E-2</v>
      </c>
    </row>
    <row r="19" spans="1:48" x14ac:dyDescent="0.25">
      <c r="A19" t="str">
        <f t="shared" si="11"/>
        <v>46211E</v>
      </c>
      <c r="B19" s="51">
        <f t="shared" si="27"/>
        <v>46211</v>
      </c>
      <c r="C19" s="52" t="s">
        <v>88</v>
      </c>
      <c r="D19" s="79">
        <v>4470.3</v>
      </c>
      <c r="E19" s="62">
        <v>4.22</v>
      </c>
      <c r="F19" s="62">
        <v>8.1199999999999992</v>
      </c>
      <c r="G19" s="169">
        <f t="shared" si="0"/>
        <v>188.64666</v>
      </c>
      <c r="H19" s="170">
        <f t="shared" si="1"/>
        <v>362.98836</v>
      </c>
      <c r="I19" s="118">
        <v>3217.8999999999992</v>
      </c>
      <c r="J19" s="119">
        <v>3314.4369999999994</v>
      </c>
      <c r="K19" s="120">
        <v>3.9930637993722615</v>
      </c>
      <c r="L19" s="121">
        <v>8.0321669411728145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3314.4369999999994</v>
      </c>
      <c r="S19" s="62">
        <f t="shared" si="13"/>
        <v>132.34758399999998</v>
      </c>
      <c r="T19" s="63">
        <f t="shared" si="14"/>
        <v>266.22111299999995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96">
        <v>7784.7</v>
      </c>
      <c r="AI19" s="66">
        <v>4.12</v>
      </c>
      <c r="AJ19" s="66">
        <v>8.08</v>
      </c>
      <c r="AK19" s="62">
        <f t="shared" si="19"/>
        <v>320.72964000000002</v>
      </c>
      <c r="AL19" s="72">
        <f t="shared" si="20"/>
        <v>629.00375999999994</v>
      </c>
      <c r="AM19" s="73">
        <f t="shared" si="21"/>
        <v>3.699999999935244E-2</v>
      </c>
      <c r="AN19" s="74">
        <f t="shared" si="22"/>
        <v>0.26460399999996298</v>
      </c>
      <c r="AO19" s="74">
        <f t="shared" si="23"/>
        <v>0.20571299999994608</v>
      </c>
      <c r="AP19" s="75">
        <f t="shared" si="24"/>
        <v>1.1800148971556317E-3</v>
      </c>
      <c r="AQ19" s="76">
        <f t="shared" si="25"/>
        <v>188.76004605212347</v>
      </c>
      <c r="AR19" s="90">
        <f t="shared" si="28"/>
        <v>3.699999999935244E-2</v>
      </c>
    </row>
    <row r="20" spans="1:48" x14ac:dyDescent="0.25">
      <c r="A20" t="str">
        <f t="shared" si="11"/>
        <v>46212M</v>
      </c>
      <c r="B20" s="51">
        <f>+B18+1</f>
        <v>46212</v>
      </c>
      <c r="C20" s="52" t="s">
        <v>87</v>
      </c>
      <c r="D20" s="79">
        <v>7784.7</v>
      </c>
      <c r="E20" s="62">
        <v>4.12</v>
      </c>
      <c r="F20" s="62">
        <v>8.08</v>
      </c>
      <c r="G20" s="169">
        <f t="shared" si="0"/>
        <v>320.72964000000002</v>
      </c>
      <c r="H20" s="170">
        <f t="shared" si="1"/>
        <v>629.00375999999994</v>
      </c>
      <c r="I20" s="118">
        <v>3461.4999999999995</v>
      </c>
      <c r="J20" s="119">
        <v>3565.3449999999998</v>
      </c>
      <c r="K20" s="120">
        <v>4.1584168712985692</v>
      </c>
      <c r="L20" s="121">
        <v>8.0531503683374286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3565.3449999999998</v>
      </c>
      <c r="S20" s="62">
        <f t="shared" si="13"/>
        <v>148.26190799999995</v>
      </c>
      <c r="T20" s="63">
        <f t="shared" si="14"/>
        <v>287.12259400000011</v>
      </c>
      <c r="U20" s="64" t="s">
        <v>195</v>
      </c>
      <c r="V20" s="65" t="s">
        <v>397</v>
      </c>
      <c r="W20" s="66" t="s">
        <v>181</v>
      </c>
      <c r="X20" s="67">
        <v>9400</v>
      </c>
      <c r="Y20" s="68">
        <v>4.3499999999999996</v>
      </c>
      <c r="Z20" s="68">
        <v>8</v>
      </c>
      <c r="AA20" s="62">
        <f t="shared" si="15"/>
        <v>408.9</v>
      </c>
      <c r="AB20" s="63">
        <f t="shared" si="16"/>
        <v>752</v>
      </c>
      <c r="AC20" s="69">
        <v>9440</v>
      </c>
      <c r="AD20" s="70">
        <v>4.2999999999999989</v>
      </c>
      <c r="AE20" s="70">
        <v>7.8299999999999992</v>
      </c>
      <c r="AF20" s="62">
        <f t="shared" si="17"/>
        <v>405.9199999999999</v>
      </c>
      <c r="AG20" s="63">
        <f t="shared" si="18"/>
        <v>739.15199999999993</v>
      </c>
      <c r="AH20" s="96">
        <v>1950</v>
      </c>
      <c r="AI20" s="66">
        <v>4.1399999999999997</v>
      </c>
      <c r="AJ20" s="66">
        <v>8.06</v>
      </c>
      <c r="AK20" s="62">
        <f t="shared" si="19"/>
        <v>80.73</v>
      </c>
      <c r="AL20" s="72">
        <f t="shared" si="20"/>
        <v>157.17000000000002</v>
      </c>
      <c r="AM20" s="73">
        <f t="shared" si="21"/>
        <v>-39.954999999999927</v>
      </c>
      <c r="AN20" s="74">
        <f t="shared" si="22"/>
        <v>-17.65845199999994</v>
      </c>
      <c r="AO20" s="74">
        <f t="shared" si="23"/>
        <v>19.804354000000046</v>
      </c>
      <c r="AP20" s="75">
        <f t="shared" si="24"/>
        <v>4.9287514602439977E-3</v>
      </c>
      <c r="AQ20" s="76">
        <f t="shared" si="25"/>
        <v>-2554.2331909751547</v>
      </c>
      <c r="AR20" s="90">
        <f t="shared" si="28"/>
        <v>4.500000000007276E-2</v>
      </c>
    </row>
    <row r="21" spans="1:48" x14ac:dyDescent="0.25">
      <c r="A21" t="str">
        <f t="shared" si="11"/>
        <v>46212E</v>
      </c>
      <c r="B21" s="51">
        <f t="shared" si="27"/>
        <v>46212</v>
      </c>
      <c r="C21" s="52" t="s">
        <v>88</v>
      </c>
      <c r="D21" s="79">
        <v>1950</v>
      </c>
      <c r="E21" s="62">
        <v>4.1399999999999997</v>
      </c>
      <c r="F21" s="62">
        <v>8.06</v>
      </c>
      <c r="G21" s="169">
        <f t="shared" si="0"/>
        <v>80.73</v>
      </c>
      <c r="H21" s="170">
        <f t="shared" si="1"/>
        <v>157.17000000000002</v>
      </c>
      <c r="I21" s="118">
        <v>3020.6299999999997</v>
      </c>
      <c r="J21" s="119">
        <v>3111.2488999999996</v>
      </c>
      <c r="K21" s="120">
        <v>4.0339621204848006</v>
      </c>
      <c r="L21" s="121">
        <v>8.0927167511413192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3111.2488999999996</v>
      </c>
      <c r="S21" s="62">
        <f t="shared" si="13"/>
        <v>125.50660210000001</v>
      </c>
      <c r="T21" s="63">
        <f t="shared" si="14"/>
        <v>251.7845609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96">
        <v>5061.2</v>
      </c>
      <c r="AI21" s="66">
        <v>4.07</v>
      </c>
      <c r="AJ21" s="66">
        <v>8.07</v>
      </c>
      <c r="AK21" s="62">
        <f t="shared" si="19"/>
        <v>205.99083999999999</v>
      </c>
      <c r="AL21" s="72">
        <f t="shared" si="20"/>
        <v>408.43884000000003</v>
      </c>
      <c r="AM21" s="73">
        <f t="shared" si="21"/>
        <v>4.8899999999775901E-2</v>
      </c>
      <c r="AN21" s="74">
        <f t="shared" si="22"/>
        <v>0.24576210000003584</v>
      </c>
      <c r="AO21" s="74">
        <f t="shared" si="23"/>
        <v>0.51572090000001936</v>
      </c>
      <c r="AP21" s="75">
        <f t="shared" si="24"/>
        <v>2.0182900493750902E-3</v>
      </c>
      <c r="AQ21" s="76">
        <f t="shared" si="25"/>
        <v>272.55050606693015</v>
      </c>
      <c r="AR21" s="90">
        <f t="shared" si="28"/>
        <v>4.8899999999775901E-2</v>
      </c>
    </row>
    <row r="22" spans="1:48" x14ac:dyDescent="0.25">
      <c r="A22" t="str">
        <f t="shared" si="11"/>
        <v>46213M</v>
      </c>
      <c r="B22" s="51">
        <f t="shared" si="27"/>
        <v>46213</v>
      </c>
      <c r="C22" s="52" t="s">
        <v>87</v>
      </c>
      <c r="D22" s="79">
        <v>5061.2</v>
      </c>
      <c r="E22" s="62">
        <v>4.07</v>
      </c>
      <c r="F22" s="62">
        <v>8.07</v>
      </c>
      <c r="G22" s="169">
        <f t="shared" si="0"/>
        <v>205.99083999999999</v>
      </c>
      <c r="H22" s="170">
        <f t="shared" si="1"/>
        <v>408.43884000000003</v>
      </c>
      <c r="I22" s="118">
        <v>3298.9999999999995</v>
      </c>
      <c r="J22" s="119">
        <v>3397.97</v>
      </c>
      <c r="K22" s="120">
        <v>4.1383510154592287</v>
      </c>
      <c r="L22" s="121">
        <v>8.0986602000606194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3397.97</v>
      </c>
      <c r="S22" s="62">
        <f t="shared" si="13"/>
        <v>140.61992599999996</v>
      </c>
      <c r="T22" s="63">
        <f t="shared" si="14"/>
        <v>275.19004399999983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96">
        <v>8459.1</v>
      </c>
      <c r="AI22" s="66">
        <v>4.09</v>
      </c>
      <c r="AJ22" s="66">
        <v>8.09</v>
      </c>
      <c r="AK22" s="62">
        <f t="shared" si="19"/>
        <v>345.97719000000001</v>
      </c>
      <c r="AL22" s="72">
        <f t="shared" si="20"/>
        <v>684.34118999999998</v>
      </c>
      <c r="AM22" s="73">
        <f t="shared" si="21"/>
        <v>6.9999999999708962E-2</v>
      </c>
      <c r="AN22" s="74">
        <f t="shared" si="22"/>
        <v>0.63357599999994818</v>
      </c>
      <c r="AO22" s="74">
        <f t="shared" si="23"/>
        <v>-0.71230600000012601</v>
      </c>
      <c r="AP22" s="75">
        <f t="shared" si="24"/>
        <v>-1.8934129934445262E-4</v>
      </c>
      <c r="AQ22" s="76">
        <f t="shared" si="25"/>
        <v>91.124582946142425</v>
      </c>
      <c r="AR22" s="83">
        <f>(D22+J22+O22)-(X22+AH22)</f>
        <v>6.9999999999708962E-2</v>
      </c>
      <c r="AT22" s="83"/>
      <c r="AU22" s="83"/>
    </row>
    <row r="23" spans="1:48" x14ac:dyDescent="0.25">
      <c r="A23" t="str">
        <f t="shared" si="11"/>
        <v>46213E</v>
      </c>
      <c r="B23" s="51">
        <f t="shared" si="27"/>
        <v>46213</v>
      </c>
      <c r="C23" s="52" t="s">
        <v>88</v>
      </c>
      <c r="D23" s="79">
        <v>8459.1</v>
      </c>
      <c r="E23" s="62">
        <v>4.09</v>
      </c>
      <c r="F23" s="62">
        <v>8.09</v>
      </c>
      <c r="G23" s="169">
        <f t="shared" si="0"/>
        <v>345.97719000000001</v>
      </c>
      <c r="H23" s="170">
        <f t="shared" si="1"/>
        <v>684.34118999999998</v>
      </c>
      <c r="I23" s="118">
        <v>3653.0999999999985</v>
      </c>
      <c r="J23" s="119">
        <v>3762.6929999999984</v>
      </c>
      <c r="K23" s="120">
        <v>3.9442418767622001</v>
      </c>
      <c r="L23" s="121">
        <v>8.1468643070269096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3762.6929999999984</v>
      </c>
      <c r="S23" s="62">
        <f t="shared" si="13"/>
        <v>148.40971299999987</v>
      </c>
      <c r="T23" s="63">
        <f t="shared" si="14"/>
        <v>306.54149299999989</v>
      </c>
      <c r="U23" s="64" t="s">
        <v>196</v>
      </c>
      <c r="V23" s="65" t="s">
        <v>442</v>
      </c>
      <c r="W23" s="66" t="s">
        <v>181</v>
      </c>
      <c r="X23" s="67">
        <v>10570</v>
      </c>
      <c r="Y23" s="68">
        <v>4.0999999999999996</v>
      </c>
      <c r="Z23" s="68">
        <v>7.9</v>
      </c>
      <c r="AA23" s="62">
        <f t="shared" si="15"/>
        <v>433.36999999999995</v>
      </c>
      <c r="AB23" s="63">
        <f t="shared" si="16"/>
        <v>835.03</v>
      </c>
      <c r="AC23" s="69">
        <v>10560</v>
      </c>
      <c r="AD23" s="70">
        <v>4.0500000000000007</v>
      </c>
      <c r="AE23" s="70">
        <v>7.8400000000000007</v>
      </c>
      <c r="AF23" s="62">
        <f t="shared" si="17"/>
        <v>427.68000000000006</v>
      </c>
      <c r="AG23" s="63">
        <f t="shared" si="18"/>
        <v>827.90400000000011</v>
      </c>
      <c r="AH23" s="96">
        <v>1651.7</v>
      </c>
      <c r="AI23" s="66">
        <v>4.04</v>
      </c>
      <c r="AJ23" s="84">
        <v>8.1300000000000008</v>
      </c>
      <c r="AK23" s="62">
        <f t="shared" si="19"/>
        <v>66.728679999999997</v>
      </c>
      <c r="AL23" s="72">
        <f t="shared" si="20"/>
        <v>134.28321000000003</v>
      </c>
      <c r="AM23" s="73">
        <f t="shared" si="21"/>
        <v>10.092999999997801</v>
      </c>
      <c r="AN23" s="74">
        <f t="shared" si="22"/>
        <v>-2.177700000021332E-2</v>
      </c>
      <c r="AO23" s="74">
        <f t="shared" si="23"/>
        <v>28.69547299999968</v>
      </c>
      <c r="AP23" s="75">
        <f t="shared" si="24"/>
        <v>6.3025870954608446E-2</v>
      </c>
      <c r="AQ23" s="76">
        <f t="shared" si="25"/>
        <v>8583.5741444710457</v>
      </c>
      <c r="AR23" s="83">
        <f t="shared" si="26"/>
        <v>9.2999999997118721E-2</v>
      </c>
      <c r="AU23" s="83"/>
    </row>
    <row r="24" spans="1:48" x14ac:dyDescent="0.25">
      <c r="A24" t="str">
        <f t="shared" si="11"/>
        <v>46214M</v>
      </c>
      <c r="B24" s="51">
        <f t="shared" si="27"/>
        <v>46214</v>
      </c>
      <c r="C24" s="52" t="s">
        <v>87</v>
      </c>
      <c r="D24" s="79">
        <v>1651.7</v>
      </c>
      <c r="E24" s="62">
        <v>4.04</v>
      </c>
      <c r="F24" s="62">
        <v>8.1300000000000008</v>
      </c>
      <c r="G24" s="169">
        <f t="shared" si="0"/>
        <v>66.728679999999997</v>
      </c>
      <c r="H24" s="170">
        <f t="shared" si="1"/>
        <v>134.28321000000003</v>
      </c>
      <c r="I24" s="118">
        <v>3189.7599999999998</v>
      </c>
      <c r="J24" s="119">
        <v>3285.4528</v>
      </c>
      <c r="K24" s="120">
        <v>4.2546718248394884</v>
      </c>
      <c r="L24" s="121">
        <v>8.1110309239566636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3285.4528</v>
      </c>
      <c r="S24" s="62">
        <f t="shared" si="13"/>
        <v>139.78523460000008</v>
      </c>
      <c r="T24" s="63">
        <f t="shared" si="14"/>
        <v>266.48409260000005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96">
        <v>4937</v>
      </c>
      <c r="AI24" s="66">
        <v>4.17</v>
      </c>
      <c r="AJ24" s="66">
        <v>8.1199999999999992</v>
      </c>
      <c r="AK24" s="62">
        <f t="shared" si="19"/>
        <v>205.87290000000002</v>
      </c>
      <c r="AL24" s="72">
        <f t="shared" si="20"/>
        <v>400.88439999999997</v>
      </c>
      <c r="AM24" s="73">
        <f t="shared" si="21"/>
        <v>0.15279999999984284</v>
      </c>
      <c r="AN24" s="74">
        <f t="shared" si="22"/>
        <v>0.64101460000006227</v>
      </c>
      <c r="AO24" s="74">
        <f t="shared" si="23"/>
        <v>-0.11709739999986368</v>
      </c>
      <c r="AP24" s="75">
        <f t="shared" si="24"/>
        <v>1.2895809871028786E-3</v>
      </c>
      <c r="AQ24" s="76">
        <f t="shared" si="25"/>
        <v>272.95874919498374</v>
      </c>
      <c r="AR24" s="83">
        <f t="shared" si="26"/>
        <v>0.15279999999984284</v>
      </c>
      <c r="AT24" s="77"/>
      <c r="AU24" s="77"/>
      <c r="AV24" s="77"/>
    </row>
    <row r="25" spans="1:48" x14ac:dyDescent="0.25">
      <c r="A25" t="str">
        <f t="shared" si="11"/>
        <v>46214E</v>
      </c>
      <c r="B25" s="51">
        <f t="shared" si="27"/>
        <v>46214</v>
      </c>
      <c r="C25" s="52" t="s">
        <v>88</v>
      </c>
      <c r="D25" s="79">
        <v>4937</v>
      </c>
      <c r="E25" s="62">
        <v>4.17</v>
      </c>
      <c r="F25" s="62">
        <v>8.1199999999999992</v>
      </c>
      <c r="G25" s="169">
        <f t="shared" si="0"/>
        <v>205.87290000000002</v>
      </c>
      <c r="H25" s="170">
        <f t="shared" si="1"/>
        <v>400.88439999999997</v>
      </c>
      <c r="I25" s="118">
        <v>2660.2999999999984</v>
      </c>
      <c r="J25" s="119">
        <v>2740.1089999999986</v>
      </c>
      <c r="K25" s="120">
        <v>4.0508476487614162</v>
      </c>
      <c r="L25" s="121">
        <v>8.1058414464534039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2740.1089999999986</v>
      </c>
      <c r="S25" s="62">
        <f t="shared" si="13"/>
        <v>110.99764099999989</v>
      </c>
      <c r="T25" s="63">
        <f t="shared" si="14"/>
        <v>222.1088909999998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96">
        <v>7677.1</v>
      </c>
      <c r="AI25" s="66">
        <v>4.12</v>
      </c>
      <c r="AJ25" s="66">
        <v>8.11</v>
      </c>
      <c r="AK25" s="62">
        <f t="shared" si="19"/>
        <v>316.29652000000004</v>
      </c>
      <c r="AL25" s="72">
        <f t="shared" si="20"/>
        <v>622.61280999999997</v>
      </c>
      <c r="AM25" s="73">
        <f t="shared" si="21"/>
        <v>8.9999999981955625E-3</v>
      </c>
      <c r="AN25" s="74">
        <f t="shared" si="22"/>
        <v>0.57402099999984557</v>
      </c>
      <c r="AO25" s="74">
        <f t="shared" si="23"/>
        <v>0.38048099999980423</v>
      </c>
      <c r="AP25" s="75">
        <f t="shared" si="24"/>
        <v>2.8654556674969399E-3</v>
      </c>
      <c r="AQ25" s="76">
        <f t="shared" si="25"/>
        <v>389.78644509535866</v>
      </c>
      <c r="AR25" s="83">
        <f t="shared" si="26"/>
        <v>8.9999999981955625E-3</v>
      </c>
    </row>
    <row r="26" spans="1:48" x14ac:dyDescent="0.25">
      <c r="A26" t="str">
        <f t="shared" si="11"/>
        <v>46215M</v>
      </c>
      <c r="B26" s="51">
        <f t="shared" si="27"/>
        <v>46215</v>
      </c>
      <c r="C26" s="52" t="s">
        <v>87</v>
      </c>
      <c r="D26" s="79">
        <v>7677.1</v>
      </c>
      <c r="E26" s="62">
        <v>4.12</v>
      </c>
      <c r="F26" s="62">
        <v>8.11</v>
      </c>
      <c r="G26" s="169">
        <f t="shared" si="0"/>
        <v>316.29652000000004</v>
      </c>
      <c r="H26" s="170">
        <f t="shared" si="1"/>
        <v>622.61280999999997</v>
      </c>
      <c r="I26" s="118">
        <v>2800.0999999999985</v>
      </c>
      <c r="J26" s="119">
        <v>2884.1029999999987</v>
      </c>
      <c r="K26" s="120">
        <v>4.0813828077568681</v>
      </c>
      <c r="L26" s="121">
        <v>8.1093925216956588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2884.1029999999987</v>
      </c>
      <c r="S26" s="62">
        <f t="shared" si="13"/>
        <v>117.71128400000002</v>
      </c>
      <c r="T26" s="63">
        <f t="shared" si="14"/>
        <v>233.88323300000005</v>
      </c>
      <c r="U26" s="64" t="s">
        <v>196</v>
      </c>
      <c r="V26" s="65" t="s">
        <v>443</v>
      </c>
      <c r="W26" s="66" t="s">
        <v>181</v>
      </c>
      <c r="X26" s="67">
        <v>10580</v>
      </c>
      <c r="Y26" s="68">
        <v>4.33</v>
      </c>
      <c r="Z26" s="68">
        <v>8</v>
      </c>
      <c r="AA26" s="62">
        <f t="shared" si="15"/>
        <v>458.11399999999998</v>
      </c>
      <c r="AB26" s="63">
        <f t="shared" si="16"/>
        <v>846.4</v>
      </c>
      <c r="AC26" s="69">
        <v>10590</v>
      </c>
      <c r="AD26" s="70">
        <v>4.25</v>
      </c>
      <c r="AE26" s="70">
        <v>7.9399999999999995</v>
      </c>
      <c r="AF26" s="62">
        <f t="shared" si="17"/>
        <v>450.07500000000005</v>
      </c>
      <c r="AG26" s="63">
        <f t="shared" si="18"/>
        <v>840.846</v>
      </c>
      <c r="AH26" s="96">
        <v>0</v>
      </c>
      <c r="AI26" s="66">
        <v>0</v>
      </c>
      <c r="AJ26" s="66">
        <v>0</v>
      </c>
      <c r="AK26" s="62">
        <f t="shared" si="19"/>
        <v>0</v>
      </c>
      <c r="AL26" s="72">
        <f t="shared" si="20"/>
        <v>0</v>
      </c>
      <c r="AM26" s="73">
        <f t="shared" si="21"/>
        <v>-28.79700000000048</v>
      </c>
      <c r="AN26" s="74">
        <f t="shared" si="22"/>
        <v>-16.067195999999967</v>
      </c>
      <c r="AO26" s="74">
        <f t="shared" si="23"/>
        <v>15.650042999999982</v>
      </c>
      <c r="AP26" s="75">
        <f t="shared" si="24"/>
        <v>-1.1864604816917118E-3</v>
      </c>
      <c r="AQ26" s="76">
        <f t="shared" si="25"/>
        <v>-3033.7620539805503</v>
      </c>
      <c r="AR26" s="83">
        <f t="shared" si="26"/>
        <v>-18.79700000000048</v>
      </c>
    </row>
    <row r="27" spans="1:48" x14ac:dyDescent="0.25">
      <c r="A27" t="str">
        <f t="shared" si="11"/>
        <v>46215E</v>
      </c>
      <c r="B27" s="51">
        <f t="shared" si="27"/>
        <v>46215</v>
      </c>
      <c r="C27" s="52" t="s">
        <v>88</v>
      </c>
      <c r="D27" s="79">
        <v>0</v>
      </c>
      <c r="E27" s="62">
        <v>0</v>
      </c>
      <c r="F27" s="62">
        <v>0</v>
      </c>
      <c r="G27" s="169">
        <f t="shared" si="0"/>
        <v>0</v>
      </c>
      <c r="H27" s="170">
        <f t="shared" si="1"/>
        <v>0</v>
      </c>
      <c r="I27" s="118">
        <v>2671.7</v>
      </c>
      <c r="J27" s="119">
        <v>2751.8509999999997</v>
      </c>
      <c r="K27" s="120">
        <v>4.1274432009581901</v>
      </c>
      <c r="L27" s="121">
        <v>8.129337126174347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2751.8509999999997</v>
      </c>
      <c r="S27" s="62">
        <f t="shared" si="13"/>
        <v>113.58108699999994</v>
      </c>
      <c r="T27" s="63">
        <f t="shared" si="14"/>
        <v>223.70724499999997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96">
        <v>2751.8</v>
      </c>
      <c r="AI27" s="66">
        <v>4.13</v>
      </c>
      <c r="AJ27" s="66">
        <v>8.1300000000000008</v>
      </c>
      <c r="AK27" s="62">
        <f t="shared" si="19"/>
        <v>113.64934</v>
      </c>
      <c r="AL27" s="72">
        <f t="shared" si="20"/>
        <v>223.72134000000005</v>
      </c>
      <c r="AM27" s="73">
        <f t="shared" si="21"/>
        <v>5.0999999999476131E-2</v>
      </c>
      <c r="AN27" s="74">
        <f t="shared" si="22"/>
        <v>-6.8253000000055408E-2</v>
      </c>
      <c r="AO27" s="74">
        <f t="shared" si="23"/>
        <v>-1.4095000000082791E-2</v>
      </c>
      <c r="AP27" s="75">
        <f t="shared" si="24"/>
        <v>-2.4414719451409369E-4</v>
      </c>
      <c r="AQ27" s="76">
        <f t="shared" si="25"/>
        <v>-37.019114910347852</v>
      </c>
      <c r="AR27" s="83">
        <f t="shared" si="26"/>
        <v>5.0999999999476131E-2</v>
      </c>
    </row>
    <row r="28" spans="1:48" x14ac:dyDescent="0.25">
      <c r="A28" t="str">
        <f t="shared" si="11"/>
        <v>46216M</v>
      </c>
      <c r="B28" s="51">
        <f t="shared" si="27"/>
        <v>46216</v>
      </c>
      <c r="C28" s="52" t="s">
        <v>87</v>
      </c>
      <c r="D28" s="79">
        <v>2751.8</v>
      </c>
      <c r="E28" s="62">
        <v>4.13</v>
      </c>
      <c r="F28" s="62">
        <v>8.1300000000000008</v>
      </c>
      <c r="G28" s="169">
        <f t="shared" si="0"/>
        <v>113.64934</v>
      </c>
      <c r="H28" s="170">
        <f t="shared" si="1"/>
        <v>223.72134000000005</v>
      </c>
      <c r="I28" s="118">
        <v>3841.099999999999</v>
      </c>
      <c r="J28" s="119">
        <v>3956.3329999999992</v>
      </c>
      <c r="K28" s="120">
        <v>4.0204863190231972</v>
      </c>
      <c r="L28" s="121">
        <v>8.1647002160839328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3956.3329999999992</v>
      </c>
      <c r="S28" s="62">
        <f t="shared" si="13"/>
        <v>159.06382699999997</v>
      </c>
      <c r="T28" s="63">
        <f t="shared" si="14"/>
        <v>323.02272899999986</v>
      </c>
      <c r="U28" s="64" t="s">
        <v>167</v>
      </c>
      <c r="V28" s="65" t="s">
        <v>180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71">
        <v>6708.1</v>
      </c>
      <c r="AI28" s="66">
        <v>4.0599999999999996</v>
      </c>
      <c r="AJ28" s="66">
        <v>8.15</v>
      </c>
      <c r="AK28" s="62">
        <f t="shared" si="19"/>
        <v>272.34886</v>
      </c>
      <c r="AL28" s="72">
        <f t="shared" si="20"/>
        <v>546.71015</v>
      </c>
      <c r="AM28" s="73">
        <f t="shared" si="21"/>
        <v>3.2999999999447027E-2</v>
      </c>
      <c r="AN28" s="74">
        <f t="shared" si="22"/>
        <v>0.36430699999999661</v>
      </c>
      <c r="AO28" s="74">
        <f t="shared" si="23"/>
        <v>3.3918999999855259E-2</v>
      </c>
      <c r="AP28" s="75">
        <f t="shared" si="24"/>
        <v>8.2604668195694717E-4</v>
      </c>
      <c r="AQ28" s="76">
        <f t="shared" si="25"/>
        <v>185.21980892637055</v>
      </c>
      <c r="AR28" s="90">
        <f t="shared" ref="AR28:AR33" si="29">(D28+J28+O28)-(X28+AH28)</f>
        <v>3.2999999999447027E-2</v>
      </c>
    </row>
    <row r="29" spans="1:48" x14ac:dyDescent="0.25">
      <c r="A29" t="str">
        <f t="shared" si="11"/>
        <v>46216E</v>
      </c>
      <c r="B29" s="51">
        <f t="shared" si="27"/>
        <v>46216</v>
      </c>
      <c r="C29" s="52" t="s">
        <v>88</v>
      </c>
      <c r="D29" s="79">
        <v>6708.1</v>
      </c>
      <c r="E29" s="62">
        <v>4.0599999999999996</v>
      </c>
      <c r="F29" s="62">
        <v>8.15</v>
      </c>
      <c r="G29" s="169">
        <f t="shared" si="0"/>
        <v>272.34886</v>
      </c>
      <c r="H29" s="170">
        <f t="shared" si="1"/>
        <v>546.71015</v>
      </c>
      <c r="I29" s="118">
        <v>2749.5999999999995</v>
      </c>
      <c r="J29" s="119">
        <v>2832.0879999999997</v>
      </c>
      <c r="K29" s="120">
        <v>4.1133219377363988</v>
      </c>
      <c r="L29" s="121">
        <v>8.1301862089031154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2832.0879999999997</v>
      </c>
      <c r="S29" s="62">
        <f t="shared" si="13"/>
        <v>116.492897</v>
      </c>
      <c r="T29" s="63">
        <f t="shared" si="14"/>
        <v>230.25402800000006</v>
      </c>
      <c r="U29" s="64" t="s">
        <v>195</v>
      </c>
      <c r="V29" s="65" t="s">
        <v>550</v>
      </c>
      <c r="W29" s="66" t="s">
        <v>181</v>
      </c>
      <c r="X29" s="67">
        <v>9410</v>
      </c>
      <c r="Y29" s="68">
        <v>4.1500000000000004</v>
      </c>
      <c r="Z29" s="68">
        <v>8.0500000000000007</v>
      </c>
      <c r="AA29" s="62">
        <f t="shared" si="15"/>
        <v>390.51500000000004</v>
      </c>
      <c r="AB29" s="63">
        <f t="shared" si="16"/>
        <v>757.505</v>
      </c>
      <c r="AC29" s="69">
        <v>9360</v>
      </c>
      <c r="AD29" s="70">
        <v>4.1000000000000005</v>
      </c>
      <c r="AE29" s="70">
        <v>7.91</v>
      </c>
      <c r="AF29" s="62">
        <f t="shared" si="17"/>
        <v>383.7600000000001</v>
      </c>
      <c r="AG29" s="63">
        <f t="shared" si="18"/>
        <v>740.37600000000009</v>
      </c>
      <c r="AH29" s="71">
        <v>130.1</v>
      </c>
      <c r="AI29" s="66">
        <v>4.08</v>
      </c>
      <c r="AJ29" s="66">
        <v>8.14</v>
      </c>
      <c r="AK29" s="62">
        <f t="shared" si="19"/>
        <v>5.3080800000000004</v>
      </c>
      <c r="AL29" s="72">
        <f t="shared" si="20"/>
        <v>10.59014</v>
      </c>
      <c r="AM29" s="73">
        <f t="shared" si="21"/>
        <v>50.088000000000108</v>
      </c>
      <c r="AN29" s="74">
        <f t="shared" si="22"/>
        <v>-0.22632300000007533</v>
      </c>
      <c r="AO29" s="74">
        <f t="shared" si="23"/>
        <v>25.998037999999973</v>
      </c>
      <c r="AP29" s="75">
        <f t="shared" si="24"/>
        <v>7.4324278434480404E-2</v>
      </c>
      <c r="AQ29" s="76">
        <f t="shared" si="25"/>
        <v>7677.4253656748933</v>
      </c>
      <c r="AR29" s="90">
        <f t="shared" si="29"/>
        <v>8.7999999999738066E-2</v>
      </c>
    </row>
    <row r="30" spans="1:48" x14ac:dyDescent="0.25">
      <c r="A30" t="str">
        <f t="shared" si="11"/>
        <v>46217M</v>
      </c>
      <c r="B30" s="51">
        <f t="shared" si="27"/>
        <v>46217</v>
      </c>
      <c r="C30" s="52" t="s">
        <v>87</v>
      </c>
      <c r="D30" s="79">
        <v>130.1</v>
      </c>
      <c r="E30" s="62">
        <v>4.08</v>
      </c>
      <c r="F30" s="62">
        <v>8.14</v>
      </c>
      <c r="G30" s="169">
        <f t="shared" ref="G30:G65" si="30">+D30*E30%</f>
        <v>5.3080800000000004</v>
      </c>
      <c r="H30" s="170">
        <f t="shared" ref="H30:H65" si="31">+D30*F30%</f>
        <v>10.59014</v>
      </c>
      <c r="I30" s="118">
        <v>2882.4999999999986</v>
      </c>
      <c r="J30" s="119">
        <v>2968.9749999999985</v>
      </c>
      <c r="K30" s="120">
        <v>4.2661682567215946</v>
      </c>
      <c r="L30" s="121">
        <v>8.0955455333911548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2968.9749999999985</v>
      </c>
      <c r="S30" s="62">
        <f t="shared" si="13"/>
        <v>126.66146899999991</v>
      </c>
      <c r="T30" s="63">
        <f t="shared" si="14"/>
        <v>240.35472299999992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71">
        <v>3099</v>
      </c>
      <c r="AI30" s="66">
        <v>4.25</v>
      </c>
      <c r="AJ30" s="66">
        <v>8.1</v>
      </c>
      <c r="AK30" s="62">
        <f t="shared" si="19"/>
        <v>131.70750000000001</v>
      </c>
      <c r="AL30" s="72">
        <f t="shared" si="20"/>
        <v>251.01900000000001</v>
      </c>
      <c r="AM30" s="73">
        <f t="shared" si="21"/>
        <v>7.4999999998453859E-2</v>
      </c>
      <c r="AN30" s="74">
        <f t="shared" si="22"/>
        <v>0.26204899999990516</v>
      </c>
      <c r="AO30" s="74">
        <f t="shared" si="23"/>
        <v>-7.4137000000092712E-2</v>
      </c>
      <c r="AP30" s="75">
        <f t="shared" si="24"/>
        <v>5.1199920901531381E-4</v>
      </c>
      <c r="AQ30" s="76">
        <f t="shared" si="25"/>
        <v>103.71970176368171</v>
      </c>
      <c r="AR30" s="90">
        <f t="shared" si="29"/>
        <v>7.4999999998453859E-2</v>
      </c>
    </row>
    <row r="31" spans="1:48" x14ac:dyDescent="0.25">
      <c r="A31" t="str">
        <f t="shared" si="11"/>
        <v>46217E</v>
      </c>
      <c r="B31" s="51">
        <f t="shared" si="27"/>
        <v>46217</v>
      </c>
      <c r="C31" s="52" t="s">
        <v>88</v>
      </c>
      <c r="D31" s="79">
        <v>3099</v>
      </c>
      <c r="E31" s="62">
        <v>4.25</v>
      </c>
      <c r="F31" s="62">
        <v>8.1</v>
      </c>
      <c r="G31" s="169">
        <f t="shared" si="30"/>
        <v>131.70750000000001</v>
      </c>
      <c r="H31" s="170">
        <f t="shared" si="31"/>
        <v>251.01900000000001</v>
      </c>
      <c r="I31" s="118">
        <v>3118.2999999999997</v>
      </c>
      <c r="J31" s="119">
        <v>3211.8489999999997</v>
      </c>
      <c r="K31" s="120">
        <v>3.9202289709136404</v>
      </c>
      <c r="L31" s="121">
        <v>8.1278805759548511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3211.8489999999997</v>
      </c>
      <c r="S31" s="62">
        <f t="shared" si="13"/>
        <v>125.91183500000004</v>
      </c>
      <c r="T31" s="63">
        <f t="shared" si="14"/>
        <v>261.05525100000011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71">
        <v>6310.8</v>
      </c>
      <c r="AI31" s="66">
        <v>4.08</v>
      </c>
      <c r="AJ31" s="66">
        <v>8.1199999999999992</v>
      </c>
      <c r="AK31" s="62">
        <f t="shared" si="19"/>
        <v>257.48064000000005</v>
      </c>
      <c r="AL31" s="72">
        <f t="shared" si="20"/>
        <v>512.43696</v>
      </c>
      <c r="AM31" s="73">
        <f t="shared" si="21"/>
        <v>4.8999999999978172E-2</v>
      </c>
      <c r="AN31" s="74">
        <f t="shared" si="22"/>
        <v>0.13869499999998425</v>
      </c>
      <c r="AO31" s="74">
        <f t="shared" si="23"/>
        <v>-0.3627089999998816</v>
      </c>
      <c r="AP31" s="75">
        <f t="shared" si="24"/>
        <v>-5.7889677986695039E-4</v>
      </c>
      <c r="AQ31" s="76">
        <f t="shared" si="25"/>
        <v>-41.980654952589617</v>
      </c>
      <c r="AR31" s="90">
        <f t="shared" si="29"/>
        <v>4.8999999999978172E-2</v>
      </c>
    </row>
    <row r="32" spans="1:48" x14ac:dyDescent="0.25">
      <c r="A32" t="str">
        <f t="shared" si="11"/>
        <v>46218M</v>
      </c>
      <c r="B32" s="51">
        <f t="shared" si="27"/>
        <v>46218</v>
      </c>
      <c r="C32" s="52" t="s">
        <v>87</v>
      </c>
      <c r="D32" s="79">
        <v>6310.8</v>
      </c>
      <c r="E32" s="62">
        <v>4.08</v>
      </c>
      <c r="F32" s="62">
        <v>8.1199999999999992</v>
      </c>
      <c r="G32" s="169">
        <f t="shared" si="30"/>
        <v>257.48064000000005</v>
      </c>
      <c r="H32" s="170">
        <f t="shared" si="31"/>
        <v>512.43696</v>
      </c>
      <c r="I32" s="118">
        <v>2858.5999999999981</v>
      </c>
      <c r="J32" s="119">
        <v>2944.3579999999979</v>
      </c>
      <c r="K32" s="120">
        <v>4.3070593997061506</v>
      </c>
      <c r="L32" s="121">
        <v>8.1227873784369979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2944.3579999999979</v>
      </c>
      <c r="S32" s="62">
        <f t="shared" si="13"/>
        <v>126.81524799999994</v>
      </c>
      <c r="T32" s="63">
        <f t="shared" si="14"/>
        <v>239.16393999999985</v>
      </c>
      <c r="U32" s="64" t="s">
        <v>196</v>
      </c>
      <c r="V32" s="65" t="s">
        <v>578</v>
      </c>
      <c r="W32" s="66" t="s">
        <v>181</v>
      </c>
      <c r="X32" s="67">
        <v>10475</v>
      </c>
      <c r="Y32" s="68">
        <v>4.25</v>
      </c>
      <c r="Z32" s="68">
        <v>7.85</v>
      </c>
      <c r="AA32" s="62">
        <f t="shared" si="15"/>
        <v>445.18750000000006</v>
      </c>
      <c r="AB32" s="63">
        <f t="shared" si="16"/>
        <v>822.28750000000002</v>
      </c>
      <c r="AC32" s="69">
        <v>10480</v>
      </c>
      <c r="AD32" s="70">
        <v>4.2000000000000011</v>
      </c>
      <c r="AE32" s="70">
        <v>7.8100000000000005</v>
      </c>
      <c r="AF32" s="62">
        <f t="shared" si="17"/>
        <v>440.16000000000008</v>
      </c>
      <c r="AG32" s="63">
        <f t="shared" si="18"/>
        <v>818.48800000000006</v>
      </c>
      <c r="AH32" s="71">
        <v>0</v>
      </c>
      <c r="AI32" s="66">
        <v>0</v>
      </c>
      <c r="AJ32" s="66">
        <v>0</v>
      </c>
      <c r="AK32" s="62">
        <f t="shared" si="19"/>
        <v>0</v>
      </c>
      <c r="AL32" s="72">
        <f t="shared" si="20"/>
        <v>0</v>
      </c>
      <c r="AM32" s="73">
        <f t="shared" si="21"/>
        <v>-1224.8420000000024</v>
      </c>
      <c r="AN32" s="74">
        <f t="shared" si="22"/>
        <v>-55.864112000000091</v>
      </c>
      <c r="AO32" s="74">
        <f t="shared" si="23"/>
        <v>-66.887100000000146</v>
      </c>
      <c r="AP32" s="75">
        <f t="shared" si="24"/>
        <v>-0.33540489739542323</v>
      </c>
      <c r="AQ32" s="76">
        <f t="shared" si="25"/>
        <v>-46876.614980021201</v>
      </c>
      <c r="AR32" s="90">
        <f t="shared" si="29"/>
        <v>-1219.8420000000024</v>
      </c>
    </row>
    <row r="33" spans="1:44" x14ac:dyDescent="0.25">
      <c r="A33" t="str">
        <f t="shared" si="11"/>
        <v>46218E</v>
      </c>
      <c r="B33" s="51">
        <f t="shared" si="27"/>
        <v>46218</v>
      </c>
      <c r="C33" s="52" t="s">
        <v>88</v>
      </c>
      <c r="D33" s="79">
        <v>0</v>
      </c>
      <c r="E33" s="62">
        <v>0</v>
      </c>
      <c r="F33" s="62">
        <v>0</v>
      </c>
      <c r="G33" s="169">
        <f t="shared" si="30"/>
        <v>0</v>
      </c>
      <c r="H33" s="170">
        <f t="shared" si="31"/>
        <v>0</v>
      </c>
      <c r="I33" s="118">
        <v>3195</v>
      </c>
      <c r="J33" s="119">
        <v>3290.85</v>
      </c>
      <c r="K33" s="120">
        <v>3.9988450704225356</v>
      </c>
      <c r="L33" s="121">
        <v>8.1098779342723013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3290.85</v>
      </c>
      <c r="S33" s="62">
        <f t="shared" si="13"/>
        <v>131.59599299999999</v>
      </c>
      <c r="T33" s="63">
        <f t="shared" si="14"/>
        <v>266.88391799999999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71">
        <v>3290.8</v>
      </c>
      <c r="AI33" s="66">
        <v>4</v>
      </c>
      <c r="AJ33" s="66">
        <v>8.11</v>
      </c>
      <c r="AK33" s="62">
        <f t="shared" si="19"/>
        <v>131.63200000000001</v>
      </c>
      <c r="AL33" s="72">
        <f t="shared" si="20"/>
        <v>266.88387999999998</v>
      </c>
      <c r="AM33" s="73">
        <f t="shared" si="21"/>
        <v>4.9999999999727152E-2</v>
      </c>
      <c r="AN33" s="74">
        <f t="shared" si="22"/>
        <v>-3.6007000000012113E-2</v>
      </c>
      <c r="AO33" s="74">
        <f t="shared" si="23"/>
        <v>3.8000000017746061E-5</v>
      </c>
      <c r="AP33" s="75">
        <f t="shared" si="24"/>
        <v>-9.0265529094625714E-5</v>
      </c>
      <c r="AQ33" s="76">
        <f t="shared" si="25"/>
        <v>-17.291154737444135</v>
      </c>
      <c r="AR33" s="90">
        <f t="shared" si="29"/>
        <v>4.9999999999727152E-2</v>
      </c>
    </row>
    <row r="34" spans="1:44" x14ac:dyDescent="0.25">
      <c r="A34" t="str">
        <f t="shared" si="11"/>
        <v>46219M</v>
      </c>
      <c r="B34" s="51">
        <f t="shared" si="27"/>
        <v>46219</v>
      </c>
      <c r="C34" s="52" t="s">
        <v>87</v>
      </c>
      <c r="D34" s="79">
        <v>3290.8</v>
      </c>
      <c r="E34" s="62">
        <v>4</v>
      </c>
      <c r="F34" s="62">
        <v>8.11</v>
      </c>
      <c r="G34" s="169">
        <f t="shared" si="30"/>
        <v>131.63200000000001</v>
      </c>
      <c r="H34" s="170">
        <f t="shared" si="31"/>
        <v>266.88387999999998</v>
      </c>
      <c r="I34" s="118">
        <v>2905.6999999999994</v>
      </c>
      <c r="J34" s="119">
        <v>2992.8709999999996</v>
      </c>
      <c r="K34" s="120">
        <v>4.1409230133874804</v>
      </c>
      <c r="L34" s="121">
        <v>8.1148329146161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2992.8709999999996</v>
      </c>
      <c r="S34" s="62">
        <f t="shared" si="13"/>
        <v>123.932484</v>
      </c>
      <c r="T34" s="63">
        <f t="shared" si="14"/>
        <v>242.86648099999999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71">
        <v>6283.6</v>
      </c>
      <c r="AI34" s="66">
        <v>4.07</v>
      </c>
      <c r="AJ34" s="66">
        <v>8.11</v>
      </c>
      <c r="AK34" s="62">
        <f t="shared" si="19"/>
        <v>255.74252000000001</v>
      </c>
      <c r="AL34" s="72">
        <f t="shared" si="20"/>
        <v>509.59995999999995</v>
      </c>
      <c r="AM34" s="73">
        <f t="shared" si="21"/>
        <v>7.0999999999912689E-2</v>
      </c>
      <c r="AN34" s="74">
        <f t="shared" si="22"/>
        <v>-0.17803600000002007</v>
      </c>
      <c r="AO34" s="74">
        <f t="shared" si="23"/>
        <v>0.15040100000004486</v>
      </c>
      <c r="AP34" s="75">
        <f t="shared" si="24"/>
        <v>-7.53409977587456E-5</v>
      </c>
      <c r="AQ34" s="76">
        <f t="shared" si="25"/>
        <v>-40.508331881995652</v>
      </c>
      <c r="AR34" s="90">
        <f t="shared" ref="AR34:AR43" si="32">(D34+J34+O34)-(X34+AH34)</f>
        <v>7.0999999999912689E-2</v>
      </c>
    </row>
    <row r="35" spans="1:44" x14ac:dyDescent="0.25">
      <c r="A35" t="str">
        <f t="shared" si="11"/>
        <v>46219E</v>
      </c>
      <c r="B35" s="51">
        <f t="shared" si="27"/>
        <v>46219</v>
      </c>
      <c r="C35" s="52" t="s">
        <v>88</v>
      </c>
      <c r="D35" s="79">
        <v>6283.6</v>
      </c>
      <c r="E35" s="62">
        <v>4.07</v>
      </c>
      <c r="F35" s="62">
        <v>8.11</v>
      </c>
      <c r="G35" s="169">
        <f t="shared" si="30"/>
        <v>255.74252000000001</v>
      </c>
      <c r="H35" s="170">
        <f t="shared" si="31"/>
        <v>509.59995999999995</v>
      </c>
      <c r="I35" s="118">
        <v>3646.2</v>
      </c>
      <c r="J35" s="119">
        <v>3755.5859999999998</v>
      </c>
      <c r="K35" s="120">
        <v>3.9534666227853661</v>
      </c>
      <c r="L35" s="121">
        <v>8.1513740332400886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3755.5859999999998</v>
      </c>
      <c r="S35" s="62">
        <f t="shared" si="13"/>
        <v>148.47583900000001</v>
      </c>
      <c r="T35" s="63">
        <f t="shared" si="14"/>
        <v>306.13186200000007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71">
        <v>10039.1</v>
      </c>
      <c r="AI35" s="66">
        <v>4.0199999999999996</v>
      </c>
      <c r="AJ35" s="66">
        <v>8.1300000000000008</v>
      </c>
      <c r="AK35" s="62">
        <f t="shared" si="19"/>
        <v>403.57181999999995</v>
      </c>
      <c r="AL35" s="72">
        <f t="shared" si="20"/>
        <v>816.17883000000018</v>
      </c>
      <c r="AM35" s="73">
        <f t="shared" si="21"/>
        <v>8.5999999999330612E-2</v>
      </c>
      <c r="AN35" s="74">
        <f t="shared" si="22"/>
        <v>0.64653900000007525</v>
      </c>
      <c r="AO35" s="74">
        <f t="shared" si="23"/>
        <v>-0.4470080000002099</v>
      </c>
      <c r="AP35" s="75">
        <f t="shared" si="24"/>
        <v>4.3890809495958209E-4</v>
      </c>
      <c r="AQ35" s="76">
        <f t="shared" si="25"/>
        <v>176.80811552711953</v>
      </c>
      <c r="AR35" s="90">
        <f t="shared" si="32"/>
        <v>8.5999999999330612E-2</v>
      </c>
    </row>
    <row r="36" spans="1:44" x14ac:dyDescent="0.25">
      <c r="A36" t="str">
        <f t="shared" si="11"/>
        <v>46220M</v>
      </c>
      <c r="B36" s="51">
        <f t="shared" si="27"/>
        <v>46220</v>
      </c>
      <c r="C36" s="52" t="s">
        <v>87</v>
      </c>
      <c r="D36" s="79">
        <v>10039.1</v>
      </c>
      <c r="E36" s="62">
        <v>4.0199999999999996</v>
      </c>
      <c r="F36" s="62">
        <v>8.1300000000000008</v>
      </c>
      <c r="G36" s="169">
        <f t="shared" si="30"/>
        <v>403.57181999999995</v>
      </c>
      <c r="H36" s="170">
        <f t="shared" si="31"/>
        <v>816.17883000000018</v>
      </c>
      <c r="I36" s="118">
        <v>3042.0999999999995</v>
      </c>
      <c r="J36" s="119">
        <v>3133.3629999999994</v>
      </c>
      <c r="K36" s="120">
        <v>4.234124453502516</v>
      </c>
      <c r="L36" s="121">
        <v>8.1169619670622293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3133.3629999999994</v>
      </c>
      <c r="S36" s="62">
        <f t="shared" si="13"/>
        <v>132.67048900000003</v>
      </c>
      <c r="T36" s="63">
        <f t="shared" si="14"/>
        <v>254.33388300000001</v>
      </c>
      <c r="U36" s="64" t="s">
        <v>195</v>
      </c>
      <c r="V36" s="85" t="s">
        <v>644</v>
      </c>
      <c r="W36" s="66" t="s">
        <v>181</v>
      </c>
      <c r="X36" s="67">
        <v>9380</v>
      </c>
      <c r="Y36" s="68">
        <v>4.25</v>
      </c>
      <c r="Z36" s="68">
        <v>8.0500000000000007</v>
      </c>
      <c r="AA36" s="62">
        <f t="shared" si="15"/>
        <v>398.65000000000003</v>
      </c>
      <c r="AB36" s="63">
        <f t="shared" si="16"/>
        <v>755.09</v>
      </c>
      <c r="AC36" s="69">
        <v>9350</v>
      </c>
      <c r="AD36" s="70">
        <v>4.2</v>
      </c>
      <c r="AE36" s="70">
        <v>7.9299999999999988</v>
      </c>
      <c r="AF36" s="62">
        <f t="shared" si="17"/>
        <v>392.70000000000005</v>
      </c>
      <c r="AG36" s="63">
        <f t="shared" si="18"/>
        <v>741.45499999999981</v>
      </c>
      <c r="AH36" s="71">
        <v>3792.1</v>
      </c>
      <c r="AI36" s="66">
        <v>4.0599999999999996</v>
      </c>
      <c r="AJ36" s="66">
        <v>8.1300000000000008</v>
      </c>
      <c r="AK36" s="62">
        <f t="shared" si="19"/>
        <v>153.95925999999997</v>
      </c>
      <c r="AL36" s="72">
        <f t="shared" si="20"/>
        <v>308.29773000000006</v>
      </c>
      <c r="AM36" s="73">
        <f t="shared" si="21"/>
        <v>30.362999999999829</v>
      </c>
      <c r="AN36" s="74">
        <f t="shared" si="22"/>
        <v>-10.41695100000004</v>
      </c>
      <c r="AO36" s="74">
        <f t="shared" si="23"/>
        <v>20.759983000000204</v>
      </c>
      <c r="AP36" s="75">
        <f t="shared" si="24"/>
        <v>2.6725878952086266E-2</v>
      </c>
      <c r="AQ36" s="76">
        <f t="shared" si="25"/>
        <v>1211.7461025009761</v>
      </c>
      <c r="AR36" s="90">
        <f t="shared" si="32"/>
        <v>0.36299999999937427</v>
      </c>
    </row>
    <row r="37" spans="1:44" x14ac:dyDescent="0.25">
      <c r="A37" t="str">
        <f t="shared" si="11"/>
        <v>46220E</v>
      </c>
      <c r="B37" s="51">
        <f t="shared" si="27"/>
        <v>46220</v>
      </c>
      <c r="C37" s="52" t="s">
        <v>88</v>
      </c>
      <c r="D37" s="79">
        <v>3792.1</v>
      </c>
      <c r="E37" s="62">
        <v>4.0599999999999996</v>
      </c>
      <c r="F37" s="62">
        <v>8.1300000000000008</v>
      </c>
      <c r="G37" s="169">
        <f t="shared" si="30"/>
        <v>153.95925999999997</v>
      </c>
      <c r="H37" s="170">
        <f t="shared" si="31"/>
        <v>308.29773000000006</v>
      </c>
      <c r="I37" s="118">
        <v>2868.9999999999995</v>
      </c>
      <c r="J37" s="119">
        <v>2955.0699999999997</v>
      </c>
      <c r="K37" s="120">
        <v>4.0684105960264896</v>
      </c>
      <c r="L37" s="121">
        <v>8.1350121993725981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2955.0699999999997</v>
      </c>
      <c r="S37" s="62">
        <f t="shared" si="13"/>
        <v>120.22438099999997</v>
      </c>
      <c r="T37" s="63">
        <f t="shared" si="14"/>
        <v>240.39530499999984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71">
        <v>6747.1</v>
      </c>
      <c r="AI37" s="66">
        <v>4.0599999999999996</v>
      </c>
      <c r="AJ37" s="66">
        <v>8.1300000000000008</v>
      </c>
      <c r="AK37" s="62">
        <f t="shared" si="19"/>
        <v>273.93225999999999</v>
      </c>
      <c r="AL37" s="72">
        <f t="shared" si="20"/>
        <v>548.53923000000009</v>
      </c>
      <c r="AM37" s="73">
        <f t="shared" si="21"/>
        <v>6.9999999999708962E-2</v>
      </c>
      <c r="AN37" s="74">
        <f t="shared" si="22"/>
        <v>0.25138099999998076</v>
      </c>
      <c r="AO37" s="74">
        <f t="shared" si="23"/>
        <v>0.15380499999980657</v>
      </c>
      <c r="AP37" s="75">
        <f t="shared" si="24"/>
        <v>1.1235825877786039E-3</v>
      </c>
      <c r="AQ37" s="76">
        <f t="shared" si="25"/>
        <v>166.85998030224712</v>
      </c>
      <c r="AR37" s="90">
        <f t="shared" si="32"/>
        <v>6.9999999999708962E-2</v>
      </c>
    </row>
    <row r="38" spans="1:44" x14ac:dyDescent="0.25">
      <c r="A38" t="str">
        <f t="shared" si="11"/>
        <v>46221M</v>
      </c>
      <c r="B38" s="51">
        <f t="shared" si="27"/>
        <v>46221</v>
      </c>
      <c r="C38" s="52" t="s">
        <v>87</v>
      </c>
      <c r="D38" s="79">
        <v>6747.1</v>
      </c>
      <c r="E38" s="62">
        <v>4.0599999999999996</v>
      </c>
      <c r="F38" s="62">
        <v>8.1300000000000008</v>
      </c>
      <c r="G38" s="169">
        <f t="shared" si="30"/>
        <v>273.93225999999999</v>
      </c>
      <c r="H38" s="170">
        <f t="shared" si="31"/>
        <v>548.53923000000009</v>
      </c>
      <c r="I38" s="118">
        <v>2898.3999999999983</v>
      </c>
      <c r="J38" s="119">
        <v>2985.3519999999985</v>
      </c>
      <c r="K38" s="120">
        <v>4.3773806237924404</v>
      </c>
      <c r="L38" s="121">
        <v>8.1401497377863681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2985.3519999999985</v>
      </c>
      <c r="S38" s="62">
        <f t="shared" si="13"/>
        <v>130.68022000000002</v>
      </c>
      <c r="T38" s="63">
        <f t="shared" si="14"/>
        <v>243.01212299999995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71">
        <v>9732.5</v>
      </c>
      <c r="AI38" s="66">
        <v>4.1500000000000004</v>
      </c>
      <c r="AJ38" s="66">
        <v>8.1300000000000008</v>
      </c>
      <c r="AK38" s="62">
        <f t="shared" si="19"/>
        <v>403.89875000000001</v>
      </c>
      <c r="AL38" s="72">
        <f t="shared" si="20"/>
        <v>791.25225000000012</v>
      </c>
      <c r="AM38" s="73">
        <f t="shared" si="21"/>
        <v>-4.800000000068394E-2</v>
      </c>
      <c r="AN38" s="74">
        <f t="shared" si="22"/>
        <v>0.7137299999999982</v>
      </c>
      <c r="AO38" s="74">
        <f t="shared" si="23"/>
        <v>0.2991029999999455</v>
      </c>
      <c r="AP38" s="75">
        <f t="shared" si="24"/>
        <v>2.710339184016794E-3</v>
      </c>
      <c r="AQ38" s="76">
        <f t="shared" si="25"/>
        <v>432.54918009259836</v>
      </c>
      <c r="AR38" s="90">
        <f t="shared" si="32"/>
        <v>-4.800000000068394E-2</v>
      </c>
    </row>
    <row r="39" spans="1:44" x14ac:dyDescent="0.25">
      <c r="A39" t="str">
        <f t="shared" si="11"/>
        <v>46221E</v>
      </c>
      <c r="B39" s="51">
        <f t="shared" si="27"/>
        <v>46221</v>
      </c>
      <c r="C39" s="52" t="s">
        <v>88</v>
      </c>
      <c r="D39" s="79">
        <v>9732.5</v>
      </c>
      <c r="E39" s="62">
        <v>4.1500000000000004</v>
      </c>
      <c r="F39" s="62">
        <v>8.1300000000000008</v>
      </c>
      <c r="G39" s="169">
        <f t="shared" si="30"/>
        <v>403.89875000000001</v>
      </c>
      <c r="H39" s="170">
        <f t="shared" si="31"/>
        <v>791.25225000000012</v>
      </c>
      <c r="I39" s="118">
        <v>3328.9999999999986</v>
      </c>
      <c r="J39" s="119">
        <v>3428.8699999999985</v>
      </c>
      <c r="K39" s="120">
        <v>4.0061640132171821</v>
      </c>
      <c r="L39" s="121">
        <v>8.1350375488134556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3428.8699999999985</v>
      </c>
      <c r="S39" s="62">
        <f t="shared" si="13"/>
        <v>137.36615599999993</v>
      </c>
      <c r="T39" s="63">
        <f t="shared" si="14"/>
        <v>278.93986199999983</v>
      </c>
      <c r="U39" s="64" t="s">
        <v>196</v>
      </c>
      <c r="V39" s="65" t="s">
        <v>645</v>
      </c>
      <c r="W39" s="66" t="s">
        <v>181</v>
      </c>
      <c r="X39" s="67">
        <v>9875</v>
      </c>
      <c r="Y39" s="68">
        <v>4.29</v>
      </c>
      <c r="Z39" s="68">
        <v>7.83</v>
      </c>
      <c r="AA39" s="62">
        <f t="shared" si="15"/>
        <v>423.63749999999999</v>
      </c>
      <c r="AB39" s="63">
        <f t="shared" si="16"/>
        <v>773.21249999999998</v>
      </c>
      <c r="AC39" s="69">
        <v>9900</v>
      </c>
      <c r="AD39" s="70">
        <v>4.2401515151515152</v>
      </c>
      <c r="AE39" s="70">
        <v>7.7580303030303011</v>
      </c>
      <c r="AF39" s="62">
        <f t="shared" si="17"/>
        <v>419.77500000000003</v>
      </c>
      <c r="AG39" s="63">
        <f t="shared" si="18"/>
        <v>768.04499999999985</v>
      </c>
      <c r="AH39" s="71">
        <v>3286.3</v>
      </c>
      <c r="AI39" s="66">
        <v>4.0999999999999996</v>
      </c>
      <c r="AJ39" s="66">
        <v>8.1300000000000008</v>
      </c>
      <c r="AK39" s="62">
        <f t="shared" si="19"/>
        <v>134.73829999999998</v>
      </c>
      <c r="AL39" s="72">
        <f t="shared" si="20"/>
        <v>267.17619000000008</v>
      </c>
      <c r="AM39" s="73">
        <f t="shared" si="21"/>
        <v>-24.930000000001201</v>
      </c>
      <c r="AN39" s="74">
        <f t="shared" si="22"/>
        <v>-13.248394000000133</v>
      </c>
      <c r="AO39" s="74">
        <f t="shared" si="23"/>
        <v>34.97092200000003</v>
      </c>
      <c r="AP39" s="75">
        <f t="shared" si="24"/>
        <v>5.2179231288460283E-2</v>
      </c>
      <c r="AQ39" s="76">
        <f t="shared" si="25"/>
        <v>4107.1953051104438</v>
      </c>
      <c r="AR39" s="90">
        <f t="shared" si="32"/>
        <v>6.9999999999708962E-2</v>
      </c>
    </row>
    <row r="40" spans="1:44" x14ac:dyDescent="0.25">
      <c r="A40" t="str">
        <f t="shared" si="11"/>
        <v>46222M</v>
      </c>
      <c r="B40" s="51">
        <f t="shared" si="27"/>
        <v>46222</v>
      </c>
      <c r="C40" s="52" t="s">
        <v>87</v>
      </c>
      <c r="D40" s="79">
        <v>3286.3</v>
      </c>
      <c r="E40" s="62">
        <v>4.0999999999999996</v>
      </c>
      <c r="F40" s="62">
        <v>8.1300000000000008</v>
      </c>
      <c r="G40" s="169">
        <f t="shared" si="30"/>
        <v>134.73829999999998</v>
      </c>
      <c r="H40" s="170">
        <f t="shared" si="31"/>
        <v>267.17619000000008</v>
      </c>
      <c r="I40" s="118">
        <v>3191.1000000000004</v>
      </c>
      <c r="J40" s="119">
        <v>3286.8330000000005</v>
      </c>
      <c r="K40" s="120">
        <v>4.1251010623296027</v>
      </c>
      <c r="L40" s="121">
        <v>8.1286923004606546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3286.8330000000005</v>
      </c>
      <c r="S40" s="62">
        <f t="shared" si="13"/>
        <v>135.58518299999997</v>
      </c>
      <c r="T40" s="63">
        <f t="shared" si="14"/>
        <v>267.17654099999999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71">
        <v>6573.1</v>
      </c>
      <c r="AI40" s="66">
        <v>4.1100000000000003</v>
      </c>
      <c r="AJ40" s="66">
        <v>8.1300000000000008</v>
      </c>
      <c r="AK40" s="62">
        <f t="shared" si="19"/>
        <v>270.15441000000004</v>
      </c>
      <c r="AL40" s="72">
        <f t="shared" si="20"/>
        <v>534.39303000000007</v>
      </c>
      <c r="AM40" s="73">
        <f t="shared" si="21"/>
        <v>3.3000000000356522E-2</v>
      </c>
      <c r="AN40" s="74">
        <f t="shared" si="22"/>
        <v>0.1690729999999121</v>
      </c>
      <c r="AO40" s="74">
        <f t="shared" si="23"/>
        <v>-4.0299000000004526E-2</v>
      </c>
      <c r="AP40" s="75">
        <f t="shared" si="24"/>
        <v>3.1972750220899239E-4</v>
      </c>
      <c r="AQ40" s="76">
        <f t="shared" si="25"/>
        <v>69.175887484072021</v>
      </c>
      <c r="AR40" s="90">
        <f t="shared" si="32"/>
        <v>3.3000000000356522E-2</v>
      </c>
    </row>
    <row r="41" spans="1:44" x14ac:dyDescent="0.25">
      <c r="A41" t="str">
        <f t="shared" si="11"/>
        <v>46222E</v>
      </c>
      <c r="B41" s="51">
        <f t="shared" si="27"/>
        <v>46222</v>
      </c>
      <c r="C41" s="52" t="s">
        <v>88</v>
      </c>
      <c r="D41" s="79">
        <v>6573.1</v>
      </c>
      <c r="E41" s="62">
        <v>4.1100000000000003</v>
      </c>
      <c r="F41" s="62">
        <v>8.1300000000000008</v>
      </c>
      <c r="G41" s="169">
        <f t="shared" si="30"/>
        <v>270.15441000000004</v>
      </c>
      <c r="H41" s="170">
        <f t="shared" si="31"/>
        <v>534.39303000000007</v>
      </c>
      <c r="I41" s="118">
        <v>2453.0999999999995</v>
      </c>
      <c r="J41" s="119">
        <v>2526.6929999999993</v>
      </c>
      <c r="K41" s="120">
        <v>4.1750723574252993</v>
      </c>
      <c r="L41" s="121">
        <v>8.1307936896172208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2526.6929999999993</v>
      </c>
      <c r="S41" s="62">
        <f t="shared" si="13"/>
        <v>105.49126099999999</v>
      </c>
      <c r="T41" s="63">
        <f t="shared" si="14"/>
        <v>205.44019499999999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71">
        <v>9099.7000000000007</v>
      </c>
      <c r="AI41" s="66">
        <v>4.13</v>
      </c>
      <c r="AJ41" s="66">
        <v>8.1300000000000008</v>
      </c>
      <c r="AK41" s="62">
        <f t="shared" si="19"/>
        <v>375.81761</v>
      </c>
      <c r="AL41" s="72">
        <f t="shared" si="20"/>
        <v>739.80561000000012</v>
      </c>
      <c r="AM41" s="73">
        <f t="shared" si="21"/>
        <v>9.299999999893771E-2</v>
      </c>
      <c r="AN41" s="74">
        <f t="shared" si="22"/>
        <v>-0.1719389999999521</v>
      </c>
      <c r="AO41" s="74">
        <f t="shared" si="23"/>
        <v>2.7614999999968859E-2</v>
      </c>
      <c r="AP41" s="75">
        <f t="shared" si="24"/>
        <v>-4.6416661040555272E-4</v>
      </c>
      <c r="AQ41" s="76">
        <f t="shared" si="25"/>
        <v>-74.351838842707764</v>
      </c>
      <c r="AR41" s="90">
        <f t="shared" si="32"/>
        <v>9.299999999893771E-2</v>
      </c>
    </row>
    <row r="42" spans="1:44" x14ac:dyDescent="0.25">
      <c r="A42" t="str">
        <f t="shared" si="11"/>
        <v>46223M</v>
      </c>
      <c r="B42" s="51">
        <f t="shared" si="27"/>
        <v>46223</v>
      </c>
      <c r="C42" s="52" t="s">
        <v>87</v>
      </c>
      <c r="D42" s="79">
        <v>9099.7000000000007</v>
      </c>
      <c r="E42" s="62">
        <v>4.13</v>
      </c>
      <c r="F42" s="62">
        <v>8.1300000000000008</v>
      </c>
      <c r="G42" s="169">
        <f t="shared" si="30"/>
        <v>375.81761</v>
      </c>
      <c r="H42" s="170">
        <f t="shared" si="31"/>
        <v>739.80561000000012</v>
      </c>
      <c r="I42" s="118">
        <v>2913.8999999999992</v>
      </c>
      <c r="J42" s="119">
        <v>3001.3169999999991</v>
      </c>
      <c r="K42" s="120">
        <v>4.1583170321562157</v>
      </c>
      <c r="L42" s="121">
        <v>8.1342496310786192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3001.3169999999991</v>
      </c>
      <c r="S42" s="62">
        <f t="shared" si="13"/>
        <v>124.80427599999993</v>
      </c>
      <c r="T42" s="63">
        <f t="shared" si="14"/>
        <v>244.13461699999979</v>
      </c>
      <c r="U42" s="64" t="s">
        <v>195</v>
      </c>
      <c r="V42" s="65" t="s">
        <v>646</v>
      </c>
      <c r="W42" s="66" t="s">
        <v>181</v>
      </c>
      <c r="X42" s="67">
        <v>9400</v>
      </c>
      <c r="Y42" s="68">
        <v>4.3</v>
      </c>
      <c r="Z42" s="68">
        <v>8.0299999999999994</v>
      </c>
      <c r="AA42" s="62">
        <f t="shared" si="15"/>
        <v>404.2</v>
      </c>
      <c r="AB42" s="63">
        <f t="shared" si="16"/>
        <v>754.81999999999994</v>
      </c>
      <c r="AC42" s="69">
        <v>9350</v>
      </c>
      <c r="AD42" s="70">
        <v>4.250588235294118</v>
      </c>
      <c r="AE42" s="70">
        <v>7.9401176470588242</v>
      </c>
      <c r="AF42" s="62">
        <f t="shared" si="17"/>
        <v>397.43</v>
      </c>
      <c r="AG42" s="63">
        <f t="shared" si="18"/>
        <v>742.40100000000007</v>
      </c>
      <c r="AH42" s="71">
        <v>2701</v>
      </c>
      <c r="AI42" s="66">
        <v>4.1399999999999997</v>
      </c>
      <c r="AJ42" s="66">
        <v>8.1300000000000008</v>
      </c>
      <c r="AK42" s="62">
        <f t="shared" si="19"/>
        <v>111.8214</v>
      </c>
      <c r="AL42" s="72">
        <f t="shared" si="20"/>
        <v>219.59130000000002</v>
      </c>
      <c r="AM42" s="73">
        <f t="shared" si="21"/>
        <v>50.016999999999825</v>
      </c>
      <c r="AN42" s="74">
        <f t="shared" si="22"/>
        <v>-8.6295140000000998</v>
      </c>
      <c r="AO42" s="74">
        <f t="shared" si="23"/>
        <v>21.947926999999851</v>
      </c>
      <c r="AP42" s="75">
        <f t="shared" si="24"/>
        <v>3.609923825515398E-2</v>
      </c>
      <c r="AQ42" s="76">
        <f t="shared" si="25"/>
        <v>2426.4464080016796</v>
      </c>
      <c r="AR42" s="90">
        <f t="shared" si="32"/>
        <v>1.6999999999825377E-2</v>
      </c>
    </row>
    <row r="43" spans="1:44" x14ac:dyDescent="0.25">
      <c r="A43" t="str">
        <f t="shared" si="11"/>
        <v>46223E</v>
      </c>
      <c r="B43" s="51">
        <f t="shared" si="27"/>
        <v>46223</v>
      </c>
      <c r="C43" s="52" t="s">
        <v>88</v>
      </c>
      <c r="D43" s="79">
        <v>2701</v>
      </c>
      <c r="E43" s="62">
        <v>4.1399999999999997</v>
      </c>
      <c r="F43" s="62">
        <v>8.1300000000000008</v>
      </c>
      <c r="G43" s="169">
        <f t="shared" si="30"/>
        <v>111.8214</v>
      </c>
      <c r="H43" s="170">
        <f t="shared" si="31"/>
        <v>219.59130000000002</v>
      </c>
      <c r="I43" s="118">
        <v>3428.8999999999992</v>
      </c>
      <c r="J43" s="119">
        <v>3531.7669999999994</v>
      </c>
      <c r="K43" s="120">
        <v>4.1035259121000927</v>
      </c>
      <c r="L43" s="121">
        <v>8.1568666336142801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3531.7669999999994</v>
      </c>
      <c r="S43" s="62">
        <f t="shared" si="13"/>
        <v>144.92697400000006</v>
      </c>
      <c r="T43" s="63">
        <f t="shared" si="14"/>
        <v>288.081524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71">
        <v>6232.7</v>
      </c>
      <c r="AI43" s="66">
        <v>4.12</v>
      </c>
      <c r="AJ43" s="66">
        <v>8.14</v>
      </c>
      <c r="AK43" s="62">
        <f t="shared" si="19"/>
        <v>256.78724</v>
      </c>
      <c r="AL43" s="72">
        <f t="shared" si="20"/>
        <v>507.34177999999997</v>
      </c>
      <c r="AM43" s="73">
        <f t="shared" si="21"/>
        <v>6.7000000000007276E-2</v>
      </c>
      <c r="AN43" s="74">
        <f t="shared" si="22"/>
        <v>-3.8865999999927681E-2</v>
      </c>
      <c r="AO43" s="74">
        <f t="shared" si="23"/>
        <v>0.33104400000001988</v>
      </c>
      <c r="AP43" s="75">
        <f t="shared" si="24"/>
        <v>6.7476273872133603E-4</v>
      </c>
      <c r="AQ43" s="76">
        <f t="shared" si="25"/>
        <v>80.468352927796133</v>
      </c>
      <c r="AR43" s="90">
        <f t="shared" si="32"/>
        <v>6.7000000000007276E-2</v>
      </c>
    </row>
    <row r="44" spans="1:44" x14ac:dyDescent="0.25">
      <c r="A44" t="str">
        <f t="shared" si="11"/>
        <v>46224M</v>
      </c>
      <c r="B44" s="51">
        <f t="shared" si="27"/>
        <v>46224</v>
      </c>
      <c r="C44" s="52" t="s">
        <v>87</v>
      </c>
      <c r="D44" s="79">
        <v>6232.7</v>
      </c>
      <c r="E44" s="62">
        <v>4.12</v>
      </c>
      <c r="F44" s="62">
        <v>8.14</v>
      </c>
      <c r="G44" s="169">
        <f t="shared" si="30"/>
        <v>256.78724</v>
      </c>
      <c r="H44" s="170">
        <f t="shared" si="31"/>
        <v>507.34177999999997</v>
      </c>
      <c r="I44" s="118">
        <v>2830.4999999999986</v>
      </c>
      <c r="J44" s="119">
        <v>2915.4149999999986</v>
      </c>
      <c r="K44" s="120">
        <v>4.2970570570570592</v>
      </c>
      <c r="L44" s="121">
        <v>8.1127539304009897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2915.4149999999986</v>
      </c>
      <c r="S44" s="62">
        <f t="shared" si="13"/>
        <v>125.277046</v>
      </c>
      <c r="T44" s="63">
        <f t="shared" si="14"/>
        <v>236.52044499999991</v>
      </c>
      <c r="U44" s="64" t="s">
        <v>196</v>
      </c>
      <c r="V44" s="65" t="s">
        <v>718</v>
      </c>
      <c r="W44" s="66" t="s">
        <v>181</v>
      </c>
      <c r="X44" s="67">
        <v>9160</v>
      </c>
      <c r="Y44" s="68">
        <v>4.1500000000000004</v>
      </c>
      <c r="Z44" s="68">
        <v>7.83</v>
      </c>
      <c r="AA44" s="62">
        <f t="shared" si="15"/>
        <v>380.14000000000004</v>
      </c>
      <c r="AB44" s="63">
        <f t="shared" si="16"/>
        <v>717.22799999999995</v>
      </c>
      <c r="AC44" s="69">
        <v>9130</v>
      </c>
      <c r="AD44" s="70">
        <v>4.1174698795180715</v>
      </c>
      <c r="AE44" s="70">
        <v>7.709036144578314</v>
      </c>
      <c r="AF44" s="62">
        <f t="shared" si="17"/>
        <v>375.92499999999995</v>
      </c>
      <c r="AG44" s="63">
        <f t="shared" si="18"/>
        <v>703.83500000000004</v>
      </c>
      <c r="AH44" s="71">
        <v>0</v>
      </c>
      <c r="AI44" s="66">
        <v>0</v>
      </c>
      <c r="AJ44" s="66">
        <v>0</v>
      </c>
      <c r="AK44" s="62">
        <f t="shared" si="19"/>
        <v>0</v>
      </c>
      <c r="AL44" s="72">
        <f t="shared" si="20"/>
        <v>0</v>
      </c>
      <c r="AM44" s="73">
        <f t="shared" si="21"/>
        <v>18.114999999997963</v>
      </c>
      <c r="AN44" s="74">
        <f t="shared" si="22"/>
        <v>6.1392860000000269</v>
      </c>
      <c r="AO44" s="74">
        <f t="shared" si="23"/>
        <v>40.027224999999817</v>
      </c>
      <c r="AP44" s="75">
        <f t="shared" si="24"/>
        <v>0.12760318174787966</v>
      </c>
      <c r="AQ44" s="76">
        <f t="shared" si="25"/>
        <v>14937.92427950272</v>
      </c>
      <c r="AR44" s="90">
        <f>(D44+J44+O44)-(X44+AH44)</f>
        <v>-11.885000000002037</v>
      </c>
    </row>
    <row r="45" spans="1:44" x14ac:dyDescent="0.25">
      <c r="A45" t="str">
        <f t="shared" si="11"/>
        <v>46224E</v>
      </c>
      <c r="B45" s="51">
        <f t="shared" si="27"/>
        <v>46224</v>
      </c>
      <c r="C45" s="52" t="s">
        <v>88</v>
      </c>
      <c r="D45" s="79">
        <v>0</v>
      </c>
      <c r="E45" s="62">
        <v>0</v>
      </c>
      <c r="F45" s="62">
        <v>0</v>
      </c>
      <c r="G45" s="169">
        <f t="shared" si="30"/>
        <v>0</v>
      </c>
      <c r="H45" s="170">
        <f t="shared" si="31"/>
        <v>0</v>
      </c>
      <c r="I45" s="118">
        <v>2498.6</v>
      </c>
      <c r="J45" s="119">
        <v>2573.558</v>
      </c>
      <c r="K45" s="120">
        <v>4.1773833346674127</v>
      </c>
      <c r="L45" s="121">
        <v>8.1584287200832453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2573.558</v>
      </c>
      <c r="S45" s="62">
        <f t="shared" si="13"/>
        <v>107.50738299999998</v>
      </c>
      <c r="T45" s="63">
        <f t="shared" si="14"/>
        <v>209.96189499999997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71">
        <v>2573.5</v>
      </c>
      <c r="AI45" s="66">
        <v>4.18</v>
      </c>
      <c r="AJ45" s="66">
        <v>8.16</v>
      </c>
      <c r="AK45" s="62">
        <f t="shared" si="19"/>
        <v>107.5723</v>
      </c>
      <c r="AL45" s="72">
        <f t="shared" si="20"/>
        <v>209.99760000000001</v>
      </c>
      <c r="AM45" s="73">
        <f t="shared" si="21"/>
        <v>5.7999999999992724E-2</v>
      </c>
      <c r="AN45" s="74">
        <f t="shared" si="22"/>
        <v>-6.491700000002254E-2</v>
      </c>
      <c r="AO45" s="74">
        <f t="shared" si="23"/>
        <v>-3.5705000000035625E-2</v>
      </c>
      <c r="AP45" s="75">
        <f t="shared" si="24"/>
        <v>-3.1695035385458049E-4</v>
      </c>
      <c r="AQ45" s="76">
        <f t="shared" si="25"/>
        <v>-41.88806095217835</v>
      </c>
      <c r="AR45" s="90">
        <f>(D45+J45+O45)-(X45+AH45)</f>
        <v>5.7999999999992724E-2</v>
      </c>
    </row>
    <row r="46" spans="1:44" x14ac:dyDescent="0.25">
      <c r="A46" t="str">
        <f t="shared" si="11"/>
        <v>46225M</v>
      </c>
      <c r="B46" s="51">
        <f t="shared" si="27"/>
        <v>46225</v>
      </c>
      <c r="C46" s="52" t="s">
        <v>87</v>
      </c>
      <c r="D46" s="79">
        <v>2573.5</v>
      </c>
      <c r="E46" s="62">
        <v>4.18</v>
      </c>
      <c r="F46" s="62">
        <v>8.16</v>
      </c>
      <c r="G46" s="169">
        <f t="shared" si="30"/>
        <v>107.5723</v>
      </c>
      <c r="H46" s="170">
        <f t="shared" si="31"/>
        <v>209.99760000000001</v>
      </c>
      <c r="I46" s="118">
        <v>2751.93</v>
      </c>
      <c r="J46" s="119">
        <v>2834.4879000000001</v>
      </c>
      <c r="K46" s="120">
        <v>4.318483391656037</v>
      </c>
      <c r="L46" s="121">
        <v>8.1176178173136719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2834.4879000000001</v>
      </c>
      <c r="S46" s="62">
        <f t="shared" si="13"/>
        <v>122.40688919999998</v>
      </c>
      <c r="T46" s="63">
        <f t="shared" si="14"/>
        <v>230.09289480000012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71">
        <v>5407.9</v>
      </c>
      <c r="AI46" s="66">
        <v>4.25</v>
      </c>
      <c r="AJ46" s="66">
        <v>8.14</v>
      </c>
      <c r="AK46" s="62">
        <f t="shared" si="19"/>
        <v>229.83574999999999</v>
      </c>
      <c r="AL46" s="72">
        <f t="shared" si="20"/>
        <v>440.20305999999999</v>
      </c>
      <c r="AM46" s="73">
        <f t="shared" si="21"/>
        <v>8.7900000000445289E-2</v>
      </c>
      <c r="AN46" s="74">
        <f t="shared" si="22"/>
        <v>0.14343919999998889</v>
      </c>
      <c r="AO46" s="74">
        <f t="shared" si="23"/>
        <v>-0.11256519999989223</v>
      </c>
      <c r="AP46" s="75">
        <f t="shared" si="24"/>
        <v>8.7585869272750104E-5</v>
      </c>
      <c r="AQ46" s="76">
        <f t="shared" si="25"/>
        <v>35.214928746220323</v>
      </c>
      <c r="AR46" s="90">
        <f>(D46+J46+O46)-(X46+AH46)</f>
        <v>8.7900000000445289E-2</v>
      </c>
    </row>
    <row r="47" spans="1:44" x14ac:dyDescent="0.25">
      <c r="A47" t="str">
        <f t="shared" si="11"/>
        <v>46225E</v>
      </c>
      <c r="B47" s="51">
        <f t="shared" si="27"/>
        <v>46225</v>
      </c>
      <c r="C47" s="52" t="s">
        <v>88</v>
      </c>
      <c r="D47" s="79">
        <v>5407.9</v>
      </c>
      <c r="E47" s="62">
        <v>4.25</v>
      </c>
      <c r="F47" s="62">
        <v>8.14</v>
      </c>
      <c r="G47" s="169">
        <f t="shared" si="30"/>
        <v>229.83574999999999</v>
      </c>
      <c r="H47" s="170">
        <f t="shared" si="31"/>
        <v>440.20305999999999</v>
      </c>
      <c r="I47" s="118">
        <v>3200.6999999999989</v>
      </c>
      <c r="J47" s="119">
        <v>3296.7209999999991</v>
      </c>
      <c r="K47" s="120">
        <v>4.0134845502546348</v>
      </c>
      <c r="L47" s="121">
        <v>8.158349735995257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3296.7209999999991</v>
      </c>
      <c r="S47" s="62">
        <f t="shared" si="13"/>
        <v>132.31338800000006</v>
      </c>
      <c r="T47" s="63">
        <f t="shared" si="14"/>
        <v>268.95802900000012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71">
        <v>8704.6</v>
      </c>
      <c r="AI47" s="66">
        <v>4.1500000000000004</v>
      </c>
      <c r="AJ47" s="66">
        <v>8.15</v>
      </c>
      <c r="AK47" s="62">
        <f t="shared" si="19"/>
        <v>361.24090000000001</v>
      </c>
      <c r="AL47" s="72">
        <f t="shared" si="20"/>
        <v>709.42490000000009</v>
      </c>
      <c r="AM47" s="73">
        <f t="shared" si="21"/>
        <v>2.0999999998821295E-2</v>
      </c>
      <c r="AN47" s="74">
        <f t="shared" si="22"/>
        <v>0.90823800000003985</v>
      </c>
      <c r="AO47" s="74">
        <f t="shared" si="23"/>
        <v>-0.26381099999991875</v>
      </c>
      <c r="AP47" s="75">
        <f t="shared" si="24"/>
        <v>1.6059628787368147E-3</v>
      </c>
      <c r="AQ47" s="76">
        <f t="shared" si="25"/>
        <v>357.42887298091927</v>
      </c>
      <c r="AR47" s="90">
        <f>(D47+J47+O47)-(X47+AH47)</f>
        <v>2.0999999998821295E-2</v>
      </c>
    </row>
    <row r="48" spans="1:44" x14ac:dyDescent="0.25">
      <c r="A48" t="str">
        <f t="shared" si="11"/>
        <v>46226M</v>
      </c>
      <c r="B48" s="51">
        <f t="shared" si="27"/>
        <v>46226</v>
      </c>
      <c r="C48" s="52" t="s">
        <v>87</v>
      </c>
      <c r="D48" s="79">
        <v>8704.6</v>
      </c>
      <c r="E48" s="62">
        <v>4.1500000000000004</v>
      </c>
      <c r="F48" s="62">
        <v>8.15</v>
      </c>
      <c r="G48" s="169">
        <f t="shared" si="30"/>
        <v>361.24090000000001</v>
      </c>
      <c r="H48" s="170">
        <f t="shared" si="31"/>
        <v>709.42490000000009</v>
      </c>
      <c r="I48" s="118">
        <v>3116.1999999999989</v>
      </c>
      <c r="J48" s="119">
        <v>3209.6859999999988</v>
      </c>
      <c r="K48" s="120">
        <v>4.1659457030999336</v>
      </c>
      <c r="L48" s="121">
        <v>8.1309158590591153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3209.6859999999988</v>
      </c>
      <c r="S48" s="62">
        <f t="shared" si="13"/>
        <v>133.71377600000008</v>
      </c>
      <c r="T48" s="63">
        <f t="shared" si="14"/>
        <v>260.97686800000002</v>
      </c>
      <c r="U48" s="64" t="s">
        <v>196</v>
      </c>
      <c r="V48" s="65" t="s">
        <v>770</v>
      </c>
      <c r="W48" s="66" t="s">
        <v>181</v>
      </c>
      <c r="X48" s="67">
        <v>10570</v>
      </c>
      <c r="Y48" s="68">
        <v>4.28</v>
      </c>
      <c r="Z48" s="68">
        <v>8.1999999999999993</v>
      </c>
      <c r="AA48" s="62">
        <f t="shared" si="15"/>
        <v>452.39600000000007</v>
      </c>
      <c r="AB48" s="63">
        <f t="shared" si="16"/>
        <v>866.7399999999999</v>
      </c>
      <c r="AC48" s="69">
        <v>10570</v>
      </c>
      <c r="AD48" s="70">
        <v>4.25</v>
      </c>
      <c r="AE48" s="70">
        <v>8</v>
      </c>
      <c r="AF48" s="62">
        <f t="shared" si="17"/>
        <v>449.22500000000002</v>
      </c>
      <c r="AG48" s="63">
        <f t="shared" si="18"/>
        <v>845.6</v>
      </c>
      <c r="AH48" s="71">
        <v>1344.2</v>
      </c>
      <c r="AI48" s="66">
        <v>4.16</v>
      </c>
      <c r="AJ48" s="66">
        <v>8.14</v>
      </c>
      <c r="AK48" s="62">
        <f t="shared" si="19"/>
        <v>55.91872</v>
      </c>
      <c r="AL48" s="72">
        <f t="shared" si="20"/>
        <v>109.41788000000001</v>
      </c>
      <c r="AM48" s="73">
        <f t="shared" si="21"/>
        <v>8.6000000000012733E-2</v>
      </c>
      <c r="AN48" s="74">
        <f t="shared" si="22"/>
        <v>-10.18904399999996</v>
      </c>
      <c r="AO48" s="74">
        <f t="shared" si="23"/>
        <v>15.383888000000141</v>
      </c>
      <c r="AP48" s="75">
        <f t="shared" si="24"/>
        <v>1.3161811861950746E-2</v>
      </c>
      <c r="AQ48" s="76">
        <f t="shared" si="25"/>
        <v>-288.82975819567309</v>
      </c>
      <c r="AR48" s="83">
        <f t="shared" si="26"/>
        <v>8.5999999999330612E-2</v>
      </c>
    </row>
    <row r="49" spans="1:44" x14ac:dyDescent="0.25">
      <c r="A49" t="str">
        <f t="shared" si="11"/>
        <v>46226E</v>
      </c>
      <c r="B49" s="51">
        <f t="shared" si="27"/>
        <v>46226</v>
      </c>
      <c r="C49" s="52" t="s">
        <v>88</v>
      </c>
      <c r="D49" s="79">
        <v>1344.2</v>
      </c>
      <c r="E49" s="62">
        <v>4.16</v>
      </c>
      <c r="F49" s="62">
        <v>8.14</v>
      </c>
      <c r="G49" s="169">
        <f t="shared" si="30"/>
        <v>55.91872</v>
      </c>
      <c r="H49" s="170">
        <f t="shared" si="31"/>
        <v>109.41788000000001</v>
      </c>
      <c r="I49" s="118">
        <v>2476.7999999999988</v>
      </c>
      <c r="J49" s="119">
        <v>2551.1039999999989</v>
      </c>
      <c r="K49" s="120">
        <v>4.1424135981912169</v>
      </c>
      <c r="L49" s="121">
        <v>8.1517643733850189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2551.1039999999989</v>
      </c>
      <c r="S49" s="62">
        <f t="shared" si="13"/>
        <v>105.67727900000003</v>
      </c>
      <c r="T49" s="63">
        <f t="shared" si="14"/>
        <v>207.95998700000007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71">
        <v>3895.3</v>
      </c>
      <c r="AI49" s="66">
        <v>4.1500000000000004</v>
      </c>
      <c r="AJ49" s="66">
        <v>8.15</v>
      </c>
      <c r="AK49" s="62">
        <f t="shared" si="19"/>
        <v>161.65495000000001</v>
      </c>
      <c r="AL49" s="72">
        <f t="shared" si="20"/>
        <v>317.46695000000005</v>
      </c>
      <c r="AM49" s="73">
        <f t="shared" si="21"/>
        <v>3.9999999989959178E-3</v>
      </c>
      <c r="AN49" s="74">
        <f t="shared" si="22"/>
        <v>-5.8950999999979103E-2</v>
      </c>
      <c r="AO49" s="74">
        <f t="shared" si="23"/>
        <v>-8.9082999999959611E-2</v>
      </c>
      <c r="AP49" s="75">
        <f t="shared" si="24"/>
        <v>-4.7199110580162587E-4</v>
      </c>
      <c r="AQ49" s="76">
        <f t="shared" si="25"/>
        <v>-55.007439581924906</v>
      </c>
      <c r="AR49" s="83">
        <f t="shared" si="26"/>
        <v>3.9999999989959178E-3</v>
      </c>
    </row>
    <row r="50" spans="1:44" x14ac:dyDescent="0.25">
      <c r="A50" t="str">
        <f t="shared" si="11"/>
        <v>46227M</v>
      </c>
      <c r="B50" s="51">
        <f t="shared" si="27"/>
        <v>46227</v>
      </c>
      <c r="C50" s="52" t="s">
        <v>87</v>
      </c>
      <c r="D50" s="79">
        <v>3895.3</v>
      </c>
      <c r="E50" s="62">
        <v>4.1500000000000004</v>
      </c>
      <c r="F50" s="62">
        <v>8.15</v>
      </c>
      <c r="G50" s="169">
        <f t="shared" si="30"/>
        <v>161.65495000000001</v>
      </c>
      <c r="H50" s="170">
        <f t="shared" si="31"/>
        <v>317.46695000000005</v>
      </c>
      <c r="I50" s="118">
        <v>2677.599999999999</v>
      </c>
      <c r="J50" s="119">
        <v>2757.927999999999</v>
      </c>
      <c r="K50" s="120">
        <v>4.1909732596354967</v>
      </c>
      <c r="L50" s="121">
        <v>8.1095645354048411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ref="R50:R65" si="33">+J50+O50</f>
        <v>2757.927999999999</v>
      </c>
      <c r="S50" s="62">
        <f t="shared" ref="S50:S65" si="34">+J50*K50%+O50*P50%</f>
        <v>115.58402500000003</v>
      </c>
      <c r="T50" s="63">
        <f t="shared" ref="T50:T65" si="35">+J50*L50%+O50*Q50%</f>
        <v>223.65595099999993</v>
      </c>
      <c r="U50" s="64" t="s">
        <v>167</v>
      </c>
      <c r="V50" s="65" t="s">
        <v>167</v>
      </c>
      <c r="W50" s="66" t="s">
        <v>167</v>
      </c>
      <c r="X50" s="67">
        <v>0</v>
      </c>
      <c r="Y50" s="68">
        <v>0</v>
      </c>
      <c r="Z50" s="68">
        <v>0</v>
      </c>
      <c r="AA50" s="62">
        <f t="shared" ref="AA50" si="36">X50*Y50%</f>
        <v>0</v>
      </c>
      <c r="AB50" s="63">
        <f t="shared" ref="AB50" si="37">X50*Z50%</f>
        <v>0</v>
      </c>
      <c r="AC50" s="69"/>
      <c r="AD50" s="70"/>
      <c r="AE50" s="70"/>
      <c r="AF50" s="62">
        <f t="shared" ref="AF50" si="38">AC50*AD50%</f>
        <v>0</v>
      </c>
      <c r="AG50" s="63">
        <f t="shared" ref="AG50" si="39">AC50*AE50%</f>
        <v>0</v>
      </c>
      <c r="AH50" s="71">
        <v>6653.2</v>
      </c>
      <c r="AI50" s="66">
        <v>4.17</v>
      </c>
      <c r="AJ50" s="66">
        <v>8.1300000000000008</v>
      </c>
      <c r="AK50" s="62">
        <f t="shared" ref="AK50:AK63" si="40">AH50*AI50%</f>
        <v>277.43844000000001</v>
      </c>
      <c r="AL50" s="72">
        <f t="shared" ref="AL50:AL63" si="41">AH50*AJ50%</f>
        <v>540.90516000000002</v>
      </c>
      <c r="AM50" s="73">
        <f t="shared" si="21"/>
        <v>2.7999999999337888E-2</v>
      </c>
      <c r="AN50" s="74">
        <f t="shared" si="22"/>
        <v>-0.19946499999997513</v>
      </c>
      <c r="AO50" s="74">
        <f t="shared" si="23"/>
        <v>0.21774099999993268</v>
      </c>
      <c r="AP50" s="75">
        <f t="shared" si="24"/>
        <v>5.3873367801315816E-5</v>
      </c>
      <c r="AQ50" s="76">
        <f t="shared" si="25"/>
        <v>-30.637933314456404</v>
      </c>
      <c r="AR50" s="83">
        <f t="shared" si="26"/>
        <v>2.7999999999337888E-2</v>
      </c>
    </row>
    <row r="51" spans="1:44" x14ac:dyDescent="0.25">
      <c r="A51" t="str">
        <f t="shared" si="11"/>
        <v>46227E</v>
      </c>
      <c r="B51" s="51">
        <f t="shared" si="27"/>
        <v>46227</v>
      </c>
      <c r="C51" s="52" t="s">
        <v>88</v>
      </c>
      <c r="D51" s="79">
        <v>6653.2</v>
      </c>
      <c r="E51" s="62">
        <v>4.17</v>
      </c>
      <c r="F51" s="62">
        <v>8.1300000000000008</v>
      </c>
      <c r="G51" s="169">
        <f t="shared" si="30"/>
        <v>277.43844000000001</v>
      </c>
      <c r="H51" s="170">
        <f t="shared" si="31"/>
        <v>540.90516000000002</v>
      </c>
      <c r="I51" s="118">
        <v>2496.5999999999995</v>
      </c>
      <c r="J51" s="119">
        <v>2571.4979999999996</v>
      </c>
      <c r="K51" s="120">
        <v>4.2407474164864203</v>
      </c>
      <c r="L51" s="121">
        <v>8.152275094128008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33"/>
        <v>2571.4979999999996</v>
      </c>
      <c r="S51" s="62">
        <f t="shared" si="34"/>
        <v>109.05073499999996</v>
      </c>
      <c r="T51" s="63">
        <f t="shared" si="35"/>
        <v>209.63559099999983</v>
      </c>
      <c r="U51" s="64" t="s">
        <v>167</v>
      </c>
      <c r="V51" s="85" t="s">
        <v>180</v>
      </c>
      <c r="W51" s="66">
        <v>0</v>
      </c>
      <c r="X51" s="67">
        <v>0</v>
      </c>
      <c r="Y51" s="68">
        <v>0</v>
      </c>
      <c r="Z51" s="68">
        <v>0</v>
      </c>
      <c r="AA51" s="62">
        <f t="shared" ref="AA51:AA53" si="42">X51*Y51%</f>
        <v>0</v>
      </c>
      <c r="AB51" s="63">
        <f t="shared" ref="AB51:AB53" si="43">X51*Z51%</f>
        <v>0</v>
      </c>
      <c r="AC51" s="69"/>
      <c r="AD51" s="70"/>
      <c r="AE51" s="70"/>
      <c r="AF51" s="62">
        <f t="shared" ref="AF51:AF53" si="44">AC51*AD51%</f>
        <v>0</v>
      </c>
      <c r="AG51" s="63">
        <f t="shared" ref="AG51:AG53" si="45">AC51*AE51%</f>
        <v>0</v>
      </c>
      <c r="AH51" s="71">
        <v>9224.6</v>
      </c>
      <c r="AI51" s="66">
        <v>4.1900000000000004</v>
      </c>
      <c r="AJ51" s="66">
        <v>8.14</v>
      </c>
      <c r="AK51" s="62">
        <f t="shared" si="40"/>
        <v>386.51074000000006</v>
      </c>
      <c r="AL51" s="72">
        <f t="shared" si="41"/>
        <v>750.88243999999997</v>
      </c>
      <c r="AM51" s="73">
        <f t="shared" si="21"/>
        <v>9.7999999999956344E-2</v>
      </c>
      <c r="AN51" s="74">
        <f t="shared" si="22"/>
        <v>-2.1565000000066448E-2</v>
      </c>
      <c r="AO51" s="74">
        <f t="shared" si="23"/>
        <v>-0.34168900000008762</v>
      </c>
      <c r="AP51" s="75">
        <f t="shared" si="24"/>
        <v>-1.1398480899998023E-3</v>
      </c>
      <c r="AQ51" s="76">
        <f t="shared" si="25"/>
        <v>-112.69549797363172</v>
      </c>
      <c r="AR51" s="83">
        <f t="shared" si="26"/>
        <v>9.7999999999956344E-2</v>
      </c>
    </row>
    <row r="52" spans="1:44" x14ac:dyDescent="0.25">
      <c r="A52" t="str">
        <f t="shared" si="11"/>
        <v>46228M</v>
      </c>
      <c r="B52" s="51">
        <f t="shared" si="27"/>
        <v>46228</v>
      </c>
      <c r="C52" s="52" t="s">
        <v>87</v>
      </c>
      <c r="D52" s="79">
        <v>9224.6</v>
      </c>
      <c r="E52" s="62">
        <v>4.1900000000000004</v>
      </c>
      <c r="F52" s="62">
        <v>8.14</v>
      </c>
      <c r="G52" s="169">
        <f t="shared" si="30"/>
        <v>386.51074000000006</v>
      </c>
      <c r="H52" s="170">
        <f t="shared" si="31"/>
        <v>750.88243999999997</v>
      </c>
      <c r="I52" s="118">
        <v>2553.0999999999995</v>
      </c>
      <c r="J52" s="119">
        <v>2629.6929999999993</v>
      </c>
      <c r="K52" s="120">
        <v>4.2777447025185049</v>
      </c>
      <c r="L52" s="121">
        <v>8.1172417844972777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33"/>
        <v>2629.6929999999993</v>
      </c>
      <c r="S52" s="62">
        <f t="shared" si="34"/>
        <v>112.49155299999993</v>
      </c>
      <c r="T52" s="63">
        <f t="shared" si="35"/>
        <v>213.45853899999994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42"/>
        <v>0</v>
      </c>
      <c r="AB52" s="63">
        <f t="shared" si="43"/>
        <v>0</v>
      </c>
      <c r="AC52" s="69"/>
      <c r="AD52" s="70"/>
      <c r="AE52" s="70"/>
      <c r="AF52" s="62">
        <f t="shared" si="44"/>
        <v>0</v>
      </c>
      <c r="AG52" s="63">
        <f t="shared" si="45"/>
        <v>0</v>
      </c>
      <c r="AH52" s="71">
        <v>11854.2</v>
      </c>
      <c r="AI52" s="66">
        <v>4.2</v>
      </c>
      <c r="AJ52" s="66">
        <v>8.1300000000000008</v>
      </c>
      <c r="AK52" s="62">
        <f t="shared" si="40"/>
        <v>497.87640000000005</v>
      </c>
      <c r="AL52" s="72">
        <f t="shared" si="41"/>
        <v>963.74646000000018</v>
      </c>
      <c r="AM52" s="73">
        <f t="shared" si="21"/>
        <v>9.299999999893771E-2</v>
      </c>
      <c r="AN52" s="74">
        <f t="shared" si="22"/>
        <v>1.1258929999999623</v>
      </c>
      <c r="AO52" s="74">
        <f t="shared" si="23"/>
        <v>0.59451899999976376</v>
      </c>
      <c r="AP52" s="75">
        <f t="shared" si="24"/>
        <v>5.2781454652871419E-3</v>
      </c>
      <c r="AQ52" s="76">
        <f t="shared" si="25"/>
        <v>719.08137808075787</v>
      </c>
      <c r="AR52" s="83">
        <f t="shared" si="26"/>
        <v>9.299999999893771E-2</v>
      </c>
    </row>
    <row r="53" spans="1:44" x14ac:dyDescent="0.25">
      <c r="A53" t="str">
        <f t="shared" si="11"/>
        <v>46228E</v>
      </c>
      <c r="B53" s="51">
        <f t="shared" si="27"/>
        <v>46228</v>
      </c>
      <c r="C53" s="52" t="s">
        <v>88</v>
      </c>
      <c r="D53" s="79">
        <v>11854.2</v>
      </c>
      <c r="E53" s="62">
        <v>4.2</v>
      </c>
      <c r="F53" s="62">
        <v>8.1300000000000008</v>
      </c>
      <c r="G53" s="169">
        <f t="shared" si="30"/>
        <v>497.87640000000005</v>
      </c>
      <c r="H53" s="170">
        <f t="shared" si="31"/>
        <v>963.74646000000018</v>
      </c>
      <c r="I53" s="118">
        <v>2373.3999999999996</v>
      </c>
      <c r="J53" s="119">
        <v>2444.6019999999999</v>
      </c>
      <c r="K53" s="120">
        <v>4.1546557680964016</v>
      </c>
      <c r="L53" s="121">
        <v>8.1226299823038666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33"/>
        <v>2444.6019999999999</v>
      </c>
      <c r="S53" s="62">
        <f t="shared" si="34"/>
        <v>101.564798</v>
      </c>
      <c r="T53" s="63">
        <f t="shared" si="35"/>
        <v>198.56597499999995</v>
      </c>
      <c r="U53" s="64" t="s">
        <v>196</v>
      </c>
      <c r="V53" s="65" t="s">
        <v>820</v>
      </c>
      <c r="W53" s="66" t="s">
        <v>181</v>
      </c>
      <c r="X53" s="67">
        <v>10555</v>
      </c>
      <c r="Y53" s="68">
        <v>4.22</v>
      </c>
      <c r="Z53" s="68">
        <v>7.97</v>
      </c>
      <c r="AA53" s="62">
        <f t="shared" si="42"/>
        <v>445.42099999999994</v>
      </c>
      <c r="AB53" s="63">
        <f t="shared" si="43"/>
        <v>841.23349999999994</v>
      </c>
      <c r="AC53" s="69">
        <v>10550</v>
      </c>
      <c r="AD53" s="70">
        <v>4.2</v>
      </c>
      <c r="AE53" s="70">
        <v>7.93</v>
      </c>
      <c r="AF53" s="62">
        <f t="shared" si="44"/>
        <v>443.1</v>
      </c>
      <c r="AG53" s="63">
        <f t="shared" si="45"/>
        <v>836.61500000000001</v>
      </c>
      <c r="AH53" s="71">
        <v>3743.6</v>
      </c>
      <c r="AI53" s="66">
        <v>4.1900000000000004</v>
      </c>
      <c r="AJ53" s="66">
        <v>8.1300000000000008</v>
      </c>
      <c r="AK53" s="62">
        <f t="shared" si="40"/>
        <v>156.85684000000003</v>
      </c>
      <c r="AL53" s="72">
        <f t="shared" si="41"/>
        <v>304.35468000000003</v>
      </c>
      <c r="AM53" s="73">
        <f t="shared" si="21"/>
        <v>5.2019999999997708</v>
      </c>
      <c r="AN53" s="74">
        <f t="shared" si="22"/>
        <v>-0.51564200000007077</v>
      </c>
      <c r="AO53" s="74">
        <f t="shared" si="23"/>
        <v>21.342755000000011</v>
      </c>
      <c r="AP53" s="75">
        <f t="shared" si="24"/>
        <v>6.9393460696547574E-2</v>
      </c>
      <c r="AQ53" s="76">
        <f t="shared" si="25"/>
        <v>6144.1823550838981</v>
      </c>
      <c r="AR53" s="83">
        <f t="shared" si="26"/>
        <v>0.20199999999931606</v>
      </c>
    </row>
    <row r="54" spans="1:44" x14ac:dyDescent="0.25">
      <c r="A54" t="str">
        <f t="shared" si="11"/>
        <v>46229M</v>
      </c>
      <c r="B54" s="51">
        <f t="shared" si="27"/>
        <v>46229</v>
      </c>
      <c r="C54" s="52" t="s">
        <v>87</v>
      </c>
      <c r="D54" s="79">
        <v>3743.6</v>
      </c>
      <c r="E54" s="62">
        <v>4.1900000000000004</v>
      </c>
      <c r="F54" s="62">
        <v>8.1300000000000008</v>
      </c>
      <c r="G54" s="169">
        <f t="shared" si="30"/>
        <v>156.85684000000003</v>
      </c>
      <c r="H54" s="170">
        <f t="shared" si="31"/>
        <v>304.35468000000003</v>
      </c>
      <c r="I54" s="118">
        <v>2408.8999999999992</v>
      </c>
      <c r="J54" s="119">
        <v>2481.166999999999</v>
      </c>
      <c r="K54" s="120">
        <v>4.3281248702727382</v>
      </c>
      <c r="L54" s="121">
        <v>8.0965253850305139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33"/>
        <v>2481.166999999999</v>
      </c>
      <c r="S54" s="62">
        <f t="shared" si="34"/>
        <v>107.38800599999995</v>
      </c>
      <c r="T54" s="63">
        <f t="shared" si="35"/>
        <v>200.88831599999995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ref="AA54:AA56" si="46">X54*Y54%</f>
        <v>0</v>
      </c>
      <c r="AB54" s="63">
        <f t="shared" ref="AB54:AB56" si="47">X54*Z54%</f>
        <v>0</v>
      </c>
      <c r="AC54" s="69"/>
      <c r="AD54" s="70"/>
      <c r="AE54" s="70"/>
      <c r="AF54" s="62">
        <f t="shared" ref="AF54:AF63" si="48">AC54*AD54%</f>
        <v>0</v>
      </c>
      <c r="AG54" s="63">
        <f t="shared" ref="AG54:AG63" si="49">AC54*AE54%</f>
        <v>0</v>
      </c>
      <c r="AH54" s="71">
        <v>6224.7</v>
      </c>
      <c r="AI54" s="66">
        <v>4.24</v>
      </c>
      <c r="AJ54" s="66">
        <v>8.1199999999999992</v>
      </c>
      <c r="AK54" s="62">
        <f t="shared" si="40"/>
        <v>263.92728</v>
      </c>
      <c r="AL54" s="72">
        <f t="shared" si="41"/>
        <v>505.44563999999997</v>
      </c>
      <c r="AM54" s="73">
        <f t="shared" si="21"/>
        <v>6.6999999999097781E-2</v>
      </c>
      <c r="AN54" s="74">
        <f t="shared" si="22"/>
        <v>0.31756599999999935</v>
      </c>
      <c r="AO54" s="74">
        <f t="shared" si="23"/>
        <v>-0.2026440000000207</v>
      </c>
      <c r="AP54" s="75">
        <f t="shared" si="24"/>
        <v>3.7278892927747689E-4</v>
      </c>
      <c r="AQ54" s="76">
        <f t="shared" si="25"/>
        <v>91.910724678647597</v>
      </c>
      <c r="AR54" s="90">
        <f t="shared" ref="AR54:AR63" si="50">(D54+J54+O54)-(X54+AH54)</f>
        <v>6.6999999999097781E-2</v>
      </c>
    </row>
    <row r="55" spans="1:44" x14ac:dyDescent="0.25">
      <c r="A55" t="str">
        <f t="shared" si="11"/>
        <v>46229E</v>
      </c>
      <c r="B55" s="51">
        <f t="shared" si="27"/>
        <v>46229</v>
      </c>
      <c r="C55" s="52" t="s">
        <v>88</v>
      </c>
      <c r="D55" s="79">
        <v>6224.7</v>
      </c>
      <c r="E55" s="62">
        <v>4.24</v>
      </c>
      <c r="F55" s="62">
        <v>8.1199999999999992</v>
      </c>
      <c r="G55" s="169">
        <f t="shared" si="30"/>
        <v>263.92728</v>
      </c>
      <c r="H55" s="170">
        <f t="shared" si="31"/>
        <v>505.44563999999997</v>
      </c>
      <c r="I55" s="118">
        <v>3163.0999999999995</v>
      </c>
      <c r="J55" s="119">
        <v>3257.9929999999995</v>
      </c>
      <c r="K55" s="120">
        <v>3.9297587809427466</v>
      </c>
      <c r="L55" s="121">
        <v>8.1579273497518248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33"/>
        <v>3257.9929999999995</v>
      </c>
      <c r="S55" s="62">
        <f t="shared" si="34"/>
        <v>128.03126599999999</v>
      </c>
      <c r="T55" s="63">
        <f t="shared" si="35"/>
        <v>265.78470199999992</v>
      </c>
      <c r="U55" s="64" t="s">
        <v>195</v>
      </c>
      <c r="V55" s="65" t="s">
        <v>864</v>
      </c>
      <c r="W55" s="66" t="s">
        <v>181</v>
      </c>
      <c r="X55" s="67">
        <v>9350</v>
      </c>
      <c r="Y55" s="68">
        <v>4.3</v>
      </c>
      <c r="Z55" s="68">
        <v>8.06</v>
      </c>
      <c r="AA55" s="62">
        <f t="shared" si="46"/>
        <v>402.04999999999995</v>
      </c>
      <c r="AB55" s="63">
        <f t="shared" si="47"/>
        <v>753.61</v>
      </c>
      <c r="AC55" s="69">
        <v>9340</v>
      </c>
      <c r="AD55" s="70">
        <v>4.2751605995717341</v>
      </c>
      <c r="AE55" s="70">
        <v>7.7948394004282653</v>
      </c>
      <c r="AF55" s="62">
        <f t="shared" si="48"/>
        <v>399.29999999999995</v>
      </c>
      <c r="AG55" s="63">
        <f t="shared" si="49"/>
        <v>728.0379999999999</v>
      </c>
      <c r="AH55" s="71">
        <v>132.6</v>
      </c>
      <c r="AI55" s="66">
        <v>4.13</v>
      </c>
      <c r="AJ55" s="66">
        <v>8.1300000000000008</v>
      </c>
      <c r="AK55" s="62">
        <f t="shared" si="40"/>
        <v>5.4763799999999989</v>
      </c>
      <c r="AL55" s="72">
        <f t="shared" si="41"/>
        <v>10.780380000000001</v>
      </c>
      <c r="AM55" s="73">
        <f t="shared" si="21"/>
        <v>10.092999999999307</v>
      </c>
      <c r="AN55" s="74">
        <f t="shared" si="22"/>
        <v>-12.817833999999998</v>
      </c>
      <c r="AO55" s="74">
        <f t="shared" si="23"/>
        <v>32.411961999999939</v>
      </c>
      <c r="AP55" s="75">
        <f t="shared" si="24"/>
        <v>4.975452899868181E-2</v>
      </c>
      <c r="AQ55" s="76">
        <f t="shared" si="25"/>
        <v>3547.7076594691634</v>
      </c>
      <c r="AR55" s="90">
        <f t="shared" si="50"/>
        <v>9.299999999893771E-2</v>
      </c>
    </row>
    <row r="56" spans="1:44" x14ac:dyDescent="0.25">
      <c r="A56" t="str">
        <f t="shared" si="11"/>
        <v>46230M</v>
      </c>
      <c r="B56" s="51">
        <f t="shared" si="27"/>
        <v>46230</v>
      </c>
      <c r="C56" s="52" t="s">
        <v>87</v>
      </c>
      <c r="D56" s="79">
        <v>132.6</v>
      </c>
      <c r="E56" s="62">
        <v>4.13</v>
      </c>
      <c r="F56" s="62">
        <v>8.1300000000000008</v>
      </c>
      <c r="G56" s="169">
        <f t="shared" si="30"/>
        <v>5.4763799999999989</v>
      </c>
      <c r="H56" s="170">
        <f t="shared" si="31"/>
        <v>10.780380000000001</v>
      </c>
      <c r="I56" s="118">
        <v>2340.4000000000005</v>
      </c>
      <c r="J56" s="119">
        <v>2410.6120000000005</v>
      </c>
      <c r="K56" s="120">
        <v>4.3814262519227496</v>
      </c>
      <c r="L56" s="121">
        <v>8.1026875747735421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33"/>
        <v>2410.6120000000005</v>
      </c>
      <c r="S56" s="62">
        <f t="shared" si="34"/>
        <v>105.61918700000005</v>
      </c>
      <c r="T56" s="63">
        <f t="shared" si="35"/>
        <v>195.32435900000004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46"/>
        <v>0</v>
      </c>
      <c r="AB56" s="63">
        <f t="shared" si="47"/>
        <v>0</v>
      </c>
      <c r="AC56" s="69"/>
      <c r="AD56" s="70"/>
      <c r="AE56" s="70"/>
      <c r="AF56" s="62">
        <f t="shared" si="48"/>
        <v>0</v>
      </c>
      <c r="AG56" s="63">
        <f t="shared" si="49"/>
        <v>0</v>
      </c>
      <c r="AH56" s="71">
        <v>2543.1999999999998</v>
      </c>
      <c r="AI56" s="66">
        <v>4.37</v>
      </c>
      <c r="AJ56" s="66">
        <v>8.1</v>
      </c>
      <c r="AK56" s="62">
        <f t="shared" si="40"/>
        <v>111.13784</v>
      </c>
      <c r="AL56" s="72">
        <f t="shared" si="41"/>
        <v>205.9992</v>
      </c>
      <c r="AM56" s="73">
        <f t="shared" si="21"/>
        <v>1.2000000000625732E-2</v>
      </c>
      <c r="AN56" s="74">
        <f t="shared" si="22"/>
        <v>-4.2272999999951821E-2</v>
      </c>
      <c r="AO56" s="74">
        <f t="shared" si="23"/>
        <v>0.10553900000005001</v>
      </c>
      <c r="AP56" s="75">
        <f t="shared" si="24"/>
        <v>2.1022547531256302E-4</v>
      </c>
      <c r="AQ56" s="76">
        <f t="shared" si="25"/>
        <v>11.294438602873942</v>
      </c>
      <c r="AR56" s="90">
        <f t="shared" si="50"/>
        <v>1.2000000000625732E-2</v>
      </c>
    </row>
    <row r="57" spans="1:44" x14ac:dyDescent="0.25">
      <c r="A57" t="str">
        <f t="shared" si="11"/>
        <v>46230E</v>
      </c>
      <c r="B57" s="51">
        <f t="shared" si="27"/>
        <v>46230</v>
      </c>
      <c r="C57" s="52" t="s">
        <v>88</v>
      </c>
      <c r="D57" s="79">
        <v>2543.1999999999998</v>
      </c>
      <c r="E57" s="62">
        <v>4.37</v>
      </c>
      <c r="F57" s="62">
        <v>8.1</v>
      </c>
      <c r="G57" s="169">
        <f t="shared" si="30"/>
        <v>111.13784</v>
      </c>
      <c r="H57" s="170">
        <f t="shared" si="31"/>
        <v>205.9992</v>
      </c>
      <c r="I57" s="118">
        <v>2751.93</v>
      </c>
      <c r="J57" s="119">
        <v>2834.4879000000001</v>
      </c>
      <c r="K57" s="120">
        <v>3.9127256143869942</v>
      </c>
      <c r="L57" s="121">
        <v>8.1016740978149855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33"/>
        <v>2834.4879000000001</v>
      </c>
      <c r="S57" s="62">
        <f t="shared" si="34"/>
        <v>110.90573410000002</v>
      </c>
      <c r="T57" s="63">
        <f t="shared" si="35"/>
        <v>229.64097199999995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v>0</v>
      </c>
      <c r="AB57" s="63">
        <v>0</v>
      </c>
      <c r="AC57" s="69"/>
      <c r="AD57" s="70"/>
      <c r="AE57" s="70"/>
      <c r="AF57" s="62">
        <f t="shared" si="48"/>
        <v>0</v>
      </c>
      <c r="AG57" s="63">
        <f t="shared" si="49"/>
        <v>0</v>
      </c>
      <c r="AH57" s="71">
        <v>5377.6</v>
      </c>
      <c r="AI57" s="66">
        <v>4.12</v>
      </c>
      <c r="AJ57" s="66">
        <v>8.1</v>
      </c>
      <c r="AK57" s="62">
        <f t="shared" si="40"/>
        <v>221.55712000000003</v>
      </c>
      <c r="AL57" s="72">
        <f t="shared" si="41"/>
        <v>435.58560000000006</v>
      </c>
      <c r="AM57" s="73">
        <f t="shared" si="21"/>
        <v>8.7899999999535794E-2</v>
      </c>
      <c r="AN57" s="74">
        <f t="shared" si="22"/>
        <v>0.48645409999997469</v>
      </c>
      <c r="AO57" s="74">
        <f t="shared" si="23"/>
        <v>5.4571999999893706E-2</v>
      </c>
      <c r="AP57" s="75">
        <f t="shared" si="24"/>
        <v>1.5886986727776443E-3</v>
      </c>
      <c r="AQ57" s="76">
        <f t="shared" si="25"/>
        <v>250.10085556431892</v>
      </c>
      <c r="AR57" s="90">
        <f t="shared" si="50"/>
        <v>8.7899999999535794E-2</v>
      </c>
    </row>
    <row r="58" spans="1:44" x14ac:dyDescent="0.25">
      <c r="A58" t="str">
        <f t="shared" si="11"/>
        <v>46231M</v>
      </c>
      <c r="B58" s="51">
        <f t="shared" si="27"/>
        <v>46231</v>
      </c>
      <c r="C58" s="52" t="s">
        <v>87</v>
      </c>
      <c r="D58" s="79">
        <v>5377.6</v>
      </c>
      <c r="E58" s="62">
        <v>4.12</v>
      </c>
      <c r="F58" s="62">
        <v>8.1</v>
      </c>
      <c r="G58" s="169">
        <f t="shared" si="30"/>
        <v>221.55712000000003</v>
      </c>
      <c r="H58" s="170">
        <f t="shared" si="31"/>
        <v>435.58560000000006</v>
      </c>
      <c r="I58" s="118">
        <v>2359.8999999999996</v>
      </c>
      <c r="J58" s="119">
        <v>2430.6969999999997</v>
      </c>
      <c r="K58" s="120">
        <v>4.320801728886817</v>
      </c>
      <c r="L58" s="121">
        <v>8.0647612186957094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33"/>
        <v>2430.6969999999997</v>
      </c>
      <c r="S58" s="62">
        <f t="shared" si="34"/>
        <v>105.02559799999997</v>
      </c>
      <c r="T58" s="63">
        <f t="shared" si="35"/>
        <v>196.02990900000003</v>
      </c>
      <c r="U58" s="64" t="s">
        <v>167</v>
      </c>
      <c r="V58" s="65" t="s">
        <v>180</v>
      </c>
      <c r="W58" s="66">
        <v>0</v>
      </c>
      <c r="X58" s="67">
        <v>0</v>
      </c>
      <c r="Y58" s="68">
        <v>0</v>
      </c>
      <c r="Z58" s="68">
        <v>0</v>
      </c>
      <c r="AA58" s="62">
        <f t="shared" ref="AA58:AA63" si="51">X58*Y58%</f>
        <v>0</v>
      </c>
      <c r="AB58" s="63">
        <f t="shared" ref="AB58:AB63" si="52">X58*Z58%</f>
        <v>0</v>
      </c>
      <c r="AC58" s="69"/>
      <c r="AD58" s="70"/>
      <c r="AE58" s="70"/>
      <c r="AF58" s="62">
        <f t="shared" si="48"/>
        <v>0</v>
      </c>
      <c r="AG58" s="63">
        <f t="shared" si="49"/>
        <v>0</v>
      </c>
      <c r="AH58" s="71">
        <v>7808.2</v>
      </c>
      <c r="AI58" s="66">
        <v>4.18</v>
      </c>
      <c r="AJ58" s="66">
        <v>8.09</v>
      </c>
      <c r="AK58" s="62">
        <f t="shared" si="40"/>
        <v>326.38275999999996</v>
      </c>
      <c r="AL58" s="72">
        <f>AH58*AJ58%</f>
        <v>631.68337999999994</v>
      </c>
      <c r="AM58" s="73">
        <f t="shared" si="21"/>
        <v>9.7000000000662112E-2</v>
      </c>
      <c r="AN58" s="74">
        <f t="shared" si="22"/>
        <v>0.19995800000003783</v>
      </c>
      <c r="AO58" s="74">
        <f t="shared" si="23"/>
        <v>-6.7870999999854575E-2</v>
      </c>
      <c r="AP58" s="75">
        <f t="shared" si="24"/>
        <v>4.3874633391171697E-4</v>
      </c>
      <c r="AQ58" s="76">
        <f t="shared" si="25"/>
        <v>75.759566640567854</v>
      </c>
      <c r="AR58" s="90">
        <f t="shared" si="50"/>
        <v>9.7000000000662112E-2</v>
      </c>
    </row>
    <row r="59" spans="1:44" x14ac:dyDescent="0.25">
      <c r="A59" t="str">
        <f t="shared" si="11"/>
        <v>46231E</v>
      </c>
      <c r="B59" s="51">
        <f t="shared" si="27"/>
        <v>46231</v>
      </c>
      <c r="C59" s="52" t="s">
        <v>88</v>
      </c>
      <c r="D59" s="79">
        <v>7808.2</v>
      </c>
      <c r="E59" s="62">
        <v>4.18</v>
      </c>
      <c r="F59" s="62">
        <v>8.09</v>
      </c>
      <c r="G59" s="169">
        <f t="shared" si="30"/>
        <v>326.38275999999996</v>
      </c>
      <c r="H59" s="170">
        <f t="shared" si="31"/>
        <v>631.68337999999994</v>
      </c>
      <c r="I59" s="118">
        <v>2224</v>
      </c>
      <c r="J59" s="119">
        <v>2290.7200000000003</v>
      </c>
      <c r="K59" s="120">
        <v>4.1542221223021567</v>
      </c>
      <c r="L59" s="121">
        <v>8.1070368705035936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33"/>
        <v>2290.7200000000003</v>
      </c>
      <c r="S59" s="62">
        <f t="shared" si="34"/>
        <v>95.161596999999972</v>
      </c>
      <c r="T59" s="63">
        <f t="shared" si="35"/>
        <v>185.70951499999995</v>
      </c>
      <c r="U59" s="64" t="s">
        <v>196</v>
      </c>
      <c r="V59" s="65" t="s">
        <v>941</v>
      </c>
      <c r="W59" s="66" t="s">
        <v>181</v>
      </c>
      <c r="X59" s="67">
        <v>10575</v>
      </c>
      <c r="Y59" s="68">
        <v>4.2300000000000004</v>
      </c>
      <c r="Z59" s="68">
        <v>7.93</v>
      </c>
      <c r="AA59" s="62">
        <f t="shared" si="51"/>
        <v>447.32250000000005</v>
      </c>
      <c r="AB59" s="63">
        <f t="shared" si="52"/>
        <v>838.59749999999997</v>
      </c>
      <c r="AC59" s="69">
        <v>10580</v>
      </c>
      <c r="AD59" s="70">
        <v>4.2282136105860113</v>
      </c>
      <c r="AE59" s="70">
        <v>7.7556427221172024</v>
      </c>
      <c r="AF59" s="62">
        <f t="shared" si="48"/>
        <v>447.34499999999997</v>
      </c>
      <c r="AG59" s="63">
        <f t="shared" si="49"/>
        <v>820.54700000000003</v>
      </c>
      <c r="AH59" s="71">
        <v>0</v>
      </c>
      <c r="AI59" s="66">
        <v>0</v>
      </c>
      <c r="AJ59" s="66">
        <v>0</v>
      </c>
      <c r="AK59" s="62">
        <f t="shared" si="40"/>
        <v>0</v>
      </c>
      <c r="AL59" s="72">
        <f t="shared" si="41"/>
        <v>0</v>
      </c>
      <c r="AM59" s="73">
        <f t="shared" si="21"/>
        <v>-481.07999999999993</v>
      </c>
      <c r="AN59" s="74">
        <f t="shared" si="22"/>
        <v>-25.800643000000036</v>
      </c>
      <c r="AO59" s="74">
        <f t="shared" si="23"/>
        <v>-3.1541050000000723</v>
      </c>
      <c r="AP59" s="75">
        <f t="shared" si="24"/>
        <v>-0.10308909233784112</v>
      </c>
      <c r="AQ59" s="76">
        <f t="shared" si="25"/>
        <v>-13342.675048254448</v>
      </c>
      <c r="AR59" s="90">
        <f t="shared" si="50"/>
        <v>-476.07999999999993</v>
      </c>
    </row>
    <row r="60" spans="1:44" x14ac:dyDescent="0.25">
      <c r="A60" t="str">
        <f t="shared" si="11"/>
        <v>46232M</v>
      </c>
      <c r="B60" s="51">
        <f t="shared" si="27"/>
        <v>46232</v>
      </c>
      <c r="C60" s="52" t="s">
        <v>87</v>
      </c>
      <c r="D60" s="79">
        <v>0</v>
      </c>
      <c r="E60" s="62">
        <v>0</v>
      </c>
      <c r="F60" s="62">
        <v>0</v>
      </c>
      <c r="G60" s="169">
        <f t="shared" si="30"/>
        <v>0</v>
      </c>
      <c r="H60" s="170">
        <f t="shared" si="31"/>
        <v>0</v>
      </c>
      <c r="I60" s="118">
        <v>2126.3999999999992</v>
      </c>
      <c r="J60" s="119">
        <v>2190.1919999999991</v>
      </c>
      <c r="K60" s="120">
        <v>4.2747836719337844</v>
      </c>
      <c r="L60" s="121">
        <v>8.1241017682468062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33"/>
        <v>2190.1919999999991</v>
      </c>
      <c r="S60" s="62">
        <f t="shared" si="34"/>
        <v>93.625969999999953</v>
      </c>
      <c r="T60" s="63">
        <f t="shared" si="35"/>
        <v>177.93342700000002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51"/>
        <v>0</v>
      </c>
      <c r="AB60" s="63">
        <f t="shared" si="52"/>
        <v>0</v>
      </c>
      <c r="AC60" s="69"/>
      <c r="AD60" s="70"/>
      <c r="AE60" s="70"/>
      <c r="AF60" s="62">
        <f t="shared" si="48"/>
        <v>0</v>
      </c>
      <c r="AG60" s="63">
        <f t="shared" si="49"/>
        <v>0</v>
      </c>
      <c r="AH60" s="71">
        <v>2190.1</v>
      </c>
      <c r="AI60" s="66">
        <v>4.2699999999999996</v>
      </c>
      <c r="AJ60" s="66">
        <v>8.1300000000000008</v>
      </c>
      <c r="AK60" s="62">
        <f t="shared" si="40"/>
        <v>93.517269999999982</v>
      </c>
      <c r="AL60" s="72">
        <f t="shared" si="41"/>
        <v>178.05513000000002</v>
      </c>
      <c r="AM60" s="73">
        <f t="shared" si="21"/>
        <v>9.1999999999188731E-2</v>
      </c>
      <c r="AN60" s="74">
        <f t="shared" si="22"/>
        <v>0.10869999999997049</v>
      </c>
      <c r="AO60" s="74">
        <f t="shared" si="23"/>
        <v>-0.12170299999999656</v>
      </c>
      <c r="AP60" s="75">
        <f t="shared" si="24"/>
        <v>-4.7882710536531637E-5</v>
      </c>
      <c r="AQ60" s="76">
        <f t="shared" si="25"/>
        <v>15.784922758755862</v>
      </c>
      <c r="AR60" s="90">
        <f t="shared" si="50"/>
        <v>9.1999999999188731E-2</v>
      </c>
    </row>
    <row r="61" spans="1:44" x14ac:dyDescent="0.25">
      <c r="A61" t="str">
        <f t="shared" si="11"/>
        <v>46232E</v>
      </c>
      <c r="B61" s="51">
        <f t="shared" si="27"/>
        <v>46232</v>
      </c>
      <c r="C61" s="52" t="s">
        <v>88</v>
      </c>
      <c r="D61" s="79">
        <v>2190.1</v>
      </c>
      <c r="E61" s="62">
        <v>4.2699999999999996</v>
      </c>
      <c r="F61" s="62">
        <v>8.1300000000000008</v>
      </c>
      <c r="G61" s="169">
        <f t="shared" si="30"/>
        <v>93.517269999999982</v>
      </c>
      <c r="H61" s="170">
        <f t="shared" si="31"/>
        <v>178.05513000000002</v>
      </c>
      <c r="I61" s="118">
        <v>2150.4</v>
      </c>
      <c r="J61" s="119">
        <v>2214.9120000000003</v>
      </c>
      <c r="K61" s="120">
        <v>4.0729213169642842</v>
      </c>
      <c r="L61" s="121">
        <v>8.1550037202380921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33"/>
        <v>2214.9120000000003</v>
      </c>
      <c r="S61" s="62">
        <f t="shared" si="34"/>
        <v>90.211622999999975</v>
      </c>
      <c r="T61" s="63">
        <f t="shared" si="35"/>
        <v>180.62615599999995</v>
      </c>
      <c r="U61" s="64" t="s">
        <v>195</v>
      </c>
      <c r="V61" s="65" t="s">
        <v>942</v>
      </c>
      <c r="W61" s="66" t="s">
        <v>181</v>
      </c>
      <c r="X61" s="67">
        <v>4625</v>
      </c>
      <c r="Y61" s="68">
        <v>4.3</v>
      </c>
      <c r="Z61" s="68">
        <v>7.8</v>
      </c>
      <c r="AA61" s="62">
        <f t="shared" si="51"/>
        <v>198.87499999999997</v>
      </c>
      <c r="AB61" s="63">
        <f t="shared" si="52"/>
        <v>360.75</v>
      </c>
      <c r="AC61" s="69">
        <v>4570</v>
      </c>
      <c r="AD61" s="70">
        <v>4.3</v>
      </c>
      <c r="AE61" s="70">
        <v>7.7699999999999987</v>
      </c>
      <c r="AF61" s="62">
        <f t="shared" si="48"/>
        <v>196.51</v>
      </c>
      <c r="AG61" s="63">
        <f t="shared" si="49"/>
        <v>355.08899999999994</v>
      </c>
      <c r="AH61" s="71">
        <v>0</v>
      </c>
      <c r="AI61" s="66">
        <v>0</v>
      </c>
      <c r="AJ61" s="66">
        <v>0</v>
      </c>
      <c r="AK61" s="62">
        <f t="shared" si="40"/>
        <v>0</v>
      </c>
      <c r="AL61" s="72">
        <f t="shared" si="41"/>
        <v>0</v>
      </c>
      <c r="AM61" s="73">
        <f t="shared" si="21"/>
        <v>-164.98799999999937</v>
      </c>
      <c r="AN61" s="74">
        <f t="shared" si="22"/>
        <v>-12.78110700000002</v>
      </c>
      <c r="AO61" s="74">
        <f t="shared" si="23"/>
        <v>3.5922860000000583</v>
      </c>
      <c r="AP61" s="75">
        <f t="shared" si="24"/>
        <v>-3.3927397551136926E-2</v>
      </c>
      <c r="AQ61" s="76">
        <f t="shared" si="25"/>
        <v>-5065.8802162144138</v>
      </c>
      <c r="AR61" s="90">
        <f t="shared" si="50"/>
        <v>-219.98799999999937</v>
      </c>
    </row>
    <row r="62" spans="1:44" x14ac:dyDescent="0.25">
      <c r="A62" t="str">
        <f t="shared" si="11"/>
        <v>46233M</v>
      </c>
      <c r="B62" s="51">
        <f t="shared" si="27"/>
        <v>46233</v>
      </c>
      <c r="C62" s="52" t="s">
        <v>87</v>
      </c>
      <c r="D62" s="79">
        <v>0</v>
      </c>
      <c r="E62" s="62">
        <v>0</v>
      </c>
      <c r="F62" s="62">
        <v>0</v>
      </c>
      <c r="G62" s="169">
        <f t="shared" si="30"/>
        <v>0</v>
      </c>
      <c r="H62" s="170">
        <f t="shared" si="31"/>
        <v>0</v>
      </c>
      <c r="I62" s="118">
        <v>2470.6999999999994</v>
      </c>
      <c r="J62" s="119">
        <v>2544.8209999999995</v>
      </c>
      <c r="K62" s="120">
        <v>4.0941878819767688</v>
      </c>
      <c r="L62" s="121">
        <v>8.1179382361274151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33"/>
        <v>2544.8209999999995</v>
      </c>
      <c r="S62" s="62">
        <f t="shared" si="34"/>
        <v>104.189753</v>
      </c>
      <c r="T62" s="63">
        <f t="shared" si="35"/>
        <v>206.586997</v>
      </c>
      <c r="U62" s="64" t="s">
        <v>167</v>
      </c>
      <c r="V62" s="65" t="s">
        <v>180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51"/>
        <v>0</v>
      </c>
      <c r="AB62" s="63">
        <f t="shared" si="52"/>
        <v>0</v>
      </c>
      <c r="AC62" s="69"/>
      <c r="AD62" s="70"/>
      <c r="AE62" s="70"/>
      <c r="AF62" s="62">
        <f t="shared" si="48"/>
        <v>0</v>
      </c>
      <c r="AG62" s="63">
        <f t="shared" si="49"/>
        <v>0</v>
      </c>
      <c r="AH62" s="71">
        <v>2544.8000000000002</v>
      </c>
      <c r="AI62" s="66">
        <v>4.09</v>
      </c>
      <c r="AJ62" s="66">
        <v>8.1199999999999992</v>
      </c>
      <c r="AK62" s="62">
        <f t="shared" si="40"/>
        <v>104.08232000000001</v>
      </c>
      <c r="AL62" s="72">
        <f t="shared" si="41"/>
        <v>206.63776000000001</v>
      </c>
      <c r="AM62" s="73">
        <f t="shared" si="21"/>
        <v>2.0999999999276042E-2</v>
      </c>
      <c r="AN62" s="74">
        <f t="shared" si="22"/>
        <v>0.10743299999998612</v>
      </c>
      <c r="AO62" s="74">
        <f t="shared" si="23"/>
        <v>-5.0763000000017655E-2</v>
      </c>
      <c r="AP62" s="75">
        <f t="shared" si="24"/>
        <v>1.8234954834931658E-4</v>
      </c>
      <c r="AQ62" s="76">
        <f t="shared" si="25"/>
        <v>36.421986478302429</v>
      </c>
      <c r="AR62" s="90">
        <f t="shared" si="50"/>
        <v>2.0999999999276042E-2</v>
      </c>
    </row>
    <row r="63" spans="1:44" x14ac:dyDescent="0.25">
      <c r="A63" t="str">
        <f t="shared" si="11"/>
        <v>46233E</v>
      </c>
      <c r="B63" s="51">
        <f t="shared" si="27"/>
        <v>46233</v>
      </c>
      <c r="C63" s="52" t="s">
        <v>88</v>
      </c>
      <c r="D63" s="79">
        <v>2544.8000000000002</v>
      </c>
      <c r="E63" s="62">
        <v>4.09</v>
      </c>
      <c r="F63" s="62">
        <v>8.1199999999999992</v>
      </c>
      <c r="G63" s="169">
        <f t="shared" si="30"/>
        <v>104.08232000000001</v>
      </c>
      <c r="H63" s="170">
        <f t="shared" si="31"/>
        <v>206.63776000000001</v>
      </c>
      <c r="I63" s="118">
        <v>2120.5</v>
      </c>
      <c r="J63" s="119">
        <v>2184.1150000000002</v>
      </c>
      <c r="K63" s="120">
        <v>4.1086253242159865</v>
      </c>
      <c r="L63" s="121">
        <v>8.1577552464041503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33"/>
        <v>2184.1150000000002</v>
      </c>
      <c r="S63" s="62">
        <f t="shared" si="34"/>
        <v>89.737102000000007</v>
      </c>
      <c r="T63" s="63">
        <f t="shared" si="35"/>
        <v>178.174756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51"/>
        <v>0</v>
      </c>
      <c r="AB63" s="63">
        <f t="shared" si="52"/>
        <v>0</v>
      </c>
      <c r="AC63" s="69"/>
      <c r="AD63" s="70"/>
      <c r="AE63" s="70"/>
      <c r="AF63" s="62">
        <f t="shared" si="48"/>
        <v>0</v>
      </c>
      <c r="AG63" s="63">
        <f t="shared" si="49"/>
        <v>0</v>
      </c>
      <c r="AH63" s="71">
        <v>4728.8999999999996</v>
      </c>
      <c r="AI63" s="66">
        <v>4.0999999999999996</v>
      </c>
      <c r="AJ63" s="66">
        <v>8.14</v>
      </c>
      <c r="AK63" s="62">
        <f t="shared" si="40"/>
        <v>193.88489999999996</v>
      </c>
      <c r="AL63" s="72">
        <f t="shared" si="41"/>
        <v>384.93245999999999</v>
      </c>
      <c r="AM63" s="73">
        <f t="shared" si="21"/>
        <v>1.5000000001236913E-2</v>
      </c>
      <c r="AN63" s="74">
        <f t="shared" si="22"/>
        <v>-6.5477999999927761E-2</v>
      </c>
      <c r="AO63" s="74">
        <f t="shared" si="23"/>
        <v>-0.1199439999999754</v>
      </c>
      <c r="AP63" s="75">
        <f t="shared" si="24"/>
        <v>-6.9210075800341456E-4</v>
      </c>
      <c r="AQ63" s="76">
        <f t="shared" si="25"/>
        <v>-67.386470272031872</v>
      </c>
      <c r="AR63" s="90">
        <f t="shared" si="50"/>
        <v>1.5000000001236913E-2</v>
      </c>
    </row>
    <row r="64" spans="1:44" x14ac:dyDescent="0.25">
      <c r="A64" t="str">
        <f t="shared" si="11"/>
        <v>46234M</v>
      </c>
      <c r="B64" s="51">
        <f t="shared" si="27"/>
        <v>46234</v>
      </c>
      <c r="C64" s="52" t="s">
        <v>87</v>
      </c>
      <c r="D64" s="79"/>
      <c r="E64" s="62"/>
      <c r="F64" s="62"/>
      <c r="G64" s="169">
        <f t="shared" si="30"/>
        <v>0</v>
      </c>
      <c r="H64" s="170">
        <f t="shared" si="31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33"/>
        <v>0</v>
      </c>
      <c r="S64" s="62">
        <f t="shared" si="34"/>
        <v>0</v>
      </c>
      <c r="T64" s="63">
        <f t="shared" si="35"/>
        <v>0</v>
      </c>
      <c r="U64" s="64"/>
      <c r="V64" s="65"/>
      <c r="W64" s="66"/>
      <c r="X64" s="67"/>
      <c r="Y64" s="68"/>
      <c r="Z64" s="68"/>
      <c r="AA64" s="62">
        <f t="shared" ref="AA64" si="53">X64*Y64%</f>
        <v>0</v>
      </c>
      <c r="AB64" s="63">
        <f t="shared" ref="AB64" si="54">X64*Z64%</f>
        <v>0</v>
      </c>
      <c r="AC64" s="69"/>
      <c r="AD64" s="70"/>
      <c r="AE64" s="70"/>
      <c r="AF64" s="62">
        <f t="shared" ref="AF64" si="55">AC64*AD64%</f>
        <v>0</v>
      </c>
      <c r="AG64" s="63">
        <f t="shared" ref="AG64" si="56">AC64*AE64%</f>
        <v>0</v>
      </c>
      <c r="AH64" s="89"/>
      <c r="AI64" s="66"/>
      <c r="AJ64" s="66"/>
      <c r="AK64" s="62">
        <f t="shared" ref="AK64" si="57">AH64*AI64%</f>
        <v>0</v>
      </c>
      <c r="AL64" s="72">
        <f t="shared" ref="AL64" si="58">AH64*AJ64%</f>
        <v>0</v>
      </c>
      <c r="AM64" s="73">
        <f t="shared" si="21"/>
        <v>0</v>
      </c>
      <c r="AN64" s="74">
        <f t="shared" si="22"/>
        <v>0</v>
      </c>
      <c r="AO64" s="74">
        <f t="shared" si="23"/>
        <v>0</v>
      </c>
      <c r="AP64" s="75" t="e">
        <f t="shared" si="24"/>
        <v>#DIV/0!</v>
      </c>
      <c r="AQ64" s="76">
        <f t="shared" si="25"/>
        <v>0</v>
      </c>
      <c r="AR64" s="83">
        <f t="shared" si="26"/>
        <v>0</v>
      </c>
    </row>
    <row r="65" spans="1:44" x14ac:dyDescent="0.25">
      <c r="A65" t="str">
        <f t="shared" si="11"/>
        <v>46234E</v>
      </c>
      <c r="B65" s="51">
        <f t="shared" si="27"/>
        <v>46234</v>
      </c>
      <c r="C65" s="52" t="s">
        <v>88</v>
      </c>
      <c r="D65" s="79"/>
      <c r="E65" s="62"/>
      <c r="F65" s="62"/>
      <c r="G65" s="169">
        <f t="shared" si="30"/>
        <v>0</v>
      </c>
      <c r="H65" s="170">
        <f t="shared" si="31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33"/>
        <v>0</v>
      </c>
      <c r="S65" s="62">
        <f t="shared" si="34"/>
        <v>0</v>
      </c>
      <c r="T65" s="63">
        <f t="shared" si="35"/>
        <v>0</v>
      </c>
      <c r="U65" s="64"/>
      <c r="V65" s="65"/>
      <c r="W65" s="66"/>
      <c r="X65" s="67"/>
      <c r="Y65" s="68"/>
      <c r="Z65" s="68"/>
      <c r="AA65" s="62">
        <f t="shared" ref="AA65" si="59">X65*Y65%</f>
        <v>0</v>
      </c>
      <c r="AB65" s="63">
        <f t="shared" ref="AB65" si="60">X65*Z65%</f>
        <v>0</v>
      </c>
      <c r="AC65" s="69"/>
      <c r="AD65" s="70"/>
      <c r="AE65" s="70"/>
      <c r="AF65" s="62">
        <f t="shared" ref="AF65" si="61">AC65*AD65%</f>
        <v>0</v>
      </c>
      <c r="AG65" s="63">
        <f t="shared" ref="AG65" si="62">AC65*AE65%</f>
        <v>0</v>
      </c>
      <c r="AH65" s="89"/>
      <c r="AI65" s="66"/>
      <c r="AJ65" s="66"/>
      <c r="AK65" s="62">
        <f t="shared" ref="AK65" si="63">AH65*AI65%</f>
        <v>0</v>
      </c>
      <c r="AL65" s="72">
        <f t="shared" ref="AL65" si="64">AH65*AJ65%</f>
        <v>0</v>
      </c>
      <c r="AM65" s="73">
        <f t="shared" si="21"/>
        <v>0</v>
      </c>
      <c r="AN65" s="74">
        <f t="shared" si="22"/>
        <v>0</v>
      </c>
      <c r="AO65" s="74">
        <f t="shared" si="23"/>
        <v>0</v>
      </c>
      <c r="AP65" s="75" t="e">
        <f t="shared" si="24"/>
        <v>#DIV/0!</v>
      </c>
      <c r="AQ65" s="76">
        <f t="shared" si="25"/>
        <v>0</v>
      </c>
      <c r="AR65" s="83">
        <f t="shared" si="26"/>
        <v>0</v>
      </c>
    </row>
    <row r="66" spans="1:44" x14ac:dyDescent="0.25">
      <c r="J66" s="83">
        <f>SUM(J4:J65)</f>
        <v>178033.69749999989</v>
      </c>
      <c r="AM66" s="97">
        <f t="shared" ref="AM66:AO66" si="65">-SUM(AM4:AM65)</f>
        <v>2520.3025000000289</v>
      </c>
      <c r="AN66" s="97">
        <f t="shared" si="65"/>
        <v>229.5318910000012</v>
      </c>
      <c r="AO66" s="97">
        <f t="shared" si="65"/>
        <v>-297.47995929999809</v>
      </c>
      <c r="AQ66" s="128">
        <f>-SUM(AQ4:AQ65)</f>
        <v>21204.944576397302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4" priority="2" operator="lessThan">
      <formula>0.1</formula>
    </cfRule>
    <cfRule type="cellIs" dxfId="53" priority="3" operator="greaterThan">
      <formula>0.1</formula>
    </cfRule>
  </conditionalFormatting>
  <conditionalFormatting sqref="AP1:AQ1">
    <cfRule type="cellIs" dxfId="52" priority="1" operator="lessThan">
      <formula>1</formula>
    </cfRule>
  </conditionalFormatting>
  <conditionalFormatting sqref="AQ4:AQ65">
    <cfRule type="cellIs" dxfId="51" priority="22" operator="lessThan">
      <formula>0</formula>
    </cfRule>
    <cfRule type="cellIs" dxfId="50" priority="23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AW66"/>
  <sheetViews>
    <sheetView topLeftCell="A2" zoomScale="80" zoomScaleNormal="80" workbookViewId="0">
      <pane xSplit="2" ySplit="2" topLeftCell="C35" activePane="bottomRight" state="frozen"/>
      <selection activeCell="A2" sqref="A2"/>
      <selection pane="topRight" activeCell="C2" sqref="C2"/>
      <selection pane="bottomLeft" activeCell="A4" sqref="A4"/>
      <selection pane="bottomRight" activeCell="AC62" sqref="AC62:AE62"/>
    </sheetView>
  </sheetViews>
  <sheetFormatPr defaultRowHeight="15" x14ac:dyDescent="0.25"/>
  <cols>
    <col min="1" max="1" width="3.85546875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9.28515625" bestFit="1" customWidth="1"/>
    <col min="11" max="12" width="5.85546875" bestFit="1" customWidth="1"/>
    <col min="13" max="13" width="7" bestFit="1" customWidth="1"/>
    <col min="14" max="14" width="8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7.85546875" customWidth="1"/>
    <col min="22" max="22" width="9.28515625" customWidth="1"/>
    <col min="23" max="23" width="8.7109375" bestFit="1" customWidth="1"/>
    <col min="24" max="24" width="7.425781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7.425781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4.140625" bestFit="1" customWidth="1"/>
    <col min="45" max="45" width="6.5703125" bestFit="1" customWidth="1"/>
    <col min="46" max="46" width="6" bestFit="1" customWidth="1"/>
    <col min="47" max="47" width="5" bestFit="1" customWidth="1"/>
    <col min="48" max="48" width="5.7109375" bestFit="1" customWidth="1"/>
    <col min="49" max="49" width="8.140625" bestFit="1" customWidth="1"/>
  </cols>
  <sheetData>
    <row r="1" spans="1:44" ht="15.75" thickBot="1" x14ac:dyDescent="0.3">
      <c r="B1" s="110" t="s">
        <v>97</v>
      </c>
      <c r="C1" s="44"/>
      <c r="I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37" t="s">
        <v>68</v>
      </c>
      <c r="N2" s="238"/>
      <c r="O2" s="238"/>
      <c r="P2" s="238"/>
      <c r="Q2" s="239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1" t="s">
        <v>11</v>
      </c>
    </row>
    <row r="4" spans="1:44" ht="15.75" x14ac:dyDescent="0.25">
      <c r="A4" t="str">
        <f>CONCATENATE(B4,C4)</f>
        <v>46204M</v>
      </c>
      <c r="B4" s="51">
        <v>46204</v>
      </c>
      <c r="C4" s="99" t="s">
        <v>87</v>
      </c>
      <c r="D4" s="100">
        <v>11450</v>
      </c>
      <c r="E4" s="101">
        <v>4.03</v>
      </c>
      <c r="F4" s="101">
        <v>8.35</v>
      </c>
      <c r="G4" s="62">
        <f t="shared" ref="G4:G29" si="0">+D4*E4%</f>
        <v>461.435</v>
      </c>
      <c r="H4" s="72">
        <f t="shared" ref="H4:H29" si="1">+D4*F4%</f>
        <v>956.07499999999993</v>
      </c>
      <c r="I4" s="120">
        <v>4785.55</v>
      </c>
      <c r="J4" s="120">
        <v>4929.1165000000001</v>
      </c>
      <c r="K4" s="120">
        <v>4.4668449812456243</v>
      </c>
      <c r="L4" s="120">
        <v>8.3094106215586496</v>
      </c>
      <c r="M4" s="58">
        <v>0</v>
      </c>
      <c r="N4" s="58" t="s">
        <v>167</v>
      </c>
      <c r="O4" s="59">
        <v>0</v>
      </c>
      <c r="P4" s="56">
        <v>0</v>
      </c>
      <c r="Q4" s="60">
        <v>0</v>
      </c>
      <c r="R4" s="61">
        <f t="shared" ref="R4" si="2">+J4+O4</f>
        <v>4929.1165000000001</v>
      </c>
      <c r="S4" s="62">
        <f t="shared" ref="S4" si="3">+J4*K4%+O4*P4%</f>
        <v>220.17599299999995</v>
      </c>
      <c r="T4" s="63">
        <f t="shared" ref="T4" si="4">+J4*L4%+O4*Q4%</f>
        <v>409.58052999999995</v>
      </c>
      <c r="U4" s="136" t="s">
        <v>197</v>
      </c>
      <c r="V4" s="137" t="s">
        <v>237</v>
      </c>
      <c r="W4" s="138" t="s">
        <v>184</v>
      </c>
      <c r="X4" s="139">
        <v>9200</v>
      </c>
      <c r="Y4" s="140">
        <v>4.3</v>
      </c>
      <c r="Z4" s="140">
        <v>8.39</v>
      </c>
      <c r="AA4" s="62">
        <f t="shared" ref="AA4:AA47" si="5">X4*Y4%</f>
        <v>395.59999999999997</v>
      </c>
      <c r="AB4" s="63">
        <f t="shared" ref="AB4:AB47" si="6">X4*Z4%</f>
        <v>771.88</v>
      </c>
      <c r="AC4" s="69">
        <v>9180</v>
      </c>
      <c r="AD4" s="70">
        <v>4.25</v>
      </c>
      <c r="AE4" s="70">
        <v>8.3800000000000008</v>
      </c>
      <c r="AF4" s="62">
        <f t="shared" ref="AF4" si="7">AC4*AD4%</f>
        <v>390.15000000000003</v>
      </c>
      <c r="AG4" s="63">
        <f t="shared" ref="AG4" si="8">AC4*AE4%</f>
        <v>769.28400000000011</v>
      </c>
      <c r="AH4" s="141">
        <v>7177</v>
      </c>
      <c r="AI4" s="138">
        <v>4.16</v>
      </c>
      <c r="AJ4" s="138">
        <v>8.34</v>
      </c>
      <c r="AK4" s="62">
        <f t="shared" ref="AK4" si="9">AH4*AI4%</f>
        <v>298.56319999999999</v>
      </c>
      <c r="AL4" s="72">
        <f t="shared" ref="AL4" si="10">AH4*AJ4%</f>
        <v>598.56180000000006</v>
      </c>
      <c r="AM4" s="81">
        <f>+D4+R4-AC4-AH4</f>
        <v>22.116500000000087</v>
      </c>
      <c r="AN4" s="80">
        <f t="shared" ref="AN4:AO4" si="11">+G4+S4-AF4-AK4</f>
        <v>-7.1022070000000213</v>
      </c>
      <c r="AO4" s="80">
        <f t="shared" si="11"/>
        <v>-2.1902700000001687</v>
      </c>
      <c r="AP4" s="114">
        <f>(AN4+AO4)/(S4+T4)</f>
        <v>-1.475566613543468E-2</v>
      </c>
      <c r="AQ4" s="115">
        <f t="shared" ref="AQ4:AQ65" si="12">($AP$1*AN4+$AQ$1*AO4)</f>
        <v>-4068.8079810492432</v>
      </c>
      <c r="AR4" s="90">
        <f>(D4+J4+O4)-(X4+AH4)</f>
        <v>2.1165000000000873</v>
      </c>
    </row>
    <row r="5" spans="1:44" ht="15.75" x14ac:dyDescent="0.25">
      <c r="A5" t="str">
        <f t="shared" ref="A5:A65" si="13">CONCATENATE(B5,C5)</f>
        <v>46204E</v>
      </c>
      <c r="B5" s="51">
        <f>+B4</f>
        <v>46204</v>
      </c>
      <c r="C5" s="99" t="s">
        <v>88</v>
      </c>
      <c r="D5" s="105">
        <v>7177</v>
      </c>
      <c r="E5" s="106">
        <v>4.16</v>
      </c>
      <c r="F5" s="106">
        <v>8.34</v>
      </c>
      <c r="G5" s="62">
        <f t="shared" si="0"/>
        <v>298.56319999999999</v>
      </c>
      <c r="H5" s="72">
        <f t="shared" si="1"/>
        <v>598.56180000000006</v>
      </c>
      <c r="I5" s="120">
        <v>8654.3499999999985</v>
      </c>
      <c r="J5" s="120">
        <v>8913.9804999999978</v>
      </c>
      <c r="K5" s="120">
        <v>4.0903262521159851</v>
      </c>
      <c r="L5" s="120">
        <v>8.2436052389838608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8913.9804999999978</v>
      </c>
      <c r="S5" s="62">
        <f t="shared" ref="S5:S65" si="15">+J5*K5%+O5*P5%</f>
        <v>364.61088449999971</v>
      </c>
      <c r="T5" s="63">
        <f t="shared" ref="T5:T65" si="16">+J5*L5%+O5*Q5%</f>
        <v>734.83336349999956</v>
      </c>
      <c r="U5" s="102" t="s">
        <v>198</v>
      </c>
      <c r="V5" s="103" t="s">
        <v>238</v>
      </c>
      <c r="W5" s="104" t="s">
        <v>184</v>
      </c>
      <c r="X5" s="112">
        <v>7200</v>
      </c>
      <c r="Y5" s="113">
        <v>4.4000000000000004</v>
      </c>
      <c r="Z5" s="113">
        <v>8.5399999999999991</v>
      </c>
      <c r="AA5" s="62">
        <f t="shared" si="5"/>
        <v>316.8</v>
      </c>
      <c r="AB5" s="63">
        <f t="shared" si="6"/>
        <v>614.87999999999988</v>
      </c>
      <c r="AC5" s="69">
        <v>7150</v>
      </c>
      <c r="AD5" s="70">
        <v>4.3</v>
      </c>
      <c r="AE5" s="70">
        <v>8.39</v>
      </c>
      <c r="AF5" s="62">
        <f t="shared" ref="AF5:AF65" si="17">AC5*AD5%</f>
        <v>307.45</v>
      </c>
      <c r="AG5" s="63">
        <f t="shared" ref="AG5:AG65" si="18">AC5*AE5%</f>
        <v>599.88499999999999</v>
      </c>
      <c r="AH5" s="141">
        <v>8890</v>
      </c>
      <c r="AI5" s="138">
        <v>4.1900000000000004</v>
      </c>
      <c r="AJ5" s="138">
        <v>8.3000000000000007</v>
      </c>
      <c r="AK5" s="62">
        <f t="shared" ref="AK5:AK65" si="19">AH5*AI5%</f>
        <v>372.49100000000004</v>
      </c>
      <c r="AL5" s="72">
        <f t="shared" ref="AL5:AL65" si="20">AH5*AJ5%</f>
        <v>737.87</v>
      </c>
      <c r="AM5" s="81">
        <f t="shared" ref="AM5:AM65" si="21">+D5+R5-AC5-AH5</f>
        <v>50.980499999997846</v>
      </c>
      <c r="AN5" s="80">
        <f t="shared" ref="AN5:AN65" si="22">+G5+S5-AF5-AK5</f>
        <v>-16.766915500000323</v>
      </c>
      <c r="AO5" s="80">
        <f t="shared" ref="AO5:AO65" si="23">+H5+T5-AG5-AL5</f>
        <v>-4.3598365000003696</v>
      </c>
      <c r="AP5" s="114">
        <f t="shared" ref="AP5:AP65" si="24">(AN5+AO5)/(S5+T5)</f>
        <v>-1.9215846586520778E-2</v>
      </c>
      <c r="AQ5" s="115">
        <f t="shared" si="12"/>
        <v>-9362.7808191763033</v>
      </c>
      <c r="AR5" s="90">
        <f t="shared" ref="AR5:AR13" si="25">(D5+J5+O5)-(X5+AH5)</f>
        <v>0.98049999999784632</v>
      </c>
    </row>
    <row r="6" spans="1:44" ht="15.75" x14ac:dyDescent="0.25">
      <c r="A6" t="str">
        <f t="shared" si="13"/>
        <v>46205M</v>
      </c>
      <c r="B6" s="51">
        <f>+B4+1</f>
        <v>46205</v>
      </c>
      <c r="C6" s="99" t="s">
        <v>87</v>
      </c>
      <c r="D6" s="105">
        <v>8890</v>
      </c>
      <c r="E6" s="106">
        <v>4.1900000000000004</v>
      </c>
      <c r="F6" s="106">
        <v>8.3000000000000007</v>
      </c>
      <c r="G6" s="62">
        <f t="shared" si="0"/>
        <v>372.49100000000004</v>
      </c>
      <c r="H6" s="72">
        <f t="shared" si="1"/>
        <v>737.87</v>
      </c>
      <c r="I6" s="120">
        <v>4191.550000000002</v>
      </c>
      <c r="J6" s="120">
        <v>4317.2965000000022</v>
      </c>
      <c r="K6" s="120">
        <v>4.4972110555760985</v>
      </c>
      <c r="L6" s="120">
        <v>8.3952845606040736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4317.2965000000022</v>
      </c>
      <c r="S6" s="62">
        <f t="shared" si="15"/>
        <v>194.15793550000004</v>
      </c>
      <c r="T6" s="63">
        <f t="shared" si="16"/>
        <v>362.44932650000021</v>
      </c>
      <c r="U6" s="102" t="s">
        <v>167</v>
      </c>
      <c r="V6" s="103" t="s">
        <v>167</v>
      </c>
      <c r="W6" s="104">
        <v>0</v>
      </c>
      <c r="X6" s="112">
        <v>0</v>
      </c>
      <c r="Y6" s="113">
        <v>0</v>
      </c>
      <c r="Z6" s="113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141">
        <v>13205</v>
      </c>
      <c r="AI6" s="138">
        <v>4.29</v>
      </c>
      <c r="AJ6" s="138">
        <v>8.32</v>
      </c>
      <c r="AK6" s="62">
        <f t="shared" si="19"/>
        <v>566.49450000000002</v>
      </c>
      <c r="AL6" s="72">
        <f t="shared" si="20"/>
        <v>1098.6559999999999</v>
      </c>
      <c r="AM6" s="81">
        <f t="shared" si="21"/>
        <v>2.2965000000021973</v>
      </c>
      <c r="AN6" s="80">
        <f t="shared" si="22"/>
        <v>0.15443550000009054</v>
      </c>
      <c r="AO6" s="80">
        <f t="shared" si="23"/>
        <v>1.6633265000002666</v>
      </c>
      <c r="AP6" s="114">
        <f t="shared" si="24"/>
        <v>3.2657892271631133E-3</v>
      </c>
      <c r="AQ6" s="115">
        <f t="shared" si="12"/>
        <v>572.362763041108</v>
      </c>
      <c r="AR6" s="90">
        <f t="shared" si="25"/>
        <v>2.2965000000021973</v>
      </c>
    </row>
    <row r="7" spans="1:44" ht="15.75" x14ac:dyDescent="0.25">
      <c r="A7" t="str">
        <f t="shared" si="13"/>
        <v>46205E</v>
      </c>
      <c r="B7" s="51">
        <f>+B5+1</f>
        <v>46205</v>
      </c>
      <c r="C7" s="99" t="s">
        <v>88</v>
      </c>
      <c r="D7" s="105">
        <v>13205</v>
      </c>
      <c r="E7" s="106">
        <v>4.29</v>
      </c>
      <c r="F7" s="106">
        <v>8.32</v>
      </c>
      <c r="G7" s="62">
        <f t="shared" si="0"/>
        <v>566.49450000000002</v>
      </c>
      <c r="H7" s="72">
        <f t="shared" si="1"/>
        <v>1098.6559999999999</v>
      </c>
      <c r="I7" s="120">
        <v>10114.900000000003</v>
      </c>
      <c r="J7" s="120">
        <v>10418.347000000003</v>
      </c>
      <c r="K7" s="120">
        <v>4.1464923034335488</v>
      </c>
      <c r="L7" s="120">
        <v>8.3118256235850083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10418.347000000003</v>
      </c>
      <c r="S7" s="62">
        <f t="shared" si="15"/>
        <v>431.99595650000015</v>
      </c>
      <c r="T7" s="63">
        <f t="shared" si="16"/>
        <v>865.95483550000017</v>
      </c>
      <c r="U7" s="102" t="s">
        <v>197</v>
      </c>
      <c r="V7" s="103" t="s">
        <v>239</v>
      </c>
      <c r="W7" s="138" t="s">
        <v>184</v>
      </c>
      <c r="X7" s="112">
        <v>9200</v>
      </c>
      <c r="Y7" s="113">
        <v>4.4000000000000004</v>
      </c>
      <c r="Z7" s="113">
        <v>8.48</v>
      </c>
      <c r="AA7" s="62">
        <f t="shared" si="5"/>
        <v>404.80000000000007</v>
      </c>
      <c r="AB7" s="63">
        <f t="shared" si="6"/>
        <v>780.16</v>
      </c>
      <c r="AC7" s="69">
        <v>9140</v>
      </c>
      <c r="AD7" s="70">
        <v>4.1752735229759299</v>
      </c>
      <c r="AE7" s="70">
        <v>8.2450547045951854</v>
      </c>
      <c r="AF7" s="62">
        <f t="shared" si="17"/>
        <v>381.62</v>
      </c>
      <c r="AG7" s="63">
        <f t="shared" si="18"/>
        <v>753.59799999999996</v>
      </c>
      <c r="AH7" s="141">
        <v>14190</v>
      </c>
      <c r="AI7" s="138">
        <v>4.28</v>
      </c>
      <c r="AJ7" s="138">
        <v>8.33</v>
      </c>
      <c r="AK7" s="62">
        <f t="shared" si="19"/>
        <v>607.33200000000011</v>
      </c>
      <c r="AL7" s="72">
        <f t="shared" si="20"/>
        <v>1182.027</v>
      </c>
      <c r="AM7" s="81">
        <f t="shared" si="21"/>
        <v>293.34700000000157</v>
      </c>
      <c r="AN7" s="80">
        <f t="shared" si="22"/>
        <v>9.5384565000000521</v>
      </c>
      <c r="AO7" s="80">
        <f t="shared" si="23"/>
        <v>28.985835500000121</v>
      </c>
      <c r="AP7" s="114">
        <f t="shared" si="24"/>
        <v>2.9680857115267405E-2</v>
      </c>
      <c r="AQ7" s="115">
        <f t="shared" si="12"/>
        <v>13264.538476444704</v>
      </c>
      <c r="AR7" s="90">
        <f t="shared" si="25"/>
        <v>233.34700000000157</v>
      </c>
    </row>
    <row r="8" spans="1:44" ht="15.75" x14ac:dyDescent="0.25">
      <c r="A8" t="str">
        <f t="shared" si="13"/>
        <v>46206M</v>
      </c>
      <c r="B8" s="51">
        <f>+B6+1</f>
        <v>46206</v>
      </c>
      <c r="C8" s="99" t="s">
        <v>87</v>
      </c>
      <c r="D8" s="105">
        <v>14190</v>
      </c>
      <c r="E8" s="106">
        <v>4.28</v>
      </c>
      <c r="F8" s="106">
        <v>8.33</v>
      </c>
      <c r="G8" s="62">
        <f t="shared" si="0"/>
        <v>607.33200000000011</v>
      </c>
      <c r="H8" s="72">
        <f t="shared" si="1"/>
        <v>1182.027</v>
      </c>
      <c r="I8" s="120">
        <v>3716.4499999999994</v>
      </c>
      <c r="J8" s="120">
        <v>3827.9434999999994</v>
      </c>
      <c r="K8" s="120">
        <v>4.5644835797602568</v>
      </c>
      <c r="L8" s="120">
        <v>8.4444940736455525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3827.9434999999994</v>
      </c>
      <c r="S8" s="62">
        <f t="shared" si="15"/>
        <v>174.72585250000003</v>
      </c>
      <c r="T8" s="63">
        <f t="shared" si="16"/>
        <v>323.25046200000014</v>
      </c>
      <c r="U8" s="102" t="s">
        <v>198</v>
      </c>
      <c r="V8" s="103" t="s">
        <v>278</v>
      </c>
      <c r="W8" s="104" t="s">
        <v>184</v>
      </c>
      <c r="X8" s="112">
        <v>7200</v>
      </c>
      <c r="Y8" s="113">
        <v>4.4000000000000004</v>
      </c>
      <c r="Z8" s="113">
        <v>8.5399999999999991</v>
      </c>
      <c r="AA8" s="62">
        <f t="shared" si="5"/>
        <v>316.8</v>
      </c>
      <c r="AB8" s="63">
        <f t="shared" si="6"/>
        <v>614.87999999999988</v>
      </c>
      <c r="AC8" s="69">
        <v>7190</v>
      </c>
      <c r="AD8" s="70">
        <v>4.3484005563282331</v>
      </c>
      <c r="AE8" s="70">
        <v>8.3377607788595274</v>
      </c>
      <c r="AF8" s="62">
        <f t="shared" si="17"/>
        <v>312.64999999999998</v>
      </c>
      <c r="AG8" s="63">
        <f t="shared" si="18"/>
        <v>599.48500000000001</v>
      </c>
      <c r="AH8" s="141">
        <v>10816</v>
      </c>
      <c r="AI8" s="138">
        <v>4.34</v>
      </c>
      <c r="AJ8" s="138">
        <v>8.35</v>
      </c>
      <c r="AK8" s="62">
        <f t="shared" si="19"/>
        <v>469.4144</v>
      </c>
      <c r="AL8" s="72">
        <f t="shared" si="20"/>
        <v>903.13599999999985</v>
      </c>
      <c r="AM8" s="81">
        <f t="shared" si="21"/>
        <v>11.943500000001222</v>
      </c>
      <c r="AN8" s="80">
        <f t="shared" si="22"/>
        <v>-6.5474999998968997E-3</v>
      </c>
      <c r="AO8" s="80">
        <f t="shared" si="23"/>
        <v>2.6564620000003742</v>
      </c>
      <c r="AP8" s="114">
        <f t="shared" si="24"/>
        <v>5.3213665446340749E-3</v>
      </c>
      <c r="AQ8" s="115">
        <f t="shared" si="12"/>
        <v>792.44043297015151</v>
      </c>
      <c r="AR8" s="90">
        <f t="shared" si="25"/>
        <v>1.9435000000012224</v>
      </c>
    </row>
    <row r="9" spans="1:44" ht="15.75" x14ac:dyDescent="0.25">
      <c r="A9" t="str">
        <f t="shared" si="13"/>
        <v>46206E</v>
      </c>
      <c r="B9" s="51">
        <f t="shared" ref="B9:B65" si="26">+B7+1</f>
        <v>46206</v>
      </c>
      <c r="C9" s="99" t="s">
        <v>88</v>
      </c>
      <c r="D9" s="105">
        <v>10816</v>
      </c>
      <c r="E9" s="106">
        <v>4.34</v>
      </c>
      <c r="F9" s="106">
        <v>8.35</v>
      </c>
      <c r="G9" s="62">
        <f t="shared" si="0"/>
        <v>469.4144</v>
      </c>
      <c r="H9" s="72">
        <f t="shared" si="1"/>
        <v>903.13599999999985</v>
      </c>
      <c r="I9" s="120">
        <v>8742.9999999999945</v>
      </c>
      <c r="J9" s="120">
        <v>9005.2899999999954</v>
      </c>
      <c r="K9" s="120">
        <v>3.9858189408669822</v>
      </c>
      <c r="L9" s="120">
        <v>8.2467333867093693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9005.2899999999954</v>
      </c>
      <c r="S9" s="62">
        <f t="shared" si="15"/>
        <v>358.9345545000001</v>
      </c>
      <c r="T9" s="63">
        <f t="shared" si="16"/>
        <v>742.64225699999974</v>
      </c>
      <c r="U9" s="102" t="s">
        <v>199</v>
      </c>
      <c r="V9" s="103" t="s">
        <v>279</v>
      </c>
      <c r="W9" s="138" t="s">
        <v>184</v>
      </c>
      <c r="X9" s="112">
        <v>9810</v>
      </c>
      <c r="Y9" s="113">
        <v>4.2</v>
      </c>
      <c r="Z9" s="113">
        <v>8.370000000000001</v>
      </c>
      <c r="AA9" s="62">
        <f t="shared" si="5"/>
        <v>412.02000000000004</v>
      </c>
      <c r="AB9" s="63">
        <f t="shared" si="6"/>
        <v>821.09700000000009</v>
      </c>
      <c r="AC9" s="69">
        <v>9680</v>
      </c>
      <c r="AD9" s="70">
        <v>4.0999999999999996</v>
      </c>
      <c r="AE9" s="70">
        <v>8.35</v>
      </c>
      <c r="AF9" s="62">
        <f t="shared" si="17"/>
        <v>396.87999999999994</v>
      </c>
      <c r="AG9" s="63">
        <f t="shared" si="18"/>
        <v>808.27999999999986</v>
      </c>
      <c r="AH9" s="141">
        <v>10010</v>
      </c>
      <c r="AI9" s="138">
        <v>4.18</v>
      </c>
      <c r="AJ9" s="138">
        <v>8.3000000000000007</v>
      </c>
      <c r="AK9" s="62">
        <f t="shared" si="19"/>
        <v>418.41799999999995</v>
      </c>
      <c r="AL9" s="72">
        <f t="shared" si="20"/>
        <v>830.83</v>
      </c>
      <c r="AM9" s="81">
        <f t="shared" si="21"/>
        <v>131.2899999999936</v>
      </c>
      <c r="AN9" s="80">
        <f t="shared" si="22"/>
        <v>13.050954500000216</v>
      </c>
      <c r="AO9" s="80">
        <f t="shared" si="23"/>
        <v>6.6682569999995849</v>
      </c>
      <c r="AP9" s="114">
        <f t="shared" si="24"/>
        <v>1.790089560177693E-2</v>
      </c>
      <c r="AQ9" s="115">
        <f t="shared" si="12"/>
        <v>8268.4920064386388</v>
      </c>
      <c r="AR9" s="90">
        <f t="shared" si="25"/>
        <v>1.2899999999935972</v>
      </c>
    </row>
    <row r="10" spans="1:44" ht="15.75" x14ac:dyDescent="0.25">
      <c r="A10" t="str">
        <f t="shared" si="13"/>
        <v>46207M</v>
      </c>
      <c r="B10" s="51">
        <f t="shared" si="26"/>
        <v>46207</v>
      </c>
      <c r="C10" s="99" t="s">
        <v>87</v>
      </c>
      <c r="D10" s="105">
        <v>10010</v>
      </c>
      <c r="E10" s="106">
        <v>4.18</v>
      </c>
      <c r="F10" s="106">
        <v>8.3000000000000007</v>
      </c>
      <c r="G10" s="62">
        <f t="shared" si="0"/>
        <v>418.41799999999995</v>
      </c>
      <c r="H10" s="72">
        <f t="shared" si="1"/>
        <v>830.83</v>
      </c>
      <c r="I10" s="120">
        <v>3726.2999999999984</v>
      </c>
      <c r="J10" s="120">
        <v>3838.0889999999986</v>
      </c>
      <c r="K10" s="120">
        <v>4.6852776212328591</v>
      </c>
      <c r="L10" s="120">
        <v>8.4010224619595881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3838.0889999999986</v>
      </c>
      <c r="S10" s="62">
        <f t="shared" si="15"/>
        <v>179.82512499999996</v>
      </c>
      <c r="T10" s="63">
        <f t="shared" si="16"/>
        <v>322.43871900000005</v>
      </c>
      <c r="U10" s="102" t="s">
        <v>198</v>
      </c>
      <c r="V10" s="103" t="s">
        <v>280</v>
      </c>
      <c r="W10" s="104" t="s">
        <v>184</v>
      </c>
      <c r="X10" s="112">
        <v>7200</v>
      </c>
      <c r="Y10" s="113">
        <v>4.5000000000000009</v>
      </c>
      <c r="Z10" s="113">
        <v>8.4299999999999979</v>
      </c>
      <c r="AA10" s="62">
        <f t="shared" si="5"/>
        <v>324.00000000000011</v>
      </c>
      <c r="AB10" s="63">
        <f t="shared" si="6"/>
        <v>606.95999999999992</v>
      </c>
      <c r="AC10" s="69">
        <v>7170</v>
      </c>
      <c r="AD10" s="70">
        <v>4.4000000000000004</v>
      </c>
      <c r="AE10" s="70">
        <v>8.41</v>
      </c>
      <c r="AF10" s="62">
        <f t="shared" si="17"/>
        <v>315.48</v>
      </c>
      <c r="AG10" s="63">
        <f t="shared" si="18"/>
        <v>602.99700000000007</v>
      </c>
      <c r="AH10" s="141">
        <v>6647</v>
      </c>
      <c r="AI10" s="138">
        <v>4.32</v>
      </c>
      <c r="AJ10" s="138">
        <v>8.32</v>
      </c>
      <c r="AK10" s="62">
        <f t="shared" si="19"/>
        <v>287.15039999999999</v>
      </c>
      <c r="AL10" s="72">
        <f t="shared" si="20"/>
        <v>553.03039999999999</v>
      </c>
      <c r="AM10" s="81">
        <f t="shared" si="21"/>
        <v>31.088999999998123</v>
      </c>
      <c r="AN10" s="80">
        <f t="shared" si="22"/>
        <v>-4.3872750000000451</v>
      </c>
      <c r="AO10" s="80">
        <f t="shared" si="23"/>
        <v>-2.7586809999999105</v>
      </c>
      <c r="AP10" s="114">
        <f t="shared" si="24"/>
        <v>-1.4227494344585862E-2</v>
      </c>
      <c r="AQ10" s="115">
        <f t="shared" si="12"/>
        <v>-2934.4288279315033</v>
      </c>
      <c r="AR10" s="90">
        <f t="shared" si="25"/>
        <v>1.0889999999981228</v>
      </c>
    </row>
    <row r="11" spans="1:44" ht="15.75" x14ac:dyDescent="0.25">
      <c r="A11" t="str">
        <f t="shared" si="13"/>
        <v>46207E</v>
      </c>
      <c r="B11" s="51">
        <f t="shared" si="26"/>
        <v>46207</v>
      </c>
      <c r="C11" s="99" t="s">
        <v>88</v>
      </c>
      <c r="D11" s="105">
        <v>6647</v>
      </c>
      <c r="E11" s="106">
        <v>4.32</v>
      </c>
      <c r="F11" s="106">
        <v>8.32</v>
      </c>
      <c r="G11" s="62">
        <f t="shared" si="0"/>
        <v>287.15039999999999</v>
      </c>
      <c r="H11" s="72">
        <f t="shared" si="1"/>
        <v>553.03039999999999</v>
      </c>
      <c r="I11" s="120">
        <v>9496.9500000000007</v>
      </c>
      <c r="J11" s="120">
        <v>9781.8585000000003</v>
      </c>
      <c r="K11" s="120">
        <v>3.9605399628301727</v>
      </c>
      <c r="L11" s="120">
        <v>8.2437250906870112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9781.8585000000003</v>
      </c>
      <c r="S11" s="62">
        <f t="shared" si="15"/>
        <v>387.41441500000013</v>
      </c>
      <c r="T11" s="63">
        <f t="shared" si="16"/>
        <v>806.38952350000011</v>
      </c>
      <c r="U11" s="102" t="s">
        <v>199</v>
      </c>
      <c r="V11" s="103" t="s">
        <v>281</v>
      </c>
      <c r="W11" s="138" t="s">
        <v>184</v>
      </c>
      <c r="X11" s="112">
        <v>9810</v>
      </c>
      <c r="Y11" s="113">
        <v>4.2</v>
      </c>
      <c r="Z11" s="113">
        <v>8.5000000000000018</v>
      </c>
      <c r="AA11" s="62">
        <f t="shared" si="5"/>
        <v>412.02000000000004</v>
      </c>
      <c r="AB11" s="63">
        <f t="shared" si="6"/>
        <v>833.85000000000025</v>
      </c>
      <c r="AC11" s="69">
        <v>9740</v>
      </c>
      <c r="AD11" s="70">
        <v>4.0999999999999988</v>
      </c>
      <c r="AE11" s="70">
        <v>8.4799999999999986</v>
      </c>
      <c r="AF11" s="62">
        <f t="shared" si="17"/>
        <v>399.33999999999986</v>
      </c>
      <c r="AG11" s="63">
        <f t="shared" si="18"/>
        <v>825.95199999999988</v>
      </c>
      <c r="AH11" s="141">
        <v>6617</v>
      </c>
      <c r="AI11" s="138">
        <v>4.0999999999999996</v>
      </c>
      <c r="AJ11" s="138">
        <v>8.27</v>
      </c>
      <c r="AK11" s="62">
        <f t="shared" si="19"/>
        <v>271.29699999999997</v>
      </c>
      <c r="AL11" s="72">
        <f t="shared" si="20"/>
        <v>547.22590000000002</v>
      </c>
      <c r="AM11" s="81">
        <f t="shared" si="21"/>
        <v>71.858500000002095</v>
      </c>
      <c r="AN11" s="80">
        <f t="shared" si="22"/>
        <v>3.9278150000003507</v>
      </c>
      <c r="AO11" s="80">
        <f t="shared" si="23"/>
        <v>-13.757976499999813</v>
      </c>
      <c r="AP11" s="114">
        <f t="shared" si="24"/>
        <v>-8.2343182016562447E-3</v>
      </c>
      <c r="AQ11" s="115">
        <f t="shared" si="12"/>
        <v>-2232.9485373732205</v>
      </c>
      <c r="AR11" s="90">
        <f t="shared" si="25"/>
        <v>1.8585000000020955</v>
      </c>
    </row>
    <row r="12" spans="1:44" ht="15.75" x14ac:dyDescent="0.25">
      <c r="A12" t="str">
        <f t="shared" si="13"/>
        <v>46208M</v>
      </c>
      <c r="B12" s="51">
        <f t="shared" si="26"/>
        <v>46208</v>
      </c>
      <c r="C12" s="99" t="s">
        <v>87</v>
      </c>
      <c r="D12" s="105">
        <v>6617</v>
      </c>
      <c r="E12" s="106">
        <v>4.0999999999999996</v>
      </c>
      <c r="F12" s="106">
        <v>8.27</v>
      </c>
      <c r="G12" s="62">
        <f t="shared" si="0"/>
        <v>271.29699999999997</v>
      </c>
      <c r="H12" s="72">
        <f t="shared" si="1"/>
        <v>547.22590000000002</v>
      </c>
      <c r="I12" s="120">
        <v>3602.5000000000009</v>
      </c>
      <c r="J12" s="120">
        <v>3710.5750000000012</v>
      </c>
      <c r="K12" s="120">
        <v>4.753454545454546</v>
      </c>
      <c r="L12" s="120">
        <v>8.4201804302567638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3710.5750000000012</v>
      </c>
      <c r="S12" s="62">
        <f t="shared" si="15"/>
        <v>176.38049600000008</v>
      </c>
      <c r="T12" s="63">
        <f t="shared" si="16"/>
        <v>312.43711000000002</v>
      </c>
      <c r="U12" s="102" t="s">
        <v>198</v>
      </c>
      <c r="V12" s="103" t="s">
        <v>282</v>
      </c>
      <c r="W12" s="104" t="s">
        <v>184</v>
      </c>
      <c r="X12" s="112">
        <v>7050</v>
      </c>
      <c r="Y12" s="113">
        <v>4.2</v>
      </c>
      <c r="Z12" s="113">
        <v>8.3699999999999992</v>
      </c>
      <c r="AA12" s="62">
        <f t="shared" si="5"/>
        <v>296.10000000000002</v>
      </c>
      <c r="AB12" s="63">
        <f t="shared" si="6"/>
        <v>590.08499999999992</v>
      </c>
      <c r="AC12" s="69">
        <v>7010</v>
      </c>
      <c r="AD12" s="70">
        <v>4.1751069900142657</v>
      </c>
      <c r="AE12" s="70">
        <v>8.2450213980028551</v>
      </c>
      <c r="AF12" s="62">
        <f t="shared" si="17"/>
        <v>292.67500000000001</v>
      </c>
      <c r="AG12" s="63">
        <f t="shared" si="18"/>
        <v>577.97600000000011</v>
      </c>
      <c r="AH12" s="141">
        <v>3276</v>
      </c>
      <c r="AI12" s="138">
        <v>4.33</v>
      </c>
      <c r="AJ12" s="138">
        <v>8.32</v>
      </c>
      <c r="AK12" s="62">
        <f t="shared" si="19"/>
        <v>141.85079999999999</v>
      </c>
      <c r="AL12" s="72">
        <f t="shared" si="20"/>
        <v>272.56319999999999</v>
      </c>
      <c r="AM12" s="81">
        <f t="shared" si="21"/>
        <v>41.575000000000728</v>
      </c>
      <c r="AN12" s="80">
        <f t="shared" si="22"/>
        <v>13.151696000000015</v>
      </c>
      <c r="AO12" s="80">
        <f t="shared" si="23"/>
        <v>9.1238099999998781</v>
      </c>
      <c r="AP12" s="114">
        <f t="shared" si="24"/>
        <v>4.5570179401434839E-2</v>
      </c>
      <c r="AQ12" s="115">
        <f t="shared" si="12"/>
        <v>9052.3178388766719</v>
      </c>
      <c r="AR12" s="90">
        <f t="shared" si="25"/>
        <v>1.5750000000007276</v>
      </c>
    </row>
    <row r="13" spans="1:44" ht="15.75" x14ac:dyDescent="0.25">
      <c r="A13" t="str">
        <f t="shared" si="13"/>
        <v>46208E</v>
      </c>
      <c r="B13" s="51">
        <f t="shared" si="26"/>
        <v>46208</v>
      </c>
      <c r="C13" s="99" t="s">
        <v>88</v>
      </c>
      <c r="D13" s="105">
        <v>3276</v>
      </c>
      <c r="E13" s="106">
        <v>4.33</v>
      </c>
      <c r="F13" s="106">
        <v>8.32</v>
      </c>
      <c r="G13" s="62">
        <f t="shared" si="0"/>
        <v>141.85079999999999</v>
      </c>
      <c r="H13" s="72">
        <f t="shared" si="1"/>
        <v>272.56319999999999</v>
      </c>
      <c r="I13" s="120">
        <v>3925.3000000000006</v>
      </c>
      <c r="J13" s="120">
        <v>4043.0590000000007</v>
      </c>
      <c r="K13" s="120">
        <v>4.073772705270934</v>
      </c>
      <c r="L13" s="120">
        <v>8.3501350215270129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4043.0590000000007</v>
      </c>
      <c r="S13" s="62">
        <f t="shared" si="15"/>
        <v>164.70503399999998</v>
      </c>
      <c r="T13" s="63">
        <f t="shared" si="16"/>
        <v>337.60088549999989</v>
      </c>
      <c r="U13" s="102" t="s">
        <v>167</v>
      </c>
      <c r="V13" s="65" t="s">
        <v>167</v>
      </c>
      <c r="W13" s="138">
        <v>0</v>
      </c>
      <c r="X13" s="112">
        <v>0</v>
      </c>
      <c r="Y13" s="113">
        <v>0</v>
      </c>
      <c r="Z13" s="113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17"/>
        <v>0</v>
      </c>
      <c r="AG13" s="63">
        <f t="shared" si="18"/>
        <v>0</v>
      </c>
      <c r="AH13" s="141">
        <v>7317</v>
      </c>
      <c r="AI13" s="138">
        <v>4.18</v>
      </c>
      <c r="AJ13" s="138">
        <v>8.33</v>
      </c>
      <c r="AK13" s="62">
        <f t="shared" si="19"/>
        <v>305.85059999999999</v>
      </c>
      <c r="AL13" s="72">
        <f t="shared" si="20"/>
        <v>609.50609999999995</v>
      </c>
      <c r="AM13" s="81">
        <f t="shared" si="21"/>
        <v>2.0590000000011059</v>
      </c>
      <c r="AN13" s="80">
        <f t="shared" si="22"/>
        <v>0.70523400000001857</v>
      </c>
      <c r="AO13" s="80">
        <f t="shared" si="23"/>
        <v>0.65798549999988154</v>
      </c>
      <c r="AP13" s="114">
        <f t="shared" si="24"/>
        <v>2.7139228248730615E-3</v>
      </c>
      <c r="AQ13" s="115">
        <f t="shared" si="12"/>
        <v>535.94868937273759</v>
      </c>
      <c r="AR13" s="90">
        <f t="shared" si="25"/>
        <v>2.0590000000011059</v>
      </c>
    </row>
    <row r="14" spans="1:44" ht="15.75" x14ac:dyDescent="0.25">
      <c r="A14" t="str">
        <f t="shared" si="13"/>
        <v>46209M</v>
      </c>
      <c r="B14" s="51">
        <f t="shared" si="26"/>
        <v>46209</v>
      </c>
      <c r="C14" s="99" t="s">
        <v>87</v>
      </c>
      <c r="D14" s="91">
        <v>7317</v>
      </c>
      <c r="E14" s="62">
        <v>4.18</v>
      </c>
      <c r="F14" s="62">
        <v>8.33</v>
      </c>
      <c r="G14" s="62">
        <f t="shared" si="0"/>
        <v>305.85059999999999</v>
      </c>
      <c r="H14" s="72">
        <f t="shared" si="1"/>
        <v>609.50609999999995</v>
      </c>
      <c r="I14" s="120">
        <v>3711.85</v>
      </c>
      <c r="J14" s="120">
        <v>3823.2055</v>
      </c>
      <c r="K14" s="120">
        <v>4.5752387623422281</v>
      </c>
      <c r="L14" s="120">
        <v>8.3526691541953468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3823.2055</v>
      </c>
      <c r="S14" s="62">
        <f t="shared" si="15"/>
        <v>174.92078000000001</v>
      </c>
      <c r="T14" s="63">
        <f t="shared" si="16"/>
        <v>319.33970649999998</v>
      </c>
      <c r="U14" s="64" t="s">
        <v>199</v>
      </c>
      <c r="V14" s="65" t="s">
        <v>398</v>
      </c>
      <c r="W14" s="138" t="s">
        <v>184</v>
      </c>
      <c r="X14" s="67">
        <v>9810</v>
      </c>
      <c r="Y14" s="68">
        <v>4.4500000000000011</v>
      </c>
      <c r="Z14" s="68">
        <v>8.5500000000000025</v>
      </c>
      <c r="AA14" s="62">
        <f t="shared" si="5"/>
        <v>436.54500000000013</v>
      </c>
      <c r="AB14" s="63">
        <f t="shared" si="6"/>
        <v>838.75500000000022</v>
      </c>
      <c r="AC14" s="221">
        <v>9810</v>
      </c>
      <c r="AD14" s="222">
        <v>4.4500000000000011</v>
      </c>
      <c r="AE14" s="222">
        <v>8.5500000000000025</v>
      </c>
      <c r="AF14" s="62">
        <f t="shared" si="17"/>
        <v>436.54500000000013</v>
      </c>
      <c r="AG14" s="63">
        <f t="shared" si="18"/>
        <v>838.75500000000022</v>
      </c>
      <c r="AH14" s="141">
        <v>1328</v>
      </c>
      <c r="AI14" s="138">
        <v>4.3099999999999996</v>
      </c>
      <c r="AJ14" s="138">
        <v>8.34</v>
      </c>
      <c r="AK14" s="62">
        <f t="shared" si="19"/>
        <v>57.236800000000002</v>
      </c>
      <c r="AL14" s="72">
        <f t="shared" si="20"/>
        <v>110.7552</v>
      </c>
      <c r="AM14" s="81">
        <f t="shared" si="21"/>
        <v>2.2055000000000291</v>
      </c>
      <c r="AN14" s="80">
        <f t="shared" si="22"/>
        <v>-13.01042000000011</v>
      </c>
      <c r="AO14" s="80">
        <f t="shared" si="23"/>
        <v>-20.664393500000244</v>
      </c>
      <c r="AP14" s="114">
        <f t="shared" si="24"/>
        <v>-6.8131712770448938E-2</v>
      </c>
      <c r="AQ14" s="115">
        <f t="shared" si="12"/>
        <v>-12440.732140925957</v>
      </c>
      <c r="AR14" s="90">
        <f t="shared" ref="AR14:AR19" si="27">(D14+J14+O14)-(X14+AH14)</f>
        <v>2.2055000000000291</v>
      </c>
    </row>
    <row r="15" spans="1:44" ht="15.75" x14ac:dyDescent="0.25">
      <c r="A15" t="str">
        <f t="shared" si="13"/>
        <v>46209E</v>
      </c>
      <c r="B15" s="51">
        <f t="shared" si="26"/>
        <v>46209</v>
      </c>
      <c r="C15" s="99" t="s">
        <v>88</v>
      </c>
      <c r="D15" s="91">
        <v>1328</v>
      </c>
      <c r="E15" s="62">
        <v>4.3099999999999996</v>
      </c>
      <c r="F15" s="62">
        <v>8.34</v>
      </c>
      <c r="G15" s="62">
        <f t="shared" si="0"/>
        <v>57.236800000000002</v>
      </c>
      <c r="H15" s="72">
        <f t="shared" si="1"/>
        <v>110.7552</v>
      </c>
      <c r="I15" s="120">
        <v>6833.6000000000031</v>
      </c>
      <c r="J15" s="120">
        <v>7038.6080000000038</v>
      </c>
      <c r="K15" s="120">
        <v>4.1998178119878267</v>
      </c>
      <c r="L15" s="120">
        <v>8.3050639487239515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7038.6080000000038</v>
      </c>
      <c r="S15" s="62">
        <f t="shared" si="15"/>
        <v>295.60871250000025</v>
      </c>
      <c r="T15" s="63">
        <f t="shared" si="16"/>
        <v>584.56089550000024</v>
      </c>
      <c r="U15" s="64" t="s">
        <v>167</v>
      </c>
      <c r="V15" s="65" t="s">
        <v>167</v>
      </c>
      <c r="W15" s="138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141">
        <v>8364</v>
      </c>
      <c r="AI15" s="138">
        <v>4.21</v>
      </c>
      <c r="AJ15" s="138">
        <v>8.32</v>
      </c>
      <c r="AK15" s="62">
        <f t="shared" si="19"/>
        <v>352.12439999999998</v>
      </c>
      <c r="AL15" s="72">
        <f t="shared" si="20"/>
        <v>695.88479999999993</v>
      </c>
      <c r="AM15" s="81">
        <f t="shared" si="21"/>
        <v>2.6080000000038126</v>
      </c>
      <c r="AN15" s="80">
        <f t="shared" si="22"/>
        <v>0.72111250000028804</v>
      </c>
      <c r="AO15" s="80">
        <f t="shared" si="23"/>
        <v>-0.56870449999962602</v>
      </c>
      <c r="AP15" s="114">
        <f t="shared" si="24"/>
        <v>1.7315753533796402E-4</v>
      </c>
      <c r="AQ15" s="115">
        <f t="shared" si="12"/>
        <v>176.1960910327046</v>
      </c>
      <c r="AR15" s="90">
        <f t="shared" si="27"/>
        <v>2.6080000000038126</v>
      </c>
    </row>
    <row r="16" spans="1:44" ht="15.75" x14ac:dyDescent="0.25">
      <c r="A16" t="str">
        <f t="shared" si="13"/>
        <v>46210M</v>
      </c>
      <c r="B16" s="51">
        <f t="shared" si="26"/>
        <v>46210</v>
      </c>
      <c r="C16" s="99" t="s">
        <v>87</v>
      </c>
      <c r="D16" s="91">
        <v>8364</v>
      </c>
      <c r="E16" s="62">
        <v>4.21</v>
      </c>
      <c r="F16" s="62">
        <v>8.32</v>
      </c>
      <c r="G16" s="62">
        <f t="shared" si="0"/>
        <v>352.12439999999998</v>
      </c>
      <c r="H16" s="72">
        <f t="shared" si="1"/>
        <v>695.88479999999993</v>
      </c>
      <c r="I16" s="120">
        <v>8097.3999999999969</v>
      </c>
      <c r="J16" s="120">
        <v>8340.3219999999965</v>
      </c>
      <c r="K16" s="120">
        <v>4.196369822412132</v>
      </c>
      <c r="L16" s="120">
        <v>8.3173444562452108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8340.3219999999965</v>
      </c>
      <c r="S16" s="62">
        <f t="shared" si="15"/>
        <v>349.99075549999981</v>
      </c>
      <c r="T16" s="63">
        <f t="shared" si="16"/>
        <v>693.69330949999937</v>
      </c>
      <c r="U16" s="64" t="s">
        <v>399</v>
      </c>
      <c r="V16" s="65" t="s">
        <v>400</v>
      </c>
      <c r="W16" s="138" t="s">
        <v>184</v>
      </c>
      <c r="X16" s="67">
        <v>16400</v>
      </c>
      <c r="Y16" s="68">
        <v>4.38</v>
      </c>
      <c r="Z16" s="68">
        <v>8.52</v>
      </c>
      <c r="AA16" s="62">
        <f t="shared" si="5"/>
        <v>718.31999999999994</v>
      </c>
      <c r="AB16" s="63">
        <f t="shared" si="6"/>
        <v>1397.28</v>
      </c>
      <c r="AC16" s="69">
        <v>16270</v>
      </c>
      <c r="AD16" s="70">
        <v>4.2230485556238468</v>
      </c>
      <c r="AE16" s="70">
        <v>8.3649354640442528</v>
      </c>
      <c r="AF16" s="62">
        <f t="shared" si="17"/>
        <v>687.08999999999992</v>
      </c>
      <c r="AG16" s="63">
        <f t="shared" si="18"/>
        <v>1360.9749999999999</v>
      </c>
      <c r="AH16" s="141">
        <v>302</v>
      </c>
      <c r="AI16" s="138">
        <v>4.2</v>
      </c>
      <c r="AJ16" s="138">
        <v>8.32</v>
      </c>
      <c r="AK16" s="62">
        <f t="shared" si="19"/>
        <v>12.684000000000001</v>
      </c>
      <c r="AL16" s="72">
        <f t="shared" si="20"/>
        <v>25.1264</v>
      </c>
      <c r="AM16" s="81">
        <f t="shared" si="21"/>
        <v>132.32199999999648</v>
      </c>
      <c r="AN16" s="80">
        <f t="shared" si="22"/>
        <v>2.3411554999998678</v>
      </c>
      <c r="AO16" s="80">
        <f t="shared" si="23"/>
        <v>3.4767094999993908</v>
      </c>
      <c r="AP16" s="114">
        <f t="shared" si="24"/>
        <v>5.5743545341944674E-3</v>
      </c>
      <c r="AQ16" s="115">
        <f t="shared" si="12"/>
        <v>2166.2449577984444</v>
      </c>
      <c r="AR16" s="90">
        <f t="shared" si="27"/>
        <v>2.3219999999964784</v>
      </c>
    </row>
    <row r="17" spans="1:49" ht="15.75" x14ac:dyDescent="0.25">
      <c r="A17" t="str">
        <f t="shared" si="13"/>
        <v>46210E</v>
      </c>
      <c r="B17" s="51">
        <f t="shared" si="26"/>
        <v>46210</v>
      </c>
      <c r="C17" s="99" t="s">
        <v>88</v>
      </c>
      <c r="D17" s="91">
        <v>302</v>
      </c>
      <c r="E17" s="62">
        <v>4.2</v>
      </c>
      <c r="F17" s="62">
        <v>8.32</v>
      </c>
      <c r="G17" s="62">
        <f t="shared" si="0"/>
        <v>12.684000000000001</v>
      </c>
      <c r="H17" s="72">
        <f t="shared" si="1"/>
        <v>25.1264</v>
      </c>
      <c r="I17" s="120">
        <v>5826.4000000000015</v>
      </c>
      <c r="J17" s="120">
        <v>6001.1920000000018</v>
      </c>
      <c r="K17" s="120">
        <v>3.9776319854455595</v>
      </c>
      <c r="L17" s="120">
        <v>8.210090278731295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6001.1920000000018</v>
      </c>
      <c r="S17" s="62">
        <f t="shared" si="15"/>
        <v>238.70533250000014</v>
      </c>
      <c r="T17" s="63">
        <f t="shared" si="16"/>
        <v>492.70328100000035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141">
        <v>6301</v>
      </c>
      <c r="AI17" s="138">
        <v>4.2</v>
      </c>
      <c r="AJ17" s="138">
        <v>8.32</v>
      </c>
      <c r="AK17" s="62">
        <f t="shared" si="19"/>
        <v>264.642</v>
      </c>
      <c r="AL17" s="72">
        <f t="shared" si="20"/>
        <v>524.2432</v>
      </c>
      <c r="AM17" s="81">
        <f t="shared" si="21"/>
        <v>2.1920000000018263</v>
      </c>
      <c r="AN17" s="80">
        <f t="shared" si="22"/>
        <v>-13.252667499999859</v>
      </c>
      <c r="AO17" s="80">
        <f t="shared" si="23"/>
        <v>-6.4135189999996101</v>
      </c>
      <c r="AP17" s="114">
        <f t="shared" si="24"/>
        <v>-2.6888098030307728E-2</v>
      </c>
      <c r="AQ17" s="115">
        <f t="shared" si="12"/>
        <v>-8289.1299047834891</v>
      </c>
      <c r="AR17" s="90">
        <f t="shared" si="27"/>
        <v>2.1920000000018263</v>
      </c>
      <c r="AS17" s="90">
        <f>SUM(J4:J17)</f>
        <v>87988.883000000002</v>
      </c>
      <c r="AT17" s="83">
        <f>SUM(AM4:AM17)</f>
        <v>797.88300000000072</v>
      </c>
      <c r="AU17" s="83">
        <f>SUM(AN4:AN17)</f>
        <v>-10.935172999999356</v>
      </c>
      <c r="AV17" s="83">
        <f>SUM(AO4:AO17)</f>
        <v>2.5190049999997548</v>
      </c>
      <c r="AW17" s="83">
        <f>-SUM(AQ4:AQ17)</f>
        <v>4500.2869552645543</v>
      </c>
    </row>
    <row r="18" spans="1:49" ht="15.75" x14ac:dyDescent="0.25">
      <c r="A18" t="str">
        <f t="shared" si="13"/>
        <v>46211M</v>
      </c>
      <c r="B18" s="51">
        <f t="shared" si="26"/>
        <v>46211</v>
      </c>
      <c r="C18" s="99" t="s">
        <v>87</v>
      </c>
      <c r="D18" s="91">
        <v>6301</v>
      </c>
      <c r="E18" s="62">
        <v>4.2</v>
      </c>
      <c r="F18" s="62">
        <v>8.32</v>
      </c>
      <c r="G18" s="62">
        <f t="shared" si="0"/>
        <v>264.642</v>
      </c>
      <c r="H18" s="72">
        <f t="shared" si="1"/>
        <v>524.2432</v>
      </c>
      <c r="I18" s="120">
        <v>4052.2</v>
      </c>
      <c r="J18" s="120">
        <v>4173.7659999999996</v>
      </c>
      <c r="K18" s="120">
        <v>4.4608138788806082</v>
      </c>
      <c r="L18" s="120">
        <v>8.3976074724840846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4173.7659999999996</v>
      </c>
      <c r="S18" s="62">
        <f t="shared" si="15"/>
        <v>186.183933</v>
      </c>
      <c r="T18" s="63">
        <f t="shared" si="16"/>
        <v>350.49648550000006</v>
      </c>
      <c r="U18" s="64" t="s">
        <v>199</v>
      </c>
      <c r="V18" s="65" t="s">
        <v>401</v>
      </c>
      <c r="W18" s="138" t="s">
        <v>184</v>
      </c>
      <c r="X18" s="67">
        <v>9810</v>
      </c>
      <c r="Y18" s="68">
        <v>4.2</v>
      </c>
      <c r="Z18" s="68">
        <v>8.5000000000000018</v>
      </c>
      <c r="AA18" s="62">
        <f t="shared" si="5"/>
        <v>412.02000000000004</v>
      </c>
      <c r="AB18" s="63">
        <f t="shared" si="6"/>
        <v>833.85000000000025</v>
      </c>
      <c r="AC18" s="69">
        <v>9740</v>
      </c>
      <c r="AD18" s="70">
        <v>4.2</v>
      </c>
      <c r="AE18" s="70">
        <v>8.2499999999999982</v>
      </c>
      <c r="AF18" s="62">
        <f t="shared" si="17"/>
        <v>409.08000000000004</v>
      </c>
      <c r="AG18" s="63">
        <f t="shared" si="18"/>
        <v>803.54999999999973</v>
      </c>
      <c r="AH18" s="141">
        <v>663</v>
      </c>
      <c r="AI18" s="138">
        <v>4.3</v>
      </c>
      <c r="AJ18" s="138">
        <v>8.35</v>
      </c>
      <c r="AK18" s="62">
        <f t="shared" si="19"/>
        <v>28.508999999999997</v>
      </c>
      <c r="AL18" s="72">
        <f t="shared" si="20"/>
        <v>55.360499999999995</v>
      </c>
      <c r="AM18" s="81">
        <f t="shared" si="21"/>
        <v>71.765999999999622</v>
      </c>
      <c r="AN18" s="80">
        <f t="shared" si="22"/>
        <v>13.236932999999926</v>
      </c>
      <c r="AO18" s="80">
        <f t="shared" si="23"/>
        <v>15.829185500000342</v>
      </c>
      <c r="AP18" s="114">
        <f t="shared" si="24"/>
        <v>5.4159081453426017E-2</v>
      </c>
      <c r="AQ18" s="115">
        <f t="shared" si="12"/>
        <v>11101.477259107021</v>
      </c>
      <c r="AR18" s="90">
        <f t="shared" si="27"/>
        <v>1.7659999999996217</v>
      </c>
    </row>
    <row r="19" spans="1:49" ht="15.75" x14ac:dyDescent="0.25">
      <c r="A19" t="str">
        <f t="shared" si="13"/>
        <v>46211E</v>
      </c>
      <c r="B19" s="51">
        <f t="shared" si="26"/>
        <v>46211</v>
      </c>
      <c r="C19" s="99" t="s">
        <v>88</v>
      </c>
      <c r="D19" s="91">
        <v>663</v>
      </c>
      <c r="E19" s="62">
        <v>4.3</v>
      </c>
      <c r="F19" s="62">
        <v>8.35</v>
      </c>
      <c r="G19" s="62">
        <f t="shared" si="0"/>
        <v>28.508999999999997</v>
      </c>
      <c r="H19" s="72">
        <f t="shared" si="1"/>
        <v>55.360499999999995</v>
      </c>
      <c r="I19" s="120">
        <v>6486.7999999999984</v>
      </c>
      <c r="J19" s="120">
        <v>6681.4039999999986</v>
      </c>
      <c r="K19" s="120">
        <v>4.2616058765492983</v>
      </c>
      <c r="L19" s="120">
        <v>8.3836945797619755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6681.4039999999986</v>
      </c>
      <c r="S19" s="62">
        <f t="shared" si="15"/>
        <v>284.73510549999986</v>
      </c>
      <c r="T19" s="63">
        <f t="shared" si="16"/>
        <v>560.14850499999977</v>
      </c>
      <c r="U19" s="64" t="s">
        <v>198</v>
      </c>
      <c r="V19" s="65" t="s">
        <v>402</v>
      </c>
      <c r="W19" s="66" t="s">
        <v>184</v>
      </c>
      <c r="X19" s="67">
        <v>7200</v>
      </c>
      <c r="Y19" s="68">
        <v>4.45</v>
      </c>
      <c r="Z19" s="68">
        <v>8.42</v>
      </c>
      <c r="AA19" s="62">
        <f t="shared" si="5"/>
        <v>320.40000000000003</v>
      </c>
      <c r="AB19" s="63">
        <f t="shared" si="6"/>
        <v>606.24</v>
      </c>
      <c r="AC19" s="69">
        <v>7180</v>
      </c>
      <c r="AD19" s="70">
        <v>4.3756267409470757</v>
      </c>
      <c r="AE19" s="70">
        <v>8.4051253481894168</v>
      </c>
      <c r="AF19" s="62">
        <f t="shared" si="17"/>
        <v>314.17</v>
      </c>
      <c r="AG19" s="63">
        <f t="shared" si="18"/>
        <v>603.48800000000017</v>
      </c>
      <c r="AH19" s="141">
        <v>143</v>
      </c>
      <c r="AI19" s="138">
        <v>4.2699999999999996</v>
      </c>
      <c r="AJ19" s="138">
        <v>8.3699999999999992</v>
      </c>
      <c r="AK19" s="62">
        <f t="shared" si="19"/>
        <v>6.1060999999999996</v>
      </c>
      <c r="AL19" s="72">
        <f t="shared" si="20"/>
        <v>11.969099999999999</v>
      </c>
      <c r="AM19" s="81">
        <f t="shared" si="21"/>
        <v>21.403999999998632</v>
      </c>
      <c r="AN19" s="80">
        <f t="shared" si="22"/>
        <v>-7.03199450000014</v>
      </c>
      <c r="AO19" s="80">
        <f t="shared" si="23"/>
        <v>5.1904999999605295E-2</v>
      </c>
      <c r="AP19" s="114">
        <f t="shared" si="24"/>
        <v>-8.2615988915558901E-3</v>
      </c>
      <c r="AQ19" s="115">
        <f t="shared" si="12"/>
        <v>-3363.5571381211535</v>
      </c>
      <c r="AR19" s="90">
        <f t="shared" si="27"/>
        <v>1.4039999999986321</v>
      </c>
    </row>
    <row r="20" spans="1:49" ht="15.75" x14ac:dyDescent="0.25">
      <c r="A20" t="str">
        <f t="shared" si="13"/>
        <v>46212M</v>
      </c>
      <c r="B20" s="51">
        <f t="shared" si="26"/>
        <v>46212</v>
      </c>
      <c r="C20" s="99" t="s">
        <v>87</v>
      </c>
      <c r="D20" s="91">
        <v>143</v>
      </c>
      <c r="E20" s="62">
        <v>4.2699999999999996</v>
      </c>
      <c r="F20" s="62">
        <v>8.3699999999999992</v>
      </c>
      <c r="G20" s="62">
        <f t="shared" si="0"/>
        <v>6.1060999999999996</v>
      </c>
      <c r="H20" s="72">
        <f t="shared" si="1"/>
        <v>11.969099999999999</v>
      </c>
      <c r="I20" s="120">
        <v>7236.2</v>
      </c>
      <c r="J20" s="120">
        <v>7453.2860000000001</v>
      </c>
      <c r="K20" s="120">
        <v>4.1935193886293929</v>
      </c>
      <c r="L20" s="120">
        <v>8.322994803902608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7453.2860000000001</v>
      </c>
      <c r="S20" s="62">
        <f t="shared" si="15"/>
        <v>312.55499350000014</v>
      </c>
      <c r="T20" s="63">
        <f t="shared" si="16"/>
        <v>620.33660650000058</v>
      </c>
      <c r="U20" s="64" t="s">
        <v>198</v>
      </c>
      <c r="V20" s="65" t="s">
        <v>403</v>
      </c>
      <c r="W20" s="138" t="s">
        <v>184</v>
      </c>
      <c r="X20" s="67">
        <v>7200</v>
      </c>
      <c r="Y20" s="68">
        <v>4.4000000000000004</v>
      </c>
      <c r="Z20" s="68">
        <v>8.5399999999999991</v>
      </c>
      <c r="AA20" s="62">
        <f t="shared" si="5"/>
        <v>316.8</v>
      </c>
      <c r="AB20" s="63">
        <f t="shared" si="6"/>
        <v>614.87999999999988</v>
      </c>
      <c r="AC20" s="69">
        <v>7180</v>
      </c>
      <c r="AD20" s="70">
        <v>4.2500000000000009</v>
      </c>
      <c r="AE20" s="70">
        <v>8.3800000000000008</v>
      </c>
      <c r="AF20" s="62">
        <f t="shared" si="17"/>
        <v>305.15000000000009</v>
      </c>
      <c r="AG20" s="63">
        <f t="shared" si="18"/>
        <v>601.68400000000008</v>
      </c>
      <c r="AH20" s="141">
        <v>394</v>
      </c>
      <c r="AI20" s="138">
        <v>4.2</v>
      </c>
      <c r="AJ20" s="138">
        <v>8.33</v>
      </c>
      <c r="AK20" s="62">
        <f t="shared" si="19"/>
        <v>16.548000000000002</v>
      </c>
      <c r="AL20" s="72">
        <f t="shared" si="20"/>
        <v>32.8202</v>
      </c>
      <c r="AM20" s="81">
        <f t="shared" si="21"/>
        <v>22.286000000000058</v>
      </c>
      <c r="AN20" s="80">
        <f t="shared" si="22"/>
        <v>-3.0369064999999296</v>
      </c>
      <c r="AO20" s="80">
        <f t="shared" si="23"/>
        <v>-2.1984934999994721</v>
      </c>
      <c r="AP20" s="114">
        <f t="shared" si="24"/>
        <v>-5.6120132285459503E-3</v>
      </c>
      <c r="AQ20" s="115">
        <f t="shared" si="12"/>
        <v>-2117.7616448387421</v>
      </c>
      <c r="AR20" s="90">
        <f>(D20+J20+O20)-(X20+AH20)</f>
        <v>2.2860000000000582</v>
      </c>
    </row>
    <row r="21" spans="1:49" ht="15.75" x14ac:dyDescent="0.25">
      <c r="A21" t="str">
        <f t="shared" si="13"/>
        <v>46212E</v>
      </c>
      <c r="B21" s="51">
        <f t="shared" si="26"/>
        <v>46212</v>
      </c>
      <c r="C21" s="99" t="s">
        <v>88</v>
      </c>
      <c r="D21" s="91">
        <v>394</v>
      </c>
      <c r="E21" s="62">
        <v>4.2</v>
      </c>
      <c r="F21" s="62">
        <v>8.33</v>
      </c>
      <c r="G21" s="62">
        <f t="shared" si="0"/>
        <v>16.548000000000002</v>
      </c>
      <c r="H21" s="72">
        <f t="shared" si="1"/>
        <v>32.8202</v>
      </c>
      <c r="I21" s="120">
        <v>6963.8499999999985</v>
      </c>
      <c r="J21" s="120">
        <v>7172.7654999999986</v>
      </c>
      <c r="K21" s="120">
        <v>3.9272062149529359</v>
      </c>
      <c r="L21" s="120">
        <v>8.2049024605641989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7172.7654999999986</v>
      </c>
      <c r="S21" s="62">
        <f t="shared" si="15"/>
        <v>281.68929249999997</v>
      </c>
      <c r="T21" s="63">
        <f t="shared" si="16"/>
        <v>588.5184129999999</v>
      </c>
      <c r="U21" s="64" t="s">
        <v>167</v>
      </c>
      <c r="V21" s="65" t="s">
        <v>167</v>
      </c>
      <c r="W21" s="104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141">
        <v>7380</v>
      </c>
      <c r="AI21" s="138">
        <v>4.07</v>
      </c>
      <c r="AJ21" s="138">
        <v>8.34</v>
      </c>
      <c r="AK21" s="62">
        <f t="shared" si="19"/>
        <v>300.36599999999999</v>
      </c>
      <c r="AL21" s="72">
        <f t="shared" si="20"/>
        <v>615.49199999999996</v>
      </c>
      <c r="AM21" s="81">
        <f t="shared" si="21"/>
        <v>186.76549999999861</v>
      </c>
      <c r="AN21" s="80">
        <f t="shared" si="22"/>
        <v>-2.1287075000000186</v>
      </c>
      <c r="AO21" s="80">
        <f t="shared" si="23"/>
        <v>5.8466129999999339</v>
      </c>
      <c r="AP21" s="114">
        <f t="shared" si="24"/>
        <v>4.2724345883190023E-3</v>
      </c>
      <c r="AQ21" s="115">
        <f t="shared" si="12"/>
        <v>728.0953083928099</v>
      </c>
      <c r="AR21" s="90">
        <f>(D21+J21+O21)-(X21+AH21)</f>
        <v>186.76549999999861</v>
      </c>
    </row>
    <row r="22" spans="1:49" ht="15.75" x14ac:dyDescent="0.25">
      <c r="A22" t="str">
        <f t="shared" si="13"/>
        <v>46213M</v>
      </c>
      <c r="B22" s="51">
        <f t="shared" si="26"/>
        <v>46213</v>
      </c>
      <c r="C22" s="99" t="s">
        <v>87</v>
      </c>
      <c r="D22" s="91">
        <v>7380</v>
      </c>
      <c r="E22" s="62">
        <v>4.07</v>
      </c>
      <c r="F22" s="62">
        <v>8.34</v>
      </c>
      <c r="G22" s="62">
        <f t="shared" si="0"/>
        <v>300.36599999999999</v>
      </c>
      <c r="H22" s="72">
        <f t="shared" si="1"/>
        <v>615.49199999999996</v>
      </c>
      <c r="I22" s="120">
        <v>5201.8500000000004</v>
      </c>
      <c r="J22" s="120">
        <v>5357.9055000000008</v>
      </c>
      <c r="K22" s="120">
        <v>4.6079173755490821</v>
      </c>
      <c r="L22" s="120">
        <v>8.3175130001826307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5357.9055000000008</v>
      </c>
      <c r="S22" s="62">
        <f t="shared" si="15"/>
        <v>246.88785849999996</v>
      </c>
      <c r="T22" s="63">
        <f t="shared" si="16"/>
        <v>445.6444865000002</v>
      </c>
      <c r="U22" s="64" t="s">
        <v>197</v>
      </c>
      <c r="V22" s="65" t="s">
        <v>493</v>
      </c>
      <c r="W22" s="138" t="s">
        <v>184</v>
      </c>
      <c r="X22" s="67">
        <v>9200</v>
      </c>
      <c r="Y22" s="68">
        <v>4.4000000000000004</v>
      </c>
      <c r="Z22" s="68">
        <v>8.41</v>
      </c>
      <c r="AA22" s="62">
        <f t="shared" si="5"/>
        <v>404.80000000000007</v>
      </c>
      <c r="AB22" s="63">
        <f t="shared" si="6"/>
        <v>773.72</v>
      </c>
      <c r="AC22" s="69">
        <v>9200</v>
      </c>
      <c r="AD22" s="70">
        <v>4.3499999999999996</v>
      </c>
      <c r="AE22" s="70">
        <v>8.2799999999999994</v>
      </c>
      <c r="AF22" s="62">
        <f t="shared" si="17"/>
        <v>400.2</v>
      </c>
      <c r="AG22" s="63">
        <f t="shared" si="18"/>
        <v>761.76</v>
      </c>
      <c r="AH22" s="141">
        <v>3536</v>
      </c>
      <c r="AI22" s="138">
        <v>4.29</v>
      </c>
      <c r="AJ22" s="138">
        <v>8.33</v>
      </c>
      <c r="AK22" s="62">
        <f t="shared" si="19"/>
        <v>151.6944</v>
      </c>
      <c r="AL22" s="72">
        <f t="shared" si="20"/>
        <v>294.54879999999997</v>
      </c>
      <c r="AM22" s="81">
        <f t="shared" si="21"/>
        <v>1.9055000000007567</v>
      </c>
      <c r="AN22" s="80">
        <f t="shared" si="22"/>
        <v>-4.6405415000000119</v>
      </c>
      <c r="AO22" s="80">
        <f t="shared" si="23"/>
        <v>4.8276865000000839</v>
      </c>
      <c r="AP22" s="114">
        <f t="shared" si="24"/>
        <v>2.7023286544121199E-4</v>
      </c>
      <c r="AQ22" s="115">
        <f t="shared" si="12"/>
        <v>-784.08209557123882</v>
      </c>
      <c r="AR22" s="90">
        <f t="shared" ref="AR22:AR57" si="28">(D22+J22+O22)-(X22+AH22)</f>
        <v>1.9055000000007567</v>
      </c>
    </row>
    <row r="23" spans="1:49" ht="15.75" x14ac:dyDescent="0.25">
      <c r="A23" t="str">
        <f t="shared" si="13"/>
        <v>46213E</v>
      </c>
      <c r="B23" s="51">
        <f t="shared" si="26"/>
        <v>46213</v>
      </c>
      <c r="C23" s="99" t="s">
        <v>88</v>
      </c>
      <c r="D23" s="91">
        <v>3536</v>
      </c>
      <c r="E23" s="62">
        <v>4.29</v>
      </c>
      <c r="F23" s="62">
        <v>8.33</v>
      </c>
      <c r="G23" s="62">
        <f t="shared" si="0"/>
        <v>151.6944</v>
      </c>
      <c r="H23" s="72">
        <f t="shared" si="1"/>
        <v>294.54879999999997</v>
      </c>
      <c r="I23" s="120">
        <v>4081.8999999999996</v>
      </c>
      <c r="J23" s="120">
        <v>4204.357</v>
      </c>
      <c r="K23" s="120">
        <v>4.2087447022220053</v>
      </c>
      <c r="L23" s="120">
        <v>8.3076018520786921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4204.357</v>
      </c>
      <c r="S23" s="62">
        <f t="shared" si="15"/>
        <v>176.95065250000002</v>
      </c>
      <c r="T23" s="63">
        <f t="shared" si="16"/>
        <v>349.28124000000008</v>
      </c>
      <c r="U23" s="64" t="s">
        <v>167</v>
      </c>
      <c r="V23" s="65" t="s">
        <v>167</v>
      </c>
      <c r="W23" s="104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141">
        <v>7739</v>
      </c>
      <c r="AI23" s="138">
        <v>4.24</v>
      </c>
      <c r="AJ23" s="138">
        <v>8.32</v>
      </c>
      <c r="AK23" s="62">
        <f t="shared" si="19"/>
        <v>328.1336</v>
      </c>
      <c r="AL23" s="72">
        <f t="shared" si="20"/>
        <v>643.88479999999993</v>
      </c>
      <c r="AM23" s="81">
        <f t="shared" si="21"/>
        <v>1.3569999999999709</v>
      </c>
      <c r="AN23" s="80">
        <f t="shared" si="22"/>
        <v>0.51145250000001852</v>
      </c>
      <c r="AO23" s="80">
        <f t="shared" si="23"/>
        <v>-5.4759999999873799E-2</v>
      </c>
      <c r="AP23" s="114">
        <f t="shared" si="24"/>
        <v>8.6785408963054186E-4</v>
      </c>
      <c r="AQ23" s="115">
        <f t="shared" si="12"/>
        <v>229.36943970231371</v>
      </c>
      <c r="AR23" s="90">
        <f t="shared" si="28"/>
        <v>1.3569999999999709</v>
      </c>
    </row>
    <row r="24" spans="1:49" ht="15.75" x14ac:dyDescent="0.25">
      <c r="A24" t="str">
        <f t="shared" si="13"/>
        <v>46214M</v>
      </c>
      <c r="B24" s="51">
        <f t="shared" si="26"/>
        <v>46214</v>
      </c>
      <c r="C24" s="99" t="s">
        <v>87</v>
      </c>
      <c r="D24" s="91">
        <v>7739</v>
      </c>
      <c r="E24" s="62">
        <v>4.24</v>
      </c>
      <c r="F24" s="62">
        <v>8.32</v>
      </c>
      <c r="G24" s="62">
        <f t="shared" si="0"/>
        <v>328.1336</v>
      </c>
      <c r="H24" s="72">
        <f t="shared" si="1"/>
        <v>643.88479999999993</v>
      </c>
      <c r="I24" s="120">
        <v>5376.3</v>
      </c>
      <c r="J24" s="120">
        <v>5537.5889999999999</v>
      </c>
      <c r="K24" s="120">
        <v>4.5695403902312011</v>
      </c>
      <c r="L24" s="120">
        <v>8.3232678607964612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5537.5889999999999</v>
      </c>
      <c r="S24" s="62">
        <f t="shared" si="15"/>
        <v>253.04236600000007</v>
      </c>
      <c r="T24" s="63">
        <f t="shared" si="16"/>
        <v>460.90836550000017</v>
      </c>
      <c r="U24" s="64" t="s">
        <v>199</v>
      </c>
      <c r="V24" s="65" t="s">
        <v>494</v>
      </c>
      <c r="W24" s="104" t="s">
        <v>184</v>
      </c>
      <c r="X24" s="67">
        <v>9810</v>
      </c>
      <c r="Y24" s="68">
        <v>4.3</v>
      </c>
      <c r="Z24" s="68">
        <v>8.3900000000000023</v>
      </c>
      <c r="AA24" s="62">
        <f t="shared" si="5"/>
        <v>421.83</v>
      </c>
      <c r="AB24" s="63">
        <f t="shared" si="6"/>
        <v>823.05900000000031</v>
      </c>
      <c r="AC24" s="69">
        <v>9750</v>
      </c>
      <c r="AD24" s="70">
        <v>4.1751282051282059</v>
      </c>
      <c r="AE24" s="70">
        <v>8.3650256410256407</v>
      </c>
      <c r="AF24" s="62">
        <f t="shared" si="17"/>
        <v>407.0750000000001</v>
      </c>
      <c r="AG24" s="63">
        <f t="shared" si="18"/>
        <v>815.58999999999992</v>
      </c>
      <c r="AH24" s="141">
        <v>3464</v>
      </c>
      <c r="AI24" s="138">
        <v>4.37</v>
      </c>
      <c r="AJ24" s="138">
        <v>8.32</v>
      </c>
      <c r="AK24" s="62">
        <f t="shared" si="19"/>
        <v>151.3768</v>
      </c>
      <c r="AL24" s="72">
        <f t="shared" si="20"/>
        <v>288.20479999999998</v>
      </c>
      <c r="AM24" s="81">
        <f t="shared" si="21"/>
        <v>62.588999999999942</v>
      </c>
      <c r="AN24" s="80">
        <f t="shared" si="22"/>
        <v>22.724165999999911</v>
      </c>
      <c r="AO24" s="80">
        <f t="shared" si="23"/>
        <v>0.99836550000031821</v>
      </c>
      <c r="AP24" s="114">
        <f t="shared" si="24"/>
        <v>3.3227126821705928E-2</v>
      </c>
      <c r="AQ24" s="115">
        <f t="shared" si="12"/>
        <v>11218.702932669235</v>
      </c>
      <c r="AR24" s="90">
        <f t="shared" si="28"/>
        <v>2.5889999999999418</v>
      </c>
    </row>
    <row r="25" spans="1:49" ht="15.75" x14ac:dyDescent="0.25">
      <c r="A25" t="str">
        <f t="shared" si="13"/>
        <v>46214E</v>
      </c>
      <c r="B25" s="51">
        <f t="shared" si="26"/>
        <v>46214</v>
      </c>
      <c r="C25" s="99" t="s">
        <v>88</v>
      </c>
      <c r="D25" s="91">
        <v>3464</v>
      </c>
      <c r="E25" s="62">
        <v>4.37</v>
      </c>
      <c r="F25" s="62">
        <v>8.32</v>
      </c>
      <c r="G25" s="62">
        <f t="shared" si="0"/>
        <v>151.3768</v>
      </c>
      <c r="H25" s="72">
        <f t="shared" si="1"/>
        <v>288.20479999999998</v>
      </c>
      <c r="I25" s="120">
        <v>12869.050000000003</v>
      </c>
      <c r="J25" s="120">
        <v>13255.121500000003</v>
      </c>
      <c r="K25" s="120">
        <v>4.3366192531694239</v>
      </c>
      <c r="L25" s="120">
        <v>8.3098631989152238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13255.121500000003</v>
      </c>
      <c r="S25" s="62">
        <f t="shared" si="15"/>
        <v>574.82415099999992</v>
      </c>
      <c r="T25" s="63">
        <f t="shared" si="16"/>
        <v>1101.4824634999998</v>
      </c>
      <c r="U25" s="64" t="s">
        <v>198</v>
      </c>
      <c r="V25" s="65" t="s">
        <v>495</v>
      </c>
      <c r="W25" s="66" t="s">
        <v>184</v>
      </c>
      <c r="X25" s="67">
        <v>7200</v>
      </c>
      <c r="Y25" s="68">
        <v>4.5999999999999996</v>
      </c>
      <c r="Z25" s="68">
        <v>8.58</v>
      </c>
      <c r="AA25" s="62">
        <f t="shared" si="5"/>
        <v>331.2</v>
      </c>
      <c r="AB25" s="63">
        <f t="shared" si="6"/>
        <v>617.76</v>
      </c>
      <c r="AC25" s="69">
        <v>7160</v>
      </c>
      <c r="AD25" s="70">
        <v>4.55</v>
      </c>
      <c r="AE25" s="70">
        <v>8.44</v>
      </c>
      <c r="AF25" s="62">
        <f t="shared" si="17"/>
        <v>325.77999999999997</v>
      </c>
      <c r="AG25" s="63">
        <f t="shared" si="18"/>
        <v>604.30399999999997</v>
      </c>
      <c r="AH25" s="141">
        <v>9517</v>
      </c>
      <c r="AI25" s="138">
        <v>4.3499999999999996</v>
      </c>
      <c r="AJ25" s="138">
        <v>8.31</v>
      </c>
      <c r="AK25" s="62">
        <f t="shared" si="19"/>
        <v>413.98949999999996</v>
      </c>
      <c r="AL25" s="72">
        <f t="shared" si="20"/>
        <v>790.86270000000002</v>
      </c>
      <c r="AM25" s="81">
        <f t="shared" si="21"/>
        <v>42.121500000001106</v>
      </c>
      <c r="AN25" s="80">
        <f t="shared" si="22"/>
        <v>-13.568549000000019</v>
      </c>
      <c r="AO25" s="80">
        <f t="shared" si="23"/>
        <v>-5.4794365000002472</v>
      </c>
      <c r="AP25" s="114">
        <f t="shared" si="24"/>
        <v>-1.1363067672247897E-2</v>
      </c>
      <c r="AQ25" s="115">
        <f t="shared" si="12"/>
        <v>-8161.1718532772793</v>
      </c>
      <c r="AR25" s="90">
        <f t="shared" si="28"/>
        <v>2.1215000000011059</v>
      </c>
      <c r="AS25" s="90">
        <f>SUM(J12:J25)</f>
        <v>86793.156000000017</v>
      </c>
      <c r="AT25" s="83">
        <f>SUM(AM12:AM25)</f>
        <v>593.15600000000268</v>
      </c>
      <c r="AU25" s="83">
        <f>SUM(AN12:AN25)</f>
        <v>-3.2780370000000421</v>
      </c>
      <c r="AV25" s="83">
        <f>SUM(AO12:AO25)</f>
        <v>5.4329535000003606</v>
      </c>
      <c r="AW25" s="83">
        <f>-SUM(AQ12:AQ25)</f>
        <v>-51.917739434080431</v>
      </c>
    </row>
    <row r="26" spans="1:49" ht="15.75" x14ac:dyDescent="0.25">
      <c r="A26" t="str">
        <f t="shared" si="13"/>
        <v>46215M</v>
      </c>
      <c r="B26" s="51">
        <f t="shared" si="26"/>
        <v>46215</v>
      </c>
      <c r="C26" s="99" t="s">
        <v>87</v>
      </c>
      <c r="D26" s="91">
        <v>9517</v>
      </c>
      <c r="E26" s="62">
        <v>4.3499999999999996</v>
      </c>
      <c r="F26" s="62">
        <v>8.31</v>
      </c>
      <c r="G26" s="62">
        <f t="shared" si="0"/>
        <v>413.98949999999996</v>
      </c>
      <c r="H26" s="72">
        <f t="shared" si="1"/>
        <v>790.86270000000002</v>
      </c>
      <c r="I26" s="120">
        <v>6309.3499999999976</v>
      </c>
      <c r="J26" s="120">
        <v>6498.6304999999975</v>
      </c>
      <c r="K26" s="120">
        <v>4.4605656684127553</v>
      </c>
      <c r="L26" s="120">
        <v>8.3845031580115261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6498.6304999999975</v>
      </c>
      <c r="S26" s="62">
        <f t="shared" si="15"/>
        <v>289.8756810000001</v>
      </c>
      <c r="T26" s="63">
        <f t="shared" si="16"/>
        <v>544.87787950000006</v>
      </c>
      <c r="U26" s="64" t="s">
        <v>199</v>
      </c>
      <c r="V26" s="65" t="s">
        <v>496</v>
      </c>
      <c r="W26" s="138" t="s">
        <v>184</v>
      </c>
      <c r="X26" s="67">
        <v>9810</v>
      </c>
      <c r="Y26" s="68">
        <v>4.58</v>
      </c>
      <c r="Z26" s="68">
        <v>8.58</v>
      </c>
      <c r="AA26" s="62">
        <f t="shared" si="5"/>
        <v>449.298</v>
      </c>
      <c r="AB26" s="63">
        <f t="shared" si="6"/>
        <v>841.69799999999998</v>
      </c>
      <c r="AC26" s="69">
        <v>9740</v>
      </c>
      <c r="AD26" s="70">
        <v>4.4006160164271044</v>
      </c>
      <c r="AE26" s="70">
        <v>8.2901232032854217</v>
      </c>
      <c r="AF26" s="62">
        <f t="shared" si="17"/>
        <v>428.61999999999995</v>
      </c>
      <c r="AG26" s="63">
        <f t="shared" si="18"/>
        <v>807.45799999999997</v>
      </c>
      <c r="AH26" s="141">
        <v>6204</v>
      </c>
      <c r="AI26" s="138">
        <v>4.3899999999999997</v>
      </c>
      <c r="AJ26" s="138">
        <v>8.33</v>
      </c>
      <c r="AK26" s="62">
        <f t="shared" si="19"/>
        <v>272.35559999999998</v>
      </c>
      <c r="AL26" s="72">
        <f t="shared" si="20"/>
        <v>516.79319999999996</v>
      </c>
      <c r="AM26" s="81">
        <f t="shared" si="21"/>
        <v>71.630499999997483</v>
      </c>
      <c r="AN26" s="80">
        <f t="shared" si="22"/>
        <v>2.8895810000001916</v>
      </c>
      <c r="AO26" s="80">
        <f t="shared" si="23"/>
        <v>11.489379500000041</v>
      </c>
      <c r="AP26" s="114">
        <f t="shared" si="24"/>
        <v>1.7225395829863287E-2</v>
      </c>
      <c r="AQ26" s="115">
        <f t="shared" si="12"/>
        <v>4829.5045919553995</v>
      </c>
      <c r="AR26" s="90">
        <f t="shared" si="28"/>
        <v>1.6304999999974825</v>
      </c>
    </row>
    <row r="27" spans="1:49" ht="15.75" x14ac:dyDescent="0.25">
      <c r="A27" t="str">
        <f t="shared" si="13"/>
        <v>46215E</v>
      </c>
      <c r="B27" s="51">
        <f t="shared" si="26"/>
        <v>46215</v>
      </c>
      <c r="C27" s="99" t="s">
        <v>88</v>
      </c>
      <c r="D27" s="91">
        <v>6204</v>
      </c>
      <c r="E27" s="62">
        <v>4.3899999999999997</v>
      </c>
      <c r="F27" s="62">
        <v>8.33</v>
      </c>
      <c r="G27" s="62">
        <f t="shared" si="0"/>
        <v>272.35559999999998</v>
      </c>
      <c r="H27" s="72">
        <f t="shared" si="1"/>
        <v>516.79319999999996</v>
      </c>
      <c r="I27" s="120">
        <v>4519.8500000000022</v>
      </c>
      <c r="J27" s="120">
        <v>4655.4455000000025</v>
      </c>
      <c r="K27" s="120">
        <v>4.005032246645353</v>
      </c>
      <c r="L27" s="120">
        <v>8.2928117083531543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4655.4455000000025</v>
      </c>
      <c r="S27" s="62">
        <f t="shared" si="15"/>
        <v>186.45209350000007</v>
      </c>
      <c r="T27" s="63">
        <f t="shared" si="16"/>
        <v>386.06732950000026</v>
      </c>
      <c r="U27" s="64" t="s">
        <v>198</v>
      </c>
      <c r="V27" s="65" t="s">
        <v>497</v>
      </c>
      <c r="W27" s="104" t="s">
        <v>184</v>
      </c>
      <c r="X27" s="67">
        <v>7200</v>
      </c>
      <c r="Y27" s="68">
        <v>4.4000000000000004</v>
      </c>
      <c r="Z27" s="68">
        <v>8.5399999999999991</v>
      </c>
      <c r="AA27" s="62">
        <f t="shared" si="5"/>
        <v>316.8</v>
      </c>
      <c r="AB27" s="63">
        <f t="shared" si="6"/>
        <v>614.87999999999988</v>
      </c>
      <c r="AC27" s="69">
        <v>7180</v>
      </c>
      <c r="AD27" s="70">
        <v>4.3000000000000007</v>
      </c>
      <c r="AE27" s="70">
        <v>8.39</v>
      </c>
      <c r="AF27" s="62">
        <f t="shared" si="17"/>
        <v>308.74000000000007</v>
      </c>
      <c r="AG27" s="63">
        <f t="shared" si="18"/>
        <v>602.40200000000004</v>
      </c>
      <c r="AH27" s="141">
        <v>3657</v>
      </c>
      <c r="AI27" s="138">
        <v>4.22</v>
      </c>
      <c r="AJ27" s="138">
        <v>8.31</v>
      </c>
      <c r="AK27" s="62">
        <f t="shared" si="19"/>
        <v>154.32539999999997</v>
      </c>
      <c r="AL27" s="72">
        <f t="shared" si="20"/>
        <v>303.89670000000001</v>
      </c>
      <c r="AM27" s="81">
        <f t="shared" si="21"/>
        <v>22.44550000000163</v>
      </c>
      <c r="AN27" s="80">
        <f t="shared" si="22"/>
        <v>-4.2577065000000118</v>
      </c>
      <c r="AO27" s="80">
        <f t="shared" si="23"/>
        <v>-3.4381704999998419</v>
      </c>
      <c r="AP27" s="114">
        <f t="shared" si="24"/>
        <v>-1.3442123866599107E-2</v>
      </c>
      <c r="AQ27" s="115">
        <f t="shared" si="12"/>
        <v>-3075.668002777139</v>
      </c>
      <c r="AR27" s="90">
        <f>(D27+J27+O27)-(X27+AH27)</f>
        <v>2.4455000000016298</v>
      </c>
    </row>
    <row r="28" spans="1:49" ht="15.75" x14ac:dyDescent="0.25">
      <c r="A28" t="str">
        <f t="shared" si="13"/>
        <v>46216M</v>
      </c>
      <c r="B28" s="51">
        <f t="shared" si="26"/>
        <v>46216</v>
      </c>
      <c r="C28" s="99" t="s">
        <v>87</v>
      </c>
      <c r="D28" s="91">
        <v>3657</v>
      </c>
      <c r="E28" s="62">
        <v>4.22</v>
      </c>
      <c r="F28" s="62">
        <v>8.31</v>
      </c>
      <c r="G28" s="62">
        <f t="shared" si="0"/>
        <v>154.32539999999997</v>
      </c>
      <c r="H28" s="72">
        <f t="shared" si="1"/>
        <v>303.89670000000001</v>
      </c>
      <c r="I28" s="120">
        <v>6099.0999999999995</v>
      </c>
      <c r="J28" s="120">
        <v>6282.0729999999994</v>
      </c>
      <c r="K28" s="120">
        <v>4.844191765998259</v>
      </c>
      <c r="L28" s="120">
        <v>8.4285878244331141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6282.0729999999994</v>
      </c>
      <c r="S28" s="62">
        <f t="shared" si="15"/>
        <v>304.3156629999998</v>
      </c>
      <c r="T28" s="63">
        <f t="shared" si="16"/>
        <v>529.49004000000002</v>
      </c>
      <c r="U28" s="64" t="s">
        <v>199</v>
      </c>
      <c r="V28" s="65" t="s">
        <v>498</v>
      </c>
      <c r="W28" s="138" t="s">
        <v>184</v>
      </c>
      <c r="X28" s="67">
        <v>9810</v>
      </c>
      <c r="Y28" s="68">
        <v>4.4000000000000012</v>
      </c>
      <c r="Z28" s="68">
        <v>8.5400000000000009</v>
      </c>
      <c r="AA28" s="62">
        <f t="shared" si="5"/>
        <v>431.6400000000001</v>
      </c>
      <c r="AB28" s="63">
        <f t="shared" si="6"/>
        <v>837.774</v>
      </c>
      <c r="AC28" s="69">
        <v>9750</v>
      </c>
      <c r="AD28" s="70">
        <v>4.3</v>
      </c>
      <c r="AE28" s="70">
        <v>8.39</v>
      </c>
      <c r="AF28" s="62">
        <f t="shared" si="17"/>
        <v>419.24999999999994</v>
      </c>
      <c r="AG28" s="63">
        <f t="shared" si="18"/>
        <v>818.02499999999998</v>
      </c>
      <c r="AH28" s="141">
        <v>128</v>
      </c>
      <c r="AI28" s="138">
        <v>4.6100000000000003</v>
      </c>
      <c r="AJ28" s="138">
        <v>8.3800000000000008</v>
      </c>
      <c r="AK28" s="62">
        <f t="shared" si="19"/>
        <v>5.9008000000000003</v>
      </c>
      <c r="AL28" s="72">
        <f t="shared" si="20"/>
        <v>10.726400000000002</v>
      </c>
      <c r="AM28" s="81">
        <f t="shared" si="21"/>
        <v>61.07300000000032</v>
      </c>
      <c r="AN28" s="80">
        <f t="shared" si="22"/>
        <v>33.490262999999857</v>
      </c>
      <c r="AO28" s="80">
        <f t="shared" si="23"/>
        <v>4.6353400000000526</v>
      </c>
      <c r="AP28" s="114">
        <f t="shared" si="24"/>
        <v>4.5724804787045124E-2</v>
      </c>
      <c r="AQ28" s="115">
        <f t="shared" si="12"/>
        <v>17481.404423688982</v>
      </c>
      <c r="AR28" s="90">
        <f>(D28+J28+O28)-(X28+AH28)</f>
        <v>1.0730000000003201</v>
      </c>
    </row>
    <row r="29" spans="1:49" ht="15.75" x14ac:dyDescent="0.25">
      <c r="A29" t="str">
        <f t="shared" si="13"/>
        <v>46216E</v>
      </c>
      <c r="B29" s="51">
        <f t="shared" si="26"/>
        <v>46216</v>
      </c>
      <c r="C29" s="99" t="s">
        <v>88</v>
      </c>
      <c r="D29" s="91">
        <v>128</v>
      </c>
      <c r="E29" s="62">
        <v>4.6100000000000003</v>
      </c>
      <c r="F29" s="62">
        <v>8.3800000000000008</v>
      </c>
      <c r="G29" s="62">
        <f t="shared" si="0"/>
        <v>5.9008000000000003</v>
      </c>
      <c r="H29" s="72">
        <f t="shared" si="1"/>
        <v>10.726400000000002</v>
      </c>
      <c r="I29" s="120">
        <v>5606.0499999999984</v>
      </c>
      <c r="J29" s="120">
        <v>5774.2314999999981</v>
      </c>
      <c r="K29" s="120">
        <v>4.0238082072047154</v>
      </c>
      <c r="L29" s="120">
        <v>8.2364499067971213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5774.2314999999981</v>
      </c>
      <c r="S29" s="62">
        <f t="shared" si="15"/>
        <v>232.34400099999988</v>
      </c>
      <c r="T29" s="63">
        <f t="shared" si="16"/>
        <v>475.59168499999987</v>
      </c>
      <c r="U29" s="64" t="s">
        <v>180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141">
        <v>5901</v>
      </c>
      <c r="AI29" s="138">
        <v>4.05</v>
      </c>
      <c r="AJ29" s="138">
        <v>8.25</v>
      </c>
      <c r="AK29" s="62">
        <f t="shared" si="19"/>
        <v>238.9905</v>
      </c>
      <c r="AL29" s="72">
        <f t="shared" si="20"/>
        <v>486.83250000000004</v>
      </c>
      <c r="AM29" s="81">
        <f t="shared" si="21"/>
        <v>1.23149999999805</v>
      </c>
      <c r="AN29" s="80">
        <f t="shared" si="22"/>
        <v>-0.74569900000011557</v>
      </c>
      <c r="AO29" s="80">
        <f t="shared" si="23"/>
        <v>-0.51441500000015594</v>
      </c>
      <c r="AP29" s="114">
        <f t="shared" si="24"/>
        <v>-1.7799837258101888E-3</v>
      </c>
      <c r="AQ29" s="115">
        <f t="shared" si="12"/>
        <v>-512.39535225194174</v>
      </c>
      <c r="AR29" s="90">
        <f t="shared" si="28"/>
        <v>1.23149999999805</v>
      </c>
    </row>
    <row r="30" spans="1:49" ht="15.75" x14ac:dyDescent="0.25">
      <c r="A30" t="str">
        <f t="shared" si="13"/>
        <v>46217M</v>
      </c>
      <c r="B30" s="51">
        <f t="shared" si="26"/>
        <v>46217</v>
      </c>
      <c r="C30" s="99" t="s">
        <v>87</v>
      </c>
      <c r="D30" s="91">
        <v>5901</v>
      </c>
      <c r="E30" s="62">
        <v>4.05</v>
      </c>
      <c r="F30" s="62">
        <v>8.25</v>
      </c>
      <c r="G30" s="62">
        <f t="shared" ref="G30:G47" si="29">+D30*E30%</f>
        <v>238.9905</v>
      </c>
      <c r="H30" s="72">
        <f t="shared" ref="H30:H47" si="30">+D30*F30%</f>
        <v>486.83250000000004</v>
      </c>
      <c r="I30" s="120">
        <v>12758.800000000003</v>
      </c>
      <c r="J30" s="120">
        <v>13141.564000000004</v>
      </c>
      <c r="K30" s="120">
        <v>4.4542351161551217</v>
      </c>
      <c r="L30" s="120">
        <v>8.3351177226698372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13141.564000000004</v>
      </c>
      <c r="S30" s="62">
        <f t="shared" si="15"/>
        <v>585.35615849999988</v>
      </c>
      <c r="T30" s="63">
        <f t="shared" si="16"/>
        <v>1095.3648299999995</v>
      </c>
      <c r="U30" s="64" t="s">
        <v>579</v>
      </c>
      <c r="V30" s="65" t="s">
        <v>580</v>
      </c>
      <c r="W30" s="138" t="s">
        <v>184</v>
      </c>
      <c r="X30" s="67">
        <v>17010</v>
      </c>
      <c r="Y30" s="68">
        <v>4.5999999999999996</v>
      </c>
      <c r="Z30" s="68">
        <v>8.58</v>
      </c>
      <c r="AA30" s="62">
        <f t="shared" si="5"/>
        <v>782.46</v>
      </c>
      <c r="AB30" s="63">
        <f t="shared" si="6"/>
        <v>1459.4580000000001</v>
      </c>
      <c r="AC30" s="69">
        <v>16920</v>
      </c>
      <c r="AD30" s="70">
        <v>4.4624113475177305</v>
      </c>
      <c r="AE30" s="70">
        <v>8.3533333333333335</v>
      </c>
      <c r="AF30" s="62">
        <f t="shared" si="17"/>
        <v>755.04000000000008</v>
      </c>
      <c r="AG30" s="63">
        <f t="shared" si="18"/>
        <v>1413.384</v>
      </c>
      <c r="AH30" s="141">
        <v>2030</v>
      </c>
      <c r="AI30" s="138">
        <v>4.32</v>
      </c>
      <c r="AJ30" s="138">
        <v>8.31</v>
      </c>
      <c r="AK30" s="62">
        <f t="shared" si="19"/>
        <v>87.695999999999998</v>
      </c>
      <c r="AL30" s="72">
        <f t="shared" si="20"/>
        <v>168.69300000000001</v>
      </c>
      <c r="AM30" s="81">
        <f t="shared" si="21"/>
        <v>92.564000000005763</v>
      </c>
      <c r="AN30" s="80">
        <f t="shared" si="22"/>
        <v>-18.389341500000199</v>
      </c>
      <c r="AO30" s="80">
        <f t="shared" si="23"/>
        <v>0.12032999999948402</v>
      </c>
      <c r="AP30" s="114">
        <f t="shared" si="24"/>
        <v>-1.0869746748569697E-2</v>
      </c>
      <c r="AQ30" s="115">
        <f t="shared" si="12"/>
        <v>-8800.6393343251984</v>
      </c>
      <c r="AR30" s="90">
        <f t="shared" ref="AR30:AR35" si="31">(D30+J30+O30)-(X30+AH30)</f>
        <v>2.5640000000057626</v>
      </c>
    </row>
    <row r="31" spans="1:49" ht="15.75" x14ac:dyDescent="0.25">
      <c r="A31" t="str">
        <f t="shared" si="13"/>
        <v>46217E</v>
      </c>
      <c r="B31" s="51">
        <f t="shared" si="26"/>
        <v>46217</v>
      </c>
      <c r="C31" s="99" t="s">
        <v>88</v>
      </c>
      <c r="D31" s="91">
        <v>2030</v>
      </c>
      <c r="E31" s="62">
        <v>4.32</v>
      </c>
      <c r="F31" s="62">
        <v>8.31</v>
      </c>
      <c r="G31" s="62">
        <f t="shared" si="29"/>
        <v>87.695999999999998</v>
      </c>
      <c r="H31" s="72">
        <f t="shared" si="30"/>
        <v>168.69300000000001</v>
      </c>
      <c r="I31" s="120">
        <v>5741.0500000000011</v>
      </c>
      <c r="J31" s="120">
        <v>5913.281500000001</v>
      </c>
      <c r="K31" s="120">
        <v>4.3767969273913314</v>
      </c>
      <c r="L31" s="120">
        <v>8.3783210388343612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5913.281500000001</v>
      </c>
      <c r="S31" s="62">
        <f t="shared" si="15"/>
        <v>258.81232300000005</v>
      </c>
      <c r="T31" s="63">
        <f t="shared" si="16"/>
        <v>495.43370800000019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141">
        <v>7940</v>
      </c>
      <c r="AI31" s="138">
        <v>4.3600000000000003</v>
      </c>
      <c r="AJ31" s="138">
        <v>8.36</v>
      </c>
      <c r="AK31" s="62">
        <f t="shared" si="19"/>
        <v>346.18400000000003</v>
      </c>
      <c r="AL31" s="72">
        <f t="shared" si="20"/>
        <v>663.78399999999999</v>
      </c>
      <c r="AM31" s="81">
        <f t="shared" si="21"/>
        <v>3.2815000000009604</v>
      </c>
      <c r="AN31" s="80">
        <f t="shared" si="22"/>
        <v>0.32432299999999259</v>
      </c>
      <c r="AO31" s="80">
        <f t="shared" si="23"/>
        <v>0.34270800000024337</v>
      </c>
      <c r="AP31" s="114">
        <f t="shared" si="24"/>
        <v>8.8436792848066805E-4</v>
      </c>
      <c r="AQ31" s="115">
        <f t="shared" si="12"/>
        <v>258.48575209271962</v>
      </c>
      <c r="AR31" s="90">
        <f t="shared" si="31"/>
        <v>3.2815000000009604</v>
      </c>
    </row>
    <row r="32" spans="1:49" ht="15.75" x14ac:dyDescent="0.25">
      <c r="A32" t="str">
        <f t="shared" si="13"/>
        <v>46218M</v>
      </c>
      <c r="B32" s="51">
        <f t="shared" si="26"/>
        <v>46218</v>
      </c>
      <c r="C32" s="99" t="s">
        <v>87</v>
      </c>
      <c r="D32" s="91">
        <v>7940</v>
      </c>
      <c r="E32" s="62">
        <v>4.3600000000000003</v>
      </c>
      <c r="F32" s="62">
        <v>8.36</v>
      </c>
      <c r="G32" s="62">
        <f t="shared" si="29"/>
        <v>346.18400000000003</v>
      </c>
      <c r="H32" s="72">
        <f t="shared" si="30"/>
        <v>663.78399999999999</v>
      </c>
      <c r="I32" s="120">
        <v>4900.7000000000007</v>
      </c>
      <c r="J32" s="120">
        <v>5047.7210000000005</v>
      </c>
      <c r="K32" s="120">
        <v>4.7872273348705274</v>
      </c>
      <c r="L32" s="120">
        <v>8.4127869488032303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5047.7210000000005</v>
      </c>
      <c r="S32" s="62">
        <f t="shared" si="15"/>
        <v>241.64587949999995</v>
      </c>
      <c r="T32" s="63">
        <f t="shared" si="16"/>
        <v>424.65401349999996</v>
      </c>
      <c r="U32" s="64" t="s">
        <v>198</v>
      </c>
      <c r="V32" s="65" t="s">
        <v>581</v>
      </c>
      <c r="W32" s="104" t="s">
        <v>184</v>
      </c>
      <c r="X32" s="67">
        <v>7200</v>
      </c>
      <c r="Y32" s="68">
        <v>4.5999999999999996</v>
      </c>
      <c r="Z32" s="68">
        <v>8.33</v>
      </c>
      <c r="AA32" s="62">
        <f t="shared" si="5"/>
        <v>331.2</v>
      </c>
      <c r="AB32" s="63">
        <f t="shared" si="6"/>
        <v>599.76</v>
      </c>
      <c r="AC32" s="69">
        <v>7200</v>
      </c>
      <c r="AD32" s="70">
        <v>4.5</v>
      </c>
      <c r="AE32" s="70">
        <v>8.31</v>
      </c>
      <c r="AF32" s="62">
        <f t="shared" si="17"/>
        <v>324</v>
      </c>
      <c r="AG32" s="63">
        <f t="shared" si="18"/>
        <v>598.32000000000005</v>
      </c>
      <c r="AH32" s="141">
        <v>5786</v>
      </c>
      <c r="AI32" s="138">
        <v>4.5199999999999996</v>
      </c>
      <c r="AJ32" s="138">
        <v>8.3699999999999992</v>
      </c>
      <c r="AK32" s="62">
        <f t="shared" si="19"/>
        <v>261.52719999999999</v>
      </c>
      <c r="AL32" s="72">
        <f t="shared" si="20"/>
        <v>484.28819999999996</v>
      </c>
      <c r="AM32" s="81">
        <f t="shared" si="21"/>
        <v>1.7210000000013679</v>
      </c>
      <c r="AN32" s="80">
        <f t="shared" si="22"/>
        <v>2.3026794999999538</v>
      </c>
      <c r="AO32" s="80">
        <f t="shared" si="23"/>
        <v>5.8298134999998865</v>
      </c>
      <c r="AP32" s="114">
        <f t="shared" si="24"/>
        <v>1.2205454458927614E-2</v>
      </c>
      <c r="AQ32" s="115">
        <f t="shared" si="12"/>
        <v>2852.4896870080179</v>
      </c>
      <c r="AR32" s="90">
        <f t="shared" si="31"/>
        <v>1.7210000000013679</v>
      </c>
    </row>
    <row r="33" spans="1:49" ht="15.75" x14ac:dyDescent="0.25">
      <c r="A33" t="str">
        <f t="shared" si="13"/>
        <v>46218E</v>
      </c>
      <c r="B33" s="51">
        <f t="shared" si="26"/>
        <v>46218</v>
      </c>
      <c r="C33" s="99" t="s">
        <v>88</v>
      </c>
      <c r="D33" s="91">
        <v>5786</v>
      </c>
      <c r="E33" s="62">
        <v>4.5199999999999996</v>
      </c>
      <c r="F33" s="62">
        <v>8.3699999999999992</v>
      </c>
      <c r="G33" s="62">
        <f t="shared" si="29"/>
        <v>261.52719999999999</v>
      </c>
      <c r="H33" s="72">
        <f t="shared" si="30"/>
        <v>484.28819999999996</v>
      </c>
      <c r="I33" s="120">
        <v>13677.600000000002</v>
      </c>
      <c r="J33" s="120">
        <v>14087.928000000004</v>
      </c>
      <c r="K33" s="120">
        <v>4.5310533280692535</v>
      </c>
      <c r="L33" s="120">
        <v>8.3421429929227351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14087.928000000004</v>
      </c>
      <c r="S33" s="62">
        <f t="shared" si="15"/>
        <v>638.33153050000044</v>
      </c>
      <c r="T33" s="63">
        <f t="shared" si="16"/>
        <v>1175.2350985000003</v>
      </c>
      <c r="U33" s="64" t="s">
        <v>582</v>
      </c>
      <c r="V33" s="65" t="s">
        <v>583</v>
      </c>
      <c r="W33" s="138" t="s">
        <v>184</v>
      </c>
      <c r="X33" s="67">
        <v>17010</v>
      </c>
      <c r="Y33" s="68">
        <v>4.63</v>
      </c>
      <c r="Z33" s="68">
        <v>8.5299999999999994</v>
      </c>
      <c r="AA33" s="62">
        <f t="shared" si="5"/>
        <v>787.56299999999999</v>
      </c>
      <c r="AB33" s="63">
        <f t="shared" si="6"/>
        <v>1450.9529999999997</v>
      </c>
      <c r="AC33" s="69">
        <v>16960</v>
      </c>
      <c r="AD33" s="70">
        <v>4.5814858490566044</v>
      </c>
      <c r="AE33" s="70">
        <v>8.3777417452830161</v>
      </c>
      <c r="AF33" s="62">
        <f t="shared" si="17"/>
        <v>777.0200000000001</v>
      </c>
      <c r="AG33" s="63">
        <f t="shared" si="18"/>
        <v>1420.8649999999993</v>
      </c>
      <c r="AH33" s="141">
        <v>2863</v>
      </c>
      <c r="AI33" s="138">
        <v>4.53</v>
      </c>
      <c r="AJ33" s="138">
        <v>8.35</v>
      </c>
      <c r="AK33" s="62">
        <f t="shared" si="19"/>
        <v>129.69390000000001</v>
      </c>
      <c r="AL33" s="72">
        <f t="shared" si="20"/>
        <v>239.06049999999996</v>
      </c>
      <c r="AM33" s="81">
        <f t="shared" si="21"/>
        <v>50.928000000003522</v>
      </c>
      <c r="AN33" s="80">
        <f t="shared" si="22"/>
        <v>-6.8551694999996755</v>
      </c>
      <c r="AO33" s="80">
        <f t="shared" si="23"/>
        <v>-0.40220149999905175</v>
      </c>
      <c r="AP33" s="114">
        <f t="shared" si="24"/>
        <v>-4.0017118113826545E-3</v>
      </c>
      <c r="AQ33" s="115">
        <f t="shared" si="12"/>
        <v>-3414.5878246606826</v>
      </c>
      <c r="AR33" s="90">
        <f t="shared" si="31"/>
        <v>0.92800000000352156</v>
      </c>
    </row>
    <row r="34" spans="1:49" ht="15.75" x14ac:dyDescent="0.25">
      <c r="A34" t="str">
        <f t="shared" si="13"/>
        <v>46219M</v>
      </c>
      <c r="B34" s="51">
        <f t="shared" si="26"/>
        <v>46219</v>
      </c>
      <c r="C34" s="99" t="s">
        <v>87</v>
      </c>
      <c r="D34" s="91">
        <v>2863</v>
      </c>
      <c r="E34" s="62">
        <v>4.53</v>
      </c>
      <c r="F34" s="62">
        <v>8.35</v>
      </c>
      <c r="G34" s="62">
        <f t="shared" si="29"/>
        <v>129.69390000000001</v>
      </c>
      <c r="H34" s="72">
        <f t="shared" si="30"/>
        <v>239.06049999999996</v>
      </c>
      <c r="I34" s="120">
        <v>3711.25</v>
      </c>
      <c r="J34" s="120">
        <v>3822.5875000000001</v>
      </c>
      <c r="K34" s="120">
        <v>4.871516335466489</v>
      </c>
      <c r="L34" s="120">
        <v>8.432181879420682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3822.5875000000001</v>
      </c>
      <c r="S34" s="62">
        <f t="shared" si="15"/>
        <v>186.21797450000005</v>
      </c>
      <c r="T34" s="63">
        <f t="shared" si="16"/>
        <v>322.32753050000008</v>
      </c>
      <c r="U34" s="64" t="s">
        <v>167</v>
      </c>
      <c r="V34" s="65" t="s">
        <v>167</v>
      </c>
      <c r="W34" s="104">
        <v>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141">
        <v>6684</v>
      </c>
      <c r="AI34" s="138">
        <v>4.72</v>
      </c>
      <c r="AJ34" s="138">
        <v>8.39</v>
      </c>
      <c r="AK34" s="62">
        <f t="shared" si="19"/>
        <v>315.48480000000001</v>
      </c>
      <c r="AL34" s="72">
        <f t="shared" si="20"/>
        <v>560.7876</v>
      </c>
      <c r="AM34" s="81">
        <f t="shared" si="21"/>
        <v>1.5874999999996362</v>
      </c>
      <c r="AN34" s="80">
        <f t="shared" si="22"/>
        <v>0.4270745000000602</v>
      </c>
      <c r="AO34" s="80">
        <f t="shared" si="23"/>
        <v>0.60043050000001585</v>
      </c>
      <c r="AP34" s="114">
        <f t="shared" si="24"/>
        <v>2.0204779904604126E-3</v>
      </c>
      <c r="AQ34" s="115">
        <f t="shared" si="12"/>
        <v>385.04678640933662</v>
      </c>
      <c r="AR34" s="90">
        <f t="shared" si="31"/>
        <v>1.5874999999996362</v>
      </c>
    </row>
    <row r="35" spans="1:49" ht="15.75" x14ac:dyDescent="0.25">
      <c r="A35" t="str">
        <f t="shared" si="13"/>
        <v>46219E</v>
      </c>
      <c r="B35" s="51">
        <f t="shared" si="26"/>
        <v>46219</v>
      </c>
      <c r="C35" s="99" t="s">
        <v>88</v>
      </c>
      <c r="D35" s="91">
        <v>6684</v>
      </c>
      <c r="E35" s="62">
        <v>4.72</v>
      </c>
      <c r="F35" s="62">
        <v>8.39</v>
      </c>
      <c r="G35" s="62">
        <f t="shared" si="29"/>
        <v>315.48480000000001</v>
      </c>
      <c r="H35" s="72">
        <f t="shared" si="30"/>
        <v>560.7876</v>
      </c>
      <c r="I35" s="120">
        <v>19296.700000000004</v>
      </c>
      <c r="J35" s="120">
        <v>19875.601000000006</v>
      </c>
      <c r="K35" s="120">
        <v>4.3472394243575341</v>
      </c>
      <c r="L35" s="120">
        <v>8.338544932553237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19875.601000000006</v>
      </c>
      <c r="S35" s="62">
        <f t="shared" si="15"/>
        <v>864.03996250000046</v>
      </c>
      <c r="T35" s="63">
        <f t="shared" si="16"/>
        <v>1657.3359200000009</v>
      </c>
      <c r="U35" s="64" t="s">
        <v>584</v>
      </c>
      <c r="V35" s="65" t="s">
        <v>585</v>
      </c>
      <c r="W35" s="104" t="s">
        <v>184</v>
      </c>
      <c r="X35" s="67">
        <v>22300</v>
      </c>
      <c r="Y35" s="68">
        <v>4.6000000000000005</v>
      </c>
      <c r="Z35" s="68">
        <v>8.49</v>
      </c>
      <c r="AA35" s="62">
        <f t="shared" si="5"/>
        <v>1025.8000000000002</v>
      </c>
      <c r="AB35" s="63">
        <f t="shared" si="6"/>
        <v>1893.27</v>
      </c>
      <c r="AC35" s="69">
        <v>22180</v>
      </c>
      <c r="AD35" s="70">
        <v>4.4575743913435524</v>
      </c>
      <c r="AE35" s="70">
        <v>8.4053246167718658</v>
      </c>
      <c r="AF35" s="62">
        <f t="shared" si="17"/>
        <v>988.68999999999994</v>
      </c>
      <c r="AG35" s="63">
        <f t="shared" si="18"/>
        <v>1864.3009999999997</v>
      </c>
      <c r="AH35" s="141">
        <v>4480</v>
      </c>
      <c r="AI35" s="138">
        <v>4.45</v>
      </c>
      <c r="AJ35" s="138">
        <v>8.36</v>
      </c>
      <c r="AK35" s="62">
        <f t="shared" si="19"/>
        <v>199.36</v>
      </c>
      <c r="AL35" s="72">
        <f t="shared" si="20"/>
        <v>374.52799999999996</v>
      </c>
      <c r="AM35" s="81">
        <f t="shared" si="21"/>
        <v>-100.39899999999398</v>
      </c>
      <c r="AN35" s="80">
        <f t="shared" si="22"/>
        <v>-8.5252374999995482</v>
      </c>
      <c r="AO35" s="80">
        <f t="shared" si="23"/>
        <v>-20.705479999998659</v>
      </c>
      <c r="AP35" s="114">
        <f t="shared" si="24"/>
        <v>-1.1593161377832839E-2</v>
      </c>
      <c r="AQ35" s="115">
        <f t="shared" si="12"/>
        <v>-10297.76101399345</v>
      </c>
      <c r="AR35" s="90">
        <f t="shared" si="31"/>
        <v>-220.39899999999398</v>
      </c>
      <c r="AS35" s="90">
        <f>SUM(J22:J35)</f>
        <v>113454.03650000002</v>
      </c>
      <c r="AT35" s="83">
        <f>SUM(AM22:AM35)</f>
        <v>314.03650000001653</v>
      </c>
      <c r="AU35" s="83">
        <f>SUM(AN22:AN35)</f>
        <v>5.6872950000004039</v>
      </c>
      <c r="AV35" s="83">
        <f>SUM(AO22:AO35)</f>
        <v>-1.7504099999977036</v>
      </c>
      <c r="AW35" s="83">
        <f>-SUM(AQ22:AQ35)</f>
        <v>-2208.6981366690779</v>
      </c>
    </row>
    <row r="36" spans="1:49" ht="15.75" x14ac:dyDescent="0.25">
      <c r="A36" t="str">
        <f t="shared" si="13"/>
        <v>46220M</v>
      </c>
      <c r="B36" s="51">
        <f t="shared" si="26"/>
        <v>46220</v>
      </c>
      <c r="C36" s="99" t="s">
        <v>87</v>
      </c>
      <c r="D36" s="91">
        <v>4480</v>
      </c>
      <c r="E36" s="62">
        <v>4.45</v>
      </c>
      <c r="F36" s="62">
        <v>8.36</v>
      </c>
      <c r="G36" s="62">
        <f t="shared" si="29"/>
        <v>199.36</v>
      </c>
      <c r="H36" s="72">
        <f t="shared" si="30"/>
        <v>374.52799999999996</v>
      </c>
      <c r="I36" s="120">
        <v>4469.3999999999996</v>
      </c>
      <c r="J36" s="120">
        <v>4603.482</v>
      </c>
      <c r="K36" s="120">
        <v>4.6451011321430169</v>
      </c>
      <c r="L36" s="120">
        <v>8.3779411106636257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4603.482</v>
      </c>
      <c r="S36" s="62">
        <f t="shared" si="15"/>
        <v>213.83639449999998</v>
      </c>
      <c r="T36" s="63">
        <f t="shared" si="16"/>
        <v>385.67701100000005</v>
      </c>
      <c r="U36" s="64" t="s">
        <v>180</v>
      </c>
      <c r="V36" s="85" t="s">
        <v>167</v>
      </c>
      <c r="W36" s="104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141">
        <v>9082</v>
      </c>
      <c r="AI36" s="138">
        <v>4.54</v>
      </c>
      <c r="AJ36" s="138">
        <v>8.3699999999999992</v>
      </c>
      <c r="AK36" s="62">
        <f t="shared" si="19"/>
        <v>412.32280000000003</v>
      </c>
      <c r="AL36" s="72">
        <f t="shared" si="20"/>
        <v>760.16340000000002</v>
      </c>
      <c r="AM36" s="81">
        <f t="shared" si="21"/>
        <v>1.4819999999999709</v>
      </c>
      <c r="AN36" s="80">
        <f t="shared" si="22"/>
        <v>0.87359449999996741</v>
      </c>
      <c r="AO36" s="80">
        <f t="shared" si="23"/>
        <v>4.1610999999988962E-2</v>
      </c>
      <c r="AP36" s="114">
        <f t="shared" si="24"/>
        <v>1.5265805428265045E-3</v>
      </c>
      <c r="AQ36" s="115">
        <f t="shared" si="12"/>
        <v>432.25271368603251</v>
      </c>
      <c r="AR36" s="90">
        <f t="shared" ref="AR36:AR43" si="32">(D36+J36+O36)-(X36+AH36)</f>
        <v>1.4819999999999709</v>
      </c>
    </row>
    <row r="37" spans="1:49" ht="15.75" x14ac:dyDescent="0.25">
      <c r="A37" t="str">
        <f t="shared" si="13"/>
        <v>46220E</v>
      </c>
      <c r="B37" s="51">
        <f t="shared" si="26"/>
        <v>46220</v>
      </c>
      <c r="C37" s="99" t="s">
        <v>88</v>
      </c>
      <c r="D37" s="91">
        <v>9082</v>
      </c>
      <c r="E37" s="62">
        <v>4.54</v>
      </c>
      <c r="F37" s="62">
        <v>8.3699999999999992</v>
      </c>
      <c r="G37" s="62">
        <f t="shared" si="29"/>
        <v>412.32280000000003</v>
      </c>
      <c r="H37" s="72">
        <f t="shared" si="30"/>
        <v>760.16340000000002</v>
      </c>
      <c r="I37" s="120">
        <v>6186.1500000000024</v>
      </c>
      <c r="J37" s="120">
        <v>6371.7345000000023</v>
      </c>
      <c r="K37" s="120">
        <v>4.5137727019228446</v>
      </c>
      <c r="L37" s="120">
        <v>8.4257122766179346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6371.7345000000023</v>
      </c>
      <c r="S37" s="62">
        <f t="shared" si="15"/>
        <v>287.60561250000018</v>
      </c>
      <c r="T37" s="63">
        <f t="shared" si="16"/>
        <v>536.86401600000056</v>
      </c>
      <c r="U37" s="64" t="s">
        <v>197</v>
      </c>
      <c r="V37" s="65" t="s">
        <v>647</v>
      </c>
      <c r="W37" s="66" t="s">
        <v>184</v>
      </c>
      <c r="X37" s="67">
        <v>9200</v>
      </c>
      <c r="Y37" s="68">
        <v>4.8</v>
      </c>
      <c r="Z37" s="68">
        <v>8.49</v>
      </c>
      <c r="AA37" s="62">
        <f t="shared" si="5"/>
        <v>441.6</v>
      </c>
      <c r="AB37" s="63">
        <f t="shared" si="6"/>
        <v>781.08</v>
      </c>
      <c r="AC37" s="69">
        <v>9120</v>
      </c>
      <c r="AD37" s="70">
        <v>4.75</v>
      </c>
      <c r="AE37" s="70">
        <v>8.36</v>
      </c>
      <c r="AF37" s="62">
        <f t="shared" si="17"/>
        <v>433.2</v>
      </c>
      <c r="AG37" s="63">
        <f t="shared" si="18"/>
        <v>762.4319999999999</v>
      </c>
      <c r="AH37" s="141">
        <v>6252</v>
      </c>
      <c r="AI37" s="138">
        <v>4.53</v>
      </c>
      <c r="AJ37" s="138">
        <v>8.39</v>
      </c>
      <c r="AK37" s="62">
        <f t="shared" si="19"/>
        <v>283.21559999999999</v>
      </c>
      <c r="AL37" s="72">
        <f t="shared" si="20"/>
        <v>524.54280000000006</v>
      </c>
      <c r="AM37" s="81">
        <f t="shared" si="21"/>
        <v>81.734500000002299</v>
      </c>
      <c r="AN37" s="80">
        <f t="shared" si="22"/>
        <v>-16.487187499999834</v>
      </c>
      <c r="AO37" s="80">
        <f t="shared" si="23"/>
        <v>10.052616000000626</v>
      </c>
      <c r="AP37" s="114">
        <f t="shared" si="24"/>
        <v>-7.8044979191118904E-3</v>
      </c>
      <c r="AQ37" s="115">
        <f t="shared" si="12"/>
        <v>-4911.9611942967458</v>
      </c>
      <c r="AR37" s="90">
        <f t="shared" si="32"/>
        <v>1.7345000000022992</v>
      </c>
    </row>
    <row r="38" spans="1:49" ht="15.75" x14ac:dyDescent="0.25">
      <c r="A38" t="str">
        <f t="shared" si="13"/>
        <v>46221M</v>
      </c>
      <c r="B38" s="51">
        <f t="shared" si="26"/>
        <v>46221</v>
      </c>
      <c r="C38" s="99" t="s">
        <v>87</v>
      </c>
      <c r="D38" s="91">
        <v>6252</v>
      </c>
      <c r="E38" s="62">
        <v>4.53</v>
      </c>
      <c r="F38" s="62">
        <v>8.39</v>
      </c>
      <c r="G38" s="62">
        <f t="shared" si="29"/>
        <v>283.21559999999999</v>
      </c>
      <c r="H38" s="72">
        <f t="shared" si="30"/>
        <v>524.54280000000006</v>
      </c>
      <c r="I38" s="120">
        <v>5971.2999999999993</v>
      </c>
      <c r="J38" s="120">
        <v>6150.4389999999994</v>
      </c>
      <c r="K38" s="120">
        <v>4.802252440842028</v>
      </c>
      <c r="L38" s="120">
        <v>8.3889622025354544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6150.4389999999994</v>
      </c>
      <c r="S38" s="62">
        <f t="shared" si="15"/>
        <v>295.35960699999998</v>
      </c>
      <c r="T38" s="63">
        <f t="shared" si="16"/>
        <v>515.95800299999951</v>
      </c>
      <c r="U38" s="64" t="s">
        <v>198</v>
      </c>
      <c r="V38" s="65" t="s">
        <v>648</v>
      </c>
      <c r="W38" s="138" t="s">
        <v>184</v>
      </c>
      <c r="X38" s="67">
        <v>7200</v>
      </c>
      <c r="Y38" s="68">
        <v>4.7</v>
      </c>
      <c r="Z38" s="68">
        <v>8.6</v>
      </c>
      <c r="AA38" s="62">
        <f t="shared" si="5"/>
        <v>338.4</v>
      </c>
      <c r="AB38" s="63">
        <f t="shared" si="6"/>
        <v>619.19999999999993</v>
      </c>
      <c r="AC38" s="69">
        <v>7190</v>
      </c>
      <c r="AD38" s="70">
        <v>4.6500000000000004</v>
      </c>
      <c r="AE38" s="70">
        <v>8.59</v>
      </c>
      <c r="AF38" s="62">
        <f t="shared" si="17"/>
        <v>334.33500000000004</v>
      </c>
      <c r="AG38" s="63">
        <f t="shared" si="18"/>
        <v>617.62099999999998</v>
      </c>
      <c r="AH38" s="141">
        <v>5201</v>
      </c>
      <c r="AI38" s="138">
        <v>4.66</v>
      </c>
      <c r="AJ38" s="138">
        <v>8.39</v>
      </c>
      <c r="AK38" s="62">
        <f t="shared" si="19"/>
        <v>242.36660000000001</v>
      </c>
      <c r="AL38" s="72">
        <f t="shared" si="20"/>
        <v>436.3639</v>
      </c>
      <c r="AM38" s="81">
        <f t="shared" si="21"/>
        <v>11.438999999998487</v>
      </c>
      <c r="AN38" s="80">
        <f t="shared" si="22"/>
        <v>1.8736069999999359</v>
      </c>
      <c r="AO38" s="80">
        <f t="shared" si="23"/>
        <v>-13.484097000000531</v>
      </c>
      <c r="AP38" s="114">
        <f t="shared" si="24"/>
        <v>-1.4310659422270647E-2</v>
      </c>
      <c r="AQ38" s="115">
        <f t="shared" si="12"/>
        <v>-3138.0378664668397</v>
      </c>
      <c r="AR38" s="90">
        <f t="shared" si="32"/>
        <v>1.4389999999984866</v>
      </c>
    </row>
    <row r="39" spans="1:49" ht="15.75" x14ac:dyDescent="0.25">
      <c r="A39" t="str">
        <f t="shared" si="13"/>
        <v>46221E</v>
      </c>
      <c r="B39" s="51">
        <f t="shared" si="26"/>
        <v>46221</v>
      </c>
      <c r="C39" s="99" t="s">
        <v>88</v>
      </c>
      <c r="D39" s="91">
        <v>5201</v>
      </c>
      <c r="E39" s="62">
        <v>4.66</v>
      </c>
      <c r="F39" s="62">
        <v>8.39</v>
      </c>
      <c r="G39" s="62">
        <f t="shared" si="29"/>
        <v>242.36660000000001</v>
      </c>
      <c r="H39" s="72">
        <f t="shared" si="30"/>
        <v>436.3639</v>
      </c>
      <c r="I39" s="120">
        <v>4116.3500000000013</v>
      </c>
      <c r="J39" s="120">
        <v>4239.8405000000012</v>
      </c>
      <c r="K39" s="120">
        <v>4.2094659103331846</v>
      </c>
      <c r="L39" s="120">
        <v>8.2904502775517166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4239.8405000000012</v>
      </c>
      <c r="S39" s="62">
        <f t="shared" si="15"/>
        <v>178.47464050000011</v>
      </c>
      <c r="T39" s="63">
        <f t="shared" si="16"/>
        <v>351.50186850000017</v>
      </c>
      <c r="U39" s="64" t="s">
        <v>167</v>
      </c>
      <c r="V39" s="65" t="s">
        <v>167</v>
      </c>
      <c r="W39" s="138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141">
        <v>9440</v>
      </c>
      <c r="AI39" s="138">
        <v>4.45</v>
      </c>
      <c r="AJ39" s="138">
        <v>8.34</v>
      </c>
      <c r="AK39" s="62">
        <f t="shared" si="19"/>
        <v>420.08000000000004</v>
      </c>
      <c r="AL39" s="72">
        <f t="shared" si="20"/>
        <v>787.29600000000005</v>
      </c>
      <c r="AM39" s="81">
        <f t="shared" si="21"/>
        <v>0.84050000000206637</v>
      </c>
      <c r="AN39" s="80">
        <f t="shared" si="22"/>
        <v>0.76124050000009902</v>
      </c>
      <c r="AO39" s="80">
        <f t="shared" si="23"/>
        <v>0.56976850000012291</v>
      </c>
      <c r="AP39" s="114">
        <f t="shared" si="24"/>
        <v>2.5114490499053821E-3</v>
      </c>
      <c r="AQ39" s="115">
        <f t="shared" si="12"/>
        <v>536.4414292870531</v>
      </c>
      <c r="AR39" s="90">
        <f t="shared" si="32"/>
        <v>0.84050000000206637</v>
      </c>
      <c r="AS39" s="90">
        <f>SUM(J26:J39)</f>
        <v>106464.55950000003</v>
      </c>
      <c r="AT39" s="83">
        <f>SUM(AM26:AM39)</f>
        <v>301.55950000001758</v>
      </c>
      <c r="AU39" s="83">
        <f>SUM(AN26:AN39)</f>
        <v>-12.317978499999327</v>
      </c>
      <c r="AV39" s="83">
        <f>SUM(AO26:AO39)</f>
        <v>-4.8623669999977785</v>
      </c>
      <c r="AW39" s="83">
        <f>-SUM(AQ26:AQ39)</f>
        <v>7375.4252046444544</v>
      </c>
    </row>
    <row r="40" spans="1:49" ht="15.75" x14ac:dyDescent="0.25">
      <c r="A40" t="str">
        <f t="shared" si="13"/>
        <v>46222M</v>
      </c>
      <c r="B40" s="51">
        <f t="shared" si="26"/>
        <v>46222</v>
      </c>
      <c r="C40" s="99" t="s">
        <v>87</v>
      </c>
      <c r="D40" s="91">
        <v>9440</v>
      </c>
      <c r="E40" s="62">
        <v>4.45</v>
      </c>
      <c r="F40" s="62">
        <v>8.34</v>
      </c>
      <c r="G40" s="62">
        <f t="shared" si="29"/>
        <v>420.08000000000004</v>
      </c>
      <c r="H40" s="72">
        <f t="shared" si="30"/>
        <v>787.29600000000005</v>
      </c>
      <c r="I40" s="120">
        <v>9407.7500000000018</v>
      </c>
      <c r="J40" s="120">
        <v>9689.9825000000019</v>
      </c>
      <c r="K40" s="120">
        <v>4.55324918285456</v>
      </c>
      <c r="L40" s="120">
        <v>8.3728404772660809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9689.9825000000019</v>
      </c>
      <c r="S40" s="62">
        <f t="shared" si="15"/>
        <v>441.20904899999999</v>
      </c>
      <c r="T40" s="63">
        <f t="shared" si="16"/>
        <v>811.32677699999977</v>
      </c>
      <c r="U40" s="64" t="s">
        <v>582</v>
      </c>
      <c r="V40" s="65" t="s">
        <v>649</v>
      </c>
      <c r="W40" s="104" t="s">
        <v>184</v>
      </c>
      <c r="X40" s="67">
        <v>17010</v>
      </c>
      <c r="Y40" s="68">
        <v>4.72</v>
      </c>
      <c r="Z40" s="68">
        <v>8.5500000000000007</v>
      </c>
      <c r="AA40" s="62">
        <f t="shared" si="5"/>
        <v>802.87199999999996</v>
      </c>
      <c r="AB40" s="63">
        <f t="shared" si="6"/>
        <v>1454.355</v>
      </c>
      <c r="AC40" s="69">
        <v>16870</v>
      </c>
      <c r="AD40" s="70">
        <v>4.5292531120331958</v>
      </c>
      <c r="AE40" s="70">
        <v>8.3848488441019562</v>
      </c>
      <c r="AF40" s="62">
        <f t="shared" si="17"/>
        <v>764.08500000000015</v>
      </c>
      <c r="AG40" s="63">
        <f t="shared" si="18"/>
        <v>1414.5240000000001</v>
      </c>
      <c r="AH40" s="141">
        <v>2119</v>
      </c>
      <c r="AI40" s="138">
        <v>4.5</v>
      </c>
      <c r="AJ40" s="138">
        <v>8.35</v>
      </c>
      <c r="AK40" s="62">
        <f t="shared" si="19"/>
        <v>95.35499999999999</v>
      </c>
      <c r="AL40" s="72">
        <f t="shared" si="20"/>
        <v>176.93649999999997</v>
      </c>
      <c r="AM40" s="81">
        <f t="shared" si="21"/>
        <v>140.98250000000189</v>
      </c>
      <c r="AN40" s="80">
        <f t="shared" si="22"/>
        <v>1.8490489999998374</v>
      </c>
      <c r="AO40" s="80">
        <f t="shared" si="23"/>
        <v>7.1622769999997331</v>
      </c>
      <c r="AP40" s="114">
        <f t="shared" si="24"/>
        <v>7.1944656695189582E-3</v>
      </c>
      <c r="AQ40" s="115">
        <f t="shared" si="12"/>
        <v>3033.566423685555</v>
      </c>
      <c r="AR40" s="90">
        <f t="shared" si="32"/>
        <v>0.98250000000189175</v>
      </c>
    </row>
    <row r="41" spans="1:49" ht="15.75" x14ac:dyDescent="0.25">
      <c r="A41" t="str">
        <f t="shared" si="13"/>
        <v>46222E</v>
      </c>
      <c r="B41" s="51">
        <f t="shared" si="26"/>
        <v>46222</v>
      </c>
      <c r="C41" s="99" t="s">
        <v>88</v>
      </c>
      <c r="D41" s="91">
        <v>2119</v>
      </c>
      <c r="E41" s="62">
        <v>4.5</v>
      </c>
      <c r="F41" s="62">
        <v>8.35</v>
      </c>
      <c r="G41" s="62">
        <f t="shared" si="29"/>
        <v>95.35499999999999</v>
      </c>
      <c r="H41" s="72">
        <f t="shared" si="30"/>
        <v>176.93649999999997</v>
      </c>
      <c r="I41" s="120">
        <v>3814.6999999999989</v>
      </c>
      <c r="J41" s="120">
        <v>3929.1409999999992</v>
      </c>
      <c r="K41" s="120">
        <v>4.2407371483996155</v>
      </c>
      <c r="L41" s="120">
        <v>8.3340498597530619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3929.1409999999992</v>
      </c>
      <c r="S41" s="62">
        <f t="shared" si="15"/>
        <v>166.6245420000001</v>
      </c>
      <c r="T41" s="63">
        <f t="shared" si="16"/>
        <v>327.45657</v>
      </c>
      <c r="U41" s="64" t="s">
        <v>167</v>
      </c>
      <c r="V41" s="65" t="s">
        <v>167</v>
      </c>
      <c r="W41" s="138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141">
        <v>6047</v>
      </c>
      <c r="AI41" s="138">
        <v>4.33</v>
      </c>
      <c r="AJ41" s="138">
        <v>8.34</v>
      </c>
      <c r="AK41" s="62">
        <f t="shared" si="19"/>
        <v>261.83510000000001</v>
      </c>
      <c r="AL41" s="72">
        <f t="shared" si="20"/>
        <v>504.31979999999999</v>
      </c>
      <c r="AM41" s="81">
        <f t="shared" si="21"/>
        <v>1.1409999999996217</v>
      </c>
      <c r="AN41" s="80">
        <f t="shared" si="22"/>
        <v>0.14444200000008323</v>
      </c>
      <c r="AO41" s="80">
        <f t="shared" si="23"/>
        <v>7.3269999999979518E-2</v>
      </c>
      <c r="AP41" s="114">
        <f t="shared" si="24"/>
        <v>4.4064019998413278E-4</v>
      </c>
      <c r="AQ41" s="115">
        <f t="shared" si="12"/>
        <v>91.352794783862848</v>
      </c>
      <c r="AR41" s="90">
        <f t="shared" si="32"/>
        <v>1.1409999999996217</v>
      </c>
      <c r="AS41" s="90">
        <f>SUM(J28:J41)</f>
        <v>108929.60700000003</v>
      </c>
      <c r="AT41" s="83">
        <f>SUM(AM28:AM41)</f>
        <v>349.60700000001998</v>
      </c>
      <c r="AU41" s="83">
        <f>SUM(AN28:AN41)</f>
        <v>-8.9563619999995865</v>
      </c>
      <c r="AV41" s="83">
        <f>SUM(AO28:AO41)</f>
        <v>-5.6780289999982649</v>
      </c>
      <c r="AW41" s="83">
        <f>-SUM(AQ28:AQ41)</f>
        <v>6004.3425753532956</v>
      </c>
    </row>
    <row r="42" spans="1:49" ht="15.75" x14ac:dyDescent="0.25">
      <c r="A42" t="str">
        <f t="shared" si="13"/>
        <v>46223M</v>
      </c>
      <c r="B42" s="51">
        <f t="shared" si="26"/>
        <v>46223</v>
      </c>
      <c r="C42" s="99" t="s">
        <v>87</v>
      </c>
      <c r="D42" s="91">
        <v>6047</v>
      </c>
      <c r="E42" s="62">
        <v>4.33</v>
      </c>
      <c r="F42" s="62">
        <v>8.34</v>
      </c>
      <c r="G42" s="62">
        <f t="shared" si="29"/>
        <v>261.83510000000001</v>
      </c>
      <c r="H42" s="72">
        <f t="shared" si="30"/>
        <v>504.31979999999999</v>
      </c>
      <c r="I42" s="120">
        <v>5065.75</v>
      </c>
      <c r="J42" s="120">
        <v>5217.7224999999999</v>
      </c>
      <c r="K42" s="120">
        <v>4.577785125598381</v>
      </c>
      <c r="L42" s="120">
        <v>8.4173409662932457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5217.7224999999999</v>
      </c>
      <c r="S42" s="62">
        <f t="shared" si="15"/>
        <v>238.85612449999999</v>
      </c>
      <c r="T42" s="63">
        <f t="shared" si="16"/>
        <v>439.1934935000001</v>
      </c>
      <c r="U42" s="64" t="s">
        <v>199</v>
      </c>
      <c r="V42" s="65" t="s">
        <v>771</v>
      </c>
      <c r="W42" s="66" t="s">
        <v>184</v>
      </c>
      <c r="X42" s="67">
        <v>9810</v>
      </c>
      <c r="Y42" s="68">
        <v>4.5</v>
      </c>
      <c r="Z42" s="68">
        <v>8.5600000000000023</v>
      </c>
      <c r="AA42" s="62">
        <f t="shared" si="5"/>
        <v>441.45</v>
      </c>
      <c r="AB42" s="63">
        <f t="shared" si="6"/>
        <v>839.73600000000022</v>
      </c>
      <c r="AC42" s="69">
        <v>9730</v>
      </c>
      <c r="AD42" s="70">
        <v>4.5</v>
      </c>
      <c r="AE42" s="70">
        <v>8.31</v>
      </c>
      <c r="AF42" s="62">
        <f t="shared" si="17"/>
        <v>437.84999999999997</v>
      </c>
      <c r="AG42" s="63">
        <f t="shared" si="18"/>
        <v>808.5630000000001</v>
      </c>
      <c r="AH42" s="141">
        <v>1453</v>
      </c>
      <c r="AI42" s="138">
        <v>4.4400000000000004</v>
      </c>
      <c r="AJ42" s="138">
        <v>8.3699999999999992</v>
      </c>
      <c r="AK42" s="62">
        <f t="shared" si="19"/>
        <v>64.513199999999998</v>
      </c>
      <c r="AL42" s="72">
        <f t="shared" si="20"/>
        <v>121.61609999999999</v>
      </c>
      <c r="AM42" s="81">
        <f t="shared" si="21"/>
        <v>81.722499999999854</v>
      </c>
      <c r="AN42" s="80">
        <f t="shared" si="22"/>
        <v>-1.6719754999999878</v>
      </c>
      <c r="AO42" s="80">
        <f t="shared" si="23"/>
        <v>13.334193500000055</v>
      </c>
      <c r="AP42" s="114">
        <f t="shared" si="24"/>
        <v>1.7199652784112424E-2</v>
      </c>
      <c r="AQ42" s="115">
        <f t="shared" si="12"/>
        <v>3190.0336008688578</v>
      </c>
      <c r="AR42" s="90">
        <f t="shared" si="32"/>
        <v>1.7224999999998545</v>
      </c>
    </row>
    <row r="43" spans="1:49" ht="15.75" x14ac:dyDescent="0.25">
      <c r="A43" t="str">
        <f t="shared" si="13"/>
        <v>46223E</v>
      </c>
      <c r="B43" s="51">
        <f t="shared" si="26"/>
        <v>46223</v>
      </c>
      <c r="C43" s="99" t="s">
        <v>88</v>
      </c>
      <c r="D43" s="91">
        <v>1453</v>
      </c>
      <c r="E43" s="62">
        <v>4.4400000000000004</v>
      </c>
      <c r="F43" s="62">
        <v>8.3699999999999992</v>
      </c>
      <c r="G43" s="62">
        <f t="shared" si="29"/>
        <v>64.513199999999998</v>
      </c>
      <c r="H43" s="72">
        <f t="shared" si="30"/>
        <v>121.61609999999999</v>
      </c>
      <c r="I43" s="120">
        <v>8005.35</v>
      </c>
      <c r="J43" s="120">
        <v>8245.5105000000003</v>
      </c>
      <c r="K43" s="120">
        <v>4.7416059260369643</v>
      </c>
      <c r="L43" s="120">
        <v>8.3750448137807805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8245.5105000000003</v>
      </c>
      <c r="S43" s="62">
        <f t="shared" si="15"/>
        <v>390.96961450000015</v>
      </c>
      <c r="T43" s="63">
        <f t="shared" si="16"/>
        <v>690.56519949999972</v>
      </c>
      <c r="U43" s="64" t="s">
        <v>198</v>
      </c>
      <c r="V43" s="65" t="s">
        <v>772</v>
      </c>
      <c r="W43" s="138" t="s">
        <v>184</v>
      </c>
      <c r="X43" s="67">
        <v>7200</v>
      </c>
      <c r="Y43" s="68">
        <v>4.9000000000000004</v>
      </c>
      <c r="Z43" s="68">
        <v>8.64</v>
      </c>
      <c r="AA43" s="62">
        <f t="shared" si="5"/>
        <v>352.8</v>
      </c>
      <c r="AB43" s="63">
        <f t="shared" si="6"/>
        <v>622.08000000000004</v>
      </c>
      <c r="AC43" s="69">
        <v>7180</v>
      </c>
      <c r="AD43" s="70">
        <v>4.8513927576601681</v>
      </c>
      <c r="AE43" s="70">
        <v>8.380278551532033</v>
      </c>
      <c r="AF43" s="62">
        <f t="shared" si="17"/>
        <v>348.3300000000001</v>
      </c>
      <c r="AG43" s="63">
        <f t="shared" si="18"/>
        <v>601.70399999999995</v>
      </c>
      <c r="AH43" s="141">
        <v>2498</v>
      </c>
      <c r="AI43" s="138">
        <v>4.6900000000000004</v>
      </c>
      <c r="AJ43" s="138">
        <v>8.3800000000000008</v>
      </c>
      <c r="AK43" s="62">
        <f t="shared" si="19"/>
        <v>117.15620000000001</v>
      </c>
      <c r="AL43" s="72">
        <f t="shared" si="20"/>
        <v>209.33240000000004</v>
      </c>
      <c r="AM43" s="81">
        <f t="shared" si="21"/>
        <v>20.51050000000032</v>
      </c>
      <c r="AN43" s="80">
        <f t="shared" si="22"/>
        <v>-10.003385499999979</v>
      </c>
      <c r="AO43" s="80">
        <f t="shared" si="23"/>
        <v>1.1448994999996955</v>
      </c>
      <c r="AP43" s="114">
        <f t="shared" si="24"/>
        <v>-8.1906619050362665E-3</v>
      </c>
      <c r="AQ43" s="115">
        <f t="shared" si="12"/>
        <v>-4464.065099422899</v>
      </c>
      <c r="AR43" s="90">
        <f t="shared" si="32"/>
        <v>0.51050000000032014</v>
      </c>
    </row>
    <row r="44" spans="1:49" ht="15.75" x14ac:dyDescent="0.25">
      <c r="A44" t="str">
        <f t="shared" si="13"/>
        <v>46224M</v>
      </c>
      <c r="B44" s="51">
        <f t="shared" si="26"/>
        <v>46224</v>
      </c>
      <c r="C44" s="99" t="s">
        <v>87</v>
      </c>
      <c r="D44" s="91">
        <v>2498</v>
      </c>
      <c r="E44" s="62">
        <v>4.6900000000000004</v>
      </c>
      <c r="F44" s="62">
        <v>8.3800000000000008</v>
      </c>
      <c r="G44" s="62">
        <f t="shared" si="29"/>
        <v>117.15620000000001</v>
      </c>
      <c r="H44" s="72">
        <f t="shared" si="30"/>
        <v>209.33240000000004</v>
      </c>
      <c r="I44" s="120">
        <v>6738.95</v>
      </c>
      <c r="J44" s="120">
        <v>6941.1184999999996</v>
      </c>
      <c r="K44" s="120">
        <v>4.1560717915995804</v>
      </c>
      <c r="L44" s="120">
        <v>8.3620415643386572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6941.1184999999996</v>
      </c>
      <c r="S44" s="62">
        <f t="shared" si="15"/>
        <v>288.47786799999989</v>
      </c>
      <c r="T44" s="63">
        <f t="shared" si="16"/>
        <v>580.4192139999999</v>
      </c>
      <c r="U44" s="64" t="s">
        <v>199</v>
      </c>
      <c r="V44" s="65" t="s">
        <v>773</v>
      </c>
      <c r="W44" s="138" t="s">
        <v>184</v>
      </c>
      <c r="X44" s="67">
        <v>9810</v>
      </c>
      <c r="Y44" s="68">
        <v>4.2500000000000009</v>
      </c>
      <c r="Z44" s="68">
        <v>8.51</v>
      </c>
      <c r="AA44" s="62">
        <f t="shared" si="5"/>
        <v>416.92500000000013</v>
      </c>
      <c r="AB44" s="63">
        <f t="shared" si="6"/>
        <v>834.8309999999999</v>
      </c>
      <c r="AC44" s="69">
        <v>9690</v>
      </c>
      <c r="AD44" s="70">
        <v>4.2</v>
      </c>
      <c r="AE44" s="70">
        <v>8.5</v>
      </c>
      <c r="AF44" s="62">
        <f t="shared" si="17"/>
        <v>406.98</v>
      </c>
      <c r="AG44" s="63">
        <f t="shared" si="18"/>
        <v>823.65000000000009</v>
      </c>
      <c r="AH44" s="141">
        <v>0</v>
      </c>
      <c r="AI44" s="138">
        <v>0</v>
      </c>
      <c r="AJ44" s="138">
        <v>0</v>
      </c>
      <c r="AK44" s="62">
        <f t="shared" si="19"/>
        <v>0</v>
      </c>
      <c r="AL44" s="72">
        <f t="shared" si="20"/>
        <v>0</v>
      </c>
      <c r="AM44" s="81">
        <f t="shared" si="21"/>
        <v>-250.88149999999951</v>
      </c>
      <c r="AN44" s="80">
        <f t="shared" si="22"/>
        <v>-1.3459320000001185</v>
      </c>
      <c r="AO44" s="80">
        <f t="shared" si="23"/>
        <v>-33.898386000000187</v>
      </c>
      <c r="AP44" s="114">
        <f t="shared" si="24"/>
        <v>-4.056213184520778E-2</v>
      </c>
      <c r="AQ44" s="115">
        <f t="shared" si="12"/>
        <v>-10799.028957520197</v>
      </c>
      <c r="AR44" s="90">
        <f t="shared" si="28"/>
        <v>-370.88149999999951</v>
      </c>
    </row>
    <row r="45" spans="1:49" ht="15.75" x14ac:dyDescent="0.25">
      <c r="A45" t="str">
        <f t="shared" si="13"/>
        <v>46224E</v>
      </c>
      <c r="B45" s="51">
        <f t="shared" si="26"/>
        <v>46224</v>
      </c>
      <c r="C45" s="99" t="s">
        <v>88</v>
      </c>
      <c r="D45" s="91">
        <v>0</v>
      </c>
      <c r="E45" s="62">
        <v>0</v>
      </c>
      <c r="F45" s="62">
        <v>0</v>
      </c>
      <c r="G45" s="62">
        <f t="shared" si="29"/>
        <v>0</v>
      </c>
      <c r="H45" s="72">
        <f t="shared" si="30"/>
        <v>0</v>
      </c>
      <c r="I45" s="120">
        <v>3814.2000000000007</v>
      </c>
      <c r="J45" s="120">
        <v>3928.6260000000007</v>
      </c>
      <c r="K45" s="120">
        <v>4.2801465576005473</v>
      </c>
      <c r="L45" s="120">
        <v>8.3559383356929402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3928.6260000000007</v>
      </c>
      <c r="S45" s="62">
        <f t="shared" si="15"/>
        <v>168.15095050000011</v>
      </c>
      <c r="T45" s="63">
        <f t="shared" si="16"/>
        <v>328.27356600000019</v>
      </c>
      <c r="U45" s="64" t="s">
        <v>167</v>
      </c>
      <c r="V45" s="65" t="s">
        <v>167</v>
      </c>
      <c r="W45" s="138">
        <v>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141">
        <v>3927</v>
      </c>
      <c r="AI45" s="138">
        <v>4.28</v>
      </c>
      <c r="AJ45" s="138">
        <v>8.36</v>
      </c>
      <c r="AK45" s="62">
        <f t="shared" si="19"/>
        <v>168.07560000000001</v>
      </c>
      <c r="AL45" s="72">
        <f t="shared" si="20"/>
        <v>328.29719999999998</v>
      </c>
      <c r="AM45" s="81">
        <f t="shared" si="21"/>
        <v>1.6260000000006585</v>
      </c>
      <c r="AN45" s="80">
        <f t="shared" si="22"/>
        <v>7.5350500000098464E-2</v>
      </c>
      <c r="AO45" s="80">
        <f t="shared" si="23"/>
        <v>-2.3633999999788102E-2</v>
      </c>
      <c r="AP45" s="114">
        <f t="shared" si="24"/>
        <v>1.0417797324945439E-4</v>
      </c>
      <c r="AQ45" s="115">
        <f t="shared" si="12"/>
        <v>29.130195041502333</v>
      </c>
      <c r="AR45" s="90">
        <f t="shared" si="28"/>
        <v>1.6260000000006585</v>
      </c>
    </row>
    <row r="46" spans="1:49" ht="15.75" x14ac:dyDescent="0.25">
      <c r="A46" t="str">
        <f t="shared" si="13"/>
        <v>46225M</v>
      </c>
      <c r="B46" s="51">
        <f t="shared" si="26"/>
        <v>46225</v>
      </c>
      <c r="C46" s="99" t="s">
        <v>87</v>
      </c>
      <c r="D46" s="91">
        <v>3927</v>
      </c>
      <c r="E46" s="62">
        <v>4.28</v>
      </c>
      <c r="F46" s="62">
        <v>8.36</v>
      </c>
      <c r="G46" s="62">
        <f t="shared" si="29"/>
        <v>168.07560000000001</v>
      </c>
      <c r="H46" s="72">
        <f t="shared" si="30"/>
        <v>328.29719999999998</v>
      </c>
      <c r="I46" s="120">
        <v>9051.9500000000007</v>
      </c>
      <c r="J46" s="120">
        <v>9323.5085000000017</v>
      </c>
      <c r="K46" s="120">
        <v>4.4780925656902664</v>
      </c>
      <c r="L46" s="120">
        <v>8.323144184402258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9323.5085000000017</v>
      </c>
      <c r="S46" s="62">
        <f t="shared" si="15"/>
        <v>417.51534100000015</v>
      </c>
      <c r="T46" s="63">
        <f t="shared" si="16"/>
        <v>776.00905550000027</v>
      </c>
      <c r="U46" s="64" t="s">
        <v>197</v>
      </c>
      <c r="V46" s="65" t="s">
        <v>774</v>
      </c>
      <c r="W46" s="138" t="s">
        <v>184</v>
      </c>
      <c r="X46" s="67">
        <v>9200</v>
      </c>
      <c r="Y46" s="68">
        <v>4.5</v>
      </c>
      <c r="Z46" s="68">
        <v>8.56</v>
      </c>
      <c r="AA46" s="62">
        <f t="shared" si="5"/>
        <v>414</v>
      </c>
      <c r="AB46" s="63">
        <f t="shared" si="6"/>
        <v>787.5200000000001</v>
      </c>
      <c r="AC46" s="69">
        <v>9170</v>
      </c>
      <c r="AD46" s="70">
        <v>4.45</v>
      </c>
      <c r="AE46" s="70">
        <v>8.42</v>
      </c>
      <c r="AF46" s="62">
        <f t="shared" si="17"/>
        <v>408.06500000000005</v>
      </c>
      <c r="AG46" s="63">
        <f t="shared" si="18"/>
        <v>772.11399999999992</v>
      </c>
      <c r="AH46" s="141">
        <v>4049</v>
      </c>
      <c r="AI46" s="138">
        <v>4.4800000000000004</v>
      </c>
      <c r="AJ46" s="138">
        <v>8.32</v>
      </c>
      <c r="AK46" s="62">
        <f t="shared" si="19"/>
        <v>181.39520000000002</v>
      </c>
      <c r="AL46" s="72">
        <f t="shared" si="20"/>
        <v>336.8768</v>
      </c>
      <c r="AM46" s="81">
        <f t="shared" si="21"/>
        <v>31.508500000001732</v>
      </c>
      <c r="AN46" s="80">
        <f t="shared" si="22"/>
        <v>-3.8692589999999143</v>
      </c>
      <c r="AO46" s="80">
        <f t="shared" si="23"/>
        <v>-4.6845444999997881</v>
      </c>
      <c r="AP46" s="114">
        <f t="shared" si="24"/>
        <v>-7.1668442849460428E-3</v>
      </c>
      <c r="AQ46" s="115">
        <f t="shared" si="12"/>
        <v>-3262.2842535911022</v>
      </c>
      <c r="AR46" s="90">
        <f t="shared" si="28"/>
        <v>1.5085000000017317</v>
      </c>
    </row>
    <row r="47" spans="1:49" ht="15.75" x14ac:dyDescent="0.25">
      <c r="A47" t="str">
        <f t="shared" si="13"/>
        <v>46225E</v>
      </c>
      <c r="B47" s="51">
        <f t="shared" si="26"/>
        <v>46225</v>
      </c>
      <c r="C47" s="99" t="s">
        <v>88</v>
      </c>
      <c r="D47" s="91">
        <v>4049</v>
      </c>
      <c r="E47" s="62">
        <v>4.4800000000000004</v>
      </c>
      <c r="F47" s="62">
        <v>8.32</v>
      </c>
      <c r="G47" s="62">
        <f t="shared" si="29"/>
        <v>181.39520000000002</v>
      </c>
      <c r="H47" s="72">
        <f t="shared" si="30"/>
        <v>336.8768</v>
      </c>
      <c r="I47" s="120">
        <v>5399.95</v>
      </c>
      <c r="J47" s="120">
        <v>5561.9484999999995</v>
      </c>
      <c r="K47" s="120">
        <v>4.3304363929295633</v>
      </c>
      <c r="L47" s="120">
        <v>8.3256363484847089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5561.9484999999995</v>
      </c>
      <c r="S47" s="62">
        <f t="shared" si="15"/>
        <v>240.85664199999994</v>
      </c>
      <c r="T47" s="63">
        <f t="shared" si="16"/>
        <v>463.06760600000001</v>
      </c>
      <c r="U47" s="64" t="s">
        <v>339</v>
      </c>
      <c r="V47" s="65" t="s">
        <v>775</v>
      </c>
      <c r="W47" s="66" t="s">
        <v>184</v>
      </c>
      <c r="X47" s="67">
        <v>5900</v>
      </c>
      <c r="Y47" s="68">
        <v>4.4000000000000004</v>
      </c>
      <c r="Z47" s="68">
        <v>8.41</v>
      </c>
      <c r="AA47" s="62">
        <f t="shared" si="5"/>
        <v>259.60000000000002</v>
      </c>
      <c r="AB47" s="63">
        <f t="shared" si="6"/>
        <v>496.19000000000005</v>
      </c>
      <c r="AC47" s="69">
        <v>5850</v>
      </c>
      <c r="AD47" s="70">
        <v>4.3499999999999996</v>
      </c>
      <c r="AE47" s="70">
        <v>8.2799999999999994</v>
      </c>
      <c r="AF47" s="62">
        <f t="shared" si="17"/>
        <v>254.47499999999999</v>
      </c>
      <c r="AG47" s="63">
        <f t="shared" si="18"/>
        <v>484.38</v>
      </c>
      <c r="AH47" s="141">
        <v>3710</v>
      </c>
      <c r="AI47" s="138">
        <v>4.4000000000000004</v>
      </c>
      <c r="AJ47" s="138">
        <v>8.33</v>
      </c>
      <c r="AK47" s="62">
        <f t="shared" si="19"/>
        <v>163.24</v>
      </c>
      <c r="AL47" s="72">
        <f t="shared" si="20"/>
        <v>309.04300000000001</v>
      </c>
      <c r="AM47" s="81">
        <f t="shared" si="21"/>
        <v>50.948499999998603</v>
      </c>
      <c r="AN47" s="80">
        <f t="shared" si="22"/>
        <v>4.5368419999999503</v>
      </c>
      <c r="AO47" s="80">
        <f t="shared" si="23"/>
        <v>6.52140600000007</v>
      </c>
      <c r="AP47" s="114">
        <f t="shared" si="24"/>
        <v>1.5709429006628028E-2</v>
      </c>
      <c r="AQ47" s="115">
        <f t="shared" si="12"/>
        <v>4133.2032791018883</v>
      </c>
      <c r="AR47" s="90">
        <f t="shared" si="28"/>
        <v>0.94849999999860302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46226M</v>
      </c>
      <c r="B48" s="51">
        <f t="shared" si="26"/>
        <v>46226</v>
      </c>
      <c r="C48" s="99" t="s">
        <v>87</v>
      </c>
      <c r="D48" s="105">
        <v>3710</v>
      </c>
      <c r="E48" s="106">
        <v>4.4000000000000004</v>
      </c>
      <c r="F48" s="106">
        <v>8.33</v>
      </c>
      <c r="G48" s="62">
        <f t="shared" ref="G48:G51" si="33">+D48*E48%</f>
        <v>163.24</v>
      </c>
      <c r="H48" s="72">
        <f t="shared" ref="H48:H51" si="34">+D48*F48%</f>
        <v>309.04300000000001</v>
      </c>
      <c r="I48" s="120">
        <v>6259.2000000000016</v>
      </c>
      <c r="J48" s="120">
        <v>6446.9760000000015</v>
      </c>
      <c r="K48" s="120">
        <v>4.9489463509713714</v>
      </c>
      <c r="L48" s="120">
        <v>8.4491165005112503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6446.9760000000015</v>
      </c>
      <c r="S48" s="62">
        <f t="shared" si="15"/>
        <v>319.05738350000013</v>
      </c>
      <c r="T48" s="63">
        <f t="shared" si="16"/>
        <v>544.71251300000029</v>
      </c>
      <c r="U48" s="102" t="s">
        <v>199</v>
      </c>
      <c r="V48" s="85" t="s">
        <v>776</v>
      </c>
      <c r="W48" s="104" t="s">
        <v>184</v>
      </c>
      <c r="X48" s="112">
        <v>9810</v>
      </c>
      <c r="Y48" s="113">
        <v>4.6000000000000005</v>
      </c>
      <c r="Z48" s="113">
        <v>8.58</v>
      </c>
      <c r="AA48" s="62">
        <f t="shared" ref="AA48:AA51" si="35">X48*Y48%</f>
        <v>451.26000000000005</v>
      </c>
      <c r="AB48" s="63">
        <f t="shared" ref="AB48:AB51" si="36">X48*Z48%</f>
        <v>841.69799999999998</v>
      </c>
      <c r="AC48" s="69">
        <v>9760</v>
      </c>
      <c r="AD48" s="70">
        <v>4.4000000000000012</v>
      </c>
      <c r="AE48" s="70">
        <v>8.41</v>
      </c>
      <c r="AF48" s="62">
        <f t="shared" si="17"/>
        <v>429.44000000000011</v>
      </c>
      <c r="AG48" s="63">
        <f t="shared" si="18"/>
        <v>820.81600000000003</v>
      </c>
      <c r="AH48" s="141">
        <v>348</v>
      </c>
      <c r="AI48" s="138">
        <v>4.75</v>
      </c>
      <c r="AJ48" s="138">
        <v>8.3699999999999992</v>
      </c>
      <c r="AK48" s="62">
        <f t="shared" si="19"/>
        <v>16.53</v>
      </c>
      <c r="AL48" s="72">
        <f t="shared" si="20"/>
        <v>29.127599999999997</v>
      </c>
      <c r="AM48" s="81">
        <f t="shared" si="21"/>
        <v>48.976000000002387</v>
      </c>
      <c r="AN48" s="80">
        <f t="shared" si="22"/>
        <v>36.327383500000025</v>
      </c>
      <c r="AO48" s="80">
        <f t="shared" si="23"/>
        <v>3.8119130000002635</v>
      </c>
      <c r="AP48" s="114">
        <f t="shared" si="24"/>
        <v>4.6469895122120949E-2</v>
      </c>
      <c r="AQ48" s="115">
        <f t="shared" si="12"/>
        <v>18598.124106138486</v>
      </c>
      <c r="AR48" s="90">
        <f t="shared" si="28"/>
        <v>-1.0239999999976135</v>
      </c>
    </row>
    <row r="49" spans="1:49" ht="15.75" x14ac:dyDescent="0.25">
      <c r="A49" t="str">
        <f t="shared" si="13"/>
        <v>46226E</v>
      </c>
      <c r="B49" s="51">
        <f t="shared" si="26"/>
        <v>46226</v>
      </c>
      <c r="C49" s="99" t="s">
        <v>88</v>
      </c>
      <c r="D49" s="105">
        <v>348</v>
      </c>
      <c r="E49" s="106">
        <v>4.75</v>
      </c>
      <c r="F49" s="106">
        <v>8.3699999999999992</v>
      </c>
      <c r="G49" s="62">
        <f t="shared" si="33"/>
        <v>16.53</v>
      </c>
      <c r="H49" s="72">
        <f t="shared" si="34"/>
        <v>29.127599999999997</v>
      </c>
      <c r="I49" s="120">
        <v>12998.849999999999</v>
      </c>
      <c r="J49" s="120">
        <v>13388.815499999999</v>
      </c>
      <c r="K49" s="120">
        <v>4.2154913703904597</v>
      </c>
      <c r="L49" s="120">
        <v>8.2628374817772325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13388.815499999999</v>
      </c>
      <c r="S49" s="62">
        <f t="shared" si="15"/>
        <v>564.40436200000022</v>
      </c>
      <c r="T49" s="63">
        <f t="shared" si="16"/>
        <v>1106.2960654999997</v>
      </c>
      <c r="U49" s="102" t="s">
        <v>198</v>
      </c>
      <c r="V49" s="103" t="s">
        <v>777</v>
      </c>
      <c r="W49" s="104" t="s">
        <v>184</v>
      </c>
      <c r="X49" s="112">
        <v>7200</v>
      </c>
      <c r="Y49" s="113">
        <v>5.05</v>
      </c>
      <c r="Z49" s="113">
        <v>8.5399999999999991</v>
      </c>
      <c r="AA49" s="62">
        <f t="shared" si="35"/>
        <v>363.59999999999997</v>
      </c>
      <c r="AB49" s="63">
        <f t="shared" si="36"/>
        <v>614.87999999999988</v>
      </c>
      <c r="AC49" s="69">
        <v>7180</v>
      </c>
      <c r="AD49" s="70">
        <v>4.8756267409470748</v>
      </c>
      <c r="AE49" s="70">
        <v>8.3851253481894172</v>
      </c>
      <c r="AF49" s="62">
        <f t="shared" si="17"/>
        <v>350.07</v>
      </c>
      <c r="AG49" s="63">
        <f t="shared" si="18"/>
        <v>602.05200000000025</v>
      </c>
      <c r="AH49" s="141">
        <v>5950</v>
      </c>
      <c r="AI49" s="138">
        <v>4.3</v>
      </c>
      <c r="AJ49" s="138">
        <v>8.36</v>
      </c>
      <c r="AK49" s="62">
        <f t="shared" si="19"/>
        <v>255.84999999999997</v>
      </c>
      <c r="AL49" s="72">
        <f t="shared" si="20"/>
        <v>497.41999999999996</v>
      </c>
      <c r="AM49" s="81">
        <f t="shared" si="21"/>
        <v>606.81549999999879</v>
      </c>
      <c r="AN49" s="80">
        <f t="shared" si="22"/>
        <v>-24.985637999999767</v>
      </c>
      <c r="AO49" s="80">
        <f t="shared" si="23"/>
        <v>35.951665499999535</v>
      </c>
      <c r="AP49" s="114">
        <f t="shared" si="24"/>
        <v>6.5637305883790879E-3</v>
      </c>
      <c r="AQ49" s="115">
        <f t="shared" si="12"/>
        <v>-1239.208495058494</v>
      </c>
      <c r="AR49" s="90">
        <f t="shared" si="28"/>
        <v>586.81549999999879</v>
      </c>
    </row>
    <row r="50" spans="1:49" ht="15.75" x14ac:dyDescent="0.25">
      <c r="A50" t="str">
        <f t="shared" si="13"/>
        <v>46227M</v>
      </c>
      <c r="B50" s="51">
        <f t="shared" si="26"/>
        <v>46227</v>
      </c>
      <c r="C50" s="99" t="s">
        <v>87</v>
      </c>
      <c r="D50" s="91">
        <v>5950</v>
      </c>
      <c r="E50" s="62">
        <v>4.3</v>
      </c>
      <c r="F50" s="62">
        <v>8.36</v>
      </c>
      <c r="G50" s="62">
        <f t="shared" si="33"/>
        <v>255.84999999999997</v>
      </c>
      <c r="H50" s="72">
        <f t="shared" si="34"/>
        <v>497.41999999999996</v>
      </c>
      <c r="I50" s="120">
        <v>6811.4000000000005</v>
      </c>
      <c r="J50" s="120">
        <v>7015.7420000000011</v>
      </c>
      <c r="K50" s="120">
        <v>4.4909585400945442</v>
      </c>
      <c r="L50" s="120">
        <v>8.3786372845523651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7015.7420000000011</v>
      </c>
      <c r="S50" s="62">
        <f t="shared" si="15"/>
        <v>315.07406449999985</v>
      </c>
      <c r="T50" s="63">
        <f t="shared" si="16"/>
        <v>587.82357499999989</v>
      </c>
      <c r="U50" s="64" t="s">
        <v>199</v>
      </c>
      <c r="V50" s="65" t="s">
        <v>865</v>
      </c>
      <c r="W50" s="66" t="s">
        <v>184</v>
      </c>
      <c r="X50" s="67">
        <v>9810</v>
      </c>
      <c r="Y50" s="68">
        <v>4.45</v>
      </c>
      <c r="Z50" s="68">
        <v>8.5500000000000007</v>
      </c>
      <c r="AA50" s="62">
        <f t="shared" si="35"/>
        <v>436.54500000000007</v>
      </c>
      <c r="AB50" s="63">
        <f t="shared" si="36"/>
        <v>838.75500000000011</v>
      </c>
      <c r="AC50" s="69">
        <v>9760</v>
      </c>
      <c r="AD50" s="70">
        <v>4.2493852459016397</v>
      </c>
      <c r="AE50" s="70">
        <v>8.3202459016393444</v>
      </c>
      <c r="AF50" s="62">
        <f t="shared" si="17"/>
        <v>414.74000000000007</v>
      </c>
      <c r="AG50" s="63">
        <f t="shared" si="18"/>
        <v>812.05600000000004</v>
      </c>
      <c r="AH50" s="141">
        <v>3154</v>
      </c>
      <c r="AI50" s="138">
        <v>4.4000000000000004</v>
      </c>
      <c r="AJ50" s="138">
        <v>8.3699999999999992</v>
      </c>
      <c r="AK50" s="62">
        <f t="shared" si="19"/>
        <v>138.77600000000001</v>
      </c>
      <c r="AL50" s="72">
        <f t="shared" si="20"/>
        <v>263.9898</v>
      </c>
      <c r="AM50" s="81">
        <f t="shared" si="21"/>
        <v>51.742000000002008</v>
      </c>
      <c r="AN50" s="80">
        <f t="shared" si="22"/>
        <v>17.408064499999682</v>
      </c>
      <c r="AO50" s="80">
        <f t="shared" si="23"/>
        <v>9.1977749999999219</v>
      </c>
      <c r="AP50" s="114">
        <f t="shared" si="24"/>
        <v>2.9467171400218962E-2</v>
      </c>
      <c r="AQ50" s="115">
        <f t="shared" si="12"/>
        <v>11119.7932917332</v>
      </c>
      <c r="AR50" s="90">
        <f t="shared" ref="AR50:AR55" si="37">(D50+J50+O50)-(X50+AH50)</f>
        <v>1.7420000000020082</v>
      </c>
    </row>
    <row r="51" spans="1:49" ht="15.75" x14ac:dyDescent="0.25">
      <c r="A51" t="str">
        <f t="shared" si="13"/>
        <v>46227E</v>
      </c>
      <c r="B51" s="51">
        <f t="shared" si="26"/>
        <v>46227</v>
      </c>
      <c r="C51" s="99" t="s">
        <v>88</v>
      </c>
      <c r="D51" s="91">
        <v>3154</v>
      </c>
      <c r="E51" s="62">
        <v>4.4000000000000004</v>
      </c>
      <c r="F51" s="62">
        <v>8.3699999999999992</v>
      </c>
      <c r="G51" s="62">
        <f t="shared" si="33"/>
        <v>138.77600000000001</v>
      </c>
      <c r="H51" s="72">
        <f t="shared" si="34"/>
        <v>263.9898</v>
      </c>
      <c r="I51" s="120">
        <v>4043.5000000000005</v>
      </c>
      <c r="J51" s="120">
        <v>4164.8050000000003</v>
      </c>
      <c r="K51" s="120">
        <v>4.1878929145542223</v>
      </c>
      <c r="L51" s="120">
        <v>8.3393594658093217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4164.8050000000003</v>
      </c>
      <c r="S51" s="62">
        <f t="shared" si="15"/>
        <v>174.4175735</v>
      </c>
      <c r="T51" s="63">
        <f t="shared" si="16"/>
        <v>347.31805999999995</v>
      </c>
      <c r="U51" s="64" t="s">
        <v>180</v>
      </c>
      <c r="V51" s="85" t="s">
        <v>180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35"/>
        <v>0</v>
      </c>
      <c r="AB51" s="63">
        <f t="shared" si="3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141">
        <v>7318</v>
      </c>
      <c r="AI51" s="138">
        <v>4.28</v>
      </c>
      <c r="AJ51" s="138">
        <v>8.35</v>
      </c>
      <c r="AK51" s="62">
        <f t="shared" si="19"/>
        <v>313.21040000000005</v>
      </c>
      <c r="AL51" s="72">
        <f t="shared" si="20"/>
        <v>611.05299999999988</v>
      </c>
      <c r="AM51" s="81">
        <f t="shared" si="21"/>
        <v>0.80500000000029104</v>
      </c>
      <c r="AN51" s="80">
        <f t="shared" si="22"/>
        <v>-1.6826500000036049E-2</v>
      </c>
      <c r="AO51" s="80">
        <f t="shared" si="23"/>
        <v>0.25486000000000786</v>
      </c>
      <c r="AP51" s="114">
        <f t="shared" si="24"/>
        <v>4.5623393288887147E-4</v>
      </c>
      <c r="AQ51" s="115">
        <f t="shared" si="12"/>
        <v>68.242620213589703</v>
      </c>
      <c r="AR51" s="90">
        <f t="shared" si="37"/>
        <v>0.80500000000029104</v>
      </c>
    </row>
    <row r="52" spans="1:49" ht="15.75" x14ac:dyDescent="0.25">
      <c r="A52" t="str">
        <f t="shared" si="13"/>
        <v>46228M</v>
      </c>
      <c r="B52" s="51">
        <f t="shared" si="26"/>
        <v>46228</v>
      </c>
      <c r="C52" s="99" t="s">
        <v>87</v>
      </c>
      <c r="D52" s="91">
        <v>7318</v>
      </c>
      <c r="E52" s="62">
        <v>4.28</v>
      </c>
      <c r="F52" s="62">
        <v>8.35</v>
      </c>
      <c r="G52" s="62">
        <f t="shared" ref="G52:G65" si="38">+D52*E52%</f>
        <v>313.21040000000005</v>
      </c>
      <c r="H52" s="72">
        <f t="shared" ref="H52:H65" si="39">+D52*F52%</f>
        <v>611.05299999999988</v>
      </c>
      <c r="I52" s="120">
        <v>9388.0000000000018</v>
      </c>
      <c r="J52" s="120">
        <v>9669.6400000000012</v>
      </c>
      <c r="K52" s="120">
        <v>4.7640242863229636</v>
      </c>
      <c r="L52" s="120">
        <v>8.4701576480613454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9669.6400000000012</v>
      </c>
      <c r="S52" s="62">
        <f t="shared" si="15"/>
        <v>460.66399799999982</v>
      </c>
      <c r="T52" s="63">
        <f t="shared" si="16"/>
        <v>819.03375199999914</v>
      </c>
      <c r="U52" s="64" t="s">
        <v>198</v>
      </c>
      <c r="V52" s="65" t="s">
        <v>866</v>
      </c>
      <c r="W52" s="66" t="s">
        <v>184</v>
      </c>
      <c r="X52" s="67">
        <v>7200</v>
      </c>
      <c r="Y52" s="68">
        <v>4.9000000000000004</v>
      </c>
      <c r="Z52" s="68">
        <v>8.6400000000000023</v>
      </c>
      <c r="AA52" s="62">
        <f t="shared" ref="AA52:AA65" si="40">X52*Y52%</f>
        <v>352.8</v>
      </c>
      <c r="AB52" s="63">
        <f t="shared" ref="AB52:AB65" si="41">X52*Z52%</f>
        <v>622.08000000000015</v>
      </c>
      <c r="AC52" s="69">
        <v>7160</v>
      </c>
      <c r="AD52" s="70">
        <v>4.8486033519553082</v>
      </c>
      <c r="AE52" s="70">
        <v>8.4997206703910617</v>
      </c>
      <c r="AF52" s="62">
        <f t="shared" si="17"/>
        <v>347.16</v>
      </c>
      <c r="AG52" s="63">
        <f t="shared" si="18"/>
        <v>608.58000000000004</v>
      </c>
      <c r="AH52" s="141">
        <v>9786</v>
      </c>
      <c r="AI52" s="138">
        <v>4.55</v>
      </c>
      <c r="AJ52" s="138">
        <v>8.41</v>
      </c>
      <c r="AK52" s="62">
        <f t="shared" si="19"/>
        <v>445.26299999999998</v>
      </c>
      <c r="AL52" s="72">
        <f t="shared" si="20"/>
        <v>823.00260000000003</v>
      </c>
      <c r="AM52" s="81">
        <f t="shared" si="21"/>
        <v>41.639999999999418</v>
      </c>
      <c r="AN52" s="80">
        <f t="shared" si="22"/>
        <v>-18.548602000000074</v>
      </c>
      <c r="AO52" s="80">
        <f t="shared" si="23"/>
        <v>-1.4958480000010468</v>
      </c>
      <c r="AP52" s="114">
        <f t="shared" si="24"/>
        <v>-1.5663425211149381E-2</v>
      </c>
      <c r="AQ52" s="115">
        <f t="shared" si="12"/>
        <v>-9361.2001108928289</v>
      </c>
      <c r="AR52" s="90">
        <f t="shared" si="37"/>
        <v>1.6399999999994179</v>
      </c>
    </row>
    <row r="53" spans="1:49" ht="15.75" x14ac:dyDescent="0.25">
      <c r="A53" t="str">
        <f t="shared" si="13"/>
        <v>46228E</v>
      </c>
      <c r="B53" s="51">
        <f t="shared" si="26"/>
        <v>46228</v>
      </c>
      <c r="C53" s="99" t="s">
        <v>88</v>
      </c>
      <c r="D53" s="91">
        <v>9786</v>
      </c>
      <c r="E53" s="62">
        <v>4.55</v>
      </c>
      <c r="F53" s="62">
        <v>8.41</v>
      </c>
      <c r="G53" s="62">
        <f t="shared" si="38"/>
        <v>445.26299999999998</v>
      </c>
      <c r="H53" s="72">
        <f t="shared" si="39"/>
        <v>823.00260000000003</v>
      </c>
      <c r="I53" s="120">
        <v>6330.3499999999995</v>
      </c>
      <c r="J53" s="120">
        <v>6520.2604999999994</v>
      </c>
      <c r="K53" s="120">
        <v>4.5339009691407259</v>
      </c>
      <c r="L53" s="120">
        <v>8.4071899657996809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6520.2604999999994</v>
      </c>
      <c r="S53" s="62">
        <f t="shared" si="15"/>
        <v>295.62215399999991</v>
      </c>
      <c r="T53" s="63">
        <f t="shared" si="16"/>
        <v>548.1706865000001</v>
      </c>
      <c r="U53" s="64" t="s">
        <v>199</v>
      </c>
      <c r="V53" s="65" t="s">
        <v>867</v>
      </c>
      <c r="W53" s="66" t="s">
        <v>184</v>
      </c>
      <c r="X53" s="67">
        <v>9810</v>
      </c>
      <c r="Y53" s="68">
        <v>4.4000000000000012</v>
      </c>
      <c r="Z53" s="68">
        <v>8.5400000000000009</v>
      </c>
      <c r="AA53" s="62">
        <f t="shared" si="40"/>
        <v>431.6400000000001</v>
      </c>
      <c r="AB53" s="63">
        <f t="shared" si="41"/>
        <v>837.774</v>
      </c>
      <c r="AC53" s="69">
        <v>9690</v>
      </c>
      <c r="AD53" s="70">
        <v>4.3247678018575844</v>
      </c>
      <c r="AE53" s="70">
        <v>8.3949535603715173</v>
      </c>
      <c r="AF53" s="62">
        <f t="shared" si="17"/>
        <v>419.06999999999994</v>
      </c>
      <c r="AG53" s="63">
        <f t="shared" si="18"/>
        <v>813.471</v>
      </c>
      <c r="AH53" s="141">
        <v>6495</v>
      </c>
      <c r="AI53" s="138">
        <v>4.54</v>
      </c>
      <c r="AJ53" s="138">
        <v>8.41</v>
      </c>
      <c r="AK53" s="62">
        <f t="shared" si="19"/>
        <v>294.87299999999999</v>
      </c>
      <c r="AL53" s="72">
        <f t="shared" si="20"/>
        <v>546.22950000000003</v>
      </c>
      <c r="AM53" s="81">
        <f t="shared" si="21"/>
        <v>121.26050000000032</v>
      </c>
      <c r="AN53" s="80">
        <f t="shared" si="22"/>
        <v>26.942153999999903</v>
      </c>
      <c r="AO53" s="80">
        <f t="shared" si="23"/>
        <v>11.472786500000097</v>
      </c>
      <c r="AP53" s="114">
        <f t="shared" si="24"/>
        <v>4.5526506810885888E-2</v>
      </c>
      <c r="AQ53" s="115">
        <f t="shared" si="12"/>
        <v>16382.579287953367</v>
      </c>
      <c r="AR53" s="90">
        <f t="shared" si="37"/>
        <v>1.2605000000003201</v>
      </c>
    </row>
    <row r="54" spans="1:49" ht="15.75" x14ac:dyDescent="0.25">
      <c r="A54" t="str">
        <f t="shared" si="13"/>
        <v>46229M</v>
      </c>
      <c r="B54" s="51">
        <f t="shared" si="26"/>
        <v>46229</v>
      </c>
      <c r="C54" s="99" t="s">
        <v>87</v>
      </c>
      <c r="D54" s="91">
        <v>6495</v>
      </c>
      <c r="E54" s="62">
        <v>4.54</v>
      </c>
      <c r="F54" s="62">
        <v>8.41</v>
      </c>
      <c r="G54" s="62">
        <f t="shared" si="38"/>
        <v>294.87299999999999</v>
      </c>
      <c r="H54" s="72">
        <f t="shared" si="39"/>
        <v>546.22950000000003</v>
      </c>
      <c r="I54" s="120">
        <v>3541.1000000000004</v>
      </c>
      <c r="J54" s="120">
        <v>3647.3330000000005</v>
      </c>
      <c r="K54" s="120">
        <v>4.8248496229985056</v>
      </c>
      <c r="L54" s="120">
        <v>8.4376337861116628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4"/>
        <v>3647.3330000000005</v>
      </c>
      <c r="S54" s="62">
        <f t="shared" si="15"/>
        <v>175.97833250000011</v>
      </c>
      <c r="T54" s="63">
        <f t="shared" si="16"/>
        <v>307.74860150000018</v>
      </c>
      <c r="U54" s="64" t="s">
        <v>198</v>
      </c>
      <c r="V54" s="65" t="s">
        <v>868</v>
      </c>
      <c r="W54" s="104" t="s">
        <v>184</v>
      </c>
      <c r="X54" s="67">
        <v>7200</v>
      </c>
      <c r="Y54" s="68">
        <v>4.5999999999999996</v>
      </c>
      <c r="Z54" s="68">
        <v>8.58</v>
      </c>
      <c r="AA54" s="62">
        <f t="shared" si="40"/>
        <v>331.2</v>
      </c>
      <c r="AB54" s="63">
        <f t="shared" si="41"/>
        <v>617.76</v>
      </c>
      <c r="AC54" s="69">
        <v>7180</v>
      </c>
      <c r="AD54" s="70">
        <v>4.574303621169916</v>
      </c>
      <c r="AE54" s="70">
        <v>8.4448607242339815</v>
      </c>
      <c r="AF54" s="62">
        <f t="shared" si="17"/>
        <v>328.43499999999995</v>
      </c>
      <c r="AG54" s="63">
        <f t="shared" si="18"/>
        <v>606.34099999999978</v>
      </c>
      <c r="AH54" s="141">
        <v>2941</v>
      </c>
      <c r="AI54" s="138">
        <v>4.6399999999999997</v>
      </c>
      <c r="AJ54" s="138">
        <v>8.42</v>
      </c>
      <c r="AK54" s="62">
        <f t="shared" si="19"/>
        <v>136.4624</v>
      </c>
      <c r="AL54" s="72">
        <f t="shared" si="20"/>
        <v>247.63219999999998</v>
      </c>
      <c r="AM54" s="81">
        <f t="shared" si="21"/>
        <v>21.333000000000538</v>
      </c>
      <c r="AN54" s="80">
        <f t="shared" si="22"/>
        <v>5.9539325000001782</v>
      </c>
      <c r="AO54" s="80">
        <f t="shared" si="23"/>
        <v>4.9015000004430931E-3</v>
      </c>
      <c r="AP54" s="114">
        <f t="shared" si="24"/>
        <v>1.2318590471541983E-2</v>
      </c>
      <c r="AQ54" s="115">
        <f t="shared" si="12"/>
        <v>2862.526301085969</v>
      </c>
      <c r="AR54" s="90">
        <f t="shared" si="37"/>
        <v>1.3330000000005384</v>
      </c>
    </row>
    <row r="55" spans="1:49" ht="15.75" x14ac:dyDescent="0.25">
      <c r="A55" t="str">
        <f t="shared" si="13"/>
        <v>46229E</v>
      </c>
      <c r="B55" s="51">
        <f t="shared" si="26"/>
        <v>46229</v>
      </c>
      <c r="C55" s="99" t="s">
        <v>88</v>
      </c>
      <c r="D55" s="91">
        <v>2941</v>
      </c>
      <c r="E55" s="62">
        <v>4.6399999999999997</v>
      </c>
      <c r="F55" s="62">
        <v>8.42</v>
      </c>
      <c r="G55" s="62">
        <f t="shared" si="38"/>
        <v>136.4624</v>
      </c>
      <c r="H55" s="72">
        <f t="shared" si="39"/>
        <v>247.63219999999998</v>
      </c>
      <c r="I55" s="120">
        <v>4105.05</v>
      </c>
      <c r="J55" s="120">
        <v>4228.2015000000001</v>
      </c>
      <c r="K55" s="120">
        <v>4.0475584950244228</v>
      </c>
      <c r="L55" s="120">
        <v>8.3527240837505019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4"/>
        <v>4228.2015000000001</v>
      </c>
      <c r="S55" s="62">
        <f t="shared" si="15"/>
        <v>171.13892900000008</v>
      </c>
      <c r="T55" s="63">
        <f t="shared" si="16"/>
        <v>353.17000499999995</v>
      </c>
      <c r="U55" s="64" t="s">
        <v>339</v>
      </c>
      <c r="V55" s="65" t="s">
        <v>869</v>
      </c>
      <c r="W55" s="104" t="s">
        <v>184</v>
      </c>
      <c r="X55" s="67">
        <v>5900</v>
      </c>
      <c r="Y55" s="68">
        <v>4.4000000000000004</v>
      </c>
      <c r="Z55" s="68">
        <v>8.41</v>
      </c>
      <c r="AA55" s="62">
        <f t="shared" si="40"/>
        <v>259.60000000000002</v>
      </c>
      <c r="AB55" s="63">
        <f t="shared" si="41"/>
        <v>496.19000000000005</v>
      </c>
      <c r="AC55" s="69">
        <v>5860</v>
      </c>
      <c r="AD55" s="70">
        <v>4.2</v>
      </c>
      <c r="AE55" s="70">
        <v>8.3699999999999992</v>
      </c>
      <c r="AF55" s="62">
        <f t="shared" si="17"/>
        <v>246.12</v>
      </c>
      <c r="AG55" s="63">
        <f t="shared" si="18"/>
        <v>490.48199999999997</v>
      </c>
      <c r="AH55" s="141">
        <v>1268</v>
      </c>
      <c r="AI55" s="138">
        <v>4.29</v>
      </c>
      <c r="AJ55" s="138">
        <v>8.3699999999999992</v>
      </c>
      <c r="AK55" s="62">
        <f t="shared" si="19"/>
        <v>54.397199999999998</v>
      </c>
      <c r="AL55" s="72">
        <f t="shared" si="20"/>
        <v>106.13159999999999</v>
      </c>
      <c r="AM55" s="81">
        <f t="shared" si="21"/>
        <v>41.201500000000124</v>
      </c>
      <c r="AN55" s="80">
        <f t="shared" si="22"/>
        <v>7.0841290000000754</v>
      </c>
      <c r="AO55" s="80">
        <f t="shared" si="23"/>
        <v>4.1886049999999955</v>
      </c>
      <c r="AP55" s="114">
        <f t="shared" si="24"/>
        <v>2.1500175314579078E-2</v>
      </c>
      <c r="AQ55" s="115">
        <f t="shared" si="12"/>
        <v>4658.604455975531</v>
      </c>
      <c r="AR55" s="90">
        <f t="shared" si="37"/>
        <v>1.2015000000001237</v>
      </c>
      <c r="AS55" s="90">
        <f>SUM(J42:J55)</f>
        <v>94300.208000000013</v>
      </c>
      <c r="AT55" s="83">
        <f>SUM(AM42:AM55)</f>
        <v>869.20800000000554</v>
      </c>
      <c r="AU55" s="83">
        <f>SUM(AN42:AN55)</f>
        <v>37.886237500000036</v>
      </c>
      <c r="AV55" s="83">
        <f>SUM(AO42:AO55)</f>
        <v>45.780592999999271</v>
      </c>
      <c r="AW55" s="83">
        <f>-SUM(AQ42:AQ55)</f>
        <v>-31916.450221626874</v>
      </c>
    </row>
    <row r="56" spans="1:49" ht="15.75" x14ac:dyDescent="0.25">
      <c r="A56" t="str">
        <f t="shared" si="13"/>
        <v>46230M</v>
      </c>
      <c r="B56" s="51">
        <f t="shared" si="26"/>
        <v>46230</v>
      </c>
      <c r="C56" s="99" t="s">
        <v>87</v>
      </c>
      <c r="D56" s="91">
        <v>1268</v>
      </c>
      <c r="E56" s="62">
        <v>4.29</v>
      </c>
      <c r="F56" s="62">
        <v>8.3699999999999992</v>
      </c>
      <c r="G56" s="62">
        <f t="shared" si="38"/>
        <v>54.397199999999998</v>
      </c>
      <c r="H56" s="72">
        <f t="shared" si="39"/>
        <v>106.13159999999999</v>
      </c>
      <c r="I56" s="120">
        <v>8642.9499999999971</v>
      </c>
      <c r="J56" s="120">
        <v>8902.2384999999977</v>
      </c>
      <c r="K56" s="120">
        <v>4.5484319589954803</v>
      </c>
      <c r="L56" s="120">
        <v>8.4054217599315049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4"/>
        <v>8902.2384999999977</v>
      </c>
      <c r="S56" s="62">
        <f t="shared" si="15"/>
        <v>404.91226099999977</v>
      </c>
      <c r="T56" s="63">
        <f t="shared" si="16"/>
        <v>748.27069199999971</v>
      </c>
      <c r="U56" s="64" t="s">
        <v>197</v>
      </c>
      <c r="V56" s="65" t="s">
        <v>966</v>
      </c>
      <c r="W56" s="66" t="s">
        <v>184</v>
      </c>
      <c r="X56" s="67">
        <v>9200</v>
      </c>
      <c r="Y56" s="68">
        <v>4.5999999999999996</v>
      </c>
      <c r="Z56" s="68">
        <v>8.58</v>
      </c>
      <c r="AA56" s="62">
        <f t="shared" si="40"/>
        <v>423.2</v>
      </c>
      <c r="AB56" s="63">
        <f t="shared" si="41"/>
        <v>789.36</v>
      </c>
      <c r="AC56" s="69">
        <v>9210</v>
      </c>
      <c r="AD56" s="70">
        <v>4.5</v>
      </c>
      <c r="AE56" s="70">
        <v>8.3100000000000023</v>
      </c>
      <c r="AF56" s="62">
        <f t="shared" si="17"/>
        <v>414.45</v>
      </c>
      <c r="AG56" s="63">
        <f t="shared" si="18"/>
        <v>765.35100000000023</v>
      </c>
      <c r="AH56" s="141">
        <v>971</v>
      </c>
      <c r="AI56" s="138">
        <v>4.51</v>
      </c>
      <c r="AJ56" s="138">
        <v>8.4</v>
      </c>
      <c r="AK56" s="62">
        <f t="shared" si="19"/>
        <v>43.792099999999998</v>
      </c>
      <c r="AL56" s="72">
        <f t="shared" si="20"/>
        <v>81.564000000000007</v>
      </c>
      <c r="AM56" s="81">
        <f t="shared" si="21"/>
        <v>-10.761500000002343</v>
      </c>
      <c r="AN56" s="80">
        <f t="shared" si="22"/>
        <v>1.0673609999997851</v>
      </c>
      <c r="AO56" s="80">
        <f t="shared" si="23"/>
        <v>7.4872919999995275</v>
      </c>
      <c r="AP56" s="114">
        <f t="shared" si="24"/>
        <v>7.4182964444145022E-3</v>
      </c>
      <c r="AQ56" s="115">
        <f t="shared" si="12"/>
        <v>2755.2789975854721</v>
      </c>
      <c r="AR56" s="90">
        <f t="shared" si="28"/>
        <v>-0.76150000000234286</v>
      </c>
    </row>
    <row r="57" spans="1:49" ht="15.75" x14ac:dyDescent="0.25">
      <c r="A57" t="str">
        <f t="shared" si="13"/>
        <v>46230E</v>
      </c>
      <c r="B57" s="51">
        <f t="shared" si="26"/>
        <v>46230</v>
      </c>
      <c r="C57" s="99" t="s">
        <v>88</v>
      </c>
      <c r="D57" s="91">
        <v>971</v>
      </c>
      <c r="E57" s="62">
        <v>4.51</v>
      </c>
      <c r="F57" s="62">
        <v>8.4</v>
      </c>
      <c r="G57" s="62">
        <f t="shared" si="38"/>
        <v>43.792099999999998</v>
      </c>
      <c r="H57" s="72">
        <f t="shared" si="39"/>
        <v>81.564000000000007</v>
      </c>
      <c r="I57" s="120">
        <v>11960.049999999997</v>
      </c>
      <c r="J57" s="120">
        <v>12318.851499999997</v>
      </c>
      <c r="K57" s="120">
        <v>4.2171617175513472</v>
      </c>
      <c r="L57" s="120">
        <v>8.3296353276115074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4"/>
        <v>12318.851499999997</v>
      </c>
      <c r="S57" s="62">
        <f t="shared" si="15"/>
        <v>519.50588949999974</v>
      </c>
      <c r="T57" s="63">
        <f t="shared" si="16"/>
        <v>1026.1154064999998</v>
      </c>
      <c r="U57" s="64" t="s">
        <v>198</v>
      </c>
      <c r="V57" s="65" t="s">
        <v>967</v>
      </c>
      <c r="W57" s="104" t="s">
        <v>184</v>
      </c>
      <c r="X57" s="67">
        <v>7200</v>
      </c>
      <c r="Y57" s="68">
        <v>4.5000000000000009</v>
      </c>
      <c r="Z57" s="68">
        <v>8.56</v>
      </c>
      <c r="AA57" s="62">
        <f t="shared" si="40"/>
        <v>324.00000000000011</v>
      </c>
      <c r="AB57" s="63">
        <f t="shared" si="41"/>
        <v>616.32000000000005</v>
      </c>
      <c r="AC57" s="69">
        <v>7190</v>
      </c>
      <c r="AD57" s="70">
        <v>4.3999999999999995</v>
      </c>
      <c r="AE57" s="70">
        <v>8.41</v>
      </c>
      <c r="AF57" s="62">
        <f t="shared" si="17"/>
        <v>316.35999999999996</v>
      </c>
      <c r="AG57" s="63">
        <f t="shared" si="18"/>
        <v>604.67900000000009</v>
      </c>
      <c r="AH57" s="141">
        <v>6089</v>
      </c>
      <c r="AI57" s="138">
        <v>4.24</v>
      </c>
      <c r="AJ57" s="138">
        <v>8.34</v>
      </c>
      <c r="AK57" s="62">
        <f t="shared" si="19"/>
        <v>258.17360000000002</v>
      </c>
      <c r="AL57" s="72">
        <f t="shared" si="20"/>
        <v>507.82260000000002</v>
      </c>
      <c r="AM57" s="81">
        <f t="shared" si="21"/>
        <v>10.851499999997031</v>
      </c>
      <c r="AN57" s="80">
        <f t="shared" si="22"/>
        <v>-11.235610500000234</v>
      </c>
      <c r="AO57" s="80">
        <f t="shared" si="23"/>
        <v>-4.8221935000001963</v>
      </c>
      <c r="AP57" s="114">
        <f t="shared" si="24"/>
        <v>-1.0389222794456395E-2</v>
      </c>
      <c r="AQ57" s="115">
        <f t="shared" si="12"/>
        <v>-6843.2805478310074</v>
      </c>
      <c r="AR57" s="90">
        <f t="shared" si="28"/>
        <v>0.85149999999703141</v>
      </c>
    </row>
    <row r="58" spans="1:49" ht="15.75" x14ac:dyDescent="0.25">
      <c r="A58" t="str">
        <f t="shared" si="13"/>
        <v>46231M</v>
      </c>
      <c r="B58" s="51">
        <f t="shared" si="26"/>
        <v>46231</v>
      </c>
      <c r="C58" s="99" t="s">
        <v>87</v>
      </c>
      <c r="D58" s="91">
        <v>6089</v>
      </c>
      <c r="E58" s="62">
        <v>4.24</v>
      </c>
      <c r="F58" s="62">
        <v>8.34</v>
      </c>
      <c r="G58" s="62">
        <f t="shared" si="38"/>
        <v>258.17360000000002</v>
      </c>
      <c r="H58" s="72">
        <f t="shared" si="39"/>
        <v>507.82260000000002</v>
      </c>
      <c r="I58" s="120">
        <v>5710.4500000000016</v>
      </c>
      <c r="J58" s="120">
        <v>5881.7635000000018</v>
      </c>
      <c r="K58" s="120">
        <v>4.8953033473719234</v>
      </c>
      <c r="L58" s="120">
        <v>8.4855370417392688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4"/>
        <v>5881.7635000000018</v>
      </c>
      <c r="S58" s="62">
        <f t="shared" si="15"/>
        <v>287.9301655000001</v>
      </c>
      <c r="T58" s="63">
        <f t="shared" si="16"/>
        <v>499.09922050000023</v>
      </c>
      <c r="U58" s="64" t="s">
        <v>197</v>
      </c>
      <c r="V58" s="65" t="s">
        <v>968</v>
      </c>
      <c r="W58" s="66" t="s">
        <v>184</v>
      </c>
      <c r="X58" s="67">
        <v>9200</v>
      </c>
      <c r="Y58" s="68">
        <v>4.5</v>
      </c>
      <c r="Z58" s="68">
        <v>8.43</v>
      </c>
      <c r="AA58" s="62">
        <f t="shared" si="40"/>
        <v>414</v>
      </c>
      <c r="AB58" s="63">
        <f t="shared" si="41"/>
        <v>775.56</v>
      </c>
      <c r="AC58" s="69">
        <v>9150</v>
      </c>
      <c r="AD58" s="70">
        <v>4.4500000000000011</v>
      </c>
      <c r="AE58" s="70">
        <v>8.3000000000000007</v>
      </c>
      <c r="AF58" s="62">
        <f t="shared" si="17"/>
        <v>407.17500000000013</v>
      </c>
      <c r="AG58" s="63">
        <f t="shared" si="18"/>
        <v>759.45</v>
      </c>
      <c r="AH58" s="141">
        <v>2770</v>
      </c>
      <c r="AI58" s="138">
        <v>4.5599999999999996</v>
      </c>
      <c r="AJ58" s="138">
        <v>8.41</v>
      </c>
      <c r="AK58" s="62">
        <f t="shared" si="19"/>
        <v>126.31199999999998</v>
      </c>
      <c r="AL58" s="72">
        <f t="shared" si="20"/>
        <v>232.95700000000002</v>
      </c>
      <c r="AM58" s="81">
        <f t="shared" si="21"/>
        <v>50.763500000000931</v>
      </c>
      <c r="AN58" s="80">
        <f t="shared" si="22"/>
        <v>12.616765500000014</v>
      </c>
      <c r="AO58" s="80">
        <f t="shared" si="23"/>
        <v>14.514820500000127</v>
      </c>
      <c r="AP58" s="114">
        <f t="shared" si="24"/>
        <v>3.4473409103431024E-2</v>
      </c>
      <c r="AQ58" s="115">
        <f t="shared" si="12"/>
        <v>10409.825974770498</v>
      </c>
      <c r="AR58" s="90">
        <f t="shared" ref="AR58:AR63" si="42">(D58+J58+O58)-(X58+AH58)</f>
        <v>0.76350000000093132</v>
      </c>
    </row>
    <row r="59" spans="1:49" ht="15.75" x14ac:dyDescent="0.25">
      <c r="A59" t="str">
        <f t="shared" si="13"/>
        <v>46231E</v>
      </c>
      <c r="B59" s="51">
        <f t="shared" si="26"/>
        <v>46231</v>
      </c>
      <c r="C59" s="99" t="s">
        <v>88</v>
      </c>
      <c r="D59" s="91">
        <v>2770</v>
      </c>
      <c r="E59" s="62">
        <v>4.5599999999999996</v>
      </c>
      <c r="F59" s="62">
        <v>8.41</v>
      </c>
      <c r="G59" s="62">
        <f t="shared" si="38"/>
        <v>126.31199999999998</v>
      </c>
      <c r="H59" s="72">
        <f t="shared" si="39"/>
        <v>232.95700000000002</v>
      </c>
      <c r="I59" s="120">
        <v>5397.1500000000015</v>
      </c>
      <c r="J59" s="120">
        <v>5559.0645000000013</v>
      </c>
      <c r="K59" s="120">
        <v>4.5911017852014488</v>
      </c>
      <c r="L59" s="120">
        <v>8.4181781125223498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4"/>
        <v>5559.0645000000013</v>
      </c>
      <c r="S59" s="62">
        <f t="shared" si="15"/>
        <v>255.22230950000005</v>
      </c>
      <c r="T59" s="63">
        <f t="shared" si="16"/>
        <v>467.9719510000001</v>
      </c>
      <c r="U59" s="64" t="s">
        <v>198</v>
      </c>
      <c r="V59" s="65" t="s">
        <v>969</v>
      </c>
      <c r="W59" s="66" t="s">
        <v>184</v>
      </c>
      <c r="X59" s="67">
        <v>7200</v>
      </c>
      <c r="Y59" s="68">
        <v>4.8</v>
      </c>
      <c r="Z59" s="68">
        <v>8.6199999999999992</v>
      </c>
      <c r="AA59" s="62">
        <f t="shared" si="40"/>
        <v>345.6</v>
      </c>
      <c r="AB59" s="63">
        <f t="shared" si="41"/>
        <v>620.64</v>
      </c>
      <c r="AC59" s="69">
        <v>7180</v>
      </c>
      <c r="AD59" s="70">
        <v>4.7243036211699172</v>
      </c>
      <c r="AE59" s="70">
        <v>8.3548607242339816</v>
      </c>
      <c r="AF59" s="62">
        <f t="shared" si="17"/>
        <v>339.2050000000001</v>
      </c>
      <c r="AG59" s="63">
        <f t="shared" si="18"/>
        <v>599.87899999999991</v>
      </c>
      <c r="AH59" s="141">
        <v>1129</v>
      </c>
      <c r="AI59" s="138">
        <v>4.58</v>
      </c>
      <c r="AJ59" s="138">
        <v>8.42</v>
      </c>
      <c r="AK59" s="62">
        <f t="shared" si="19"/>
        <v>51.708199999999998</v>
      </c>
      <c r="AL59" s="72">
        <f t="shared" si="20"/>
        <v>95.061799999999991</v>
      </c>
      <c r="AM59" s="81">
        <f t="shared" si="21"/>
        <v>20.064500000000407</v>
      </c>
      <c r="AN59" s="80">
        <f t="shared" si="22"/>
        <v>-9.3788905000000327</v>
      </c>
      <c r="AO59" s="80">
        <f t="shared" si="23"/>
        <v>5.988151000000201</v>
      </c>
      <c r="AP59" s="114">
        <f t="shared" si="24"/>
        <v>-4.6885597483248154E-3</v>
      </c>
      <c r="AQ59" s="115">
        <f t="shared" si="12"/>
        <v>-2713.4642196926488</v>
      </c>
      <c r="AR59" s="90">
        <f t="shared" si="42"/>
        <v>6.4500000000407454E-2</v>
      </c>
    </row>
    <row r="60" spans="1:49" ht="15.75" x14ac:dyDescent="0.25">
      <c r="A60" t="str">
        <f t="shared" si="13"/>
        <v>46232M</v>
      </c>
      <c r="B60" s="51">
        <f t="shared" si="26"/>
        <v>46232</v>
      </c>
      <c r="C60" s="99" t="s">
        <v>87</v>
      </c>
      <c r="D60" s="91">
        <v>1129</v>
      </c>
      <c r="E60" s="62">
        <v>4.58</v>
      </c>
      <c r="F60" s="62">
        <v>8.42</v>
      </c>
      <c r="G60" s="62">
        <f t="shared" si="38"/>
        <v>51.708199999999998</v>
      </c>
      <c r="H60" s="72">
        <f t="shared" si="39"/>
        <v>95.061799999999991</v>
      </c>
      <c r="I60" s="120">
        <v>7695.0000000000009</v>
      </c>
      <c r="J60" s="120">
        <v>7925.8500000000013</v>
      </c>
      <c r="K60" s="120">
        <v>4.5217576348278099</v>
      </c>
      <c r="L60" s="120">
        <v>8.4189545159194275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4"/>
        <v>7925.8500000000013</v>
      </c>
      <c r="S60" s="62">
        <f t="shared" si="15"/>
        <v>358.38772749999998</v>
      </c>
      <c r="T60" s="63">
        <f t="shared" si="16"/>
        <v>667.2737065</v>
      </c>
      <c r="U60" s="64" t="s">
        <v>197</v>
      </c>
      <c r="V60" s="65" t="s">
        <v>970</v>
      </c>
      <c r="W60" s="66" t="s">
        <v>184</v>
      </c>
      <c r="X60" s="67">
        <v>9200</v>
      </c>
      <c r="Y60" s="68">
        <v>4.25</v>
      </c>
      <c r="Z60" s="68">
        <v>8.51</v>
      </c>
      <c r="AA60" s="62">
        <f t="shared" si="40"/>
        <v>391</v>
      </c>
      <c r="AB60" s="63">
        <f t="shared" si="41"/>
        <v>782.92</v>
      </c>
      <c r="AC60" s="69">
        <v>9170</v>
      </c>
      <c r="AD60" s="70">
        <v>4.2249182115594328</v>
      </c>
      <c r="AE60" s="70">
        <v>8.4400545256270441</v>
      </c>
      <c r="AF60" s="62">
        <f t="shared" si="17"/>
        <v>387.42500000000001</v>
      </c>
      <c r="AG60" s="63">
        <f t="shared" si="18"/>
        <v>773.95299999999997</v>
      </c>
      <c r="AH60" s="141">
        <v>0</v>
      </c>
      <c r="AI60" s="138">
        <v>0</v>
      </c>
      <c r="AJ60" s="138">
        <v>0</v>
      </c>
      <c r="AK60" s="62">
        <f t="shared" si="19"/>
        <v>0</v>
      </c>
      <c r="AL60" s="72">
        <f t="shared" si="20"/>
        <v>0</v>
      </c>
      <c r="AM60" s="81">
        <f t="shared" si="21"/>
        <v>-115.14999999999782</v>
      </c>
      <c r="AN60" s="80">
        <f t="shared" si="22"/>
        <v>22.670927499999948</v>
      </c>
      <c r="AO60" s="80">
        <f t="shared" si="23"/>
        <v>-11.617493500000023</v>
      </c>
      <c r="AP60" s="114">
        <f t="shared" si="24"/>
        <v>1.0776883709951333E-2</v>
      </c>
      <c r="AQ60" s="115">
        <f t="shared" si="12"/>
        <v>7414.782643020324</v>
      </c>
      <c r="AR60" s="90">
        <f t="shared" si="42"/>
        <v>-145.14999999999782</v>
      </c>
    </row>
    <row r="61" spans="1:49" ht="15.75" x14ac:dyDescent="0.25">
      <c r="A61" t="str">
        <f t="shared" si="13"/>
        <v>46232E</v>
      </c>
      <c r="B61" s="51">
        <f t="shared" si="26"/>
        <v>46232</v>
      </c>
      <c r="C61" s="99" t="s">
        <v>88</v>
      </c>
      <c r="D61" s="91">
        <v>0</v>
      </c>
      <c r="E61" s="62">
        <v>0</v>
      </c>
      <c r="F61" s="62">
        <v>0</v>
      </c>
      <c r="G61" s="62">
        <f t="shared" si="38"/>
        <v>0</v>
      </c>
      <c r="H61" s="72">
        <f t="shared" si="39"/>
        <v>0</v>
      </c>
      <c r="I61" s="120">
        <v>5614.7499999999991</v>
      </c>
      <c r="J61" s="120">
        <v>5783.1924999999992</v>
      </c>
      <c r="K61" s="120">
        <v>4.4377835166303043</v>
      </c>
      <c r="L61" s="120">
        <v>8.3594585689478649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4"/>
        <v>5783.1924999999992</v>
      </c>
      <c r="S61" s="62">
        <f t="shared" si="15"/>
        <v>256.64556349999998</v>
      </c>
      <c r="T61" s="63">
        <f t="shared" si="16"/>
        <v>483.44358100000022</v>
      </c>
      <c r="U61" s="64" t="s">
        <v>167</v>
      </c>
      <c r="V61" s="65" t="s">
        <v>167</v>
      </c>
      <c r="W61" s="104">
        <v>0</v>
      </c>
      <c r="X61" s="67">
        <v>0</v>
      </c>
      <c r="Y61" s="68">
        <v>0</v>
      </c>
      <c r="Z61" s="68">
        <v>0</v>
      </c>
      <c r="AA61" s="62">
        <f t="shared" si="40"/>
        <v>0</v>
      </c>
      <c r="AB61" s="63">
        <f t="shared" si="41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141">
        <v>5783</v>
      </c>
      <c r="AI61" s="138">
        <v>4.4400000000000004</v>
      </c>
      <c r="AJ61" s="138">
        <v>8.36</v>
      </c>
      <c r="AK61" s="62">
        <f t="shared" si="19"/>
        <v>256.76519999999999</v>
      </c>
      <c r="AL61" s="72">
        <f t="shared" si="20"/>
        <v>483.45879999999994</v>
      </c>
      <c r="AM61" s="81">
        <f t="shared" si="21"/>
        <v>0.19249999999919964</v>
      </c>
      <c r="AN61" s="80">
        <f t="shared" si="22"/>
        <v>-0.1196365000000128</v>
      </c>
      <c r="AO61" s="80">
        <f t="shared" si="23"/>
        <v>-1.5218999999717653E-2</v>
      </c>
      <c r="AP61" s="114">
        <f t="shared" si="24"/>
        <v>-1.8221521150784886E-4</v>
      </c>
      <c r="AQ61" s="115">
        <f t="shared" si="12"/>
        <v>-62.047187003057758</v>
      </c>
      <c r="AR61" s="90">
        <f t="shared" si="42"/>
        <v>0.19249999999919964</v>
      </c>
      <c r="AS61" s="90">
        <f>SUM(J48:J61)</f>
        <v>101452.73400000003</v>
      </c>
      <c r="AT61" s="83">
        <f>SUM(AM48:AM61)</f>
        <v>889.73400000000129</v>
      </c>
      <c r="AU61" s="83">
        <f>SUM(AN48:AN61)</f>
        <v>65.785513499999453</v>
      </c>
      <c r="AV61" s="83">
        <f>SUM(AO48:AO61)</f>
        <v>74.922015999999132</v>
      </c>
      <c r="AW61" s="83">
        <f>-SUM(AQ48:AQ61)</f>
        <v>-54050.557117998411</v>
      </c>
    </row>
    <row r="62" spans="1:49" ht="15.75" x14ac:dyDescent="0.25">
      <c r="A62" t="str">
        <f t="shared" si="13"/>
        <v>46233M</v>
      </c>
      <c r="B62" s="51">
        <f t="shared" si="26"/>
        <v>46233</v>
      </c>
      <c r="C62" s="99" t="s">
        <v>87</v>
      </c>
      <c r="D62" s="91">
        <v>5783</v>
      </c>
      <c r="E62" s="62">
        <v>4.4400000000000004</v>
      </c>
      <c r="F62" s="62">
        <v>8.36</v>
      </c>
      <c r="G62" s="62">
        <f t="shared" si="38"/>
        <v>256.76519999999999</v>
      </c>
      <c r="H62" s="72">
        <f t="shared" si="39"/>
        <v>483.45879999999994</v>
      </c>
      <c r="I62" s="120">
        <v>3571.1000000000004</v>
      </c>
      <c r="J62" s="120">
        <v>3678.2330000000006</v>
      </c>
      <c r="K62" s="120">
        <v>4.7441460614376512</v>
      </c>
      <c r="L62" s="120">
        <v>8.4217720030242784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4"/>
        <v>3678.2330000000006</v>
      </c>
      <c r="S62" s="62">
        <f t="shared" si="15"/>
        <v>174.50074599999999</v>
      </c>
      <c r="T62" s="63">
        <f t="shared" si="16"/>
        <v>309.77239700000007</v>
      </c>
      <c r="U62" s="64" t="s">
        <v>198</v>
      </c>
      <c r="V62" s="65" t="s">
        <v>971</v>
      </c>
      <c r="W62" s="104" t="s">
        <v>184</v>
      </c>
      <c r="X62" s="67">
        <v>7200</v>
      </c>
      <c r="Y62" s="68">
        <v>4.5999999999999996</v>
      </c>
      <c r="Z62" s="68">
        <v>8.58</v>
      </c>
      <c r="AA62" s="62">
        <f t="shared" si="40"/>
        <v>331.2</v>
      </c>
      <c r="AB62" s="63">
        <f t="shared" si="41"/>
        <v>617.76</v>
      </c>
      <c r="AC62" s="221">
        <v>7200</v>
      </c>
      <c r="AD62" s="222">
        <v>4.5999999999999996</v>
      </c>
      <c r="AE62" s="222">
        <v>8.58</v>
      </c>
      <c r="AF62" s="62">
        <f t="shared" si="17"/>
        <v>331.2</v>
      </c>
      <c r="AG62" s="63">
        <f t="shared" si="18"/>
        <v>617.76</v>
      </c>
      <c r="AH62" s="141">
        <v>2261</v>
      </c>
      <c r="AI62" s="138">
        <v>4.55</v>
      </c>
      <c r="AJ62" s="138">
        <v>8.3800000000000008</v>
      </c>
      <c r="AK62" s="62">
        <f t="shared" si="19"/>
        <v>102.8755</v>
      </c>
      <c r="AL62" s="72">
        <f t="shared" si="20"/>
        <v>189.47180000000003</v>
      </c>
      <c r="AM62" s="81">
        <f t="shared" si="21"/>
        <v>0.23300000000017462</v>
      </c>
      <c r="AN62" s="80">
        <f t="shared" si="22"/>
        <v>-2.8095540000000057</v>
      </c>
      <c r="AO62" s="80">
        <f t="shared" si="23"/>
        <v>-14.000602999999956</v>
      </c>
      <c r="AP62" s="114">
        <f t="shared" si="24"/>
        <v>-3.4712139714921091E-2</v>
      </c>
      <c r="AQ62" s="115">
        <f t="shared" si="12"/>
        <v>-5543.1380959175422</v>
      </c>
      <c r="AR62" s="90">
        <f t="shared" si="42"/>
        <v>0.23300000000017462</v>
      </c>
    </row>
    <row r="63" spans="1:49" ht="15.75" x14ac:dyDescent="0.25">
      <c r="A63" t="str">
        <f t="shared" si="13"/>
        <v>46233E</v>
      </c>
      <c r="B63" s="51">
        <f t="shared" si="26"/>
        <v>46233</v>
      </c>
      <c r="C63" s="99" t="s">
        <v>88</v>
      </c>
      <c r="D63" s="91">
        <v>2261</v>
      </c>
      <c r="E63" s="62">
        <v>4.55</v>
      </c>
      <c r="F63" s="62">
        <v>8.3800000000000008</v>
      </c>
      <c r="G63" s="62">
        <f t="shared" si="38"/>
        <v>102.8755</v>
      </c>
      <c r="H63" s="72">
        <f t="shared" si="39"/>
        <v>189.47180000000003</v>
      </c>
      <c r="I63" s="120">
        <v>6307.2499999999982</v>
      </c>
      <c r="J63" s="120">
        <v>6496.4674999999979</v>
      </c>
      <c r="K63" s="120">
        <v>4.0495453644615313</v>
      </c>
      <c r="L63" s="120">
        <v>8.1783606167505631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4"/>
        <v>6496.4674999999979</v>
      </c>
      <c r="S63" s="62">
        <f t="shared" si="15"/>
        <v>263.07739849999984</v>
      </c>
      <c r="T63" s="63">
        <f t="shared" si="16"/>
        <v>531.30453949999969</v>
      </c>
      <c r="U63" s="64" t="s">
        <v>167</v>
      </c>
      <c r="V63" s="65" t="s">
        <v>167</v>
      </c>
      <c r="W63" s="104">
        <v>0</v>
      </c>
      <c r="X63" s="67">
        <v>0</v>
      </c>
      <c r="Y63" s="68">
        <v>0</v>
      </c>
      <c r="Z63" s="68">
        <v>0</v>
      </c>
      <c r="AA63" s="62">
        <f t="shared" si="40"/>
        <v>0</v>
      </c>
      <c r="AB63" s="63">
        <f t="shared" si="41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141">
        <v>8950</v>
      </c>
      <c r="AI63" s="138">
        <v>4.6500000000000004</v>
      </c>
      <c r="AJ63" s="138">
        <v>8.4499999999999993</v>
      </c>
      <c r="AK63" s="62">
        <f t="shared" si="19"/>
        <v>416.17500000000007</v>
      </c>
      <c r="AL63" s="72">
        <f t="shared" si="20"/>
        <v>756.27499999999998</v>
      </c>
      <c r="AM63" s="81">
        <f t="shared" si="21"/>
        <v>-192.53250000000116</v>
      </c>
      <c r="AN63" s="80">
        <f t="shared" si="22"/>
        <v>-50.222101500000235</v>
      </c>
      <c r="AO63" s="80">
        <f t="shared" si="23"/>
        <v>-35.498660500000256</v>
      </c>
      <c r="AP63" s="114">
        <f t="shared" si="24"/>
        <v>-0.10790875006022675</v>
      </c>
      <c r="AQ63" s="115">
        <f t="shared" si="12"/>
        <v>-34764.887113175326</v>
      </c>
      <c r="AR63" s="90">
        <f t="shared" si="42"/>
        <v>-192.53250000000116</v>
      </c>
    </row>
    <row r="64" spans="1:49" ht="15.75" x14ac:dyDescent="0.25">
      <c r="A64" t="str">
        <f t="shared" si="13"/>
        <v>46234M</v>
      </c>
      <c r="B64" s="51">
        <f t="shared" si="26"/>
        <v>46234</v>
      </c>
      <c r="C64" s="99" t="s">
        <v>87</v>
      </c>
      <c r="D64" s="105"/>
      <c r="E64" s="106"/>
      <c r="F64" s="106"/>
      <c r="G64" s="62">
        <f t="shared" si="38"/>
        <v>0</v>
      </c>
      <c r="H64" s="72">
        <f t="shared" si="39"/>
        <v>0</v>
      </c>
      <c r="I64" s="120"/>
      <c r="J64" s="120"/>
      <c r="K64" s="120"/>
      <c r="L64" s="120"/>
      <c r="M64" s="58"/>
      <c r="N64" s="58"/>
      <c r="O64" s="59"/>
      <c r="P64" s="56"/>
      <c r="Q64" s="60"/>
      <c r="R64" s="61">
        <f t="shared" si="14"/>
        <v>0</v>
      </c>
      <c r="S64" s="62">
        <f t="shared" si="15"/>
        <v>0</v>
      </c>
      <c r="T64" s="63">
        <f t="shared" si="16"/>
        <v>0</v>
      </c>
      <c r="U64" s="102"/>
      <c r="V64" s="65"/>
      <c r="W64" s="104"/>
      <c r="X64" s="67"/>
      <c r="Y64" s="68"/>
      <c r="Z64" s="68"/>
      <c r="AA64" s="62">
        <f t="shared" si="40"/>
        <v>0</v>
      </c>
      <c r="AB64" s="63">
        <f t="shared" si="41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141"/>
      <c r="AI64" s="138"/>
      <c r="AJ64" s="138"/>
      <c r="AK64" s="62">
        <f t="shared" si="19"/>
        <v>0</v>
      </c>
      <c r="AL64" s="72">
        <f t="shared" si="20"/>
        <v>0</v>
      </c>
      <c r="AM64" s="81">
        <f t="shared" si="21"/>
        <v>0</v>
      </c>
      <c r="AN64" s="80">
        <f t="shared" si="22"/>
        <v>0</v>
      </c>
      <c r="AO64" s="80">
        <f t="shared" si="23"/>
        <v>0</v>
      </c>
      <c r="AP64" s="114" t="e">
        <f t="shared" si="24"/>
        <v>#DIV/0!</v>
      </c>
      <c r="AQ64" s="115">
        <f t="shared" si="12"/>
        <v>0</v>
      </c>
    </row>
    <row r="65" spans="1:43" ht="15.75" x14ac:dyDescent="0.25">
      <c r="A65" t="str">
        <f t="shared" si="13"/>
        <v>46234E</v>
      </c>
      <c r="B65" s="51">
        <f t="shared" si="26"/>
        <v>46234</v>
      </c>
      <c r="C65" s="99" t="s">
        <v>88</v>
      </c>
      <c r="D65" s="105"/>
      <c r="E65" s="106"/>
      <c r="F65" s="106"/>
      <c r="G65" s="62">
        <f t="shared" si="38"/>
        <v>0</v>
      </c>
      <c r="H65" s="72">
        <f t="shared" si="39"/>
        <v>0</v>
      </c>
      <c r="I65" s="120"/>
      <c r="J65" s="120"/>
      <c r="K65" s="120"/>
      <c r="L65" s="120"/>
      <c r="M65" s="58"/>
      <c r="N65" s="58"/>
      <c r="O65" s="59"/>
      <c r="P65" s="56"/>
      <c r="Q65" s="60"/>
      <c r="R65" s="61">
        <f t="shared" si="14"/>
        <v>0</v>
      </c>
      <c r="S65" s="62">
        <f t="shared" si="15"/>
        <v>0</v>
      </c>
      <c r="T65" s="63">
        <f t="shared" si="16"/>
        <v>0</v>
      </c>
      <c r="U65" s="102"/>
      <c r="V65" s="103"/>
      <c r="W65" s="104"/>
      <c r="X65" s="112"/>
      <c r="Y65" s="113"/>
      <c r="Z65" s="113"/>
      <c r="AA65" s="62">
        <f t="shared" si="40"/>
        <v>0</v>
      </c>
      <c r="AB65" s="63">
        <f t="shared" si="41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141"/>
      <c r="AI65" s="138"/>
      <c r="AJ65" s="138"/>
      <c r="AK65" s="62">
        <f t="shared" si="19"/>
        <v>0</v>
      </c>
      <c r="AL65" s="72">
        <f t="shared" si="20"/>
        <v>0</v>
      </c>
      <c r="AM65" s="81">
        <f t="shared" si="21"/>
        <v>0</v>
      </c>
      <c r="AN65" s="80">
        <f t="shared" si="22"/>
        <v>0</v>
      </c>
      <c r="AO65" s="80">
        <f t="shared" si="23"/>
        <v>0</v>
      </c>
      <c r="AP65" s="114" t="e">
        <f t="shared" si="24"/>
        <v>#DIV/0!</v>
      </c>
      <c r="AQ65" s="115">
        <f t="shared" si="12"/>
        <v>0</v>
      </c>
    </row>
    <row r="66" spans="1:43" x14ac:dyDescent="0.25">
      <c r="J66" s="83">
        <f>SUM(J4:J65)</f>
        <v>412754.62949999992</v>
      </c>
      <c r="AM66" s="97">
        <f t="shared" ref="AM66:AO66" si="43">-SUM(AM4:AM65)</f>
        <v>-2284.6295000000205</v>
      </c>
      <c r="AN66" s="97">
        <f>-SUM(AN4:AN65)</f>
        <v>14.718309499999762</v>
      </c>
      <c r="AO66" s="97">
        <f t="shared" si="43"/>
        <v>-32.529937500001353</v>
      </c>
      <c r="AP66" s="97"/>
      <c r="AQ66" s="97">
        <f>-SUM(AQ4:AQ65)</f>
        <v>-2669.7999400069675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9" priority="2" operator="lessThan">
      <formula>0.1</formula>
    </cfRule>
    <cfRule type="cellIs" dxfId="48" priority="3" operator="greaterThan">
      <formula>0.1</formula>
    </cfRule>
  </conditionalFormatting>
  <conditionalFormatting sqref="AP1:AQ1">
    <cfRule type="cellIs" dxfId="47" priority="1" operator="lessThan">
      <formula>1</formula>
    </cfRule>
  </conditionalFormatting>
  <conditionalFormatting sqref="AQ4:AQ65"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AW66"/>
  <sheetViews>
    <sheetView topLeftCell="A2" zoomScale="80" zoomScaleNormal="80" workbookViewId="0">
      <pane xSplit="3" ySplit="2" topLeftCell="D32" activePane="bottomRight" state="frozen"/>
      <selection activeCell="AH28" sqref="AH28:AJ41"/>
      <selection pane="topRight" activeCell="AH28" sqref="AH28:AJ41"/>
      <selection pane="bottomLeft" activeCell="AH28" sqref="AH28:AJ41"/>
      <selection pane="bottomRight" activeCell="V62" sqref="V62"/>
    </sheetView>
  </sheetViews>
  <sheetFormatPr defaultRowHeight="15" x14ac:dyDescent="0.25"/>
  <cols>
    <col min="1" max="1" width="2.85546875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8.42578125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20" width="7.28515625" customWidth="1"/>
    <col min="21" max="21" width="9.28515625" customWidth="1"/>
    <col min="22" max="22" width="9.7109375" customWidth="1"/>
    <col min="23" max="23" width="10.85546875" customWidth="1"/>
    <col min="24" max="24" width="8.5703125" bestFit="1" customWidth="1"/>
    <col min="25" max="26" width="5.85546875" bestFit="1" customWidth="1"/>
    <col min="27" max="28" width="7.42578125" customWidth="1"/>
    <col min="29" max="29" width="8.85546875" customWidth="1"/>
    <col min="30" max="31" width="5.85546875" bestFit="1" customWidth="1"/>
    <col min="32" max="33" width="7.140625" customWidth="1"/>
    <col min="34" max="34" width="8.140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28515625" bestFit="1" customWidth="1"/>
    <col min="45" max="45" width="6.5703125" bestFit="1" customWidth="1"/>
    <col min="46" max="46" width="7.85546875" bestFit="1" customWidth="1"/>
    <col min="47" max="48" width="6.7109375" bestFit="1" customWidth="1"/>
    <col min="49" max="49" width="8.85546875" bestFit="1" customWidth="1"/>
  </cols>
  <sheetData>
    <row r="1" spans="1:44" ht="15.75" thickBot="1" x14ac:dyDescent="0.3">
      <c r="B1" s="43" t="s">
        <v>96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200">
        <v>20200</v>
      </c>
      <c r="E4" s="201">
        <v>4.55</v>
      </c>
      <c r="F4" s="201">
        <v>8.5500000000000007</v>
      </c>
      <c r="G4" s="62">
        <f t="shared" ref="G4:G15" si="0">+D4*E4%</f>
        <v>919.1</v>
      </c>
      <c r="H4" s="72">
        <f t="shared" ref="H4:H15" si="1">+D4*F4%</f>
        <v>1727.1000000000001</v>
      </c>
      <c r="I4" s="202">
        <v>4515.2</v>
      </c>
      <c r="J4" s="202">
        <v>4650.6559999999999</v>
      </c>
      <c r="K4" s="202">
        <v>4.5937101346562708</v>
      </c>
      <c r="L4" s="202">
        <v>8.3075101878100615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4650.6559999999999</v>
      </c>
      <c r="S4" s="62">
        <f t="shared" ref="S4" si="3">+J4*K4%+O4*P4%</f>
        <v>213.63765599999994</v>
      </c>
      <c r="T4" s="63">
        <f t="shared" ref="T4" si="4">+J4*L4%+O4*Q4%</f>
        <v>386.35372099999989</v>
      </c>
      <c r="U4" s="64" t="s">
        <v>200</v>
      </c>
      <c r="V4" s="65" t="s">
        <v>240</v>
      </c>
      <c r="W4" s="66" t="s">
        <v>201</v>
      </c>
      <c r="X4" s="67">
        <v>18500</v>
      </c>
      <c r="Y4" s="68">
        <v>4.55</v>
      </c>
      <c r="Z4" s="68">
        <v>8.32</v>
      </c>
      <c r="AA4" s="62">
        <f t="shared" ref="AA4:AA36" si="5">X4*Y4%</f>
        <v>841.75</v>
      </c>
      <c r="AB4" s="63">
        <f t="shared" ref="AB4:AB36" si="6">X4*Z4%</f>
        <v>1539.1999999999998</v>
      </c>
      <c r="AC4" s="69">
        <v>18360</v>
      </c>
      <c r="AD4" s="70">
        <v>4.5</v>
      </c>
      <c r="AE4" s="70">
        <v>8.25</v>
      </c>
      <c r="AF4" s="62">
        <f t="shared" ref="AF4:AF36" si="7">AC4*AD4%</f>
        <v>826.19999999999993</v>
      </c>
      <c r="AG4" s="63">
        <f t="shared" ref="AG4:AG36" si="8">AC4*AE4%</f>
        <v>1514.7</v>
      </c>
      <c r="AH4" s="96">
        <v>6350</v>
      </c>
      <c r="AI4" s="66">
        <v>4.5599999999999996</v>
      </c>
      <c r="AJ4" s="66">
        <v>8.51</v>
      </c>
      <c r="AK4" s="62">
        <f t="shared" ref="AK4" si="9">AH4*AI4%</f>
        <v>289.55999999999995</v>
      </c>
      <c r="AL4" s="72">
        <f t="shared" ref="AL4" si="10">AH4*AJ4%</f>
        <v>540.38499999999999</v>
      </c>
      <c r="AM4" s="73">
        <f>+D4+R4-AC4-AH4</f>
        <v>140.65599999999904</v>
      </c>
      <c r="AN4" s="74">
        <f t="shared" ref="AN4:AO4" si="11">+G4+S4-AF4-AK4</f>
        <v>16.977656000000138</v>
      </c>
      <c r="AO4" s="74">
        <f t="shared" si="11"/>
        <v>58.368720999999823</v>
      </c>
      <c r="AP4" s="75">
        <f>(AN4+AO4)/(S4+T4)</f>
        <v>0.12557909978096232</v>
      </c>
      <c r="AQ4" s="76">
        <f t="shared" ref="AQ4" si="12">($AP$1*AN4+$AQ$1*AO4)</f>
        <v>25639.228581335428</v>
      </c>
      <c r="AR4" s="90">
        <f t="shared" ref="AR4:AR65" si="13">(D4+J4+O4)-(X4+AH4)</f>
        <v>0.65599999999903957</v>
      </c>
    </row>
    <row r="5" spans="1:44" x14ac:dyDescent="0.25">
      <c r="A5" t="str">
        <f t="shared" ref="A5:A65" si="14">CONCATENATE(B5,C5)</f>
        <v>46204E</v>
      </c>
      <c r="B5" s="51">
        <f>+B4</f>
        <v>46204</v>
      </c>
      <c r="C5" s="52" t="s">
        <v>88</v>
      </c>
      <c r="D5" s="91">
        <v>6350</v>
      </c>
      <c r="E5" s="62">
        <v>4.5599999999999996</v>
      </c>
      <c r="F5" s="62">
        <v>8.51</v>
      </c>
      <c r="G5" s="62">
        <f t="shared" si="0"/>
        <v>289.55999999999995</v>
      </c>
      <c r="H5" s="72">
        <f t="shared" si="1"/>
        <v>540.38499999999999</v>
      </c>
      <c r="I5" s="202">
        <v>5881.2000000000007</v>
      </c>
      <c r="J5" s="202">
        <v>6057.6360000000013</v>
      </c>
      <c r="K5" s="202">
        <v>4.4029109705502272</v>
      </c>
      <c r="L5" s="202">
        <v>8.4688822009113771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5">+J5+O5</f>
        <v>6057.6360000000013</v>
      </c>
      <c r="S5" s="62">
        <f t="shared" ref="S5:S65" si="16">+J5*K5%+O5*P5%</f>
        <v>266.71232000000003</v>
      </c>
      <c r="T5" s="63">
        <f t="shared" ref="T5:T65" si="17">+J5*L5%+O5*Q5%</f>
        <v>513.01405700000009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3">
        <f t="shared" si="8"/>
        <v>0</v>
      </c>
      <c r="AH5" s="96">
        <v>12407</v>
      </c>
      <c r="AI5" s="66">
        <v>4.4800000000000004</v>
      </c>
      <c r="AJ5" s="66">
        <v>8.49</v>
      </c>
      <c r="AK5" s="62">
        <f t="shared" ref="AK5:AK65" si="18">AH5*AI5%</f>
        <v>555.83360000000005</v>
      </c>
      <c r="AL5" s="72">
        <f t="shared" ref="AL5:AL65" si="19">AH5*AJ5%</f>
        <v>1053.3543</v>
      </c>
      <c r="AM5" s="73">
        <f t="shared" ref="AM5:AM65" si="20">+D5+R5-AC5-AH5</f>
        <v>0.63600000000224099</v>
      </c>
      <c r="AN5" s="74">
        <f t="shared" ref="AN5:AN65" si="21">+G5+S5-AF5-AK5</f>
        <v>0.43871999999998934</v>
      </c>
      <c r="AO5" s="74">
        <f t="shared" ref="AO5:AO65" si="22">+H5+T5-AG5-AL5</f>
        <v>4.4757000000117841E-2</v>
      </c>
      <c r="AP5" s="75">
        <f t="shared" ref="AP5:AP65" si="23">(AN5+AO5)/(S5+T5)</f>
        <v>6.2005982388371489E-4</v>
      </c>
      <c r="AQ5" s="76">
        <f t="shared" ref="AQ5:AQ65" si="24">($AP$1*AN5+$AQ$1*AO5)</f>
        <v>224.22356181820257</v>
      </c>
      <c r="AR5" s="90">
        <f t="shared" si="13"/>
        <v>0.63600000000224099</v>
      </c>
    </row>
    <row r="6" spans="1:44" x14ac:dyDescent="0.25">
      <c r="A6" t="str">
        <f t="shared" si="14"/>
        <v>46205M</v>
      </c>
      <c r="B6" s="51">
        <f>+B4+1</f>
        <v>46205</v>
      </c>
      <c r="C6" s="52" t="s">
        <v>87</v>
      </c>
      <c r="D6" s="91">
        <v>12407</v>
      </c>
      <c r="E6" s="62">
        <v>4.4800000000000004</v>
      </c>
      <c r="F6" s="62">
        <v>8.49</v>
      </c>
      <c r="G6" s="62">
        <f t="shared" si="0"/>
        <v>555.83360000000005</v>
      </c>
      <c r="H6" s="72">
        <f t="shared" si="1"/>
        <v>1053.3543</v>
      </c>
      <c r="I6" s="202">
        <v>5121.4000000000005</v>
      </c>
      <c r="J6" s="202">
        <v>5275.0420000000004</v>
      </c>
      <c r="K6" s="202">
        <v>4.7155270043347519</v>
      </c>
      <c r="L6" s="202">
        <v>8.3717030499472802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5"/>
        <v>5275.0420000000004</v>
      </c>
      <c r="S6" s="62">
        <f t="shared" si="16"/>
        <v>248.74602999999999</v>
      </c>
      <c r="T6" s="63">
        <f t="shared" si="17"/>
        <v>441.61085200000008</v>
      </c>
      <c r="U6" s="64" t="s">
        <v>199</v>
      </c>
      <c r="V6" s="65" t="s">
        <v>241</v>
      </c>
      <c r="W6" s="66" t="s">
        <v>184</v>
      </c>
      <c r="X6" s="67">
        <v>9050</v>
      </c>
      <c r="Y6" s="68">
        <v>4.4000000000000004</v>
      </c>
      <c r="Z6" s="68">
        <v>8.3699999999999992</v>
      </c>
      <c r="AA6" s="62">
        <f t="shared" si="5"/>
        <v>398.20000000000005</v>
      </c>
      <c r="AB6" s="63">
        <f t="shared" si="6"/>
        <v>757.48500000000001</v>
      </c>
      <c r="AC6" s="69">
        <v>8920</v>
      </c>
      <c r="AD6" s="70">
        <v>4.3028026905829586</v>
      </c>
      <c r="AE6" s="70">
        <v>8.2778923766816135</v>
      </c>
      <c r="AF6" s="62">
        <f t="shared" si="7"/>
        <v>383.80999999999995</v>
      </c>
      <c r="AG6" s="63">
        <f t="shared" si="8"/>
        <v>738.38799999999992</v>
      </c>
      <c r="AH6" s="96">
        <v>8632</v>
      </c>
      <c r="AI6" s="66">
        <v>4.55</v>
      </c>
      <c r="AJ6" s="66">
        <v>8.4499999999999993</v>
      </c>
      <c r="AK6" s="62">
        <f t="shared" si="18"/>
        <v>392.75599999999997</v>
      </c>
      <c r="AL6" s="72">
        <f t="shared" si="19"/>
        <v>729.40399999999988</v>
      </c>
      <c r="AM6" s="73">
        <f t="shared" si="20"/>
        <v>130.04200000000128</v>
      </c>
      <c r="AN6" s="74">
        <f t="shared" si="21"/>
        <v>28.013630000000148</v>
      </c>
      <c r="AO6" s="74">
        <f t="shared" si="22"/>
        <v>27.173152000000186</v>
      </c>
      <c r="AP6" s="75">
        <f t="shared" si="23"/>
        <v>7.9939497148375394E-2</v>
      </c>
      <c r="AQ6" s="76">
        <f t="shared" si="24"/>
        <v>21599.578073240245</v>
      </c>
      <c r="AR6" s="90">
        <f t="shared" si="13"/>
        <v>4.2000000001280569E-2</v>
      </c>
    </row>
    <row r="7" spans="1:44" x14ac:dyDescent="0.25">
      <c r="A7" t="str">
        <f t="shared" si="14"/>
        <v>46205E</v>
      </c>
      <c r="B7" s="51">
        <f>+B5+1</f>
        <v>46205</v>
      </c>
      <c r="C7" s="52" t="s">
        <v>88</v>
      </c>
      <c r="D7" s="91">
        <v>8632</v>
      </c>
      <c r="E7" s="62">
        <v>4.55</v>
      </c>
      <c r="F7" s="62">
        <v>8.4499999999999993</v>
      </c>
      <c r="G7" s="62">
        <f t="shared" si="0"/>
        <v>392.75599999999997</v>
      </c>
      <c r="H7" s="72">
        <f t="shared" si="1"/>
        <v>729.40399999999988</v>
      </c>
      <c r="I7" s="202">
        <v>5963.4000000000005</v>
      </c>
      <c r="J7" s="202">
        <v>6142.3020000000006</v>
      </c>
      <c r="K7" s="202">
        <v>4.3729198108461613</v>
      </c>
      <c r="L7" s="202">
        <v>8.3215380487641273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5"/>
        <v>6142.3020000000006</v>
      </c>
      <c r="S7" s="62">
        <f t="shared" si="16"/>
        <v>268.59794099999999</v>
      </c>
      <c r="T7" s="63">
        <f t="shared" si="17"/>
        <v>511.13399799999996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96">
        <v>15600</v>
      </c>
      <c r="AI7" s="66">
        <v>4.55</v>
      </c>
      <c r="AJ7" s="66">
        <v>8.4499999999999993</v>
      </c>
      <c r="AK7" s="62">
        <f t="shared" si="18"/>
        <v>709.8</v>
      </c>
      <c r="AL7" s="72">
        <f t="shared" si="19"/>
        <v>1318.1999999999998</v>
      </c>
      <c r="AM7" s="73">
        <f t="shared" si="20"/>
        <v>-825.69800000000032</v>
      </c>
      <c r="AN7" s="74">
        <f t="shared" si="21"/>
        <v>-48.446058999999991</v>
      </c>
      <c r="AO7" s="74">
        <f t="shared" si="22"/>
        <v>-77.66200200000003</v>
      </c>
      <c r="AP7" s="75">
        <f t="shared" si="23"/>
        <v>-0.16173258358729362</v>
      </c>
      <c r="AQ7" s="76">
        <f t="shared" si="24"/>
        <v>-46538.986307726693</v>
      </c>
      <c r="AR7" s="90">
        <f t="shared" si="13"/>
        <v>-825.69800000000032</v>
      </c>
    </row>
    <row r="8" spans="1:44" x14ac:dyDescent="0.25">
      <c r="A8" t="str">
        <f t="shared" si="14"/>
        <v>46206M</v>
      </c>
      <c r="B8" s="51">
        <f>+B6+1</f>
        <v>46206</v>
      </c>
      <c r="C8" s="52" t="s">
        <v>87</v>
      </c>
      <c r="D8" s="91">
        <v>15600</v>
      </c>
      <c r="E8" s="62">
        <v>4.55</v>
      </c>
      <c r="F8" s="62">
        <v>8.4499999999999993</v>
      </c>
      <c r="G8" s="62">
        <f t="shared" si="0"/>
        <v>709.8</v>
      </c>
      <c r="H8" s="72">
        <f t="shared" si="1"/>
        <v>1318.1999999999998</v>
      </c>
      <c r="I8" s="202">
        <v>5243.8000000000011</v>
      </c>
      <c r="J8" s="202">
        <v>5401.1140000000014</v>
      </c>
      <c r="K8" s="202">
        <v>4.6619264655402564</v>
      </c>
      <c r="L8" s="202">
        <v>8.4373145428887444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5"/>
        <v>5401.1140000000014</v>
      </c>
      <c r="S8" s="62">
        <f t="shared" si="16"/>
        <v>251.79596300000003</v>
      </c>
      <c r="T8" s="63">
        <f t="shared" si="17"/>
        <v>455.70897700000012</v>
      </c>
      <c r="U8" s="64" t="s">
        <v>200</v>
      </c>
      <c r="V8" s="65" t="s">
        <v>338</v>
      </c>
      <c r="W8" s="66" t="s">
        <v>201</v>
      </c>
      <c r="X8" s="67">
        <v>18000</v>
      </c>
      <c r="Y8" s="68">
        <v>4.6500000000000004</v>
      </c>
      <c r="Z8" s="68">
        <v>8.34</v>
      </c>
      <c r="AA8" s="62">
        <f t="shared" si="5"/>
        <v>837.00000000000011</v>
      </c>
      <c r="AB8" s="63">
        <f t="shared" si="6"/>
        <v>1501.2</v>
      </c>
      <c r="AC8" s="69">
        <v>17830</v>
      </c>
      <c r="AD8" s="70">
        <v>4.5</v>
      </c>
      <c r="AE8" s="70">
        <v>8.31</v>
      </c>
      <c r="AF8" s="62">
        <f t="shared" si="7"/>
        <v>802.35</v>
      </c>
      <c r="AG8" s="63">
        <f>AC8*AE8%</f>
        <v>1481.6730000000002</v>
      </c>
      <c r="AH8" s="96">
        <v>3001</v>
      </c>
      <c r="AI8" s="66">
        <v>4.58</v>
      </c>
      <c r="AJ8" s="66">
        <v>8.4499999999999993</v>
      </c>
      <c r="AK8" s="62">
        <f t="shared" si="18"/>
        <v>137.44579999999999</v>
      </c>
      <c r="AL8" s="72">
        <f t="shared" si="19"/>
        <v>253.58449999999996</v>
      </c>
      <c r="AM8" s="73">
        <f t="shared" si="20"/>
        <v>170.1140000000014</v>
      </c>
      <c r="AN8" s="74">
        <f t="shared" si="21"/>
        <v>21.800162999999969</v>
      </c>
      <c r="AO8" s="74">
        <f t="shared" si="22"/>
        <v>38.651476999999858</v>
      </c>
      <c r="AP8" s="75">
        <f t="shared" si="23"/>
        <v>8.5443417539953589E-2</v>
      </c>
      <c r="AQ8" s="76">
        <f t="shared" si="24"/>
        <v>22051.461105183287</v>
      </c>
      <c r="AR8" s="90">
        <f t="shared" ref="AR8:AR21" si="25">(D8+J8+O8)-(X8+AH8)</f>
        <v>0.11400000000139698</v>
      </c>
    </row>
    <row r="9" spans="1:44" x14ac:dyDescent="0.25">
      <c r="A9" t="str">
        <f t="shared" si="14"/>
        <v>46206E</v>
      </c>
      <c r="B9" s="51">
        <f t="shared" ref="B9:B65" si="26">+B7+1</f>
        <v>46206</v>
      </c>
      <c r="C9" s="52" t="s">
        <v>88</v>
      </c>
      <c r="D9" s="91">
        <v>3001</v>
      </c>
      <c r="E9" s="62">
        <v>4.58</v>
      </c>
      <c r="F9" s="62">
        <v>8.4499999999999993</v>
      </c>
      <c r="G9" s="62">
        <f t="shared" si="0"/>
        <v>137.44579999999999</v>
      </c>
      <c r="H9" s="72">
        <f t="shared" si="1"/>
        <v>253.58449999999996</v>
      </c>
      <c r="I9" s="202">
        <v>7882.2000000000016</v>
      </c>
      <c r="J9" s="202">
        <v>8118.666000000002</v>
      </c>
      <c r="K9" s="202">
        <v>4.255556824236888</v>
      </c>
      <c r="L9" s="202">
        <v>8.4543084418055852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5"/>
        <v>8118.666000000002</v>
      </c>
      <c r="S9" s="62">
        <f t="shared" si="16"/>
        <v>345.49444500000004</v>
      </c>
      <c r="T9" s="63">
        <f t="shared" si="17"/>
        <v>686.37706500000002</v>
      </c>
      <c r="U9" s="64" t="s">
        <v>339</v>
      </c>
      <c r="V9" s="65" t="s">
        <v>340</v>
      </c>
      <c r="W9" s="66" t="s">
        <v>184</v>
      </c>
      <c r="X9" s="67">
        <v>5910</v>
      </c>
      <c r="Y9" s="68">
        <v>4.4000000000000004</v>
      </c>
      <c r="Z9" s="68">
        <v>8.41</v>
      </c>
      <c r="AA9" s="62">
        <f t="shared" si="5"/>
        <v>260.04000000000002</v>
      </c>
      <c r="AB9" s="63">
        <f t="shared" si="6"/>
        <v>497.03100000000006</v>
      </c>
      <c r="AC9" s="69">
        <v>5860</v>
      </c>
      <c r="AD9" s="70">
        <v>4.25</v>
      </c>
      <c r="AE9" s="70">
        <v>8.1300000000000008</v>
      </c>
      <c r="AF9" s="62">
        <f t="shared" si="7"/>
        <v>249.05</v>
      </c>
      <c r="AG9" s="63">
        <f t="shared" si="8"/>
        <v>476.41800000000006</v>
      </c>
      <c r="AH9" s="96">
        <v>5209</v>
      </c>
      <c r="AI9" s="66">
        <v>4.3499999999999996</v>
      </c>
      <c r="AJ9" s="66">
        <v>8.4499999999999993</v>
      </c>
      <c r="AK9" s="62">
        <f t="shared" si="18"/>
        <v>226.5915</v>
      </c>
      <c r="AL9" s="72">
        <f t="shared" si="19"/>
        <v>440.16049999999996</v>
      </c>
      <c r="AM9" s="73">
        <f t="shared" si="20"/>
        <v>50.666000000001077</v>
      </c>
      <c r="AN9" s="74">
        <f t="shared" si="21"/>
        <v>7.2987449999999967</v>
      </c>
      <c r="AO9" s="74">
        <f t="shared" si="22"/>
        <v>23.383064999999931</v>
      </c>
      <c r="AP9" s="75">
        <f t="shared" si="23"/>
        <v>2.9734138119580342E-2</v>
      </c>
      <c r="AQ9" s="76">
        <f t="shared" si="24"/>
        <v>10510.304320067062</v>
      </c>
      <c r="AR9" s="90">
        <f t="shared" si="25"/>
        <v>0.66600000000107684</v>
      </c>
    </row>
    <row r="10" spans="1:44" x14ac:dyDescent="0.25">
      <c r="A10" t="str">
        <f t="shared" si="14"/>
        <v>46207M</v>
      </c>
      <c r="B10" s="51">
        <f t="shared" si="26"/>
        <v>46207</v>
      </c>
      <c r="C10" s="52" t="s">
        <v>87</v>
      </c>
      <c r="D10" s="91">
        <v>5209</v>
      </c>
      <c r="E10" s="62">
        <v>4.3499999999999996</v>
      </c>
      <c r="F10" s="62">
        <v>8.4499999999999993</v>
      </c>
      <c r="G10" s="62">
        <f t="shared" si="0"/>
        <v>226.5915</v>
      </c>
      <c r="H10" s="72">
        <f t="shared" si="1"/>
        <v>440.16049999999996</v>
      </c>
      <c r="I10" s="202">
        <v>6851.4</v>
      </c>
      <c r="J10" s="202">
        <v>7056.942</v>
      </c>
      <c r="K10" s="202">
        <v>4.7024403771491956</v>
      </c>
      <c r="L10" s="202">
        <v>8.477606036722424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5"/>
        <v>7056.942</v>
      </c>
      <c r="S10" s="62">
        <f t="shared" si="16"/>
        <v>331.84848999999997</v>
      </c>
      <c r="T10" s="72">
        <f t="shared" si="17"/>
        <v>598.25974100000019</v>
      </c>
      <c r="U10" s="65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96">
        <v>12265</v>
      </c>
      <c r="AI10" s="66">
        <v>4.55</v>
      </c>
      <c r="AJ10" s="66">
        <v>8.4700000000000006</v>
      </c>
      <c r="AK10" s="62">
        <f t="shared" si="18"/>
        <v>558.0575</v>
      </c>
      <c r="AL10" s="72">
        <f t="shared" si="19"/>
        <v>1038.8455000000001</v>
      </c>
      <c r="AM10" s="73">
        <f t="shared" si="20"/>
        <v>0.94199999999909778</v>
      </c>
      <c r="AN10" s="74">
        <f t="shared" si="21"/>
        <v>0.38248999999996158</v>
      </c>
      <c r="AO10" s="74">
        <f t="shared" si="22"/>
        <v>-0.42525899999986905</v>
      </c>
      <c r="AP10" s="75">
        <f t="shared" si="23"/>
        <v>-4.5982820680905742E-5</v>
      </c>
      <c r="AQ10" s="76">
        <f t="shared" si="24"/>
        <v>56.437609055309139</v>
      </c>
      <c r="AR10" s="90">
        <f t="shared" si="25"/>
        <v>0.94199999999909778</v>
      </c>
    </row>
    <row r="11" spans="1:44" x14ac:dyDescent="0.25">
      <c r="A11" t="str">
        <f t="shared" si="14"/>
        <v>46207E</v>
      </c>
      <c r="B11" s="51">
        <f t="shared" si="26"/>
        <v>46207</v>
      </c>
      <c r="C11" s="52" t="s">
        <v>88</v>
      </c>
      <c r="D11" s="91">
        <v>12265</v>
      </c>
      <c r="E11" s="62">
        <v>4.55</v>
      </c>
      <c r="F11" s="62">
        <v>8.4700000000000006</v>
      </c>
      <c r="G11" s="62">
        <f t="shared" si="0"/>
        <v>558.0575</v>
      </c>
      <c r="H11" s="72">
        <f t="shared" si="1"/>
        <v>1038.8455000000001</v>
      </c>
      <c r="I11" s="202">
        <v>7398.2999999999993</v>
      </c>
      <c r="J11" s="202">
        <v>7620.2489999999998</v>
      </c>
      <c r="K11" s="202">
        <v>4.3596420799372835</v>
      </c>
      <c r="L11" s="202">
        <v>8.3541908276225652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5"/>
        <v>7620.2489999999998</v>
      </c>
      <c r="S11" s="62">
        <f t="shared" si="16"/>
        <v>332.21558200000004</v>
      </c>
      <c r="T11" s="72">
        <f t="shared" si="17"/>
        <v>636.61014300000022</v>
      </c>
      <c r="U11" s="65" t="s">
        <v>200</v>
      </c>
      <c r="V11" s="65" t="s">
        <v>341</v>
      </c>
      <c r="W11" s="66" t="s">
        <v>201</v>
      </c>
      <c r="X11" s="67">
        <v>18500</v>
      </c>
      <c r="Y11" s="68">
        <v>4.3</v>
      </c>
      <c r="Z11" s="68">
        <v>8.39</v>
      </c>
      <c r="AA11" s="62">
        <f t="shared" si="5"/>
        <v>795.49999999999989</v>
      </c>
      <c r="AB11" s="63">
        <f t="shared" si="6"/>
        <v>1552.15</v>
      </c>
      <c r="AC11" s="69">
        <v>18290</v>
      </c>
      <c r="AD11" s="70">
        <v>4.2</v>
      </c>
      <c r="AE11" s="70">
        <v>8.3800000000000008</v>
      </c>
      <c r="AF11" s="62">
        <f t="shared" si="7"/>
        <v>768.18000000000006</v>
      </c>
      <c r="AG11" s="63">
        <f t="shared" si="8"/>
        <v>1532.7020000000002</v>
      </c>
      <c r="AH11" s="96">
        <v>1385</v>
      </c>
      <c r="AI11" s="66">
        <v>4.4800000000000004</v>
      </c>
      <c r="AJ11" s="66">
        <v>8.42</v>
      </c>
      <c r="AK11" s="62">
        <f t="shared" si="18"/>
        <v>62.048000000000009</v>
      </c>
      <c r="AL11" s="72">
        <f t="shared" si="19"/>
        <v>116.61699999999999</v>
      </c>
      <c r="AM11" s="73">
        <f t="shared" si="20"/>
        <v>210.2489999999998</v>
      </c>
      <c r="AN11" s="74">
        <f t="shared" si="21"/>
        <v>60.045081999999972</v>
      </c>
      <c r="AO11" s="74">
        <f t="shared" si="22"/>
        <v>26.136643000000021</v>
      </c>
      <c r="AP11" s="75">
        <f t="shared" si="23"/>
        <v>8.8954827247181095E-2</v>
      </c>
      <c r="AQ11" s="76">
        <f t="shared" si="24"/>
        <v>36681.308050543761</v>
      </c>
      <c r="AR11" s="90">
        <f t="shared" si="25"/>
        <v>0.24899999999979627</v>
      </c>
    </row>
    <row r="12" spans="1:44" x14ac:dyDescent="0.25">
      <c r="A12" t="str">
        <f t="shared" si="14"/>
        <v>46208M</v>
      </c>
      <c r="B12" s="51">
        <f t="shared" si="26"/>
        <v>46208</v>
      </c>
      <c r="C12" s="52" t="s">
        <v>87</v>
      </c>
      <c r="D12" s="91">
        <v>1385</v>
      </c>
      <c r="E12" s="62">
        <v>4.4800000000000004</v>
      </c>
      <c r="F12" s="62">
        <v>8.42</v>
      </c>
      <c r="G12" s="62">
        <f t="shared" si="0"/>
        <v>62.048000000000009</v>
      </c>
      <c r="H12" s="72">
        <f t="shared" si="1"/>
        <v>116.61699999999999</v>
      </c>
      <c r="I12" s="202">
        <v>7360.7999999999993</v>
      </c>
      <c r="J12" s="202">
        <v>7581.6239999999998</v>
      </c>
      <c r="K12" s="202">
        <v>4.5260528746875321</v>
      </c>
      <c r="L12" s="202">
        <v>8.2739240299967385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5"/>
        <v>7581.6239999999998</v>
      </c>
      <c r="S12" s="62">
        <f t="shared" si="16"/>
        <v>343.14831099999986</v>
      </c>
      <c r="T12" s="72">
        <f t="shared" si="17"/>
        <v>627.29780999999991</v>
      </c>
      <c r="U12" s="65" t="s">
        <v>167</v>
      </c>
      <c r="V12" s="65" t="s">
        <v>167</v>
      </c>
      <c r="W12" s="66">
        <v>0</v>
      </c>
      <c r="X12" s="68">
        <v>0</v>
      </c>
      <c r="Y12" s="68">
        <v>0</v>
      </c>
      <c r="Z12" s="68">
        <v>0</v>
      </c>
      <c r="AA12" s="62">
        <f>Y12*Z12%</f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96">
        <v>8966</v>
      </c>
      <c r="AI12" s="66">
        <v>4.5199999999999996</v>
      </c>
      <c r="AJ12" s="66">
        <v>8.2899999999999991</v>
      </c>
      <c r="AK12" s="62">
        <f t="shared" si="18"/>
        <v>405.26319999999998</v>
      </c>
      <c r="AL12" s="72">
        <f t="shared" si="19"/>
        <v>743.28139999999985</v>
      </c>
      <c r="AM12" s="73">
        <f t="shared" si="20"/>
        <v>0.62399999999979627</v>
      </c>
      <c r="AN12" s="74">
        <f t="shared" si="21"/>
        <v>-6.6889000000116994E-2</v>
      </c>
      <c r="AO12" s="74">
        <f t="shared" si="22"/>
        <v>0.63341000000002623</v>
      </c>
      <c r="AP12" s="75">
        <f t="shared" si="23"/>
        <v>5.8377377964696862E-4</v>
      </c>
      <c r="AQ12" s="76">
        <f t="shared" si="24"/>
        <v>157.55831456256738</v>
      </c>
      <c r="AR12" s="90">
        <f t="shared" si="25"/>
        <v>0.62399999999979627</v>
      </c>
    </row>
    <row r="13" spans="1:44" x14ac:dyDescent="0.25">
      <c r="A13" t="str">
        <f t="shared" si="14"/>
        <v>46208E</v>
      </c>
      <c r="B13" s="51">
        <f t="shared" si="26"/>
        <v>46208</v>
      </c>
      <c r="C13" s="52" t="s">
        <v>88</v>
      </c>
      <c r="D13" s="91">
        <v>8966</v>
      </c>
      <c r="E13" s="62">
        <v>4.5199999999999996</v>
      </c>
      <c r="F13" s="62">
        <v>8.2899999999999991</v>
      </c>
      <c r="G13" s="62">
        <f t="shared" si="0"/>
        <v>405.26319999999998</v>
      </c>
      <c r="H13" s="72">
        <f t="shared" si="1"/>
        <v>743.28139999999985</v>
      </c>
      <c r="I13" s="202">
        <v>7699.800000000002</v>
      </c>
      <c r="J13" s="202">
        <v>7930.7940000000026</v>
      </c>
      <c r="K13" s="202">
        <v>4.296547962284734</v>
      </c>
      <c r="L13" s="202">
        <v>8.4265877035767236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5"/>
        <v>7930.7940000000026</v>
      </c>
      <c r="S13" s="62">
        <f t="shared" si="16"/>
        <v>340.75036800000004</v>
      </c>
      <c r="T13" s="72">
        <f t="shared" si="17"/>
        <v>668.29531200000088</v>
      </c>
      <c r="U13" s="65" t="s">
        <v>197</v>
      </c>
      <c r="V13" s="65" t="s">
        <v>342</v>
      </c>
      <c r="W13" s="66" t="s">
        <v>184</v>
      </c>
      <c r="X13" s="67">
        <v>9200</v>
      </c>
      <c r="Y13" s="68">
        <v>4.3500000000000005</v>
      </c>
      <c r="Z13" s="68">
        <v>8.4000000000000021</v>
      </c>
      <c r="AA13" s="62">
        <f t="shared" si="5"/>
        <v>400.20000000000005</v>
      </c>
      <c r="AB13" s="63">
        <f>X13*Z13%</f>
        <v>772.80000000000018</v>
      </c>
      <c r="AC13" s="69">
        <v>9190</v>
      </c>
      <c r="AD13" s="70">
        <v>4.2</v>
      </c>
      <c r="AE13" s="70">
        <v>8.3699999999999992</v>
      </c>
      <c r="AF13" s="62">
        <f t="shared" si="7"/>
        <v>385.98</v>
      </c>
      <c r="AG13" s="63">
        <f t="shared" si="8"/>
        <v>769.20299999999997</v>
      </c>
      <c r="AH13" s="96">
        <v>7696</v>
      </c>
      <c r="AI13" s="66">
        <v>4.42</v>
      </c>
      <c r="AJ13" s="66">
        <v>8.36</v>
      </c>
      <c r="AK13" s="62">
        <f t="shared" si="18"/>
        <v>340.16319999999996</v>
      </c>
      <c r="AL13" s="72">
        <f t="shared" si="19"/>
        <v>643.38559999999995</v>
      </c>
      <c r="AM13" s="73">
        <f t="shared" si="20"/>
        <v>10.794000000001688</v>
      </c>
      <c r="AN13" s="74">
        <f t="shared" si="21"/>
        <v>19.870368000000099</v>
      </c>
      <c r="AO13" s="74">
        <f t="shared" si="22"/>
        <v>-1.0118879999992032</v>
      </c>
      <c r="AP13" s="75">
        <f t="shared" si="23"/>
        <v>1.8689421473962287E-2</v>
      </c>
      <c r="AQ13" s="76">
        <f t="shared" si="24"/>
        <v>9245.3070857990369</v>
      </c>
      <c r="AR13" s="90">
        <f t="shared" si="25"/>
        <v>0.79400000000168802</v>
      </c>
    </row>
    <row r="14" spans="1:44" x14ac:dyDescent="0.25">
      <c r="A14" t="str">
        <f t="shared" si="14"/>
        <v>46209M</v>
      </c>
      <c r="B14" s="51">
        <f t="shared" si="26"/>
        <v>46209</v>
      </c>
      <c r="C14" s="52" t="s">
        <v>87</v>
      </c>
      <c r="D14" s="91">
        <v>7696</v>
      </c>
      <c r="E14" s="62">
        <v>4.42</v>
      </c>
      <c r="F14" s="62">
        <v>8.36</v>
      </c>
      <c r="G14" s="62">
        <f t="shared" si="0"/>
        <v>340.16319999999996</v>
      </c>
      <c r="H14" s="72">
        <f t="shared" si="1"/>
        <v>643.38559999999995</v>
      </c>
      <c r="I14" s="202">
        <v>9077.6</v>
      </c>
      <c r="J14" s="202">
        <v>9349.9279999999999</v>
      </c>
      <c r="K14" s="202">
        <v>4.3871540935930202</v>
      </c>
      <c r="L14" s="202">
        <v>8.2641149643077441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5"/>
        <v>9349.9279999999999</v>
      </c>
      <c r="S14" s="62">
        <f t="shared" si="16"/>
        <v>410.19574899999998</v>
      </c>
      <c r="T14" s="72">
        <f t="shared" si="17"/>
        <v>772.68879899999968</v>
      </c>
      <c r="U14" s="65" t="s">
        <v>198</v>
      </c>
      <c r="V14" s="65" t="s">
        <v>404</v>
      </c>
      <c r="W14" s="66" t="s">
        <v>184</v>
      </c>
      <c r="X14" s="67">
        <v>7200</v>
      </c>
      <c r="Y14" s="68">
        <v>4.05</v>
      </c>
      <c r="Z14" s="68">
        <v>8.4700000000000024</v>
      </c>
      <c r="AA14" s="62">
        <f t="shared" si="5"/>
        <v>291.60000000000002</v>
      </c>
      <c r="AB14" s="63">
        <f t="shared" si="6"/>
        <v>609.84000000000015</v>
      </c>
      <c r="AC14" s="69">
        <v>7210</v>
      </c>
      <c r="AD14" s="70">
        <v>3.9257281553398053</v>
      </c>
      <c r="AE14" s="70">
        <v>8.4451456310679625</v>
      </c>
      <c r="AF14" s="62">
        <f t="shared" si="7"/>
        <v>283.04499999999996</v>
      </c>
      <c r="AG14" s="63">
        <f t="shared" si="8"/>
        <v>608.8950000000001</v>
      </c>
      <c r="AH14" s="96">
        <v>9845</v>
      </c>
      <c r="AI14" s="66">
        <v>4.4000000000000004</v>
      </c>
      <c r="AJ14" s="66">
        <v>8.31</v>
      </c>
      <c r="AK14" s="62">
        <f t="shared" si="18"/>
        <v>433.18000000000006</v>
      </c>
      <c r="AL14" s="72">
        <f t="shared" si="19"/>
        <v>818.11950000000002</v>
      </c>
      <c r="AM14" s="73">
        <f t="shared" si="20"/>
        <v>-9.0720000000001164</v>
      </c>
      <c r="AN14" s="74">
        <f t="shared" si="21"/>
        <v>34.133948999999916</v>
      </c>
      <c r="AO14" s="74">
        <f t="shared" si="22"/>
        <v>-10.940101000000482</v>
      </c>
      <c r="AP14" s="75">
        <f t="shared" si="23"/>
        <v>1.9607871316955815E-2</v>
      </c>
      <c r="AQ14" s="76">
        <f t="shared" si="24"/>
        <v>13126.01057740288</v>
      </c>
      <c r="AR14" s="90">
        <f t="shared" si="25"/>
        <v>0.92799999999988358</v>
      </c>
    </row>
    <row r="15" spans="1:44" x14ac:dyDescent="0.25">
      <c r="A15" t="str">
        <f t="shared" si="14"/>
        <v>46209E</v>
      </c>
      <c r="B15" s="51">
        <f t="shared" si="26"/>
        <v>46209</v>
      </c>
      <c r="C15" s="52" t="s">
        <v>88</v>
      </c>
      <c r="D15" s="91">
        <v>9845</v>
      </c>
      <c r="E15" s="62">
        <v>4.4000000000000004</v>
      </c>
      <c r="F15" s="62">
        <v>8.31</v>
      </c>
      <c r="G15" s="62">
        <f t="shared" si="0"/>
        <v>433.18000000000006</v>
      </c>
      <c r="H15" s="72">
        <f t="shared" si="1"/>
        <v>818.11950000000002</v>
      </c>
      <c r="I15" s="202">
        <v>9557.8999999999978</v>
      </c>
      <c r="J15" s="202">
        <v>9844.6369999999988</v>
      </c>
      <c r="K15" s="202">
        <v>4.3808179621046479</v>
      </c>
      <c r="L15" s="202">
        <v>8.3500068006570487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5"/>
        <v>9844.6369999999988</v>
      </c>
      <c r="S15" s="62">
        <f t="shared" si="16"/>
        <v>431.2756260000001</v>
      </c>
      <c r="T15" s="72">
        <f t="shared" si="17"/>
        <v>822.02785900000003</v>
      </c>
      <c r="U15" s="65" t="s">
        <v>200</v>
      </c>
      <c r="V15" s="65" t="s">
        <v>405</v>
      </c>
      <c r="W15" s="66" t="s">
        <v>184</v>
      </c>
      <c r="X15" s="67">
        <v>18500</v>
      </c>
      <c r="Y15" s="68">
        <v>4.3</v>
      </c>
      <c r="Z15" s="68">
        <v>8.39</v>
      </c>
      <c r="AA15" s="62">
        <f t="shared" si="5"/>
        <v>795.49999999999989</v>
      </c>
      <c r="AB15" s="63">
        <f t="shared" si="6"/>
        <v>1552.15</v>
      </c>
      <c r="AC15" s="69">
        <v>18340</v>
      </c>
      <c r="AD15" s="70">
        <v>4.2999999999999989</v>
      </c>
      <c r="AE15" s="70">
        <v>8.39</v>
      </c>
      <c r="AF15" s="62">
        <f t="shared" si="7"/>
        <v>788.61999999999978</v>
      </c>
      <c r="AG15" s="63">
        <f t="shared" si="8"/>
        <v>1538.7260000000001</v>
      </c>
      <c r="AH15" s="96">
        <v>1189</v>
      </c>
      <c r="AI15" s="66">
        <v>4.3899999999999997</v>
      </c>
      <c r="AJ15" s="66">
        <v>8.33</v>
      </c>
      <c r="AK15" s="62">
        <f t="shared" si="18"/>
        <v>52.197099999999992</v>
      </c>
      <c r="AL15" s="72">
        <f t="shared" si="19"/>
        <v>99.043700000000001</v>
      </c>
      <c r="AM15" s="73">
        <f t="shared" si="20"/>
        <v>160.63699999999881</v>
      </c>
      <c r="AN15" s="74">
        <f t="shared" si="21"/>
        <v>23.638526000000397</v>
      </c>
      <c r="AO15" s="74">
        <f t="shared" si="22"/>
        <v>2.3776589999999374</v>
      </c>
      <c r="AP15" s="75">
        <f t="shared" si="23"/>
        <v>2.0758088772090448E-2</v>
      </c>
      <c r="AQ15" s="76">
        <f t="shared" si="24"/>
        <v>12071.168795893493</v>
      </c>
      <c r="AR15" s="90">
        <f t="shared" si="25"/>
        <v>0.63699999999880674</v>
      </c>
    </row>
    <row r="16" spans="1:44" x14ac:dyDescent="0.25">
      <c r="A16" t="str">
        <f t="shared" si="14"/>
        <v>46210M</v>
      </c>
      <c r="B16" s="51">
        <f t="shared" si="26"/>
        <v>46210</v>
      </c>
      <c r="C16" s="52" t="s">
        <v>87</v>
      </c>
      <c r="D16" s="91">
        <v>1189</v>
      </c>
      <c r="E16" s="62">
        <v>4.3899999999999997</v>
      </c>
      <c r="F16" s="62">
        <v>8.33</v>
      </c>
      <c r="G16" s="62">
        <f t="shared" ref="G16:G27" si="27">+D16*E16%</f>
        <v>52.197099999999992</v>
      </c>
      <c r="H16" s="72">
        <f t="shared" ref="H16:H27" si="28">+D16*F16%</f>
        <v>99.043700000000001</v>
      </c>
      <c r="I16" s="202">
        <v>8832.1999999999971</v>
      </c>
      <c r="J16" s="202">
        <v>9097.1659999999974</v>
      </c>
      <c r="K16" s="202">
        <v>4.3886211815855605</v>
      </c>
      <c r="L16" s="202">
        <v>8.444875568940919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5"/>
        <v>9097.1659999999974</v>
      </c>
      <c r="S16" s="62">
        <f t="shared" si="16"/>
        <v>399.24015399999979</v>
      </c>
      <c r="T16" s="72">
        <f t="shared" si="17"/>
        <v>768.2443489999996</v>
      </c>
      <c r="U16" s="65" t="s">
        <v>339</v>
      </c>
      <c r="V16" s="65" t="s">
        <v>406</v>
      </c>
      <c r="W16" s="66" t="s">
        <v>184</v>
      </c>
      <c r="X16" s="67">
        <v>5900</v>
      </c>
      <c r="Y16" s="68">
        <v>4.45</v>
      </c>
      <c r="Z16" s="68">
        <v>8.41</v>
      </c>
      <c r="AA16" s="62">
        <f t="shared" si="5"/>
        <v>262.55</v>
      </c>
      <c r="AB16" s="63">
        <f t="shared" si="6"/>
        <v>496.19000000000005</v>
      </c>
      <c r="AC16" s="69">
        <v>5870</v>
      </c>
      <c r="AD16" s="70">
        <v>4.2999999999999989</v>
      </c>
      <c r="AE16" s="70">
        <v>8.3899999999999988</v>
      </c>
      <c r="AF16" s="62">
        <f t="shared" si="7"/>
        <v>252.40999999999994</v>
      </c>
      <c r="AG16" s="63">
        <f t="shared" si="8"/>
        <v>492.49299999999994</v>
      </c>
      <c r="AH16" s="96">
        <v>4386</v>
      </c>
      <c r="AI16" s="66">
        <v>4.3899999999999997</v>
      </c>
      <c r="AJ16" s="66">
        <v>8.43</v>
      </c>
      <c r="AK16" s="62">
        <f t="shared" si="18"/>
        <v>192.54539999999997</v>
      </c>
      <c r="AL16" s="72">
        <f t="shared" si="19"/>
        <v>369.7398</v>
      </c>
      <c r="AM16" s="73">
        <f t="shared" si="20"/>
        <v>30.165999999997439</v>
      </c>
      <c r="AN16" s="74">
        <f t="shared" si="21"/>
        <v>6.4818539999998563</v>
      </c>
      <c r="AO16" s="74">
        <f t="shared" si="22"/>
        <v>5.0552489999996055</v>
      </c>
      <c r="AP16" s="75">
        <f t="shared" si="23"/>
        <v>9.8820181084660341E-3</v>
      </c>
      <c r="AQ16" s="76">
        <f t="shared" si="24"/>
        <v>4628.7438792690236</v>
      </c>
      <c r="AR16" s="90">
        <f t="shared" si="25"/>
        <v>0.16599999999743886</v>
      </c>
    </row>
    <row r="17" spans="1:49" x14ac:dyDescent="0.25">
      <c r="A17" t="str">
        <f t="shared" si="14"/>
        <v>46210E</v>
      </c>
      <c r="B17" s="51">
        <f t="shared" si="26"/>
        <v>46210</v>
      </c>
      <c r="C17" s="52" t="s">
        <v>88</v>
      </c>
      <c r="D17" s="91">
        <v>4386</v>
      </c>
      <c r="E17" s="62">
        <v>4.3899999999999997</v>
      </c>
      <c r="F17" s="62">
        <v>8.43</v>
      </c>
      <c r="G17" s="62">
        <f t="shared" si="27"/>
        <v>192.54539999999997</v>
      </c>
      <c r="H17" s="72">
        <f t="shared" si="28"/>
        <v>369.7398</v>
      </c>
      <c r="I17" s="202">
        <v>9787.5</v>
      </c>
      <c r="J17" s="202">
        <v>10081.125</v>
      </c>
      <c r="K17" s="202">
        <v>4.1667320561941255</v>
      </c>
      <c r="L17" s="202">
        <v>8.4104214559387014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5"/>
        <v>10081.125</v>
      </c>
      <c r="S17" s="62">
        <f t="shared" si="16"/>
        <v>420.05346700000001</v>
      </c>
      <c r="T17" s="72">
        <f t="shared" si="17"/>
        <v>847.86510000000044</v>
      </c>
      <c r="U17" s="65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96">
        <v>14467</v>
      </c>
      <c r="AI17" s="66">
        <v>4.2300000000000004</v>
      </c>
      <c r="AJ17" s="66">
        <v>8.44</v>
      </c>
      <c r="AK17" s="62">
        <f t="shared" si="18"/>
        <v>611.95410000000004</v>
      </c>
      <c r="AL17" s="72">
        <f t="shared" si="19"/>
        <v>1221.0147999999999</v>
      </c>
      <c r="AM17" s="73">
        <f t="shared" si="20"/>
        <v>0.125</v>
      </c>
      <c r="AN17" s="74">
        <f t="shared" si="21"/>
        <v>0.64476699999988796</v>
      </c>
      <c r="AO17" s="74">
        <f t="shared" si="22"/>
        <v>-3.4098999999994248</v>
      </c>
      <c r="AP17" s="75">
        <f t="shared" si="23"/>
        <v>-2.1808443160053008E-3</v>
      </c>
      <c r="AQ17" s="76">
        <f t="shared" si="24"/>
        <v>-711.40316496625474</v>
      </c>
      <c r="AR17" s="90">
        <f t="shared" si="25"/>
        <v>0.125</v>
      </c>
      <c r="AS17" s="90">
        <f>SUM(J4:J17)</f>
        <v>104207.88100000001</v>
      </c>
      <c r="AT17" s="83">
        <f>SUM(AM4:AM17)</f>
        <v>70.881000000001222</v>
      </c>
      <c r="AU17" s="83">
        <f>SUM(AN4:AN17)</f>
        <v>171.21300200000022</v>
      </c>
      <c r="AV17" s="83">
        <f>SUM(AO4:AO17)</f>
        <v>88.374983000000498</v>
      </c>
      <c r="AW17" s="83">
        <f>-SUM(AQ4:AQ17)</f>
        <v>-108740.94048147736</v>
      </c>
    </row>
    <row r="18" spans="1:49" x14ac:dyDescent="0.25">
      <c r="A18" t="str">
        <f t="shared" si="14"/>
        <v>46211M</v>
      </c>
      <c r="B18" s="51">
        <f t="shared" si="26"/>
        <v>46211</v>
      </c>
      <c r="C18" s="52" t="s">
        <v>87</v>
      </c>
      <c r="D18" s="91">
        <v>14467</v>
      </c>
      <c r="E18" s="62">
        <v>4.2300000000000004</v>
      </c>
      <c r="F18" s="62">
        <v>8.44</v>
      </c>
      <c r="G18" s="62">
        <f t="shared" si="27"/>
        <v>611.95410000000004</v>
      </c>
      <c r="H18" s="72">
        <f t="shared" si="28"/>
        <v>1221.0147999999999</v>
      </c>
      <c r="I18" s="202">
        <v>7332.7999999999993</v>
      </c>
      <c r="J18" s="202">
        <v>7552.7839999999997</v>
      </c>
      <c r="K18" s="202">
        <v>4.3248472616190261</v>
      </c>
      <c r="L18" s="202">
        <v>8.3838724634518869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5"/>
        <v>7552.7839999999997</v>
      </c>
      <c r="S18" s="62">
        <f t="shared" si="16"/>
        <v>326.64637199999993</v>
      </c>
      <c r="T18" s="72">
        <f t="shared" si="17"/>
        <v>633.215778</v>
      </c>
      <c r="U18" s="65" t="s">
        <v>200</v>
      </c>
      <c r="V18" s="65" t="s">
        <v>407</v>
      </c>
      <c r="W18" s="66" t="s">
        <v>201</v>
      </c>
      <c r="X18" s="67">
        <v>17700</v>
      </c>
      <c r="Y18" s="68">
        <v>4.2</v>
      </c>
      <c r="Z18" s="68">
        <v>8.3699999999999992</v>
      </c>
      <c r="AA18" s="62">
        <f t="shared" si="5"/>
        <v>743.40000000000009</v>
      </c>
      <c r="AB18" s="63">
        <f t="shared" si="6"/>
        <v>1481.49</v>
      </c>
      <c r="AC18" s="69">
        <v>17440</v>
      </c>
      <c r="AD18" s="70">
        <v>4.0999999999999996</v>
      </c>
      <c r="AE18" s="70">
        <v>8.36</v>
      </c>
      <c r="AF18" s="62">
        <f t="shared" si="7"/>
        <v>715.04</v>
      </c>
      <c r="AG18" s="63">
        <f t="shared" si="8"/>
        <v>1457.9839999999999</v>
      </c>
      <c r="AH18" s="96">
        <v>4319</v>
      </c>
      <c r="AI18" s="66">
        <v>4.26</v>
      </c>
      <c r="AJ18" s="66">
        <v>8.42</v>
      </c>
      <c r="AK18" s="62">
        <f t="shared" si="18"/>
        <v>183.98939999999999</v>
      </c>
      <c r="AL18" s="72">
        <f t="shared" si="19"/>
        <v>363.65979999999996</v>
      </c>
      <c r="AM18" s="73">
        <f t="shared" si="20"/>
        <v>260.78399999999965</v>
      </c>
      <c r="AN18" s="74">
        <f t="shared" si="21"/>
        <v>39.571072000000015</v>
      </c>
      <c r="AO18" s="74">
        <f t="shared" si="22"/>
        <v>32.586778000000038</v>
      </c>
      <c r="AP18" s="75">
        <f t="shared" si="23"/>
        <v>7.5175221775335199E-2</v>
      </c>
      <c r="AQ18" s="76">
        <f t="shared" si="24"/>
        <v>28774.637899801597</v>
      </c>
      <c r="AR18" s="90">
        <f t="shared" si="25"/>
        <v>0.78399999999965075</v>
      </c>
    </row>
    <row r="19" spans="1:49" x14ac:dyDescent="0.25">
      <c r="A19" t="str">
        <f t="shared" si="14"/>
        <v>46211E</v>
      </c>
      <c r="B19" s="51">
        <f t="shared" si="26"/>
        <v>46211</v>
      </c>
      <c r="C19" s="52" t="s">
        <v>88</v>
      </c>
      <c r="D19" s="91">
        <v>4319</v>
      </c>
      <c r="E19" s="62">
        <v>4.26</v>
      </c>
      <c r="F19" s="62">
        <v>8.42</v>
      </c>
      <c r="G19" s="62">
        <f t="shared" si="27"/>
        <v>183.98939999999999</v>
      </c>
      <c r="H19" s="72">
        <f t="shared" si="28"/>
        <v>363.65979999999996</v>
      </c>
      <c r="I19" s="202">
        <v>8138.7000000000025</v>
      </c>
      <c r="J19" s="202">
        <v>8382.8610000000026</v>
      </c>
      <c r="K19" s="202">
        <v>4.3585879808814694</v>
      </c>
      <c r="L19" s="202">
        <v>8.3298708638971881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5"/>
        <v>8382.8610000000026</v>
      </c>
      <c r="S19" s="62">
        <f t="shared" si="16"/>
        <v>365.37437200000028</v>
      </c>
      <c r="T19" s="72">
        <f t="shared" si="17"/>
        <v>698.28149600000063</v>
      </c>
      <c r="U19" s="65" t="s">
        <v>199</v>
      </c>
      <c r="V19" s="65" t="s">
        <v>408</v>
      </c>
      <c r="W19" s="66" t="s">
        <v>184</v>
      </c>
      <c r="X19" s="67">
        <v>9900</v>
      </c>
      <c r="Y19" s="68">
        <v>4.4000000000000004</v>
      </c>
      <c r="Z19" s="68">
        <v>8.2899999999999991</v>
      </c>
      <c r="AA19" s="62">
        <f t="shared" si="5"/>
        <v>435.6</v>
      </c>
      <c r="AB19" s="63">
        <f t="shared" si="6"/>
        <v>820.70999999999992</v>
      </c>
      <c r="AC19" s="69">
        <v>9770</v>
      </c>
      <c r="AD19" s="70">
        <v>4.3495394063459569</v>
      </c>
      <c r="AE19" s="70">
        <v>8.1499078812691916</v>
      </c>
      <c r="AF19" s="62">
        <f t="shared" si="7"/>
        <v>424.95</v>
      </c>
      <c r="AG19" s="63">
        <f t="shared" si="8"/>
        <v>796.24599999999998</v>
      </c>
      <c r="AH19" s="96">
        <v>2801</v>
      </c>
      <c r="AI19" s="66">
        <v>4.32</v>
      </c>
      <c r="AJ19" s="66">
        <v>8.35</v>
      </c>
      <c r="AK19" s="62">
        <f t="shared" si="18"/>
        <v>121.00320000000001</v>
      </c>
      <c r="AL19" s="72">
        <f t="shared" si="19"/>
        <v>233.88349999999997</v>
      </c>
      <c r="AM19" s="73">
        <f t="shared" si="20"/>
        <v>130.8610000000026</v>
      </c>
      <c r="AN19" s="74">
        <f t="shared" si="21"/>
        <v>3.4105720000002719</v>
      </c>
      <c r="AO19" s="74">
        <f t="shared" si="22"/>
        <v>31.811796000000697</v>
      </c>
      <c r="AP19" s="75">
        <f t="shared" si="23"/>
        <v>3.3114439603694208E-2</v>
      </c>
      <c r="AQ19" s="76">
        <f t="shared" si="24"/>
        <v>11166.240545063183</v>
      </c>
      <c r="AR19" s="90">
        <f t="shared" si="25"/>
        <v>0.86100000000260479</v>
      </c>
    </row>
    <row r="20" spans="1:49" x14ac:dyDescent="0.25">
      <c r="A20" t="str">
        <f t="shared" si="14"/>
        <v>46212M</v>
      </c>
      <c r="B20" s="51">
        <f t="shared" si="26"/>
        <v>46212</v>
      </c>
      <c r="C20" s="52" t="s">
        <v>87</v>
      </c>
      <c r="D20" s="91">
        <v>2801</v>
      </c>
      <c r="E20" s="62">
        <v>4.32</v>
      </c>
      <c r="F20" s="62">
        <v>8.35</v>
      </c>
      <c r="G20" s="62">
        <f t="shared" si="27"/>
        <v>121.00320000000001</v>
      </c>
      <c r="H20" s="72">
        <f t="shared" si="28"/>
        <v>233.88349999999997</v>
      </c>
      <c r="I20" s="202">
        <v>9309.5999999999985</v>
      </c>
      <c r="J20" s="202">
        <v>9588.887999999999</v>
      </c>
      <c r="K20" s="202">
        <v>4.2821238291655925</v>
      </c>
      <c r="L20" s="202">
        <v>8.4418063074675622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5"/>
        <v>9588.887999999999</v>
      </c>
      <c r="S20" s="62">
        <f t="shared" si="16"/>
        <v>410.60805799999997</v>
      </c>
      <c r="T20" s="72">
        <f t="shared" si="17"/>
        <v>809.47535200000016</v>
      </c>
      <c r="U20" s="65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96">
        <v>12389</v>
      </c>
      <c r="AI20" s="66">
        <v>4.29</v>
      </c>
      <c r="AJ20" s="66">
        <v>8.42</v>
      </c>
      <c r="AK20" s="62">
        <f t="shared" si="18"/>
        <v>531.48810000000003</v>
      </c>
      <c r="AL20" s="72">
        <f t="shared" si="19"/>
        <v>1043.1538</v>
      </c>
      <c r="AM20" s="73">
        <f t="shared" si="20"/>
        <v>0.88799999999901047</v>
      </c>
      <c r="AN20" s="74">
        <f t="shared" si="21"/>
        <v>0.12315799999998944</v>
      </c>
      <c r="AO20" s="74">
        <f t="shared" si="22"/>
        <v>0.20505200000002333</v>
      </c>
      <c r="AP20" s="75">
        <f t="shared" si="23"/>
        <v>2.6900619851884776E-4</v>
      </c>
      <c r="AQ20" s="76">
        <f t="shared" si="24"/>
        <v>120.59267587499731</v>
      </c>
      <c r="AR20" s="90">
        <f t="shared" si="25"/>
        <v>0.88799999999901047</v>
      </c>
    </row>
    <row r="21" spans="1:49" x14ac:dyDescent="0.25">
      <c r="A21" t="str">
        <f t="shared" si="14"/>
        <v>46212E</v>
      </c>
      <c r="B21" s="51">
        <f t="shared" si="26"/>
        <v>46212</v>
      </c>
      <c r="C21" s="98" t="s">
        <v>88</v>
      </c>
      <c r="D21" s="91">
        <v>12389</v>
      </c>
      <c r="E21" s="62">
        <v>4.29</v>
      </c>
      <c r="F21" s="62">
        <v>8.42</v>
      </c>
      <c r="G21" s="62">
        <f t="shared" si="27"/>
        <v>531.48810000000003</v>
      </c>
      <c r="H21" s="72">
        <f t="shared" si="28"/>
        <v>1043.1538</v>
      </c>
      <c r="I21" s="202">
        <v>9827.6000000000022</v>
      </c>
      <c r="J21" s="202">
        <v>10122.428000000002</v>
      </c>
      <c r="K21" s="202">
        <v>4.2594417762220695</v>
      </c>
      <c r="L21" s="202">
        <v>8.3702735154055965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5"/>
        <v>10122.428000000002</v>
      </c>
      <c r="S21" s="62">
        <f t="shared" si="16"/>
        <v>431.15892700000023</v>
      </c>
      <c r="T21" s="72">
        <f t="shared" si="17"/>
        <v>847.27491000000055</v>
      </c>
      <c r="U21" s="65" t="s">
        <v>200</v>
      </c>
      <c r="V21" s="65" t="s">
        <v>409</v>
      </c>
      <c r="W21" s="66" t="s">
        <v>201</v>
      </c>
      <c r="X21" s="67">
        <v>18500</v>
      </c>
      <c r="Y21" s="68">
        <v>4.3</v>
      </c>
      <c r="Z21" s="68">
        <v>8.14</v>
      </c>
      <c r="AA21" s="62">
        <f t="shared" si="5"/>
        <v>795.49999999999989</v>
      </c>
      <c r="AB21" s="63">
        <f t="shared" si="6"/>
        <v>1505.9</v>
      </c>
      <c r="AC21" s="69">
        <v>18300</v>
      </c>
      <c r="AD21" s="70">
        <v>4.25</v>
      </c>
      <c r="AE21" s="70">
        <v>8.01</v>
      </c>
      <c r="AF21" s="62">
        <f t="shared" si="7"/>
        <v>777.75</v>
      </c>
      <c r="AG21" s="63">
        <f t="shared" si="8"/>
        <v>1465.8300000000002</v>
      </c>
      <c r="AH21" s="96">
        <v>7560</v>
      </c>
      <c r="AI21" s="66">
        <v>4.6500000000000004</v>
      </c>
      <c r="AJ21" s="66">
        <v>8.4499999999999993</v>
      </c>
      <c r="AK21" s="62">
        <f t="shared" si="18"/>
        <v>351.54000000000008</v>
      </c>
      <c r="AL21" s="72">
        <f t="shared" si="19"/>
        <v>638.81999999999994</v>
      </c>
      <c r="AM21" s="73">
        <f t="shared" si="20"/>
        <v>-3348.5720000000001</v>
      </c>
      <c r="AN21" s="74">
        <f t="shared" si="21"/>
        <v>-166.64297299999987</v>
      </c>
      <c r="AO21" s="74">
        <f t="shared" si="22"/>
        <v>-214.2212899999995</v>
      </c>
      <c r="AP21" s="75">
        <f t="shared" si="23"/>
        <v>-0.29791472345079922</v>
      </c>
      <c r="AQ21" s="76">
        <f t="shared" si="24"/>
        <v>-144234.74140723015</v>
      </c>
      <c r="AR21" s="90">
        <f t="shared" si="25"/>
        <v>-3548.5720000000001</v>
      </c>
      <c r="AS21" s="90">
        <f>SUM(J8:J21)</f>
        <v>117729.20599999999</v>
      </c>
      <c r="AT21" s="83">
        <f>SUM(AM8:AM21)</f>
        <v>-2330.7939999999999</v>
      </c>
      <c r="AU21" s="83">
        <f>SUM(AN8:AN21)</f>
        <v>50.690884000000324</v>
      </c>
      <c r="AV21" s="83">
        <f>SUM(AO8:AO21)</f>
        <v>-69.16730899999834</v>
      </c>
      <c r="AW21" s="83">
        <f>-SUM(AQ8:AQ21)</f>
        <v>-3643.6262863198062</v>
      </c>
    </row>
    <row r="22" spans="1:49" x14ac:dyDescent="0.25">
      <c r="A22" t="str">
        <f t="shared" si="14"/>
        <v>46213M</v>
      </c>
      <c r="B22" s="51">
        <f t="shared" si="26"/>
        <v>46213</v>
      </c>
      <c r="C22" s="52" t="s">
        <v>87</v>
      </c>
      <c r="D22" s="91">
        <v>7560</v>
      </c>
      <c r="E22" s="62">
        <v>4.6500000000000004</v>
      </c>
      <c r="F22" s="62">
        <v>8.4499999999999993</v>
      </c>
      <c r="G22" s="62">
        <f t="shared" si="27"/>
        <v>351.54000000000008</v>
      </c>
      <c r="H22" s="72">
        <f t="shared" si="28"/>
        <v>638.81999999999994</v>
      </c>
      <c r="I22" s="202">
        <v>9328.5</v>
      </c>
      <c r="J22" s="202">
        <v>9608.3549999999996</v>
      </c>
      <c r="K22" s="202">
        <v>4.4403108752746974</v>
      </c>
      <c r="L22" s="202">
        <v>8.3893026745993478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5"/>
        <v>9608.3549999999996</v>
      </c>
      <c r="S22" s="62">
        <f t="shared" si="16"/>
        <v>426.6408320000001</v>
      </c>
      <c r="T22" s="72">
        <f t="shared" si="17"/>
        <v>806.07398300000011</v>
      </c>
      <c r="U22" s="65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96">
        <v>17168</v>
      </c>
      <c r="AI22" s="66">
        <v>4.5</v>
      </c>
      <c r="AJ22" s="66">
        <v>8.5</v>
      </c>
      <c r="AK22" s="62">
        <f t="shared" si="18"/>
        <v>772.56</v>
      </c>
      <c r="AL22" s="72">
        <f t="shared" si="19"/>
        <v>1459.2800000000002</v>
      </c>
      <c r="AM22" s="73">
        <f t="shared" si="20"/>
        <v>0.35499999999956344</v>
      </c>
      <c r="AN22" s="74">
        <f t="shared" si="21"/>
        <v>5.6208320000002914</v>
      </c>
      <c r="AO22" s="74">
        <f t="shared" si="22"/>
        <v>-14.386017000000265</v>
      </c>
      <c r="AP22" s="75">
        <f t="shared" si="23"/>
        <v>-7.1104726684086883E-3</v>
      </c>
      <c r="AQ22" s="76">
        <f t="shared" si="24"/>
        <v>-1607.4913058339912</v>
      </c>
      <c r="AR22" s="90">
        <f t="shared" si="13"/>
        <v>0.35499999999956344</v>
      </c>
    </row>
    <row r="23" spans="1:49" x14ac:dyDescent="0.25">
      <c r="A23" t="str">
        <f t="shared" si="14"/>
        <v>46213E</v>
      </c>
      <c r="B23" s="51">
        <f t="shared" si="26"/>
        <v>46213</v>
      </c>
      <c r="C23" s="52" t="s">
        <v>88</v>
      </c>
      <c r="D23" s="91">
        <v>17168</v>
      </c>
      <c r="E23" s="62">
        <v>4.5</v>
      </c>
      <c r="F23" s="62">
        <v>8.5</v>
      </c>
      <c r="G23" s="62">
        <f t="shared" si="27"/>
        <v>772.56</v>
      </c>
      <c r="H23" s="72">
        <f t="shared" si="28"/>
        <v>1459.2800000000002</v>
      </c>
      <c r="I23" s="202">
        <v>7617.699999999998</v>
      </c>
      <c r="J23" s="202">
        <v>7846.2309999999979</v>
      </c>
      <c r="K23" s="202">
        <v>4.3744909880935188</v>
      </c>
      <c r="L23" s="202">
        <v>8.2938879189256571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5"/>
        <v>7846.2309999999979</v>
      </c>
      <c r="S23" s="62">
        <f t="shared" si="16"/>
        <v>343.23266799999988</v>
      </c>
      <c r="T23" s="72">
        <f t="shared" si="17"/>
        <v>650.75760499999967</v>
      </c>
      <c r="U23" s="65" t="s">
        <v>197</v>
      </c>
      <c r="V23" s="65" t="s">
        <v>499</v>
      </c>
      <c r="W23" s="66" t="s">
        <v>184</v>
      </c>
      <c r="X23" s="67">
        <v>9200</v>
      </c>
      <c r="Y23" s="68">
        <v>4.18</v>
      </c>
      <c r="Z23" s="68">
        <v>8.3699999999999992</v>
      </c>
      <c r="AA23" s="62">
        <f t="shared" si="5"/>
        <v>384.55999999999995</v>
      </c>
      <c r="AB23" s="63">
        <f t="shared" si="6"/>
        <v>770.04</v>
      </c>
      <c r="AC23" s="69">
        <v>9160</v>
      </c>
      <c r="AD23" s="70">
        <v>4.099781659388646</v>
      </c>
      <c r="AE23" s="70">
        <v>8.3499563318777295</v>
      </c>
      <c r="AF23" s="62">
        <f t="shared" si="7"/>
        <v>375.53999999999996</v>
      </c>
      <c r="AG23" s="63">
        <f t="shared" si="8"/>
        <v>764.85599999999999</v>
      </c>
      <c r="AH23" s="96">
        <v>15814</v>
      </c>
      <c r="AI23" s="66">
        <v>4.5</v>
      </c>
      <c r="AJ23" s="66">
        <v>8.5</v>
      </c>
      <c r="AK23" s="62">
        <f t="shared" si="18"/>
        <v>711.63</v>
      </c>
      <c r="AL23" s="72">
        <f t="shared" si="19"/>
        <v>1344.19</v>
      </c>
      <c r="AM23" s="73">
        <f t="shared" si="20"/>
        <v>40.230999999999767</v>
      </c>
      <c r="AN23" s="74">
        <f t="shared" si="21"/>
        <v>28.622667999999862</v>
      </c>
      <c r="AO23" s="74">
        <f t="shared" si="22"/>
        <v>0.9916049999999359</v>
      </c>
      <c r="AP23" s="75">
        <f t="shared" si="23"/>
        <v>2.9793322736066465E-2</v>
      </c>
      <c r="AQ23" s="76">
        <f t="shared" si="24"/>
        <v>14051.100409261284</v>
      </c>
      <c r="AR23" s="90">
        <f t="shared" si="13"/>
        <v>0.23099999999976717</v>
      </c>
    </row>
    <row r="24" spans="1:49" x14ac:dyDescent="0.25">
      <c r="A24" t="str">
        <f t="shared" si="14"/>
        <v>46214M</v>
      </c>
      <c r="B24" s="51">
        <f t="shared" si="26"/>
        <v>46214</v>
      </c>
      <c r="C24" s="52" t="s">
        <v>87</v>
      </c>
      <c r="D24" s="91">
        <v>15814</v>
      </c>
      <c r="E24" s="62">
        <v>4.5</v>
      </c>
      <c r="F24" s="62">
        <v>8.5</v>
      </c>
      <c r="G24" s="62">
        <f t="shared" si="27"/>
        <v>711.63</v>
      </c>
      <c r="H24" s="72">
        <f t="shared" si="28"/>
        <v>1344.19</v>
      </c>
      <c r="I24" s="202">
        <v>7473.4000000000005</v>
      </c>
      <c r="J24" s="202">
        <v>7697.6020000000008</v>
      </c>
      <c r="K24" s="202">
        <v>4.3629485910027572</v>
      </c>
      <c r="L24" s="202">
        <v>8.3803503090962597</v>
      </c>
      <c r="M24" s="58">
        <v>0</v>
      </c>
      <c r="N24" s="58" t="s">
        <v>167</v>
      </c>
      <c r="O24" s="59">
        <v>0</v>
      </c>
      <c r="P24" s="56">
        <v>0</v>
      </c>
      <c r="Q24" s="60">
        <v>0</v>
      </c>
      <c r="R24" s="61">
        <f t="shared" si="15"/>
        <v>7697.6020000000008</v>
      </c>
      <c r="S24" s="62">
        <f t="shared" si="16"/>
        <v>335.84241800000007</v>
      </c>
      <c r="T24" s="63">
        <f t="shared" si="17"/>
        <v>645.08601299999998</v>
      </c>
      <c r="U24" s="65" t="s">
        <v>339</v>
      </c>
      <c r="V24" s="65" t="s">
        <v>500</v>
      </c>
      <c r="W24" s="66" t="s">
        <v>184</v>
      </c>
      <c r="X24" s="67">
        <v>5900</v>
      </c>
      <c r="Y24" s="68">
        <v>4.4000000000000004</v>
      </c>
      <c r="Z24" s="68">
        <v>8.39</v>
      </c>
      <c r="AA24" s="62">
        <f t="shared" si="5"/>
        <v>259.60000000000002</v>
      </c>
      <c r="AB24" s="63">
        <f t="shared" si="6"/>
        <v>495.01</v>
      </c>
      <c r="AC24" s="69">
        <v>5820</v>
      </c>
      <c r="AD24" s="70">
        <v>4.25</v>
      </c>
      <c r="AE24" s="70">
        <v>8.26</v>
      </c>
      <c r="AF24" s="62">
        <f t="shared" si="7"/>
        <v>247.35000000000002</v>
      </c>
      <c r="AG24" s="63">
        <f t="shared" si="8"/>
        <v>480.73199999999997</v>
      </c>
      <c r="AH24" s="96">
        <v>17611</v>
      </c>
      <c r="AI24" s="66">
        <v>4.4000000000000004</v>
      </c>
      <c r="AJ24" s="66">
        <v>8.4</v>
      </c>
      <c r="AK24" s="62">
        <f t="shared" si="18"/>
        <v>774.88400000000013</v>
      </c>
      <c r="AL24" s="72">
        <f t="shared" si="19"/>
        <v>1479.3240000000001</v>
      </c>
      <c r="AM24" s="73">
        <f t="shared" si="20"/>
        <v>80.601999999998952</v>
      </c>
      <c r="AN24" s="74">
        <f t="shared" si="21"/>
        <v>25.238417999999911</v>
      </c>
      <c r="AO24" s="74">
        <f t="shared" si="22"/>
        <v>29.220013000000108</v>
      </c>
      <c r="AP24" s="75">
        <f t="shared" si="23"/>
        <v>5.5517231715348267E-2</v>
      </c>
      <c r="AQ24" s="76">
        <f t="shared" si="24"/>
        <v>20879.015031306444</v>
      </c>
      <c r="AR24" s="90">
        <f t="shared" si="13"/>
        <v>0.60199999999895226</v>
      </c>
    </row>
    <row r="25" spans="1:49" x14ac:dyDescent="0.25">
      <c r="A25" t="str">
        <f t="shared" si="14"/>
        <v>46214E</v>
      </c>
      <c r="B25" s="51">
        <f t="shared" si="26"/>
        <v>46214</v>
      </c>
      <c r="C25" s="52" t="s">
        <v>88</v>
      </c>
      <c r="D25" s="91">
        <v>17611</v>
      </c>
      <c r="E25" s="62">
        <v>4.4000000000000004</v>
      </c>
      <c r="F25" s="62">
        <v>8.4</v>
      </c>
      <c r="G25" s="62">
        <f t="shared" si="27"/>
        <v>774.88400000000013</v>
      </c>
      <c r="H25" s="72">
        <f t="shared" si="28"/>
        <v>1479.3240000000001</v>
      </c>
      <c r="I25" s="202">
        <v>8248.8000000000011</v>
      </c>
      <c r="J25" s="202">
        <v>8496.264000000001</v>
      </c>
      <c r="K25" s="202">
        <v>4.299424158665504</v>
      </c>
      <c r="L25" s="202">
        <v>8.3490071283095748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5"/>
        <v>8496.264000000001</v>
      </c>
      <c r="S25" s="62">
        <f t="shared" si="16"/>
        <v>365.29042700000014</v>
      </c>
      <c r="T25" s="63">
        <f t="shared" si="17"/>
        <v>709.35368700000038</v>
      </c>
      <c r="U25" s="65" t="s">
        <v>200</v>
      </c>
      <c r="V25" s="65" t="s">
        <v>501</v>
      </c>
      <c r="W25" s="66" t="s">
        <v>184</v>
      </c>
      <c r="X25" s="67">
        <v>18500</v>
      </c>
      <c r="Y25" s="68">
        <v>4.3</v>
      </c>
      <c r="Z25" s="68">
        <v>8.52</v>
      </c>
      <c r="AA25" s="62">
        <f t="shared" si="5"/>
        <v>795.49999999999989</v>
      </c>
      <c r="AB25" s="63">
        <f t="shared" si="6"/>
        <v>1576.2</v>
      </c>
      <c r="AC25" s="69">
        <v>18450</v>
      </c>
      <c r="AD25" s="70">
        <v>4.2</v>
      </c>
      <c r="AE25" s="70">
        <v>8.3699999999999992</v>
      </c>
      <c r="AF25" s="62">
        <f t="shared" si="7"/>
        <v>774.90000000000009</v>
      </c>
      <c r="AG25" s="63">
        <f t="shared" si="8"/>
        <v>1544.2649999999999</v>
      </c>
      <c r="AH25" s="96">
        <v>7607</v>
      </c>
      <c r="AI25" s="66">
        <v>4.4000000000000004</v>
      </c>
      <c r="AJ25" s="66">
        <v>8.4</v>
      </c>
      <c r="AK25" s="62">
        <f t="shared" si="18"/>
        <v>334.70800000000003</v>
      </c>
      <c r="AL25" s="72">
        <f t="shared" si="19"/>
        <v>638.98800000000006</v>
      </c>
      <c r="AM25" s="73">
        <f t="shared" si="20"/>
        <v>50.264000000002852</v>
      </c>
      <c r="AN25" s="74">
        <f t="shared" si="21"/>
        <v>30.56642700000026</v>
      </c>
      <c r="AO25" s="74">
        <f t="shared" si="22"/>
        <v>5.4246870000004037</v>
      </c>
      <c r="AP25" s="75">
        <f t="shared" si="23"/>
        <v>3.3491193532001834E-2</v>
      </c>
      <c r="AQ25" s="76">
        <f t="shared" si="24"/>
        <v>16312.808464607926</v>
      </c>
      <c r="AR25" s="90">
        <f t="shared" si="13"/>
        <v>0.26400000000285218</v>
      </c>
      <c r="AS25" s="90">
        <f>SUM(J12:J25)</f>
        <v>123180.68699999999</v>
      </c>
      <c r="AT25" s="83">
        <f>SUM(AM12:AM25)</f>
        <v>-2591.3130000000001</v>
      </c>
      <c r="AU25" s="83">
        <f>SUM(AN12:AN25)</f>
        <v>51.21274900000077</v>
      </c>
      <c r="AV25" s="83">
        <f>SUM(AO12:AO25)</f>
        <v>-135.6629469999981</v>
      </c>
      <c r="AW25" s="83">
        <f>-SUM(AQ12:AQ25)</f>
        <v>16020.452199187963</v>
      </c>
    </row>
    <row r="26" spans="1:49" x14ac:dyDescent="0.25">
      <c r="A26" t="str">
        <f t="shared" si="14"/>
        <v>46215M</v>
      </c>
      <c r="B26" s="51">
        <f t="shared" si="26"/>
        <v>46215</v>
      </c>
      <c r="C26" s="52" t="s">
        <v>87</v>
      </c>
      <c r="D26" s="91">
        <v>7607</v>
      </c>
      <c r="E26" s="62">
        <v>4.4000000000000004</v>
      </c>
      <c r="F26" s="62">
        <v>8.4</v>
      </c>
      <c r="G26" s="62">
        <f t="shared" si="27"/>
        <v>334.70800000000003</v>
      </c>
      <c r="H26" s="72">
        <f t="shared" si="28"/>
        <v>638.98800000000006</v>
      </c>
      <c r="I26" s="202">
        <v>7562.0000000000009</v>
      </c>
      <c r="J26" s="202">
        <v>7788.8600000000015</v>
      </c>
      <c r="K26" s="202">
        <v>4.5368275588468672</v>
      </c>
      <c r="L26" s="202">
        <v>8.4372137000793508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5"/>
        <v>7788.8600000000015</v>
      </c>
      <c r="S26" s="62">
        <f t="shared" si="16"/>
        <v>353.36714700000016</v>
      </c>
      <c r="T26" s="63">
        <f t="shared" si="17"/>
        <v>657.16276300000061</v>
      </c>
      <c r="U26" s="65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96">
        <v>15396</v>
      </c>
      <c r="AI26" s="66">
        <v>4.4000000000000004</v>
      </c>
      <c r="AJ26" s="66">
        <v>8.4</v>
      </c>
      <c r="AK26" s="62">
        <f t="shared" si="18"/>
        <v>677.42400000000009</v>
      </c>
      <c r="AL26" s="72">
        <f t="shared" si="19"/>
        <v>1293.2640000000001</v>
      </c>
      <c r="AM26" s="73">
        <f t="shared" si="20"/>
        <v>-0.13999999999941792</v>
      </c>
      <c r="AN26" s="74">
        <f t="shared" si="21"/>
        <v>10.651147000000151</v>
      </c>
      <c r="AO26" s="74">
        <f t="shared" si="22"/>
        <v>2.8867630000004283</v>
      </c>
      <c r="AP26" s="75">
        <f t="shared" si="23"/>
        <v>1.3396842454668729E-2</v>
      </c>
      <c r="AQ26" s="76">
        <f t="shared" si="24"/>
        <v>5982.7826093245894</v>
      </c>
      <c r="AR26" s="90">
        <f t="shared" si="13"/>
        <v>-0.13999999999941792</v>
      </c>
    </row>
    <row r="27" spans="1:49" x14ac:dyDescent="0.25">
      <c r="A27" t="str">
        <f t="shared" si="14"/>
        <v>46215E</v>
      </c>
      <c r="B27" s="51">
        <f t="shared" si="26"/>
        <v>46215</v>
      </c>
      <c r="C27" s="52" t="s">
        <v>88</v>
      </c>
      <c r="D27" s="91">
        <v>15396</v>
      </c>
      <c r="E27" s="62">
        <v>4.4000000000000004</v>
      </c>
      <c r="F27" s="62">
        <v>8.4</v>
      </c>
      <c r="G27" s="62">
        <f t="shared" si="27"/>
        <v>677.42400000000009</v>
      </c>
      <c r="H27" s="72">
        <f t="shared" si="28"/>
        <v>1293.2640000000001</v>
      </c>
      <c r="I27" s="202">
        <v>8187.0000000000018</v>
      </c>
      <c r="J27" s="202">
        <v>8432.6100000000024</v>
      </c>
      <c r="K27" s="202">
        <v>4.1839880298033476</v>
      </c>
      <c r="L27" s="202">
        <v>8.3092988884817434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5"/>
        <v>8432.6100000000024</v>
      </c>
      <c r="S27" s="62">
        <f t="shared" si="16"/>
        <v>352.81939300000016</v>
      </c>
      <c r="T27" s="63">
        <f t="shared" si="17"/>
        <v>700.6907690000005</v>
      </c>
      <c r="U27" s="65" t="s">
        <v>197</v>
      </c>
      <c r="V27" s="65" t="s">
        <v>502</v>
      </c>
      <c r="W27" s="66" t="s">
        <v>201</v>
      </c>
      <c r="X27" s="67">
        <v>9200</v>
      </c>
      <c r="Y27" s="68">
        <v>4.5999999999999996</v>
      </c>
      <c r="Z27" s="68">
        <v>8.58</v>
      </c>
      <c r="AA27" s="62">
        <f t="shared" si="5"/>
        <v>423.2</v>
      </c>
      <c r="AB27" s="63">
        <f t="shared" si="6"/>
        <v>789.36</v>
      </c>
      <c r="AC27" s="69">
        <v>9180</v>
      </c>
      <c r="AD27" s="70">
        <v>4.5</v>
      </c>
      <c r="AE27" s="70">
        <v>8.5298692810457535</v>
      </c>
      <c r="AF27" s="62">
        <f t="shared" si="7"/>
        <v>413.09999999999997</v>
      </c>
      <c r="AG27" s="63">
        <f t="shared" si="8"/>
        <v>783.04200000000014</v>
      </c>
      <c r="AH27" s="96">
        <v>14629</v>
      </c>
      <c r="AI27" s="66">
        <v>4.4000000000000004</v>
      </c>
      <c r="AJ27" s="66">
        <v>8.4</v>
      </c>
      <c r="AK27" s="62">
        <f t="shared" si="18"/>
        <v>643.67600000000004</v>
      </c>
      <c r="AL27" s="72">
        <f t="shared" si="19"/>
        <v>1228.836</v>
      </c>
      <c r="AM27" s="73">
        <f t="shared" si="20"/>
        <v>19.610000000000582</v>
      </c>
      <c r="AN27" s="74">
        <f t="shared" si="21"/>
        <v>-26.532606999999757</v>
      </c>
      <c r="AO27" s="74">
        <f t="shared" si="22"/>
        <v>-17.923230999999532</v>
      </c>
      <c r="AP27" s="75">
        <f t="shared" si="23"/>
        <v>-4.219782552035721E-2</v>
      </c>
      <c r="AQ27" s="76">
        <f t="shared" si="24"/>
        <v>-18117.629327758754</v>
      </c>
      <c r="AR27" s="90">
        <f t="shared" si="13"/>
        <v>-0.38999999999941792</v>
      </c>
    </row>
    <row r="28" spans="1:49" x14ac:dyDescent="0.25">
      <c r="A28" t="str">
        <f t="shared" si="14"/>
        <v>46216M</v>
      </c>
      <c r="B28" s="51">
        <f t="shared" si="26"/>
        <v>46216</v>
      </c>
      <c r="C28" s="52" t="s">
        <v>87</v>
      </c>
      <c r="D28" s="91">
        <v>14629</v>
      </c>
      <c r="E28" s="62">
        <v>4.4000000000000004</v>
      </c>
      <c r="F28" s="62">
        <v>8.4</v>
      </c>
      <c r="G28" s="62">
        <f t="shared" ref="G28:G65" si="29">+D28*E28%</f>
        <v>643.67600000000004</v>
      </c>
      <c r="H28" s="72">
        <f t="shared" ref="H28:H65" si="30">+D28*F28%</f>
        <v>1228.836</v>
      </c>
      <c r="I28" s="202">
        <v>7882.4000000000015</v>
      </c>
      <c r="J28" s="202">
        <v>8118.8720000000021</v>
      </c>
      <c r="K28" s="202">
        <v>4.7207563686186944</v>
      </c>
      <c r="L28" s="202">
        <v>8.4586788287831105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5"/>
        <v>8118.8720000000021</v>
      </c>
      <c r="S28" s="62">
        <f t="shared" si="16"/>
        <v>383.27216700000002</v>
      </c>
      <c r="T28" s="63">
        <f t="shared" si="17"/>
        <v>686.74930700000004</v>
      </c>
      <c r="U28" s="65" t="s">
        <v>200</v>
      </c>
      <c r="V28" s="65" t="s">
        <v>503</v>
      </c>
      <c r="W28" s="66" t="s">
        <v>184</v>
      </c>
      <c r="X28" s="67">
        <v>18500</v>
      </c>
      <c r="Y28" s="68">
        <v>4.4000000000000004</v>
      </c>
      <c r="Z28" s="68">
        <v>8.5399999999999991</v>
      </c>
      <c r="AA28" s="62">
        <f t="shared" si="5"/>
        <v>814.00000000000011</v>
      </c>
      <c r="AB28" s="63">
        <f t="shared" si="6"/>
        <v>1579.8999999999999</v>
      </c>
      <c r="AC28" s="69">
        <v>18310</v>
      </c>
      <c r="AD28" s="70">
        <v>4.2000000000000011</v>
      </c>
      <c r="AE28" s="70">
        <v>8.370000000000001</v>
      </c>
      <c r="AF28" s="62">
        <f t="shared" si="7"/>
        <v>769.02000000000021</v>
      </c>
      <c r="AG28" s="63">
        <f t="shared" si="8"/>
        <v>1532.5470000000003</v>
      </c>
      <c r="AH28" s="96">
        <v>4248</v>
      </c>
      <c r="AI28" s="66">
        <v>4.51</v>
      </c>
      <c r="AJ28" s="66">
        <v>8.4</v>
      </c>
      <c r="AK28" s="62">
        <f t="shared" si="18"/>
        <v>191.5848</v>
      </c>
      <c r="AL28" s="72">
        <f t="shared" si="19"/>
        <v>356.83200000000005</v>
      </c>
      <c r="AM28" s="73">
        <f t="shared" si="20"/>
        <v>189.87200000000303</v>
      </c>
      <c r="AN28" s="74">
        <f t="shared" si="21"/>
        <v>66.343366999999802</v>
      </c>
      <c r="AO28" s="74">
        <f t="shared" si="22"/>
        <v>26.206306999999754</v>
      </c>
      <c r="AP28" s="75">
        <f t="shared" si="23"/>
        <v>8.6493286582395773E-2</v>
      </c>
      <c r="AQ28" s="76">
        <f t="shared" si="24"/>
        <v>39728.702727523516</v>
      </c>
      <c r="AR28" s="90">
        <f t="shared" si="13"/>
        <v>-0.1279999999969732</v>
      </c>
    </row>
    <row r="29" spans="1:49" x14ac:dyDescent="0.25">
      <c r="A29" t="str">
        <f t="shared" si="14"/>
        <v>46216E</v>
      </c>
      <c r="B29" s="51">
        <f t="shared" si="26"/>
        <v>46216</v>
      </c>
      <c r="C29" s="52" t="s">
        <v>88</v>
      </c>
      <c r="D29" s="91">
        <v>4248</v>
      </c>
      <c r="E29" s="62">
        <v>4.51</v>
      </c>
      <c r="F29" s="62">
        <v>8.4</v>
      </c>
      <c r="G29" s="62">
        <f t="shared" si="29"/>
        <v>191.5848</v>
      </c>
      <c r="H29" s="72">
        <f t="shared" si="30"/>
        <v>356.83200000000005</v>
      </c>
      <c r="I29" s="202">
        <v>8374.2999999999993</v>
      </c>
      <c r="J29" s="202">
        <v>8625.5289999999986</v>
      </c>
      <c r="K29" s="202">
        <v>4.3945726807016712</v>
      </c>
      <c r="L29" s="202">
        <v>8.4095900552882039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5"/>
        <v>8625.5289999999986</v>
      </c>
      <c r="S29" s="62">
        <f t="shared" si="16"/>
        <v>379.05514099999999</v>
      </c>
      <c r="T29" s="63">
        <f t="shared" si="17"/>
        <v>725.37162899999987</v>
      </c>
      <c r="U29" s="65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96">
        <v>12874</v>
      </c>
      <c r="AI29" s="66">
        <v>4.4400000000000004</v>
      </c>
      <c r="AJ29" s="66">
        <v>8.4</v>
      </c>
      <c r="AK29" s="62">
        <f t="shared" si="18"/>
        <v>571.60559999999998</v>
      </c>
      <c r="AL29" s="72">
        <f t="shared" si="19"/>
        <v>1081.4160000000002</v>
      </c>
      <c r="AM29" s="73">
        <f t="shared" si="20"/>
        <v>-0.47100000000136788</v>
      </c>
      <c r="AN29" s="74">
        <f t="shared" si="21"/>
        <v>-0.96565899999995963</v>
      </c>
      <c r="AO29" s="74">
        <f t="shared" si="22"/>
        <v>0.78762899999969704</v>
      </c>
      <c r="AP29" s="75">
        <f t="shared" si="23"/>
        <v>-1.611967446246007E-4</v>
      </c>
      <c r="AQ29" s="76">
        <f t="shared" si="24"/>
        <v>-228.14270462478325</v>
      </c>
      <c r="AR29" s="90">
        <f t="shared" si="13"/>
        <v>-0.47100000000136788</v>
      </c>
      <c r="AS29" s="90">
        <f>SUM(J16:J29)</f>
        <v>121439.575</v>
      </c>
      <c r="AT29" s="83">
        <f>SUM(AM16:AM29)</f>
        <v>-2545.4249999999975</v>
      </c>
      <c r="AU29" s="83">
        <f>SUM(AN16:AN29)</f>
        <v>23.133043000000711</v>
      </c>
      <c r="AV29" s="83">
        <f>SUM(AO16:AO29)</f>
        <v>-114.76455899999803</v>
      </c>
      <c r="AW29" s="83">
        <f>-SUM(AQ16:AQ29)</f>
        <v>23254.783668381358</v>
      </c>
    </row>
    <row r="30" spans="1:49" x14ac:dyDescent="0.25">
      <c r="A30" t="str">
        <f t="shared" si="14"/>
        <v>46217M</v>
      </c>
      <c r="B30" s="51">
        <f t="shared" si="26"/>
        <v>46217</v>
      </c>
      <c r="C30" s="52" t="s">
        <v>87</v>
      </c>
      <c r="D30" s="91">
        <v>12874</v>
      </c>
      <c r="E30" s="62">
        <v>4.4400000000000004</v>
      </c>
      <c r="F30" s="62">
        <v>8.4</v>
      </c>
      <c r="G30" s="62">
        <f t="shared" si="29"/>
        <v>571.60559999999998</v>
      </c>
      <c r="H30" s="72">
        <f t="shared" si="30"/>
        <v>1081.4160000000002</v>
      </c>
      <c r="I30" s="202">
        <v>7378.3</v>
      </c>
      <c r="J30" s="202">
        <v>7599.6490000000003</v>
      </c>
      <c r="K30" s="202">
        <v>4.6229687055283746</v>
      </c>
      <c r="L30" s="202">
        <v>8.4376468834284317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5"/>
        <v>7599.6490000000003</v>
      </c>
      <c r="S30" s="62">
        <f t="shared" si="16"/>
        <v>351.32939500000009</v>
      </c>
      <c r="T30" s="63">
        <f t="shared" si="17"/>
        <v>641.23154699999998</v>
      </c>
      <c r="U30" s="65" t="s">
        <v>197</v>
      </c>
      <c r="V30" s="65" t="s">
        <v>586</v>
      </c>
      <c r="W30" s="66" t="s">
        <v>184</v>
      </c>
      <c r="X30" s="67">
        <v>9060</v>
      </c>
      <c r="Y30" s="68">
        <v>4.2</v>
      </c>
      <c r="Z30" s="68">
        <v>8.4</v>
      </c>
      <c r="AA30" s="62">
        <f t="shared" si="5"/>
        <v>380.52000000000004</v>
      </c>
      <c r="AB30" s="63">
        <f t="shared" si="6"/>
        <v>761.04000000000008</v>
      </c>
      <c r="AC30" s="69">
        <v>9060</v>
      </c>
      <c r="AD30" s="70">
        <v>4.1500000000000004</v>
      </c>
      <c r="AE30" s="70">
        <v>8.36</v>
      </c>
      <c r="AF30" s="62">
        <f t="shared" si="7"/>
        <v>375.99</v>
      </c>
      <c r="AG30" s="63">
        <f t="shared" si="8"/>
        <v>757.41599999999994</v>
      </c>
      <c r="AH30" s="96">
        <v>11274</v>
      </c>
      <c r="AI30" s="66">
        <v>4.5</v>
      </c>
      <c r="AJ30" s="66">
        <v>8.4</v>
      </c>
      <c r="AK30" s="62">
        <f t="shared" si="18"/>
        <v>507.33</v>
      </c>
      <c r="AL30" s="72">
        <f t="shared" si="19"/>
        <v>947.01600000000008</v>
      </c>
      <c r="AM30" s="73">
        <f t="shared" si="20"/>
        <v>139.64900000000125</v>
      </c>
      <c r="AN30" s="74">
        <f t="shared" si="21"/>
        <v>39.614995000000079</v>
      </c>
      <c r="AO30" s="74">
        <f t="shared" si="22"/>
        <v>18.215547000000015</v>
      </c>
      <c r="AP30" s="75">
        <f t="shared" si="23"/>
        <v>5.8263971060025947E-2</v>
      </c>
      <c r="AQ30" s="76">
        <f t="shared" si="24"/>
        <v>24491.688586380944</v>
      </c>
      <c r="AR30" s="90">
        <f t="shared" si="13"/>
        <v>139.64900000000125</v>
      </c>
    </row>
    <row r="31" spans="1:49" x14ac:dyDescent="0.25">
      <c r="A31" t="str">
        <f t="shared" si="14"/>
        <v>46217E</v>
      </c>
      <c r="B31" s="51">
        <f t="shared" si="26"/>
        <v>46217</v>
      </c>
      <c r="C31" s="52" t="s">
        <v>88</v>
      </c>
      <c r="D31" s="91">
        <v>11274</v>
      </c>
      <c r="E31" s="62">
        <v>4.5</v>
      </c>
      <c r="F31" s="62">
        <v>8.4</v>
      </c>
      <c r="G31" s="62">
        <f t="shared" si="29"/>
        <v>507.33</v>
      </c>
      <c r="H31" s="72">
        <f t="shared" si="30"/>
        <v>947.01600000000008</v>
      </c>
      <c r="I31" s="202">
        <v>8321.4000000000015</v>
      </c>
      <c r="J31" s="202">
        <v>8571.0420000000013</v>
      </c>
      <c r="K31" s="202">
        <v>4.3550568413968813</v>
      </c>
      <c r="L31" s="202">
        <v>8.4635445958612721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5"/>
        <v>8571.0420000000013</v>
      </c>
      <c r="S31" s="62">
        <f t="shared" si="16"/>
        <v>373.27375100000017</v>
      </c>
      <c r="T31" s="63">
        <f t="shared" si="17"/>
        <v>725.41396199999997</v>
      </c>
      <c r="U31" s="65" t="s">
        <v>200</v>
      </c>
      <c r="V31" s="65" t="s">
        <v>587</v>
      </c>
      <c r="W31" s="66" t="s">
        <v>184</v>
      </c>
      <c r="X31" s="67">
        <v>18500</v>
      </c>
      <c r="Y31" s="68">
        <v>4.4000000000000004</v>
      </c>
      <c r="Z31" s="68">
        <v>8.66</v>
      </c>
      <c r="AA31" s="62">
        <f t="shared" si="5"/>
        <v>814.00000000000011</v>
      </c>
      <c r="AB31" s="63">
        <f t="shared" si="6"/>
        <v>1602.1</v>
      </c>
      <c r="AC31" s="69">
        <v>18390</v>
      </c>
      <c r="AD31" s="70">
        <v>4.3499999999999996</v>
      </c>
      <c r="AE31" s="70">
        <v>8.4</v>
      </c>
      <c r="AF31" s="62">
        <f t="shared" si="7"/>
        <v>799.96499999999992</v>
      </c>
      <c r="AG31" s="63">
        <f t="shared" si="8"/>
        <v>1544.76</v>
      </c>
      <c r="AH31" s="96">
        <v>1346</v>
      </c>
      <c r="AI31" s="66">
        <v>4.46</v>
      </c>
      <c r="AJ31" s="66">
        <v>8.44</v>
      </c>
      <c r="AK31" s="62">
        <f t="shared" si="18"/>
        <v>60.031600000000005</v>
      </c>
      <c r="AL31" s="72">
        <f t="shared" si="19"/>
        <v>113.60239999999999</v>
      </c>
      <c r="AM31" s="73">
        <f t="shared" si="20"/>
        <v>109.04200000000128</v>
      </c>
      <c r="AN31" s="74">
        <f t="shared" si="21"/>
        <v>20.607151000000179</v>
      </c>
      <c r="AO31" s="74">
        <f t="shared" si="22"/>
        <v>14.06756200000018</v>
      </c>
      <c r="AP31" s="75">
        <f t="shared" si="23"/>
        <v>3.1560117210485586E-2</v>
      </c>
      <c r="AQ31" s="76">
        <f t="shared" si="24"/>
        <v>14115.51632698188</v>
      </c>
      <c r="AR31" s="90">
        <f t="shared" si="13"/>
        <v>-0.95799999999871943</v>
      </c>
    </row>
    <row r="32" spans="1:49" x14ac:dyDescent="0.25">
      <c r="A32" t="str">
        <f t="shared" si="14"/>
        <v>46218M</v>
      </c>
      <c r="B32" s="51">
        <f t="shared" si="26"/>
        <v>46218</v>
      </c>
      <c r="C32" s="52" t="s">
        <v>87</v>
      </c>
      <c r="D32" s="91">
        <v>1346</v>
      </c>
      <c r="E32" s="62">
        <v>4.46</v>
      </c>
      <c r="F32" s="62">
        <v>8.44</v>
      </c>
      <c r="G32" s="62">
        <f t="shared" si="29"/>
        <v>60.031600000000005</v>
      </c>
      <c r="H32" s="72">
        <f t="shared" si="30"/>
        <v>113.60239999999999</v>
      </c>
      <c r="I32" s="202">
        <v>7234.6000000000022</v>
      </c>
      <c r="J32" s="202">
        <v>7451.6380000000026</v>
      </c>
      <c r="K32" s="202">
        <v>4.620827689160425</v>
      </c>
      <c r="L32" s="202">
        <v>8.4445885052387109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5"/>
        <v>7451.6380000000026</v>
      </c>
      <c r="S32" s="62">
        <f t="shared" si="16"/>
        <v>344.32735200000025</v>
      </c>
      <c r="T32" s="63">
        <f t="shared" si="17"/>
        <v>629.26016600000003</v>
      </c>
      <c r="U32" s="65" t="s">
        <v>180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96">
        <v>8798</v>
      </c>
      <c r="AI32" s="66">
        <v>4.58</v>
      </c>
      <c r="AJ32" s="66">
        <v>8.41</v>
      </c>
      <c r="AK32" s="62">
        <f t="shared" si="18"/>
        <v>402.94839999999999</v>
      </c>
      <c r="AL32" s="72">
        <f t="shared" si="19"/>
        <v>739.91180000000008</v>
      </c>
      <c r="AM32" s="73">
        <f t="shared" si="20"/>
        <v>-0.36199999999735155</v>
      </c>
      <c r="AN32" s="74">
        <f t="shared" si="21"/>
        <v>1.4105520000002798</v>
      </c>
      <c r="AO32" s="74">
        <f t="shared" si="22"/>
        <v>2.9507659999999305</v>
      </c>
      <c r="AP32" s="75">
        <f t="shared" si="23"/>
        <v>4.4796363134969952E-3</v>
      </c>
      <c r="AQ32" s="76">
        <f t="shared" si="24"/>
        <v>1561.5442921990025</v>
      </c>
      <c r="AR32" s="90">
        <f t="shared" si="13"/>
        <v>-0.36199999999735155</v>
      </c>
    </row>
    <row r="33" spans="1:49" x14ac:dyDescent="0.25">
      <c r="A33" t="str">
        <f t="shared" si="14"/>
        <v>46218E</v>
      </c>
      <c r="B33" s="51">
        <f t="shared" si="26"/>
        <v>46218</v>
      </c>
      <c r="C33" s="52" t="s">
        <v>88</v>
      </c>
      <c r="D33" s="91">
        <v>8798</v>
      </c>
      <c r="E33" s="62">
        <v>4.58</v>
      </c>
      <c r="F33" s="62">
        <v>8.41</v>
      </c>
      <c r="G33" s="62">
        <f t="shared" si="29"/>
        <v>402.94839999999999</v>
      </c>
      <c r="H33" s="72">
        <f t="shared" si="30"/>
        <v>739.91180000000008</v>
      </c>
      <c r="I33" s="202">
        <v>10667.400000000001</v>
      </c>
      <c r="J33" s="202">
        <v>10987.422000000002</v>
      </c>
      <c r="K33" s="202">
        <v>4.4582775559180323</v>
      </c>
      <c r="L33" s="202">
        <v>8.4359628400547511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5"/>
        <v>10987.422000000002</v>
      </c>
      <c r="S33" s="62">
        <f t="shared" si="16"/>
        <v>489.84976900000032</v>
      </c>
      <c r="T33" s="63">
        <f t="shared" si="17"/>
        <v>926.89483700000062</v>
      </c>
      <c r="U33" s="65" t="s">
        <v>199</v>
      </c>
      <c r="V33" s="65" t="s">
        <v>588</v>
      </c>
      <c r="W33" s="66" t="s">
        <v>201</v>
      </c>
      <c r="X33" s="67">
        <v>9900</v>
      </c>
      <c r="Y33" s="68">
        <v>4.28</v>
      </c>
      <c r="Z33" s="68">
        <v>8.4500000000000011</v>
      </c>
      <c r="AA33" s="62">
        <f t="shared" si="5"/>
        <v>423.72</v>
      </c>
      <c r="AB33" s="63">
        <f t="shared" si="6"/>
        <v>836.55000000000007</v>
      </c>
      <c r="AC33" s="69">
        <v>9750</v>
      </c>
      <c r="AD33" s="70">
        <v>4.1500000000000004</v>
      </c>
      <c r="AE33" s="70">
        <v>8.3399999999999981</v>
      </c>
      <c r="AF33" s="62">
        <f t="shared" si="7"/>
        <v>404.625</v>
      </c>
      <c r="AG33" s="63">
        <f t="shared" si="8"/>
        <v>813.14999999999975</v>
      </c>
      <c r="AH33" s="96">
        <v>9886</v>
      </c>
      <c r="AI33" s="66">
        <v>4.54</v>
      </c>
      <c r="AJ33" s="66">
        <v>8.4</v>
      </c>
      <c r="AK33" s="62">
        <f t="shared" si="18"/>
        <v>448.82440000000003</v>
      </c>
      <c r="AL33" s="72">
        <f t="shared" si="19"/>
        <v>830.42400000000009</v>
      </c>
      <c r="AM33" s="73">
        <f t="shared" si="20"/>
        <v>149.4220000000023</v>
      </c>
      <c r="AN33" s="74">
        <f t="shared" si="21"/>
        <v>39.348769000000345</v>
      </c>
      <c r="AO33" s="74">
        <f t="shared" si="22"/>
        <v>23.23263700000075</v>
      </c>
      <c r="AP33" s="75">
        <f t="shared" si="23"/>
        <v>4.4172679913489686E-2</v>
      </c>
      <c r="AQ33" s="76">
        <f t="shared" si="24"/>
        <v>25866.332118977451</v>
      </c>
      <c r="AR33" s="90">
        <f t="shared" si="13"/>
        <v>-0.5779999999977008</v>
      </c>
    </row>
    <row r="34" spans="1:49" x14ac:dyDescent="0.25">
      <c r="A34" t="str">
        <f t="shared" si="14"/>
        <v>46219M</v>
      </c>
      <c r="B34" s="51">
        <f t="shared" si="26"/>
        <v>46219</v>
      </c>
      <c r="C34" s="52" t="s">
        <v>87</v>
      </c>
      <c r="D34" s="91">
        <v>9886</v>
      </c>
      <c r="E34" s="62">
        <v>4.54</v>
      </c>
      <c r="F34" s="62">
        <v>8.4</v>
      </c>
      <c r="G34" s="62">
        <f t="shared" si="29"/>
        <v>448.82440000000003</v>
      </c>
      <c r="H34" s="72">
        <f t="shared" si="30"/>
        <v>830.42400000000009</v>
      </c>
      <c r="I34" s="202">
        <v>9735.399999999996</v>
      </c>
      <c r="J34" s="202">
        <v>10027.461999999996</v>
      </c>
      <c r="K34" s="202">
        <v>4.6587104792817957</v>
      </c>
      <c r="L34" s="202">
        <v>8.4215687080140551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5"/>
        <v>10027.461999999996</v>
      </c>
      <c r="S34" s="62">
        <f t="shared" si="16"/>
        <v>467.15042299999971</v>
      </c>
      <c r="T34" s="63">
        <f t="shared" si="17"/>
        <v>844.4696019999999</v>
      </c>
      <c r="U34" s="64" t="s">
        <v>180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96">
        <v>19914</v>
      </c>
      <c r="AI34" s="66">
        <v>4.62</v>
      </c>
      <c r="AJ34" s="66">
        <v>8.4</v>
      </c>
      <c r="AK34" s="62">
        <f t="shared" si="18"/>
        <v>920.02679999999998</v>
      </c>
      <c r="AL34" s="72">
        <f t="shared" si="19"/>
        <v>1672.7760000000001</v>
      </c>
      <c r="AM34" s="73">
        <f t="shared" si="20"/>
        <v>-0.53800000000410364</v>
      </c>
      <c r="AN34" s="74">
        <f t="shared" si="21"/>
        <v>-4.0519770000001927</v>
      </c>
      <c r="AO34" s="74">
        <f t="shared" si="22"/>
        <v>2.1176020000000335</v>
      </c>
      <c r="AP34" s="75">
        <f t="shared" si="23"/>
        <v>-1.4747983128727846E-3</v>
      </c>
      <c r="AQ34" s="76">
        <f t="shared" si="24"/>
        <v>-1312.9038788434177</v>
      </c>
      <c r="AR34" s="90">
        <f t="shared" si="13"/>
        <v>-0.53800000000410364</v>
      </c>
    </row>
    <row r="35" spans="1:49" x14ac:dyDescent="0.25">
      <c r="A35" t="str">
        <f t="shared" si="14"/>
        <v>46219E</v>
      </c>
      <c r="B35" s="51">
        <f t="shared" si="26"/>
        <v>46219</v>
      </c>
      <c r="C35" s="52" t="s">
        <v>88</v>
      </c>
      <c r="D35" s="91">
        <v>19914</v>
      </c>
      <c r="E35" s="62">
        <v>4.62</v>
      </c>
      <c r="F35" s="62">
        <v>8.4</v>
      </c>
      <c r="G35" s="62">
        <f t="shared" si="29"/>
        <v>920.02679999999998</v>
      </c>
      <c r="H35" s="72">
        <f t="shared" si="30"/>
        <v>1672.7760000000001</v>
      </c>
      <c r="I35" s="202">
        <v>10395.700000000001</v>
      </c>
      <c r="J35" s="202">
        <v>10707.571000000002</v>
      </c>
      <c r="K35" s="202">
        <v>4.3481218195984859</v>
      </c>
      <c r="L35" s="202">
        <v>8.3410275402329805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5"/>
        <v>10707.571000000002</v>
      </c>
      <c r="S35" s="62">
        <f t="shared" si="16"/>
        <v>465.57823099999985</v>
      </c>
      <c r="T35" s="63">
        <f t="shared" si="17"/>
        <v>893.12144599999999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96">
        <v>32450</v>
      </c>
      <c r="AI35" s="66">
        <v>4.8499999999999996</v>
      </c>
      <c r="AJ35" s="66">
        <v>8.3699999999999992</v>
      </c>
      <c r="AK35" s="62">
        <f t="shared" si="18"/>
        <v>1573.8249999999998</v>
      </c>
      <c r="AL35" s="72">
        <f t="shared" si="19"/>
        <v>2716.0650000000001</v>
      </c>
      <c r="AM35" s="73">
        <f t="shared" si="20"/>
        <v>-1828.4289999999964</v>
      </c>
      <c r="AN35" s="74">
        <f t="shared" si="21"/>
        <v>-188.21996899999999</v>
      </c>
      <c r="AO35" s="74">
        <f t="shared" si="22"/>
        <v>-150.16755400000011</v>
      </c>
      <c r="AP35" s="75">
        <f t="shared" si="23"/>
        <v>-0.24905247916681453</v>
      </c>
      <c r="AQ35" s="76">
        <f t="shared" si="24"/>
        <v>-135419.66654641839</v>
      </c>
      <c r="AR35" s="90">
        <f t="shared" si="13"/>
        <v>-1828.4289999999964</v>
      </c>
    </row>
    <row r="36" spans="1:49" x14ac:dyDescent="0.25">
      <c r="A36" t="str">
        <f t="shared" si="14"/>
        <v>46220M</v>
      </c>
      <c r="B36" s="51">
        <f t="shared" si="26"/>
        <v>46220</v>
      </c>
      <c r="C36" s="52" t="s">
        <v>87</v>
      </c>
      <c r="D36" s="91">
        <v>32450</v>
      </c>
      <c r="E36" s="62">
        <v>4.8499999999999996</v>
      </c>
      <c r="F36" s="62">
        <v>8.3699999999999992</v>
      </c>
      <c r="G36" s="62">
        <f t="shared" si="29"/>
        <v>1573.8249999999998</v>
      </c>
      <c r="H36" s="72">
        <f t="shared" si="30"/>
        <v>2716.0650000000001</v>
      </c>
      <c r="I36" s="202">
        <v>5271.9</v>
      </c>
      <c r="J36" s="202">
        <v>5430.0569999999998</v>
      </c>
      <c r="K36" s="202">
        <v>4.7849883343766022</v>
      </c>
      <c r="L36" s="202">
        <v>8.4921470437603208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5"/>
        <v>5430.0569999999998</v>
      </c>
      <c r="S36" s="62">
        <f t="shared" si="16"/>
        <v>259.82759400000009</v>
      </c>
      <c r="T36" s="63">
        <f t="shared" si="17"/>
        <v>461.12842500000033</v>
      </c>
      <c r="U36" s="64" t="s">
        <v>200</v>
      </c>
      <c r="V36" s="85" t="s">
        <v>650</v>
      </c>
      <c r="W36" s="66" t="s">
        <v>184</v>
      </c>
      <c r="X36" s="67">
        <v>18500</v>
      </c>
      <c r="Y36" s="68">
        <v>4.4000000000000004</v>
      </c>
      <c r="Z36" s="68">
        <v>8.2899999999999991</v>
      </c>
      <c r="AA36" s="62">
        <f t="shared" si="5"/>
        <v>814.00000000000011</v>
      </c>
      <c r="AB36" s="63">
        <f t="shared" si="6"/>
        <v>1533.6499999999999</v>
      </c>
      <c r="AC36" s="69">
        <v>18390</v>
      </c>
      <c r="AD36" s="70">
        <v>4.3</v>
      </c>
      <c r="AE36" s="70">
        <v>8.27</v>
      </c>
      <c r="AF36" s="62">
        <f t="shared" si="7"/>
        <v>790.77</v>
      </c>
      <c r="AG36" s="63">
        <f t="shared" si="8"/>
        <v>1520.8529999999998</v>
      </c>
      <c r="AH36" s="96">
        <v>19383</v>
      </c>
      <c r="AI36" s="66">
        <v>4.84</v>
      </c>
      <c r="AJ36" s="66">
        <v>8.39</v>
      </c>
      <c r="AK36" s="62">
        <f t="shared" si="18"/>
        <v>938.13720000000001</v>
      </c>
      <c r="AL36" s="72">
        <f t="shared" si="19"/>
        <v>1626.2337</v>
      </c>
      <c r="AM36" s="73">
        <f t="shared" si="20"/>
        <v>107.0570000000007</v>
      </c>
      <c r="AN36" s="74">
        <f t="shared" si="21"/>
        <v>104.74539399999992</v>
      </c>
      <c r="AO36" s="74">
        <f t="shared" si="22"/>
        <v>30.106725000000552</v>
      </c>
      <c r="AP36" s="75">
        <f t="shared" si="23"/>
        <v>0.18704624893352945</v>
      </c>
      <c r="AQ36" s="76">
        <f t="shared" si="24"/>
        <v>59350.26701722588</v>
      </c>
      <c r="AR36" s="90">
        <f t="shared" ref="AR36:AR48" si="31">(D36+J36+O36)-(X36+AH36)</f>
        <v>-2.9429999999993015</v>
      </c>
    </row>
    <row r="37" spans="1:49" x14ac:dyDescent="0.25">
      <c r="A37" t="str">
        <f t="shared" si="14"/>
        <v>46220E</v>
      </c>
      <c r="B37" s="51">
        <f t="shared" si="26"/>
        <v>46220</v>
      </c>
      <c r="C37" s="52" t="s">
        <v>88</v>
      </c>
      <c r="D37" s="91">
        <v>19383</v>
      </c>
      <c r="E37" s="62">
        <v>4.84</v>
      </c>
      <c r="F37" s="62">
        <v>8.39</v>
      </c>
      <c r="G37" s="62">
        <f t="shared" si="29"/>
        <v>938.13720000000001</v>
      </c>
      <c r="H37" s="72">
        <f t="shared" si="30"/>
        <v>1626.2337</v>
      </c>
      <c r="I37" s="202">
        <v>5891</v>
      </c>
      <c r="J37" s="202">
        <v>6067.7300000000005</v>
      </c>
      <c r="K37" s="202">
        <v>4.1859090137497867</v>
      </c>
      <c r="L37" s="202">
        <v>8.2558682736377502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5"/>
        <v>6067.7300000000005</v>
      </c>
      <c r="S37" s="62">
        <f t="shared" si="16"/>
        <v>253.98965699999997</v>
      </c>
      <c r="T37" s="63">
        <f t="shared" si="17"/>
        <v>500.94379599999996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ref="AA37:AA43" si="32">X37*Y37%</f>
        <v>0</v>
      </c>
      <c r="AB37" s="63">
        <f t="shared" ref="AB37:AB43" si="33">X37*Z37%</f>
        <v>0</v>
      </c>
      <c r="AC37" s="69"/>
      <c r="AD37" s="70"/>
      <c r="AE37" s="70"/>
      <c r="AF37" s="62">
        <f t="shared" ref="AF37:AF49" si="34">AC37*AD37%</f>
        <v>0</v>
      </c>
      <c r="AG37" s="63">
        <f t="shared" ref="AG37:AG49" si="35">AC37*AE37%</f>
        <v>0</v>
      </c>
      <c r="AH37" s="96">
        <v>25454</v>
      </c>
      <c r="AI37" s="66">
        <v>4.6900000000000004</v>
      </c>
      <c r="AJ37" s="66">
        <v>8.36</v>
      </c>
      <c r="AK37" s="62">
        <f t="shared" si="18"/>
        <v>1193.7926</v>
      </c>
      <c r="AL37" s="72">
        <f t="shared" si="19"/>
        <v>2127.9543999999996</v>
      </c>
      <c r="AM37" s="73">
        <f t="shared" si="20"/>
        <v>-3.2700000000004366</v>
      </c>
      <c r="AN37" s="74">
        <f t="shared" si="21"/>
        <v>-1.6657430000000204</v>
      </c>
      <c r="AO37" s="74">
        <f t="shared" si="22"/>
        <v>-0.77690399999983129</v>
      </c>
      <c r="AP37" s="75">
        <f t="shared" si="23"/>
        <v>-3.2355792292593664E-3</v>
      </c>
      <c r="AQ37" s="76">
        <f t="shared" si="24"/>
        <v>-1033.1195570842142</v>
      </c>
      <c r="AR37" s="90">
        <f t="shared" si="31"/>
        <v>-3.2700000000004366</v>
      </c>
    </row>
    <row r="38" spans="1:49" x14ac:dyDescent="0.25">
      <c r="A38" t="str">
        <f t="shared" si="14"/>
        <v>46221M</v>
      </c>
      <c r="B38" s="51">
        <f t="shared" si="26"/>
        <v>46221</v>
      </c>
      <c r="C38" s="52" t="s">
        <v>87</v>
      </c>
      <c r="D38" s="91">
        <v>25454</v>
      </c>
      <c r="E38" s="62">
        <v>4.6900000000000004</v>
      </c>
      <c r="F38" s="62">
        <v>8.36</v>
      </c>
      <c r="G38" s="62">
        <f t="shared" si="29"/>
        <v>1193.7926</v>
      </c>
      <c r="H38" s="72">
        <f t="shared" si="30"/>
        <v>2127.9543999999996</v>
      </c>
      <c r="I38" s="202">
        <v>5403.9999999999991</v>
      </c>
      <c r="J38" s="202">
        <v>5566.119999999999</v>
      </c>
      <c r="K38" s="202">
        <v>4.6359678016284231</v>
      </c>
      <c r="L38" s="202">
        <v>8.4472742413027397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5"/>
        <v>5566.119999999999</v>
      </c>
      <c r="S38" s="62">
        <f t="shared" si="16"/>
        <v>258.04353099999992</v>
      </c>
      <c r="T38" s="63">
        <f t="shared" si="17"/>
        <v>470.18542099999996</v>
      </c>
      <c r="U38" s="64" t="s">
        <v>200</v>
      </c>
      <c r="V38" s="65" t="s">
        <v>651</v>
      </c>
      <c r="W38" s="66" t="s">
        <v>201</v>
      </c>
      <c r="X38" s="67">
        <v>18500</v>
      </c>
      <c r="Y38" s="68">
        <v>4.7</v>
      </c>
      <c r="Z38" s="68">
        <v>8.4700000000000006</v>
      </c>
      <c r="AA38" s="62">
        <f t="shared" si="32"/>
        <v>869.5</v>
      </c>
      <c r="AB38" s="63">
        <f t="shared" si="33"/>
        <v>1566.9500000000003</v>
      </c>
      <c r="AC38" s="69">
        <v>18280</v>
      </c>
      <c r="AD38" s="70">
        <v>4.6500000000000004</v>
      </c>
      <c r="AE38" s="70">
        <v>8.34</v>
      </c>
      <c r="AF38" s="62">
        <f t="shared" si="34"/>
        <v>850.0200000000001</v>
      </c>
      <c r="AG38" s="63">
        <f t="shared" si="35"/>
        <v>1524.5520000000001</v>
      </c>
      <c r="AH38" s="96">
        <v>12522</v>
      </c>
      <c r="AI38" s="66">
        <v>4.68</v>
      </c>
      <c r="AJ38" s="66">
        <v>8.3699999999999992</v>
      </c>
      <c r="AK38" s="62">
        <f t="shared" si="18"/>
        <v>586.02959999999996</v>
      </c>
      <c r="AL38" s="72">
        <f t="shared" si="19"/>
        <v>1048.0914</v>
      </c>
      <c r="AM38" s="73">
        <f t="shared" si="20"/>
        <v>218.11999999999898</v>
      </c>
      <c r="AN38" s="74">
        <f t="shared" si="21"/>
        <v>15.786530999999968</v>
      </c>
      <c r="AO38" s="74">
        <f t="shared" si="22"/>
        <v>25.4964209999996</v>
      </c>
      <c r="AP38" s="75">
        <f t="shared" si="23"/>
        <v>5.6689523104815495E-2</v>
      </c>
      <c r="AQ38" s="76">
        <f t="shared" si="24"/>
        <v>15221.893047987764</v>
      </c>
      <c r="AR38" s="90">
        <f t="shared" si="31"/>
        <v>-1.8800000000010186</v>
      </c>
    </row>
    <row r="39" spans="1:49" x14ac:dyDescent="0.25">
      <c r="A39" t="str">
        <f t="shared" si="14"/>
        <v>46221E</v>
      </c>
      <c r="B39" s="51">
        <f t="shared" si="26"/>
        <v>46221</v>
      </c>
      <c r="C39" s="52" t="s">
        <v>88</v>
      </c>
      <c r="D39" s="91">
        <v>12522</v>
      </c>
      <c r="E39" s="62">
        <v>4.68</v>
      </c>
      <c r="F39" s="62">
        <v>8.3699999999999992</v>
      </c>
      <c r="G39" s="62">
        <f t="shared" si="29"/>
        <v>586.02959999999996</v>
      </c>
      <c r="H39" s="72">
        <f t="shared" si="30"/>
        <v>1048.0914</v>
      </c>
      <c r="I39" s="202">
        <v>5998.7000000000025</v>
      </c>
      <c r="J39" s="202">
        <v>6178.6610000000028</v>
      </c>
      <c r="K39" s="202">
        <v>4.3511577508460189</v>
      </c>
      <c r="L39" s="202">
        <v>8.2149649090636352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5"/>
        <v>6178.6610000000028</v>
      </c>
      <c r="S39" s="62">
        <f t="shared" si="16"/>
        <v>268.84328700000026</v>
      </c>
      <c r="T39" s="63">
        <f t="shared" si="17"/>
        <v>507.57483300000052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2"/>
        <v>0</v>
      </c>
      <c r="AB39" s="63">
        <f t="shared" si="33"/>
        <v>0</v>
      </c>
      <c r="AC39" s="69"/>
      <c r="AD39" s="70"/>
      <c r="AE39" s="70"/>
      <c r="AF39" s="62">
        <f t="shared" si="34"/>
        <v>0</v>
      </c>
      <c r="AG39" s="63">
        <f t="shared" si="35"/>
        <v>0</v>
      </c>
      <c r="AH39" s="96">
        <v>18703</v>
      </c>
      <c r="AI39" s="66">
        <v>4.57</v>
      </c>
      <c r="AJ39" s="66">
        <v>8.32</v>
      </c>
      <c r="AK39" s="62">
        <f t="shared" si="18"/>
        <v>854.72710000000006</v>
      </c>
      <c r="AL39" s="72">
        <f t="shared" si="19"/>
        <v>1556.0896</v>
      </c>
      <c r="AM39" s="73">
        <f t="shared" si="20"/>
        <v>-2.3389999999963038</v>
      </c>
      <c r="AN39" s="74">
        <f t="shared" si="21"/>
        <v>0.14578700000015488</v>
      </c>
      <c r="AO39" s="74">
        <f t="shared" si="22"/>
        <v>-0.42336699999941629</v>
      </c>
      <c r="AP39" s="75">
        <f t="shared" si="23"/>
        <v>-3.5751355210419505E-4</v>
      </c>
      <c r="AQ39" s="76">
        <f t="shared" si="24"/>
        <v>-56.739249124602807</v>
      </c>
      <c r="AR39" s="90">
        <f t="shared" si="31"/>
        <v>-2.3389999999963038</v>
      </c>
    </row>
    <row r="40" spans="1:49" x14ac:dyDescent="0.25">
      <c r="A40" t="str">
        <f t="shared" si="14"/>
        <v>46222M</v>
      </c>
      <c r="B40" s="51">
        <f t="shared" si="26"/>
        <v>46222</v>
      </c>
      <c r="C40" s="52" t="s">
        <v>87</v>
      </c>
      <c r="D40" s="91">
        <v>18703</v>
      </c>
      <c r="E40" s="62">
        <v>4.57</v>
      </c>
      <c r="F40" s="62">
        <v>8.32</v>
      </c>
      <c r="G40" s="62">
        <f t="shared" si="29"/>
        <v>854.72710000000006</v>
      </c>
      <c r="H40" s="72">
        <f t="shared" si="30"/>
        <v>1556.0896</v>
      </c>
      <c r="I40" s="202">
        <v>5446.9000000000015</v>
      </c>
      <c r="J40" s="202">
        <v>5610.3070000000016</v>
      </c>
      <c r="K40" s="202">
        <v>4.4370155501294297</v>
      </c>
      <c r="L40" s="202">
        <v>8.3124676421450729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5"/>
        <v>5610.3070000000016</v>
      </c>
      <c r="S40" s="62">
        <f t="shared" si="16"/>
        <v>248.930194</v>
      </c>
      <c r="T40" s="63">
        <f t="shared" si="17"/>
        <v>466.35495400000013</v>
      </c>
      <c r="U40" s="64" t="s">
        <v>197</v>
      </c>
      <c r="V40" s="65" t="s">
        <v>652</v>
      </c>
      <c r="W40" s="66" t="s">
        <v>201</v>
      </c>
      <c r="X40" s="67">
        <v>9200</v>
      </c>
      <c r="Y40" s="68">
        <v>4.4800000000000004</v>
      </c>
      <c r="Z40" s="68">
        <v>8.56</v>
      </c>
      <c r="AA40" s="62">
        <f t="shared" si="32"/>
        <v>412.16000000000008</v>
      </c>
      <c r="AB40" s="63">
        <f t="shared" si="33"/>
        <v>787.5200000000001</v>
      </c>
      <c r="AC40" s="69">
        <v>9120</v>
      </c>
      <c r="AD40" s="70">
        <v>4.3991228070175437</v>
      </c>
      <c r="AE40" s="70">
        <v>8.3895614035087718</v>
      </c>
      <c r="AF40" s="62">
        <f t="shared" si="34"/>
        <v>401.2</v>
      </c>
      <c r="AG40" s="63">
        <f t="shared" si="35"/>
        <v>765.12799999999993</v>
      </c>
      <c r="AH40" s="96">
        <v>15115</v>
      </c>
      <c r="AI40" s="66">
        <v>4.54</v>
      </c>
      <c r="AJ40" s="66">
        <v>8.32</v>
      </c>
      <c r="AK40" s="62">
        <f t="shared" si="18"/>
        <v>686.221</v>
      </c>
      <c r="AL40" s="72">
        <f t="shared" si="19"/>
        <v>1257.568</v>
      </c>
      <c r="AM40" s="73">
        <f t="shared" si="20"/>
        <v>78.307000000000698</v>
      </c>
      <c r="AN40" s="74">
        <f t="shared" si="21"/>
        <v>16.236294000000044</v>
      </c>
      <c r="AO40" s="74">
        <f t="shared" si="22"/>
        <v>-0.25144599999975981</v>
      </c>
      <c r="AP40" s="75">
        <f t="shared" si="23"/>
        <v>2.2347518391365062E-2</v>
      </c>
      <c r="AQ40" s="76">
        <f t="shared" si="24"/>
        <v>7726.7618618363113</v>
      </c>
      <c r="AR40" s="90">
        <f t="shared" si="31"/>
        <v>-1.6929999999993015</v>
      </c>
    </row>
    <row r="41" spans="1:49" x14ac:dyDescent="0.25">
      <c r="A41" t="str">
        <f t="shared" si="14"/>
        <v>46222E</v>
      </c>
      <c r="B41" s="51">
        <f t="shared" si="26"/>
        <v>46222</v>
      </c>
      <c r="C41" s="52" t="s">
        <v>88</v>
      </c>
      <c r="D41" s="91">
        <v>15115</v>
      </c>
      <c r="E41" s="62">
        <v>4.54</v>
      </c>
      <c r="F41" s="62">
        <v>8.32</v>
      </c>
      <c r="G41" s="62">
        <f t="shared" si="29"/>
        <v>686.221</v>
      </c>
      <c r="H41" s="72">
        <f t="shared" si="30"/>
        <v>1257.568</v>
      </c>
      <c r="I41" s="202">
        <v>5843.699999999998</v>
      </c>
      <c r="J41" s="202">
        <v>6019.0109999999977</v>
      </c>
      <c r="K41" s="202">
        <v>4.2610435169498775</v>
      </c>
      <c r="L41" s="202">
        <v>8.2749850266098512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5"/>
        <v>6019.0109999999977</v>
      </c>
      <c r="S41" s="62">
        <f t="shared" si="16"/>
        <v>256.47267799999992</v>
      </c>
      <c r="T41" s="63">
        <f t="shared" si="17"/>
        <v>498.07225899999969</v>
      </c>
      <c r="U41" s="64" t="s">
        <v>339</v>
      </c>
      <c r="V41" s="65" t="s">
        <v>653</v>
      </c>
      <c r="W41" s="66" t="s">
        <v>184</v>
      </c>
      <c r="X41" s="67">
        <v>5900</v>
      </c>
      <c r="Y41" s="68">
        <v>4.3</v>
      </c>
      <c r="Z41" s="68">
        <v>8.39</v>
      </c>
      <c r="AA41" s="62">
        <f t="shared" si="32"/>
        <v>253.7</v>
      </c>
      <c r="AB41" s="63">
        <f t="shared" si="33"/>
        <v>495.01</v>
      </c>
      <c r="AC41" s="69">
        <v>5850</v>
      </c>
      <c r="AD41" s="70">
        <v>4.2</v>
      </c>
      <c r="AE41" s="70">
        <v>8.25</v>
      </c>
      <c r="AF41" s="62">
        <f t="shared" si="34"/>
        <v>245.70000000000002</v>
      </c>
      <c r="AG41" s="63">
        <f t="shared" si="35"/>
        <v>482.625</v>
      </c>
      <c r="AH41" s="96">
        <v>15236</v>
      </c>
      <c r="AI41" s="66">
        <v>4.46</v>
      </c>
      <c r="AJ41" s="66">
        <v>8.3000000000000007</v>
      </c>
      <c r="AK41" s="62">
        <f t="shared" si="18"/>
        <v>679.52560000000005</v>
      </c>
      <c r="AL41" s="72">
        <f t="shared" si="19"/>
        <v>1264.588</v>
      </c>
      <c r="AM41" s="73">
        <f t="shared" si="20"/>
        <v>48.010999999998603</v>
      </c>
      <c r="AN41" s="74">
        <f t="shared" si="21"/>
        <v>17.468077999999764</v>
      </c>
      <c r="AO41" s="74">
        <f t="shared" si="22"/>
        <v>8.4272589999998218</v>
      </c>
      <c r="AP41" s="75">
        <f t="shared" si="23"/>
        <v>3.4319144864926182E-2</v>
      </c>
      <c r="AQ41" s="76">
        <f t="shared" si="24"/>
        <v>10917.869049235323</v>
      </c>
      <c r="AR41" s="90">
        <f t="shared" si="31"/>
        <v>-1.989000000001397</v>
      </c>
      <c r="AS41" s="90">
        <f>SUM(J28:J41)</f>
        <v>106961.07100000001</v>
      </c>
      <c r="AT41" s="83">
        <f>SUM(AM28:AM41)</f>
        <v>-795.92899999998917</v>
      </c>
      <c r="AU41" s="83">
        <f>SUM(AN28:AN41)</f>
        <v>126.80357000000038</v>
      </c>
      <c r="AV41" s="83">
        <f>SUM(AO28:AO41)</f>
        <v>-1.0815999998783354E-2</v>
      </c>
      <c r="AW41" s="83">
        <f>-SUM(AQ28:AQ41)</f>
        <v>-60930.003092252664</v>
      </c>
    </row>
    <row r="42" spans="1:49" x14ac:dyDescent="0.25">
      <c r="A42" t="str">
        <f t="shared" si="14"/>
        <v>46223M</v>
      </c>
      <c r="B42" s="51">
        <f t="shared" si="26"/>
        <v>46223</v>
      </c>
      <c r="C42" s="52" t="s">
        <v>87</v>
      </c>
      <c r="D42" s="91">
        <v>15236</v>
      </c>
      <c r="E42" s="62">
        <v>4.46</v>
      </c>
      <c r="F42" s="62">
        <v>8.3000000000000007</v>
      </c>
      <c r="G42" s="62">
        <f t="shared" si="29"/>
        <v>679.52560000000005</v>
      </c>
      <c r="H42" s="72">
        <f t="shared" si="30"/>
        <v>1264.588</v>
      </c>
      <c r="I42" s="202">
        <v>6762.6000000000031</v>
      </c>
      <c r="J42" s="202">
        <v>6965.4780000000037</v>
      </c>
      <c r="K42" s="202">
        <v>4.3874101676869834</v>
      </c>
      <c r="L42" s="202">
        <v>8.302049507585842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5"/>
        <v>6965.4780000000037</v>
      </c>
      <c r="S42" s="62">
        <f t="shared" si="16"/>
        <v>305.6040900000001</v>
      </c>
      <c r="T42" s="63">
        <f t="shared" si="17"/>
        <v>578.27743200000043</v>
      </c>
      <c r="U42" s="64" t="s">
        <v>200</v>
      </c>
      <c r="V42" s="65" t="s">
        <v>654</v>
      </c>
      <c r="W42" s="66" t="s">
        <v>201</v>
      </c>
      <c r="X42" s="67">
        <v>18500</v>
      </c>
      <c r="Y42" s="68">
        <v>4.45</v>
      </c>
      <c r="Z42" s="68">
        <v>8.5500000000000007</v>
      </c>
      <c r="AA42" s="62">
        <f t="shared" si="32"/>
        <v>823.25000000000011</v>
      </c>
      <c r="AB42" s="63">
        <f t="shared" si="33"/>
        <v>1581.7500000000002</v>
      </c>
      <c r="AC42" s="69">
        <v>18310</v>
      </c>
      <c r="AD42" s="70">
        <v>4.4000000000000004</v>
      </c>
      <c r="AE42" s="70">
        <v>8.3000000000000007</v>
      </c>
      <c r="AF42" s="62">
        <f t="shared" si="34"/>
        <v>805.6400000000001</v>
      </c>
      <c r="AG42" s="63">
        <f t="shared" si="35"/>
        <v>1519.73</v>
      </c>
      <c r="AH42" s="96">
        <v>3702</v>
      </c>
      <c r="AI42" s="66">
        <v>4.4400000000000004</v>
      </c>
      <c r="AJ42" s="66">
        <v>8.2899999999999991</v>
      </c>
      <c r="AK42" s="62">
        <f t="shared" si="18"/>
        <v>164.36879999999999</v>
      </c>
      <c r="AL42" s="72">
        <f t="shared" si="19"/>
        <v>306.89579999999995</v>
      </c>
      <c r="AM42" s="73">
        <f t="shared" si="20"/>
        <v>189.47800000000279</v>
      </c>
      <c r="AN42" s="74">
        <f t="shared" si="21"/>
        <v>15.120890000000117</v>
      </c>
      <c r="AO42" s="74">
        <f t="shared" si="22"/>
        <v>16.23963200000054</v>
      </c>
      <c r="AP42" s="75">
        <f t="shared" si="23"/>
        <v>3.5480458884398575E-2</v>
      </c>
      <c r="AQ42" s="76">
        <f t="shared" si="24"/>
        <v>12129.704986419092</v>
      </c>
      <c r="AR42" s="90">
        <f t="shared" si="31"/>
        <v>-0.52199999999720603</v>
      </c>
    </row>
    <row r="43" spans="1:49" x14ac:dyDescent="0.25">
      <c r="A43" t="str">
        <f t="shared" si="14"/>
        <v>46223E</v>
      </c>
      <c r="B43" s="51">
        <f t="shared" si="26"/>
        <v>46223</v>
      </c>
      <c r="C43" s="52" t="s">
        <v>88</v>
      </c>
      <c r="D43" s="91">
        <v>3702</v>
      </c>
      <c r="E43" s="62">
        <v>4.4400000000000004</v>
      </c>
      <c r="F43" s="62">
        <v>8.2899999999999991</v>
      </c>
      <c r="G43" s="62">
        <f t="shared" si="29"/>
        <v>164.36879999999999</v>
      </c>
      <c r="H43" s="72">
        <f t="shared" si="30"/>
        <v>306.89579999999995</v>
      </c>
      <c r="I43" s="202">
        <v>6396.2</v>
      </c>
      <c r="J43" s="202">
        <v>6588.0860000000002</v>
      </c>
      <c r="K43" s="202">
        <v>4.4716831868922169</v>
      </c>
      <c r="L43" s="202">
        <v>8.2989509396204006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5"/>
        <v>6588.0860000000002</v>
      </c>
      <c r="S43" s="62">
        <f t="shared" si="16"/>
        <v>294.59833399999997</v>
      </c>
      <c r="T43" s="63">
        <f t="shared" si="17"/>
        <v>546.74202500000001</v>
      </c>
      <c r="U43" s="64" t="s">
        <v>197</v>
      </c>
      <c r="V43" s="65" t="s">
        <v>655</v>
      </c>
      <c r="W43" s="66" t="s">
        <v>184</v>
      </c>
      <c r="X43" s="67">
        <v>9200</v>
      </c>
      <c r="Y43" s="68">
        <v>4.1500000000000004</v>
      </c>
      <c r="Z43" s="68">
        <v>8.49</v>
      </c>
      <c r="AA43" s="62">
        <f t="shared" si="32"/>
        <v>381.8</v>
      </c>
      <c r="AB43" s="63">
        <f t="shared" si="33"/>
        <v>781.08</v>
      </c>
      <c r="AC43" s="69">
        <v>9140</v>
      </c>
      <c r="AD43" s="70">
        <v>4.0498905908096274</v>
      </c>
      <c r="AE43" s="70">
        <v>8.469978118161924</v>
      </c>
      <c r="AF43" s="62">
        <f t="shared" si="34"/>
        <v>370.15999999999997</v>
      </c>
      <c r="AG43" s="63">
        <f t="shared" si="35"/>
        <v>774.15599999999984</v>
      </c>
      <c r="AH43" s="96">
        <v>1091</v>
      </c>
      <c r="AI43" s="66">
        <v>4.46</v>
      </c>
      <c r="AJ43" s="66">
        <v>8.2899999999999991</v>
      </c>
      <c r="AK43" s="62">
        <f t="shared" si="18"/>
        <v>48.6586</v>
      </c>
      <c r="AL43" s="72">
        <f t="shared" si="19"/>
        <v>90.443899999999985</v>
      </c>
      <c r="AM43" s="73">
        <f t="shared" si="20"/>
        <v>59.085999999999331</v>
      </c>
      <c r="AN43" s="74">
        <f t="shared" si="21"/>
        <v>40.148534000000019</v>
      </c>
      <c r="AO43" s="74">
        <f t="shared" si="22"/>
        <v>-10.9620749999998</v>
      </c>
      <c r="AP43" s="75">
        <f t="shared" si="23"/>
        <v>3.4690430201982286E-2</v>
      </c>
      <c r="AQ43" s="76">
        <f t="shared" si="24"/>
        <v>16009.633405770403</v>
      </c>
      <c r="AR43" s="90">
        <f t="shared" si="31"/>
        <v>-0.91400000000066939</v>
      </c>
    </row>
    <row r="44" spans="1:49" x14ac:dyDescent="0.25">
      <c r="A44" t="str">
        <f t="shared" si="14"/>
        <v>46224M</v>
      </c>
      <c r="B44" s="51">
        <f t="shared" si="26"/>
        <v>46224</v>
      </c>
      <c r="C44" s="52" t="s">
        <v>87</v>
      </c>
      <c r="D44" s="91">
        <v>1091</v>
      </c>
      <c r="E44" s="62">
        <v>4.46</v>
      </c>
      <c r="F44" s="62">
        <v>8.2899999999999991</v>
      </c>
      <c r="G44" s="62">
        <f t="shared" si="29"/>
        <v>48.6586</v>
      </c>
      <c r="H44" s="72">
        <f t="shared" si="30"/>
        <v>90.443899999999985</v>
      </c>
      <c r="I44" s="202">
        <v>7289.0000000000027</v>
      </c>
      <c r="J44" s="202">
        <v>7507.6700000000028</v>
      </c>
      <c r="K44" s="202">
        <v>4.4870091919330513</v>
      </c>
      <c r="L44" s="202">
        <v>8.3021415832075718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5"/>
        <v>7507.6700000000028</v>
      </c>
      <c r="S44" s="62">
        <f t="shared" si="16"/>
        <v>336.86984300000023</v>
      </c>
      <c r="T44" s="63">
        <f t="shared" si="17"/>
        <v>623.29739300000017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ref="AA44:AA63" si="36">X44*Y44%</f>
        <v>0</v>
      </c>
      <c r="AB44" s="63">
        <f t="shared" ref="AB44:AB63" si="37">X44*Z44%</f>
        <v>0</v>
      </c>
      <c r="AC44" s="69"/>
      <c r="AD44" s="70"/>
      <c r="AE44" s="70"/>
      <c r="AF44" s="62">
        <f t="shared" si="34"/>
        <v>0</v>
      </c>
      <c r="AG44" s="63">
        <f t="shared" si="35"/>
        <v>0</v>
      </c>
      <c r="AH44" s="96">
        <v>8599</v>
      </c>
      <c r="AI44" s="66">
        <v>4.49</v>
      </c>
      <c r="AJ44" s="66">
        <v>8.3000000000000007</v>
      </c>
      <c r="AK44" s="62">
        <f t="shared" si="18"/>
        <v>386.0951</v>
      </c>
      <c r="AL44" s="72">
        <f t="shared" si="19"/>
        <v>713.71699999999998</v>
      </c>
      <c r="AM44" s="73">
        <f t="shared" si="20"/>
        <v>-0.32999999999810825</v>
      </c>
      <c r="AN44" s="74">
        <f t="shared" si="21"/>
        <v>-0.56665699999979324</v>
      </c>
      <c r="AO44" s="74">
        <f t="shared" si="22"/>
        <v>2.429300000017065E-2</v>
      </c>
      <c r="AP44" s="75">
        <f t="shared" si="23"/>
        <v>-5.6486409832007885E-4</v>
      </c>
      <c r="AQ44" s="76">
        <f t="shared" si="24"/>
        <v>-265.02159392846715</v>
      </c>
      <c r="AR44" s="90">
        <f t="shared" si="31"/>
        <v>-0.32999999999810825</v>
      </c>
    </row>
    <row r="45" spans="1:49" x14ac:dyDescent="0.25">
      <c r="A45" t="str">
        <f t="shared" si="14"/>
        <v>46224E</v>
      </c>
      <c r="B45" s="51">
        <f t="shared" si="26"/>
        <v>46224</v>
      </c>
      <c r="C45" s="52" t="s">
        <v>88</v>
      </c>
      <c r="D45" s="91">
        <v>8599</v>
      </c>
      <c r="E45" s="62">
        <v>4.49</v>
      </c>
      <c r="F45" s="62">
        <v>8.3000000000000007</v>
      </c>
      <c r="G45" s="62">
        <f t="shared" si="29"/>
        <v>386.0951</v>
      </c>
      <c r="H45" s="72">
        <f t="shared" si="30"/>
        <v>713.71699999999998</v>
      </c>
      <c r="I45" s="202">
        <v>8142</v>
      </c>
      <c r="J45" s="202">
        <v>8386.26</v>
      </c>
      <c r="K45" s="202">
        <v>4.2415487595185448</v>
      </c>
      <c r="L45" s="202">
        <v>8.2845566199950884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5"/>
        <v>8386.26</v>
      </c>
      <c r="S45" s="62">
        <f t="shared" si="16"/>
        <v>355.70730699999996</v>
      </c>
      <c r="T45" s="63">
        <f t="shared" si="17"/>
        <v>694.7644580000001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36"/>
        <v>0</v>
      </c>
      <c r="AB45" s="63">
        <f t="shared" si="37"/>
        <v>0</v>
      </c>
      <c r="AC45" s="69"/>
      <c r="AD45" s="70"/>
      <c r="AE45" s="70"/>
      <c r="AF45" s="62">
        <f t="shared" si="34"/>
        <v>0</v>
      </c>
      <c r="AG45" s="63">
        <f t="shared" si="35"/>
        <v>0</v>
      </c>
      <c r="AH45" s="96">
        <v>16986</v>
      </c>
      <c r="AI45" s="66">
        <v>4.37</v>
      </c>
      <c r="AJ45" s="66">
        <v>8.3000000000000007</v>
      </c>
      <c r="AK45" s="62">
        <f t="shared" si="18"/>
        <v>742.28820000000007</v>
      </c>
      <c r="AL45" s="72">
        <f t="shared" si="19"/>
        <v>1409.838</v>
      </c>
      <c r="AM45" s="73">
        <f t="shared" si="20"/>
        <v>-0.73999999999796273</v>
      </c>
      <c r="AN45" s="74">
        <f t="shared" si="21"/>
        <v>-0.48579300000017156</v>
      </c>
      <c r="AO45" s="74">
        <f t="shared" si="22"/>
        <v>-1.356541999999763</v>
      </c>
      <c r="AP45" s="75">
        <f t="shared" si="23"/>
        <v>-1.7538167720290269E-3</v>
      </c>
      <c r="AQ45" s="76">
        <f t="shared" si="24"/>
        <v>-639.71159969563075</v>
      </c>
      <c r="AR45" s="90">
        <f t="shared" si="31"/>
        <v>-0.73999999999796273</v>
      </c>
    </row>
    <row r="46" spans="1:49" x14ac:dyDescent="0.25">
      <c r="A46" t="str">
        <f t="shared" si="14"/>
        <v>46225M</v>
      </c>
      <c r="B46" s="51">
        <f t="shared" si="26"/>
        <v>46225</v>
      </c>
      <c r="C46" s="52" t="s">
        <v>87</v>
      </c>
      <c r="D46" s="91">
        <v>16986</v>
      </c>
      <c r="E46" s="62">
        <v>4.37</v>
      </c>
      <c r="F46" s="62">
        <v>8.3000000000000007</v>
      </c>
      <c r="G46" s="62">
        <f t="shared" si="29"/>
        <v>742.28820000000007</v>
      </c>
      <c r="H46" s="72">
        <f t="shared" si="30"/>
        <v>1409.838</v>
      </c>
      <c r="I46" s="202">
        <v>7717.4000000000005</v>
      </c>
      <c r="J46" s="202">
        <v>7948.9220000000005</v>
      </c>
      <c r="K46" s="202">
        <v>4.4015341954544276</v>
      </c>
      <c r="L46" s="202">
        <v>8.318883302666702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5"/>
        <v>7948.9220000000005</v>
      </c>
      <c r="S46" s="62">
        <f t="shared" si="16"/>
        <v>349.87452000000002</v>
      </c>
      <c r="T46" s="63">
        <f t="shared" si="17"/>
        <v>661.26154500000007</v>
      </c>
      <c r="U46" s="64" t="s">
        <v>198</v>
      </c>
      <c r="V46" s="65" t="s">
        <v>778</v>
      </c>
      <c r="W46" s="66" t="s">
        <v>184</v>
      </c>
      <c r="X46" s="67">
        <v>7200</v>
      </c>
      <c r="Y46" s="68">
        <v>4.75</v>
      </c>
      <c r="Z46" s="68">
        <v>8.42</v>
      </c>
      <c r="AA46" s="62">
        <f t="shared" si="36"/>
        <v>342</v>
      </c>
      <c r="AB46" s="63">
        <f t="shared" si="37"/>
        <v>606.24</v>
      </c>
      <c r="AC46" s="69">
        <v>7220</v>
      </c>
      <c r="AD46" s="70">
        <v>4.5743074792243767</v>
      </c>
      <c r="AE46" s="70">
        <v>8.3831994459833776</v>
      </c>
      <c r="AF46" s="62">
        <f t="shared" si="34"/>
        <v>330.26499999999999</v>
      </c>
      <c r="AG46" s="63">
        <f t="shared" si="35"/>
        <v>605.26699999999983</v>
      </c>
      <c r="AH46" s="96">
        <v>17735</v>
      </c>
      <c r="AI46" s="66">
        <v>4.38</v>
      </c>
      <c r="AJ46" s="66">
        <v>8.31</v>
      </c>
      <c r="AK46" s="62">
        <f t="shared" si="18"/>
        <v>776.79300000000001</v>
      </c>
      <c r="AL46" s="72">
        <f t="shared" si="19"/>
        <v>1473.7785000000001</v>
      </c>
      <c r="AM46" s="73">
        <f t="shared" si="20"/>
        <v>-20.078000000001339</v>
      </c>
      <c r="AN46" s="74">
        <f t="shared" si="21"/>
        <v>-14.895279999999957</v>
      </c>
      <c r="AO46" s="74">
        <f t="shared" si="22"/>
        <v>-7.9459549999999126</v>
      </c>
      <c r="AP46" s="75">
        <f t="shared" si="23"/>
        <v>-2.2589674911852608E-2</v>
      </c>
      <c r="AQ46" s="76">
        <f t="shared" si="24"/>
        <v>-9537.4096116708097</v>
      </c>
      <c r="AR46" s="90">
        <f t="shared" si="31"/>
        <v>-7.8000000001338776E-2</v>
      </c>
    </row>
    <row r="47" spans="1:49" x14ac:dyDescent="0.25">
      <c r="A47" t="str">
        <f t="shared" si="14"/>
        <v>46225E</v>
      </c>
      <c r="B47" s="51">
        <f t="shared" si="26"/>
        <v>46225</v>
      </c>
      <c r="C47" s="52" t="s">
        <v>88</v>
      </c>
      <c r="D47" s="91">
        <v>17735</v>
      </c>
      <c r="E47" s="62">
        <v>4.38</v>
      </c>
      <c r="F47" s="62">
        <v>8.31</v>
      </c>
      <c r="G47" s="62">
        <f t="shared" si="29"/>
        <v>776.79300000000001</v>
      </c>
      <c r="H47" s="72">
        <f t="shared" si="30"/>
        <v>1473.7785000000001</v>
      </c>
      <c r="I47" s="202">
        <v>8611.2999999999993</v>
      </c>
      <c r="J47" s="202">
        <v>8869.6389999999992</v>
      </c>
      <c r="K47" s="202">
        <v>4.2324178695435091</v>
      </c>
      <c r="L47" s="202">
        <v>8.3044987400276415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5"/>
        <v>8869.6389999999992</v>
      </c>
      <c r="S47" s="62">
        <f t="shared" si="16"/>
        <v>375.40018600000013</v>
      </c>
      <c r="T47" s="63">
        <f t="shared" si="17"/>
        <v>736.57905900000014</v>
      </c>
      <c r="U47" s="64" t="s">
        <v>200</v>
      </c>
      <c r="V47" s="65" t="s">
        <v>779</v>
      </c>
      <c r="W47" s="66" t="s">
        <v>184</v>
      </c>
      <c r="X47" s="67">
        <v>18500</v>
      </c>
      <c r="Y47" s="68">
        <v>4.45</v>
      </c>
      <c r="Z47" s="68">
        <v>8.42</v>
      </c>
      <c r="AA47" s="62">
        <f t="shared" si="36"/>
        <v>823.25000000000011</v>
      </c>
      <c r="AB47" s="63">
        <f t="shared" si="37"/>
        <v>1557.7</v>
      </c>
      <c r="AC47" s="69">
        <v>18400</v>
      </c>
      <c r="AD47" s="70">
        <v>4.4000000000000004</v>
      </c>
      <c r="AE47" s="70">
        <v>8.16</v>
      </c>
      <c r="AF47" s="62">
        <f t="shared" si="34"/>
        <v>809.60000000000014</v>
      </c>
      <c r="AG47" s="63">
        <f t="shared" si="35"/>
        <v>1501.44</v>
      </c>
      <c r="AH47" s="96">
        <v>8105</v>
      </c>
      <c r="AI47" s="66">
        <v>4.33</v>
      </c>
      <c r="AJ47" s="66">
        <v>8.31</v>
      </c>
      <c r="AK47" s="62">
        <f t="shared" si="18"/>
        <v>350.94649999999996</v>
      </c>
      <c r="AL47" s="72">
        <f t="shared" si="19"/>
        <v>673.52550000000008</v>
      </c>
      <c r="AM47" s="73">
        <f t="shared" si="20"/>
        <v>99.638999999999214</v>
      </c>
      <c r="AN47" s="74">
        <f t="shared" si="21"/>
        <v>-8.353313999999898</v>
      </c>
      <c r="AO47" s="74">
        <f t="shared" si="22"/>
        <v>35.392058999999904</v>
      </c>
      <c r="AP47" s="75">
        <f t="shared" si="23"/>
        <v>2.4315872010722647E-2</v>
      </c>
      <c r="AQ47" s="76">
        <f t="shared" si="24"/>
        <v>6585.567344790973</v>
      </c>
      <c r="AR47" s="90">
        <f t="shared" si="31"/>
        <v>-0.3610000000007858</v>
      </c>
    </row>
    <row r="48" spans="1:49" x14ac:dyDescent="0.25">
      <c r="A48" t="str">
        <f t="shared" si="14"/>
        <v>46226M</v>
      </c>
      <c r="B48" s="51">
        <f t="shared" si="26"/>
        <v>46226</v>
      </c>
      <c r="C48" s="52" t="s">
        <v>87</v>
      </c>
      <c r="D48" s="91">
        <v>8105</v>
      </c>
      <c r="E48" s="62">
        <v>4.33</v>
      </c>
      <c r="F48" s="62">
        <v>8.31</v>
      </c>
      <c r="G48" s="62">
        <f t="shared" si="29"/>
        <v>350.94649999999996</v>
      </c>
      <c r="H48" s="72">
        <f t="shared" si="30"/>
        <v>673.52550000000008</v>
      </c>
      <c r="I48" s="202">
        <v>10049.599999999999</v>
      </c>
      <c r="J48" s="202">
        <v>10351.087999999998</v>
      </c>
      <c r="K48" s="202">
        <v>4.3504189221461571</v>
      </c>
      <c r="L48" s="202">
        <v>8.2927698614870238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5"/>
        <v>10351.087999999998</v>
      </c>
      <c r="S48" s="62">
        <f t="shared" si="16"/>
        <v>450.31569100000013</v>
      </c>
      <c r="T48" s="63">
        <f t="shared" si="17"/>
        <v>858.39190599999972</v>
      </c>
      <c r="U48" s="64" t="s">
        <v>197</v>
      </c>
      <c r="V48" s="65" t="s">
        <v>780</v>
      </c>
      <c r="W48" s="66" t="s">
        <v>184</v>
      </c>
      <c r="X48" s="67">
        <v>9200</v>
      </c>
      <c r="Y48" s="68">
        <v>4.7</v>
      </c>
      <c r="Z48" s="68">
        <v>8.35</v>
      </c>
      <c r="AA48" s="62">
        <f t="shared" si="36"/>
        <v>432.4</v>
      </c>
      <c r="AB48" s="63">
        <f t="shared" si="37"/>
        <v>768.19999999999993</v>
      </c>
      <c r="AC48" s="69">
        <v>9210</v>
      </c>
      <c r="AD48" s="70">
        <v>4.5500542888165043</v>
      </c>
      <c r="AE48" s="70">
        <v>8.3200108577633021</v>
      </c>
      <c r="AF48" s="62">
        <f t="shared" si="34"/>
        <v>419.06000000000006</v>
      </c>
      <c r="AG48" s="63">
        <f t="shared" si="35"/>
        <v>766.27300000000014</v>
      </c>
      <c r="AH48" s="96">
        <v>9258</v>
      </c>
      <c r="AI48" s="66">
        <v>4.34</v>
      </c>
      <c r="AJ48" s="66">
        <v>8.3000000000000007</v>
      </c>
      <c r="AK48" s="62">
        <f t="shared" si="18"/>
        <v>401.79720000000003</v>
      </c>
      <c r="AL48" s="72">
        <f t="shared" si="19"/>
        <v>768.41399999999999</v>
      </c>
      <c r="AM48" s="73">
        <f t="shared" si="20"/>
        <v>-11.9120000000039</v>
      </c>
      <c r="AN48" s="74">
        <f t="shared" si="21"/>
        <v>-19.595009000000061</v>
      </c>
      <c r="AO48" s="74">
        <f t="shared" si="22"/>
        <v>-2.7695940000003247</v>
      </c>
      <c r="AP48" s="75">
        <f t="shared" si="23"/>
        <v>-1.7089075551534671E-2</v>
      </c>
      <c r="AQ48" s="76">
        <f t="shared" si="24"/>
        <v>-10245.508318662396</v>
      </c>
      <c r="AR48" s="90">
        <f t="shared" si="31"/>
        <v>-1.9120000000038999</v>
      </c>
    </row>
    <row r="49" spans="1:49" x14ac:dyDescent="0.25">
      <c r="A49" t="str">
        <f t="shared" si="14"/>
        <v>46226E</v>
      </c>
      <c r="B49" s="51">
        <f t="shared" si="26"/>
        <v>46226</v>
      </c>
      <c r="C49" s="52" t="s">
        <v>88</v>
      </c>
      <c r="D49" s="91">
        <v>9258</v>
      </c>
      <c r="E49" s="62">
        <v>4.34</v>
      </c>
      <c r="F49" s="62">
        <v>8.3000000000000007</v>
      </c>
      <c r="G49" s="62">
        <f t="shared" si="29"/>
        <v>401.79720000000003</v>
      </c>
      <c r="H49" s="72">
        <f t="shared" si="30"/>
        <v>768.41399999999999</v>
      </c>
      <c r="I49" s="202">
        <v>10246.1</v>
      </c>
      <c r="J49" s="202">
        <v>10553.483</v>
      </c>
      <c r="K49" s="202">
        <v>4.2043079805974974</v>
      </c>
      <c r="L49" s="202">
        <v>8.3149012795112309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5"/>
        <v>10553.483</v>
      </c>
      <c r="S49" s="62">
        <f t="shared" si="16"/>
        <v>443.70092800000015</v>
      </c>
      <c r="T49" s="63">
        <f t="shared" si="17"/>
        <v>877.51169300000015</v>
      </c>
      <c r="U49" s="64" t="s">
        <v>200</v>
      </c>
      <c r="V49" s="65" t="s">
        <v>781</v>
      </c>
      <c r="W49" s="66" t="s">
        <v>305</v>
      </c>
      <c r="X49" s="67">
        <v>18500</v>
      </c>
      <c r="Y49" s="68">
        <v>4.2</v>
      </c>
      <c r="Z49" s="68">
        <v>8.3699999999999992</v>
      </c>
      <c r="AA49" s="62">
        <f t="shared" si="36"/>
        <v>777</v>
      </c>
      <c r="AB49" s="63">
        <f t="shared" si="37"/>
        <v>1548.45</v>
      </c>
      <c r="AC49" s="69">
        <v>18430</v>
      </c>
      <c r="AD49" s="70">
        <v>4.1499999999999995</v>
      </c>
      <c r="AE49" s="70">
        <v>8.25</v>
      </c>
      <c r="AF49" s="62">
        <f t="shared" si="34"/>
        <v>764.84499999999991</v>
      </c>
      <c r="AG49" s="63">
        <f t="shared" si="35"/>
        <v>1520.4750000000001</v>
      </c>
      <c r="AH49" s="96">
        <v>3680</v>
      </c>
      <c r="AI49" s="66">
        <v>4.8499999999999996</v>
      </c>
      <c r="AJ49" s="66">
        <v>8.35</v>
      </c>
      <c r="AK49" s="62">
        <f t="shared" si="18"/>
        <v>178.48</v>
      </c>
      <c r="AL49" s="72">
        <f t="shared" si="19"/>
        <v>307.27999999999997</v>
      </c>
      <c r="AM49" s="73">
        <f t="shared" si="20"/>
        <v>-2298.5169999999998</v>
      </c>
      <c r="AN49" s="74">
        <f t="shared" si="21"/>
        <v>-97.826871999999724</v>
      </c>
      <c r="AO49" s="74">
        <f t="shared" si="22"/>
        <v>-181.82930699999997</v>
      </c>
      <c r="AP49" s="75">
        <f t="shared" si="23"/>
        <v>-0.21166629394467437</v>
      </c>
      <c r="AQ49" s="76">
        <f t="shared" si="24"/>
        <v>-101465.25462010215</v>
      </c>
      <c r="AR49" s="90">
        <f t="shared" si="13"/>
        <v>-2368.5169999999998</v>
      </c>
      <c r="AS49" s="90">
        <f>SUM(J36:J49)</f>
        <v>102042.51200000002</v>
      </c>
      <c r="AT49" s="83">
        <f>SUM(AM36:AM49)</f>
        <v>-1537.4879999999976</v>
      </c>
      <c r="AU49" s="83">
        <f>SUM(AN36:AN49)</f>
        <v>66.262840000000352</v>
      </c>
      <c r="AV49" s="83">
        <f>SUM(AO36:AO49)</f>
        <v>-90.628800999998191</v>
      </c>
      <c r="AW49" s="83">
        <f>-SUM(AQ36:AQ49)</f>
        <v>-4698.9321629974875</v>
      </c>
    </row>
    <row r="50" spans="1:49" x14ac:dyDescent="0.25">
      <c r="A50" t="str">
        <f t="shared" si="14"/>
        <v>46227M</v>
      </c>
      <c r="B50" s="51">
        <f t="shared" si="26"/>
        <v>46227</v>
      </c>
      <c r="C50" s="52" t="s">
        <v>87</v>
      </c>
      <c r="D50" s="91">
        <v>3680</v>
      </c>
      <c r="E50" s="62">
        <v>4.8499999999999996</v>
      </c>
      <c r="F50" s="62">
        <v>8.35</v>
      </c>
      <c r="G50" s="62">
        <f t="shared" si="29"/>
        <v>178.48</v>
      </c>
      <c r="H50" s="72">
        <f t="shared" si="30"/>
        <v>307.27999999999997</v>
      </c>
      <c r="I50" s="202">
        <v>8489.1999999999989</v>
      </c>
      <c r="J50" s="202">
        <v>8743.8759999999984</v>
      </c>
      <c r="K50" s="202">
        <v>4.5140319464731649</v>
      </c>
      <c r="L50" s="202">
        <v>8.4207569617867417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5"/>
        <v>8743.8759999999984</v>
      </c>
      <c r="S50" s="62">
        <f t="shared" si="16"/>
        <v>394.70135599999981</v>
      </c>
      <c r="T50" s="63">
        <f t="shared" si="17"/>
        <v>736.30054699999994</v>
      </c>
      <c r="U50" s="64" t="s">
        <v>197</v>
      </c>
      <c r="V50" s="65" t="s">
        <v>870</v>
      </c>
      <c r="W50" s="66" t="s">
        <v>184</v>
      </c>
      <c r="X50" s="67">
        <v>9200</v>
      </c>
      <c r="Y50" s="68">
        <v>4.2</v>
      </c>
      <c r="Z50" s="68">
        <v>8.44</v>
      </c>
      <c r="AA50" s="62">
        <f t="shared" si="36"/>
        <v>386.40000000000003</v>
      </c>
      <c r="AB50" s="63">
        <f t="shared" si="37"/>
        <v>776.4799999999999</v>
      </c>
      <c r="AC50" s="69">
        <v>9180</v>
      </c>
      <c r="AD50" s="70">
        <v>4.1500000000000004</v>
      </c>
      <c r="AE50" s="70">
        <v>8.36</v>
      </c>
      <c r="AF50" s="62">
        <f t="shared" ref="AF50:AF63" si="38">AC50*AD50%</f>
        <v>380.97</v>
      </c>
      <c r="AG50" s="63">
        <f t="shared" ref="AG50:AG63" si="39">AC50*AE50%</f>
        <v>767.44799999999998</v>
      </c>
      <c r="AH50" s="96">
        <v>3223</v>
      </c>
      <c r="AI50" s="66">
        <v>4.5999999999999996</v>
      </c>
      <c r="AJ50" s="66">
        <v>8.39</v>
      </c>
      <c r="AK50" s="62">
        <f t="shared" si="18"/>
        <v>148.25800000000001</v>
      </c>
      <c r="AL50" s="72">
        <f t="shared" si="19"/>
        <v>270.40969999999999</v>
      </c>
      <c r="AM50" s="73">
        <f t="shared" si="20"/>
        <v>20.875999999998385</v>
      </c>
      <c r="AN50" s="74">
        <f t="shared" si="21"/>
        <v>43.953355999999786</v>
      </c>
      <c r="AO50" s="74">
        <f t="shared" si="22"/>
        <v>5.7228470000000584</v>
      </c>
      <c r="AP50" s="75">
        <f t="shared" si="23"/>
        <v>4.3922298334099136E-2</v>
      </c>
      <c r="AQ50" s="76">
        <f t="shared" si="24"/>
        <v>22834.959811424222</v>
      </c>
      <c r="AR50" s="90">
        <v>0.40899999999965075</v>
      </c>
    </row>
    <row r="51" spans="1:49" x14ac:dyDescent="0.25">
      <c r="A51" t="str">
        <f t="shared" si="14"/>
        <v>46227E</v>
      </c>
      <c r="B51" s="51">
        <f t="shared" si="26"/>
        <v>46227</v>
      </c>
      <c r="C51" s="52" t="s">
        <v>88</v>
      </c>
      <c r="D51" s="91">
        <v>3223</v>
      </c>
      <c r="E51" s="62">
        <v>4.5999999999999996</v>
      </c>
      <c r="F51" s="62">
        <v>8.39</v>
      </c>
      <c r="G51" s="62">
        <f t="shared" si="29"/>
        <v>148.25800000000001</v>
      </c>
      <c r="H51" s="72">
        <f t="shared" si="30"/>
        <v>270.40969999999999</v>
      </c>
      <c r="I51" s="202">
        <v>9254.7999999999975</v>
      </c>
      <c r="J51" s="202">
        <v>9532.4439999999977</v>
      </c>
      <c r="K51" s="202">
        <v>4.3041513592946385</v>
      </c>
      <c r="L51" s="202">
        <v>8.3352822319228963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5"/>
        <v>9532.4439999999977</v>
      </c>
      <c r="S51" s="62">
        <f t="shared" si="16"/>
        <v>410.29081800000012</v>
      </c>
      <c r="T51" s="63">
        <f t="shared" si="17"/>
        <v>794.5561110000001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36"/>
        <v>0</v>
      </c>
      <c r="AB51" s="63">
        <f t="shared" si="37"/>
        <v>0</v>
      </c>
      <c r="AC51" s="69"/>
      <c r="AD51" s="70"/>
      <c r="AE51" s="70"/>
      <c r="AF51" s="62">
        <f t="shared" si="38"/>
        <v>0</v>
      </c>
      <c r="AG51" s="63">
        <f t="shared" si="39"/>
        <v>0</v>
      </c>
      <c r="AH51" s="96">
        <v>12756</v>
      </c>
      <c r="AI51" s="66">
        <v>4.38</v>
      </c>
      <c r="AJ51" s="66">
        <v>8.35</v>
      </c>
      <c r="AK51" s="62">
        <f t="shared" si="18"/>
        <v>558.71280000000002</v>
      </c>
      <c r="AL51" s="72">
        <f t="shared" si="19"/>
        <v>1065.126</v>
      </c>
      <c r="AM51" s="73">
        <f t="shared" si="20"/>
        <v>-0.55600000000231375</v>
      </c>
      <c r="AN51" s="74">
        <f t="shared" si="21"/>
        <v>-0.16398199999991903</v>
      </c>
      <c r="AO51" s="74">
        <f t="shared" si="22"/>
        <v>-0.16018899999994574</v>
      </c>
      <c r="AP51" s="75">
        <f t="shared" si="23"/>
        <v>-2.6905575488242348E-4</v>
      </c>
      <c r="AQ51" s="76">
        <f t="shared" si="24"/>
        <v>-126.77386744357366</v>
      </c>
      <c r="AR51" s="90">
        <v>8.1999999998515705E-2</v>
      </c>
    </row>
    <row r="52" spans="1:49" x14ac:dyDescent="0.25">
      <c r="A52" t="str">
        <f t="shared" si="14"/>
        <v>46228M</v>
      </c>
      <c r="B52" s="51">
        <f t="shared" si="26"/>
        <v>46228</v>
      </c>
      <c r="C52" s="52" t="s">
        <v>87</v>
      </c>
      <c r="D52" s="91">
        <v>12756</v>
      </c>
      <c r="E52" s="62">
        <v>4.38</v>
      </c>
      <c r="F52" s="62">
        <v>8.35</v>
      </c>
      <c r="G52" s="62">
        <f t="shared" si="29"/>
        <v>558.71280000000002</v>
      </c>
      <c r="H52" s="72">
        <f t="shared" si="30"/>
        <v>1065.126</v>
      </c>
      <c r="I52" s="118">
        <v>7379.5999999999995</v>
      </c>
      <c r="J52" s="119">
        <v>7600.9879999999994</v>
      </c>
      <c r="K52" s="120">
        <v>4.5126524472871141</v>
      </c>
      <c r="L52" s="192">
        <v>8.3838324570437379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5"/>
        <v>7600.9879999999994</v>
      </c>
      <c r="S52" s="62">
        <f t="shared" si="16"/>
        <v>343.00617099999982</v>
      </c>
      <c r="T52" s="63">
        <f t="shared" si="17"/>
        <v>637.25409899999966</v>
      </c>
      <c r="U52" s="64" t="s">
        <v>200</v>
      </c>
      <c r="V52" s="65" t="s">
        <v>871</v>
      </c>
      <c r="W52" s="66" t="s">
        <v>184</v>
      </c>
      <c r="X52" s="67">
        <v>18500</v>
      </c>
      <c r="Y52" s="68">
        <v>4.95</v>
      </c>
      <c r="Z52" s="68">
        <v>8.65</v>
      </c>
      <c r="AA52" s="62">
        <f t="shared" si="36"/>
        <v>915.75</v>
      </c>
      <c r="AB52" s="63">
        <f t="shared" si="37"/>
        <v>1600.2500000000002</v>
      </c>
      <c r="AC52" s="69">
        <v>18440</v>
      </c>
      <c r="AD52" s="70">
        <v>4.8</v>
      </c>
      <c r="AE52" s="70">
        <v>8.49</v>
      </c>
      <c r="AF52" s="62">
        <f t="shared" si="38"/>
        <v>885.12</v>
      </c>
      <c r="AG52" s="63">
        <f t="shared" si="39"/>
        <v>1565.556</v>
      </c>
      <c r="AH52" s="96">
        <v>1858</v>
      </c>
      <c r="AI52" s="66">
        <v>4.43</v>
      </c>
      <c r="AJ52" s="66">
        <v>8.36</v>
      </c>
      <c r="AK52" s="62">
        <f t="shared" si="18"/>
        <v>82.309399999999997</v>
      </c>
      <c r="AL52" s="72">
        <f t="shared" si="19"/>
        <v>155.3288</v>
      </c>
      <c r="AM52" s="73">
        <f t="shared" si="20"/>
        <v>58.987999999997555</v>
      </c>
      <c r="AN52" s="74">
        <f t="shared" si="21"/>
        <v>-65.710429000000218</v>
      </c>
      <c r="AO52" s="74">
        <f t="shared" si="22"/>
        <v>-18.504701000000523</v>
      </c>
      <c r="AP52" s="75">
        <f t="shared" si="23"/>
        <v>-8.5910989741531385E-2</v>
      </c>
      <c r="AQ52" s="76">
        <f t="shared" si="24"/>
        <v>-37117.992985286844</v>
      </c>
      <c r="AR52" s="90">
        <v>0.85900000000037835</v>
      </c>
    </row>
    <row r="53" spans="1:49" x14ac:dyDescent="0.25">
      <c r="A53" t="str">
        <f t="shared" si="14"/>
        <v>46228E</v>
      </c>
      <c r="B53" s="51">
        <f t="shared" si="26"/>
        <v>46228</v>
      </c>
      <c r="C53" s="52" t="s">
        <v>88</v>
      </c>
      <c r="D53" s="91">
        <v>1858</v>
      </c>
      <c r="E53" s="62">
        <v>4.43</v>
      </c>
      <c r="F53" s="62">
        <v>8.36</v>
      </c>
      <c r="G53" s="62">
        <f t="shared" si="29"/>
        <v>82.309399999999997</v>
      </c>
      <c r="H53" s="72">
        <f t="shared" si="30"/>
        <v>155.3288</v>
      </c>
      <c r="I53" s="118">
        <v>9094.5</v>
      </c>
      <c r="J53" s="119">
        <v>9367.3350000000009</v>
      </c>
      <c r="K53" s="120">
        <v>4.23394359228105</v>
      </c>
      <c r="L53" s="192">
        <v>8.2514277860245198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5"/>
        <v>9367.3350000000009</v>
      </c>
      <c r="S53" s="62">
        <f t="shared" si="16"/>
        <v>396.60768000000019</v>
      </c>
      <c r="T53" s="63">
        <f t="shared" si="17"/>
        <v>772.93888299999992</v>
      </c>
      <c r="U53" s="64" t="s">
        <v>197</v>
      </c>
      <c r="V53" s="65" t="s">
        <v>872</v>
      </c>
      <c r="W53" s="66" t="s">
        <v>184</v>
      </c>
      <c r="X53" s="67">
        <v>9150</v>
      </c>
      <c r="Y53" s="68">
        <v>4.37</v>
      </c>
      <c r="Z53" s="68">
        <v>8.2200000000000006</v>
      </c>
      <c r="AA53" s="62">
        <f t="shared" si="36"/>
        <v>399.85500000000002</v>
      </c>
      <c r="AB53" s="63">
        <f t="shared" si="37"/>
        <v>752.13000000000011</v>
      </c>
      <c r="AC53" s="69">
        <v>9150</v>
      </c>
      <c r="AD53" s="70">
        <v>4.2248633879781412</v>
      </c>
      <c r="AE53" s="70">
        <v>8.1899016393442619</v>
      </c>
      <c r="AF53" s="62">
        <f t="shared" si="38"/>
        <v>386.57499999999993</v>
      </c>
      <c r="AG53" s="63">
        <f t="shared" si="39"/>
        <v>749.37599999999998</v>
      </c>
      <c r="AH53" s="96">
        <v>2076</v>
      </c>
      <c r="AI53" s="66">
        <v>4.26</v>
      </c>
      <c r="AJ53" s="66">
        <v>8.27</v>
      </c>
      <c r="AK53" s="62">
        <f t="shared" si="18"/>
        <v>88.437600000000003</v>
      </c>
      <c r="AL53" s="72">
        <f t="shared" si="19"/>
        <v>171.68519999999998</v>
      </c>
      <c r="AM53" s="73">
        <f t="shared" si="20"/>
        <v>-0.66499999999905413</v>
      </c>
      <c r="AN53" s="74">
        <f t="shared" si="21"/>
        <v>3.904480000000234</v>
      </c>
      <c r="AO53" s="74">
        <f t="shared" si="22"/>
        <v>7.2064829999999631</v>
      </c>
      <c r="AP53" s="75">
        <f t="shared" si="23"/>
        <v>9.5002314157544114E-3</v>
      </c>
      <c r="AQ53" s="76">
        <f t="shared" si="24"/>
        <v>4034.507219573622</v>
      </c>
      <c r="AR53" s="90">
        <v>0.88000000000101863</v>
      </c>
      <c r="AS53" s="90">
        <f>SUM(J40:J53)</f>
        <v>114044.58700000003</v>
      </c>
      <c r="AT53" s="83">
        <f>SUM(AM40:AM53)</f>
        <v>-1778.4130000000059</v>
      </c>
      <c r="AU53" s="83">
        <f>SUM(AN40:AN53)</f>
        <v>-70.765703999999786</v>
      </c>
      <c r="AV53" s="83">
        <f>SUM(AO40:AO53)</f>
        <v>-150.76723599999954</v>
      </c>
      <c r="AW53" s="83">
        <f>-SUM(AQ40:AQ53)</f>
        <v>79158.668917739909</v>
      </c>
    </row>
    <row r="54" spans="1:49" x14ac:dyDescent="0.25">
      <c r="A54" t="str">
        <f t="shared" si="14"/>
        <v>46229M</v>
      </c>
      <c r="B54" s="51">
        <f t="shared" si="26"/>
        <v>46229</v>
      </c>
      <c r="C54" s="52" t="s">
        <v>87</v>
      </c>
      <c r="D54" s="91">
        <v>2076</v>
      </c>
      <c r="E54" s="62">
        <v>4.26</v>
      </c>
      <c r="F54" s="62">
        <v>8.27</v>
      </c>
      <c r="G54" s="62">
        <f t="shared" si="29"/>
        <v>88.437600000000003</v>
      </c>
      <c r="H54" s="72">
        <f t="shared" si="30"/>
        <v>171.68519999999998</v>
      </c>
      <c r="I54" s="118">
        <v>7169.0999999999985</v>
      </c>
      <c r="J54" s="119">
        <v>7384.1729999999989</v>
      </c>
      <c r="K54" s="120">
        <v>4.4672636732644255</v>
      </c>
      <c r="L54" s="192">
        <v>8.4004923909556304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5"/>
        <v>7384.1729999999989</v>
      </c>
      <c r="S54" s="62">
        <f t="shared" si="16"/>
        <v>329.87047799999988</v>
      </c>
      <c r="T54" s="63">
        <f t="shared" si="17"/>
        <v>620.30689099999995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36"/>
        <v>0</v>
      </c>
      <c r="AB54" s="63">
        <f t="shared" si="37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96">
        <v>9438</v>
      </c>
      <c r="AI54" s="66">
        <v>4.43</v>
      </c>
      <c r="AJ54" s="66">
        <v>8.41</v>
      </c>
      <c r="AK54" s="62">
        <f t="shared" si="18"/>
        <v>418.10339999999997</v>
      </c>
      <c r="AL54" s="72">
        <f t="shared" si="19"/>
        <v>793.73580000000004</v>
      </c>
      <c r="AM54" s="73">
        <f t="shared" si="20"/>
        <v>22.172999999998865</v>
      </c>
      <c r="AN54" s="74">
        <f t="shared" si="21"/>
        <v>0.2046779999999444</v>
      </c>
      <c r="AO54" s="74">
        <f t="shared" si="22"/>
        <v>-1.7437090000000808</v>
      </c>
      <c r="AP54" s="75">
        <f t="shared" si="23"/>
        <v>-1.6197302211268902E-3</v>
      </c>
      <c r="AQ54" s="76">
        <f t="shared" si="24"/>
        <v>-423.8708815741158</v>
      </c>
      <c r="AR54" s="90">
        <v>0.49500000000080036</v>
      </c>
    </row>
    <row r="55" spans="1:49" x14ac:dyDescent="0.25">
      <c r="A55" t="str">
        <f t="shared" si="14"/>
        <v>46229E</v>
      </c>
      <c r="B55" s="51">
        <f t="shared" si="26"/>
        <v>46229</v>
      </c>
      <c r="C55" s="52" t="s">
        <v>88</v>
      </c>
      <c r="D55" s="91">
        <v>9438</v>
      </c>
      <c r="E55" s="62">
        <v>4.43</v>
      </c>
      <c r="F55" s="62">
        <v>8.41</v>
      </c>
      <c r="G55" s="62">
        <f t="shared" si="29"/>
        <v>418.10339999999997</v>
      </c>
      <c r="H55" s="72">
        <f t="shared" si="30"/>
        <v>793.73580000000004</v>
      </c>
      <c r="I55" s="118">
        <v>7844.9999999999991</v>
      </c>
      <c r="J55" s="119">
        <v>8080.3499999999995</v>
      </c>
      <c r="K55" s="120">
        <v>4.127015933715743</v>
      </c>
      <c r="L55" s="192">
        <v>8.2870312300828566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5"/>
        <v>8080.3499999999995</v>
      </c>
      <c r="S55" s="62">
        <f t="shared" si="16"/>
        <v>333.47733199999999</v>
      </c>
      <c r="T55" s="63">
        <f t="shared" si="17"/>
        <v>669.62112800000011</v>
      </c>
      <c r="U55" s="64" t="s">
        <v>200</v>
      </c>
      <c r="V55" s="65" t="s">
        <v>873</v>
      </c>
      <c r="W55" s="66" t="s">
        <v>201</v>
      </c>
      <c r="X55" s="67">
        <v>15980</v>
      </c>
      <c r="Y55" s="68">
        <v>4.5</v>
      </c>
      <c r="Z55" s="68">
        <v>8.31</v>
      </c>
      <c r="AA55" s="62">
        <f t="shared" si="36"/>
        <v>719.1</v>
      </c>
      <c r="AB55" s="63">
        <f t="shared" si="37"/>
        <v>1327.9380000000001</v>
      </c>
      <c r="AC55" s="69">
        <v>15710</v>
      </c>
      <c r="AD55" s="70">
        <v>4.4000000000000004</v>
      </c>
      <c r="AE55" s="70">
        <v>8.2200000000000006</v>
      </c>
      <c r="AF55" s="62">
        <f t="shared" si="38"/>
        <v>691.24000000000012</v>
      </c>
      <c r="AG55" s="63">
        <f t="shared" si="39"/>
        <v>1291.3620000000001</v>
      </c>
      <c r="AH55" s="96">
        <v>1539</v>
      </c>
      <c r="AI55" s="66">
        <v>4.3</v>
      </c>
      <c r="AJ55" s="66">
        <v>8.39</v>
      </c>
      <c r="AK55" s="62">
        <f t="shared" si="18"/>
        <v>66.176999999999992</v>
      </c>
      <c r="AL55" s="72">
        <f t="shared" si="19"/>
        <v>129.12210000000002</v>
      </c>
      <c r="AM55" s="73">
        <f t="shared" si="20"/>
        <v>269.34999999999854</v>
      </c>
      <c r="AN55" s="74">
        <f t="shared" si="21"/>
        <v>-5.8362680000002172</v>
      </c>
      <c r="AO55" s="74">
        <f t="shared" si="22"/>
        <v>42.872828000000055</v>
      </c>
      <c r="AP55" s="75">
        <f t="shared" si="23"/>
        <v>3.6922158169797041E-2</v>
      </c>
      <c r="AQ55" s="76">
        <f t="shared" si="24"/>
        <v>10035.513586512723</v>
      </c>
      <c r="AR55" s="90">
        <v>0.87800000000061118</v>
      </c>
    </row>
    <row r="56" spans="1:49" x14ac:dyDescent="0.25">
      <c r="A56" t="str">
        <f t="shared" si="14"/>
        <v>46230M</v>
      </c>
      <c r="B56" s="51">
        <f t="shared" si="26"/>
        <v>46230</v>
      </c>
      <c r="C56" s="52" t="s">
        <v>87</v>
      </c>
      <c r="D56" s="91">
        <v>1539</v>
      </c>
      <c r="E56" s="62">
        <v>4.3</v>
      </c>
      <c r="F56" s="62">
        <v>8.39</v>
      </c>
      <c r="G56" s="62">
        <f t="shared" si="29"/>
        <v>66.176999999999992</v>
      </c>
      <c r="H56" s="72">
        <f t="shared" si="30"/>
        <v>129.12210000000002</v>
      </c>
      <c r="I56" s="118">
        <v>7288.199999999998</v>
      </c>
      <c r="J56" s="119">
        <v>7506.8459999999977</v>
      </c>
      <c r="K56" s="120">
        <v>4.5036703164018572</v>
      </c>
      <c r="L56" s="192">
        <v>8.2333772399220653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5"/>
        <v>7506.8459999999977</v>
      </c>
      <c r="S56" s="62">
        <f t="shared" si="16"/>
        <v>338.08359500000006</v>
      </c>
      <c r="T56" s="63">
        <f t="shared" si="17"/>
        <v>618.06694999999979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36"/>
        <v>0</v>
      </c>
      <c r="AB56" s="63">
        <f t="shared" si="37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96">
        <v>9046</v>
      </c>
      <c r="AI56" s="66">
        <v>4.49</v>
      </c>
      <c r="AJ56" s="66">
        <v>8.27</v>
      </c>
      <c r="AK56" s="62">
        <f t="shared" si="18"/>
        <v>406.16540000000003</v>
      </c>
      <c r="AL56" s="72">
        <f t="shared" si="19"/>
        <v>748.10419999999999</v>
      </c>
      <c r="AM56" s="73">
        <f t="shared" si="20"/>
        <v>-0.1540000000022701</v>
      </c>
      <c r="AN56" s="74">
        <f t="shared" si="21"/>
        <v>-1.9048049999999535</v>
      </c>
      <c r="AO56" s="74">
        <f t="shared" si="22"/>
        <v>-0.91515000000015334</v>
      </c>
      <c r="AP56" s="75">
        <f t="shared" si="23"/>
        <v>-2.9492792894868949E-3</v>
      </c>
      <c r="AQ56" s="76">
        <f t="shared" si="24"/>
        <v>-1189.4000749613447</v>
      </c>
      <c r="AR56" s="90">
        <v>0.52599999999802094</v>
      </c>
    </row>
    <row r="57" spans="1:49" x14ac:dyDescent="0.25">
      <c r="A57" t="str">
        <f t="shared" si="14"/>
        <v>46230E</v>
      </c>
      <c r="B57" s="51">
        <f t="shared" si="26"/>
        <v>46230</v>
      </c>
      <c r="C57" s="52" t="s">
        <v>88</v>
      </c>
      <c r="D57" s="91">
        <v>9046</v>
      </c>
      <c r="E57" s="62">
        <v>4.49</v>
      </c>
      <c r="F57" s="62">
        <v>8.27</v>
      </c>
      <c r="G57" s="62">
        <f t="shared" si="29"/>
        <v>406.16540000000003</v>
      </c>
      <c r="H57" s="72">
        <f t="shared" si="30"/>
        <v>748.10419999999999</v>
      </c>
      <c r="I57" s="118">
        <v>8244.6000000000022</v>
      </c>
      <c r="J57" s="119">
        <v>8491.9380000000019</v>
      </c>
      <c r="K57" s="120">
        <v>4.3465371273318265</v>
      </c>
      <c r="L57" s="192">
        <v>8.2854704897751219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5"/>
        <v>8491.9380000000019</v>
      </c>
      <c r="S57" s="62">
        <f t="shared" si="16"/>
        <v>369.10523799999987</v>
      </c>
      <c r="T57" s="63">
        <f t="shared" si="17"/>
        <v>703.59701699999982</v>
      </c>
      <c r="U57" s="64" t="s">
        <v>199</v>
      </c>
      <c r="V57" s="65" t="s">
        <v>874</v>
      </c>
      <c r="W57" s="66" t="s">
        <v>184</v>
      </c>
      <c r="X57" s="67">
        <v>9900</v>
      </c>
      <c r="Y57" s="68">
        <v>4.33</v>
      </c>
      <c r="Z57" s="68">
        <v>8.34</v>
      </c>
      <c r="AA57" s="62">
        <f t="shared" si="36"/>
        <v>428.66999999999996</v>
      </c>
      <c r="AB57" s="63">
        <f t="shared" si="37"/>
        <v>825.66</v>
      </c>
      <c r="AC57" s="69">
        <v>9770</v>
      </c>
      <c r="AD57" s="70">
        <v>4.251381780962129</v>
      </c>
      <c r="AE57" s="70">
        <v>8.2564278403275324</v>
      </c>
      <c r="AF57" s="62">
        <f t="shared" si="38"/>
        <v>415.36</v>
      </c>
      <c r="AG57" s="63">
        <f t="shared" si="39"/>
        <v>806.65299999999991</v>
      </c>
      <c r="AH57" s="96">
        <v>7638</v>
      </c>
      <c r="AI57" s="66">
        <v>4.43</v>
      </c>
      <c r="AJ57" s="66">
        <v>8.31</v>
      </c>
      <c r="AK57" s="62">
        <f t="shared" si="18"/>
        <v>338.36340000000001</v>
      </c>
      <c r="AL57" s="72">
        <f t="shared" si="19"/>
        <v>634.71780000000001</v>
      </c>
      <c r="AM57" s="73">
        <f t="shared" si="20"/>
        <v>129.93800000000192</v>
      </c>
      <c r="AN57" s="74">
        <f t="shared" si="21"/>
        <v>21.547237999999936</v>
      </c>
      <c r="AO57" s="74">
        <f t="shared" si="22"/>
        <v>10.330416999999898</v>
      </c>
      <c r="AP57" s="75">
        <f t="shared" si="23"/>
        <v>2.9717151102660676E-2</v>
      </c>
      <c r="AQ57" s="76">
        <f t="shared" si="24"/>
        <v>13448.017069427955</v>
      </c>
      <c r="AR57" s="90">
        <v>0.88300000000162981</v>
      </c>
    </row>
    <row r="58" spans="1:49" x14ac:dyDescent="0.25">
      <c r="A58" t="str">
        <f t="shared" si="14"/>
        <v>46231M</v>
      </c>
      <c r="B58" s="51">
        <f t="shared" si="26"/>
        <v>46231</v>
      </c>
      <c r="C58" s="52" t="s">
        <v>87</v>
      </c>
      <c r="D58" s="91">
        <v>7638</v>
      </c>
      <c r="E58" s="62">
        <v>4.43</v>
      </c>
      <c r="F58" s="62">
        <v>8.31</v>
      </c>
      <c r="G58" s="62">
        <f t="shared" si="29"/>
        <v>338.36340000000001</v>
      </c>
      <c r="H58" s="72">
        <f t="shared" si="30"/>
        <v>634.71780000000001</v>
      </c>
      <c r="I58" s="118">
        <v>7004.3</v>
      </c>
      <c r="J58" s="119">
        <v>7214.4290000000001</v>
      </c>
      <c r="K58" s="120">
        <v>4.449305426666478</v>
      </c>
      <c r="L58" s="192">
        <v>8.2962009051582601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5"/>
        <v>7214.4290000000001</v>
      </c>
      <c r="S58" s="62">
        <f t="shared" si="16"/>
        <v>320.99198100000012</v>
      </c>
      <c r="T58" s="63">
        <f t="shared" si="17"/>
        <v>598.52352400000007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si="36"/>
        <v>0</v>
      </c>
      <c r="AB58" s="63">
        <f t="shared" si="37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96">
        <v>14853</v>
      </c>
      <c r="AI58" s="66">
        <v>4.43</v>
      </c>
      <c r="AJ58" s="66">
        <v>8.31</v>
      </c>
      <c r="AK58" s="62">
        <f t="shared" si="18"/>
        <v>657.98789999999997</v>
      </c>
      <c r="AL58" s="72">
        <f t="shared" si="19"/>
        <v>1234.2843</v>
      </c>
      <c r="AM58" s="73">
        <f t="shared" si="20"/>
        <v>-0.57099999999991269</v>
      </c>
      <c r="AN58" s="74">
        <f t="shared" si="21"/>
        <v>1.3674810000001116</v>
      </c>
      <c r="AO58" s="74">
        <f t="shared" si="22"/>
        <v>-1.0429759999999533</v>
      </c>
      <c r="AP58" s="75">
        <f t="shared" si="23"/>
        <v>3.5290867661895306E-4</v>
      </c>
      <c r="AQ58" s="76">
        <f t="shared" si="24"/>
        <v>344.75710022411226</v>
      </c>
      <c r="AR58" s="90">
        <v>0.21500000000014552</v>
      </c>
    </row>
    <row r="59" spans="1:49" x14ac:dyDescent="0.25">
      <c r="A59" t="str">
        <f t="shared" si="14"/>
        <v>46231E</v>
      </c>
      <c r="B59" s="51">
        <f t="shared" si="26"/>
        <v>46231</v>
      </c>
      <c r="C59" s="52" t="s">
        <v>88</v>
      </c>
      <c r="D59" s="91">
        <v>14853</v>
      </c>
      <c r="E59" s="62">
        <v>4.43</v>
      </c>
      <c r="F59" s="62">
        <v>8.31</v>
      </c>
      <c r="G59" s="62">
        <f t="shared" si="29"/>
        <v>657.98789999999997</v>
      </c>
      <c r="H59" s="72">
        <f t="shared" si="30"/>
        <v>1234.2843</v>
      </c>
      <c r="I59" s="118">
        <v>8152.2999999999993</v>
      </c>
      <c r="J59" s="119">
        <v>8396.8689999999988</v>
      </c>
      <c r="K59" s="120">
        <v>4.2190854114789715</v>
      </c>
      <c r="L59" s="192">
        <v>8.2512432074383941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5"/>
        <v>8396.8689999999988</v>
      </c>
      <c r="S59" s="62">
        <f t="shared" si="16"/>
        <v>354.27107500000011</v>
      </c>
      <c r="T59" s="63">
        <f t="shared" si="17"/>
        <v>692.84608300000014</v>
      </c>
      <c r="U59" s="64" t="s">
        <v>200</v>
      </c>
      <c r="V59" s="65" t="s">
        <v>911</v>
      </c>
      <c r="W59" s="66" t="s">
        <v>184</v>
      </c>
      <c r="X59" s="67">
        <v>15500</v>
      </c>
      <c r="Y59" s="68">
        <v>5</v>
      </c>
      <c r="Z59" s="68">
        <v>8.5299999999999994</v>
      </c>
      <c r="AA59" s="62">
        <f t="shared" si="36"/>
        <v>775</v>
      </c>
      <c r="AB59" s="63">
        <f t="shared" si="37"/>
        <v>1322.1499999999999</v>
      </c>
      <c r="AC59" s="69">
        <v>15460</v>
      </c>
      <c r="AD59" s="70">
        <v>4.9000000000000004</v>
      </c>
      <c r="AE59" s="70">
        <v>8.39</v>
      </c>
      <c r="AF59" s="62">
        <f t="shared" si="38"/>
        <v>757.54000000000008</v>
      </c>
      <c r="AG59" s="63">
        <f t="shared" si="39"/>
        <v>1297.0940000000001</v>
      </c>
      <c r="AH59" s="96">
        <v>7750</v>
      </c>
      <c r="AI59" s="66">
        <v>4.3499999999999996</v>
      </c>
      <c r="AJ59" s="66">
        <v>8.2899999999999991</v>
      </c>
      <c r="AK59" s="62">
        <f t="shared" si="18"/>
        <v>337.125</v>
      </c>
      <c r="AL59" s="72">
        <f t="shared" si="19"/>
        <v>642.47499999999991</v>
      </c>
      <c r="AM59" s="73">
        <f t="shared" si="20"/>
        <v>39.868999999998778</v>
      </c>
      <c r="AN59" s="74">
        <f t="shared" si="21"/>
        <v>-82.406025</v>
      </c>
      <c r="AO59" s="74">
        <f t="shared" si="22"/>
        <v>-12.438616999999795</v>
      </c>
      <c r="AP59" s="75">
        <f t="shared" si="23"/>
        <v>-9.0576915176477105E-2</v>
      </c>
      <c r="AQ59" s="76">
        <f t="shared" si="24"/>
        <v>-43324.032090640132</v>
      </c>
      <c r="AR59" s="90">
        <v>0.15099999999983993</v>
      </c>
    </row>
    <row r="60" spans="1:49" x14ac:dyDescent="0.25">
      <c r="A60" t="str">
        <f t="shared" si="14"/>
        <v>46232M</v>
      </c>
      <c r="B60" s="51">
        <f t="shared" si="26"/>
        <v>46232</v>
      </c>
      <c r="C60" s="52" t="s">
        <v>87</v>
      </c>
      <c r="D60" s="91">
        <v>7750</v>
      </c>
      <c r="E60" s="62">
        <v>4.3499999999999996</v>
      </c>
      <c r="F60" s="62">
        <v>8.2899999999999991</v>
      </c>
      <c r="G60" s="62">
        <f t="shared" si="29"/>
        <v>337.125</v>
      </c>
      <c r="H60" s="72">
        <f t="shared" si="30"/>
        <v>642.47499999999991</v>
      </c>
      <c r="I60" s="118">
        <v>7099.7999999999984</v>
      </c>
      <c r="J60" s="119">
        <v>7312.7939999999981</v>
      </c>
      <c r="K60" s="120">
        <v>4.7215541282853035</v>
      </c>
      <c r="L60" s="192">
        <v>8.2684624919011789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5"/>
        <v>7312.7939999999981</v>
      </c>
      <c r="S60" s="62">
        <f t="shared" si="16"/>
        <v>345.27752699999985</v>
      </c>
      <c r="T60" s="63">
        <f t="shared" si="17"/>
        <v>604.65562899999975</v>
      </c>
      <c r="U60" s="64" t="s">
        <v>200</v>
      </c>
      <c r="V60" s="65" t="s">
        <v>912</v>
      </c>
      <c r="W60" s="66" t="s">
        <v>181</v>
      </c>
      <c r="X60" s="67">
        <v>14000</v>
      </c>
      <c r="Y60" s="68">
        <v>4.3</v>
      </c>
      <c r="Z60" s="68">
        <v>8.52</v>
      </c>
      <c r="AA60" s="62">
        <f t="shared" si="36"/>
        <v>602</v>
      </c>
      <c r="AB60" s="63">
        <f t="shared" si="37"/>
        <v>1192.8</v>
      </c>
      <c r="AC60" s="69">
        <v>13930</v>
      </c>
      <c r="AD60" s="70">
        <v>4.25</v>
      </c>
      <c r="AE60" s="70">
        <v>8.3199999999999985</v>
      </c>
      <c r="AF60" s="62">
        <f t="shared" si="38"/>
        <v>592.02500000000009</v>
      </c>
      <c r="AG60" s="63">
        <f t="shared" si="39"/>
        <v>1158.9759999999997</v>
      </c>
      <c r="AH60" s="96">
        <v>1062</v>
      </c>
      <c r="AI60" s="66">
        <v>4.53</v>
      </c>
      <c r="AJ60" s="66">
        <v>8.2799999999999994</v>
      </c>
      <c r="AK60" s="62">
        <f t="shared" si="18"/>
        <v>48.108600000000003</v>
      </c>
      <c r="AL60" s="72">
        <f t="shared" si="19"/>
        <v>87.933599999999998</v>
      </c>
      <c r="AM60" s="73">
        <f t="shared" si="20"/>
        <v>70.79399999999805</v>
      </c>
      <c r="AN60" s="74">
        <f t="shared" si="21"/>
        <v>42.268926999999756</v>
      </c>
      <c r="AO60" s="74">
        <f t="shared" si="22"/>
        <v>0.22102900000011516</v>
      </c>
      <c r="AP60" s="75">
        <f t="shared" si="23"/>
        <v>4.4729416729612385E-2</v>
      </c>
      <c r="AQ60" s="76">
        <f t="shared" si="24"/>
        <v>20377.791343776516</v>
      </c>
      <c r="AR60" s="90">
        <v>0.66500000000087311</v>
      </c>
    </row>
    <row r="61" spans="1:49" x14ac:dyDescent="0.25">
      <c r="A61" t="str">
        <f t="shared" si="14"/>
        <v>46232E</v>
      </c>
      <c r="B61" s="51">
        <f t="shared" si="26"/>
        <v>46232</v>
      </c>
      <c r="C61" s="52" t="s">
        <v>88</v>
      </c>
      <c r="D61" s="91">
        <v>1062</v>
      </c>
      <c r="E61" s="62">
        <v>4.53</v>
      </c>
      <c r="F61" s="62">
        <v>8.2799999999999994</v>
      </c>
      <c r="G61" s="62">
        <f t="shared" si="29"/>
        <v>48.108600000000003</v>
      </c>
      <c r="H61" s="72">
        <f t="shared" si="30"/>
        <v>87.933599999999998</v>
      </c>
      <c r="I61" s="118">
        <v>8057.8999999999969</v>
      </c>
      <c r="J61" s="119">
        <v>8299.636999999997</v>
      </c>
      <c r="K61" s="120">
        <v>4.2731518137479982</v>
      </c>
      <c r="L61" s="192">
        <v>8.3670720659228781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5"/>
        <v>8299.636999999997</v>
      </c>
      <c r="S61" s="62">
        <f t="shared" si="16"/>
        <v>354.65608899999984</v>
      </c>
      <c r="T61" s="63">
        <f t="shared" si="17"/>
        <v>694.43660899999941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36"/>
        <v>0</v>
      </c>
      <c r="AB61" s="63">
        <f t="shared" si="37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96">
        <v>9362</v>
      </c>
      <c r="AI61" s="66">
        <v>4.3</v>
      </c>
      <c r="AJ61" s="66">
        <v>8.35</v>
      </c>
      <c r="AK61" s="62">
        <f t="shared" si="18"/>
        <v>402.56599999999997</v>
      </c>
      <c r="AL61" s="72">
        <f t="shared" si="19"/>
        <v>781.72699999999986</v>
      </c>
      <c r="AM61" s="73">
        <f t="shared" si="20"/>
        <v>-0.36300000000301225</v>
      </c>
      <c r="AN61" s="74">
        <f t="shared" si="21"/>
        <v>0.19868899999988798</v>
      </c>
      <c r="AO61" s="74">
        <f t="shared" si="22"/>
        <v>0.64320899999950143</v>
      </c>
      <c r="AP61" s="75">
        <f t="shared" si="23"/>
        <v>8.0250105791832514E-4</v>
      </c>
      <c r="AQ61" s="76">
        <f t="shared" si="24"/>
        <v>288.11190044133696</v>
      </c>
      <c r="AR61" s="90">
        <v>0.37300000000141154</v>
      </c>
      <c r="AS61" s="90">
        <f>SUM(J48:J61)</f>
        <v>118836.24999999999</v>
      </c>
      <c r="AT61" s="83">
        <f>SUM(AM48:AM61)</f>
        <v>-1700.7500000000182</v>
      </c>
      <c r="AU61" s="83">
        <f>SUM(AN48:AN61)</f>
        <v>-159.99854100000042</v>
      </c>
      <c r="AV61" s="83">
        <f>SUM(AO48:AO61)</f>
        <v>-152.40743000000117</v>
      </c>
      <c r="AW61" s="83">
        <f>-SUM(AQ48:AQ61)</f>
        <v>122529.17480729004</v>
      </c>
    </row>
    <row r="62" spans="1:49" x14ac:dyDescent="0.25">
      <c r="A62" t="str">
        <f t="shared" si="14"/>
        <v>46233M</v>
      </c>
      <c r="B62" s="51">
        <f t="shared" si="26"/>
        <v>46233</v>
      </c>
      <c r="C62" s="52" t="s">
        <v>87</v>
      </c>
      <c r="D62" s="91">
        <v>9362</v>
      </c>
      <c r="E62" s="62">
        <v>4.3</v>
      </c>
      <c r="F62" s="62">
        <v>8.35</v>
      </c>
      <c r="G62" s="62">
        <f t="shared" si="29"/>
        <v>402.56599999999997</v>
      </c>
      <c r="H62" s="72">
        <f t="shared" si="30"/>
        <v>781.72699999999986</v>
      </c>
      <c r="I62" s="118">
        <v>7260.1999999999989</v>
      </c>
      <c r="J62" s="119">
        <v>7478.0059999999994</v>
      </c>
      <c r="K62" s="120">
        <v>4.5271562766865925</v>
      </c>
      <c r="L62" s="192">
        <v>8.3158976336740036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5"/>
        <v>7478.0059999999994</v>
      </c>
      <c r="S62" s="62">
        <f t="shared" si="16"/>
        <v>338.54101799999995</v>
      </c>
      <c r="T62" s="63">
        <f t="shared" si="17"/>
        <v>621.86332399999992</v>
      </c>
      <c r="U62" s="64" t="s">
        <v>199</v>
      </c>
      <c r="V62" s="65" t="s">
        <v>943</v>
      </c>
      <c r="W62" s="66" t="s">
        <v>184</v>
      </c>
      <c r="X62" s="67">
        <v>9800</v>
      </c>
      <c r="Y62" s="68">
        <v>4.5</v>
      </c>
      <c r="Z62" s="68">
        <v>8.43</v>
      </c>
      <c r="AA62" s="62">
        <f t="shared" si="36"/>
        <v>441</v>
      </c>
      <c r="AB62" s="63">
        <f t="shared" si="37"/>
        <v>826.14</v>
      </c>
      <c r="AC62" s="221">
        <v>9800</v>
      </c>
      <c r="AD62" s="222">
        <v>4.5</v>
      </c>
      <c r="AE62" s="222">
        <v>8.43</v>
      </c>
      <c r="AF62" s="62">
        <f t="shared" si="38"/>
        <v>441</v>
      </c>
      <c r="AG62" s="63">
        <f t="shared" si="39"/>
        <v>826.14</v>
      </c>
      <c r="AH62" s="96">
        <v>7020</v>
      </c>
      <c r="AI62" s="66">
        <v>4.4000000000000004</v>
      </c>
      <c r="AJ62" s="66">
        <v>8.34</v>
      </c>
      <c r="AK62" s="62">
        <f t="shared" si="18"/>
        <v>308.88000000000005</v>
      </c>
      <c r="AL62" s="72">
        <f t="shared" si="19"/>
        <v>585.46799999999996</v>
      </c>
      <c r="AM62" s="73">
        <f t="shared" si="20"/>
        <v>20.006000000001222</v>
      </c>
      <c r="AN62" s="74">
        <f t="shared" si="21"/>
        <v>-8.7729820000001268</v>
      </c>
      <c r="AO62" s="74">
        <f t="shared" si="22"/>
        <v>-8.017676000000165</v>
      </c>
      <c r="AP62" s="75">
        <f t="shared" si="23"/>
        <v>-1.7482905132472106E-2</v>
      </c>
      <c r="AQ62" s="76">
        <f t="shared" si="24"/>
        <v>-6616.9259647573381</v>
      </c>
      <c r="AR62" s="90">
        <v>0.79000000000087311</v>
      </c>
    </row>
    <row r="63" spans="1:49" x14ac:dyDescent="0.25">
      <c r="A63" t="str">
        <f t="shared" si="14"/>
        <v>46233E</v>
      </c>
      <c r="B63" s="51">
        <f t="shared" si="26"/>
        <v>46233</v>
      </c>
      <c r="C63" s="52" t="s">
        <v>88</v>
      </c>
      <c r="D63" s="91">
        <v>7020</v>
      </c>
      <c r="E63" s="62">
        <v>4.4000000000000004</v>
      </c>
      <c r="F63" s="62">
        <v>8.34</v>
      </c>
      <c r="G63" s="62">
        <f t="shared" si="29"/>
        <v>308.88000000000005</v>
      </c>
      <c r="H63" s="72">
        <f t="shared" si="30"/>
        <v>585.46799999999996</v>
      </c>
      <c r="I63" s="118">
        <v>8024.6000000000022</v>
      </c>
      <c r="J63" s="119">
        <v>8265.3380000000016</v>
      </c>
      <c r="K63" s="120">
        <v>4.3468347331954238</v>
      </c>
      <c r="L63" s="192">
        <v>8.327112877900456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5"/>
        <v>8265.3380000000016</v>
      </c>
      <c r="S63" s="62">
        <f t="shared" si="16"/>
        <v>359.28058300000004</v>
      </c>
      <c r="T63" s="63">
        <f t="shared" si="17"/>
        <v>688.26402500000006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36"/>
        <v>0</v>
      </c>
      <c r="AB63" s="63">
        <f t="shared" si="37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96">
        <v>15050</v>
      </c>
      <c r="AI63" s="66">
        <v>4.37</v>
      </c>
      <c r="AJ63" s="66">
        <v>8.33</v>
      </c>
      <c r="AK63" s="62">
        <f t="shared" si="18"/>
        <v>657.68500000000006</v>
      </c>
      <c r="AL63" s="72">
        <f t="shared" si="19"/>
        <v>1253.665</v>
      </c>
      <c r="AM63" s="73">
        <f t="shared" si="20"/>
        <v>235.33800000000156</v>
      </c>
      <c r="AN63" s="74">
        <f t="shared" si="21"/>
        <v>10.475583000000029</v>
      </c>
      <c r="AO63" s="74">
        <f t="shared" si="22"/>
        <v>20.067025000000058</v>
      </c>
      <c r="AP63" s="75">
        <f t="shared" si="23"/>
        <v>2.9156379372056375E-2</v>
      </c>
      <c r="AQ63" s="76">
        <f t="shared" si="24"/>
        <v>11043.753914871584</v>
      </c>
      <c r="AR63" s="90">
        <v>1200.5440000000017</v>
      </c>
    </row>
    <row r="64" spans="1:49" x14ac:dyDescent="0.25">
      <c r="A64" t="str">
        <f t="shared" si="14"/>
        <v>46234M</v>
      </c>
      <c r="B64" s="51">
        <f t="shared" si="26"/>
        <v>46234</v>
      </c>
      <c r="C64" s="52" t="s">
        <v>87</v>
      </c>
      <c r="D64" s="91"/>
      <c r="E64" s="62"/>
      <c r="F64" s="62"/>
      <c r="G64" s="62">
        <f t="shared" si="29"/>
        <v>0</v>
      </c>
      <c r="H64" s="72">
        <f t="shared" si="30"/>
        <v>0</v>
      </c>
      <c r="I64" s="118"/>
      <c r="J64" s="119"/>
      <c r="K64" s="120"/>
      <c r="L64" s="192"/>
      <c r="M64" s="58"/>
      <c r="N64" s="58"/>
      <c r="O64" s="59"/>
      <c r="P64" s="56"/>
      <c r="Q64" s="60"/>
      <c r="R64" s="61">
        <f t="shared" si="15"/>
        <v>0</v>
      </c>
      <c r="S64" s="62">
        <f t="shared" si="16"/>
        <v>0</v>
      </c>
      <c r="T64" s="63">
        <f t="shared" si="17"/>
        <v>0</v>
      </c>
      <c r="U64" s="64"/>
      <c r="V64" s="65"/>
      <c r="W64" s="66"/>
      <c r="X64" s="67"/>
      <c r="Y64" s="68"/>
      <c r="Z64" s="68"/>
      <c r="AA64" s="62">
        <f t="shared" ref="AA64" si="40">X64*Y64%</f>
        <v>0</v>
      </c>
      <c r="AB64" s="63">
        <f t="shared" ref="AB64" si="41">X64*Z64%</f>
        <v>0</v>
      </c>
      <c r="AC64" s="69"/>
      <c r="AD64" s="70"/>
      <c r="AE64" s="70"/>
      <c r="AF64" s="62">
        <f t="shared" ref="AF64:AF65" si="42">AC64*AD64%</f>
        <v>0</v>
      </c>
      <c r="AG64" s="63">
        <f t="shared" ref="AG64:AG65" si="43">AC64*AE64%</f>
        <v>0</v>
      </c>
      <c r="AH64" s="96"/>
      <c r="AI64" s="66"/>
      <c r="AJ64" s="66"/>
      <c r="AK64" s="62">
        <f t="shared" si="18"/>
        <v>0</v>
      </c>
      <c r="AL64" s="72">
        <f t="shared" si="19"/>
        <v>0</v>
      </c>
      <c r="AM64" s="73">
        <f t="shared" si="20"/>
        <v>0</v>
      </c>
      <c r="AN64" s="74">
        <f t="shared" si="21"/>
        <v>0</v>
      </c>
      <c r="AO64" s="74">
        <f t="shared" si="22"/>
        <v>0</v>
      </c>
      <c r="AP64" s="75" t="e">
        <f t="shared" si="23"/>
        <v>#DIV/0!</v>
      </c>
      <c r="AQ64" s="76">
        <f t="shared" si="24"/>
        <v>0</v>
      </c>
      <c r="AR64" s="90">
        <f t="shared" si="13"/>
        <v>0</v>
      </c>
    </row>
    <row r="65" spans="1:44" x14ac:dyDescent="0.25">
      <c r="A65" t="str">
        <f t="shared" si="14"/>
        <v>46234E</v>
      </c>
      <c r="B65" s="51">
        <f t="shared" si="26"/>
        <v>46234</v>
      </c>
      <c r="C65" s="52" t="s">
        <v>88</v>
      </c>
      <c r="D65" s="91"/>
      <c r="E65" s="62"/>
      <c r="F65" s="62"/>
      <c r="G65" s="62">
        <f t="shared" si="29"/>
        <v>0</v>
      </c>
      <c r="H65" s="72">
        <f t="shared" si="30"/>
        <v>0</v>
      </c>
      <c r="I65" s="118"/>
      <c r="J65" s="119"/>
      <c r="K65" s="120"/>
      <c r="L65" s="192"/>
      <c r="M65" s="58"/>
      <c r="N65" s="58"/>
      <c r="O65" s="59"/>
      <c r="P65" s="56"/>
      <c r="Q65" s="60"/>
      <c r="R65" s="61">
        <f t="shared" si="15"/>
        <v>0</v>
      </c>
      <c r="S65" s="62">
        <f t="shared" si="16"/>
        <v>0</v>
      </c>
      <c r="T65" s="63">
        <f t="shared" si="17"/>
        <v>0</v>
      </c>
      <c r="U65" s="64"/>
      <c r="V65" s="65"/>
      <c r="W65" s="66"/>
      <c r="X65" s="67"/>
      <c r="Y65" s="68"/>
      <c r="Z65" s="68"/>
      <c r="AA65" s="62">
        <f t="shared" ref="AA65" si="44">X65*Y65%</f>
        <v>0</v>
      </c>
      <c r="AB65" s="63">
        <f t="shared" ref="AB65" si="45">X65*Z65%</f>
        <v>0</v>
      </c>
      <c r="AC65" s="69"/>
      <c r="AD65" s="70"/>
      <c r="AE65" s="70"/>
      <c r="AF65" s="62">
        <f t="shared" si="42"/>
        <v>0</v>
      </c>
      <c r="AG65" s="63">
        <f t="shared" si="43"/>
        <v>0</v>
      </c>
      <c r="AH65" s="96"/>
      <c r="AI65" s="66"/>
      <c r="AJ65" s="66"/>
      <c r="AK65" s="62">
        <f t="shared" si="18"/>
        <v>0</v>
      </c>
      <c r="AL65" s="72">
        <f t="shared" si="19"/>
        <v>0</v>
      </c>
      <c r="AM65" s="73">
        <f t="shared" si="20"/>
        <v>0</v>
      </c>
      <c r="AN65" s="74">
        <f t="shared" si="21"/>
        <v>0</v>
      </c>
      <c r="AO65" s="74">
        <f t="shared" si="22"/>
        <v>0</v>
      </c>
      <c r="AP65" s="75" t="e">
        <f t="shared" si="23"/>
        <v>#DIV/0!</v>
      </c>
      <c r="AQ65" s="76">
        <f t="shared" si="24"/>
        <v>0</v>
      </c>
      <c r="AR65" s="90">
        <f t="shared" si="13"/>
        <v>0</v>
      </c>
    </row>
    <row r="66" spans="1:44" ht="15.75" thickBot="1" x14ac:dyDescent="0.3">
      <c r="J66" s="83">
        <f>SUM(J4:J65)</f>
        <v>477531.48400000017</v>
      </c>
      <c r="AM66" s="93">
        <f>-SUM(AM4:AM65)</f>
        <v>4608.515999999996</v>
      </c>
      <c r="AN66" s="93">
        <f>-SUM(AN4:AN65)</f>
        <v>-121.3177260000015</v>
      </c>
      <c r="AO66" s="93">
        <f>-SUM(AO4:AO65)</f>
        <v>164.00634599999609</v>
      </c>
      <c r="AP66" s="94"/>
      <c r="AQ66" s="127">
        <f>-SUM(AQ4:AQ65)</f>
        <v>-9178.6752426568964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4" priority="2" operator="lessThan">
      <formula>0.1</formula>
    </cfRule>
    <cfRule type="cellIs" dxfId="43" priority="3" operator="greaterThan">
      <formula>0.1</formula>
    </cfRule>
  </conditionalFormatting>
  <conditionalFormatting sqref="AP1:AQ1">
    <cfRule type="cellIs" dxfId="42" priority="1" operator="lessThan">
      <formula>1</formula>
    </cfRule>
  </conditionalFormatting>
  <conditionalFormatting sqref="AQ4:AQ65">
    <cfRule type="cellIs" dxfId="41" priority="8" operator="lessThan">
      <formula>0</formula>
    </cfRule>
    <cfRule type="cellIs" dxfId="40" priority="9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66"/>
  <sheetViews>
    <sheetView zoomScale="80" zoomScaleNormal="80" workbookViewId="0">
      <pane xSplit="3" ySplit="3" topLeftCell="D36" activePane="bottomRight" state="frozen"/>
      <selection pane="topRight" activeCell="D1" sqref="D1"/>
      <selection pane="bottomLeft" activeCell="A4" sqref="A4"/>
      <selection pane="bottomRight" activeCell="V63" sqref="V63"/>
    </sheetView>
  </sheetViews>
  <sheetFormatPr defaultRowHeight="15" x14ac:dyDescent="0.25"/>
  <cols>
    <col min="1" max="1" width="2.5703125" customWidth="1"/>
    <col min="2" max="2" width="9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140625" bestFit="1" customWidth="1"/>
  </cols>
  <sheetData>
    <row r="1" spans="1:44" ht="15.75" thickBot="1" x14ac:dyDescent="0.3">
      <c r="B1" s="110" t="s">
        <v>155</v>
      </c>
      <c r="C1" s="44"/>
      <c r="I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37" t="s">
        <v>68</v>
      </c>
      <c r="N2" s="238"/>
      <c r="O2" s="238"/>
      <c r="P2" s="238"/>
      <c r="Q2" s="239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1" t="s">
        <v>11</v>
      </c>
    </row>
    <row r="4" spans="1:44" ht="15.75" x14ac:dyDescent="0.25">
      <c r="A4" t="str">
        <f>CONCATENATE(B4,C4)</f>
        <v>46204M</v>
      </c>
      <c r="B4" s="51">
        <v>46204</v>
      </c>
      <c r="C4" s="99" t="s">
        <v>87</v>
      </c>
      <c r="D4" s="100">
        <v>3365</v>
      </c>
      <c r="E4" s="101">
        <v>4.55</v>
      </c>
      <c r="F4" s="101">
        <v>8.1999999999999993</v>
      </c>
      <c r="G4" s="62">
        <f t="shared" ref="G4:G65" si="0">+D4*E4%</f>
        <v>153.10749999999999</v>
      </c>
      <c r="H4" s="72">
        <f t="shared" ref="H4:H65" si="1">+D4*F4%</f>
        <v>275.92999999999995</v>
      </c>
      <c r="I4" s="120">
        <v>2193.7000000000003</v>
      </c>
      <c r="J4" s="120">
        <v>2259.5110000000004</v>
      </c>
      <c r="K4" s="120">
        <v>5.3165565027123121</v>
      </c>
      <c r="L4" s="120">
        <v>8.6461503396088801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2259.5110000000004</v>
      </c>
      <c r="S4" s="62">
        <f t="shared" ref="S4:S65" si="3">+J4*K4%+O4*P4%</f>
        <v>120.12817900000002</v>
      </c>
      <c r="T4" s="63">
        <f t="shared" ref="T4:T65" si="4">+J4*L4%+O4*Q4%</f>
        <v>195.36071800000002</v>
      </c>
      <c r="U4" s="136" t="s">
        <v>167</v>
      </c>
      <c r="V4" s="137" t="s">
        <v>167</v>
      </c>
      <c r="W4" s="138">
        <v>0</v>
      </c>
      <c r="X4" s="139">
        <v>0</v>
      </c>
      <c r="Y4" s="140">
        <v>0</v>
      </c>
      <c r="Z4" s="140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141">
        <v>5624</v>
      </c>
      <c r="AI4" s="138">
        <v>4.8499999999999996</v>
      </c>
      <c r="AJ4" s="138">
        <v>8.36</v>
      </c>
      <c r="AK4" s="62">
        <f t="shared" ref="AK4:AK65" si="9">AH4*AI4%</f>
        <v>272.76399999999995</v>
      </c>
      <c r="AL4" s="72">
        <f t="shared" ref="AL4:AL65" si="10">AH4*AJ4%</f>
        <v>470.16639999999995</v>
      </c>
      <c r="AM4" s="81">
        <f>+D4+R4-AC4-AH4</f>
        <v>0.51100000000042201</v>
      </c>
      <c r="AN4" s="80">
        <f t="shared" ref="AN4:AO19" si="11">+G4+S4-AF4-AK4</f>
        <v>0.47167900000005147</v>
      </c>
      <c r="AO4" s="80">
        <f t="shared" si="11"/>
        <v>1.1243180000000166</v>
      </c>
      <c r="AP4" s="114">
        <f>(AN4+AO4)/(S4+T4)</f>
        <v>5.0588056035457494E-3</v>
      </c>
      <c r="AQ4" s="115">
        <f t="shared" ref="AQ4:AQ65" si="12">($AP$1*AN4+$AQ$1*AO4)</f>
        <v>563.38034271212166</v>
      </c>
      <c r="AR4" s="90">
        <f>(D4+J4+O4)-(X4+AH4)</f>
        <v>0.51100000000042201</v>
      </c>
    </row>
    <row r="5" spans="1:44" ht="15.75" x14ac:dyDescent="0.25">
      <c r="A5" t="str">
        <f t="shared" ref="A5:A65" si="13">CONCATENATE(B5,C5)</f>
        <v>46204E</v>
      </c>
      <c r="B5" s="51">
        <f>+B4</f>
        <v>46204</v>
      </c>
      <c r="C5" s="99" t="s">
        <v>88</v>
      </c>
      <c r="D5" s="105">
        <v>5624</v>
      </c>
      <c r="E5" s="106">
        <v>4.8499999999999996</v>
      </c>
      <c r="F5" s="106">
        <v>8.36</v>
      </c>
      <c r="G5" s="62">
        <f t="shared" si="0"/>
        <v>272.76399999999995</v>
      </c>
      <c r="H5" s="72">
        <f t="shared" si="1"/>
        <v>470.16639999999995</v>
      </c>
      <c r="I5" s="120">
        <v>6580.7</v>
      </c>
      <c r="J5" s="120">
        <v>6778.1210000000001</v>
      </c>
      <c r="K5" s="120">
        <v>3.6614493898825353</v>
      </c>
      <c r="L5" s="120">
        <v>7.9010485206740917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6778.1210000000001</v>
      </c>
      <c r="S5" s="62">
        <f t="shared" si="3"/>
        <v>248.17747</v>
      </c>
      <c r="T5" s="63">
        <f t="shared" si="4"/>
        <v>535.54262900000003</v>
      </c>
      <c r="U5" s="102" t="s">
        <v>210</v>
      </c>
      <c r="V5" s="103" t="s">
        <v>242</v>
      </c>
      <c r="W5" s="104" t="s">
        <v>243</v>
      </c>
      <c r="X5" s="112">
        <v>10050</v>
      </c>
      <c r="Y5" s="113">
        <v>4.13</v>
      </c>
      <c r="Z5" s="113">
        <v>8.24</v>
      </c>
      <c r="AA5" s="62">
        <f t="shared" si="5"/>
        <v>415.06499999999994</v>
      </c>
      <c r="AB5" s="63">
        <f t="shared" si="6"/>
        <v>828.12</v>
      </c>
      <c r="AC5" s="69">
        <v>10060</v>
      </c>
      <c r="AD5" s="70">
        <v>4.0999999999999996</v>
      </c>
      <c r="AE5" s="70">
        <v>8.1000000000000014</v>
      </c>
      <c r="AF5" s="62">
        <f t="shared" si="7"/>
        <v>412.45999999999992</v>
      </c>
      <c r="AG5" s="63">
        <f t="shared" si="8"/>
        <v>814.86000000000013</v>
      </c>
      <c r="AH5" s="141">
        <v>2352</v>
      </c>
      <c r="AI5" s="138">
        <v>4.22</v>
      </c>
      <c r="AJ5" s="138">
        <v>8.11</v>
      </c>
      <c r="AK5" s="62">
        <f t="shared" si="9"/>
        <v>99.25439999999999</v>
      </c>
      <c r="AL5" s="72">
        <f t="shared" si="10"/>
        <v>190.74719999999999</v>
      </c>
      <c r="AM5" s="81">
        <f t="shared" ref="AM5:AM65" si="14">+D5+R5-AC5-AH5</f>
        <v>-9.8790000000008149</v>
      </c>
      <c r="AN5" s="80">
        <f t="shared" si="11"/>
        <v>9.2270700000000687</v>
      </c>
      <c r="AO5" s="80">
        <f t="shared" si="11"/>
        <v>0.10182899999986716</v>
      </c>
      <c r="AP5" s="114">
        <f t="shared" ref="AP5:AP65" si="15">(AN5+AO5)/(S5+T5)</f>
        <v>1.1903355562659796E-2</v>
      </c>
      <c r="AQ5" s="115">
        <f t="shared" si="12"/>
        <v>4464.4043221138754</v>
      </c>
      <c r="AR5" s="90">
        <f t="shared" ref="AR5:AR19" si="16">(D5+J5+O5)-(X5+AH5)</f>
        <v>0.12099999999918509</v>
      </c>
    </row>
    <row r="6" spans="1:44" ht="15.75" x14ac:dyDescent="0.25">
      <c r="A6" t="str">
        <f t="shared" si="13"/>
        <v>46205M</v>
      </c>
      <c r="B6" s="51">
        <f>+B4+1</f>
        <v>46205</v>
      </c>
      <c r="C6" s="99" t="s">
        <v>87</v>
      </c>
      <c r="D6" s="105">
        <v>2352</v>
      </c>
      <c r="E6" s="106">
        <v>4.22</v>
      </c>
      <c r="F6" s="106">
        <v>8.11</v>
      </c>
      <c r="G6" s="62">
        <f t="shared" si="0"/>
        <v>99.25439999999999</v>
      </c>
      <c r="H6" s="72">
        <f t="shared" si="1"/>
        <v>190.74719999999999</v>
      </c>
      <c r="I6" s="120">
        <v>2508.1</v>
      </c>
      <c r="J6" s="120">
        <v>2583.3429999999998</v>
      </c>
      <c r="K6" s="120">
        <v>5.094741039033531</v>
      </c>
      <c r="L6" s="120">
        <v>8.5000837287189519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2583.3429999999998</v>
      </c>
      <c r="S6" s="62">
        <f t="shared" si="3"/>
        <v>131.61463599999999</v>
      </c>
      <c r="T6" s="63">
        <f t="shared" si="4"/>
        <v>219.58631800000001</v>
      </c>
      <c r="U6" s="102" t="s">
        <v>167</v>
      </c>
      <c r="V6" s="103" t="s">
        <v>167</v>
      </c>
      <c r="W6" s="104" t="s">
        <v>167</v>
      </c>
      <c r="X6" s="112">
        <v>0</v>
      </c>
      <c r="Y6" s="113">
        <v>0</v>
      </c>
      <c r="Z6" s="113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141">
        <v>4932</v>
      </c>
      <c r="AI6" s="138">
        <v>4.68</v>
      </c>
      <c r="AJ6" s="138">
        <v>8.31</v>
      </c>
      <c r="AK6" s="62">
        <f t="shared" si="9"/>
        <v>230.81759999999997</v>
      </c>
      <c r="AL6" s="72">
        <f t="shared" si="10"/>
        <v>409.84920000000005</v>
      </c>
      <c r="AM6" s="81">
        <f t="shared" si="14"/>
        <v>3.3429999999998472</v>
      </c>
      <c r="AN6" s="80">
        <f t="shared" si="11"/>
        <v>5.1436000000023796E-2</v>
      </c>
      <c r="AO6" s="80">
        <f t="shared" si="11"/>
        <v>0.48431799999997338</v>
      </c>
      <c r="AP6" s="114">
        <f t="shared" si="15"/>
        <v>1.5254913003453776E-3</v>
      </c>
      <c r="AQ6" s="115">
        <f t="shared" si="12"/>
        <v>169.76560141161002</v>
      </c>
      <c r="AR6" s="90">
        <f t="shared" si="16"/>
        <v>3.3429999999998472</v>
      </c>
    </row>
    <row r="7" spans="1:44" ht="15.75" x14ac:dyDescent="0.25">
      <c r="A7" t="str">
        <f t="shared" si="13"/>
        <v>46205E</v>
      </c>
      <c r="B7" s="51">
        <f>+B5+1</f>
        <v>46205</v>
      </c>
      <c r="C7" s="99" t="s">
        <v>88</v>
      </c>
      <c r="D7" s="105">
        <v>4932</v>
      </c>
      <c r="E7" s="106">
        <v>4.68</v>
      </c>
      <c r="F7" s="106">
        <v>8.31</v>
      </c>
      <c r="G7" s="62">
        <f t="shared" si="0"/>
        <v>230.81759999999997</v>
      </c>
      <c r="H7" s="72">
        <f t="shared" si="1"/>
        <v>409.84920000000005</v>
      </c>
      <c r="I7" s="120">
        <v>1626</v>
      </c>
      <c r="J7" s="120">
        <v>1674.78</v>
      </c>
      <c r="K7" s="120">
        <v>4.1369987699876996</v>
      </c>
      <c r="L7" s="120">
        <v>8.0953628536285365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1674.78</v>
      </c>
      <c r="S7" s="62">
        <f t="shared" si="3"/>
        <v>69.285627999999988</v>
      </c>
      <c r="T7" s="63">
        <f t="shared" si="4"/>
        <v>135.57951800000001</v>
      </c>
      <c r="U7" s="102" t="s">
        <v>167</v>
      </c>
      <c r="V7" s="103" t="s">
        <v>167</v>
      </c>
      <c r="W7" s="138">
        <v>0</v>
      </c>
      <c r="X7" s="112">
        <v>0</v>
      </c>
      <c r="Y7" s="113">
        <v>0</v>
      </c>
      <c r="Z7" s="113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141">
        <v>6710</v>
      </c>
      <c r="AI7" s="138">
        <v>4.53</v>
      </c>
      <c r="AJ7" s="138">
        <v>8.26</v>
      </c>
      <c r="AK7" s="62">
        <f t="shared" si="9"/>
        <v>303.96300000000002</v>
      </c>
      <c r="AL7" s="72">
        <f t="shared" si="10"/>
        <v>554.24599999999998</v>
      </c>
      <c r="AM7" s="81">
        <f t="shared" si="14"/>
        <v>-103.22000000000025</v>
      </c>
      <c r="AN7" s="80">
        <f t="shared" si="11"/>
        <v>-3.8597720000000777</v>
      </c>
      <c r="AO7" s="80">
        <f t="shared" si="11"/>
        <v>-8.8172819999998637</v>
      </c>
      <c r="AP7" s="114">
        <f t="shared" si="15"/>
        <v>-6.1879993974182132E-2</v>
      </c>
      <c r="AQ7" s="115">
        <f t="shared" si="12"/>
        <v>-4495.4435308320353</v>
      </c>
      <c r="AR7" s="90">
        <f t="shared" si="16"/>
        <v>-103.22000000000025</v>
      </c>
    </row>
    <row r="8" spans="1:44" ht="15.75" x14ac:dyDescent="0.25">
      <c r="A8" t="str">
        <f t="shared" si="13"/>
        <v>46206M</v>
      </c>
      <c r="B8" s="51">
        <f>+B6+1</f>
        <v>46206</v>
      </c>
      <c r="C8" s="99" t="s">
        <v>87</v>
      </c>
      <c r="D8" s="105">
        <v>6710</v>
      </c>
      <c r="E8" s="106">
        <v>4.53</v>
      </c>
      <c r="F8" s="106">
        <v>8.26</v>
      </c>
      <c r="G8" s="62">
        <f t="shared" si="0"/>
        <v>303.96300000000002</v>
      </c>
      <c r="H8" s="72">
        <f t="shared" si="1"/>
        <v>554.24599999999998</v>
      </c>
      <c r="I8" s="120">
        <v>5915.1</v>
      </c>
      <c r="J8" s="120">
        <v>6092.5530000000008</v>
      </c>
      <c r="K8" s="120">
        <v>4.1490338286757629</v>
      </c>
      <c r="L8" s="120">
        <v>8.0078172811955852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6092.5530000000008</v>
      </c>
      <c r="S8" s="62">
        <f t="shared" si="3"/>
        <v>252.78208500000008</v>
      </c>
      <c r="T8" s="63">
        <f t="shared" si="4"/>
        <v>487.88051200000012</v>
      </c>
      <c r="U8" s="102" t="s">
        <v>210</v>
      </c>
      <c r="V8" s="103" t="s">
        <v>343</v>
      </c>
      <c r="W8" s="104" t="s">
        <v>243</v>
      </c>
      <c r="X8" s="112">
        <v>10050</v>
      </c>
      <c r="Y8" s="113">
        <v>4.4000000000000004</v>
      </c>
      <c r="Z8" s="113">
        <v>8.16</v>
      </c>
      <c r="AA8" s="62">
        <f t="shared" si="5"/>
        <v>442.20000000000005</v>
      </c>
      <c r="AB8" s="63">
        <f t="shared" si="6"/>
        <v>820.08</v>
      </c>
      <c r="AC8" s="69">
        <v>10100</v>
      </c>
      <c r="AD8" s="70">
        <v>4.4031683168316826</v>
      </c>
      <c r="AE8" s="70">
        <v>8.1606336633663368</v>
      </c>
      <c r="AF8" s="62">
        <f t="shared" si="7"/>
        <v>444.71999999999997</v>
      </c>
      <c r="AG8" s="63">
        <f t="shared" si="8"/>
        <v>824.22400000000005</v>
      </c>
      <c r="AH8" s="141">
        <v>2752</v>
      </c>
      <c r="AI8" s="138">
        <v>4.33</v>
      </c>
      <c r="AJ8" s="138">
        <v>8.14</v>
      </c>
      <c r="AK8" s="62">
        <f t="shared" si="9"/>
        <v>119.16159999999999</v>
      </c>
      <c r="AL8" s="72">
        <f t="shared" si="10"/>
        <v>224.0128</v>
      </c>
      <c r="AM8" s="81">
        <f t="shared" si="14"/>
        <v>-49.447000000000116</v>
      </c>
      <c r="AN8" s="80">
        <f t="shared" si="11"/>
        <v>-7.1365149999998323</v>
      </c>
      <c r="AO8" s="80">
        <f t="shared" si="11"/>
        <v>-6.1102879999999971</v>
      </c>
      <c r="AP8" s="114">
        <f t="shared" si="15"/>
        <v>-1.7885070818554949E-2</v>
      </c>
      <c r="AQ8" s="115">
        <f t="shared" si="12"/>
        <v>-5259.3045846483419</v>
      </c>
      <c r="AR8" s="90">
        <f t="shared" si="16"/>
        <v>0.55299999999988358</v>
      </c>
    </row>
    <row r="9" spans="1:44" ht="15.75" x14ac:dyDescent="0.25">
      <c r="A9" t="str">
        <f t="shared" si="13"/>
        <v>46206E</v>
      </c>
      <c r="B9" s="51">
        <f t="shared" ref="B9:B65" si="17">+B7+1</f>
        <v>46206</v>
      </c>
      <c r="C9" s="99" t="s">
        <v>88</v>
      </c>
      <c r="D9" s="105">
        <v>2752</v>
      </c>
      <c r="E9" s="106">
        <v>4.33</v>
      </c>
      <c r="F9" s="106">
        <v>8.14</v>
      </c>
      <c r="G9" s="62">
        <f t="shared" si="0"/>
        <v>119.16159999999999</v>
      </c>
      <c r="H9" s="72">
        <f t="shared" si="1"/>
        <v>224.0128</v>
      </c>
      <c r="I9" s="120">
        <v>1623.5</v>
      </c>
      <c r="J9" s="120">
        <v>1672.2050000000002</v>
      </c>
      <c r="K9" s="120">
        <v>4.2376901755466569</v>
      </c>
      <c r="L9" s="120">
        <v>8.1469972282106582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1672.2050000000002</v>
      </c>
      <c r="S9" s="62">
        <f t="shared" si="3"/>
        <v>70.86286699999998</v>
      </c>
      <c r="T9" s="63">
        <f t="shared" si="4"/>
        <v>136.23449500000004</v>
      </c>
      <c r="U9" s="102" t="s">
        <v>167</v>
      </c>
      <c r="V9" s="103" t="s">
        <v>167</v>
      </c>
      <c r="W9" s="138">
        <v>0</v>
      </c>
      <c r="X9" s="112">
        <v>0</v>
      </c>
      <c r="Y9" s="113">
        <v>0</v>
      </c>
      <c r="Z9" s="113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41">
        <v>4424</v>
      </c>
      <c r="AI9" s="138">
        <v>4.28</v>
      </c>
      <c r="AJ9" s="138">
        <v>8.1199999999999992</v>
      </c>
      <c r="AK9" s="62">
        <f t="shared" si="9"/>
        <v>189.34720000000002</v>
      </c>
      <c r="AL9" s="72">
        <f t="shared" si="10"/>
        <v>359.22879999999998</v>
      </c>
      <c r="AM9" s="81">
        <f t="shared" si="14"/>
        <v>0.20499999999992724</v>
      </c>
      <c r="AN9" s="80">
        <f t="shared" si="11"/>
        <v>0.67726699999994366</v>
      </c>
      <c r="AO9" s="80">
        <f t="shared" si="11"/>
        <v>1.0184950000000299</v>
      </c>
      <c r="AP9" s="114">
        <f t="shared" si="15"/>
        <v>8.1882356376899341E-3</v>
      </c>
      <c r="AQ9" s="115">
        <f t="shared" si="12"/>
        <v>630.47902145705552</v>
      </c>
      <c r="AR9" s="90">
        <f t="shared" si="16"/>
        <v>0.20499999999992724</v>
      </c>
    </row>
    <row r="10" spans="1:44" ht="15.75" x14ac:dyDescent="0.25">
      <c r="A10" t="str">
        <f t="shared" si="13"/>
        <v>46207M</v>
      </c>
      <c r="B10" s="51">
        <f t="shared" si="17"/>
        <v>46207</v>
      </c>
      <c r="C10" s="99" t="s">
        <v>87</v>
      </c>
      <c r="D10" s="105">
        <v>4424</v>
      </c>
      <c r="E10" s="106">
        <v>4.28</v>
      </c>
      <c r="F10" s="106">
        <v>8.1199999999999992</v>
      </c>
      <c r="G10" s="62">
        <f t="shared" si="0"/>
        <v>189.34720000000002</v>
      </c>
      <c r="H10" s="72">
        <f t="shared" si="1"/>
        <v>359.22879999999998</v>
      </c>
      <c r="I10" s="120">
        <v>2038.1000000000004</v>
      </c>
      <c r="J10" s="120">
        <v>2099.2430000000004</v>
      </c>
      <c r="K10" s="120">
        <v>5.2768509886659141</v>
      </c>
      <c r="L10" s="120">
        <v>8.4896030616750888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2099.2430000000004</v>
      </c>
      <c r="S10" s="62">
        <f t="shared" si="3"/>
        <v>110.77392500000002</v>
      </c>
      <c r="T10" s="63">
        <f t="shared" si="4"/>
        <v>178.217398</v>
      </c>
      <c r="U10" s="102" t="s">
        <v>167</v>
      </c>
      <c r="V10" s="103" t="s">
        <v>167</v>
      </c>
      <c r="W10" s="104">
        <v>0</v>
      </c>
      <c r="X10" s="112">
        <v>0</v>
      </c>
      <c r="Y10" s="113">
        <v>0</v>
      </c>
      <c r="Z10" s="113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3">
        <f t="shared" si="8"/>
        <v>0</v>
      </c>
      <c r="AH10" s="141">
        <v>6523</v>
      </c>
      <c r="AI10" s="138">
        <v>4.6100000000000003</v>
      </c>
      <c r="AJ10" s="138">
        <v>8.24</v>
      </c>
      <c r="AK10" s="62">
        <f t="shared" si="9"/>
        <v>300.71030000000002</v>
      </c>
      <c r="AL10" s="72">
        <f t="shared" si="10"/>
        <v>537.49519999999995</v>
      </c>
      <c r="AM10" s="81">
        <f t="shared" si="14"/>
        <v>0.2430000000003929</v>
      </c>
      <c r="AN10" s="80">
        <f t="shared" si="11"/>
        <v>-0.58917500000001155</v>
      </c>
      <c r="AO10" s="80">
        <f t="shared" si="11"/>
        <v>-4.9001999999973123E-2</v>
      </c>
      <c r="AP10" s="114">
        <f t="shared" si="15"/>
        <v>-2.2082912157192504E-3</v>
      </c>
      <c r="AQ10" s="115">
        <f t="shared" si="12"/>
        <v>-297.79342579948099</v>
      </c>
      <c r="AR10" s="90">
        <f t="shared" si="16"/>
        <v>0.2430000000003929</v>
      </c>
    </row>
    <row r="11" spans="1:44" ht="15.75" x14ac:dyDescent="0.25">
      <c r="A11" t="str">
        <f t="shared" si="13"/>
        <v>46207E</v>
      </c>
      <c r="B11" s="51">
        <f t="shared" si="17"/>
        <v>46207</v>
      </c>
      <c r="C11" s="99" t="s">
        <v>88</v>
      </c>
      <c r="D11" s="105">
        <v>6523</v>
      </c>
      <c r="E11" s="106">
        <v>4.6100000000000003</v>
      </c>
      <c r="F11" s="106">
        <v>8.24</v>
      </c>
      <c r="G11" s="62">
        <f t="shared" si="0"/>
        <v>300.71030000000002</v>
      </c>
      <c r="H11" s="72">
        <f t="shared" si="1"/>
        <v>537.49519999999995</v>
      </c>
      <c r="I11" s="120">
        <v>1656</v>
      </c>
      <c r="J11" s="120">
        <v>1705.68</v>
      </c>
      <c r="K11" s="120">
        <v>4.2995591787439631</v>
      </c>
      <c r="L11" s="120">
        <v>8.0957487922705322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1705.68</v>
      </c>
      <c r="S11" s="62">
        <f t="shared" si="3"/>
        <v>73.33672100000004</v>
      </c>
      <c r="T11" s="63">
        <f t="shared" si="4"/>
        <v>138.08756800000003</v>
      </c>
      <c r="U11" s="102" t="s">
        <v>167</v>
      </c>
      <c r="V11" s="103" t="s">
        <v>167</v>
      </c>
      <c r="W11" s="138" t="s">
        <v>167</v>
      </c>
      <c r="X11" s="112">
        <v>0</v>
      </c>
      <c r="Y11" s="113">
        <v>0</v>
      </c>
      <c r="Z11" s="113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141">
        <v>8229</v>
      </c>
      <c r="AI11" s="138">
        <v>4.55</v>
      </c>
      <c r="AJ11" s="138">
        <v>8.2100000000000009</v>
      </c>
      <c r="AK11" s="62">
        <f t="shared" si="9"/>
        <v>374.41949999999997</v>
      </c>
      <c r="AL11" s="72">
        <f t="shared" si="10"/>
        <v>675.60090000000002</v>
      </c>
      <c r="AM11" s="81">
        <f t="shared" si="14"/>
        <v>-0.31999999999970896</v>
      </c>
      <c r="AN11" s="80">
        <f t="shared" si="11"/>
        <v>-0.37247899999988476</v>
      </c>
      <c r="AO11" s="80">
        <f t="shared" si="11"/>
        <v>-1.8132000000036896E-2</v>
      </c>
      <c r="AP11" s="114">
        <f t="shared" si="15"/>
        <v>-1.8475218805154479E-3</v>
      </c>
      <c r="AQ11" s="115">
        <f t="shared" si="12"/>
        <v>-184.4186549397034</v>
      </c>
      <c r="AR11" s="90">
        <f t="shared" si="16"/>
        <v>-0.31999999999970896</v>
      </c>
    </row>
    <row r="12" spans="1:44" ht="15.75" x14ac:dyDescent="0.25">
      <c r="A12" t="str">
        <f t="shared" si="13"/>
        <v>46208M</v>
      </c>
      <c r="B12" s="51">
        <f t="shared" si="17"/>
        <v>46208</v>
      </c>
      <c r="C12" s="99" t="s">
        <v>87</v>
      </c>
      <c r="D12" s="105">
        <v>8229</v>
      </c>
      <c r="E12" s="106">
        <v>4.55</v>
      </c>
      <c r="F12" s="106">
        <v>8.2100000000000009</v>
      </c>
      <c r="G12" s="62">
        <f t="shared" si="0"/>
        <v>374.41949999999997</v>
      </c>
      <c r="H12" s="72">
        <f t="shared" si="1"/>
        <v>675.60090000000002</v>
      </c>
      <c r="I12" s="120">
        <v>5960.8</v>
      </c>
      <c r="J12" s="120">
        <v>6139.6240000000007</v>
      </c>
      <c r="K12" s="120">
        <v>3.8728945779090056</v>
      </c>
      <c r="L12" s="120">
        <v>7.8503103610253646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6139.6240000000007</v>
      </c>
      <c r="S12" s="62">
        <f t="shared" si="3"/>
        <v>237.78116500000004</v>
      </c>
      <c r="T12" s="63">
        <f t="shared" si="4"/>
        <v>481.97953899999999</v>
      </c>
      <c r="U12" s="102" t="s">
        <v>210</v>
      </c>
      <c r="V12" s="103" t="s">
        <v>344</v>
      </c>
      <c r="W12" s="104" t="s">
        <v>243</v>
      </c>
      <c r="X12" s="112">
        <v>10050</v>
      </c>
      <c r="Y12" s="113">
        <v>4.33</v>
      </c>
      <c r="Z12" s="113">
        <v>8.2799999999999994</v>
      </c>
      <c r="AA12" s="62">
        <f t="shared" si="5"/>
        <v>435.16499999999996</v>
      </c>
      <c r="AB12" s="63">
        <f t="shared" si="6"/>
        <v>832.14</v>
      </c>
      <c r="AC12" s="69">
        <v>10050</v>
      </c>
      <c r="AD12" s="70">
        <v>4.2516417910447757</v>
      </c>
      <c r="AE12" s="70">
        <v>8.1303283582089545</v>
      </c>
      <c r="AF12" s="62">
        <f t="shared" si="7"/>
        <v>427.28999999999996</v>
      </c>
      <c r="AG12" s="63">
        <f t="shared" si="8"/>
        <v>817.09799999999996</v>
      </c>
      <c r="AH12" s="141">
        <v>4319</v>
      </c>
      <c r="AI12" s="138">
        <v>4.2699999999999996</v>
      </c>
      <c r="AJ12" s="138">
        <v>8.08</v>
      </c>
      <c r="AK12" s="62">
        <f t="shared" si="9"/>
        <v>184.42129999999997</v>
      </c>
      <c r="AL12" s="72">
        <f t="shared" si="10"/>
        <v>348.97519999999997</v>
      </c>
      <c r="AM12" s="81">
        <f t="shared" si="14"/>
        <v>-0.37600000000020373</v>
      </c>
      <c r="AN12" s="80">
        <f t="shared" si="11"/>
        <v>0.48936500000013439</v>
      </c>
      <c r="AO12" s="80">
        <f t="shared" si="11"/>
        <v>-8.4927609999998595</v>
      </c>
      <c r="AP12" s="114">
        <f t="shared" si="15"/>
        <v>-1.1119523413158888E-2</v>
      </c>
      <c r="AQ12" s="115">
        <f t="shared" si="12"/>
        <v>-2308.3505030197261</v>
      </c>
      <c r="AR12" s="90">
        <f t="shared" si="16"/>
        <v>-0.37600000000020373</v>
      </c>
    </row>
    <row r="13" spans="1:44" ht="15.75" x14ac:dyDescent="0.25">
      <c r="A13" t="str">
        <f t="shared" si="13"/>
        <v>46208E</v>
      </c>
      <c r="B13" s="51">
        <f t="shared" si="17"/>
        <v>46208</v>
      </c>
      <c r="C13" s="99" t="s">
        <v>88</v>
      </c>
      <c r="D13" s="105">
        <v>4319</v>
      </c>
      <c r="E13" s="106">
        <v>4.2699999999999996</v>
      </c>
      <c r="F13" s="106">
        <v>8.08</v>
      </c>
      <c r="G13" s="62">
        <f t="shared" si="0"/>
        <v>184.42129999999997</v>
      </c>
      <c r="H13" s="72">
        <f t="shared" si="1"/>
        <v>348.97519999999997</v>
      </c>
      <c r="I13" s="120">
        <v>2009.6</v>
      </c>
      <c r="J13" s="120">
        <v>2069.8879999999999</v>
      </c>
      <c r="K13" s="120">
        <v>4.635434912420382</v>
      </c>
      <c r="L13" s="120">
        <v>8.3095939490445865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2069.8879999999999</v>
      </c>
      <c r="S13" s="62">
        <f t="shared" si="3"/>
        <v>95.94831099999999</v>
      </c>
      <c r="T13" s="63">
        <f t="shared" si="4"/>
        <v>171.99928799999998</v>
      </c>
      <c r="U13" s="102" t="s">
        <v>167</v>
      </c>
      <c r="V13" s="103" t="s">
        <v>167</v>
      </c>
      <c r="W13" s="138" t="s">
        <v>180</v>
      </c>
      <c r="X13" s="112">
        <v>0</v>
      </c>
      <c r="Y13" s="113">
        <v>0</v>
      </c>
      <c r="Z13" s="113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141">
        <v>6389</v>
      </c>
      <c r="AI13" s="138">
        <v>4.38</v>
      </c>
      <c r="AJ13" s="138">
        <v>8.15</v>
      </c>
      <c r="AK13" s="62">
        <f t="shared" si="9"/>
        <v>279.83819999999997</v>
      </c>
      <c r="AL13" s="72">
        <f t="shared" si="10"/>
        <v>520.70349999999996</v>
      </c>
      <c r="AM13" s="81">
        <f t="shared" si="14"/>
        <v>-0.11200000000008004</v>
      </c>
      <c r="AN13" s="80">
        <f t="shared" si="11"/>
        <v>0.53141099999999142</v>
      </c>
      <c r="AO13" s="80">
        <f t="shared" si="11"/>
        <v>0.27098799999998846</v>
      </c>
      <c r="AP13" s="114">
        <f t="shared" si="15"/>
        <v>2.994611644196819E-3</v>
      </c>
      <c r="AQ13" s="115">
        <f t="shared" si="12"/>
        <v>336.51877455492871</v>
      </c>
      <c r="AR13" s="90">
        <f t="shared" si="16"/>
        <v>-0.11200000000008004</v>
      </c>
    </row>
    <row r="14" spans="1:44" ht="15.75" x14ac:dyDescent="0.25">
      <c r="A14" t="str">
        <f t="shared" si="13"/>
        <v>46209M</v>
      </c>
      <c r="B14" s="51">
        <f t="shared" si="17"/>
        <v>46209</v>
      </c>
      <c r="C14" s="99" t="s">
        <v>87</v>
      </c>
      <c r="D14" s="91">
        <v>6389</v>
      </c>
      <c r="E14" s="62">
        <v>4.38</v>
      </c>
      <c r="F14" s="62">
        <v>8.15</v>
      </c>
      <c r="G14" s="62">
        <f t="shared" si="0"/>
        <v>279.83819999999997</v>
      </c>
      <c r="H14" s="72">
        <f t="shared" si="1"/>
        <v>520.70349999999996</v>
      </c>
      <c r="I14" s="120">
        <v>2074.1999999999998</v>
      </c>
      <c r="J14" s="120">
        <v>2136.4259999999999</v>
      </c>
      <c r="K14" s="120">
        <v>5.3118599942146378</v>
      </c>
      <c r="L14" s="120">
        <v>8.4922235078584514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2136.4259999999999</v>
      </c>
      <c r="S14" s="62">
        <f t="shared" si="3"/>
        <v>113.48395800000002</v>
      </c>
      <c r="T14" s="63">
        <f t="shared" si="4"/>
        <v>181.430071</v>
      </c>
      <c r="U14" s="64" t="s">
        <v>167</v>
      </c>
      <c r="V14" s="65" t="s">
        <v>167</v>
      </c>
      <c r="W14" s="138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141">
        <v>8525</v>
      </c>
      <c r="AI14" s="138">
        <v>4.5999999999999996</v>
      </c>
      <c r="AJ14" s="138">
        <v>8.24</v>
      </c>
      <c r="AK14" s="62">
        <f t="shared" si="9"/>
        <v>392.15</v>
      </c>
      <c r="AL14" s="72">
        <f t="shared" si="10"/>
        <v>702.46</v>
      </c>
      <c r="AM14" s="81">
        <f t="shared" si="14"/>
        <v>0.42599999999947613</v>
      </c>
      <c r="AN14" s="80">
        <f t="shared" si="11"/>
        <v>1.1721580000000245</v>
      </c>
      <c r="AO14" s="80">
        <f t="shared" si="11"/>
        <v>-0.32642900000007558</v>
      </c>
      <c r="AP14" s="114">
        <f t="shared" si="15"/>
        <v>2.8677136956409381E-3</v>
      </c>
      <c r="AQ14" s="115">
        <f t="shared" si="12"/>
        <v>465.49748909095763</v>
      </c>
      <c r="AR14" s="90">
        <f t="shared" si="16"/>
        <v>0.42599999999947613</v>
      </c>
    </row>
    <row r="15" spans="1:44" ht="15.75" x14ac:dyDescent="0.25">
      <c r="A15" t="str">
        <f t="shared" si="13"/>
        <v>46209E</v>
      </c>
      <c r="B15" s="51">
        <f t="shared" si="17"/>
        <v>46209</v>
      </c>
      <c r="C15" s="99" t="s">
        <v>88</v>
      </c>
      <c r="D15" s="91">
        <v>8525</v>
      </c>
      <c r="E15" s="62">
        <v>4.5999999999999996</v>
      </c>
      <c r="F15" s="62">
        <v>8.24</v>
      </c>
      <c r="G15" s="62">
        <f t="shared" si="0"/>
        <v>392.15</v>
      </c>
      <c r="H15" s="72">
        <f t="shared" si="1"/>
        <v>702.46</v>
      </c>
      <c r="I15" s="120">
        <v>3459.9</v>
      </c>
      <c r="J15" s="120">
        <v>3563.6970000000001</v>
      </c>
      <c r="K15" s="120">
        <v>3.9563137662938237</v>
      </c>
      <c r="L15" s="120">
        <v>7.9409722824359115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3563.6970000000001</v>
      </c>
      <c r="S15" s="62">
        <f t="shared" si="3"/>
        <v>140.99103500000001</v>
      </c>
      <c r="T15" s="63">
        <f t="shared" si="4"/>
        <v>282.9921910000001</v>
      </c>
      <c r="U15" s="64" t="s">
        <v>168</v>
      </c>
      <c r="V15" s="65" t="s">
        <v>345</v>
      </c>
      <c r="W15" s="138" t="s">
        <v>243</v>
      </c>
      <c r="X15" s="67">
        <v>9820</v>
      </c>
      <c r="Y15" s="68">
        <v>4.45</v>
      </c>
      <c r="Z15" s="68">
        <v>8.17</v>
      </c>
      <c r="AA15" s="62">
        <f t="shared" si="5"/>
        <v>436.99000000000007</v>
      </c>
      <c r="AB15" s="63">
        <f t="shared" si="6"/>
        <v>802.29399999999998</v>
      </c>
      <c r="AC15" s="69">
        <v>9800</v>
      </c>
      <c r="AD15" s="70">
        <v>4.3</v>
      </c>
      <c r="AE15" s="70">
        <v>8.14</v>
      </c>
      <c r="AF15" s="62">
        <f t="shared" si="7"/>
        <v>421.4</v>
      </c>
      <c r="AG15" s="63">
        <f t="shared" si="8"/>
        <v>797.72</v>
      </c>
      <c r="AH15" s="141">
        <v>2269</v>
      </c>
      <c r="AI15" s="138">
        <v>4.42</v>
      </c>
      <c r="AJ15" s="138">
        <v>8.14</v>
      </c>
      <c r="AK15" s="62">
        <f t="shared" si="9"/>
        <v>100.28979999999999</v>
      </c>
      <c r="AL15" s="72">
        <f t="shared" si="10"/>
        <v>184.69659999999999</v>
      </c>
      <c r="AM15" s="81">
        <f t="shared" si="14"/>
        <v>19.697000000000116</v>
      </c>
      <c r="AN15" s="80">
        <f t="shared" si="11"/>
        <v>11.451235000000025</v>
      </c>
      <c r="AO15" s="80">
        <f t="shared" si="11"/>
        <v>3.0355910000000677</v>
      </c>
      <c r="AP15" s="114">
        <f t="shared" si="15"/>
        <v>3.4168394199633002E-2</v>
      </c>
      <c r="AQ15" s="115">
        <f t="shared" si="12"/>
        <v>6411.82359438611</v>
      </c>
      <c r="AR15" s="90">
        <f t="shared" si="16"/>
        <v>-0.30299999999988358</v>
      </c>
    </row>
    <row r="16" spans="1:44" ht="15.75" x14ac:dyDescent="0.25">
      <c r="A16" t="str">
        <f t="shared" si="13"/>
        <v>46210M</v>
      </c>
      <c r="B16" s="51">
        <f t="shared" si="17"/>
        <v>46210</v>
      </c>
      <c r="C16" s="99" t="s">
        <v>87</v>
      </c>
      <c r="D16" s="91">
        <v>2269</v>
      </c>
      <c r="E16" s="62">
        <v>4.42</v>
      </c>
      <c r="F16" s="62">
        <v>8.14</v>
      </c>
      <c r="G16" s="62">
        <f t="shared" si="0"/>
        <v>100.28979999999999</v>
      </c>
      <c r="H16" s="72">
        <f t="shared" si="1"/>
        <v>184.69659999999999</v>
      </c>
      <c r="I16" s="120">
        <v>1828.8000000000002</v>
      </c>
      <c r="J16" s="120">
        <v>1883.6640000000002</v>
      </c>
      <c r="K16" s="120">
        <v>5.1849245406824149</v>
      </c>
      <c r="L16" s="120">
        <v>8.4946850393700792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1883.6640000000002</v>
      </c>
      <c r="S16" s="62">
        <f t="shared" si="3"/>
        <v>97.666557000000012</v>
      </c>
      <c r="T16" s="63">
        <f t="shared" si="4"/>
        <v>160.01132400000003</v>
      </c>
      <c r="U16" s="64" t="s">
        <v>167</v>
      </c>
      <c r="V16" s="65" t="s">
        <v>167</v>
      </c>
      <c r="W16" s="138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41">
        <v>4153</v>
      </c>
      <c r="AI16" s="138">
        <v>4.7699999999999996</v>
      </c>
      <c r="AJ16" s="138">
        <v>8.3000000000000007</v>
      </c>
      <c r="AK16" s="62">
        <f t="shared" si="9"/>
        <v>198.09809999999996</v>
      </c>
      <c r="AL16" s="72">
        <f t="shared" si="10"/>
        <v>344.69900000000001</v>
      </c>
      <c r="AM16" s="81">
        <f t="shared" si="14"/>
        <v>-0.33599999999933061</v>
      </c>
      <c r="AN16" s="80">
        <f t="shared" si="11"/>
        <v>-0.14174299999996265</v>
      </c>
      <c r="AO16" s="80">
        <f t="shared" si="11"/>
        <v>8.9240000000359032E-3</v>
      </c>
      <c r="AP16" s="114">
        <f t="shared" si="15"/>
        <v>-5.1544587173909086E-4</v>
      </c>
      <c r="AQ16" s="115">
        <f t="shared" si="12"/>
        <v>-65.439466173990084</v>
      </c>
      <c r="AR16" s="90">
        <f t="shared" si="16"/>
        <v>-0.33599999999933061</v>
      </c>
    </row>
    <row r="17" spans="1:49" ht="15.75" x14ac:dyDescent="0.25">
      <c r="A17" t="str">
        <f t="shared" si="13"/>
        <v>46210E</v>
      </c>
      <c r="B17" s="51">
        <f t="shared" si="17"/>
        <v>46210</v>
      </c>
      <c r="C17" s="99" t="s">
        <v>88</v>
      </c>
      <c r="D17" s="91">
        <v>4153</v>
      </c>
      <c r="E17" s="62">
        <v>4.7699999999999996</v>
      </c>
      <c r="F17" s="62">
        <v>8.3000000000000007</v>
      </c>
      <c r="G17" s="62">
        <f t="shared" si="0"/>
        <v>198.09809999999996</v>
      </c>
      <c r="H17" s="72">
        <f t="shared" si="1"/>
        <v>344.69900000000001</v>
      </c>
      <c r="I17" s="120">
        <v>1759.2</v>
      </c>
      <c r="J17" s="120">
        <v>1811.9760000000001</v>
      </c>
      <c r="K17" s="120">
        <v>4.4318667576170983</v>
      </c>
      <c r="L17" s="120">
        <v>8.2488346975898139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1811.9760000000001</v>
      </c>
      <c r="S17" s="62">
        <f t="shared" si="3"/>
        <v>80.304361999999998</v>
      </c>
      <c r="T17" s="63">
        <f t="shared" si="4"/>
        <v>149.46690500000003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141">
        <v>5965</v>
      </c>
      <c r="AI17" s="138">
        <v>4.66</v>
      </c>
      <c r="AJ17" s="138">
        <v>8.3000000000000007</v>
      </c>
      <c r="AK17" s="62">
        <f t="shared" si="9"/>
        <v>277.96899999999999</v>
      </c>
      <c r="AL17" s="72">
        <f t="shared" si="10"/>
        <v>495.09500000000003</v>
      </c>
      <c r="AM17" s="81">
        <f t="shared" si="14"/>
        <v>-2.3999999999432475E-2</v>
      </c>
      <c r="AN17" s="80">
        <f t="shared" si="11"/>
        <v>0.43346199999996315</v>
      </c>
      <c r="AO17" s="80">
        <f t="shared" si="11"/>
        <v>-0.92909499999996115</v>
      </c>
      <c r="AP17" s="114">
        <f t="shared" si="15"/>
        <v>-2.1570712755829384E-3</v>
      </c>
      <c r="AQ17" s="115">
        <f t="shared" si="12"/>
        <v>-69.963082582756243</v>
      </c>
      <c r="AR17" s="90">
        <f t="shared" si="16"/>
        <v>-2.3999999999432475E-2</v>
      </c>
    </row>
    <row r="18" spans="1:49" ht="15.75" x14ac:dyDescent="0.25">
      <c r="A18" t="str">
        <f t="shared" si="13"/>
        <v>46211M</v>
      </c>
      <c r="B18" s="51">
        <f t="shared" si="17"/>
        <v>46211</v>
      </c>
      <c r="C18" s="99" t="s">
        <v>87</v>
      </c>
      <c r="D18" s="91">
        <v>5965</v>
      </c>
      <c r="E18" s="62">
        <v>4.66</v>
      </c>
      <c r="F18" s="62">
        <v>8.3000000000000007</v>
      </c>
      <c r="G18" s="62">
        <f t="shared" si="0"/>
        <v>277.96899999999999</v>
      </c>
      <c r="H18" s="72">
        <f t="shared" si="1"/>
        <v>495.09500000000003</v>
      </c>
      <c r="I18" s="120">
        <v>2191.8999999999996</v>
      </c>
      <c r="J18" s="120">
        <v>2257.6569999999997</v>
      </c>
      <c r="K18" s="120">
        <v>5.1618367626260317</v>
      </c>
      <c r="L18" s="120">
        <v>8.499110360874127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2257.6569999999997</v>
      </c>
      <c r="S18" s="62">
        <f t="shared" si="3"/>
        <v>116.53656899999999</v>
      </c>
      <c r="T18" s="63">
        <f t="shared" si="4"/>
        <v>191.88075999999995</v>
      </c>
      <c r="U18" s="64" t="s">
        <v>167</v>
      </c>
      <c r="V18" s="65" t="s">
        <v>167</v>
      </c>
      <c r="W18" s="138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141">
        <v>8223</v>
      </c>
      <c r="AI18" s="138">
        <v>4.8</v>
      </c>
      <c r="AJ18" s="138">
        <v>8.35</v>
      </c>
      <c r="AK18" s="62">
        <f t="shared" si="9"/>
        <v>394.70400000000001</v>
      </c>
      <c r="AL18" s="72">
        <f t="shared" si="10"/>
        <v>686.62049999999988</v>
      </c>
      <c r="AM18" s="81">
        <f t="shared" si="14"/>
        <v>-0.3430000000007567</v>
      </c>
      <c r="AN18" s="80">
        <f t="shared" si="11"/>
        <v>-0.19843100000002778</v>
      </c>
      <c r="AO18" s="80">
        <f t="shared" si="11"/>
        <v>0.35526000000015756</v>
      </c>
      <c r="AP18" s="114">
        <f t="shared" si="15"/>
        <v>5.0849607091996379E-4</v>
      </c>
      <c r="AQ18" s="115">
        <f t="shared" si="12"/>
        <v>11.044653574173765</v>
      </c>
      <c r="AR18" s="90">
        <f t="shared" si="16"/>
        <v>-0.3430000000007567</v>
      </c>
    </row>
    <row r="19" spans="1:49" ht="15.75" x14ac:dyDescent="0.25">
      <c r="A19" t="str">
        <f t="shared" si="13"/>
        <v>46211E</v>
      </c>
      <c r="B19" s="51">
        <f t="shared" si="17"/>
        <v>46211</v>
      </c>
      <c r="C19" s="99" t="s">
        <v>88</v>
      </c>
      <c r="D19" s="91">
        <v>8223</v>
      </c>
      <c r="E19" s="62">
        <v>4.8</v>
      </c>
      <c r="F19" s="62">
        <v>8.35</v>
      </c>
      <c r="G19" s="62">
        <f t="shared" si="0"/>
        <v>394.70400000000001</v>
      </c>
      <c r="H19" s="72">
        <f t="shared" si="1"/>
        <v>686.62049999999988</v>
      </c>
      <c r="I19" s="120">
        <v>5416.2</v>
      </c>
      <c r="J19" s="120">
        <v>5578.6859999999997</v>
      </c>
      <c r="K19" s="120">
        <v>3.8853679701635842</v>
      </c>
      <c r="L19" s="120">
        <v>7.8383202245116506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5578.6859999999997</v>
      </c>
      <c r="S19" s="62">
        <f t="shared" si="3"/>
        <v>216.75247900000002</v>
      </c>
      <c r="T19" s="63">
        <f t="shared" si="4"/>
        <v>437.27527300000003</v>
      </c>
      <c r="U19" s="64" t="s">
        <v>410</v>
      </c>
      <c r="V19" s="65" t="s">
        <v>411</v>
      </c>
      <c r="W19" s="66" t="s">
        <v>243</v>
      </c>
      <c r="X19" s="67">
        <v>10000</v>
      </c>
      <c r="Y19" s="68">
        <v>4.3</v>
      </c>
      <c r="Z19" s="68">
        <v>8.14</v>
      </c>
      <c r="AA19" s="62">
        <f t="shared" si="5"/>
        <v>429.99999999999994</v>
      </c>
      <c r="AB19" s="63">
        <f t="shared" si="6"/>
        <v>814</v>
      </c>
      <c r="AC19" s="69">
        <v>9950</v>
      </c>
      <c r="AD19" s="70">
        <v>4.2500502512562814</v>
      </c>
      <c r="AE19" s="70">
        <v>7.9450753768844216</v>
      </c>
      <c r="AF19" s="62">
        <f t="shared" si="7"/>
        <v>422.88</v>
      </c>
      <c r="AG19" s="63">
        <f t="shared" si="8"/>
        <v>790.53499999999985</v>
      </c>
      <c r="AH19" s="141">
        <v>3802</v>
      </c>
      <c r="AI19" s="138">
        <v>4.4400000000000004</v>
      </c>
      <c r="AJ19" s="138">
        <v>8.1300000000000008</v>
      </c>
      <c r="AK19" s="62">
        <f t="shared" si="9"/>
        <v>168.80880000000002</v>
      </c>
      <c r="AL19" s="72">
        <f t="shared" si="10"/>
        <v>309.10260000000005</v>
      </c>
      <c r="AM19" s="81">
        <f t="shared" si="14"/>
        <v>49.685999999999694</v>
      </c>
      <c r="AN19" s="80">
        <f t="shared" si="11"/>
        <v>19.767679000000044</v>
      </c>
      <c r="AO19" s="80">
        <f t="shared" si="11"/>
        <v>24.258173000000056</v>
      </c>
      <c r="AP19" s="114">
        <f t="shared" si="15"/>
        <v>6.7314960053866488E-2</v>
      </c>
      <c r="AQ19" s="115">
        <f t="shared" si="12"/>
        <v>16764.119981641794</v>
      </c>
      <c r="AR19" s="90">
        <f t="shared" si="16"/>
        <v>-0.31400000000030559</v>
      </c>
    </row>
    <row r="20" spans="1:49" ht="15.75" x14ac:dyDescent="0.25">
      <c r="A20" t="str">
        <f t="shared" si="13"/>
        <v>46212M</v>
      </c>
      <c r="B20" s="51">
        <f t="shared" si="17"/>
        <v>46212</v>
      </c>
      <c r="C20" s="99" t="s">
        <v>87</v>
      </c>
      <c r="D20" s="91">
        <v>3802</v>
      </c>
      <c r="E20" s="62">
        <v>4.4400000000000004</v>
      </c>
      <c r="F20" s="62">
        <v>8.1300000000000008</v>
      </c>
      <c r="G20" s="62">
        <f t="shared" si="0"/>
        <v>168.80880000000002</v>
      </c>
      <c r="H20" s="72">
        <f t="shared" si="1"/>
        <v>309.10260000000005</v>
      </c>
      <c r="I20" s="120">
        <v>2288.8999999999996</v>
      </c>
      <c r="J20" s="120">
        <v>2357.5669999999996</v>
      </c>
      <c r="K20" s="120">
        <v>4.9229324129494518</v>
      </c>
      <c r="L20" s="120">
        <v>8.4985975796233983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2357.5669999999996</v>
      </c>
      <c r="S20" s="62">
        <f t="shared" si="3"/>
        <v>116.06142999999997</v>
      </c>
      <c r="T20" s="63">
        <f t="shared" si="4"/>
        <v>200.36013199999994</v>
      </c>
      <c r="U20" s="64" t="s">
        <v>167</v>
      </c>
      <c r="V20" s="65" t="s">
        <v>167</v>
      </c>
      <c r="W20" s="138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141">
        <v>6159</v>
      </c>
      <c r="AI20" s="138">
        <v>4.59</v>
      </c>
      <c r="AJ20" s="138">
        <v>8.27</v>
      </c>
      <c r="AK20" s="62">
        <f t="shared" si="9"/>
        <v>282.69809999999995</v>
      </c>
      <c r="AL20" s="72">
        <f t="shared" si="10"/>
        <v>509.34929999999997</v>
      </c>
      <c r="AM20" s="81">
        <f t="shared" si="14"/>
        <v>0.56699999999909778</v>
      </c>
      <c r="AN20" s="80">
        <f t="shared" ref="AN20:AO65" si="18">+G20+S20-AF20-AK20</f>
        <v>2.1721300000000383</v>
      </c>
      <c r="AO20" s="80">
        <f t="shared" si="18"/>
        <v>0.11343199999998888</v>
      </c>
      <c r="AP20" s="114">
        <f t="shared" si="15"/>
        <v>7.2231550389730646E-3</v>
      </c>
      <c r="AQ20" s="115">
        <f t="shared" si="12"/>
        <v>1077.7510342379194</v>
      </c>
      <c r="AR20" s="90">
        <f>(D20+J20+O20)-(X20+AH20)</f>
        <v>0.56699999999909778</v>
      </c>
    </row>
    <row r="21" spans="1:49" ht="15.75" x14ac:dyDescent="0.25">
      <c r="A21" t="str">
        <f t="shared" si="13"/>
        <v>46212E</v>
      </c>
      <c r="B21" s="51">
        <f t="shared" si="17"/>
        <v>46212</v>
      </c>
      <c r="C21" s="99" t="s">
        <v>88</v>
      </c>
      <c r="D21" s="91">
        <v>6159</v>
      </c>
      <c r="E21" s="62">
        <v>4.59</v>
      </c>
      <c r="F21" s="62">
        <v>8.27</v>
      </c>
      <c r="G21" s="62">
        <f t="shared" si="0"/>
        <v>282.69809999999995</v>
      </c>
      <c r="H21" s="72">
        <f t="shared" si="1"/>
        <v>509.34929999999997</v>
      </c>
      <c r="I21" s="120">
        <v>1986.8000000000002</v>
      </c>
      <c r="J21" s="120">
        <v>2046.4040000000002</v>
      </c>
      <c r="K21" s="120">
        <v>4.3183158848399428</v>
      </c>
      <c r="L21" s="120">
        <v>8.2650694584256073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2046.4040000000002</v>
      </c>
      <c r="S21" s="62">
        <f t="shared" si="3"/>
        <v>88.370188999999996</v>
      </c>
      <c r="T21" s="63">
        <f t="shared" si="4"/>
        <v>169.13671199999999</v>
      </c>
      <c r="U21" s="64" t="s">
        <v>167</v>
      </c>
      <c r="V21" s="65" t="s">
        <v>167</v>
      </c>
      <c r="W21" s="104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3">
        <f t="shared" si="8"/>
        <v>0</v>
      </c>
      <c r="AH21" s="141">
        <v>8540</v>
      </c>
      <c r="AI21" s="138">
        <v>4.5199999999999996</v>
      </c>
      <c r="AJ21" s="138">
        <v>8.2799999999999994</v>
      </c>
      <c r="AK21" s="62">
        <f t="shared" si="9"/>
        <v>386.00799999999998</v>
      </c>
      <c r="AL21" s="72">
        <f t="shared" si="10"/>
        <v>707.11199999999997</v>
      </c>
      <c r="AM21" s="81">
        <f t="shared" si="14"/>
        <v>-334.59599999999955</v>
      </c>
      <c r="AN21" s="80">
        <f t="shared" si="18"/>
        <v>-14.939711000000045</v>
      </c>
      <c r="AO21" s="80">
        <f t="shared" si="18"/>
        <v>-28.625988000000007</v>
      </c>
      <c r="AP21" s="114">
        <f t="shared" si="15"/>
        <v>-0.16918264648759862</v>
      </c>
      <c r="AQ21" s="115">
        <f t="shared" si="12"/>
        <v>-15752.245932518983</v>
      </c>
      <c r="AR21" s="90">
        <f>(D21+J21+O21)-(X21+AH21)</f>
        <v>-334.59599999999955</v>
      </c>
      <c r="AS21" s="90">
        <f>SUM(J8:J21)</f>
        <v>41415.270000000004</v>
      </c>
      <c r="AT21" s="83">
        <f>SUM(AM8:AM21)</f>
        <v>-314.73000000000047</v>
      </c>
      <c r="AU21" s="83">
        <f>SUM(AN8:AN21)</f>
        <v>13.3166530000004</v>
      </c>
      <c r="AV21" s="83">
        <f>SUM(AO8:AO21)</f>
        <v>-15.490831999999585</v>
      </c>
      <c r="AW21" s="83">
        <f>-SUM(AQ8:AQ21)</f>
        <v>-1759.7188992599567</v>
      </c>
    </row>
    <row r="22" spans="1:49" ht="15.75" x14ac:dyDescent="0.25">
      <c r="A22" t="str">
        <f t="shared" si="13"/>
        <v>46213M</v>
      </c>
      <c r="B22" s="51">
        <f t="shared" si="17"/>
        <v>46213</v>
      </c>
      <c r="C22" s="99" t="s">
        <v>87</v>
      </c>
      <c r="D22" s="91">
        <v>8540</v>
      </c>
      <c r="E22" s="62">
        <v>4.5199999999999996</v>
      </c>
      <c r="F22" s="62">
        <v>8.2799999999999994</v>
      </c>
      <c r="G22" s="62">
        <f t="shared" si="0"/>
        <v>386.00799999999998</v>
      </c>
      <c r="H22" s="72">
        <f t="shared" si="1"/>
        <v>707.11199999999997</v>
      </c>
      <c r="I22" s="120">
        <v>5620</v>
      </c>
      <c r="J22" s="120">
        <v>5788.6</v>
      </c>
      <c r="K22" s="120">
        <v>4.2745320284697508</v>
      </c>
      <c r="L22" s="120">
        <v>8.0361423487544474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5788.6</v>
      </c>
      <c r="S22" s="62">
        <f t="shared" si="3"/>
        <v>247.43556100000001</v>
      </c>
      <c r="T22" s="63">
        <f t="shared" si="4"/>
        <v>465.180136</v>
      </c>
      <c r="U22" s="64" t="s">
        <v>210</v>
      </c>
      <c r="V22" s="65" t="s">
        <v>551</v>
      </c>
      <c r="W22" s="138" t="s">
        <v>187</v>
      </c>
      <c r="X22" s="67">
        <v>10000</v>
      </c>
      <c r="Y22" s="68">
        <v>4.3</v>
      </c>
      <c r="Z22" s="68">
        <v>8.17</v>
      </c>
      <c r="AA22" s="62">
        <f t="shared" si="5"/>
        <v>429.99999999999994</v>
      </c>
      <c r="AB22" s="63">
        <f t="shared" si="6"/>
        <v>817</v>
      </c>
      <c r="AC22" s="69">
        <v>10000</v>
      </c>
      <c r="AD22" s="70">
        <v>4.2500000000000009</v>
      </c>
      <c r="AE22" s="70">
        <v>8.1039499999999993</v>
      </c>
      <c r="AF22" s="62">
        <f t="shared" si="7"/>
        <v>425.00000000000011</v>
      </c>
      <c r="AG22" s="63">
        <f t="shared" si="8"/>
        <v>810.39499999999987</v>
      </c>
      <c r="AH22" s="141">
        <v>4229</v>
      </c>
      <c r="AI22" s="138">
        <v>4.43</v>
      </c>
      <c r="AJ22" s="138">
        <v>8.17</v>
      </c>
      <c r="AK22" s="62">
        <f t="shared" si="9"/>
        <v>187.34469999999999</v>
      </c>
      <c r="AL22" s="72">
        <f t="shared" si="10"/>
        <v>345.5093</v>
      </c>
      <c r="AM22" s="81">
        <f t="shared" si="14"/>
        <v>99.600000000000364</v>
      </c>
      <c r="AN22" s="80">
        <f t="shared" si="18"/>
        <v>21.098860999999943</v>
      </c>
      <c r="AO22" s="80">
        <f t="shared" si="18"/>
        <v>16.387836000000163</v>
      </c>
      <c r="AP22" s="114">
        <f t="shared" si="15"/>
        <v>5.2604366080923011E-2</v>
      </c>
      <c r="AQ22" s="115">
        <f t="shared" si="12"/>
        <v>15046.70039211981</v>
      </c>
      <c r="AR22" s="90">
        <f t="shared" ref="AR22:AR63" si="19">(D22+J22+O22)-(X22+AH22)</f>
        <v>99.600000000000364</v>
      </c>
    </row>
    <row r="23" spans="1:49" ht="15.75" x14ac:dyDescent="0.25">
      <c r="A23" t="str">
        <f t="shared" si="13"/>
        <v>46213E</v>
      </c>
      <c r="B23" s="51">
        <f t="shared" si="17"/>
        <v>46213</v>
      </c>
      <c r="C23" s="99" t="s">
        <v>88</v>
      </c>
      <c r="D23" s="91">
        <v>4229</v>
      </c>
      <c r="E23" s="62">
        <v>4.43</v>
      </c>
      <c r="F23" s="62">
        <v>8.17</v>
      </c>
      <c r="G23" s="62">
        <f t="shared" si="0"/>
        <v>187.34469999999999</v>
      </c>
      <c r="H23" s="72">
        <f t="shared" si="1"/>
        <v>345.5093</v>
      </c>
      <c r="I23" s="120">
        <v>1931.6</v>
      </c>
      <c r="J23" s="120">
        <v>1989.548</v>
      </c>
      <c r="K23" s="120">
        <v>4.4867778007869124</v>
      </c>
      <c r="L23" s="120">
        <v>8.2827500517705523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1989.548</v>
      </c>
      <c r="S23" s="62">
        <f t="shared" si="3"/>
        <v>89.266598000000002</v>
      </c>
      <c r="T23" s="63">
        <f t="shared" si="4"/>
        <v>164.789288</v>
      </c>
      <c r="U23" s="64" t="s">
        <v>167</v>
      </c>
      <c r="V23" s="65" t="s">
        <v>180</v>
      </c>
      <c r="W23" s="104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141">
        <v>6218</v>
      </c>
      <c r="AI23" s="138">
        <v>4.45</v>
      </c>
      <c r="AJ23" s="138">
        <v>8.1999999999999993</v>
      </c>
      <c r="AK23" s="62">
        <f t="shared" si="9"/>
        <v>276.70100000000002</v>
      </c>
      <c r="AL23" s="72">
        <f t="shared" si="10"/>
        <v>509.87599999999992</v>
      </c>
      <c r="AM23" s="81">
        <f t="shared" si="14"/>
        <v>0.54799999999977445</v>
      </c>
      <c r="AN23" s="80">
        <f t="shared" si="18"/>
        <v>-8.9702000000045246E-2</v>
      </c>
      <c r="AO23" s="80">
        <f t="shared" si="18"/>
        <v>0.42258800000007568</v>
      </c>
      <c r="AP23" s="114">
        <f t="shared" si="15"/>
        <v>1.3102865091660599E-3</v>
      </c>
      <c r="AQ23" s="115">
        <f t="shared" si="12"/>
        <v>83.456613426191382</v>
      </c>
      <c r="AR23" s="90">
        <f t="shared" si="19"/>
        <v>0.54799999999977445</v>
      </c>
    </row>
    <row r="24" spans="1:49" ht="15.75" x14ac:dyDescent="0.25">
      <c r="A24" t="str">
        <f t="shared" si="13"/>
        <v>46214M</v>
      </c>
      <c r="B24" s="51">
        <f t="shared" si="17"/>
        <v>46214</v>
      </c>
      <c r="C24" s="99" t="s">
        <v>87</v>
      </c>
      <c r="D24" s="91">
        <v>6218</v>
      </c>
      <c r="E24" s="62">
        <v>4.45</v>
      </c>
      <c r="F24" s="62">
        <v>8.1999999999999993</v>
      </c>
      <c r="G24" s="62">
        <f t="shared" si="0"/>
        <v>276.70100000000002</v>
      </c>
      <c r="H24" s="72">
        <f t="shared" si="1"/>
        <v>509.87599999999992</v>
      </c>
      <c r="I24" s="120">
        <v>1785</v>
      </c>
      <c r="J24" s="120">
        <v>1838.55</v>
      </c>
      <c r="K24" s="120">
        <v>5.5577703081232492</v>
      </c>
      <c r="L24" s="120">
        <v>8.6635798319327719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1838.55</v>
      </c>
      <c r="S24" s="62">
        <f t="shared" si="3"/>
        <v>102.18238599999999</v>
      </c>
      <c r="T24" s="63">
        <f t="shared" si="4"/>
        <v>159.28424699999997</v>
      </c>
      <c r="U24" s="64" t="s">
        <v>167</v>
      </c>
      <c r="V24" s="65" t="s">
        <v>180</v>
      </c>
      <c r="W24" s="104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141">
        <v>8056</v>
      </c>
      <c r="AI24" s="138">
        <v>4.7</v>
      </c>
      <c r="AJ24" s="138">
        <v>8.3000000000000007</v>
      </c>
      <c r="AK24" s="62">
        <f t="shared" si="9"/>
        <v>378.63200000000001</v>
      </c>
      <c r="AL24" s="72">
        <f t="shared" si="10"/>
        <v>668.64800000000002</v>
      </c>
      <c r="AM24" s="81">
        <f t="shared" si="14"/>
        <v>0.5500000000001819</v>
      </c>
      <c r="AN24" s="80">
        <f t="shared" si="18"/>
        <v>0.25138600000002498</v>
      </c>
      <c r="AO24" s="80">
        <f t="shared" si="18"/>
        <v>0.51224699999988843</v>
      </c>
      <c r="AP24" s="114">
        <f t="shared" si="15"/>
        <v>2.9205753378095996E-3</v>
      </c>
      <c r="AQ24" s="115">
        <f t="shared" si="12"/>
        <v>274.21257093116202</v>
      </c>
      <c r="AR24" s="90">
        <f t="shared" si="19"/>
        <v>0.5500000000001819</v>
      </c>
    </row>
    <row r="25" spans="1:49" ht="15.75" x14ac:dyDescent="0.25">
      <c r="A25" t="str">
        <f t="shared" si="13"/>
        <v>46214E</v>
      </c>
      <c r="B25" s="51">
        <f t="shared" si="17"/>
        <v>46214</v>
      </c>
      <c r="C25" s="99" t="s">
        <v>88</v>
      </c>
      <c r="D25" s="91">
        <v>8056</v>
      </c>
      <c r="E25" s="62">
        <v>4.7</v>
      </c>
      <c r="F25" s="62">
        <v>8.3000000000000007</v>
      </c>
      <c r="G25" s="62">
        <f t="shared" si="0"/>
        <v>378.63200000000001</v>
      </c>
      <c r="H25" s="72">
        <f t="shared" si="1"/>
        <v>668.64800000000002</v>
      </c>
      <c r="I25" s="120">
        <v>3883.2</v>
      </c>
      <c r="J25" s="120">
        <v>3999.6959999999999</v>
      </c>
      <c r="K25" s="120">
        <v>3.9725973423980223</v>
      </c>
      <c r="L25" s="120">
        <v>7.8753399258343642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3999.6959999999999</v>
      </c>
      <c r="S25" s="62">
        <f t="shared" si="3"/>
        <v>158.891817</v>
      </c>
      <c r="T25" s="63">
        <f t="shared" si="4"/>
        <v>314.98965600000002</v>
      </c>
      <c r="U25" s="64" t="s">
        <v>210</v>
      </c>
      <c r="V25" s="65" t="s">
        <v>552</v>
      </c>
      <c r="W25" s="66" t="s">
        <v>187</v>
      </c>
      <c r="X25" s="67">
        <v>10050</v>
      </c>
      <c r="Y25" s="68">
        <v>4.5999999999999996</v>
      </c>
      <c r="Z25" s="68">
        <v>8.1999999999999993</v>
      </c>
      <c r="AA25" s="62">
        <f t="shared" si="5"/>
        <v>462.3</v>
      </c>
      <c r="AB25" s="63">
        <f t="shared" si="6"/>
        <v>824.09999999999991</v>
      </c>
      <c r="AC25" s="69">
        <v>9970</v>
      </c>
      <c r="AD25" s="70">
        <v>4.5</v>
      </c>
      <c r="AE25" s="70">
        <v>8.06</v>
      </c>
      <c r="AF25" s="62">
        <f t="shared" si="7"/>
        <v>448.65</v>
      </c>
      <c r="AG25" s="63">
        <f t="shared" si="8"/>
        <v>803.58199999999999</v>
      </c>
      <c r="AH25" s="141">
        <v>2006</v>
      </c>
      <c r="AI25" s="138">
        <v>4.47</v>
      </c>
      <c r="AJ25" s="138">
        <v>8.17</v>
      </c>
      <c r="AK25" s="62">
        <f t="shared" si="9"/>
        <v>89.668199999999999</v>
      </c>
      <c r="AL25" s="72">
        <f t="shared" si="10"/>
        <v>163.89019999999999</v>
      </c>
      <c r="AM25" s="81">
        <f t="shared" si="14"/>
        <v>79.695999999999913</v>
      </c>
      <c r="AN25" s="80">
        <f t="shared" si="18"/>
        <v>-0.79438299999996786</v>
      </c>
      <c r="AO25" s="80">
        <f t="shared" si="18"/>
        <v>16.16545600000012</v>
      </c>
      <c r="AP25" s="114">
        <f t="shared" si="15"/>
        <v>3.2436535032041969E-2</v>
      </c>
      <c r="AQ25" s="115">
        <f t="shared" si="12"/>
        <v>4459.683273022265</v>
      </c>
      <c r="AR25" s="90">
        <f t="shared" si="19"/>
        <v>-0.30400000000008731</v>
      </c>
    </row>
    <row r="26" spans="1:49" ht="15.75" x14ac:dyDescent="0.25">
      <c r="A26" t="str">
        <f t="shared" si="13"/>
        <v>46215M</v>
      </c>
      <c r="B26" s="51">
        <f t="shared" si="17"/>
        <v>46215</v>
      </c>
      <c r="C26" s="99" t="s">
        <v>87</v>
      </c>
      <c r="D26" s="91">
        <v>2006</v>
      </c>
      <c r="E26" s="62">
        <v>4.47</v>
      </c>
      <c r="F26" s="62">
        <v>8.17</v>
      </c>
      <c r="G26" s="62">
        <f t="shared" si="0"/>
        <v>89.668199999999999</v>
      </c>
      <c r="H26" s="72">
        <f t="shared" si="1"/>
        <v>163.89019999999999</v>
      </c>
      <c r="I26" s="120">
        <v>2873.2</v>
      </c>
      <c r="J26" s="120">
        <v>2959.3959999999997</v>
      </c>
      <c r="K26" s="120">
        <v>5.0928094111095632</v>
      </c>
      <c r="L26" s="120">
        <v>8.5559063065571479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2959.3959999999997</v>
      </c>
      <c r="S26" s="62">
        <f t="shared" si="3"/>
        <v>150.71639799999997</v>
      </c>
      <c r="T26" s="63">
        <f t="shared" si="4"/>
        <v>253.20314899999997</v>
      </c>
      <c r="U26" s="64" t="s">
        <v>167</v>
      </c>
      <c r="V26" s="65" t="s">
        <v>167</v>
      </c>
      <c r="W26" s="138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141">
        <v>4965</v>
      </c>
      <c r="AI26" s="138">
        <v>4.8499999999999996</v>
      </c>
      <c r="AJ26" s="138">
        <v>8.43</v>
      </c>
      <c r="AK26" s="62">
        <f t="shared" si="9"/>
        <v>240.80249999999998</v>
      </c>
      <c r="AL26" s="72">
        <f t="shared" si="10"/>
        <v>418.54950000000002</v>
      </c>
      <c r="AM26" s="81">
        <f t="shared" si="14"/>
        <v>0.39599999999973079</v>
      </c>
      <c r="AN26" s="80">
        <f t="shared" si="18"/>
        <v>-0.417901999999998</v>
      </c>
      <c r="AO26" s="80">
        <f t="shared" si="18"/>
        <v>-1.4561510000000339</v>
      </c>
      <c r="AP26" s="114">
        <f t="shared" si="15"/>
        <v>-4.6396689982424449E-3</v>
      </c>
      <c r="AQ26" s="115">
        <f t="shared" si="12"/>
        <v>-636.91977331602266</v>
      </c>
      <c r="AR26" s="90">
        <f t="shared" si="19"/>
        <v>0.39599999999973079</v>
      </c>
    </row>
    <row r="27" spans="1:49" ht="15.75" x14ac:dyDescent="0.25">
      <c r="A27" t="str">
        <f t="shared" si="13"/>
        <v>46215E</v>
      </c>
      <c r="B27" s="51">
        <f t="shared" si="17"/>
        <v>46215</v>
      </c>
      <c r="C27" s="99" t="s">
        <v>88</v>
      </c>
      <c r="D27" s="91">
        <v>4965</v>
      </c>
      <c r="E27" s="62">
        <v>4.8499999999999996</v>
      </c>
      <c r="F27" s="62">
        <v>8.43</v>
      </c>
      <c r="G27" s="62">
        <f t="shared" si="0"/>
        <v>240.80249999999998</v>
      </c>
      <c r="H27" s="72">
        <f t="shared" si="1"/>
        <v>418.54950000000002</v>
      </c>
      <c r="I27" s="120">
        <v>1645.2000000000003</v>
      </c>
      <c r="J27" s="120">
        <v>1694.5560000000003</v>
      </c>
      <c r="K27" s="120">
        <v>4.1438183807439826</v>
      </c>
      <c r="L27" s="120">
        <v>8.3119499149039644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1694.5560000000003</v>
      </c>
      <c r="S27" s="62">
        <f t="shared" si="3"/>
        <v>70.219323000000017</v>
      </c>
      <c r="T27" s="63">
        <f t="shared" si="4"/>
        <v>140.85064600000004</v>
      </c>
      <c r="U27" s="64" t="s">
        <v>167</v>
      </c>
      <c r="V27" s="65" t="s">
        <v>167</v>
      </c>
      <c r="W27" s="104">
        <v>0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141">
        <v>6659</v>
      </c>
      <c r="AI27" s="138">
        <v>4.66</v>
      </c>
      <c r="AJ27" s="138">
        <v>8.4</v>
      </c>
      <c r="AK27" s="62">
        <f t="shared" si="9"/>
        <v>310.30940000000004</v>
      </c>
      <c r="AL27" s="72">
        <f t="shared" si="10"/>
        <v>559.35599999999999</v>
      </c>
      <c r="AM27" s="81">
        <f t="shared" si="14"/>
        <v>0.55600000000049477</v>
      </c>
      <c r="AN27" s="80">
        <f t="shared" si="18"/>
        <v>0.7124229999999443</v>
      </c>
      <c r="AO27" s="80">
        <f t="shared" si="18"/>
        <v>4.4146000000068852E-2</v>
      </c>
      <c r="AP27" s="114">
        <f t="shared" si="15"/>
        <v>3.5844464448659338E-3</v>
      </c>
      <c r="AQ27" s="115">
        <f t="shared" si="12"/>
        <v>355.56377231193886</v>
      </c>
      <c r="AR27" s="90">
        <f>(D27+J27+O27)-(X27+AH27)</f>
        <v>0.55600000000049477</v>
      </c>
    </row>
    <row r="28" spans="1:49" ht="15.75" x14ac:dyDescent="0.25">
      <c r="A28" t="str">
        <f t="shared" si="13"/>
        <v>46216M</v>
      </c>
      <c r="B28" s="51">
        <f t="shared" si="17"/>
        <v>46216</v>
      </c>
      <c r="C28" s="99" t="s">
        <v>87</v>
      </c>
      <c r="D28" s="91">
        <v>6659</v>
      </c>
      <c r="E28" s="62">
        <v>4.66</v>
      </c>
      <c r="F28" s="62">
        <v>8.4</v>
      </c>
      <c r="G28" s="62">
        <f t="shared" si="0"/>
        <v>310.30940000000004</v>
      </c>
      <c r="H28" s="72">
        <f t="shared" si="1"/>
        <v>559.35599999999999</v>
      </c>
      <c r="I28" s="120">
        <v>4289.3</v>
      </c>
      <c r="J28" s="120">
        <v>4417.9790000000003</v>
      </c>
      <c r="K28" s="120">
        <v>4.1448697922737976</v>
      </c>
      <c r="L28" s="120">
        <v>7.9822302007320545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4417.9790000000003</v>
      </c>
      <c r="S28" s="62">
        <f t="shared" si="3"/>
        <v>183.11947700000002</v>
      </c>
      <c r="T28" s="63">
        <f t="shared" si="4"/>
        <v>352.65325400000006</v>
      </c>
      <c r="U28" s="64" t="s">
        <v>210</v>
      </c>
      <c r="V28" s="65" t="s">
        <v>553</v>
      </c>
      <c r="W28" s="138" t="s">
        <v>243</v>
      </c>
      <c r="X28" s="67">
        <v>10050</v>
      </c>
      <c r="Y28" s="68">
        <v>4.45</v>
      </c>
      <c r="Z28" s="68">
        <v>8.17</v>
      </c>
      <c r="AA28" s="62">
        <f t="shared" si="5"/>
        <v>447.22500000000002</v>
      </c>
      <c r="AB28" s="63">
        <f t="shared" si="6"/>
        <v>821.08499999999992</v>
      </c>
      <c r="AC28" s="69">
        <v>10080</v>
      </c>
      <c r="AD28" s="70">
        <v>4.3468253968253974</v>
      </c>
      <c r="AE28" s="70">
        <v>8.1493650793650794</v>
      </c>
      <c r="AF28" s="62">
        <f t="shared" si="7"/>
        <v>438.16000000000008</v>
      </c>
      <c r="AG28" s="63">
        <f t="shared" si="8"/>
        <v>821.45600000000002</v>
      </c>
      <c r="AH28" s="141">
        <v>1027</v>
      </c>
      <c r="AI28" s="138">
        <v>4.4400000000000004</v>
      </c>
      <c r="AJ28" s="138">
        <v>8.24</v>
      </c>
      <c r="AK28" s="62">
        <f t="shared" si="9"/>
        <v>45.598800000000004</v>
      </c>
      <c r="AL28" s="72">
        <f t="shared" si="10"/>
        <v>84.624800000000008</v>
      </c>
      <c r="AM28" s="81">
        <f t="shared" si="14"/>
        <v>-30.02100000000064</v>
      </c>
      <c r="AN28" s="80">
        <f t="shared" si="18"/>
        <v>9.6700769999999707</v>
      </c>
      <c r="AO28" s="80">
        <f t="shared" si="18"/>
        <v>5.9284540000000305</v>
      </c>
      <c r="AP28" s="114">
        <f t="shared" si="15"/>
        <v>2.911408158247606E-2</v>
      </c>
      <c r="AQ28" s="115">
        <f t="shared" si="12"/>
        <v>6422.3059198148612</v>
      </c>
      <c r="AR28" s="90">
        <f>(D28+J28+O28)-(X28+AH28)</f>
        <v>-2.1000000000640284E-2</v>
      </c>
    </row>
    <row r="29" spans="1:49" ht="15.75" x14ac:dyDescent="0.25">
      <c r="A29" t="str">
        <f t="shared" si="13"/>
        <v>46216E</v>
      </c>
      <c r="B29" s="51">
        <f t="shared" si="17"/>
        <v>46216</v>
      </c>
      <c r="C29" s="99" t="s">
        <v>88</v>
      </c>
      <c r="D29" s="91">
        <v>1027</v>
      </c>
      <c r="E29" s="62">
        <v>4.4400000000000004</v>
      </c>
      <c r="F29" s="62">
        <v>8.24</v>
      </c>
      <c r="G29" s="62">
        <f t="shared" si="0"/>
        <v>45.598800000000004</v>
      </c>
      <c r="H29" s="72">
        <f t="shared" si="1"/>
        <v>84.624800000000008</v>
      </c>
      <c r="I29" s="120">
        <v>2233.7000000000007</v>
      </c>
      <c r="J29" s="120">
        <v>2300.7110000000007</v>
      </c>
      <c r="K29" s="120">
        <v>4.8544746384921869</v>
      </c>
      <c r="L29" s="120">
        <v>8.2862156959305189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2300.7110000000007</v>
      </c>
      <c r="S29" s="62">
        <f t="shared" si="3"/>
        <v>111.68743200000002</v>
      </c>
      <c r="T29" s="63">
        <f t="shared" si="4"/>
        <v>190.64187600000005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141">
        <v>3328</v>
      </c>
      <c r="AI29" s="138">
        <v>4.76</v>
      </c>
      <c r="AJ29" s="138">
        <v>8.2799999999999994</v>
      </c>
      <c r="AK29" s="62">
        <f t="shared" si="9"/>
        <v>158.41279999999998</v>
      </c>
      <c r="AL29" s="72">
        <f t="shared" si="10"/>
        <v>275.55840000000001</v>
      </c>
      <c r="AM29" s="81">
        <f t="shared" si="14"/>
        <v>-0.28899999999930515</v>
      </c>
      <c r="AN29" s="80">
        <f t="shared" si="18"/>
        <v>-1.1265679999999634</v>
      </c>
      <c r="AO29" s="80">
        <f t="shared" si="18"/>
        <v>-0.29172399999993104</v>
      </c>
      <c r="AP29" s="114">
        <f t="shared" si="15"/>
        <v>-4.6912157123711407E-3</v>
      </c>
      <c r="AQ29" s="115">
        <f t="shared" si="12"/>
        <v>-628.72133068547691</v>
      </c>
      <c r="AR29" s="90">
        <f t="shared" si="19"/>
        <v>-0.28899999999930515</v>
      </c>
    </row>
    <row r="30" spans="1:49" ht="15.75" x14ac:dyDescent="0.25">
      <c r="A30" t="str">
        <f t="shared" si="13"/>
        <v>46217M</v>
      </c>
      <c r="B30" s="51">
        <f t="shared" si="17"/>
        <v>46217</v>
      </c>
      <c r="C30" s="99" t="s">
        <v>87</v>
      </c>
      <c r="D30" s="91">
        <v>3328</v>
      </c>
      <c r="E30" s="62">
        <v>4.76</v>
      </c>
      <c r="F30" s="62">
        <v>8.2799999999999994</v>
      </c>
      <c r="G30" s="62">
        <f t="shared" si="0"/>
        <v>158.41279999999998</v>
      </c>
      <c r="H30" s="72">
        <f t="shared" si="1"/>
        <v>275.55840000000001</v>
      </c>
      <c r="I30" s="120">
        <v>2907.2</v>
      </c>
      <c r="J30" s="120">
        <v>2994.4159999999997</v>
      </c>
      <c r="K30" s="120">
        <v>5.5196580902586696</v>
      </c>
      <c r="L30" s="120">
        <v>8.643457622454596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2994.4159999999997</v>
      </c>
      <c r="S30" s="62">
        <f t="shared" si="3"/>
        <v>165.28152500000002</v>
      </c>
      <c r="T30" s="63">
        <f t="shared" si="4"/>
        <v>258.821078</v>
      </c>
      <c r="U30" s="64" t="s">
        <v>167</v>
      </c>
      <c r="V30" s="65" t="s">
        <v>167</v>
      </c>
      <c r="W30" s="138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141">
        <v>6322</v>
      </c>
      <c r="AI30" s="138">
        <v>5.0999999999999996</v>
      </c>
      <c r="AJ30" s="138">
        <v>8.43</v>
      </c>
      <c r="AK30" s="62">
        <f t="shared" si="9"/>
        <v>322.42199999999997</v>
      </c>
      <c r="AL30" s="72">
        <f t="shared" si="10"/>
        <v>532.94460000000004</v>
      </c>
      <c r="AM30" s="81">
        <f t="shared" si="14"/>
        <v>0.41599999999925785</v>
      </c>
      <c r="AN30" s="80">
        <f t="shared" si="18"/>
        <v>1.2723250000000235</v>
      </c>
      <c r="AO30" s="80">
        <f t="shared" si="18"/>
        <v>1.4348780000000261</v>
      </c>
      <c r="AP30" s="114">
        <f t="shared" si="15"/>
        <v>6.383368036060013E-3</v>
      </c>
      <c r="AQ30" s="115">
        <f t="shared" si="12"/>
        <v>1041.1267591137889</v>
      </c>
      <c r="AR30" s="90">
        <f t="shared" si="19"/>
        <v>0.41599999999925785</v>
      </c>
    </row>
    <row r="31" spans="1:49" ht="15.75" x14ac:dyDescent="0.25">
      <c r="A31" t="str">
        <f t="shared" si="13"/>
        <v>46217E</v>
      </c>
      <c r="B31" s="51">
        <f t="shared" si="17"/>
        <v>46217</v>
      </c>
      <c r="C31" s="99" t="s">
        <v>88</v>
      </c>
      <c r="D31" s="91">
        <v>6322</v>
      </c>
      <c r="E31" s="62">
        <v>5.0999999999999996</v>
      </c>
      <c r="F31" s="62">
        <v>8.43</v>
      </c>
      <c r="G31" s="62">
        <f t="shared" si="0"/>
        <v>322.42199999999997</v>
      </c>
      <c r="H31" s="72">
        <f t="shared" si="1"/>
        <v>532.94460000000004</v>
      </c>
      <c r="I31" s="120">
        <v>1696.8999999999996</v>
      </c>
      <c r="J31" s="120">
        <v>1747.8069999999996</v>
      </c>
      <c r="K31" s="120">
        <v>4.1541988331663626</v>
      </c>
      <c r="L31" s="120">
        <v>8.2037421179798447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1747.8069999999996</v>
      </c>
      <c r="S31" s="62">
        <f t="shared" si="3"/>
        <v>72.607377999999997</v>
      </c>
      <c r="T31" s="63">
        <f t="shared" si="4"/>
        <v>143.38557899999995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141">
        <v>8070</v>
      </c>
      <c r="AI31" s="138">
        <v>4.9000000000000004</v>
      </c>
      <c r="AJ31" s="138">
        <v>8.3800000000000008</v>
      </c>
      <c r="AK31" s="62">
        <f t="shared" si="9"/>
        <v>395.43</v>
      </c>
      <c r="AL31" s="72">
        <f t="shared" si="10"/>
        <v>676.26600000000008</v>
      </c>
      <c r="AM31" s="81">
        <f t="shared" si="14"/>
        <v>-0.193000000000211</v>
      </c>
      <c r="AN31" s="80">
        <f t="shared" si="18"/>
        <v>-0.40062200000005532</v>
      </c>
      <c r="AO31" s="80">
        <f t="shared" si="18"/>
        <v>6.4178999999967346E-2</v>
      </c>
      <c r="AP31" s="114">
        <f t="shared" si="15"/>
        <v>-1.5576572712048572E-3</v>
      </c>
      <c r="AQ31" s="115">
        <f t="shared" si="12"/>
        <v>-173.29087066842743</v>
      </c>
      <c r="AR31" s="90">
        <f t="shared" si="19"/>
        <v>-0.193000000000211</v>
      </c>
    </row>
    <row r="32" spans="1:49" ht="15.75" x14ac:dyDescent="0.25">
      <c r="A32" t="str">
        <f t="shared" si="13"/>
        <v>46218M</v>
      </c>
      <c r="B32" s="51">
        <f t="shared" si="17"/>
        <v>46218</v>
      </c>
      <c r="C32" s="99" t="s">
        <v>87</v>
      </c>
      <c r="D32" s="91">
        <v>8070</v>
      </c>
      <c r="E32" s="62">
        <v>4.9000000000000004</v>
      </c>
      <c r="F32" s="62">
        <v>8.3800000000000008</v>
      </c>
      <c r="G32" s="62">
        <f t="shared" si="0"/>
        <v>395.43</v>
      </c>
      <c r="H32" s="72">
        <f t="shared" si="1"/>
        <v>676.26600000000008</v>
      </c>
      <c r="I32" s="120">
        <v>2206.1</v>
      </c>
      <c r="J32" s="120">
        <v>2272.2829999999999</v>
      </c>
      <c r="K32" s="120">
        <v>5.1882779565749511</v>
      </c>
      <c r="L32" s="120">
        <v>8.5780336340147763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2272.2829999999999</v>
      </c>
      <c r="S32" s="62">
        <f t="shared" si="3"/>
        <v>117.892358</v>
      </c>
      <c r="T32" s="63">
        <f t="shared" si="4"/>
        <v>194.91719999999995</v>
      </c>
      <c r="U32" s="64" t="s">
        <v>210</v>
      </c>
      <c r="V32" s="65" t="s">
        <v>590</v>
      </c>
      <c r="W32" s="104" t="s">
        <v>243</v>
      </c>
      <c r="X32" s="67">
        <v>9830</v>
      </c>
      <c r="Y32" s="68">
        <v>4.63</v>
      </c>
      <c r="Z32" s="68">
        <v>8.2100000000000009</v>
      </c>
      <c r="AA32" s="62">
        <f t="shared" si="5"/>
        <v>455.12900000000002</v>
      </c>
      <c r="AB32" s="63">
        <f t="shared" si="6"/>
        <v>807.04300000000001</v>
      </c>
      <c r="AC32" s="224">
        <v>9830</v>
      </c>
      <c r="AD32" s="223">
        <v>4.63</v>
      </c>
      <c r="AE32" s="223">
        <v>8.2100000000000009</v>
      </c>
      <c r="AF32" s="62">
        <f t="shared" si="7"/>
        <v>455.12900000000002</v>
      </c>
      <c r="AG32" s="63">
        <f t="shared" si="8"/>
        <v>807.04300000000001</v>
      </c>
      <c r="AH32" s="141">
        <v>512</v>
      </c>
      <c r="AI32" s="138">
        <v>4.97</v>
      </c>
      <c r="AJ32" s="138">
        <v>8.43</v>
      </c>
      <c r="AK32" s="62">
        <f t="shared" si="9"/>
        <v>25.446399999999997</v>
      </c>
      <c r="AL32" s="72">
        <f t="shared" si="10"/>
        <v>43.1616</v>
      </c>
      <c r="AM32" s="81">
        <f t="shared" si="14"/>
        <v>0.28299999999944703</v>
      </c>
      <c r="AN32" s="80">
        <f t="shared" si="18"/>
        <v>32.746957999999992</v>
      </c>
      <c r="AO32" s="80">
        <f t="shared" si="18"/>
        <v>20.97860000000005</v>
      </c>
      <c r="AP32" s="114">
        <f t="shared" si="15"/>
        <v>0.17175165088785443</v>
      </c>
      <c r="AQ32" s="115">
        <f t="shared" si="12"/>
        <v>22018.883053215519</v>
      </c>
      <c r="AR32" s="90">
        <f t="shared" si="19"/>
        <v>0.28299999999944703</v>
      </c>
    </row>
    <row r="33" spans="1:49" ht="15.75" x14ac:dyDescent="0.25">
      <c r="A33" t="str">
        <f t="shared" si="13"/>
        <v>46218E</v>
      </c>
      <c r="B33" s="51">
        <f t="shared" si="17"/>
        <v>46218</v>
      </c>
      <c r="C33" s="99" t="s">
        <v>88</v>
      </c>
      <c r="D33" s="91">
        <v>512</v>
      </c>
      <c r="E33" s="62">
        <v>4.97</v>
      </c>
      <c r="F33" s="62">
        <v>8.43</v>
      </c>
      <c r="G33" s="62">
        <f t="shared" si="0"/>
        <v>25.446399999999997</v>
      </c>
      <c r="H33" s="72">
        <f t="shared" si="1"/>
        <v>43.1616</v>
      </c>
      <c r="I33" s="120">
        <v>2532.3000000000002</v>
      </c>
      <c r="J33" s="120">
        <v>2608.2690000000002</v>
      </c>
      <c r="K33" s="120">
        <v>4.864700075030604</v>
      </c>
      <c r="L33" s="120">
        <v>8.3362200371204036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2608.2690000000002</v>
      </c>
      <c r="S33" s="62">
        <f t="shared" si="3"/>
        <v>126.88446400000001</v>
      </c>
      <c r="T33" s="63">
        <f t="shared" si="4"/>
        <v>217.43104299999999</v>
      </c>
      <c r="U33" s="64" t="s">
        <v>167</v>
      </c>
      <c r="V33" s="65" t="s">
        <v>167</v>
      </c>
      <c r="W33" s="138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141">
        <v>3120</v>
      </c>
      <c r="AI33" s="138">
        <v>4.9000000000000004</v>
      </c>
      <c r="AJ33" s="138">
        <v>8.32</v>
      </c>
      <c r="AK33" s="62">
        <f t="shared" si="9"/>
        <v>152.88</v>
      </c>
      <c r="AL33" s="72">
        <f t="shared" si="10"/>
        <v>259.584</v>
      </c>
      <c r="AM33" s="81">
        <f t="shared" si="14"/>
        <v>0.26900000000023283</v>
      </c>
      <c r="AN33" s="80">
        <f t="shared" si="18"/>
        <v>-0.54913599999997587</v>
      </c>
      <c r="AO33" s="80">
        <f t="shared" si="18"/>
        <v>1.0086430000000064</v>
      </c>
      <c r="AP33" s="114">
        <f t="shared" si="15"/>
        <v>1.3345521495784112E-3</v>
      </c>
      <c r="AQ33" s="115">
        <f t="shared" si="12"/>
        <v>38.201878630575152</v>
      </c>
      <c r="AR33" s="90">
        <f t="shared" si="19"/>
        <v>0.26900000000023283</v>
      </c>
    </row>
    <row r="34" spans="1:49" ht="15.75" x14ac:dyDescent="0.25">
      <c r="A34" t="str">
        <f t="shared" si="13"/>
        <v>46219M</v>
      </c>
      <c r="B34" s="51">
        <f t="shared" si="17"/>
        <v>46219</v>
      </c>
      <c r="C34" s="99" t="s">
        <v>87</v>
      </c>
      <c r="D34" s="91">
        <v>3120</v>
      </c>
      <c r="E34" s="62">
        <v>4.9000000000000004</v>
      </c>
      <c r="F34" s="62">
        <v>8.32</v>
      </c>
      <c r="G34" s="62">
        <f t="shared" si="0"/>
        <v>152.88</v>
      </c>
      <c r="H34" s="72">
        <f t="shared" si="1"/>
        <v>259.584</v>
      </c>
      <c r="I34" s="120">
        <v>3078.3999999999996</v>
      </c>
      <c r="J34" s="120">
        <v>3170.7519999999995</v>
      </c>
      <c r="K34" s="120">
        <v>5.2001007016632013</v>
      </c>
      <c r="L34" s="120">
        <v>8.4325591216216207</v>
      </c>
      <c r="M34" s="58" t="s">
        <v>151</v>
      </c>
      <c r="N34" s="58" t="s">
        <v>589</v>
      </c>
      <c r="O34" s="59">
        <v>9830</v>
      </c>
      <c r="P34" s="56">
        <v>4.63</v>
      </c>
      <c r="Q34" s="60">
        <v>8.2100000000000009</v>
      </c>
      <c r="R34" s="61">
        <f t="shared" si="2"/>
        <v>13000.752</v>
      </c>
      <c r="S34" s="62">
        <f t="shared" si="3"/>
        <v>620.01129700000001</v>
      </c>
      <c r="T34" s="63">
        <f t="shared" si="4"/>
        <v>1074.418537</v>
      </c>
      <c r="U34" s="64" t="s">
        <v>210</v>
      </c>
      <c r="V34" s="65" t="s">
        <v>591</v>
      </c>
      <c r="W34" s="104" t="s">
        <v>187</v>
      </c>
      <c r="X34" s="67">
        <v>10000</v>
      </c>
      <c r="Y34" s="68">
        <v>4.6500000000000004</v>
      </c>
      <c r="Z34" s="68">
        <v>8.2100000000000009</v>
      </c>
      <c r="AA34" s="62">
        <f t="shared" si="5"/>
        <v>465.00000000000006</v>
      </c>
      <c r="AB34" s="63">
        <f t="shared" si="6"/>
        <v>821.00000000000011</v>
      </c>
      <c r="AC34" s="69">
        <v>9950</v>
      </c>
      <c r="AD34" s="70">
        <v>4.6041206030150752</v>
      </c>
      <c r="AE34" s="70">
        <v>7.802060301507538</v>
      </c>
      <c r="AF34" s="62">
        <f t="shared" si="7"/>
        <v>458.10999999999996</v>
      </c>
      <c r="AG34" s="63">
        <f t="shared" si="8"/>
        <v>776.30500000000006</v>
      </c>
      <c r="AH34" s="141">
        <v>6121</v>
      </c>
      <c r="AI34" s="138">
        <v>5</v>
      </c>
      <c r="AJ34" s="138">
        <v>8.36</v>
      </c>
      <c r="AK34" s="62">
        <f t="shared" si="9"/>
        <v>306.05</v>
      </c>
      <c r="AL34" s="72">
        <f t="shared" si="10"/>
        <v>511.71559999999994</v>
      </c>
      <c r="AM34" s="81">
        <f t="shared" si="14"/>
        <v>49.752000000000407</v>
      </c>
      <c r="AN34" s="80">
        <f t="shared" si="18"/>
        <v>8.7312970000000405</v>
      </c>
      <c r="AO34" s="80">
        <f t="shared" si="18"/>
        <v>45.981937000000073</v>
      </c>
      <c r="AP34" s="114">
        <f t="shared" si="15"/>
        <v>3.2290055865482427E-2</v>
      </c>
      <c r="AQ34" s="115">
        <f t="shared" si="12"/>
        <v>17966.853157806756</v>
      </c>
      <c r="AR34" s="90">
        <f t="shared" si="19"/>
        <v>-0.24799999999959255</v>
      </c>
    </row>
    <row r="35" spans="1:49" ht="15.75" x14ac:dyDescent="0.25">
      <c r="A35" t="str">
        <f t="shared" si="13"/>
        <v>46219E</v>
      </c>
      <c r="B35" s="51">
        <f t="shared" si="17"/>
        <v>46219</v>
      </c>
      <c r="C35" s="99" t="s">
        <v>88</v>
      </c>
      <c r="D35" s="91">
        <v>6121</v>
      </c>
      <c r="E35" s="62">
        <v>5</v>
      </c>
      <c r="F35" s="62">
        <v>8.36</v>
      </c>
      <c r="G35" s="62">
        <f t="shared" si="0"/>
        <v>306.05</v>
      </c>
      <c r="H35" s="72">
        <f t="shared" si="1"/>
        <v>511.71559999999994</v>
      </c>
      <c r="I35" s="120">
        <v>2565.6999999999998</v>
      </c>
      <c r="J35" s="120">
        <v>2642.6709999999998</v>
      </c>
      <c r="K35" s="120">
        <v>4.7633667225318623</v>
      </c>
      <c r="L35" s="120">
        <v>8.2654402307362513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2642.6709999999998</v>
      </c>
      <c r="S35" s="62">
        <f t="shared" si="3"/>
        <v>125.88011099999999</v>
      </c>
      <c r="T35" s="63">
        <f t="shared" si="4"/>
        <v>218.42839199999997</v>
      </c>
      <c r="U35" s="64" t="s">
        <v>311</v>
      </c>
      <c r="V35" s="65" t="s">
        <v>592</v>
      </c>
      <c r="W35" s="104" t="s">
        <v>181</v>
      </c>
      <c r="X35" s="67">
        <v>4850</v>
      </c>
      <c r="Y35" s="68">
        <v>5</v>
      </c>
      <c r="Z35" s="68">
        <v>8.34</v>
      </c>
      <c r="AA35" s="62">
        <f t="shared" si="5"/>
        <v>242.5</v>
      </c>
      <c r="AB35" s="63">
        <f t="shared" si="6"/>
        <v>404.49</v>
      </c>
      <c r="AC35" s="69">
        <v>4860</v>
      </c>
      <c r="AD35" s="70">
        <v>4.95</v>
      </c>
      <c r="AE35" s="70">
        <v>8.27</v>
      </c>
      <c r="AF35" s="62">
        <f t="shared" si="7"/>
        <v>240.57000000000002</v>
      </c>
      <c r="AG35" s="63">
        <f t="shared" si="8"/>
        <v>401.92199999999997</v>
      </c>
      <c r="AH35" s="141">
        <v>5150</v>
      </c>
      <c r="AI35" s="138">
        <v>5.0999999999999996</v>
      </c>
      <c r="AJ35" s="138">
        <v>8.3800000000000008</v>
      </c>
      <c r="AK35" s="62">
        <f t="shared" si="9"/>
        <v>262.64999999999998</v>
      </c>
      <c r="AL35" s="72">
        <f t="shared" si="10"/>
        <v>431.57000000000005</v>
      </c>
      <c r="AM35" s="81">
        <f t="shared" si="14"/>
        <v>-1246.3289999999997</v>
      </c>
      <c r="AN35" s="80">
        <f t="shared" si="18"/>
        <v>-71.289888999999988</v>
      </c>
      <c r="AO35" s="80">
        <f t="shared" si="18"/>
        <v>-103.34800800000011</v>
      </c>
      <c r="AP35" s="114">
        <f t="shared" si="15"/>
        <v>-0.50721343062503488</v>
      </c>
      <c r="AQ35" s="115">
        <f t="shared" si="12"/>
        <v>-65208.920234789213</v>
      </c>
      <c r="AR35" s="90">
        <f t="shared" si="19"/>
        <v>-1236.3289999999997</v>
      </c>
      <c r="AS35" s="90">
        <f>SUM(J22:J35)</f>
        <v>40425.234000000004</v>
      </c>
      <c r="AT35" s="83">
        <f>SUM(AM22:AM35)</f>
        <v>-1044.7660000000001</v>
      </c>
      <c r="AU35" s="83">
        <f>SUM(AN22:AN35)</f>
        <v>-0.18487500000006207</v>
      </c>
      <c r="AV35" s="83">
        <f>SUM(AO22:AO35)</f>
        <v>3.8330810000003908</v>
      </c>
      <c r="AW35" s="83">
        <f>-SUM(AQ22:AQ35)</f>
        <v>-1059.1351809337357</v>
      </c>
    </row>
    <row r="36" spans="1:49" ht="15.75" x14ac:dyDescent="0.25">
      <c r="A36" t="str">
        <f t="shared" si="13"/>
        <v>46220M</v>
      </c>
      <c r="B36" s="51">
        <f t="shared" si="17"/>
        <v>46220</v>
      </c>
      <c r="C36" s="99" t="s">
        <v>87</v>
      </c>
      <c r="D36" s="91">
        <v>5150</v>
      </c>
      <c r="E36" s="62">
        <v>5.0999999999999996</v>
      </c>
      <c r="F36" s="62">
        <v>8.3800000000000008</v>
      </c>
      <c r="G36" s="62">
        <f t="shared" si="0"/>
        <v>262.64999999999998</v>
      </c>
      <c r="H36" s="72">
        <f t="shared" si="1"/>
        <v>431.57000000000005</v>
      </c>
      <c r="I36" s="120">
        <v>2602.0000000000005</v>
      </c>
      <c r="J36" s="120">
        <v>2680.0600000000004</v>
      </c>
      <c r="K36" s="120">
        <v>5.210657186779402</v>
      </c>
      <c r="L36" s="120">
        <v>8.3839085318985394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2680.0600000000004</v>
      </c>
      <c r="S36" s="62">
        <f t="shared" si="3"/>
        <v>139.64873900000006</v>
      </c>
      <c r="T36" s="63">
        <f t="shared" si="4"/>
        <v>224.69377900000001</v>
      </c>
      <c r="U36" s="64" t="s">
        <v>210</v>
      </c>
      <c r="V36" s="85" t="s">
        <v>719</v>
      </c>
      <c r="W36" s="104" t="s">
        <v>181</v>
      </c>
      <c r="X36" s="67">
        <v>4850</v>
      </c>
      <c r="Y36" s="68">
        <v>4.95</v>
      </c>
      <c r="Z36" s="68">
        <v>8.4</v>
      </c>
      <c r="AA36" s="62">
        <f t="shared" si="5"/>
        <v>240.07500000000002</v>
      </c>
      <c r="AB36" s="63">
        <f t="shared" si="6"/>
        <v>407.40000000000003</v>
      </c>
      <c r="AC36" s="69">
        <v>4820</v>
      </c>
      <c r="AD36" s="70">
        <v>4.9000000000000004</v>
      </c>
      <c r="AE36" s="70">
        <v>8.14</v>
      </c>
      <c r="AF36" s="62">
        <f t="shared" si="7"/>
        <v>236.18</v>
      </c>
      <c r="AG36" s="63">
        <f t="shared" si="8"/>
        <v>392.34800000000001</v>
      </c>
      <c r="AH36" s="141">
        <v>2980</v>
      </c>
      <c r="AI36" s="138">
        <v>5.13</v>
      </c>
      <c r="AJ36" s="138">
        <v>8.39</v>
      </c>
      <c r="AK36" s="62">
        <f t="shared" si="9"/>
        <v>152.874</v>
      </c>
      <c r="AL36" s="72">
        <f t="shared" si="10"/>
        <v>250.02200000000002</v>
      </c>
      <c r="AM36" s="81">
        <f t="shared" si="14"/>
        <v>30.0600000000004</v>
      </c>
      <c r="AN36" s="80">
        <f t="shared" si="18"/>
        <v>13.244739000000067</v>
      </c>
      <c r="AO36" s="80">
        <f t="shared" si="18"/>
        <v>13.89377900000008</v>
      </c>
      <c r="AP36" s="114">
        <f t="shared" si="15"/>
        <v>7.4486277772280604E-2</v>
      </c>
      <c r="AQ36" s="115">
        <f t="shared" si="12"/>
        <v>10525.591279392145</v>
      </c>
      <c r="AR36" s="90">
        <f t="shared" si="19"/>
        <v>6.0000000000400178E-2</v>
      </c>
    </row>
    <row r="37" spans="1:49" ht="15.75" x14ac:dyDescent="0.25">
      <c r="A37" t="str">
        <f t="shared" si="13"/>
        <v>46220E</v>
      </c>
      <c r="B37" s="51">
        <f t="shared" si="17"/>
        <v>46220</v>
      </c>
      <c r="C37" s="99" t="s">
        <v>88</v>
      </c>
      <c r="D37" s="91">
        <v>2980</v>
      </c>
      <c r="E37" s="62">
        <v>5.13</v>
      </c>
      <c r="F37" s="62">
        <v>8.39</v>
      </c>
      <c r="G37" s="62">
        <f t="shared" si="0"/>
        <v>152.874</v>
      </c>
      <c r="H37" s="72">
        <f t="shared" si="1"/>
        <v>250.02200000000002</v>
      </c>
      <c r="I37" s="120">
        <v>1751.8000000000002</v>
      </c>
      <c r="J37" s="120">
        <v>1804.3540000000003</v>
      </c>
      <c r="K37" s="120">
        <v>4.2402157780568555</v>
      </c>
      <c r="L37" s="120">
        <v>8.0606062335883077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1804.3540000000003</v>
      </c>
      <c r="S37" s="62">
        <f t="shared" si="3"/>
        <v>76.508503000000005</v>
      </c>
      <c r="T37" s="63">
        <f t="shared" si="4"/>
        <v>145.44187099999999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141">
        <v>4784</v>
      </c>
      <c r="AI37" s="138">
        <v>4.78</v>
      </c>
      <c r="AJ37" s="138">
        <v>8.2799999999999994</v>
      </c>
      <c r="AK37" s="62">
        <f t="shared" si="9"/>
        <v>228.67520000000002</v>
      </c>
      <c r="AL37" s="72">
        <f t="shared" si="10"/>
        <v>396.11520000000002</v>
      </c>
      <c r="AM37" s="81">
        <f t="shared" si="14"/>
        <v>0.35400000000026921</v>
      </c>
      <c r="AN37" s="80">
        <f t="shared" si="18"/>
        <v>0.7073029999999676</v>
      </c>
      <c r="AO37" s="80">
        <f t="shared" si="18"/>
        <v>-0.65132899999997562</v>
      </c>
      <c r="AP37" s="114">
        <f t="shared" si="15"/>
        <v>2.5219151016160022E-4</v>
      </c>
      <c r="AQ37" s="115">
        <f t="shared" si="12"/>
        <v>144.81487464810456</v>
      </c>
      <c r="AR37" s="90">
        <f t="shared" si="19"/>
        <v>0.35400000000026921</v>
      </c>
    </row>
    <row r="38" spans="1:49" ht="15.75" x14ac:dyDescent="0.25">
      <c r="A38" t="str">
        <f t="shared" si="13"/>
        <v>46221M</v>
      </c>
      <c r="B38" s="51">
        <f t="shared" si="17"/>
        <v>46221</v>
      </c>
      <c r="C38" s="99" t="s">
        <v>87</v>
      </c>
      <c r="D38" s="91">
        <v>4784</v>
      </c>
      <c r="E38" s="62">
        <v>4.78</v>
      </c>
      <c r="F38" s="62">
        <v>8.2799999999999994</v>
      </c>
      <c r="G38" s="62">
        <f t="shared" si="0"/>
        <v>228.67520000000002</v>
      </c>
      <c r="H38" s="72">
        <f t="shared" si="1"/>
        <v>396.11520000000002</v>
      </c>
      <c r="I38" s="120">
        <v>2747.1</v>
      </c>
      <c r="J38" s="120">
        <v>2829.5129999999999</v>
      </c>
      <c r="K38" s="120">
        <v>5.1881292999890807</v>
      </c>
      <c r="L38" s="120">
        <v>8.4531287539587225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2829.5129999999999</v>
      </c>
      <c r="S38" s="62">
        <f t="shared" si="3"/>
        <v>146.79879300000002</v>
      </c>
      <c r="T38" s="63">
        <f t="shared" si="4"/>
        <v>239.18237700000003</v>
      </c>
      <c r="U38" s="64" t="s">
        <v>167</v>
      </c>
      <c r="V38" s="65" t="s">
        <v>167</v>
      </c>
      <c r="W38" s="138" t="s">
        <v>180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141">
        <v>7613</v>
      </c>
      <c r="AI38" s="138">
        <v>4.9400000000000004</v>
      </c>
      <c r="AJ38" s="138">
        <v>8.36</v>
      </c>
      <c r="AK38" s="62">
        <f t="shared" si="9"/>
        <v>376.08220000000006</v>
      </c>
      <c r="AL38" s="72">
        <f t="shared" si="10"/>
        <v>636.44679999999994</v>
      </c>
      <c r="AM38" s="81">
        <f t="shared" si="14"/>
        <v>0.51299999999991996</v>
      </c>
      <c r="AN38" s="80">
        <f t="shared" si="18"/>
        <v>-0.60820699999999306</v>
      </c>
      <c r="AO38" s="80">
        <f t="shared" si="18"/>
        <v>-1.1492229999998926</v>
      </c>
      <c r="AP38" s="114">
        <f t="shared" si="15"/>
        <v>-4.5531495746279167E-3</v>
      </c>
      <c r="AQ38" s="115">
        <f t="shared" si="12"/>
        <v>-636.4453159934194</v>
      </c>
      <c r="AR38" s="90">
        <f t="shared" si="19"/>
        <v>0.51299999999991996</v>
      </c>
    </row>
    <row r="39" spans="1:49" ht="15.75" x14ac:dyDescent="0.25">
      <c r="A39" t="str">
        <f t="shared" si="13"/>
        <v>46221E</v>
      </c>
      <c r="B39" s="51">
        <f t="shared" si="17"/>
        <v>46221</v>
      </c>
      <c r="C39" s="99" t="s">
        <v>88</v>
      </c>
      <c r="D39" s="91">
        <v>7613</v>
      </c>
      <c r="E39" s="62">
        <v>4.9400000000000004</v>
      </c>
      <c r="F39" s="62">
        <v>8.36</v>
      </c>
      <c r="G39" s="62">
        <f t="shared" si="0"/>
        <v>376.08220000000006</v>
      </c>
      <c r="H39" s="72">
        <f t="shared" si="1"/>
        <v>636.44679999999994</v>
      </c>
      <c r="I39" s="120">
        <v>1660.3</v>
      </c>
      <c r="J39" s="120">
        <v>1710.1089999999999</v>
      </c>
      <c r="K39" s="120">
        <v>4.1859483225923029</v>
      </c>
      <c r="L39" s="120">
        <v>8.0239294103475292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1710.1089999999999</v>
      </c>
      <c r="S39" s="62">
        <f t="shared" si="3"/>
        <v>71.584278999999995</v>
      </c>
      <c r="T39" s="63">
        <f t="shared" si="4"/>
        <v>137.217939</v>
      </c>
      <c r="U39" s="64" t="s">
        <v>210</v>
      </c>
      <c r="V39" s="65" t="s">
        <v>720</v>
      </c>
      <c r="W39" s="138" t="s">
        <v>115</v>
      </c>
      <c r="X39" s="67">
        <v>5200</v>
      </c>
      <c r="Y39" s="68">
        <v>4.6500000000000004</v>
      </c>
      <c r="Z39" s="68">
        <v>8.2100000000000009</v>
      </c>
      <c r="AA39" s="62">
        <f t="shared" si="5"/>
        <v>241.80000000000004</v>
      </c>
      <c r="AB39" s="63">
        <f t="shared" si="6"/>
        <v>426.92</v>
      </c>
      <c r="AC39" s="69">
        <v>5160</v>
      </c>
      <c r="AD39" s="70">
        <v>4.5999999999999996</v>
      </c>
      <c r="AE39" s="70">
        <v>8.08</v>
      </c>
      <c r="AF39" s="62">
        <f t="shared" si="7"/>
        <v>237.35999999999999</v>
      </c>
      <c r="AG39" s="63">
        <f t="shared" si="8"/>
        <v>416.928</v>
      </c>
      <c r="AH39" s="141">
        <v>4123</v>
      </c>
      <c r="AI39" s="138">
        <v>4.8</v>
      </c>
      <c r="AJ39" s="138">
        <v>8.2899999999999991</v>
      </c>
      <c r="AK39" s="62">
        <f t="shared" si="9"/>
        <v>197.904</v>
      </c>
      <c r="AL39" s="72">
        <f t="shared" si="10"/>
        <v>341.79669999999993</v>
      </c>
      <c r="AM39" s="81">
        <f t="shared" si="14"/>
        <v>40.109000000000378</v>
      </c>
      <c r="AN39" s="80">
        <f t="shared" si="18"/>
        <v>12.402479000000056</v>
      </c>
      <c r="AO39" s="80">
        <f t="shared" si="18"/>
        <v>14.940039000000013</v>
      </c>
      <c r="AP39" s="114">
        <f t="shared" si="15"/>
        <v>0.13094936568154689</v>
      </c>
      <c r="AQ39" s="115">
        <f t="shared" si="12"/>
        <v>10434.203492498453</v>
      </c>
      <c r="AR39" s="90">
        <f t="shared" si="19"/>
        <v>0.10900000000037835</v>
      </c>
      <c r="AS39" s="90">
        <f>SUM(J26:J39)</f>
        <v>35832.875999999997</v>
      </c>
      <c r="AT39" s="83">
        <f>SUM(AM26:AM39)</f>
        <v>-1154.1239999999993</v>
      </c>
      <c r="AU39" s="83">
        <f>SUM(AN26:AN39)</f>
        <v>5.0952770000000882</v>
      </c>
      <c r="AV39" s="83">
        <f>SUM(AO26:AO39)</f>
        <v>-2.6217799999996316</v>
      </c>
      <c r="AW39" s="83">
        <f>-SUM(AQ26:AQ39)</f>
        <v>-1663.2466619795832</v>
      </c>
    </row>
    <row r="40" spans="1:49" ht="15.75" x14ac:dyDescent="0.25">
      <c r="A40" t="str">
        <f t="shared" si="13"/>
        <v>46222M</v>
      </c>
      <c r="B40" s="51">
        <f t="shared" si="17"/>
        <v>46222</v>
      </c>
      <c r="C40" s="99" t="s">
        <v>87</v>
      </c>
      <c r="D40" s="91">
        <v>4123</v>
      </c>
      <c r="E40" s="62">
        <v>4.8</v>
      </c>
      <c r="F40" s="62">
        <v>8.2899999999999991</v>
      </c>
      <c r="G40" s="62">
        <f t="shared" si="0"/>
        <v>197.904</v>
      </c>
      <c r="H40" s="72">
        <f t="shared" si="1"/>
        <v>341.79669999999993</v>
      </c>
      <c r="I40" s="120">
        <v>2971.6</v>
      </c>
      <c r="J40" s="120">
        <v>3060.748</v>
      </c>
      <c r="K40" s="120">
        <v>5.1298324135146061</v>
      </c>
      <c r="L40" s="120">
        <v>8.3150794184950882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3060.748</v>
      </c>
      <c r="S40" s="62">
        <f t="shared" si="3"/>
        <v>157.01124300000004</v>
      </c>
      <c r="T40" s="63">
        <f t="shared" si="4"/>
        <v>254.50362700000005</v>
      </c>
      <c r="U40" s="64" t="s">
        <v>180</v>
      </c>
      <c r="V40" s="65" t="s">
        <v>167</v>
      </c>
      <c r="W40" s="104">
        <v>0</v>
      </c>
      <c r="X40" s="67">
        <v>0</v>
      </c>
      <c r="Y40" s="68">
        <v>0</v>
      </c>
      <c r="Z40" s="68">
        <v>0</v>
      </c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141">
        <v>7184</v>
      </c>
      <c r="AI40" s="138">
        <v>4.93</v>
      </c>
      <c r="AJ40" s="138">
        <v>8.2899999999999991</v>
      </c>
      <c r="AK40" s="62">
        <f t="shared" si="9"/>
        <v>354.1712</v>
      </c>
      <c r="AL40" s="72">
        <f t="shared" si="10"/>
        <v>595.55359999999996</v>
      </c>
      <c r="AM40" s="81">
        <f t="shared" si="14"/>
        <v>-0.25200000000040745</v>
      </c>
      <c r="AN40" s="80">
        <f t="shared" si="18"/>
        <v>0.74404300000003332</v>
      </c>
      <c r="AO40" s="80">
        <f t="shared" si="18"/>
        <v>0.74672699999996439</v>
      </c>
      <c r="AP40" s="114">
        <f t="shared" si="15"/>
        <v>3.6226394443534867E-3</v>
      </c>
      <c r="AQ40" s="115">
        <f t="shared" si="12"/>
        <v>581.17496619481881</v>
      </c>
      <c r="AR40" s="90">
        <f t="shared" si="19"/>
        <v>-0.25200000000040745</v>
      </c>
    </row>
    <row r="41" spans="1:49" ht="15.75" x14ac:dyDescent="0.25">
      <c r="A41" t="str">
        <f t="shared" si="13"/>
        <v>46222E</v>
      </c>
      <c r="B41" s="51">
        <f t="shared" si="17"/>
        <v>46222</v>
      </c>
      <c r="C41" s="99" t="s">
        <v>88</v>
      </c>
      <c r="D41" s="91">
        <v>7184</v>
      </c>
      <c r="E41" s="62">
        <v>4.93</v>
      </c>
      <c r="F41" s="62">
        <v>8.2899999999999991</v>
      </c>
      <c r="G41" s="62">
        <f t="shared" si="0"/>
        <v>354.1712</v>
      </c>
      <c r="H41" s="72">
        <f t="shared" si="1"/>
        <v>595.55359999999996</v>
      </c>
      <c r="I41" s="120">
        <v>1481.6</v>
      </c>
      <c r="J41" s="120">
        <v>1526.048</v>
      </c>
      <c r="K41" s="120">
        <v>4.1614133369330446</v>
      </c>
      <c r="L41" s="120">
        <v>8.0803388228941682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1526.048</v>
      </c>
      <c r="S41" s="62">
        <f t="shared" si="3"/>
        <v>63.505164999999991</v>
      </c>
      <c r="T41" s="63">
        <f t="shared" si="4"/>
        <v>123.30984899999999</v>
      </c>
      <c r="U41" s="64" t="s">
        <v>167</v>
      </c>
      <c r="V41" s="65" t="s">
        <v>167</v>
      </c>
      <c r="W41" s="138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141">
        <v>8710</v>
      </c>
      <c r="AI41" s="138">
        <v>4.8</v>
      </c>
      <c r="AJ41" s="138">
        <v>8.26</v>
      </c>
      <c r="AK41" s="62">
        <f t="shared" si="9"/>
        <v>418.08</v>
      </c>
      <c r="AL41" s="72">
        <f t="shared" si="10"/>
        <v>719.44599999999991</v>
      </c>
      <c r="AM41" s="81">
        <f t="shared" si="14"/>
        <v>4.800000000068394E-2</v>
      </c>
      <c r="AN41" s="80">
        <f t="shared" si="18"/>
        <v>-0.4036350000000084</v>
      </c>
      <c r="AO41" s="80">
        <f t="shared" si="18"/>
        <v>-0.58255099999996673</v>
      </c>
      <c r="AP41" s="114">
        <f t="shared" si="15"/>
        <v>-5.2789440146388629E-3</v>
      </c>
      <c r="AQ41" s="115">
        <f t="shared" si="12"/>
        <v>-368.42859270979926</v>
      </c>
      <c r="AR41" s="90">
        <f t="shared" si="19"/>
        <v>4.800000000068394E-2</v>
      </c>
      <c r="AS41" s="90">
        <f>SUM(J28:J41)</f>
        <v>35765.72</v>
      </c>
      <c r="AT41" s="83">
        <f>SUM(AM28:AM41)</f>
        <v>-1155.2799999999993</v>
      </c>
      <c r="AU41" s="83">
        <f>SUM(AN28:AN41)</f>
        <v>5.1411640000001668</v>
      </c>
      <c r="AV41" s="83">
        <f>SUM(AO28:AO41)</f>
        <v>-1.0455989999996689</v>
      </c>
      <c r="AW41" s="83">
        <f>-SUM(AQ28:AQ41)</f>
        <v>-2157.3490364686845</v>
      </c>
    </row>
    <row r="42" spans="1:49" ht="15.75" x14ac:dyDescent="0.25">
      <c r="A42" t="str">
        <f t="shared" si="13"/>
        <v>46223M</v>
      </c>
      <c r="B42" s="51">
        <f t="shared" si="17"/>
        <v>46223</v>
      </c>
      <c r="C42" s="99" t="s">
        <v>87</v>
      </c>
      <c r="D42" s="91">
        <v>8710</v>
      </c>
      <c r="E42" s="62">
        <v>4.8</v>
      </c>
      <c r="F42" s="62">
        <v>8.26</v>
      </c>
      <c r="G42" s="62">
        <f t="shared" si="0"/>
        <v>418.08</v>
      </c>
      <c r="H42" s="72">
        <f t="shared" si="1"/>
        <v>719.44599999999991</v>
      </c>
      <c r="I42" s="120">
        <v>1538.3</v>
      </c>
      <c r="J42" s="120">
        <v>1584.4490000000001</v>
      </c>
      <c r="K42" s="120">
        <v>4.7513748943639076</v>
      </c>
      <c r="L42" s="120">
        <v>8.2812585321458769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1584.4490000000001</v>
      </c>
      <c r="S42" s="62">
        <f t="shared" si="3"/>
        <v>75.283112000000003</v>
      </c>
      <c r="T42" s="63">
        <f t="shared" si="4"/>
        <v>131.21231800000004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141">
        <v>10294</v>
      </c>
      <c r="AI42" s="138">
        <v>4.8</v>
      </c>
      <c r="AJ42" s="138">
        <v>8.27</v>
      </c>
      <c r="AK42" s="62">
        <f t="shared" si="9"/>
        <v>494.11200000000002</v>
      </c>
      <c r="AL42" s="72">
        <f t="shared" si="10"/>
        <v>851.3137999999999</v>
      </c>
      <c r="AM42" s="81">
        <f t="shared" si="14"/>
        <v>0.44900000000052387</v>
      </c>
      <c r="AN42" s="80">
        <f t="shared" si="18"/>
        <v>-0.7488880000000222</v>
      </c>
      <c r="AO42" s="80">
        <f t="shared" si="18"/>
        <v>-0.65548199999989265</v>
      </c>
      <c r="AP42" s="114">
        <f t="shared" si="15"/>
        <v>-6.8009737552056941E-3</v>
      </c>
      <c r="AQ42" s="115">
        <f t="shared" si="12"/>
        <v>-556.17608119184422</v>
      </c>
      <c r="AR42" s="90">
        <f t="shared" si="19"/>
        <v>0.44900000000052387</v>
      </c>
    </row>
    <row r="43" spans="1:49" ht="15.75" x14ac:dyDescent="0.25">
      <c r="A43" t="str">
        <f t="shared" si="13"/>
        <v>46223E</v>
      </c>
      <c r="B43" s="51">
        <f t="shared" si="17"/>
        <v>46223</v>
      </c>
      <c r="C43" s="99" t="s">
        <v>88</v>
      </c>
      <c r="D43" s="91">
        <v>10294</v>
      </c>
      <c r="E43" s="62">
        <v>4.8</v>
      </c>
      <c r="F43" s="62">
        <v>8.27</v>
      </c>
      <c r="G43" s="62">
        <f t="shared" si="0"/>
        <v>494.11200000000002</v>
      </c>
      <c r="H43" s="72">
        <f t="shared" si="1"/>
        <v>851.3137999999999</v>
      </c>
      <c r="I43" s="120">
        <v>1550.7</v>
      </c>
      <c r="J43" s="120">
        <v>1597.221</v>
      </c>
      <c r="K43" s="120">
        <v>4.3668343328819246</v>
      </c>
      <c r="L43" s="120">
        <v>8.1098407170955031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1597.221</v>
      </c>
      <c r="S43" s="62">
        <f t="shared" si="3"/>
        <v>69.747995000000003</v>
      </c>
      <c r="T43" s="63">
        <f t="shared" si="4"/>
        <v>129.53207899999995</v>
      </c>
      <c r="U43" s="64" t="s">
        <v>210</v>
      </c>
      <c r="V43" s="65" t="s">
        <v>721</v>
      </c>
      <c r="W43" s="138" t="s">
        <v>243</v>
      </c>
      <c r="X43" s="67">
        <v>10000</v>
      </c>
      <c r="Y43" s="68">
        <v>4.68</v>
      </c>
      <c r="Z43" s="68">
        <v>8.2200000000000006</v>
      </c>
      <c r="AA43" s="62">
        <f t="shared" si="5"/>
        <v>467.99999999999994</v>
      </c>
      <c r="AB43" s="63">
        <f t="shared" si="6"/>
        <v>822.00000000000011</v>
      </c>
      <c r="AC43" s="69">
        <v>10070</v>
      </c>
      <c r="AD43" s="70">
        <v>4.6293445878848054</v>
      </c>
      <c r="AE43" s="70">
        <v>8.0858689175769598</v>
      </c>
      <c r="AF43" s="62">
        <f t="shared" si="7"/>
        <v>466.1749999999999</v>
      </c>
      <c r="AG43" s="63">
        <f t="shared" si="8"/>
        <v>814.24699999999996</v>
      </c>
      <c r="AH43" s="141">
        <v>1891</v>
      </c>
      <c r="AI43" s="138">
        <v>4.75</v>
      </c>
      <c r="AJ43" s="138">
        <v>8.25</v>
      </c>
      <c r="AK43" s="62">
        <f t="shared" si="9"/>
        <v>89.822500000000005</v>
      </c>
      <c r="AL43" s="72">
        <f t="shared" si="10"/>
        <v>156.00749999999999</v>
      </c>
      <c r="AM43" s="81">
        <f t="shared" si="14"/>
        <v>-69.779000000000451</v>
      </c>
      <c r="AN43" s="80">
        <f t="shared" si="18"/>
        <v>7.8624950000001235</v>
      </c>
      <c r="AO43" s="80">
        <f t="shared" si="18"/>
        <v>10.591378999999904</v>
      </c>
      <c r="AP43" s="114">
        <f t="shared" si="15"/>
        <v>9.26027054767153E-2</v>
      </c>
      <c r="AQ43" s="115">
        <f t="shared" si="12"/>
        <v>6950.2084642404352</v>
      </c>
      <c r="AR43" s="90">
        <f t="shared" si="19"/>
        <v>0.22099999999954889</v>
      </c>
    </row>
    <row r="44" spans="1:49" ht="15.75" x14ac:dyDescent="0.25">
      <c r="A44" t="str">
        <f t="shared" si="13"/>
        <v>46224M</v>
      </c>
      <c r="B44" s="51">
        <f t="shared" si="17"/>
        <v>46224</v>
      </c>
      <c r="C44" s="99" t="s">
        <v>87</v>
      </c>
      <c r="D44" s="91">
        <v>1891</v>
      </c>
      <c r="E44" s="62">
        <v>4.75</v>
      </c>
      <c r="F44" s="62">
        <v>8.25</v>
      </c>
      <c r="G44" s="62">
        <f t="shared" si="0"/>
        <v>89.822500000000005</v>
      </c>
      <c r="H44" s="72">
        <f t="shared" si="1"/>
        <v>156.00749999999999</v>
      </c>
      <c r="I44" s="120">
        <v>2412.2999999999997</v>
      </c>
      <c r="J44" s="120">
        <v>2484.6689999999999</v>
      </c>
      <c r="K44" s="120">
        <v>5.2425983501222895</v>
      </c>
      <c r="L44" s="120">
        <v>8.4354557890809598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2484.6689999999999</v>
      </c>
      <c r="S44" s="62">
        <f t="shared" si="3"/>
        <v>130.26121599999996</v>
      </c>
      <c r="T44" s="63">
        <f t="shared" si="4"/>
        <v>209.593155</v>
      </c>
      <c r="U44" s="64" t="s">
        <v>167</v>
      </c>
      <c r="V44" s="65" t="s">
        <v>167</v>
      </c>
      <c r="W44" s="138" t="s">
        <v>167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141">
        <v>4376</v>
      </c>
      <c r="AI44" s="138">
        <v>5</v>
      </c>
      <c r="AJ44" s="138">
        <v>8.34</v>
      </c>
      <c r="AK44" s="62">
        <f t="shared" si="9"/>
        <v>218.8</v>
      </c>
      <c r="AL44" s="72">
        <f t="shared" si="10"/>
        <v>364.95839999999998</v>
      </c>
      <c r="AM44" s="81">
        <f t="shared" si="14"/>
        <v>-0.33100000000013097</v>
      </c>
      <c r="AN44" s="80">
        <f t="shared" si="18"/>
        <v>1.2837159999999699</v>
      </c>
      <c r="AO44" s="80">
        <f t="shared" si="18"/>
        <v>0.64225499999997737</v>
      </c>
      <c r="AP44" s="114">
        <f t="shared" si="15"/>
        <v>5.6670479015258788E-3</v>
      </c>
      <c r="AQ44" s="115">
        <f t="shared" si="12"/>
        <v>809.21697318509302</v>
      </c>
      <c r="AR44" s="90">
        <f t="shared" si="19"/>
        <v>-0.33100000000013097</v>
      </c>
    </row>
    <row r="45" spans="1:49" ht="15.75" x14ac:dyDescent="0.25">
      <c r="A45" t="str">
        <f t="shared" si="13"/>
        <v>46224E</v>
      </c>
      <c r="B45" s="51">
        <f t="shared" si="17"/>
        <v>46224</v>
      </c>
      <c r="C45" s="99" t="s">
        <v>88</v>
      </c>
      <c r="D45" s="91">
        <v>4376</v>
      </c>
      <c r="E45" s="62">
        <v>5</v>
      </c>
      <c r="F45" s="62">
        <v>8.34</v>
      </c>
      <c r="G45" s="62">
        <f t="shared" si="0"/>
        <v>218.8</v>
      </c>
      <c r="H45" s="72">
        <f t="shared" si="1"/>
        <v>364.95839999999998</v>
      </c>
      <c r="I45" s="120">
        <v>1565.8999999999996</v>
      </c>
      <c r="J45" s="120">
        <v>1612.8769999999997</v>
      </c>
      <c r="K45" s="120">
        <v>4.2972859058688293</v>
      </c>
      <c r="L45" s="120">
        <v>8.1467590523021904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1612.8769999999997</v>
      </c>
      <c r="S45" s="62">
        <f t="shared" si="3"/>
        <v>69.309935999999979</v>
      </c>
      <c r="T45" s="63">
        <f t="shared" si="4"/>
        <v>131.39720299999999</v>
      </c>
      <c r="U45" s="64" t="s">
        <v>167</v>
      </c>
      <c r="V45" s="65" t="s">
        <v>167</v>
      </c>
      <c r="W45" s="138">
        <v>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141">
        <v>5989</v>
      </c>
      <c r="AI45" s="138">
        <v>4.8</v>
      </c>
      <c r="AJ45" s="138">
        <v>8.3000000000000007</v>
      </c>
      <c r="AK45" s="62">
        <f t="shared" si="9"/>
        <v>287.47199999999998</v>
      </c>
      <c r="AL45" s="72">
        <f t="shared" si="10"/>
        <v>497.08700000000005</v>
      </c>
      <c r="AM45" s="81">
        <f t="shared" si="14"/>
        <v>-0.12300000000050204</v>
      </c>
      <c r="AN45" s="80">
        <f t="shared" si="18"/>
        <v>0.63793600000002471</v>
      </c>
      <c r="AO45" s="80">
        <f t="shared" si="18"/>
        <v>-0.73139700000007224</v>
      </c>
      <c r="AP45" s="114">
        <f t="shared" si="15"/>
        <v>-4.6565857331087532E-4</v>
      </c>
      <c r="AQ45" s="115">
        <f t="shared" si="12"/>
        <v>87.502120306449456</v>
      </c>
      <c r="AR45" s="90">
        <f t="shared" si="19"/>
        <v>-0.12300000000050204</v>
      </c>
    </row>
    <row r="46" spans="1:49" ht="15.75" x14ac:dyDescent="0.25">
      <c r="A46" t="str">
        <f t="shared" si="13"/>
        <v>46225M</v>
      </c>
      <c r="B46" s="51">
        <f t="shared" si="17"/>
        <v>46225</v>
      </c>
      <c r="C46" s="99" t="s">
        <v>87</v>
      </c>
      <c r="D46" s="91">
        <v>5989</v>
      </c>
      <c r="E46" s="62">
        <v>4.8</v>
      </c>
      <c r="F46" s="62">
        <v>8.3000000000000007</v>
      </c>
      <c r="G46" s="62">
        <f t="shared" si="0"/>
        <v>287.47199999999998</v>
      </c>
      <c r="H46" s="72">
        <f t="shared" si="1"/>
        <v>497.08700000000005</v>
      </c>
      <c r="I46" s="120">
        <v>1803.1000000000004</v>
      </c>
      <c r="J46" s="120">
        <v>1857.1930000000004</v>
      </c>
      <c r="K46" s="120">
        <v>5.4121402029837515</v>
      </c>
      <c r="L46" s="120">
        <v>8.6251344905995264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1857.1930000000004</v>
      </c>
      <c r="S46" s="62">
        <f t="shared" si="3"/>
        <v>100.51388900000005</v>
      </c>
      <c r="T46" s="63">
        <f t="shared" si="4"/>
        <v>160.18539400000009</v>
      </c>
      <c r="U46" s="64" t="s">
        <v>210</v>
      </c>
      <c r="V46" s="65" t="s">
        <v>782</v>
      </c>
      <c r="W46" s="138" t="s">
        <v>187</v>
      </c>
      <c r="X46" s="67">
        <v>4850</v>
      </c>
      <c r="Y46" s="68">
        <v>4.8499999999999996</v>
      </c>
      <c r="Z46" s="68">
        <v>8.3000000000000007</v>
      </c>
      <c r="AA46" s="62">
        <f t="shared" si="5"/>
        <v>235.22499999999997</v>
      </c>
      <c r="AB46" s="63">
        <f t="shared" si="6"/>
        <v>402.55</v>
      </c>
      <c r="AC46" s="69">
        <v>4810</v>
      </c>
      <c r="AD46" s="70">
        <v>4.8</v>
      </c>
      <c r="AE46" s="70">
        <v>8.1199999999999992</v>
      </c>
      <c r="AF46" s="62">
        <f t="shared" si="7"/>
        <v>230.88</v>
      </c>
      <c r="AG46" s="63">
        <f t="shared" si="8"/>
        <v>390.57199999999995</v>
      </c>
      <c r="AH46" s="141">
        <v>2996</v>
      </c>
      <c r="AI46" s="138">
        <v>4.9400000000000004</v>
      </c>
      <c r="AJ46" s="138">
        <v>8.3699999999999992</v>
      </c>
      <c r="AK46" s="62">
        <f t="shared" si="9"/>
        <v>148.00240000000002</v>
      </c>
      <c r="AL46" s="72">
        <f t="shared" si="10"/>
        <v>250.76519999999999</v>
      </c>
      <c r="AM46" s="81">
        <f t="shared" si="14"/>
        <v>40.193000000000211</v>
      </c>
      <c r="AN46" s="80">
        <f t="shared" si="18"/>
        <v>9.1034890000000246</v>
      </c>
      <c r="AO46" s="80">
        <f t="shared" si="18"/>
        <v>15.935194000000138</v>
      </c>
      <c r="AP46" s="114">
        <f t="shared" si="15"/>
        <v>9.6044310946571135E-2</v>
      </c>
      <c r="AQ46" s="115">
        <f t="shared" si="12"/>
        <v>9146.9714902873602</v>
      </c>
      <c r="AR46" s="90">
        <f t="shared" si="19"/>
        <v>0.193000000000211</v>
      </c>
    </row>
    <row r="47" spans="1:49" ht="15.75" x14ac:dyDescent="0.25">
      <c r="A47" t="str">
        <f t="shared" si="13"/>
        <v>46225E</v>
      </c>
      <c r="B47" s="51">
        <f t="shared" si="17"/>
        <v>46225</v>
      </c>
      <c r="C47" s="99" t="s">
        <v>88</v>
      </c>
      <c r="D47" s="91">
        <v>2996</v>
      </c>
      <c r="E47" s="62">
        <v>4.9400000000000004</v>
      </c>
      <c r="F47" s="62">
        <v>8.3699999999999992</v>
      </c>
      <c r="G47" s="62">
        <f t="shared" si="0"/>
        <v>148.00240000000002</v>
      </c>
      <c r="H47" s="72">
        <f t="shared" si="1"/>
        <v>250.76519999999999</v>
      </c>
      <c r="I47" s="120">
        <v>2328.6999999999998</v>
      </c>
      <c r="J47" s="120">
        <v>2398.5609999999997</v>
      </c>
      <c r="K47" s="120">
        <v>4.7680508438184397</v>
      </c>
      <c r="L47" s="120">
        <v>8.3483230987246113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2398.5609999999997</v>
      </c>
      <c r="S47" s="62">
        <f t="shared" si="3"/>
        <v>114.36460799999999</v>
      </c>
      <c r="T47" s="63">
        <f t="shared" si="4"/>
        <v>200.239622</v>
      </c>
      <c r="U47" s="64" t="s">
        <v>167</v>
      </c>
      <c r="V47" s="65" t="s">
        <v>167</v>
      </c>
      <c r="W47" s="66" t="s">
        <v>167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141">
        <v>5392</v>
      </c>
      <c r="AI47" s="138">
        <v>4.88</v>
      </c>
      <c r="AJ47" s="138">
        <v>8.34</v>
      </c>
      <c r="AK47" s="62">
        <f t="shared" si="9"/>
        <v>263.12959999999998</v>
      </c>
      <c r="AL47" s="72">
        <f t="shared" si="10"/>
        <v>449.69280000000003</v>
      </c>
      <c r="AM47" s="81">
        <f t="shared" si="14"/>
        <v>2.5609999999996944</v>
      </c>
      <c r="AN47" s="80">
        <f t="shared" si="18"/>
        <v>-0.76259199999998373</v>
      </c>
      <c r="AO47" s="80">
        <f t="shared" si="18"/>
        <v>1.3120219999999563</v>
      </c>
      <c r="AP47" s="114">
        <f t="shared" si="15"/>
        <v>1.7464164420166017E-3</v>
      </c>
      <c r="AQ47" s="115">
        <f t="shared" si="12"/>
        <v>26.488633065826434</v>
      </c>
      <c r="AR47" s="90">
        <f t="shared" si="19"/>
        <v>2.5609999999996944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46226M</v>
      </c>
      <c r="B48" s="51">
        <f t="shared" si="17"/>
        <v>46226</v>
      </c>
      <c r="C48" s="99" t="s">
        <v>87</v>
      </c>
      <c r="D48" s="105">
        <v>5392</v>
      </c>
      <c r="E48" s="106">
        <v>4.88</v>
      </c>
      <c r="F48" s="106">
        <v>8.34</v>
      </c>
      <c r="G48" s="62">
        <f t="shared" si="0"/>
        <v>263.12959999999998</v>
      </c>
      <c r="H48" s="72">
        <f t="shared" si="1"/>
        <v>449.69280000000003</v>
      </c>
      <c r="I48" s="120">
        <v>3065.2999999999997</v>
      </c>
      <c r="J48" s="120">
        <v>3157.259</v>
      </c>
      <c r="K48" s="120">
        <v>5.3821616155025618</v>
      </c>
      <c r="L48" s="120">
        <v>8.5281049163214071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3157.259</v>
      </c>
      <c r="S48" s="62">
        <f t="shared" si="3"/>
        <v>169.92878200000004</v>
      </c>
      <c r="T48" s="63">
        <f t="shared" si="4"/>
        <v>269.25436000000008</v>
      </c>
      <c r="U48" s="102" t="s">
        <v>167</v>
      </c>
      <c r="V48" s="85" t="s">
        <v>167</v>
      </c>
      <c r="W48" s="104">
        <v>0</v>
      </c>
      <c r="X48" s="112">
        <v>0</v>
      </c>
      <c r="Y48" s="113">
        <v>0</v>
      </c>
      <c r="Z48" s="113">
        <v>0</v>
      </c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141">
        <v>8549</v>
      </c>
      <c r="AI48" s="138">
        <v>5</v>
      </c>
      <c r="AJ48" s="138">
        <v>8.4</v>
      </c>
      <c r="AK48" s="62">
        <f t="shared" si="9"/>
        <v>427.45000000000005</v>
      </c>
      <c r="AL48" s="72">
        <f t="shared" si="10"/>
        <v>718.1160000000001</v>
      </c>
      <c r="AM48" s="81">
        <f t="shared" si="14"/>
        <v>0.25900000000001455</v>
      </c>
      <c r="AN48" s="80">
        <f t="shared" si="18"/>
        <v>5.608382000000006</v>
      </c>
      <c r="AO48" s="80">
        <f t="shared" si="18"/>
        <v>0.83116000000006807</v>
      </c>
      <c r="AP48" s="114">
        <f t="shared" si="15"/>
        <v>1.4662543672953806E-2</v>
      </c>
      <c r="AQ48" s="115">
        <f t="shared" si="12"/>
        <v>2943.9351043766987</v>
      </c>
      <c r="AR48" s="90">
        <f t="shared" si="19"/>
        <v>0.25900000000001455</v>
      </c>
    </row>
    <row r="49" spans="1:49" ht="15.75" x14ac:dyDescent="0.25">
      <c r="A49" t="str">
        <f t="shared" si="13"/>
        <v>46226E</v>
      </c>
      <c r="B49" s="51">
        <f t="shared" si="17"/>
        <v>46226</v>
      </c>
      <c r="C49" s="99" t="s">
        <v>88</v>
      </c>
      <c r="D49" s="105">
        <v>8549</v>
      </c>
      <c r="E49" s="106">
        <v>5</v>
      </c>
      <c r="F49" s="106">
        <v>8.4</v>
      </c>
      <c r="G49" s="62">
        <f t="shared" si="0"/>
        <v>427.45000000000005</v>
      </c>
      <c r="H49" s="72">
        <f t="shared" si="1"/>
        <v>718.1160000000001</v>
      </c>
      <c r="I49" s="120">
        <v>2175.1</v>
      </c>
      <c r="J49" s="120">
        <v>2240.3530000000001</v>
      </c>
      <c r="K49" s="120">
        <v>4.5639418877292997</v>
      </c>
      <c r="L49" s="120">
        <v>8.2918118707185862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2240.3530000000001</v>
      </c>
      <c r="S49" s="62">
        <f t="shared" si="3"/>
        <v>102.248409</v>
      </c>
      <c r="T49" s="63">
        <f t="shared" si="4"/>
        <v>185.76585599999999</v>
      </c>
      <c r="U49" s="102" t="s">
        <v>210</v>
      </c>
      <c r="V49" s="103" t="s">
        <v>783</v>
      </c>
      <c r="W49" s="104" t="s">
        <v>187</v>
      </c>
      <c r="X49" s="112">
        <v>10050</v>
      </c>
      <c r="Y49" s="113">
        <v>4.8499999999999996</v>
      </c>
      <c r="Z49" s="113">
        <v>8.31</v>
      </c>
      <c r="AA49" s="62">
        <f t="shared" si="5"/>
        <v>487.42499999999995</v>
      </c>
      <c r="AB49" s="63">
        <f t="shared" si="6"/>
        <v>835.15500000000009</v>
      </c>
      <c r="AC49" s="69">
        <v>10060</v>
      </c>
      <c r="AD49" s="70">
        <v>4.7500000000000009</v>
      </c>
      <c r="AE49" s="70">
        <v>8.11</v>
      </c>
      <c r="AF49" s="62">
        <f t="shared" si="7"/>
        <v>477.85000000000008</v>
      </c>
      <c r="AG49" s="63">
        <f t="shared" si="8"/>
        <v>815.86599999999987</v>
      </c>
      <c r="AH49" s="141">
        <v>1820</v>
      </c>
      <c r="AI49" s="138">
        <v>5.05</v>
      </c>
      <c r="AJ49" s="138">
        <v>8.3800000000000008</v>
      </c>
      <c r="AK49" s="62">
        <f t="shared" si="9"/>
        <v>91.91</v>
      </c>
      <c r="AL49" s="72">
        <f t="shared" si="10"/>
        <v>152.51600000000002</v>
      </c>
      <c r="AM49" s="81">
        <f t="shared" si="14"/>
        <v>-1090.6470000000008</v>
      </c>
      <c r="AN49" s="80">
        <f t="shared" si="18"/>
        <v>-40.061590999999993</v>
      </c>
      <c r="AO49" s="80">
        <f t="shared" si="18"/>
        <v>-64.500143999999807</v>
      </c>
      <c r="AP49" s="114">
        <f t="shared" si="15"/>
        <v>-0.36304359785790408</v>
      </c>
      <c r="AQ49" s="115">
        <f t="shared" si="12"/>
        <v>-38568.117251848467</v>
      </c>
      <c r="AR49" s="90">
        <f t="shared" si="19"/>
        <v>-1080.6470000000008</v>
      </c>
    </row>
    <row r="50" spans="1:49" ht="15.75" x14ac:dyDescent="0.25">
      <c r="A50" t="str">
        <f t="shared" si="13"/>
        <v>46227M</v>
      </c>
      <c r="B50" s="51">
        <f t="shared" si="17"/>
        <v>46227</v>
      </c>
      <c r="C50" s="99" t="s">
        <v>87</v>
      </c>
      <c r="D50" s="91">
        <v>1820</v>
      </c>
      <c r="E50" s="62">
        <v>5.05</v>
      </c>
      <c r="F50" s="62">
        <v>8.3800000000000008</v>
      </c>
      <c r="G50" s="62">
        <f t="shared" si="0"/>
        <v>91.91</v>
      </c>
      <c r="H50" s="72">
        <f t="shared" si="1"/>
        <v>152.51600000000002</v>
      </c>
      <c r="I50" s="120">
        <v>2144.9</v>
      </c>
      <c r="J50" s="120">
        <v>2209.2470000000003</v>
      </c>
      <c r="K50" s="120">
        <v>5.2703342813184761</v>
      </c>
      <c r="L50" s="120">
        <v>8.585542449531447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2209.2470000000003</v>
      </c>
      <c r="S50" s="62">
        <f t="shared" si="3"/>
        <v>116.43470200000002</v>
      </c>
      <c r="T50" s="63">
        <f t="shared" si="4"/>
        <v>189.67583900000002</v>
      </c>
      <c r="U50" s="64" t="s">
        <v>167</v>
      </c>
      <c r="V50" s="65" t="s">
        <v>167</v>
      </c>
      <c r="W50" s="66"/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141">
        <v>4029</v>
      </c>
      <c r="AI50" s="138">
        <v>5.19</v>
      </c>
      <c r="AJ50" s="138">
        <v>8.5</v>
      </c>
      <c r="AK50" s="62">
        <f t="shared" si="9"/>
        <v>209.10509999999999</v>
      </c>
      <c r="AL50" s="72">
        <f t="shared" si="10"/>
        <v>342.46500000000003</v>
      </c>
      <c r="AM50" s="81">
        <f t="shared" si="14"/>
        <v>0.24700000000029831</v>
      </c>
      <c r="AN50" s="80">
        <f t="shared" si="18"/>
        <v>-0.76039799999998081</v>
      </c>
      <c r="AO50" s="80">
        <f t="shared" si="18"/>
        <v>-0.27316099999995913</v>
      </c>
      <c r="AP50" s="114">
        <f t="shared" si="15"/>
        <v>-3.3764240742037693E-3</v>
      </c>
      <c r="AQ50" s="115">
        <f t="shared" si="12"/>
        <v>-447.20527491812754</v>
      </c>
      <c r="AR50" s="90">
        <f t="shared" si="19"/>
        <v>0.24700000000029831</v>
      </c>
    </row>
    <row r="51" spans="1:49" ht="15.75" x14ac:dyDescent="0.25">
      <c r="A51" t="str">
        <f t="shared" si="13"/>
        <v>46227E</v>
      </c>
      <c r="B51" s="51">
        <f t="shared" si="17"/>
        <v>46227</v>
      </c>
      <c r="C51" s="99" t="s">
        <v>88</v>
      </c>
      <c r="D51" s="91">
        <v>4029</v>
      </c>
      <c r="E51" s="62">
        <v>5.19</v>
      </c>
      <c r="F51" s="62">
        <v>8.5</v>
      </c>
      <c r="G51" s="62">
        <f t="shared" si="0"/>
        <v>209.10509999999999</v>
      </c>
      <c r="H51" s="72">
        <f t="shared" si="1"/>
        <v>342.46500000000003</v>
      </c>
      <c r="I51" s="120">
        <v>1722.5</v>
      </c>
      <c r="J51" s="120">
        <v>1774.175</v>
      </c>
      <c r="K51" s="120">
        <v>4.1955355587808416</v>
      </c>
      <c r="L51" s="120">
        <v>8.3236400580551511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1774.175</v>
      </c>
      <c r="S51" s="62">
        <f t="shared" si="3"/>
        <v>74.436142999999987</v>
      </c>
      <c r="T51" s="63">
        <f t="shared" si="4"/>
        <v>147.67594099999997</v>
      </c>
      <c r="U51" s="64" t="s">
        <v>210</v>
      </c>
      <c r="V51" s="85" t="s">
        <v>877</v>
      </c>
      <c r="W51" s="66" t="s">
        <v>260</v>
      </c>
      <c r="X51" s="67">
        <v>5200</v>
      </c>
      <c r="Y51" s="68">
        <v>5.05</v>
      </c>
      <c r="Z51" s="68">
        <v>8.2899999999999991</v>
      </c>
      <c r="AA51" s="62">
        <f t="shared" si="5"/>
        <v>262.59999999999997</v>
      </c>
      <c r="AB51" s="63">
        <f t="shared" si="6"/>
        <v>431.07999999999993</v>
      </c>
      <c r="AC51" s="224">
        <v>5200</v>
      </c>
      <c r="AD51" s="223">
        <v>5.05</v>
      </c>
      <c r="AE51" s="223">
        <v>8.2899999999999991</v>
      </c>
      <c r="AF51" s="62">
        <f t="shared" si="7"/>
        <v>262.59999999999997</v>
      </c>
      <c r="AG51" s="63">
        <f t="shared" si="8"/>
        <v>431.07999999999993</v>
      </c>
      <c r="AH51" s="141">
        <v>603</v>
      </c>
      <c r="AI51" s="138">
        <v>4.8899999999999997</v>
      </c>
      <c r="AJ51" s="138">
        <v>8.4</v>
      </c>
      <c r="AK51" s="62">
        <f t="shared" si="9"/>
        <v>29.486699999999999</v>
      </c>
      <c r="AL51" s="72">
        <f t="shared" si="10"/>
        <v>50.652000000000001</v>
      </c>
      <c r="AM51" s="81">
        <f t="shared" si="14"/>
        <v>0.1750000000001819</v>
      </c>
      <c r="AN51" s="80">
        <f t="shared" si="18"/>
        <v>-8.5454569999999563</v>
      </c>
      <c r="AO51" s="80">
        <f t="shared" si="18"/>
        <v>8.4089410000000697</v>
      </c>
      <c r="AP51" s="114">
        <f t="shared" si="15"/>
        <v>-6.1462662247537437E-4</v>
      </c>
      <c r="AQ51" s="115">
        <f t="shared" si="12"/>
        <v>-1587.96724377092</v>
      </c>
      <c r="AR51" s="90">
        <f t="shared" si="19"/>
        <v>0.1750000000001819</v>
      </c>
    </row>
    <row r="52" spans="1:49" ht="15.75" x14ac:dyDescent="0.25">
      <c r="A52" t="str">
        <f t="shared" si="13"/>
        <v>46228M</v>
      </c>
      <c r="B52" s="51">
        <f t="shared" si="17"/>
        <v>46228</v>
      </c>
      <c r="C52" s="99" t="s">
        <v>87</v>
      </c>
      <c r="D52" s="91">
        <v>603</v>
      </c>
      <c r="E52" s="62">
        <v>4.8899999999999997</v>
      </c>
      <c r="F52" s="62">
        <v>8.4</v>
      </c>
      <c r="G52" s="62">
        <f t="shared" si="0"/>
        <v>29.486699999999999</v>
      </c>
      <c r="H52" s="72">
        <f t="shared" si="1"/>
        <v>50.652000000000001</v>
      </c>
      <c r="I52" s="120">
        <v>2956</v>
      </c>
      <c r="J52" s="120">
        <v>3044.6800000000003</v>
      </c>
      <c r="K52" s="120">
        <v>5.4798004059539922</v>
      </c>
      <c r="L52" s="120">
        <v>8.5694248985115049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3044.6800000000003</v>
      </c>
      <c r="S52" s="62">
        <f t="shared" si="3"/>
        <v>166.84238700000003</v>
      </c>
      <c r="T52" s="63">
        <f t="shared" si="4"/>
        <v>260.91156600000011</v>
      </c>
      <c r="U52" s="64" t="s">
        <v>167</v>
      </c>
      <c r="V52" s="65" t="s">
        <v>167</v>
      </c>
      <c r="W52" s="66" t="s">
        <v>167</v>
      </c>
      <c r="X52" s="67">
        <v>0</v>
      </c>
      <c r="Y52" s="68">
        <v>0</v>
      </c>
      <c r="Z52" s="68">
        <v>0</v>
      </c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141">
        <v>3647</v>
      </c>
      <c r="AI52" s="138">
        <v>5.4</v>
      </c>
      <c r="AJ52" s="138">
        <v>8.57</v>
      </c>
      <c r="AK52" s="62">
        <f t="shared" si="9"/>
        <v>196.93800000000002</v>
      </c>
      <c r="AL52" s="72">
        <f t="shared" si="10"/>
        <v>312.54789999999997</v>
      </c>
      <c r="AM52" s="81">
        <f t="shared" si="14"/>
        <v>0.68000000000029104</v>
      </c>
      <c r="AN52" s="80">
        <f t="shared" si="18"/>
        <v>-0.60891300000000115</v>
      </c>
      <c r="AO52" s="80">
        <f t="shared" si="18"/>
        <v>-0.98433399999987614</v>
      </c>
      <c r="AP52" s="114">
        <f t="shared" si="15"/>
        <v>-3.7246809499382389E-3</v>
      </c>
      <c r="AQ52" s="115">
        <f t="shared" si="12"/>
        <v>-587.40178439733813</v>
      </c>
      <c r="AR52" s="90">
        <f t="shared" si="19"/>
        <v>0.68000000000029104</v>
      </c>
    </row>
    <row r="53" spans="1:49" ht="15.75" x14ac:dyDescent="0.25">
      <c r="A53" t="str">
        <f t="shared" si="13"/>
        <v>46228E</v>
      </c>
      <c r="B53" s="51">
        <f t="shared" si="17"/>
        <v>46228</v>
      </c>
      <c r="C53" s="99" t="s">
        <v>88</v>
      </c>
      <c r="D53" s="91">
        <v>3647</v>
      </c>
      <c r="E53" s="62">
        <v>5.4</v>
      </c>
      <c r="F53" s="62">
        <v>8.57</v>
      </c>
      <c r="G53" s="62">
        <f t="shared" si="0"/>
        <v>196.93800000000002</v>
      </c>
      <c r="H53" s="72">
        <f t="shared" si="1"/>
        <v>312.54789999999997</v>
      </c>
      <c r="I53" s="120">
        <v>1217.4000000000001</v>
      </c>
      <c r="J53" s="120">
        <v>1253.922</v>
      </c>
      <c r="K53" s="120">
        <v>4.5975603745687526</v>
      </c>
      <c r="L53" s="120">
        <v>8.4563331690487917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1253.922</v>
      </c>
      <c r="S53" s="62">
        <f t="shared" si="3"/>
        <v>57.649820999999989</v>
      </c>
      <c r="T53" s="63">
        <f t="shared" si="4"/>
        <v>106.035822</v>
      </c>
      <c r="U53" s="64" t="s">
        <v>167</v>
      </c>
      <c r="V53" s="65" t="s">
        <v>167</v>
      </c>
      <c r="W53" s="66" t="s">
        <v>167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141">
        <v>4901</v>
      </c>
      <c r="AI53" s="138">
        <v>5.2</v>
      </c>
      <c r="AJ53" s="138">
        <v>8.5500000000000007</v>
      </c>
      <c r="AK53" s="62">
        <f t="shared" si="9"/>
        <v>254.85200000000003</v>
      </c>
      <c r="AL53" s="72">
        <f t="shared" si="10"/>
        <v>419.03550000000001</v>
      </c>
      <c r="AM53" s="81">
        <f t="shared" si="14"/>
        <v>-7.7999999999519787E-2</v>
      </c>
      <c r="AN53" s="80">
        <f t="shared" si="18"/>
        <v>-0.26417900000001282</v>
      </c>
      <c r="AO53" s="80">
        <f t="shared" si="18"/>
        <v>-0.45177800000004709</v>
      </c>
      <c r="AP53" s="114">
        <f t="shared" si="15"/>
        <v>-4.3739755477519796E-3</v>
      </c>
      <c r="AQ53" s="115">
        <f t="shared" si="12"/>
        <v>-262.25009662356717</v>
      </c>
      <c r="AR53" s="90">
        <f t="shared" si="19"/>
        <v>-7.7999999999519787E-2</v>
      </c>
      <c r="AS53" s="90">
        <f>SUM(J40:J53)</f>
        <v>29801.401999999998</v>
      </c>
      <c r="AT53" s="83">
        <f>SUM(AM40:AM53)</f>
        <v>-1116.598</v>
      </c>
      <c r="AU53" s="83">
        <f>SUM(AN40:AN53)</f>
        <v>-26.915591999999776</v>
      </c>
      <c r="AV53" s="83">
        <f>SUM(AO40:AO53)</f>
        <v>-29.711168999999543</v>
      </c>
      <c r="AW53" s="83">
        <f>-SUM(AQ40:AQ53)</f>
        <v>21832.048573803382</v>
      </c>
    </row>
    <row r="54" spans="1:49" ht="15.75" x14ac:dyDescent="0.25">
      <c r="A54" t="str">
        <f t="shared" si="13"/>
        <v>46229M</v>
      </c>
      <c r="B54" s="51">
        <f t="shared" si="17"/>
        <v>46229</v>
      </c>
      <c r="C54" s="99" t="s">
        <v>87</v>
      </c>
      <c r="D54" s="91">
        <v>4901</v>
      </c>
      <c r="E54" s="62">
        <v>5.2</v>
      </c>
      <c r="F54" s="62">
        <v>8.5500000000000007</v>
      </c>
      <c r="G54" s="62">
        <f t="shared" si="0"/>
        <v>254.85200000000003</v>
      </c>
      <c r="H54" s="72">
        <f t="shared" si="1"/>
        <v>419.03550000000001</v>
      </c>
      <c r="I54" s="120">
        <v>1520.8999999999999</v>
      </c>
      <c r="J54" s="120">
        <v>1566.5269999999998</v>
      </c>
      <c r="K54" s="120">
        <v>5.6016437635610492</v>
      </c>
      <c r="L54" s="120">
        <v>8.7167795384311901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2"/>
        <v>1566.5269999999998</v>
      </c>
      <c r="S54" s="62">
        <f t="shared" si="3"/>
        <v>87.751261999999983</v>
      </c>
      <c r="T54" s="63">
        <f t="shared" si="4"/>
        <v>136.55070499999997</v>
      </c>
      <c r="U54" s="64" t="s">
        <v>180</v>
      </c>
      <c r="V54" s="65" t="s">
        <v>167</v>
      </c>
      <c r="W54" s="104">
        <v>0</v>
      </c>
      <c r="X54" s="67">
        <v>0</v>
      </c>
      <c r="Y54" s="68">
        <v>0</v>
      </c>
      <c r="Z54" s="68">
        <v>0</v>
      </c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141">
        <v>6467</v>
      </c>
      <c r="AI54" s="138">
        <v>5.3</v>
      </c>
      <c r="AJ54" s="138">
        <v>8.59</v>
      </c>
      <c r="AK54" s="62">
        <f t="shared" si="9"/>
        <v>342.75099999999998</v>
      </c>
      <c r="AL54" s="72">
        <f t="shared" si="10"/>
        <v>555.51530000000002</v>
      </c>
      <c r="AM54" s="81">
        <f t="shared" si="14"/>
        <v>0.52700000000004366</v>
      </c>
      <c r="AN54" s="80">
        <f t="shared" si="18"/>
        <v>-0.14773799999994708</v>
      </c>
      <c r="AO54" s="80">
        <f t="shared" si="18"/>
        <v>7.0904999999925167E-2</v>
      </c>
      <c r="AP54" s="114">
        <f t="shared" si="15"/>
        <v>-3.425426937964478E-4</v>
      </c>
      <c r="AQ54" s="115">
        <f t="shared" si="12"/>
        <v>-49.75750107637441</v>
      </c>
      <c r="AR54" s="90">
        <f t="shared" si="19"/>
        <v>0.52700000000004366</v>
      </c>
    </row>
    <row r="55" spans="1:49" ht="15.75" x14ac:dyDescent="0.25">
      <c r="A55" t="str">
        <f t="shared" si="13"/>
        <v>46229E</v>
      </c>
      <c r="B55" s="51">
        <f t="shared" si="17"/>
        <v>46229</v>
      </c>
      <c r="C55" s="99" t="s">
        <v>88</v>
      </c>
      <c r="D55" s="91">
        <v>6467</v>
      </c>
      <c r="E55" s="62">
        <v>5.3</v>
      </c>
      <c r="F55" s="62">
        <v>8.59</v>
      </c>
      <c r="G55" s="62">
        <f t="shared" si="0"/>
        <v>342.75099999999998</v>
      </c>
      <c r="H55" s="72">
        <f t="shared" si="1"/>
        <v>555.51530000000002</v>
      </c>
      <c r="I55" s="120">
        <v>1906.1000000000001</v>
      </c>
      <c r="J55" s="120">
        <v>1963.2830000000001</v>
      </c>
      <c r="K55" s="120">
        <v>4.4571218718850005</v>
      </c>
      <c r="L55" s="120">
        <v>8.4080530927023744</v>
      </c>
      <c r="M55" s="58" t="s">
        <v>875</v>
      </c>
      <c r="N55" s="58" t="s">
        <v>876</v>
      </c>
      <c r="O55" s="59">
        <v>5200</v>
      </c>
      <c r="P55" s="56">
        <v>5.05</v>
      </c>
      <c r="Q55" s="60">
        <v>8.2899999999999991</v>
      </c>
      <c r="R55" s="61">
        <f t="shared" si="2"/>
        <v>7163.2830000000004</v>
      </c>
      <c r="S55" s="62">
        <f t="shared" si="3"/>
        <v>350.10591599999998</v>
      </c>
      <c r="T55" s="63">
        <f t="shared" si="4"/>
        <v>596.15387699999997</v>
      </c>
      <c r="U55" s="64" t="s">
        <v>311</v>
      </c>
      <c r="V55" s="65" t="s">
        <v>878</v>
      </c>
      <c r="W55" s="104" t="s">
        <v>187</v>
      </c>
      <c r="X55" s="67">
        <v>10000</v>
      </c>
      <c r="Y55" s="68">
        <v>4.75</v>
      </c>
      <c r="Z55" s="68">
        <v>8.23</v>
      </c>
      <c r="AA55" s="62">
        <f t="shared" si="5"/>
        <v>475</v>
      </c>
      <c r="AB55" s="63">
        <f t="shared" si="6"/>
        <v>823</v>
      </c>
      <c r="AC55" s="69">
        <v>9950</v>
      </c>
      <c r="AD55" s="70">
        <v>4.6986432160804021</v>
      </c>
      <c r="AE55" s="70">
        <v>8.0089145728643203</v>
      </c>
      <c r="AF55" s="62">
        <f t="shared" si="7"/>
        <v>467.51500000000004</v>
      </c>
      <c r="AG55" s="63">
        <f t="shared" si="8"/>
        <v>796.88699999999983</v>
      </c>
      <c r="AH55" s="141">
        <v>3630</v>
      </c>
      <c r="AI55" s="138">
        <v>5</v>
      </c>
      <c r="AJ55" s="138">
        <v>8.4</v>
      </c>
      <c r="AK55" s="62">
        <f t="shared" si="9"/>
        <v>181.5</v>
      </c>
      <c r="AL55" s="72">
        <f t="shared" si="10"/>
        <v>304.92</v>
      </c>
      <c r="AM55" s="81">
        <f t="shared" si="14"/>
        <v>50.282999999999447</v>
      </c>
      <c r="AN55" s="80">
        <f t="shared" si="18"/>
        <v>43.841915999999912</v>
      </c>
      <c r="AO55" s="80">
        <f t="shared" si="18"/>
        <v>49.862177000000145</v>
      </c>
      <c r="AP55" s="114">
        <f t="shared" si="15"/>
        <v>9.902575771810275E-2</v>
      </c>
      <c r="AQ55" s="115">
        <f t="shared" si="12"/>
        <v>36000.745648577911</v>
      </c>
      <c r="AR55" s="90">
        <f t="shared" si="19"/>
        <v>0.28299999999944703</v>
      </c>
      <c r="AS55" s="90">
        <f>SUM(J42:J55)</f>
        <v>28744.415999999994</v>
      </c>
      <c r="AT55" s="83">
        <f>SUM(AM42:AM55)</f>
        <v>-1065.5840000000007</v>
      </c>
      <c r="AU55" s="83">
        <f>SUM(AN42:AN55)</f>
        <v>16.438178000000164</v>
      </c>
      <c r="AV55" s="83">
        <f>SUM(AO42:AO55)</f>
        <v>20.057737000000529</v>
      </c>
      <c r="AW55" s="83">
        <f>-SUM(AQ42:AQ55)</f>
        <v>-13906.193200213136</v>
      </c>
    </row>
    <row r="56" spans="1:49" ht="15.75" x14ac:dyDescent="0.25">
      <c r="A56" t="str">
        <f t="shared" si="13"/>
        <v>46230M</v>
      </c>
      <c r="B56" s="51">
        <f t="shared" si="17"/>
        <v>46230</v>
      </c>
      <c r="C56" s="99" t="s">
        <v>87</v>
      </c>
      <c r="D56" s="91">
        <v>3630</v>
      </c>
      <c r="E56" s="62">
        <v>5</v>
      </c>
      <c r="F56" s="62">
        <v>8.4</v>
      </c>
      <c r="G56" s="62">
        <f t="shared" si="0"/>
        <v>181.5</v>
      </c>
      <c r="H56" s="72">
        <f t="shared" si="1"/>
        <v>304.92</v>
      </c>
      <c r="I56" s="120">
        <v>1520.3000000000002</v>
      </c>
      <c r="J56" s="120">
        <v>1565.9090000000003</v>
      </c>
      <c r="K56" s="120">
        <v>4.8069986186936795</v>
      </c>
      <c r="L56" s="120">
        <v>8.5276590146681581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2"/>
        <v>1565.9090000000003</v>
      </c>
      <c r="S56" s="62">
        <f t="shared" si="3"/>
        <v>75.273224000000027</v>
      </c>
      <c r="T56" s="63">
        <f t="shared" si="4"/>
        <v>133.53538000000003</v>
      </c>
      <c r="U56" s="64" t="s">
        <v>167</v>
      </c>
      <c r="V56" s="65" t="s">
        <v>167</v>
      </c>
      <c r="W56" s="66" t="s">
        <v>167</v>
      </c>
      <c r="X56" s="67">
        <v>0</v>
      </c>
      <c r="Y56" s="68">
        <v>0</v>
      </c>
      <c r="Z56" s="68">
        <v>0</v>
      </c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141">
        <v>5196</v>
      </c>
      <c r="AI56" s="138">
        <v>4.9000000000000004</v>
      </c>
      <c r="AJ56" s="138">
        <v>8.4</v>
      </c>
      <c r="AK56" s="62">
        <f t="shared" si="9"/>
        <v>254.60400000000001</v>
      </c>
      <c r="AL56" s="72">
        <f t="shared" si="10"/>
        <v>436.46400000000006</v>
      </c>
      <c r="AM56" s="81">
        <f t="shared" si="14"/>
        <v>-9.0999999999439751E-2</v>
      </c>
      <c r="AN56" s="80">
        <f t="shared" si="18"/>
        <v>2.169224000000014</v>
      </c>
      <c r="AO56" s="80">
        <f t="shared" si="18"/>
        <v>1.9913799999999924</v>
      </c>
      <c r="AP56" s="114">
        <f t="shared" si="15"/>
        <v>1.9925443302135217E-2</v>
      </c>
      <c r="AQ56" s="115">
        <f t="shared" si="12"/>
        <v>1638.7833142051893</v>
      </c>
      <c r="AR56" s="90">
        <f t="shared" si="19"/>
        <v>-9.0999999999439751E-2</v>
      </c>
    </row>
    <row r="57" spans="1:49" ht="15.75" x14ac:dyDescent="0.25">
      <c r="A57" t="str">
        <f t="shared" si="13"/>
        <v>46230E</v>
      </c>
      <c r="B57" s="51">
        <f t="shared" si="17"/>
        <v>46230</v>
      </c>
      <c r="C57" s="99" t="s">
        <v>88</v>
      </c>
      <c r="D57" s="91">
        <v>5196</v>
      </c>
      <c r="E57" s="62">
        <v>4.9000000000000004</v>
      </c>
      <c r="F57" s="62">
        <v>8.4</v>
      </c>
      <c r="G57" s="62">
        <f t="shared" si="0"/>
        <v>254.60400000000001</v>
      </c>
      <c r="H57" s="72">
        <f t="shared" si="1"/>
        <v>436.46400000000006</v>
      </c>
      <c r="I57" s="120">
        <v>2132.3000000000002</v>
      </c>
      <c r="J57" s="120">
        <v>2196.2690000000002</v>
      </c>
      <c r="K57" s="120">
        <v>4.8222248276508921</v>
      </c>
      <c r="L57" s="120">
        <v>8.4767762509965774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2"/>
        <v>2196.2690000000002</v>
      </c>
      <c r="S57" s="62">
        <f t="shared" si="3"/>
        <v>105.90902899999999</v>
      </c>
      <c r="T57" s="63">
        <f t="shared" si="4"/>
        <v>186.17280900000003</v>
      </c>
      <c r="U57" s="64" t="s">
        <v>167</v>
      </c>
      <c r="V57" s="65" t="s">
        <v>180</v>
      </c>
      <c r="W57" s="104">
        <v>0</v>
      </c>
      <c r="X57" s="67">
        <v>0</v>
      </c>
      <c r="Y57" s="68">
        <v>0</v>
      </c>
      <c r="Z57" s="68">
        <v>0</v>
      </c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141">
        <v>7392</v>
      </c>
      <c r="AI57" s="138">
        <v>4.87</v>
      </c>
      <c r="AJ57" s="138">
        <v>8.4</v>
      </c>
      <c r="AK57" s="62">
        <f t="shared" si="9"/>
        <v>359.99040000000002</v>
      </c>
      <c r="AL57" s="72">
        <f t="shared" si="10"/>
        <v>620.928</v>
      </c>
      <c r="AM57" s="81">
        <f t="shared" si="14"/>
        <v>0.26900000000023283</v>
      </c>
      <c r="AN57" s="80">
        <f t="shared" si="18"/>
        <v>0.5226289999999949</v>
      </c>
      <c r="AO57" s="80">
        <f t="shared" si="18"/>
        <v>1.7088090000000875</v>
      </c>
      <c r="AP57" s="114">
        <f t="shared" si="15"/>
        <v>7.6397697826048406E-3</v>
      </c>
      <c r="AQ57" s="115">
        <f t="shared" si="12"/>
        <v>762.91332701492081</v>
      </c>
      <c r="AR57" s="90">
        <f t="shared" si="19"/>
        <v>0.26900000000023283</v>
      </c>
    </row>
    <row r="58" spans="1:49" ht="15.75" x14ac:dyDescent="0.25">
      <c r="A58" t="str">
        <f t="shared" si="13"/>
        <v>46231M</v>
      </c>
      <c r="B58" s="51">
        <f t="shared" si="17"/>
        <v>46231</v>
      </c>
      <c r="C58" s="99" t="s">
        <v>87</v>
      </c>
      <c r="D58" s="91">
        <v>7392</v>
      </c>
      <c r="E58" s="62">
        <v>4.87</v>
      </c>
      <c r="F58" s="62">
        <v>8.4</v>
      </c>
      <c r="G58" s="62">
        <f t="shared" si="0"/>
        <v>359.99040000000002</v>
      </c>
      <c r="H58" s="72">
        <f t="shared" si="1"/>
        <v>620.928</v>
      </c>
      <c r="I58" s="120">
        <v>1495.1999999999998</v>
      </c>
      <c r="J58" s="120">
        <v>1540.0559999999998</v>
      </c>
      <c r="K58" s="120">
        <v>5.6514379347244512</v>
      </c>
      <c r="L58" s="120">
        <v>8.7676230604601368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2"/>
        <v>1540.0559999999998</v>
      </c>
      <c r="S58" s="62">
        <f t="shared" si="3"/>
        <v>87.035308999999984</v>
      </c>
      <c r="T58" s="63">
        <f t="shared" si="4"/>
        <v>135.02630499999995</v>
      </c>
      <c r="U58" s="64" t="s">
        <v>189</v>
      </c>
      <c r="V58" s="65" t="s">
        <v>945</v>
      </c>
      <c r="W58" s="66" t="s">
        <v>115</v>
      </c>
      <c r="X58" s="67">
        <v>5000</v>
      </c>
      <c r="Y58" s="68">
        <v>4.55</v>
      </c>
      <c r="Z58" s="68">
        <v>8.19</v>
      </c>
      <c r="AA58" s="62">
        <f t="shared" si="5"/>
        <v>227.5</v>
      </c>
      <c r="AB58" s="63">
        <f t="shared" si="6"/>
        <v>409.5</v>
      </c>
      <c r="AC58" s="224">
        <v>5000</v>
      </c>
      <c r="AD58" s="223">
        <v>4.55</v>
      </c>
      <c r="AE58" s="223">
        <v>8.19</v>
      </c>
      <c r="AF58" s="62">
        <f t="shared" si="7"/>
        <v>227.5</v>
      </c>
      <c r="AG58" s="63">
        <f t="shared" si="8"/>
        <v>409.5</v>
      </c>
      <c r="AH58" s="141">
        <v>3932</v>
      </c>
      <c r="AI58" s="138">
        <v>4.96</v>
      </c>
      <c r="AJ58" s="138">
        <v>8.4700000000000006</v>
      </c>
      <c r="AK58" s="62">
        <f t="shared" si="9"/>
        <v>195.02719999999999</v>
      </c>
      <c r="AL58" s="72">
        <f t="shared" si="10"/>
        <v>333.04040000000003</v>
      </c>
      <c r="AM58" s="81">
        <f t="shared" si="14"/>
        <v>5.6000000000494765E-2</v>
      </c>
      <c r="AN58" s="80">
        <f t="shared" si="18"/>
        <v>24.498509000000013</v>
      </c>
      <c r="AO58" s="80">
        <f t="shared" si="18"/>
        <v>13.413904999999943</v>
      </c>
      <c r="AP58" s="114">
        <f t="shared" si="15"/>
        <v>0.17072925534982361</v>
      </c>
      <c r="AQ58" s="115">
        <f t="shared" si="12"/>
        <v>15789.676043464198</v>
      </c>
      <c r="AR58" s="90">
        <f t="shared" si="19"/>
        <v>5.6000000000494765E-2</v>
      </c>
    </row>
    <row r="59" spans="1:49" ht="15.75" x14ac:dyDescent="0.25">
      <c r="A59" t="str">
        <f t="shared" si="13"/>
        <v>46231E</v>
      </c>
      <c r="B59" s="51">
        <f t="shared" si="17"/>
        <v>46231</v>
      </c>
      <c r="C59" s="99" t="s">
        <v>88</v>
      </c>
      <c r="D59" s="91">
        <v>3932</v>
      </c>
      <c r="E59" s="62">
        <v>4.96</v>
      </c>
      <c r="F59" s="62">
        <v>8.4700000000000006</v>
      </c>
      <c r="G59" s="62">
        <f t="shared" si="0"/>
        <v>195.02719999999999</v>
      </c>
      <c r="H59" s="72">
        <f t="shared" si="1"/>
        <v>333.04040000000003</v>
      </c>
      <c r="I59" s="120">
        <v>1622.8999999999999</v>
      </c>
      <c r="J59" s="120">
        <v>1671.587</v>
      </c>
      <c r="K59" s="120">
        <v>4.185790868198902</v>
      </c>
      <c r="L59" s="120">
        <v>8.1702939182944139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2"/>
        <v>1671.587</v>
      </c>
      <c r="S59" s="62">
        <f t="shared" si="3"/>
        <v>69.969135999999978</v>
      </c>
      <c r="T59" s="63">
        <f t="shared" si="4"/>
        <v>136.57357100000004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141">
        <v>5603</v>
      </c>
      <c r="AI59" s="138">
        <v>4.7</v>
      </c>
      <c r="AJ59" s="138">
        <v>8.39</v>
      </c>
      <c r="AK59" s="62">
        <f t="shared" si="9"/>
        <v>263.34100000000001</v>
      </c>
      <c r="AL59" s="72">
        <f t="shared" si="10"/>
        <v>470.0917</v>
      </c>
      <c r="AM59" s="81">
        <f t="shared" si="14"/>
        <v>0.58699999999953434</v>
      </c>
      <c r="AN59" s="80">
        <f t="shared" si="18"/>
        <v>1.655335999999977</v>
      </c>
      <c r="AO59" s="80">
        <f t="shared" si="18"/>
        <v>-0.47772899999989704</v>
      </c>
      <c r="AP59" s="114">
        <f t="shared" si="15"/>
        <v>5.701518185292691E-3</v>
      </c>
      <c r="AQ59" s="115">
        <f t="shared" si="12"/>
        <v>652.36724075775953</v>
      </c>
      <c r="AR59" s="90">
        <f t="shared" si="19"/>
        <v>0.58699999999953434</v>
      </c>
    </row>
    <row r="60" spans="1:49" ht="15.75" x14ac:dyDescent="0.25">
      <c r="A60" t="str">
        <f t="shared" si="13"/>
        <v>46232M</v>
      </c>
      <c r="B60" s="51">
        <f t="shared" si="17"/>
        <v>46232</v>
      </c>
      <c r="C60" s="99" t="s">
        <v>87</v>
      </c>
      <c r="D60" s="91">
        <v>5603</v>
      </c>
      <c r="E60" s="62">
        <v>4.7</v>
      </c>
      <c r="F60" s="62">
        <v>8.39</v>
      </c>
      <c r="G60" s="62">
        <f t="shared" si="0"/>
        <v>263.34100000000001</v>
      </c>
      <c r="H60" s="72">
        <f t="shared" si="1"/>
        <v>470.0917</v>
      </c>
      <c r="I60" s="120">
        <v>1186.9000000000001</v>
      </c>
      <c r="J60" s="120">
        <v>1222.5070000000001</v>
      </c>
      <c r="K60" s="120">
        <v>5.3065043390344595</v>
      </c>
      <c r="L60" s="120">
        <v>8.7077765607886093</v>
      </c>
      <c r="M60" s="58" t="s">
        <v>875</v>
      </c>
      <c r="N60" s="58" t="s">
        <v>944</v>
      </c>
      <c r="O60" s="59">
        <v>5000</v>
      </c>
      <c r="P60" s="56">
        <v>4.55</v>
      </c>
      <c r="Q60" s="60">
        <v>8.19</v>
      </c>
      <c r="R60" s="61">
        <f t="shared" si="2"/>
        <v>6222.5069999999996</v>
      </c>
      <c r="S60" s="62">
        <f t="shared" si="3"/>
        <v>292.372387</v>
      </c>
      <c r="T60" s="63">
        <f t="shared" si="4"/>
        <v>515.95317799999998</v>
      </c>
      <c r="U60" s="64" t="s">
        <v>210</v>
      </c>
      <c r="V60" s="65" t="s">
        <v>946</v>
      </c>
      <c r="W60" s="66" t="s">
        <v>187</v>
      </c>
      <c r="X60" s="67">
        <v>10000</v>
      </c>
      <c r="Y60" s="68">
        <v>4.38</v>
      </c>
      <c r="Z60" s="68">
        <v>8.16</v>
      </c>
      <c r="AA60" s="62">
        <f t="shared" si="5"/>
        <v>438</v>
      </c>
      <c r="AB60" s="63">
        <f t="shared" si="6"/>
        <v>816.00000000000011</v>
      </c>
      <c r="AC60" s="69">
        <v>9940</v>
      </c>
      <c r="AD60" s="70">
        <v>4.3259054325955724</v>
      </c>
      <c r="AE60" s="70">
        <v>7.8951810865191137</v>
      </c>
      <c r="AF60" s="62">
        <f t="shared" si="7"/>
        <v>429.99499999999989</v>
      </c>
      <c r="AG60" s="63">
        <f t="shared" si="8"/>
        <v>784.78099999999995</v>
      </c>
      <c r="AH60" s="141">
        <v>1825</v>
      </c>
      <c r="AI60" s="138">
        <v>4.7</v>
      </c>
      <c r="AJ60" s="138">
        <v>8.34</v>
      </c>
      <c r="AK60" s="62">
        <f t="shared" si="9"/>
        <v>85.775000000000006</v>
      </c>
      <c r="AL60" s="72">
        <f t="shared" si="10"/>
        <v>152.20500000000001</v>
      </c>
      <c r="AM60" s="81">
        <f t="shared" si="14"/>
        <v>60.506999999999607</v>
      </c>
      <c r="AN60" s="80">
        <f t="shared" si="18"/>
        <v>39.943387000000115</v>
      </c>
      <c r="AO60" s="80">
        <f t="shared" si="18"/>
        <v>49.058877999999964</v>
      </c>
      <c r="AP60" s="114">
        <f t="shared" si="15"/>
        <v>0.11010695300723303</v>
      </c>
      <c r="AQ60" s="115">
        <f t="shared" si="12"/>
        <v>33886.794681771949</v>
      </c>
      <c r="AR60" s="90">
        <f t="shared" si="19"/>
        <v>0.5069999999996071</v>
      </c>
    </row>
    <row r="61" spans="1:49" ht="15.75" x14ac:dyDescent="0.25">
      <c r="A61" t="str">
        <f t="shared" si="13"/>
        <v>46232E</v>
      </c>
      <c r="B61" s="51">
        <f t="shared" si="17"/>
        <v>46232</v>
      </c>
      <c r="C61" s="99" t="s">
        <v>88</v>
      </c>
      <c r="D61" s="91">
        <v>1825</v>
      </c>
      <c r="E61" s="62">
        <v>4.7</v>
      </c>
      <c r="F61" s="62">
        <v>8.34</v>
      </c>
      <c r="G61" s="62">
        <f t="shared" si="0"/>
        <v>85.775000000000006</v>
      </c>
      <c r="H61" s="72">
        <f t="shared" si="1"/>
        <v>152.20500000000001</v>
      </c>
      <c r="I61" s="120">
        <v>1280.3</v>
      </c>
      <c r="J61" s="120">
        <v>1318.7090000000001</v>
      </c>
      <c r="K61" s="120">
        <v>4.2275247988752636</v>
      </c>
      <c r="L61" s="120">
        <v>8.1924861360618593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2"/>
        <v>1318.7090000000001</v>
      </c>
      <c r="S61" s="62">
        <f t="shared" si="3"/>
        <v>55.748750000000001</v>
      </c>
      <c r="T61" s="63">
        <f t="shared" si="4"/>
        <v>108.03505199999999</v>
      </c>
      <c r="U61" s="64" t="s">
        <v>167</v>
      </c>
      <c r="V61" s="65" t="s">
        <v>167</v>
      </c>
      <c r="W61" s="104" t="s">
        <v>167</v>
      </c>
      <c r="X61" s="67">
        <v>0</v>
      </c>
      <c r="Y61" s="68">
        <v>0</v>
      </c>
      <c r="Z61" s="68">
        <v>0</v>
      </c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141">
        <v>3144</v>
      </c>
      <c r="AI61" s="138">
        <v>4.49</v>
      </c>
      <c r="AJ61" s="138">
        <v>8.2799999999999994</v>
      </c>
      <c r="AK61" s="62">
        <f t="shared" si="9"/>
        <v>141.16560000000001</v>
      </c>
      <c r="AL61" s="72">
        <f t="shared" si="10"/>
        <v>260.32319999999999</v>
      </c>
      <c r="AM61" s="81">
        <f t="shared" si="14"/>
        <v>-0.29100000000016735</v>
      </c>
      <c r="AN61" s="80">
        <f t="shared" si="18"/>
        <v>0.35814999999999486</v>
      </c>
      <c r="AO61" s="80">
        <f t="shared" si="18"/>
        <v>-8.3147999999994227E-2</v>
      </c>
      <c r="AP61" s="114">
        <f t="shared" si="15"/>
        <v>1.6790549287651819E-3</v>
      </c>
      <c r="AQ61" s="115">
        <f t="shared" si="12"/>
        <v>147.20064572833229</v>
      </c>
      <c r="AR61" s="90">
        <f t="shared" si="19"/>
        <v>-0.29100000000016735</v>
      </c>
      <c r="AS61" s="90">
        <f>SUM(J48:J61)</f>
        <v>26724.483</v>
      </c>
      <c r="AT61" s="83">
        <f>SUM(AM48:AM61)</f>
        <v>-977.51699999999983</v>
      </c>
      <c r="AU61" s="83">
        <f>SUM(AN48:AN61)</f>
        <v>68.209257000000136</v>
      </c>
      <c r="AV61" s="83">
        <f>SUM(AO48:AO61)</f>
        <v>58.575861000000614</v>
      </c>
      <c r="AW61" s="83">
        <f>-SUM(AQ48:AQ61)</f>
        <v>-50319.716853262165</v>
      </c>
    </row>
    <row r="62" spans="1:49" ht="15.75" x14ac:dyDescent="0.25">
      <c r="A62" t="str">
        <f t="shared" si="13"/>
        <v>46233M</v>
      </c>
      <c r="B62" s="51">
        <f t="shared" si="17"/>
        <v>46233</v>
      </c>
      <c r="C62" s="99" t="s">
        <v>87</v>
      </c>
      <c r="D62" s="91">
        <v>3144</v>
      </c>
      <c r="E62" s="62">
        <v>4.49</v>
      </c>
      <c r="F62" s="62">
        <v>8.2799999999999994</v>
      </c>
      <c r="G62" s="62">
        <f t="shared" si="0"/>
        <v>141.16560000000001</v>
      </c>
      <c r="H62" s="72">
        <f t="shared" si="1"/>
        <v>260.32319999999999</v>
      </c>
      <c r="I62" s="120">
        <v>1518.3999999999996</v>
      </c>
      <c r="J62" s="120">
        <v>1563.9519999999998</v>
      </c>
      <c r="K62" s="120">
        <v>5.3168203371970471</v>
      </c>
      <c r="L62" s="120">
        <v>8.663514225500526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2"/>
        <v>1563.9519999999998</v>
      </c>
      <c r="S62" s="62">
        <f t="shared" si="3"/>
        <v>83.152517999999958</v>
      </c>
      <c r="T62" s="63">
        <f t="shared" si="4"/>
        <v>135.49320399999996</v>
      </c>
      <c r="U62" s="64" t="s">
        <v>167</v>
      </c>
      <c r="V62" s="65" t="s">
        <v>167</v>
      </c>
      <c r="W62" s="104">
        <v>0</v>
      </c>
      <c r="X62" s="67">
        <v>0</v>
      </c>
      <c r="Y62" s="68">
        <v>0</v>
      </c>
      <c r="Z62" s="68">
        <v>0</v>
      </c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141">
        <v>4708</v>
      </c>
      <c r="AI62" s="138">
        <v>4.75</v>
      </c>
      <c r="AJ62" s="138">
        <v>8.4</v>
      </c>
      <c r="AK62" s="62">
        <f t="shared" si="9"/>
        <v>223.63</v>
      </c>
      <c r="AL62" s="72">
        <f t="shared" si="10"/>
        <v>395.47200000000004</v>
      </c>
      <c r="AM62" s="81">
        <f t="shared" si="14"/>
        <v>-4.800000000068394E-2</v>
      </c>
      <c r="AN62" s="80">
        <f t="shared" si="18"/>
        <v>0.68811799999997447</v>
      </c>
      <c r="AO62" s="80">
        <f t="shared" si="18"/>
        <v>0.34440399999988358</v>
      </c>
      <c r="AP62" s="114">
        <f t="shared" si="15"/>
        <v>4.7223517137914015E-3</v>
      </c>
      <c r="AQ62" s="115">
        <f t="shared" si="12"/>
        <v>433.80902672086211</v>
      </c>
      <c r="AR62" s="90">
        <f t="shared" si="19"/>
        <v>-4.800000000068394E-2</v>
      </c>
    </row>
    <row r="63" spans="1:49" ht="15.75" x14ac:dyDescent="0.25">
      <c r="A63" t="str">
        <f t="shared" si="13"/>
        <v>46233E</v>
      </c>
      <c r="B63" s="51">
        <f t="shared" si="17"/>
        <v>46233</v>
      </c>
      <c r="C63" s="99" t="s">
        <v>88</v>
      </c>
      <c r="D63" s="91">
        <v>4708</v>
      </c>
      <c r="E63" s="62">
        <v>4.75</v>
      </c>
      <c r="F63" s="62">
        <v>8.4</v>
      </c>
      <c r="G63" s="62">
        <f t="shared" si="0"/>
        <v>223.63</v>
      </c>
      <c r="H63" s="72">
        <f t="shared" si="1"/>
        <v>395.47200000000004</v>
      </c>
      <c r="I63" s="120">
        <v>2424.4</v>
      </c>
      <c r="J63" s="120">
        <v>2497.1320000000001</v>
      </c>
      <c r="K63" s="120">
        <v>4.2845611285266463</v>
      </c>
      <c r="L63" s="120">
        <v>8.2713042402243868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2"/>
        <v>2497.1320000000001</v>
      </c>
      <c r="S63" s="62">
        <f t="shared" si="3"/>
        <v>106.99114700000001</v>
      </c>
      <c r="T63" s="63">
        <f t="shared" si="4"/>
        <v>206.54538500000004</v>
      </c>
      <c r="U63" s="64" t="s">
        <v>210</v>
      </c>
      <c r="V63" s="65" t="s">
        <v>947</v>
      </c>
      <c r="W63" s="104" t="s">
        <v>734</v>
      </c>
      <c r="X63" s="67">
        <v>5200</v>
      </c>
      <c r="Y63" s="68">
        <v>4.6500000000000004</v>
      </c>
      <c r="Z63" s="68">
        <v>8.27</v>
      </c>
      <c r="AA63" s="62">
        <f t="shared" si="5"/>
        <v>241.80000000000004</v>
      </c>
      <c r="AB63" s="63">
        <f t="shared" si="6"/>
        <v>430.03999999999996</v>
      </c>
      <c r="AC63" s="221">
        <v>5200</v>
      </c>
      <c r="AD63" s="222">
        <v>4.6500000000000004</v>
      </c>
      <c r="AE63" s="222">
        <v>8.27</v>
      </c>
      <c r="AF63" s="62">
        <f t="shared" si="7"/>
        <v>241.80000000000004</v>
      </c>
      <c r="AG63" s="63">
        <f t="shared" si="8"/>
        <v>430.03999999999996</v>
      </c>
      <c r="AH63" s="141">
        <v>3670</v>
      </c>
      <c r="AI63" s="138">
        <v>4.8499999999999996</v>
      </c>
      <c r="AJ63" s="138">
        <v>8.66</v>
      </c>
      <c r="AK63" s="62">
        <f t="shared" si="9"/>
        <v>177.99499999999998</v>
      </c>
      <c r="AL63" s="72">
        <f t="shared" si="10"/>
        <v>317.822</v>
      </c>
      <c r="AM63" s="81">
        <f t="shared" si="14"/>
        <v>-1664.8680000000004</v>
      </c>
      <c r="AN63" s="80">
        <f t="shared" si="18"/>
        <v>-89.173853000000008</v>
      </c>
      <c r="AO63" s="80">
        <f t="shared" si="18"/>
        <v>-145.84461499999986</v>
      </c>
      <c r="AP63" s="114">
        <f t="shared" si="15"/>
        <v>-0.74957283765580407</v>
      </c>
      <c r="AQ63" s="115">
        <f t="shared" si="12"/>
        <v>-86530.102465880656</v>
      </c>
      <c r="AR63" s="90">
        <f t="shared" si="19"/>
        <v>-1664.8680000000004</v>
      </c>
    </row>
    <row r="64" spans="1:49" ht="15.75" x14ac:dyDescent="0.25">
      <c r="A64" t="str">
        <f t="shared" si="13"/>
        <v>46234M</v>
      </c>
      <c r="B64" s="51">
        <f t="shared" si="17"/>
        <v>46234</v>
      </c>
      <c r="C64" s="99" t="s">
        <v>87</v>
      </c>
      <c r="D64" s="105"/>
      <c r="E64" s="106"/>
      <c r="F64" s="106"/>
      <c r="G64" s="62">
        <f t="shared" si="0"/>
        <v>0</v>
      </c>
      <c r="H64" s="72">
        <f t="shared" si="1"/>
        <v>0</v>
      </c>
      <c r="I64" s="120"/>
      <c r="J64" s="120"/>
      <c r="K64" s="120"/>
      <c r="L64" s="120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102"/>
      <c r="V64" s="65"/>
      <c r="W64" s="104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141"/>
      <c r="AI64" s="138"/>
      <c r="AJ64" s="138"/>
      <c r="AK64" s="62">
        <f t="shared" si="9"/>
        <v>0</v>
      </c>
      <c r="AL64" s="72">
        <f t="shared" si="10"/>
        <v>0</v>
      </c>
      <c r="AM64" s="81">
        <f t="shared" si="14"/>
        <v>0</v>
      </c>
      <c r="AN64" s="80">
        <f t="shared" si="18"/>
        <v>0</v>
      </c>
      <c r="AO64" s="80">
        <f t="shared" si="18"/>
        <v>0</v>
      </c>
      <c r="AP64" s="114" t="e">
        <f t="shared" si="15"/>
        <v>#DIV/0!</v>
      </c>
      <c r="AQ64" s="115">
        <f t="shared" si="12"/>
        <v>0</v>
      </c>
    </row>
    <row r="65" spans="1:43" ht="15.75" x14ac:dyDescent="0.25">
      <c r="A65" t="str">
        <f t="shared" si="13"/>
        <v>46234E</v>
      </c>
      <c r="B65" s="51">
        <f t="shared" si="17"/>
        <v>46234</v>
      </c>
      <c r="C65" s="99" t="s">
        <v>88</v>
      </c>
      <c r="D65" s="105"/>
      <c r="E65" s="106"/>
      <c r="F65" s="106"/>
      <c r="G65" s="62">
        <f t="shared" si="0"/>
        <v>0</v>
      </c>
      <c r="H65" s="72">
        <f t="shared" si="1"/>
        <v>0</v>
      </c>
      <c r="I65" s="120"/>
      <c r="J65" s="120"/>
      <c r="K65" s="120"/>
      <c r="L65" s="120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102"/>
      <c r="V65" s="103"/>
      <c r="W65" s="104"/>
      <c r="X65" s="112"/>
      <c r="Y65" s="113"/>
      <c r="Z65" s="113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141"/>
      <c r="AI65" s="138"/>
      <c r="AJ65" s="138"/>
      <c r="AK65" s="62">
        <f t="shared" si="9"/>
        <v>0</v>
      </c>
      <c r="AL65" s="72">
        <f t="shared" si="10"/>
        <v>0</v>
      </c>
      <c r="AM65" s="81">
        <f t="shared" si="14"/>
        <v>0</v>
      </c>
      <c r="AN65" s="80">
        <f t="shared" si="18"/>
        <v>0</v>
      </c>
      <c r="AO65" s="80">
        <f t="shared" si="18"/>
        <v>0</v>
      </c>
      <c r="AP65" s="114" t="e">
        <f t="shared" si="15"/>
        <v>#DIV/0!</v>
      </c>
      <c r="AQ65" s="115">
        <f t="shared" si="12"/>
        <v>0</v>
      </c>
    </row>
    <row r="66" spans="1:43" x14ac:dyDescent="0.25">
      <c r="J66" s="83">
        <f>SUM(J4:J65)</f>
        <v>151067.62800000006</v>
      </c>
      <c r="AM66" s="97">
        <f t="shared" ref="AM66:AO66" si="20">-SUM(AM4:AM65)</f>
        <v>4067.3720000000017</v>
      </c>
      <c r="AN66" s="97">
        <f>-SUM(AN4:AN65)</f>
        <v>-42.20859100000078</v>
      </c>
      <c r="AO66" s="97">
        <f t="shared" si="20"/>
        <v>51.397504999998333</v>
      </c>
      <c r="AP66" s="97"/>
      <c r="AQ66" s="97">
        <f>-SUM(AQ4:AQ65)</f>
        <v>-4889.5065336252592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9" priority="2" operator="lessThan">
      <formula>0.1</formula>
    </cfRule>
    <cfRule type="cellIs" dxfId="38" priority="3" operator="greaterThan">
      <formula>0.1</formula>
    </cfRule>
  </conditionalFormatting>
  <conditionalFormatting sqref="AP1:AQ1">
    <cfRule type="cellIs" dxfId="37" priority="1" operator="lessThan">
      <formula>1</formula>
    </cfRule>
  </conditionalFormatting>
  <conditionalFormatting sqref="AQ4:AQ65">
    <cfRule type="cellIs" dxfId="36" priority="4" operator="lessThan">
      <formula>0</formula>
    </cfRule>
    <cfRule type="cellIs" dxfId="35" priority="5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66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AH50" sqref="AH50:AJ63"/>
    </sheetView>
  </sheetViews>
  <sheetFormatPr defaultRowHeight="15" x14ac:dyDescent="0.25"/>
  <cols>
    <col min="1" max="1" width="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140625" customWidth="1"/>
    <col min="23" max="23" width="9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5.5703125" bestFit="1" customWidth="1"/>
    <col min="45" max="45" width="6.5703125" bestFit="1" customWidth="1"/>
    <col min="46" max="46" width="8.140625" bestFit="1" customWidth="1"/>
    <col min="47" max="47" width="6" bestFit="1" customWidth="1"/>
    <col min="48" max="48" width="7.140625" bestFit="1" customWidth="1"/>
    <col min="49" max="49" width="10" bestFit="1" customWidth="1"/>
  </cols>
  <sheetData>
    <row r="1" spans="1:44" ht="15.75" thickBot="1" x14ac:dyDescent="0.3">
      <c r="B1" s="43" t="s">
        <v>156</v>
      </c>
      <c r="C1" s="44"/>
      <c r="L1">
        <v>2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6042</v>
      </c>
      <c r="E4" s="108">
        <v>5.3</v>
      </c>
      <c r="F4" s="108">
        <v>8.6</v>
      </c>
      <c r="G4" s="55">
        <f t="shared" ref="G4:G65" si="0">+D4*E4%</f>
        <v>320.226</v>
      </c>
      <c r="H4" s="142">
        <f>D4*F4%</f>
        <v>519.61199999999997</v>
      </c>
      <c r="I4" s="143">
        <v>1117</v>
      </c>
      <c r="J4" s="144">
        <v>1150.51</v>
      </c>
      <c r="K4" s="145">
        <v>5.8491674127126227</v>
      </c>
      <c r="L4" s="146">
        <v>8.5935183527305288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1150.51</v>
      </c>
      <c r="S4" s="62">
        <f>+J4*K4%+O4*P4%</f>
        <v>67.295255999999995</v>
      </c>
      <c r="T4" s="63">
        <f>+J4*L4%+O4*Q4%</f>
        <v>98.869287999999997</v>
      </c>
      <c r="U4" s="64" t="s">
        <v>202</v>
      </c>
      <c r="V4" s="65" t="s">
        <v>244</v>
      </c>
      <c r="W4" s="66" t="s">
        <v>203</v>
      </c>
      <c r="X4" s="67">
        <v>3412</v>
      </c>
      <c r="Y4" s="68">
        <v>5.3</v>
      </c>
      <c r="Z4" s="68">
        <v>8.6</v>
      </c>
      <c r="AA4" s="62">
        <f>X4*Y4%</f>
        <v>180.83599999999998</v>
      </c>
      <c r="AB4" s="63">
        <f t="shared" ref="AB4" si="1">X4*Z4%</f>
        <v>293.43199999999996</v>
      </c>
      <c r="AC4" s="69">
        <v>3410</v>
      </c>
      <c r="AD4" s="70">
        <v>5.3</v>
      </c>
      <c r="AE4" s="70">
        <v>8.6</v>
      </c>
      <c r="AF4" s="62">
        <f t="shared" ref="AF4" si="2">AC4*AD4%</f>
        <v>180.73</v>
      </c>
      <c r="AG4" s="63">
        <f t="shared" ref="AG4" si="3">AC4*AE4%</f>
        <v>293.26</v>
      </c>
      <c r="AH4" s="89">
        <v>3800</v>
      </c>
      <c r="AI4" s="66">
        <v>5.4</v>
      </c>
      <c r="AJ4" s="66">
        <v>8.6</v>
      </c>
      <c r="AK4" s="62">
        <f t="shared" ref="AK4:AK65" si="4">AH4*AI4%</f>
        <v>205.20000000000002</v>
      </c>
      <c r="AL4" s="72">
        <f t="shared" ref="AL4:AL65" si="5">AH4*AJ4%</f>
        <v>326.79999999999995</v>
      </c>
      <c r="AM4" s="73">
        <f t="shared" ref="AM4:AM65" si="6">+D4+R4-AC4-AH4</f>
        <v>-17.489999999999782</v>
      </c>
      <c r="AN4" s="74">
        <f t="shared" ref="AN4:AO19" si="7">+G4+S4-AF4-AK4</f>
        <v>1.5912559999999871</v>
      </c>
      <c r="AO4" s="74">
        <f t="shared" si="7"/>
        <v>-1.5787119999999959</v>
      </c>
      <c r="AP4" s="75">
        <f>(AN4+AO4)/(S4+T4)</f>
        <v>7.5491435766171817E-5</v>
      </c>
      <c r="AQ4" s="76">
        <f t="shared" ref="AQ4:AQ65" si="8">($AP$1*AN4+$AQ$1*AO4)</f>
        <v>291.84010819609415</v>
      </c>
      <c r="AR4" s="90">
        <f t="shared" ref="AR4:AR65" si="9">(D4+J4+O4)-(X4+AH4)</f>
        <v>-19.489999999999782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3800</v>
      </c>
      <c r="E5" s="62">
        <v>5.4</v>
      </c>
      <c r="F5" s="62">
        <v>8.6</v>
      </c>
      <c r="G5" s="62">
        <f t="shared" si="0"/>
        <v>205.20000000000002</v>
      </c>
      <c r="H5" s="72">
        <f t="shared" ref="H5:H65" si="11">+D5*F5%</f>
        <v>326.79999999999995</v>
      </c>
      <c r="I5" s="143">
        <v>1075.4000000000001</v>
      </c>
      <c r="J5" s="144">
        <v>1107.662</v>
      </c>
      <c r="K5" s="145">
        <v>5.1794867026222784</v>
      </c>
      <c r="L5" s="146">
        <v>8.5242235447275405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1107.662</v>
      </c>
      <c r="S5" s="62">
        <f t="shared" ref="S5:S65" si="13">+J5*K5%+O5*P5%</f>
        <v>57.371205999999979</v>
      </c>
      <c r="T5" s="63">
        <f t="shared" ref="T5:T65" si="14">+J5*L5%+O5*Q5%</f>
        <v>94.419584999999984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5">X5*Y5%</f>
        <v>0</v>
      </c>
      <c r="AB5" s="63">
        <f t="shared" ref="AB5:AB65" si="16">X5*Z5%</f>
        <v>0</v>
      </c>
      <c r="AC5" s="69"/>
      <c r="AD5" s="70"/>
      <c r="AE5" s="70"/>
      <c r="AF5" s="62">
        <f t="shared" ref="AF5:AF65" si="17">AC5*AD5%</f>
        <v>0</v>
      </c>
      <c r="AG5" s="63">
        <f t="shared" ref="AG5:AG65" si="18">AC5*AE5%</f>
        <v>0</v>
      </c>
      <c r="AH5" s="89">
        <v>4925</v>
      </c>
      <c r="AI5" s="66">
        <v>5.3</v>
      </c>
      <c r="AJ5" s="66">
        <v>8.6</v>
      </c>
      <c r="AK5" s="62">
        <f t="shared" si="4"/>
        <v>261.02499999999998</v>
      </c>
      <c r="AL5" s="72">
        <f t="shared" si="5"/>
        <v>423.54999999999995</v>
      </c>
      <c r="AM5" s="73">
        <f t="shared" si="6"/>
        <v>-17.337999999999738</v>
      </c>
      <c r="AN5" s="74">
        <f t="shared" si="7"/>
        <v>1.5462060000000406</v>
      </c>
      <c r="AO5" s="74">
        <f t="shared" si="7"/>
        <v>-2.3304150000000163</v>
      </c>
      <c r="AP5" s="75">
        <f t="shared" ref="AP5:AP65" si="19">(AN5+AO5)/(S5+T5)</f>
        <v>-5.1663806139594856E-3</v>
      </c>
      <c r="AQ5" s="76">
        <f t="shared" si="8"/>
        <v>45.063760523896462</v>
      </c>
      <c r="AR5" s="90">
        <f t="shared" si="9"/>
        <v>-17.337999999999738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4925</v>
      </c>
      <c r="E6" s="62">
        <v>5.3</v>
      </c>
      <c r="F6" s="62">
        <v>8.6</v>
      </c>
      <c r="G6" s="62">
        <f t="shared" si="0"/>
        <v>261.02499999999998</v>
      </c>
      <c r="H6" s="72">
        <f t="shared" si="11"/>
        <v>423.54999999999995</v>
      </c>
      <c r="I6" s="143">
        <v>1191.7</v>
      </c>
      <c r="J6" s="144">
        <v>1227.451</v>
      </c>
      <c r="K6" s="145">
        <v>5.9250566417722563</v>
      </c>
      <c r="L6" s="146">
        <v>8.6309641688344367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1227.451</v>
      </c>
      <c r="S6" s="62">
        <f t="shared" si="13"/>
        <v>72.72716699999998</v>
      </c>
      <c r="T6" s="63">
        <f t="shared" si="14"/>
        <v>105.940856</v>
      </c>
      <c r="U6" s="64" t="s">
        <v>205</v>
      </c>
      <c r="V6" s="65" t="s">
        <v>245</v>
      </c>
      <c r="W6" s="66" t="s">
        <v>203</v>
      </c>
      <c r="X6" s="67">
        <v>3728</v>
      </c>
      <c r="Y6" s="68">
        <v>5.3</v>
      </c>
      <c r="Z6" s="68">
        <v>8.5</v>
      </c>
      <c r="AA6" s="62">
        <f t="shared" si="15"/>
        <v>197.584</v>
      </c>
      <c r="AB6" s="63">
        <f t="shared" si="16"/>
        <v>316.88</v>
      </c>
      <c r="AC6" s="69">
        <v>3730</v>
      </c>
      <c r="AD6" s="70">
        <v>5.3</v>
      </c>
      <c r="AE6" s="70">
        <v>8.5</v>
      </c>
      <c r="AF6" s="62">
        <f t="shared" si="17"/>
        <v>197.69</v>
      </c>
      <c r="AG6" s="63">
        <f t="shared" si="18"/>
        <v>317.05</v>
      </c>
      <c r="AH6" s="89">
        <v>2438</v>
      </c>
      <c r="AI6" s="66">
        <v>5.6</v>
      </c>
      <c r="AJ6" s="66">
        <v>8.6999999999999993</v>
      </c>
      <c r="AK6" s="62">
        <f t="shared" si="4"/>
        <v>136.52799999999999</v>
      </c>
      <c r="AL6" s="72">
        <f t="shared" si="5"/>
        <v>212.10599999999999</v>
      </c>
      <c r="AM6" s="73">
        <f t="shared" si="6"/>
        <v>-15.548999999999978</v>
      </c>
      <c r="AN6" s="74">
        <f t="shared" si="7"/>
        <v>-0.46583300000000349</v>
      </c>
      <c r="AO6" s="74">
        <f t="shared" si="7"/>
        <v>0.33485599999988835</v>
      </c>
      <c r="AP6" s="75">
        <f t="shared" si="19"/>
        <v>-7.3307465880514705E-4</v>
      </c>
      <c r="AQ6" s="76">
        <f t="shared" si="8"/>
        <v>-123.56152675837029</v>
      </c>
      <c r="AR6" s="90">
        <f t="shared" si="9"/>
        <v>-13.548999999999978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2438</v>
      </c>
      <c r="E7" s="62">
        <v>5.6</v>
      </c>
      <c r="F7" s="62">
        <v>8.6999999999999993</v>
      </c>
      <c r="G7" s="62">
        <f t="shared" si="0"/>
        <v>136.52799999999999</v>
      </c>
      <c r="H7" s="72">
        <f t="shared" si="11"/>
        <v>212.10599999999999</v>
      </c>
      <c r="I7" s="143">
        <v>1128.7</v>
      </c>
      <c r="J7" s="144">
        <v>1162.5610000000001</v>
      </c>
      <c r="K7" s="145">
        <v>5.238557632674758</v>
      </c>
      <c r="L7" s="146">
        <v>8.4748737485602916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1162.5610000000001</v>
      </c>
      <c r="S7" s="62">
        <f t="shared" si="13"/>
        <v>60.901428000000003</v>
      </c>
      <c r="T7" s="63">
        <f t="shared" si="14"/>
        <v>98.525577000000013</v>
      </c>
      <c r="U7" s="64" t="s">
        <v>167</v>
      </c>
      <c r="V7" s="65" t="s">
        <v>180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3600</v>
      </c>
      <c r="AI7" s="66">
        <v>5.5</v>
      </c>
      <c r="AJ7" s="66">
        <v>8.6</v>
      </c>
      <c r="AK7" s="62">
        <f t="shared" si="4"/>
        <v>198</v>
      </c>
      <c r="AL7" s="72">
        <f t="shared" si="5"/>
        <v>309.59999999999997</v>
      </c>
      <c r="AM7" s="73">
        <f t="shared" si="6"/>
        <v>0.56100000000014916</v>
      </c>
      <c r="AN7" s="74">
        <f t="shared" si="7"/>
        <v>-0.57057199999999852</v>
      </c>
      <c r="AO7" s="74">
        <f t="shared" si="7"/>
        <v>1.0315770000000271</v>
      </c>
      <c r="AP7" s="75">
        <f t="shared" si="19"/>
        <v>2.8916368340484631E-3</v>
      </c>
      <c r="AQ7" s="76">
        <f t="shared" si="8"/>
        <v>34.76971179520217</v>
      </c>
      <c r="AR7" s="90">
        <f t="shared" si="9"/>
        <v>0.56100000000014916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3600</v>
      </c>
      <c r="E8" s="62">
        <v>5.5</v>
      </c>
      <c r="F8" s="62">
        <v>8.6</v>
      </c>
      <c r="G8" s="62">
        <f t="shared" si="0"/>
        <v>198</v>
      </c>
      <c r="H8" s="72">
        <f t="shared" si="11"/>
        <v>309.59999999999997</v>
      </c>
      <c r="I8" s="143">
        <v>1299.0999999999999</v>
      </c>
      <c r="J8" s="144">
        <v>1338.0729999999999</v>
      </c>
      <c r="K8" s="145">
        <v>5.7176583788776849</v>
      </c>
      <c r="L8" s="146">
        <v>8.5554229851435633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1338.0729999999999</v>
      </c>
      <c r="S8" s="62">
        <f t="shared" si="13"/>
        <v>76.506443000000004</v>
      </c>
      <c r="T8" s="63">
        <f t="shared" si="14"/>
        <v>114.47780500000002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89">
        <v>4960</v>
      </c>
      <c r="AI8" s="66">
        <v>5.5</v>
      </c>
      <c r="AJ8" s="66">
        <v>8.6</v>
      </c>
      <c r="AK8" s="62">
        <f t="shared" si="4"/>
        <v>272.8</v>
      </c>
      <c r="AL8" s="72">
        <f t="shared" si="5"/>
        <v>426.55999999999995</v>
      </c>
      <c r="AM8" s="73">
        <f t="shared" si="6"/>
        <v>-21.92699999999968</v>
      </c>
      <c r="AN8" s="74">
        <f t="shared" si="7"/>
        <v>1.7064429999999788</v>
      </c>
      <c r="AO8" s="74">
        <f t="shared" si="7"/>
        <v>-2.4821949999999333</v>
      </c>
      <c r="AP8" s="75">
        <f t="shared" si="19"/>
        <v>-4.0618637826086807E-3</v>
      </c>
      <c r="AQ8" s="76">
        <f t="shared" si="8"/>
        <v>76.606095388623771</v>
      </c>
      <c r="AR8" s="90">
        <f t="shared" si="9"/>
        <v>-21.92699999999968</v>
      </c>
    </row>
    <row r="9" spans="1:44" x14ac:dyDescent="0.25">
      <c r="A9" t="str">
        <f t="shared" si="10"/>
        <v>46206E</v>
      </c>
      <c r="B9" s="51">
        <f t="shared" ref="B9:B65" si="20">+B7+1</f>
        <v>46206</v>
      </c>
      <c r="C9" s="52" t="s">
        <v>88</v>
      </c>
      <c r="D9" s="91">
        <v>4960</v>
      </c>
      <c r="E9" s="62">
        <v>5.5</v>
      </c>
      <c r="F9" s="62">
        <v>8.6</v>
      </c>
      <c r="G9" s="62">
        <f t="shared" si="0"/>
        <v>272.8</v>
      </c>
      <c r="H9" s="72">
        <f t="shared" si="11"/>
        <v>426.55999999999995</v>
      </c>
      <c r="I9" s="143">
        <v>1185.5999999999999</v>
      </c>
      <c r="J9" s="144">
        <v>1221.1679999999999</v>
      </c>
      <c r="K9" s="145">
        <v>5.1400556680161946</v>
      </c>
      <c r="L9" s="146">
        <v>8.5003626855600523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1221.1679999999999</v>
      </c>
      <c r="S9" s="62">
        <f t="shared" si="13"/>
        <v>62.768715</v>
      </c>
      <c r="T9" s="63">
        <f t="shared" si="14"/>
        <v>103.80370899999997</v>
      </c>
      <c r="U9" s="64" t="s">
        <v>206</v>
      </c>
      <c r="V9" s="65" t="s">
        <v>283</v>
      </c>
      <c r="W9" s="66" t="s">
        <v>203</v>
      </c>
      <c r="X9" s="67">
        <v>3783</v>
      </c>
      <c r="Y9" s="68">
        <v>5.7</v>
      </c>
      <c r="Z9" s="68">
        <v>9</v>
      </c>
      <c r="AA9" s="62">
        <f t="shared" si="15"/>
        <v>215.631</v>
      </c>
      <c r="AB9" s="63">
        <f t="shared" si="16"/>
        <v>340.46999999999997</v>
      </c>
      <c r="AC9" s="69">
        <v>3780</v>
      </c>
      <c r="AD9" s="70">
        <v>5.7</v>
      </c>
      <c r="AE9" s="70">
        <v>8.8000000000000007</v>
      </c>
      <c r="AF9" s="62">
        <f t="shared" si="17"/>
        <v>215.46</v>
      </c>
      <c r="AG9" s="63">
        <f t="shared" si="18"/>
        <v>332.64000000000004</v>
      </c>
      <c r="AH9" s="89">
        <v>2390</v>
      </c>
      <c r="AI9" s="66">
        <v>4.9000000000000004</v>
      </c>
      <c r="AJ9" s="66">
        <v>8.5</v>
      </c>
      <c r="AK9" s="62">
        <f t="shared" si="4"/>
        <v>117.11</v>
      </c>
      <c r="AL9" s="72">
        <f t="shared" si="5"/>
        <v>203.15</v>
      </c>
      <c r="AM9" s="73">
        <f t="shared" si="6"/>
        <v>11.167999999999665</v>
      </c>
      <c r="AN9" s="74">
        <f t="shared" si="7"/>
        <v>2.99871499999999</v>
      </c>
      <c r="AO9" s="74">
        <f t="shared" si="7"/>
        <v>-5.4262910000000772</v>
      </c>
      <c r="AP9" s="75">
        <f t="shared" si="19"/>
        <v>-1.4573696784289384E-2</v>
      </c>
      <c r="AQ9" s="76">
        <f t="shared" si="8"/>
        <v>-184.14569192970316</v>
      </c>
      <c r="AR9" s="90">
        <f t="shared" si="9"/>
        <v>8.1679999999996653</v>
      </c>
    </row>
    <row r="10" spans="1:44" x14ac:dyDescent="0.25">
      <c r="A10" t="str">
        <f t="shared" si="10"/>
        <v>46207M</v>
      </c>
      <c r="B10" s="51">
        <f t="shared" si="20"/>
        <v>46207</v>
      </c>
      <c r="C10" s="52" t="s">
        <v>87</v>
      </c>
      <c r="D10" s="91">
        <v>2390</v>
      </c>
      <c r="E10" s="62">
        <v>4.9000000000000004</v>
      </c>
      <c r="F10" s="62">
        <v>8.5</v>
      </c>
      <c r="G10" s="62">
        <f t="shared" si="0"/>
        <v>117.11</v>
      </c>
      <c r="H10" s="72">
        <f t="shared" si="11"/>
        <v>203.15</v>
      </c>
      <c r="I10" s="143">
        <v>1196.5000000000002</v>
      </c>
      <c r="J10" s="144">
        <v>1232.3950000000002</v>
      </c>
      <c r="K10" s="145">
        <v>5.7900292519849561</v>
      </c>
      <c r="L10" s="146">
        <v>8.5724529878813183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1232.3950000000002</v>
      </c>
      <c r="S10" s="62">
        <f t="shared" si="13"/>
        <v>71.356031000000002</v>
      </c>
      <c r="T10" s="63">
        <f t="shared" si="14"/>
        <v>105.64648199999999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5"/>
        <v>0</v>
      </c>
      <c r="AB10" s="63">
        <f t="shared" si="16"/>
        <v>0</v>
      </c>
      <c r="AC10" s="69"/>
      <c r="AD10" s="70"/>
      <c r="AE10" s="70"/>
      <c r="AF10" s="62">
        <f t="shared" si="17"/>
        <v>0</v>
      </c>
      <c r="AG10" s="63">
        <f t="shared" si="18"/>
        <v>0</v>
      </c>
      <c r="AH10" s="89">
        <v>3630</v>
      </c>
      <c r="AI10" s="66">
        <v>5.2</v>
      </c>
      <c r="AJ10" s="66">
        <v>8.5</v>
      </c>
      <c r="AK10" s="62">
        <f t="shared" si="4"/>
        <v>188.76000000000002</v>
      </c>
      <c r="AL10" s="72">
        <f t="shared" si="5"/>
        <v>308.55</v>
      </c>
      <c r="AM10" s="73">
        <f t="shared" si="6"/>
        <v>-7.6049999999995634</v>
      </c>
      <c r="AN10" s="74">
        <f t="shared" si="7"/>
        <v>-0.29396900000003257</v>
      </c>
      <c r="AO10" s="74">
        <f t="shared" si="7"/>
        <v>0.24648199999995768</v>
      </c>
      <c r="AP10" s="75">
        <f t="shared" si="19"/>
        <v>-2.6828432656249849E-4</v>
      </c>
      <c r="AQ10" s="76">
        <f t="shared" si="8"/>
        <v>-67.442507448955553</v>
      </c>
      <c r="AR10" s="90">
        <f t="shared" si="9"/>
        <v>-7.6049999999995634</v>
      </c>
    </row>
    <row r="11" spans="1:44" x14ac:dyDescent="0.25">
      <c r="A11" t="str">
        <f t="shared" si="10"/>
        <v>46207E</v>
      </c>
      <c r="B11" s="51">
        <f t="shared" si="20"/>
        <v>46207</v>
      </c>
      <c r="C11" s="52" t="s">
        <v>88</v>
      </c>
      <c r="D11" s="91">
        <v>3630</v>
      </c>
      <c r="E11" s="62">
        <v>5.2</v>
      </c>
      <c r="F11" s="62">
        <v>8.5</v>
      </c>
      <c r="G11" s="62">
        <f t="shared" si="0"/>
        <v>188.76000000000002</v>
      </c>
      <c r="H11" s="72">
        <f t="shared" si="11"/>
        <v>308.55</v>
      </c>
      <c r="I11" s="143">
        <v>1290.6000000000001</v>
      </c>
      <c r="J11" s="144">
        <v>1329.3180000000002</v>
      </c>
      <c r="K11" s="145">
        <v>5.0381450488145054</v>
      </c>
      <c r="L11" s="146">
        <v>8.4677126917712702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1329.3180000000002</v>
      </c>
      <c r="S11" s="62">
        <f t="shared" si="13"/>
        <v>66.97296900000002</v>
      </c>
      <c r="T11" s="63">
        <f t="shared" si="14"/>
        <v>112.56282900000004</v>
      </c>
      <c r="U11" s="64" t="s">
        <v>202</v>
      </c>
      <c r="V11" s="65" t="s">
        <v>284</v>
      </c>
      <c r="W11" s="66" t="s">
        <v>203</v>
      </c>
      <c r="X11" s="67">
        <v>3855</v>
      </c>
      <c r="Y11" s="68">
        <v>5.5</v>
      </c>
      <c r="Z11" s="68">
        <v>9</v>
      </c>
      <c r="AA11" s="62">
        <f t="shared" si="15"/>
        <v>212.02500000000001</v>
      </c>
      <c r="AB11" s="63">
        <f t="shared" si="16"/>
        <v>346.95</v>
      </c>
      <c r="AC11" s="69">
        <v>3855</v>
      </c>
      <c r="AD11" s="70">
        <v>5.5</v>
      </c>
      <c r="AE11" s="70">
        <v>8.5</v>
      </c>
      <c r="AF11" s="62">
        <f t="shared" si="17"/>
        <v>212.02500000000001</v>
      </c>
      <c r="AG11" s="63">
        <f t="shared" si="18"/>
        <v>327.67500000000001</v>
      </c>
      <c r="AH11" s="89">
        <v>1115</v>
      </c>
      <c r="AI11" s="66">
        <v>4.2</v>
      </c>
      <c r="AJ11" s="66">
        <v>8.5</v>
      </c>
      <c r="AK11" s="62">
        <f t="shared" si="4"/>
        <v>46.830000000000005</v>
      </c>
      <c r="AL11" s="72">
        <f t="shared" si="5"/>
        <v>94.775000000000006</v>
      </c>
      <c r="AM11" s="73">
        <f t="shared" si="6"/>
        <v>-10.681999999999789</v>
      </c>
      <c r="AN11" s="74">
        <f t="shared" si="7"/>
        <v>-3.1220309999999856</v>
      </c>
      <c r="AO11" s="74">
        <f t="shared" si="7"/>
        <v>-1.3371709999999837</v>
      </c>
      <c r="AP11" s="75">
        <f t="shared" si="19"/>
        <v>-2.4837397609138473E-2</v>
      </c>
      <c r="AQ11" s="76">
        <f t="shared" si="8"/>
        <v>-1900.7083167701992</v>
      </c>
      <c r="AR11" s="90">
        <f t="shared" si="9"/>
        <v>-10.681999999999789</v>
      </c>
    </row>
    <row r="12" spans="1:44" x14ac:dyDescent="0.25">
      <c r="A12" t="str">
        <f t="shared" si="10"/>
        <v>46208M</v>
      </c>
      <c r="B12" s="51">
        <f t="shared" si="20"/>
        <v>46208</v>
      </c>
      <c r="C12" s="52" t="s">
        <v>87</v>
      </c>
      <c r="D12" s="91">
        <v>1115</v>
      </c>
      <c r="E12" s="62">
        <v>4.2</v>
      </c>
      <c r="F12" s="62">
        <v>8.5</v>
      </c>
      <c r="G12" s="62">
        <f t="shared" si="0"/>
        <v>46.830000000000005</v>
      </c>
      <c r="H12" s="72">
        <f t="shared" si="11"/>
        <v>94.775000000000006</v>
      </c>
      <c r="I12" s="143">
        <v>1179.1999999999998</v>
      </c>
      <c r="J12" s="144">
        <v>1214.5759999999998</v>
      </c>
      <c r="K12" s="145">
        <v>5.734294436906378</v>
      </c>
      <c r="L12" s="146">
        <v>8.5147557666214375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1214.5759999999998</v>
      </c>
      <c r="S12" s="62">
        <f t="shared" si="13"/>
        <v>69.647363999999996</v>
      </c>
      <c r="T12" s="63">
        <f t="shared" si="14"/>
        <v>103.41817999999998</v>
      </c>
      <c r="U12" s="64" t="s">
        <v>180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2330</v>
      </c>
      <c r="AI12" s="66">
        <v>5</v>
      </c>
      <c r="AJ12" s="66">
        <v>8.5</v>
      </c>
      <c r="AK12" s="62">
        <f t="shared" si="4"/>
        <v>116.5</v>
      </c>
      <c r="AL12" s="72">
        <f t="shared" si="5"/>
        <v>198.05</v>
      </c>
      <c r="AM12" s="73">
        <f t="shared" si="6"/>
        <v>-0.42399999999997817</v>
      </c>
      <c r="AN12" s="74">
        <f t="shared" si="7"/>
        <v>-2.2636000000005652E-2</v>
      </c>
      <c r="AO12" s="74">
        <f t="shared" si="7"/>
        <v>0.14317999999997255</v>
      </c>
      <c r="AP12" s="75">
        <f t="shared" si="19"/>
        <v>6.9652223784051961E-4</v>
      </c>
      <c r="AQ12" s="76">
        <f t="shared" si="8"/>
        <v>32.003800617567137</v>
      </c>
      <c r="AR12" s="90">
        <f t="shared" si="9"/>
        <v>-0.42399999999997817</v>
      </c>
    </row>
    <row r="13" spans="1:44" x14ac:dyDescent="0.25">
      <c r="A13" t="str">
        <f t="shared" si="10"/>
        <v>46208E</v>
      </c>
      <c r="B13" s="51">
        <f t="shared" si="20"/>
        <v>46208</v>
      </c>
      <c r="C13" s="52" t="s">
        <v>88</v>
      </c>
      <c r="D13" s="91">
        <v>2330</v>
      </c>
      <c r="E13" s="62">
        <v>5</v>
      </c>
      <c r="F13" s="62">
        <v>8.5</v>
      </c>
      <c r="G13" s="62">
        <f t="shared" si="0"/>
        <v>116.5</v>
      </c>
      <c r="H13" s="72">
        <f t="shared" si="11"/>
        <v>198.05</v>
      </c>
      <c r="I13" s="143">
        <v>1266.7</v>
      </c>
      <c r="J13" s="144">
        <v>1304.701</v>
      </c>
      <c r="K13" s="145">
        <v>5.0134285939843704</v>
      </c>
      <c r="L13" s="146">
        <v>8.4416594300150027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1304.701</v>
      </c>
      <c r="S13" s="62">
        <f t="shared" si="13"/>
        <v>65.410253000000026</v>
      </c>
      <c r="T13" s="63">
        <f t="shared" si="14"/>
        <v>110.13841500000004</v>
      </c>
      <c r="U13" s="64" t="s">
        <v>202</v>
      </c>
      <c r="V13" s="65" t="s">
        <v>285</v>
      </c>
      <c r="W13" s="66" t="s">
        <v>203</v>
      </c>
      <c r="X13" s="67">
        <v>2550</v>
      </c>
      <c r="Y13" s="68">
        <v>5.3</v>
      </c>
      <c r="Z13" s="68">
        <v>8.5</v>
      </c>
      <c r="AA13" s="62">
        <f t="shared" si="15"/>
        <v>135.15</v>
      </c>
      <c r="AB13" s="63">
        <f t="shared" si="16"/>
        <v>216.75000000000003</v>
      </c>
      <c r="AC13" s="69">
        <v>2550</v>
      </c>
      <c r="AD13" s="70">
        <v>5.3</v>
      </c>
      <c r="AE13" s="70">
        <v>8.5</v>
      </c>
      <c r="AF13" s="62">
        <f t="shared" si="17"/>
        <v>135.15</v>
      </c>
      <c r="AG13" s="63">
        <f t="shared" si="18"/>
        <v>216.75000000000003</v>
      </c>
      <c r="AH13" s="89">
        <v>1090</v>
      </c>
      <c r="AI13" s="66">
        <v>4.3</v>
      </c>
      <c r="AJ13" s="66">
        <v>8.4</v>
      </c>
      <c r="AK13" s="62">
        <f t="shared" si="4"/>
        <v>46.87</v>
      </c>
      <c r="AL13" s="72">
        <f t="shared" si="5"/>
        <v>91.56</v>
      </c>
      <c r="AM13" s="73">
        <f t="shared" si="6"/>
        <v>-5.2989999999999782</v>
      </c>
      <c r="AN13" s="74">
        <f t="shared" si="7"/>
        <v>-0.1097469999999916</v>
      </c>
      <c r="AO13" s="74">
        <f t="shared" si="7"/>
        <v>-0.12158499999995342</v>
      </c>
      <c r="AP13" s="75">
        <f t="shared" si="19"/>
        <v>-1.3177656238322749E-3</v>
      </c>
      <c r="AQ13" s="76">
        <f t="shared" si="8"/>
        <v>-89.15063046075224</v>
      </c>
      <c r="AR13" s="90">
        <f t="shared" si="9"/>
        <v>-5.2989999999999782</v>
      </c>
    </row>
    <row r="14" spans="1:44" x14ac:dyDescent="0.25">
      <c r="A14" t="str">
        <f t="shared" si="10"/>
        <v>46209M</v>
      </c>
      <c r="B14" s="51">
        <f t="shared" si="20"/>
        <v>46209</v>
      </c>
      <c r="C14" s="52" t="s">
        <v>87</v>
      </c>
      <c r="D14" s="91">
        <v>1090</v>
      </c>
      <c r="E14" s="62">
        <v>4.3</v>
      </c>
      <c r="F14" s="62">
        <v>8.4</v>
      </c>
      <c r="G14" s="62">
        <f t="shared" si="0"/>
        <v>46.87</v>
      </c>
      <c r="H14" s="72">
        <f t="shared" si="11"/>
        <v>91.56</v>
      </c>
      <c r="I14" s="143">
        <v>1297.0100000000002</v>
      </c>
      <c r="J14" s="144">
        <v>1335.9203000000002</v>
      </c>
      <c r="K14" s="145">
        <v>5.8519109336088411</v>
      </c>
      <c r="L14" s="146">
        <v>8.6661305618306752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1335.9203000000002</v>
      </c>
      <c r="S14" s="62">
        <f t="shared" si="13"/>
        <v>78.176866100000041</v>
      </c>
      <c r="T14" s="63">
        <f t="shared" si="14"/>
        <v>115.77259740000005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2415</v>
      </c>
      <c r="AI14" s="66">
        <v>5.2</v>
      </c>
      <c r="AJ14" s="66">
        <v>8.5</v>
      </c>
      <c r="AK14" s="62">
        <f t="shared" si="4"/>
        <v>125.58000000000001</v>
      </c>
      <c r="AL14" s="72">
        <f t="shared" si="5"/>
        <v>205.27500000000001</v>
      </c>
      <c r="AM14" s="73">
        <f t="shared" si="6"/>
        <v>10.920300000000225</v>
      </c>
      <c r="AN14" s="74">
        <f t="shared" si="7"/>
        <v>-0.5331338999999673</v>
      </c>
      <c r="AO14" s="74">
        <f t="shared" si="7"/>
        <v>2.0575974000000485</v>
      </c>
      <c r="AP14" s="75">
        <f t="shared" si="19"/>
        <v>7.8601068159184703E-3</v>
      </c>
      <c r="AQ14" s="76">
        <f t="shared" si="8"/>
        <v>360.04391296362098</v>
      </c>
      <c r="AR14" s="90">
        <f t="shared" si="9"/>
        <v>10.920300000000225</v>
      </c>
    </row>
    <row r="15" spans="1:44" x14ac:dyDescent="0.25">
      <c r="A15" t="str">
        <f t="shared" si="10"/>
        <v>46209E</v>
      </c>
      <c r="B15" s="51">
        <f t="shared" si="20"/>
        <v>46209</v>
      </c>
      <c r="C15" s="52" t="s">
        <v>88</v>
      </c>
      <c r="D15" s="91">
        <v>2415</v>
      </c>
      <c r="E15" s="62">
        <v>5.2</v>
      </c>
      <c r="F15" s="62">
        <v>8.5</v>
      </c>
      <c r="G15" s="62">
        <f t="shared" si="0"/>
        <v>125.58000000000001</v>
      </c>
      <c r="H15" s="72">
        <f t="shared" si="11"/>
        <v>205.27500000000001</v>
      </c>
      <c r="I15" s="143">
        <v>1182.3999999999996</v>
      </c>
      <c r="J15" s="144">
        <v>1217.8719999999996</v>
      </c>
      <c r="K15" s="145">
        <v>5.3509556833558856</v>
      </c>
      <c r="L15" s="146">
        <v>8.6236129905277412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1217.8719999999996</v>
      </c>
      <c r="S15" s="62">
        <f t="shared" si="13"/>
        <v>65.167790999999966</v>
      </c>
      <c r="T15" s="63">
        <f t="shared" si="14"/>
        <v>105.02456799999999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3640</v>
      </c>
      <c r="AI15" s="66">
        <v>5.2</v>
      </c>
      <c r="AJ15" s="66">
        <v>8.6</v>
      </c>
      <c r="AK15" s="62">
        <f t="shared" si="4"/>
        <v>189.28000000000003</v>
      </c>
      <c r="AL15" s="72">
        <f t="shared" si="5"/>
        <v>313.03999999999996</v>
      </c>
      <c r="AM15" s="73">
        <f t="shared" si="6"/>
        <v>-7.1280000000006112</v>
      </c>
      <c r="AN15" s="74">
        <f t="shared" si="7"/>
        <v>1.4677909999999486</v>
      </c>
      <c r="AO15" s="74">
        <f t="shared" si="7"/>
        <v>-2.7404319999999416</v>
      </c>
      <c r="AP15" s="75">
        <f t="shared" si="19"/>
        <v>-7.4776623784854725E-3</v>
      </c>
      <c r="AQ15" s="76">
        <f t="shared" si="8"/>
        <v>-115.41364042322243</v>
      </c>
      <c r="AR15" s="90">
        <f t="shared" si="9"/>
        <v>-7.1280000000006112</v>
      </c>
    </row>
    <row r="16" spans="1:44" x14ac:dyDescent="0.25">
      <c r="A16" t="str">
        <f t="shared" si="10"/>
        <v>46210M</v>
      </c>
      <c r="B16" s="51">
        <f t="shared" si="20"/>
        <v>46210</v>
      </c>
      <c r="C16" s="52" t="s">
        <v>87</v>
      </c>
      <c r="D16" s="91">
        <v>3640</v>
      </c>
      <c r="E16" s="62">
        <v>5.2</v>
      </c>
      <c r="F16" s="62">
        <v>8.6</v>
      </c>
      <c r="G16" s="62">
        <f t="shared" si="0"/>
        <v>189.28000000000003</v>
      </c>
      <c r="H16" s="72">
        <f t="shared" si="11"/>
        <v>313.03999999999996</v>
      </c>
      <c r="I16" s="143">
        <v>1327.3000000000002</v>
      </c>
      <c r="J16" s="144">
        <v>1367.1190000000001</v>
      </c>
      <c r="K16" s="145">
        <v>5.7280042190913871</v>
      </c>
      <c r="L16" s="146">
        <v>8.6767422587207097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1367.1190000000001</v>
      </c>
      <c r="S16" s="62">
        <f t="shared" si="13"/>
        <v>78.308633999999984</v>
      </c>
      <c r="T16" s="63">
        <f t="shared" si="14"/>
        <v>118.621392</v>
      </c>
      <c r="U16" s="64" t="s">
        <v>202</v>
      </c>
      <c r="V16" s="65" t="s">
        <v>346</v>
      </c>
      <c r="W16" s="66" t="s">
        <v>203</v>
      </c>
      <c r="X16" s="67">
        <v>2584</v>
      </c>
      <c r="Y16" s="68">
        <v>5.5</v>
      </c>
      <c r="Z16" s="68">
        <v>8.8800000000000008</v>
      </c>
      <c r="AA16" s="62">
        <f t="shared" si="15"/>
        <v>142.12</v>
      </c>
      <c r="AB16" s="63">
        <f t="shared" si="16"/>
        <v>229.45920000000001</v>
      </c>
      <c r="AC16" s="69">
        <v>2585</v>
      </c>
      <c r="AD16" s="70">
        <v>5.5</v>
      </c>
      <c r="AE16" s="70">
        <v>8.8000000000000007</v>
      </c>
      <c r="AF16" s="62">
        <f t="shared" si="17"/>
        <v>142.17500000000001</v>
      </c>
      <c r="AG16" s="63">
        <f t="shared" si="18"/>
        <v>227.48000000000002</v>
      </c>
      <c r="AH16" s="89">
        <v>2430</v>
      </c>
      <c r="AI16" s="66">
        <v>5.0999999999999996</v>
      </c>
      <c r="AJ16" s="66">
        <v>8.5</v>
      </c>
      <c r="AK16" s="62">
        <f t="shared" si="4"/>
        <v>123.92999999999999</v>
      </c>
      <c r="AL16" s="72">
        <f t="shared" si="5"/>
        <v>206.55</v>
      </c>
      <c r="AM16" s="73">
        <f t="shared" si="6"/>
        <v>-7.8809999999994034</v>
      </c>
      <c r="AN16" s="74">
        <f t="shared" si="7"/>
        <v>1.4836340000000092</v>
      </c>
      <c r="AO16" s="74">
        <f t="shared" si="7"/>
        <v>-2.3686080000000516</v>
      </c>
      <c r="AP16" s="75">
        <f t="shared" si="19"/>
        <v>-4.4938500135070433E-3</v>
      </c>
      <c r="AQ16" s="76">
        <f t="shared" si="8"/>
        <v>3.5574145425295001</v>
      </c>
      <c r="AR16" s="90">
        <f t="shared" si="9"/>
        <v>-6.8809999999994034</v>
      </c>
    </row>
    <row r="17" spans="1:49" x14ac:dyDescent="0.25">
      <c r="A17" t="str">
        <f t="shared" si="10"/>
        <v>46210E</v>
      </c>
      <c r="B17" s="51">
        <f t="shared" si="20"/>
        <v>46210</v>
      </c>
      <c r="C17" s="52" t="s">
        <v>88</v>
      </c>
      <c r="D17" s="91">
        <v>2430</v>
      </c>
      <c r="E17" s="62">
        <v>5.0999999999999996</v>
      </c>
      <c r="F17" s="62">
        <v>8.5</v>
      </c>
      <c r="G17" s="62">
        <f t="shared" si="0"/>
        <v>123.92999999999999</v>
      </c>
      <c r="H17" s="72">
        <f t="shared" si="11"/>
        <v>206.55</v>
      </c>
      <c r="I17" s="143">
        <v>1192.7</v>
      </c>
      <c r="J17" s="144">
        <v>1228.481</v>
      </c>
      <c r="K17" s="145">
        <v>5.2591934266789657</v>
      </c>
      <c r="L17" s="146">
        <v>8.6447975182359329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1228.481</v>
      </c>
      <c r="S17" s="62">
        <f t="shared" si="13"/>
        <v>64.608192000000031</v>
      </c>
      <c r="T17" s="63">
        <f t="shared" si="14"/>
        <v>106.19969499999998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5"/>
        <v>0</v>
      </c>
      <c r="AB17" s="63">
        <f t="shared" si="1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89">
        <v>3660</v>
      </c>
      <c r="AI17" s="66">
        <v>5.0999999999999996</v>
      </c>
      <c r="AJ17" s="66">
        <v>8.6</v>
      </c>
      <c r="AK17" s="62">
        <f t="shared" si="4"/>
        <v>186.66</v>
      </c>
      <c r="AL17" s="72">
        <f t="shared" si="5"/>
        <v>314.76</v>
      </c>
      <c r="AM17" s="73">
        <f t="shared" si="6"/>
        <v>-1.5190000000002328</v>
      </c>
      <c r="AN17" s="74">
        <f t="shared" si="7"/>
        <v>1.8781920000000412</v>
      </c>
      <c r="AO17" s="74">
        <f t="shared" si="7"/>
        <v>-2.0103050000000167</v>
      </c>
      <c r="AP17" s="75">
        <f t="shared" si="19"/>
        <v>-7.7345960025824512E-4</v>
      </c>
      <c r="AQ17" s="76">
        <f t="shared" si="8"/>
        <v>300.46393369875113</v>
      </c>
      <c r="AR17" s="90">
        <f t="shared" si="9"/>
        <v>-1.5190000000002328</v>
      </c>
    </row>
    <row r="18" spans="1:49" x14ac:dyDescent="0.25">
      <c r="A18" t="str">
        <f t="shared" si="10"/>
        <v>46211M</v>
      </c>
      <c r="B18" s="51">
        <f t="shared" si="20"/>
        <v>46211</v>
      </c>
      <c r="C18" s="98" t="s">
        <v>87</v>
      </c>
      <c r="D18" s="91">
        <v>3660</v>
      </c>
      <c r="E18" s="62">
        <v>5.0999999999999996</v>
      </c>
      <c r="F18" s="62">
        <v>8.6</v>
      </c>
      <c r="G18" s="62">
        <f t="shared" si="0"/>
        <v>186.66</v>
      </c>
      <c r="H18" s="72">
        <f t="shared" si="11"/>
        <v>314.76</v>
      </c>
      <c r="I18" s="143">
        <v>1237.1000000000001</v>
      </c>
      <c r="J18" s="144">
        <v>1274.2130000000002</v>
      </c>
      <c r="K18" s="145">
        <v>6.0508689677471503</v>
      </c>
      <c r="L18" s="146">
        <v>8.6845202489693651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1274.2130000000002</v>
      </c>
      <c r="S18" s="62">
        <f t="shared" si="13"/>
        <v>77.100959000000003</v>
      </c>
      <c r="T18" s="63">
        <f t="shared" si="14"/>
        <v>110.65928600000004</v>
      </c>
      <c r="U18" s="64" t="s">
        <v>202</v>
      </c>
      <c r="V18" s="65" t="s">
        <v>412</v>
      </c>
      <c r="W18" s="66" t="s">
        <v>203</v>
      </c>
      <c r="X18" s="67">
        <v>2502</v>
      </c>
      <c r="Y18" s="68">
        <v>5.6</v>
      </c>
      <c r="Z18" s="68">
        <v>8.6999999999999993</v>
      </c>
      <c r="AA18" s="62">
        <f t="shared" si="15"/>
        <v>140.11199999999999</v>
      </c>
      <c r="AB18" s="63">
        <f t="shared" si="16"/>
        <v>217.67399999999998</v>
      </c>
      <c r="AC18" s="69">
        <v>2500</v>
      </c>
      <c r="AD18" s="70">
        <v>5.6</v>
      </c>
      <c r="AE18" s="70">
        <v>8.6</v>
      </c>
      <c r="AF18" s="62">
        <f t="shared" si="17"/>
        <v>139.99999999999997</v>
      </c>
      <c r="AG18" s="63">
        <f t="shared" si="18"/>
        <v>214.99999999999997</v>
      </c>
      <c r="AH18" s="89">
        <v>2440</v>
      </c>
      <c r="AI18" s="66">
        <v>5.0999999999999996</v>
      </c>
      <c r="AJ18" s="66">
        <v>8.6</v>
      </c>
      <c r="AK18" s="62">
        <f t="shared" si="4"/>
        <v>124.44</v>
      </c>
      <c r="AL18" s="72">
        <f t="shared" si="5"/>
        <v>209.83999999999997</v>
      </c>
      <c r="AM18" s="73">
        <f t="shared" si="6"/>
        <v>-5.7870000000002619</v>
      </c>
      <c r="AN18" s="74">
        <f t="shared" si="7"/>
        <v>-0.67904099999995537</v>
      </c>
      <c r="AO18" s="74">
        <f t="shared" si="7"/>
        <v>0.57928600000010988</v>
      </c>
      <c r="AP18" s="75">
        <f t="shared" si="19"/>
        <v>-5.3128925135267836E-4</v>
      </c>
      <c r="AQ18" s="76">
        <f t="shared" si="8"/>
        <v>-152.81030095737387</v>
      </c>
      <c r="AR18" s="90">
        <f t="shared" si="9"/>
        <v>-7.7870000000002619</v>
      </c>
    </row>
    <row r="19" spans="1:49" x14ac:dyDescent="0.25">
      <c r="A19" t="str">
        <f t="shared" si="10"/>
        <v>46211E</v>
      </c>
      <c r="B19" s="51">
        <f t="shared" si="20"/>
        <v>46211</v>
      </c>
      <c r="C19" s="52" t="s">
        <v>88</v>
      </c>
      <c r="D19" s="91">
        <v>2440</v>
      </c>
      <c r="E19" s="62">
        <v>5.0999999999999996</v>
      </c>
      <c r="F19" s="62">
        <v>8.6</v>
      </c>
      <c r="G19" s="62">
        <f t="shared" si="0"/>
        <v>124.44</v>
      </c>
      <c r="H19" s="72">
        <f t="shared" si="11"/>
        <v>209.83999999999997</v>
      </c>
      <c r="I19" s="143">
        <v>1185.6000000000001</v>
      </c>
      <c r="J19" s="144">
        <v>1221.1680000000001</v>
      </c>
      <c r="K19" s="145">
        <v>5.5239372469635608</v>
      </c>
      <c r="L19" s="146">
        <v>8.6197199730094454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1221.1680000000001</v>
      </c>
      <c r="S19" s="62">
        <f t="shared" si="13"/>
        <v>67.456553999999983</v>
      </c>
      <c r="T19" s="63">
        <f t="shared" si="14"/>
        <v>105.261262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89">
        <v>3677</v>
      </c>
      <c r="AI19" s="66">
        <v>5.2</v>
      </c>
      <c r="AJ19" s="66">
        <v>8.6</v>
      </c>
      <c r="AK19" s="62">
        <f t="shared" si="4"/>
        <v>191.20400000000001</v>
      </c>
      <c r="AL19" s="72">
        <f t="shared" si="5"/>
        <v>316.22199999999998</v>
      </c>
      <c r="AM19" s="73">
        <f t="shared" si="6"/>
        <v>-15.83199999999988</v>
      </c>
      <c r="AN19" s="74">
        <f t="shared" si="7"/>
        <v>0.6925539999999728</v>
      </c>
      <c r="AO19" s="74">
        <f t="shared" si="7"/>
        <v>-1.1207380000000171</v>
      </c>
      <c r="AP19" s="75">
        <f t="shared" si="19"/>
        <v>-2.4790957291866427E-3</v>
      </c>
      <c r="AQ19" s="76">
        <f t="shared" si="8"/>
        <v>-2.8563164603314135</v>
      </c>
      <c r="AR19" s="90">
        <f t="shared" si="9"/>
        <v>-15.83199999999988</v>
      </c>
      <c r="AS19" s="90">
        <f>SUM(J6:J19)</f>
        <v>17675.016299999999</v>
      </c>
      <c r="AT19" s="83">
        <f>SUM(AM6:AM19)</f>
        <v>-76.983699999999317</v>
      </c>
      <c r="AU19" s="83">
        <f>SUM(AN6:AN19)</f>
        <v>4.4303661000000005</v>
      </c>
      <c r="AV19" s="83">
        <f>SUM(AO6:AO19)</f>
        <v>-13.214346599999971</v>
      </c>
      <c r="AW19" s="83">
        <f>-SUM(AQ6:AQ19)</f>
        <v>1828.6440622026134</v>
      </c>
    </row>
    <row r="20" spans="1:49" x14ac:dyDescent="0.25">
      <c r="A20" t="str">
        <f t="shared" si="10"/>
        <v>46212M</v>
      </c>
      <c r="B20" s="51">
        <f t="shared" si="20"/>
        <v>46212</v>
      </c>
      <c r="C20" s="52" t="s">
        <v>87</v>
      </c>
      <c r="D20" s="91">
        <v>3677</v>
      </c>
      <c r="E20" s="62">
        <v>5.2</v>
      </c>
      <c r="F20" s="62">
        <v>8.6</v>
      </c>
      <c r="G20" s="62">
        <f t="shared" si="0"/>
        <v>191.20400000000001</v>
      </c>
      <c r="H20" s="72">
        <f t="shared" si="11"/>
        <v>316.22199999999998</v>
      </c>
      <c r="I20" s="143">
        <v>1221.3</v>
      </c>
      <c r="J20" s="144">
        <v>1257.9390000000001</v>
      </c>
      <c r="K20" s="145">
        <v>5.7819700319331879</v>
      </c>
      <c r="L20" s="146">
        <v>8.6574715467125216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1257.9390000000001</v>
      </c>
      <c r="S20" s="62">
        <f t="shared" si="13"/>
        <v>72.733656000000039</v>
      </c>
      <c r="T20" s="63">
        <f t="shared" si="14"/>
        <v>108.90571100000003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17"/>
        <v>0</v>
      </c>
      <c r="AG20" s="63">
        <f t="shared" si="18"/>
        <v>0</v>
      </c>
      <c r="AH20" s="89">
        <v>4920</v>
      </c>
      <c r="AI20" s="66">
        <v>5.4</v>
      </c>
      <c r="AJ20" s="66">
        <v>8.6</v>
      </c>
      <c r="AK20" s="62">
        <f t="shared" si="4"/>
        <v>265.68</v>
      </c>
      <c r="AL20" s="72">
        <f t="shared" si="5"/>
        <v>423.11999999999995</v>
      </c>
      <c r="AM20" s="73">
        <f t="shared" si="6"/>
        <v>14.939000000000306</v>
      </c>
      <c r="AN20" s="74">
        <f t="shared" ref="AN20:AO35" si="21">+G20+S20-AF20-AK20</f>
        <v>-1.7423439999999459</v>
      </c>
      <c r="AO20" s="74">
        <f t="shared" si="21"/>
        <v>2.0077110000000289</v>
      </c>
      <c r="AP20" s="75">
        <f t="shared" si="19"/>
        <v>1.460955322532493E-3</v>
      </c>
      <c r="AQ20" s="76">
        <f t="shared" si="8"/>
        <v>-235.96142823875698</v>
      </c>
      <c r="AR20" s="90">
        <f t="shared" si="9"/>
        <v>14.939000000000306</v>
      </c>
    </row>
    <row r="21" spans="1:49" x14ac:dyDescent="0.25">
      <c r="A21" t="str">
        <f t="shared" si="10"/>
        <v>46212E</v>
      </c>
      <c r="B21" s="51">
        <f t="shared" si="20"/>
        <v>46212</v>
      </c>
      <c r="C21" s="52" t="s">
        <v>88</v>
      </c>
      <c r="D21" s="91">
        <v>4920</v>
      </c>
      <c r="E21" s="62">
        <v>5.4</v>
      </c>
      <c r="F21" s="62">
        <v>8.6</v>
      </c>
      <c r="G21" s="62">
        <f t="shared" si="0"/>
        <v>265.68</v>
      </c>
      <c r="H21" s="72">
        <f t="shared" si="11"/>
        <v>423.11999999999995</v>
      </c>
      <c r="I21" s="143">
        <v>1222.9999999999998</v>
      </c>
      <c r="J21" s="144">
        <v>1259.6899999999998</v>
      </c>
      <c r="K21" s="145">
        <v>5.1316925592804585</v>
      </c>
      <c r="L21" s="146">
        <v>8.5655600981193807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1259.6899999999998</v>
      </c>
      <c r="S21" s="62">
        <f t="shared" si="13"/>
        <v>64.643417999999997</v>
      </c>
      <c r="T21" s="63">
        <f t="shared" si="14"/>
        <v>107.89950400000001</v>
      </c>
      <c r="U21" s="64" t="s">
        <v>202</v>
      </c>
      <c r="V21" s="65" t="s">
        <v>413</v>
      </c>
      <c r="W21" s="66" t="s">
        <v>203</v>
      </c>
      <c r="X21" s="67">
        <v>3738</v>
      </c>
      <c r="Y21" s="68">
        <v>5.2</v>
      </c>
      <c r="Z21" s="68">
        <v>8.5</v>
      </c>
      <c r="AA21" s="62">
        <f t="shared" si="15"/>
        <v>194.376</v>
      </c>
      <c r="AB21" s="63">
        <f t="shared" si="16"/>
        <v>317.73</v>
      </c>
      <c r="AC21" s="69">
        <v>3740</v>
      </c>
      <c r="AD21" s="70">
        <v>5.2</v>
      </c>
      <c r="AE21" s="70">
        <v>8.5</v>
      </c>
      <c r="AF21" s="62">
        <f t="shared" si="17"/>
        <v>194.48000000000002</v>
      </c>
      <c r="AG21" s="63">
        <f t="shared" si="18"/>
        <v>317.90000000000003</v>
      </c>
      <c r="AH21" s="89">
        <v>2456</v>
      </c>
      <c r="AI21" s="66">
        <v>5.5</v>
      </c>
      <c r="AJ21" s="66">
        <v>8.6999999999999993</v>
      </c>
      <c r="AK21" s="62">
        <f t="shared" si="4"/>
        <v>135.08000000000001</v>
      </c>
      <c r="AL21" s="72">
        <f t="shared" si="5"/>
        <v>213.672</v>
      </c>
      <c r="AM21" s="73">
        <f t="shared" si="6"/>
        <v>-16.3100000000004</v>
      </c>
      <c r="AN21" s="74">
        <f t="shared" si="21"/>
        <v>0.76341799999997306</v>
      </c>
      <c r="AO21" s="74">
        <f t="shared" si="21"/>
        <v>-0.55249600000004762</v>
      </c>
      <c r="AP21" s="75">
        <f t="shared" si="19"/>
        <v>1.2224320624402399E-3</v>
      </c>
      <c r="AQ21" s="76">
        <f t="shared" si="8"/>
        <v>201.37956212888687</v>
      </c>
      <c r="AR21" s="90">
        <f t="shared" si="9"/>
        <v>-14.3100000000004</v>
      </c>
    </row>
    <row r="22" spans="1:49" x14ac:dyDescent="0.25">
      <c r="A22" t="str">
        <f t="shared" si="10"/>
        <v>46213M</v>
      </c>
      <c r="B22" s="51">
        <f t="shared" si="20"/>
        <v>46213</v>
      </c>
      <c r="C22" s="52" t="s">
        <v>87</v>
      </c>
      <c r="D22" s="91">
        <v>2456</v>
      </c>
      <c r="E22" s="62">
        <v>5.5</v>
      </c>
      <c r="F22" s="62">
        <v>8.6999999999999993</v>
      </c>
      <c r="G22" s="62">
        <f t="shared" si="0"/>
        <v>135.08000000000001</v>
      </c>
      <c r="H22" s="72">
        <f t="shared" si="11"/>
        <v>213.672</v>
      </c>
      <c r="I22" s="143">
        <v>1245.0999999999999</v>
      </c>
      <c r="J22" s="144">
        <v>1282.453</v>
      </c>
      <c r="K22" s="145">
        <v>5.9240301983776407</v>
      </c>
      <c r="L22" s="146">
        <v>8.6378925387519079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1282.453</v>
      </c>
      <c r="S22" s="62">
        <f t="shared" si="13"/>
        <v>75.972903000000002</v>
      </c>
      <c r="T22" s="63">
        <f t="shared" si="14"/>
        <v>110.77691200000001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89">
        <v>3750</v>
      </c>
      <c r="AI22" s="66">
        <v>5.6</v>
      </c>
      <c r="AJ22" s="66">
        <v>8.6999999999999993</v>
      </c>
      <c r="AK22" s="62">
        <f t="shared" si="4"/>
        <v>209.99999999999997</v>
      </c>
      <c r="AL22" s="72">
        <f t="shared" si="5"/>
        <v>326.25</v>
      </c>
      <c r="AM22" s="73">
        <f t="shared" si="6"/>
        <v>-11.547000000000025</v>
      </c>
      <c r="AN22" s="80">
        <f t="shared" si="21"/>
        <v>1.0529030000000432</v>
      </c>
      <c r="AO22" s="80">
        <f t="shared" si="21"/>
        <v>-1.8010879999999929</v>
      </c>
      <c r="AP22" s="75">
        <f t="shared" si="19"/>
        <v>-4.0063493503324204E-3</v>
      </c>
      <c r="AQ22" s="76">
        <f t="shared" si="8"/>
        <v>-33.455662064967839</v>
      </c>
      <c r="AR22" s="90">
        <f t="shared" si="9"/>
        <v>-11.547000000000025</v>
      </c>
    </row>
    <row r="23" spans="1:49" x14ac:dyDescent="0.25">
      <c r="A23" t="str">
        <f t="shared" si="10"/>
        <v>46213E</v>
      </c>
      <c r="B23" s="51">
        <f t="shared" si="20"/>
        <v>46213</v>
      </c>
      <c r="C23" s="52" t="s">
        <v>88</v>
      </c>
      <c r="D23" s="91">
        <v>3750</v>
      </c>
      <c r="E23" s="62">
        <v>5.6</v>
      </c>
      <c r="F23" s="62">
        <v>8.6999999999999993</v>
      </c>
      <c r="G23" s="62">
        <f t="shared" si="0"/>
        <v>209.99999999999997</v>
      </c>
      <c r="H23" s="72">
        <f t="shared" si="11"/>
        <v>326.25</v>
      </c>
      <c r="I23" s="143">
        <v>1170</v>
      </c>
      <c r="J23" s="144">
        <v>1205.1000000000001</v>
      </c>
      <c r="K23" s="145">
        <v>5.2716581196581194</v>
      </c>
      <c r="L23" s="146">
        <v>8.6058803418803436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1205.1000000000001</v>
      </c>
      <c r="S23" s="62">
        <f t="shared" si="13"/>
        <v>63.528752000000004</v>
      </c>
      <c r="T23" s="63">
        <f t="shared" si="14"/>
        <v>103.70946400000004</v>
      </c>
      <c r="U23" s="64" t="s">
        <v>444</v>
      </c>
      <c r="V23" s="65" t="s">
        <v>445</v>
      </c>
      <c r="W23" s="66" t="s">
        <v>203</v>
      </c>
      <c r="X23" s="67">
        <v>2200</v>
      </c>
      <c r="Y23" s="68">
        <v>5.5</v>
      </c>
      <c r="Z23" s="68">
        <v>8.8000000000000007</v>
      </c>
      <c r="AA23" s="62">
        <f t="shared" si="15"/>
        <v>121</v>
      </c>
      <c r="AB23" s="63">
        <f t="shared" si="16"/>
        <v>193.60000000000002</v>
      </c>
      <c r="AC23" s="69">
        <v>2200</v>
      </c>
      <c r="AD23" s="70">
        <v>5.5</v>
      </c>
      <c r="AE23" s="70">
        <v>8.8000000000000007</v>
      </c>
      <c r="AF23" s="62">
        <f t="shared" si="17"/>
        <v>121</v>
      </c>
      <c r="AG23" s="63">
        <f t="shared" si="18"/>
        <v>193.60000000000002</v>
      </c>
      <c r="AH23" s="89">
        <v>2772</v>
      </c>
      <c r="AI23" s="66">
        <v>5.5</v>
      </c>
      <c r="AJ23" s="66">
        <v>8.5</v>
      </c>
      <c r="AK23" s="62">
        <f t="shared" si="4"/>
        <v>152.46</v>
      </c>
      <c r="AL23" s="72">
        <f t="shared" si="5"/>
        <v>235.62</v>
      </c>
      <c r="AM23" s="73">
        <f t="shared" si="6"/>
        <v>-16.899999999999636</v>
      </c>
      <c r="AN23" s="80">
        <f t="shared" si="21"/>
        <v>6.8751999999989266E-2</v>
      </c>
      <c r="AO23" s="80">
        <f t="shared" si="21"/>
        <v>0.73946399999999812</v>
      </c>
      <c r="AP23" s="75">
        <f t="shared" si="19"/>
        <v>4.832723161792082E-3</v>
      </c>
      <c r="AQ23" s="76">
        <f t="shared" si="8"/>
        <v>254.50045854542495</v>
      </c>
      <c r="AR23" s="90">
        <f t="shared" si="9"/>
        <v>-16.899999999999636</v>
      </c>
    </row>
    <row r="24" spans="1:49" x14ac:dyDescent="0.25">
      <c r="A24" t="str">
        <f t="shared" si="10"/>
        <v>46214M</v>
      </c>
      <c r="B24" s="51">
        <f t="shared" si="20"/>
        <v>46214</v>
      </c>
      <c r="C24" s="98" t="s">
        <v>87</v>
      </c>
      <c r="D24" s="91">
        <v>2772</v>
      </c>
      <c r="E24" s="62">
        <v>5.5</v>
      </c>
      <c r="F24" s="62">
        <v>8.5</v>
      </c>
      <c r="G24" s="62">
        <f t="shared" si="0"/>
        <v>152.46</v>
      </c>
      <c r="H24" s="72">
        <f t="shared" si="11"/>
        <v>235.62</v>
      </c>
      <c r="I24" s="143">
        <v>1310.5999999999999</v>
      </c>
      <c r="J24" s="144">
        <v>1349.9179999999999</v>
      </c>
      <c r="K24" s="145">
        <v>5.5689455211353565</v>
      </c>
      <c r="L24" s="146">
        <v>8.6338089424690949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1349.9179999999999</v>
      </c>
      <c r="S24" s="62">
        <f t="shared" si="13"/>
        <v>75.176197999999971</v>
      </c>
      <c r="T24" s="63">
        <f t="shared" si="14"/>
        <v>116.54934099999996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89">
        <v>4140</v>
      </c>
      <c r="AI24" s="66">
        <v>5.5</v>
      </c>
      <c r="AJ24" s="66">
        <v>8.5</v>
      </c>
      <c r="AK24" s="62">
        <f t="shared" si="4"/>
        <v>227.7</v>
      </c>
      <c r="AL24" s="72">
        <f t="shared" si="5"/>
        <v>351.90000000000003</v>
      </c>
      <c r="AM24" s="73">
        <f t="shared" si="6"/>
        <v>-18.082000000000335</v>
      </c>
      <c r="AN24" s="80">
        <f t="shared" si="21"/>
        <v>-6.3802000000009684E-2</v>
      </c>
      <c r="AO24" s="80">
        <f t="shared" si="21"/>
        <v>0.26934099999994032</v>
      </c>
      <c r="AP24" s="75">
        <f t="shared" si="19"/>
        <v>1.0720481010092805E-3</v>
      </c>
      <c r="AQ24" s="76">
        <f t="shared" si="8"/>
        <v>50.006294161701831</v>
      </c>
      <c r="AR24" s="90">
        <f t="shared" si="9"/>
        <v>-18.082000000000335</v>
      </c>
    </row>
    <row r="25" spans="1:49" x14ac:dyDescent="0.25">
      <c r="A25" t="str">
        <f t="shared" si="10"/>
        <v>46214E</v>
      </c>
      <c r="B25" s="51">
        <f t="shared" si="20"/>
        <v>46214</v>
      </c>
      <c r="C25" s="52" t="s">
        <v>88</v>
      </c>
      <c r="D25" s="91">
        <v>4140</v>
      </c>
      <c r="E25" s="62">
        <v>5.5</v>
      </c>
      <c r="F25" s="62">
        <v>8.5</v>
      </c>
      <c r="G25" s="62">
        <f t="shared" si="0"/>
        <v>227.7</v>
      </c>
      <c r="H25" s="72">
        <f t="shared" si="11"/>
        <v>351.90000000000003</v>
      </c>
      <c r="I25" s="143">
        <v>1231.4000000000003</v>
      </c>
      <c r="J25" s="144">
        <v>1268.3420000000003</v>
      </c>
      <c r="K25" s="145">
        <v>5.0821097937307131</v>
      </c>
      <c r="L25" s="146">
        <v>8.5671999350332975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1268.3420000000003</v>
      </c>
      <c r="S25" s="62">
        <f t="shared" si="13"/>
        <v>64.458533000000017</v>
      </c>
      <c r="T25" s="63">
        <f t="shared" si="14"/>
        <v>108.66139500000004</v>
      </c>
      <c r="U25" s="64" t="s">
        <v>205</v>
      </c>
      <c r="V25" s="65" t="s">
        <v>446</v>
      </c>
      <c r="W25" s="66" t="s">
        <v>203</v>
      </c>
      <c r="X25" s="67">
        <v>2905</v>
      </c>
      <c r="Y25" s="68">
        <v>5.4</v>
      </c>
      <c r="Z25" s="68">
        <v>8.8000000000000007</v>
      </c>
      <c r="AA25" s="62">
        <f t="shared" si="15"/>
        <v>156.87</v>
      </c>
      <c r="AB25" s="63">
        <f t="shared" si="16"/>
        <v>255.64000000000001</v>
      </c>
      <c r="AC25" s="69">
        <v>2900</v>
      </c>
      <c r="AD25" s="70">
        <v>5.4</v>
      </c>
      <c r="AE25" s="70">
        <v>8.6999999999999993</v>
      </c>
      <c r="AF25" s="62">
        <f t="shared" si="17"/>
        <v>156.60000000000002</v>
      </c>
      <c r="AG25" s="63">
        <f t="shared" si="18"/>
        <v>252.29999999999998</v>
      </c>
      <c r="AH25" s="89">
        <v>2515</v>
      </c>
      <c r="AI25" s="66">
        <v>5.2</v>
      </c>
      <c r="AJ25" s="66">
        <v>8.6</v>
      </c>
      <c r="AK25" s="62">
        <f t="shared" si="4"/>
        <v>130.78</v>
      </c>
      <c r="AL25" s="72">
        <f t="shared" si="5"/>
        <v>216.29</v>
      </c>
      <c r="AM25" s="73">
        <f t="shared" si="6"/>
        <v>-6.657999999999447</v>
      </c>
      <c r="AN25" s="80">
        <f t="shared" si="21"/>
        <v>4.7785330000000101</v>
      </c>
      <c r="AO25" s="80">
        <f t="shared" si="21"/>
        <v>-8.0286049999999136</v>
      </c>
      <c r="AP25" s="75">
        <f t="shared" si="19"/>
        <v>-1.8773529064775848E-2</v>
      </c>
      <c r="AQ25" s="76">
        <f t="shared" si="8"/>
        <v>-108.25509208632502</v>
      </c>
      <c r="AR25" s="90">
        <f t="shared" si="9"/>
        <v>-11.657999999999447</v>
      </c>
    </row>
    <row r="26" spans="1:49" x14ac:dyDescent="0.25">
      <c r="A26" t="str">
        <f t="shared" si="10"/>
        <v>46215M</v>
      </c>
      <c r="B26" s="51">
        <f t="shared" si="20"/>
        <v>46215</v>
      </c>
      <c r="C26" s="52" t="s">
        <v>87</v>
      </c>
      <c r="D26" s="91">
        <v>2515</v>
      </c>
      <c r="E26" s="62">
        <v>5.2</v>
      </c>
      <c r="F26" s="62">
        <v>8.6</v>
      </c>
      <c r="G26" s="62">
        <f t="shared" si="0"/>
        <v>130.78</v>
      </c>
      <c r="H26" s="72">
        <f t="shared" si="11"/>
        <v>216.29</v>
      </c>
      <c r="I26" s="143">
        <v>1248.0999999999999</v>
      </c>
      <c r="J26" s="144">
        <v>1285.5429999999999</v>
      </c>
      <c r="K26" s="145">
        <v>5.6453729669097052</v>
      </c>
      <c r="L26" s="146">
        <v>8.6888310231551991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1285.5429999999999</v>
      </c>
      <c r="S26" s="62">
        <f t="shared" si="13"/>
        <v>72.573697000000024</v>
      </c>
      <c r="T26" s="63">
        <f t="shared" si="14"/>
        <v>111.69865900000003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89">
        <v>3795</v>
      </c>
      <c r="AI26" s="66">
        <v>5.4</v>
      </c>
      <c r="AJ26" s="66">
        <v>8.6</v>
      </c>
      <c r="AK26" s="62">
        <f t="shared" si="4"/>
        <v>204.93000000000004</v>
      </c>
      <c r="AL26" s="72">
        <f t="shared" si="5"/>
        <v>326.36999999999995</v>
      </c>
      <c r="AM26" s="73">
        <f t="shared" si="6"/>
        <v>5.5429999999996653</v>
      </c>
      <c r="AN26" s="80">
        <f t="shared" si="21"/>
        <v>-1.5763030000000242</v>
      </c>
      <c r="AO26" s="80">
        <f t="shared" si="21"/>
        <v>1.6186590000000933</v>
      </c>
      <c r="AP26" s="75">
        <f t="shared" si="19"/>
        <v>2.2985542117923049E-4</v>
      </c>
      <c r="AQ26" s="76">
        <f t="shared" si="8"/>
        <v>-272.69093415798869</v>
      </c>
      <c r="AR26" s="90">
        <f t="shared" si="9"/>
        <v>5.5429999999996653</v>
      </c>
    </row>
    <row r="27" spans="1:49" x14ac:dyDescent="0.25">
      <c r="A27" t="str">
        <f t="shared" si="10"/>
        <v>46215E</v>
      </c>
      <c r="B27" s="51">
        <f t="shared" si="20"/>
        <v>46215</v>
      </c>
      <c r="C27" s="52" t="s">
        <v>88</v>
      </c>
      <c r="D27" s="91">
        <v>3795</v>
      </c>
      <c r="E27" s="62">
        <v>5.4</v>
      </c>
      <c r="F27" s="62">
        <v>8.6</v>
      </c>
      <c r="G27" s="62">
        <f t="shared" si="0"/>
        <v>204.93000000000004</v>
      </c>
      <c r="H27" s="72">
        <f t="shared" si="11"/>
        <v>326.36999999999995</v>
      </c>
      <c r="I27" s="143">
        <v>1248.3000000000002</v>
      </c>
      <c r="J27" s="144">
        <v>1285.7490000000003</v>
      </c>
      <c r="K27" s="145">
        <v>5.1692061203236408</v>
      </c>
      <c r="L27" s="146">
        <v>8.6211888167908413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1285.7490000000003</v>
      </c>
      <c r="S27" s="62">
        <f t="shared" si="13"/>
        <v>66.463016000000025</v>
      </c>
      <c r="T27" s="63">
        <f t="shared" si="14"/>
        <v>110.84684900000009</v>
      </c>
      <c r="U27" s="64" t="s">
        <v>206</v>
      </c>
      <c r="V27" s="65" t="s">
        <v>447</v>
      </c>
      <c r="W27" s="66" t="s">
        <v>203</v>
      </c>
      <c r="X27" s="67">
        <v>3943</v>
      </c>
      <c r="Y27" s="68">
        <v>5.5</v>
      </c>
      <c r="Z27" s="68">
        <v>8.76</v>
      </c>
      <c r="AA27" s="62">
        <f t="shared" si="15"/>
        <v>216.86500000000001</v>
      </c>
      <c r="AB27" s="63">
        <f t="shared" si="16"/>
        <v>345.40679999999998</v>
      </c>
      <c r="AC27" s="69">
        <v>3940</v>
      </c>
      <c r="AD27" s="70">
        <v>5.5</v>
      </c>
      <c r="AE27" s="70">
        <v>8.6</v>
      </c>
      <c r="AF27" s="62">
        <f t="shared" si="17"/>
        <v>216.7</v>
      </c>
      <c r="AG27" s="63">
        <f t="shared" si="18"/>
        <v>338.84</v>
      </c>
      <c r="AH27" s="89">
        <v>1155</v>
      </c>
      <c r="AI27" s="66">
        <v>4.8</v>
      </c>
      <c r="AJ27" s="66">
        <v>8.5</v>
      </c>
      <c r="AK27" s="62">
        <f t="shared" si="4"/>
        <v>55.44</v>
      </c>
      <c r="AL27" s="72">
        <f t="shared" si="5"/>
        <v>98.175000000000011</v>
      </c>
      <c r="AM27" s="73">
        <f t="shared" si="6"/>
        <v>-14.251000000000204</v>
      </c>
      <c r="AN27" s="80">
        <f t="shared" si="21"/>
        <v>-0.74698399999994081</v>
      </c>
      <c r="AO27" s="80">
        <f t="shared" si="21"/>
        <v>0.20184900000003836</v>
      </c>
      <c r="AP27" s="75">
        <f t="shared" si="19"/>
        <v>-3.0744764257753065E-3</v>
      </c>
      <c r="AQ27" s="76">
        <f t="shared" si="8"/>
        <v>-298.49814512212566</v>
      </c>
      <c r="AR27" s="90">
        <f t="shared" si="9"/>
        <v>-17.251000000000204</v>
      </c>
    </row>
    <row r="28" spans="1:49" x14ac:dyDescent="0.25">
      <c r="A28" t="str">
        <f t="shared" si="10"/>
        <v>46216M</v>
      </c>
      <c r="B28" s="51">
        <f t="shared" si="20"/>
        <v>46216</v>
      </c>
      <c r="C28" s="52" t="s">
        <v>87</v>
      </c>
      <c r="D28" s="91">
        <v>1155</v>
      </c>
      <c r="E28" s="62">
        <v>4.8</v>
      </c>
      <c r="F28" s="62">
        <v>8.5</v>
      </c>
      <c r="G28" s="62">
        <f t="shared" si="0"/>
        <v>55.44</v>
      </c>
      <c r="H28" s="72">
        <f t="shared" si="11"/>
        <v>98.175000000000011</v>
      </c>
      <c r="I28" s="143">
        <v>1332.3999999999999</v>
      </c>
      <c r="J28" s="144">
        <v>1372.3719999999998</v>
      </c>
      <c r="K28" s="145">
        <v>5.7695962173521469</v>
      </c>
      <c r="L28" s="146">
        <v>8.6178549984989505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1372.3719999999998</v>
      </c>
      <c r="S28" s="62">
        <f t="shared" si="13"/>
        <v>79.180323000000001</v>
      </c>
      <c r="T28" s="63">
        <f t="shared" si="14"/>
        <v>118.269029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89">
        <v>2540</v>
      </c>
      <c r="AI28" s="66">
        <v>5.3</v>
      </c>
      <c r="AJ28" s="66">
        <v>8.5</v>
      </c>
      <c r="AK28" s="62">
        <f t="shared" si="4"/>
        <v>134.62</v>
      </c>
      <c r="AL28" s="72">
        <f t="shared" si="5"/>
        <v>215.9</v>
      </c>
      <c r="AM28" s="73">
        <f t="shared" si="6"/>
        <v>-12.628000000000156</v>
      </c>
      <c r="AN28" s="80">
        <f t="shared" si="21"/>
        <v>3.2299999998031126E-4</v>
      </c>
      <c r="AO28" s="80">
        <f t="shared" si="21"/>
        <v>0.54402899999999477</v>
      </c>
      <c r="AP28" s="75">
        <f t="shared" si="19"/>
        <v>2.7569196580598302E-3</v>
      </c>
      <c r="AQ28" s="76">
        <f t="shared" si="8"/>
        <v>163.08705428830467</v>
      </c>
      <c r="AR28" s="90">
        <f t="shared" si="9"/>
        <v>-12.628000000000156</v>
      </c>
    </row>
    <row r="29" spans="1:49" x14ac:dyDescent="0.25">
      <c r="A29" t="str">
        <f t="shared" si="10"/>
        <v>46216E</v>
      </c>
      <c r="B29" s="51">
        <f t="shared" si="20"/>
        <v>46216</v>
      </c>
      <c r="C29" s="52" t="s">
        <v>88</v>
      </c>
      <c r="D29" s="91">
        <v>2540</v>
      </c>
      <c r="E29" s="62">
        <v>5.3</v>
      </c>
      <c r="F29" s="62">
        <v>8.5</v>
      </c>
      <c r="G29" s="62">
        <f t="shared" si="0"/>
        <v>134.62</v>
      </c>
      <c r="H29" s="72">
        <f t="shared" si="11"/>
        <v>215.9</v>
      </c>
      <c r="I29" s="143">
        <v>1249.0999999999999</v>
      </c>
      <c r="J29" s="144">
        <v>1286.5729999999999</v>
      </c>
      <c r="K29" s="145">
        <v>5.2888399647746374</v>
      </c>
      <c r="L29" s="146">
        <v>8.6332399327515787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1286.5729999999999</v>
      </c>
      <c r="S29" s="62">
        <f t="shared" si="13"/>
        <v>68.044786999999985</v>
      </c>
      <c r="T29" s="63">
        <f t="shared" si="14"/>
        <v>111.07293399999995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89">
        <v>3840</v>
      </c>
      <c r="AI29" s="66">
        <v>5.3</v>
      </c>
      <c r="AJ29" s="66">
        <v>8.5</v>
      </c>
      <c r="AK29" s="62">
        <f t="shared" si="4"/>
        <v>203.51999999999998</v>
      </c>
      <c r="AL29" s="72">
        <f t="shared" si="5"/>
        <v>326.40000000000003</v>
      </c>
      <c r="AM29" s="73">
        <f t="shared" si="6"/>
        <v>-13.427000000000135</v>
      </c>
      <c r="AN29" s="80">
        <f t="shared" si="21"/>
        <v>-0.85521299999999201</v>
      </c>
      <c r="AO29" s="80">
        <f t="shared" si="21"/>
        <v>0.57293399999991834</v>
      </c>
      <c r="AP29" s="75">
        <f t="shared" si="19"/>
        <v>-1.5759412213606368E-3</v>
      </c>
      <c r="AQ29" s="76">
        <f t="shared" si="8"/>
        <v>-239.36904817759748</v>
      </c>
      <c r="AR29" s="90">
        <f t="shared" si="9"/>
        <v>-13.427000000000135</v>
      </c>
    </row>
    <row r="30" spans="1:49" x14ac:dyDescent="0.25">
      <c r="A30" t="str">
        <f t="shared" si="10"/>
        <v>46217M</v>
      </c>
      <c r="B30" s="51">
        <f t="shared" si="20"/>
        <v>46217</v>
      </c>
      <c r="C30" s="52" t="s">
        <v>87</v>
      </c>
      <c r="D30" s="91">
        <v>3840</v>
      </c>
      <c r="E30" s="62">
        <v>5.3</v>
      </c>
      <c r="F30" s="62">
        <v>8.5</v>
      </c>
      <c r="G30" s="62">
        <f t="shared" si="0"/>
        <v>203.51999999999998</v>
      </c>
      <c r="H30" s="72">
        <f t="shared" si="11"/>
        <v>326.40000000000003</v>
      </c>
      <c r="I30" s="143">
        <v>1134.7</v>
      </c>
      <c r="J30" s="144">
        <v>1168.741</v>
      </c>
      <c r="K30" s="145">
        <v>5.8442848329955037</v>
      </c>
      <c r="L30" s="146">
        <v>8.7181105137921886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1168.741</v>
      </c>
      <c r="S30" s="62">
        <f t="shared" si="13"/>
        <v>68.30455299999997</v>
      </c>
      <c r="T30" s="63">
        <f t="shared" si="14"/>
        <v>101.89213199999996</v>
      </c>
      <c r="U30" s="64" t="s">
        <v>206</v>
      </c>
      <c r="V30" s="65" t="s">
        <v>593</v>
      </c>
      <c r="W30" s="66" t="s">
        <v>203</v>
      </c>
      <c r="X30" s="67">
        <v>3771</v>
      </c>
      <c r="Y30" s="68">
        <v>5.6</v>
      </c>
      <c r="Z30" s="68">
        <v>8.9</v>
      </c>
      <c r="AA30" s="62">
        <f t="shared" si="15"/>
        <v>211.17599999999999</v>
      </c>
      <c r="AB30" s="63">
        <f t="shared" si="16"/>
        <v>335.61900000000003</v>
      </c>
      <c r="AC30" s="69">
        <v>3770</v>
      </c>
      <c r="AD30" s="70">
        <v>5.6</v>
      </c>
      <c r="AE30" s="70">
        <v>8.6</v>
      </c>
      <c r="AF30" s="62">
        <f t="shared" si="17"/>
        <v>211.11999999999998</v>
      </c>
      <c r="AG30" s="63">
        <f t="shared" si="18"/>
        <v>324.21999999999997</v>
      </c>
      <c r="AH30" s="89">
        <v>1255</v>
      </c>
      <c r="AI30" s="66">
        <v>4.7</v>
      </c>
      <c r="AJ30" s="66">
        <v>8.5</v>
      </c>
      <c r="AK30" s="62">
        <f t="shared" si="4"/>
        <v>58.984999999999999</v>
      </c>
      <c r="AL30" s="72">
        <f t="shared" si="5"/>
        <v>106.67500000000001</v>
      </c>
      <c r="AM30" s="73">
        <f t="shared" si="6"/>
        <v>-16.259000000000015</v>
      </c>
      <c r="AN30" s="80">
        <f t="shared" si="21"/>
        <v>1.7195529999999479</v>
      </c>
      <c r="AO30" s="80">
        <f t="shared" si="21"/>
        <v>-2.6028680000000008</v>
      </c>
      <c r="AP30" s="75">
        <f t="shared" si="19"/>
        <v>-5.1899659502771941E-3</v>
      </c>
      <c r="AQ30" s="76">
        <f t="shared" si="8"/>
        <v>46.765387864943818</v>
      </c>
      <c r="AR30" s="90">
        <f t="shared" si="9"/>
        <v>-17.259000000000015</v>
      </c>
    </row>
    <row r="31" spans="1:49" x14ac:dyDescent="0.25">
      <c r="A31" t="str">
        <f t="shared" si="10"/>
        <v>46217E</v>
      </c>
      <c r="B31" s="51">
        <f t="shared" si="20"/>
        <v>46217</v>
      </c>
      <c r="C31" s="52" t="s">
        <v>88</v>
      </c>
      <c r="D31" s="91">
        <v>1255</v>
      </c>
      <c r="E31" s="62">
        <v>4.7</v>
      </c>
      <c r="F31" s="62">
        <v>8.5</v>
      </c>
      <c r="G31" s="62">
        <f t="shared" si="0"/>
        <v>58.984999999999999</v>
      </c>
      <c r="H31" s="72">
        <f t="shared" si="11"/>
        <v>106.67500000000001</v>
      </c>
      <c r="I31" s="143">
        <v>1277.6999999999998</v>
      </c>
      <c r="J31" s="144">
        <v>1316.0309999999999</v>
      </c>
      <c r="K31" s="145">
        <v>5.1423417077561249</v>
      </c>
      <c r="L31" s="146">
        <v>8.5540032871566112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1316.0309999999999</v>
      </c>
      <c r="S31" s="62">
        <f t="shared" si="13"/>
        <v>67.674811000000005</v>
      </c>
      <c r="T31" s="63">
        <f t="shared" si="14"/>
        <v>112.57333500000001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89">
        <v>2580</v>
      </c>
      <c r="AI31" s="66">
        <v>4.9000000000000004</v>
      </c>
      <c r="AJ31" s="66">
        <v>8.5</v>
      </c>
      <c r="AK31" s="62">
        <f t="shared" si="4"/>
        <v>126.42</v>
      </c>
      <c r="AL31" s="72">
        <f t="shared" si="5"/>
        <v>219.3</v>
      </c>
      <c r="AM31" s="73">
        <f t="shared" si="6"/>
        <v>-8.9690000000000509</v>
      </c>
      <c r="AN31" s="80">
        <f t="shared" si="21"/>
        <v>0.23981100000000311</v>
      </c>
      <c r="AO31" s="80">
        <f t="shared" si="21"/>
        <v>-5.1664999999985639E-2</v>
      </c>
      <c r="AP31" s="75">
        <f t="shared" si="19"/>
        <v>1.043816561641735E-3</v>
      </c>
      <c r="AQ31" s="76">
        <f t="shared" si="8"/>
        <v>99.763782939119224</v>
      </c>
      <c r="AR31" s="90">
        <f t="shared" si="9"/>
        <v>-8.9690000000000509</v>
      </c>
    </row>
    <row r="32" spans="1:49" x14ac:dyDescent="0.25">
      <c r="A32" t="str">
        <f t="shared" si="10"/>
        <v>46218M</v>
      </c>
      <c r="B32" s="51">
        <f t="shared" si="20"/>
        <v>46218</v>
      </c>
      <c r="C32" s="52" t="s">
        <v>87</v>
      </c>
      <c r="D32" s="91">
        <v>2580</v>
      </c>
      <c r="E32" s="62">
        <v>4.9000000000000004</v>
      </c>
      <c r="F32" s="62">
        <v>8.5</v>
      </c>
      <c r="G32" s="62">
        <f t="shared" si="0"/>
        <v>126.42</v>
      </c>
      <c r="H32" s="72">
        <f t="shared" si="11"/>
        <v>219.3</v>
      </c>
      <c r="I32" s="143">
        <v>1175.0999999999999</v>
      </c>
      <c r="J32" s="144">
        <v>1210.3529999999998</v>
      </c>
      <c r="K32" s="145">
        <v>5.9502680622925705</v>
      </c>
      <c r="L32" s="146">
        <v>8.6671091821972599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1210.3529999999998</v>
      </c>
      <c r="S32" s="62">
        <f t="shared" si="13"/>
        <v>72.01924799999999</v>
      </c>
      <c r="T32" s="63">
        <f t="shared" si="14"/>
        <v>104.90261599999998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89">
        <v>3806</v>
      </c>
      <c r="AI32" s="66">
        <v>5.2</v>
      </c>
      <c r="AJ32" s="66">
        <v>8.5</v>
      </c>
      <c r="AK32" s="62">
        <f t="shared" si="4"/>
        <v>197.91200000000001</v>
      </c>
      <c r="AL32" s="72">
        <f t="shared" si="5"/>
        <v>323.51000000000005</v>
      </c>
      <c r="AM32" s="73">
        <f t="shared" si="6"/>
        <v>-15.646999999999935</v>
      </c>
      <c r="AN32" s="80">
        <f t="shared" si="21"/>
        <v>0.52724799999998595</v>
      </c>
      <c r="AO32" s="80">
        <f t="shared" si="21"/>
        <v>0.69261599999992995</v>
      </c>
      <c r="AP32" s="75">
        <f t="shared" si="19"/>
        <v>6.8949307475073638E-3</v>
      </c>
      <c r="AQ32" s="76">
        <f t="shared" si="8"/>
        <v>460.79215001621287</v>
      </c>
      <c r="AR32" s="90">
        <f t="shared" si="9"/>
        <v>-15.646999999999935</v>
      </c>
    </row>
    <row r="33" spans="1:49" x14ac:dyDescent="0.25">
      <c r="A33" t="str">
        <f t="shared" si="10"/>
        <v>46218E</v>
      </c>
      <c r="B33" s="51">
        <f t="shared" si="20"/>
        <v>46218</v>
      </c>
      <c r="C33" s="52" t="s">
        <v>88</v>
      </c>
      <c r="D33" s="91">
        <v>3806</v>
      </c>
      <c r="E33" s="62">
        <v>5.2</v>
      </c>
      <c r="F33" s="62">
        <v>8.5</v>
      </c>
      <c r="G33" s="62">
        <f t="shared" si="0"/>
        <v>197.91200000000001</v>
      </c>
      <c r="H33" s="72">
        <f t="shared" si="11"/>
        <v>323.51000000000005</v>
      </c>
      <c r="I33" s="143">
        <v>1241.7</v>
      </c>
      <c r="J33" s="144">
        <v>1278.951</v>
      </c>
      <c r="K33" s="145">
        <v>5.2577997906096465</v>
      </c>
      <c r="L33" s="146">
        <v>8.6041153257630665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1278.951</v>
      </c>
      <c r="S33" s="62">
        <f t="shared" si="13"/>
        <v>67.244682999999981</v>
      </c>
      <c r="T33" s="63">
        <f t="shared" si="14"/>
        <v>110.042419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89">
        <v>5105</v>
      </c>
      <c r="AI33" s="66">
        <v>5.2</v>
      </c>
      <c r="AJ33" s="66">
        <v>8.5</v>
      </c>
      <c r="AK33" s="62">
        <f t="shared" si="4"/>
        <v>265.46000000000004</v>
      </c>
      <c r="AL33" s="72">
        <f t="shared" si="5"/>
        <v>433.92500000000001</v>
      </c>
      <c r="AM33" s="73">
        <f t="shared" si="6"/>
        <v>-20.048999999999978</v>
      </c>
      <c r="AN33" s="80">
        <f t="shared" si="21"/>
        <v>-0.30331700000004957</v>
      </c>
      <c r="AO33" s="80">
        <f t="shared" si="21"/>
        <v>-0.3725809999999683</v>
      </c>
      <c r="AP33" s="75">
        <f t="shared" si="19"/>
        <v>-3.8124488040873834E-3</v>
      </c>
      <c r="AQ33" s="76">
        <f t="shared" si="8"/>
        <v>-257.33838297773514</v>
      </c>
      <c r="AR33" s="90">
        <f t="shared" si="9"/>
        <v>-20.048999999999978</v>
      </c>
      <c r="AS33" s="90">
        <f>SUM(J20:J33)</f>
        <v>17827.755000000001</v>
      </c>
      <c r="AT33" s="83">
        <f t="shared" ref="AT33:AV33" si="22">SUM(AM20:AM33)</f>
        <v>-150.24500000000035</v>
      </c>
      <c r="AU33" s="83">
        <f t="shared" si="22"/>
        <v>3.8625779999999708</v>
      </c>
      <c r="AV33" s="83">
        <f t="shared" si="22"/>
        <v>-6.7626999999999668</v>
      </c>
      <c r="AW33" s="83">
        <f>-SUM(AQ20:AQ33)</f>
        <v>169.27400288090257</v>
      </c>
    </row>
    <row r="34" spans="1:49" x14ac:dyDescent="0.25">
      <c r="A34" t="str">
        <f t="shared" si="10"/>
        <v>46219M</v>
      </c>
      <c r="B34" s="51">
        <f t="shared" si="20"/>
        <v>46219</v>
      </c>
      <c r="C34" s="52" t="s">
        <v>87</v>
      </c>
      <c r="D34" s="91">
        <v>5105</v>
      </c>
      <c r="E34" s="62">
        <v>5.2</v>
      </c>
      <c r="F34" s="62">
        <v>8.5</v>
      </c>
      <c r="G34" s="62">
        <f t="shared" si="0"/>
        <v>265.46000000000004</v>
      </c>
      <c r="H34" s="72">
        <f t="shared" si="11"/>
        <v>433.92500000000001</v>
      </c>
      <c r="I34" s="143">
        <v>1360.3000000000002</v>
      </c>
      <c r="J34" s="144">
        <v>1401.1090000000002</v>
      </c>
      <c r="K34" s="145">
        <v>5.6370212453135347</v>
      </c>
      <c r="L34" s="146">
        <v>8.5682275968536334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1401.1090000000002</v>
      </c>
      <c r="S34" s="62">
        <f t="shared" si="13"/>
        <v>78.980812000000014</v>
      </c>
      <c r="T34" s="63">
        <f t="shared" si="14"/>
        <v>120.050208</v>
      </c>
      <c r="U34" s="64" t="s">
        <v>202</v>
      </c>
      <c r="V34" s="65" t="s">
        <v>594</v>
      </c>
      <c r="W34" s="66" t="s">
        <v>203</v>
      </c>
      <c r="X34" s="67">
        <v>3890</v>
      </c>
      <c r="Y34" s="68">
        <v>5.5</v>
      </c>
      <c r="Z34" s="68">
        <v>9</v>
      </c>
      <c r="AA34" s="62">
        <f t="shared" si="15"/>
        <v>213.95</v>
      </c>
      <c r="AB34" s="63">
        <f t="shared" si="16"/>
        <v>350.09999999999997</v>
      </c>
      <c r="AC34" s="69">
        <v>3890</v>
      </c>
      <c r="AD34" s="70">
        <v>5.5</v>
      </c>
      <c r="AE34" s="70">
        <v>8.6</v>
      </c>
      <c r="AF34" s="62">
        <f t="shared" si="17"/>
        <v>213.95</v>
      </c>
      <c r="AG34" s="63">
        <f t="shared" si="18"/>
        <v>334.53999999999996</v>
      </c>
      <c r="AH34" s="89">
        <v>2620</v>
      </c>
      <c r="AI34" s="66">
        <v>4.9000000000000004</v>
      </c>
      <c r="AJ34" s="66">
        <v>8.5</v>
      </c>
      <c r="AK34" s="62">
        <f t="shared" si="4"/>
        <v>128.38</v>
      </c>
      <c r="AL34" s="72">
        <f t="shared" si="5"/>
        <v>222.70000000000002</v>
      </c>
      <c r="AM34" s="73">
        <f t="shared" si="6"/>
        <v>-3.8909999999996217</v>
      </c>
      <c r="AN34" s="80">
        <f t="shared" si="21"/>
        <v>2.1108120000000667</v>
      </c>
      <c r="AO34" s="80">
        <f t="shared" si="21"/>
        <v>-3.2647919999999147</v>
      </c>
      <c r="AP34" s="75">
        <f t="shared" si="19"/>
        <v>-5.7979906850693314E-3</v>
      </c>
      <c r="AQ34" s="76">
        <f t="shared" si="8"/>
        <v>36.53772623269731</v>
      </c>
      <c r="AR34" s="90">
        <f t="shared" si="9"/>
        <v>-3.8909999999996217</v>
      </c>
    </row>
    <row r="35" spans="1:49" x14ac:dyDescent="0.25">
      <c r="A35" t="str">
        <f t="shared" si="10"/>
        <v>46219E</v>
      </c>
      <c r="B35" s="51">
        <f t="shared" si="20"/>
        <v>46219</v>
      </c>
      <c r="C35" s="52" t="s">
        <v>88</v>
      </c>
      <c r="D35" s="91">
        <v>2620</v>
      </c>
      <c r="E35" s="62">
        <v>4.9000000000000004</v>
      </c>
      <c r="F35" s="62">
        <v>8.5</v>
      </c>
      <c r="G35" s="62">
        <f t="shared" si="0"/>
        <v>128.38</v>
      </c>
      <c r="H35" s="72">
        <f t="shared" si="11"/>
        <v>222.70000000000002</v>
      </c>
      <c r="I35" s="143">
        <v>1328.5</v>
      </c>
      <c r="J35" s="144">
        <v>1368.355</v>
      </c>
      <c r="K35" s="145">
        <v>5.0988859616108382</v>
      </c>
      <c r="L35" s="146">
        <v>8.5673315769665024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1368.355</v>
      </c>
      <c r="S35" s="62">
        <f t="shared" si="13"/>
        <v>69.770860999999982</v>
      </c>
      <c r="T35" s="63">
        <f t="shared" si="14"/>
        <v>117.23150999999999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89">
        <v>3985</v>
      </c>
      <c r="AI35" s="66">
        <v>5</v>
      </c>
      <c r="AJ35" s="66">
        <v>8.5</v>
      </c>
      <c r="AK35" s="62">
        <f t="shared" si="4"/>
        <v>199.25</v>
      </c>
      <c r="AL35" s="72">
        <f t="shared" si="5"/>
        <v>338.72500000000002</v>
      </c>
      <c r="AM35" s="73">
        <f t="shared" si="6"/>
        <v>3.3550000000000182</v>
      </c>
      <c r="AN35" s="80">
        <f t="shared" si="21"/>
        <v>-1.0991390000000365</v>
      </c>
      <c r="AO35" s="80">
        <f t="shared" si="21"/>
        <v>1.2065099999999802</v>
      </c>
      <c r="AP35" s="75">
        <f t="shared" si="19"/>
        <v>5.741691906138651E-4</v>
      </c>
      <c r="AQ35" s="76">
        <f t="shared" si="8"/>
        <v>-166.83305851435836</v>
      </c>
      <c r="AR35" s="90">
        <f t="shared" si="9"/>
        <v>3.3550000000000182</v>
      </c>
    </row>
    <row r="36" spans="1:49" x14ac:dyDescent="0.25">
      <c r="A36" t="str">
        <f t="shared" si="10"/>
        <v>46220M</v>
      </c>
      <c r="B36" s="51">
        <f t="shared" si="20"/>
        <v>46220</v>
      </c>
      <c r="C36" s="98" t="s">
        <v>87</v>
      </c>
      <c r="D36" s="91">
        <v>3985</v>
      </c>
      <c r="E36" s="62">
        <v>5</v>
      </c>
      <c r="F36" s="62">
        <v>8.5</v>
      </c>
      <c r="G36" s="62">
        <f t="shared" si="0"/>
        <v>199.25</v>
      </c>
      <c r="H36" s="72">
        <f t="shared" si="11"/>
        <v>338.72500000000002</v>
      </c>
      <c r="I36" s="143">
        <v>1297.9000000000001</v>
      </c>
      <c r="J36" s="144">
        <v>1336.8370000000002</v>
      </c>
      <c r="K36" s="145">
        <v>5.8724940288157788</v>
      </c>
      <c r="L36" s="146">
        <v>8.6166962015563584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1336.8370000000002</v>
      </c>
      <c r="S36" s="62">
        <f t="shared" si="13"/>
        <v>78.505673000000002</v>
      </c>
      <c r="T36" s="63">
        <f t="shared" si="14"/>
        <v>115.19118299999998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89">
        <v>5338</v>
      </c>
      <c r="AI36" s="66">
        <v>5.2</v>
      </c>
      <c r="AJ36" s="66">
        <v>8.5</v>
      </c>
      <c r="AK36" s="62">
        <f t="shared" si="4"/>
        <v>277.57600000000002</v>
      </c>
      <c r="AL36" s="72">
        <f t="shared" si="5"/>
        <v>453.73</v>
      </c>
      <c r="AM36" s="73">
        <f t="shared" si="6"/>
        <v>-16.162999999999556</v>
      </c>
      <c r="AN36" s="80">
        <f t="shared" ref="AN36:AO51" si="23">+G36+S36-AF36-AK36</f>
        <v>0.17967299999997977</v>
      </c>
      <c r="AO36" s="80">
        <f t="shared" si="23"/>
        <v>0.18618299999997134</v>
      </c>
      <c r="AP36" s="75">
        <f t="shared" si="19"/>
        <v>1.8888071162081804E-3</v>
      </c>
      <c r="AQ36" s="76">
        <f t="shared" si="8"/>
        <v>142.09887521770329</v>
      </c>
      <c r="AR36" s="90">
        <f t="shared" si="9"/>
        <v>-16.162999999999556</v>
      </c>
    </row>
    <row r="37" spans="1:49" x14ac:dyDescent="0.25">
      <c r="A37" t="str">
        <f t="shared" si="10"/>
        <v>46220E</v>
      </c>
      <c r="B37" s="51">
        <f t="shared" si="20"/>
        <v>46220</v>
      </c>
      <c r="C37" s="52" t="s">
        <v>88</v>
      </c>
      <c r="D37" s="91">
        <v>5338</v>
      </c>
      <c r="E37" s="62">
        <v>5.2</v>
      </c>
      <c r="F37" s="62">
        <v>8.5</v>
      </c>
      <c r="G37" s="62">
        <f t="shared" si="0"/>
        <v>277.57600000000002</v>
      </c>
      <c r="H37" s="72">
        <f t="shared" si="11"/>
        <v>453.73</v>
      </c>
      <c r="I37" s="143">
        <v>1351.8999999999999</v>
      </c>
      <c r="J37" s="144">
        <v>1392.4569999999999</v>
      </c>
      <c r="K37" s="145">
        <v>5.1030105777054517</v>
      </c>
      <c r="L37" s="146">
        <v>8.5684813965530022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1392.4569999999999</v>
      </c>
      <c r="S37" s="62">
        <f t="shared" si="13"/>
        <v>71.057227999999995</v>
      </c>
      <c r="T37" s="63">
        <f t="shared" si="14"/>
        <v>119.31241900000002</v>
      </c>
      <c r="U37" s="64" t="s">
        <v>202</v>
      </c>
      <c r="V37" s="65" t="s">
        <v>656</v>
      </c>
      <c r="W37" s="66" t="s">
        <v>203</v>
      </c>
      <c r="X37" s="67">
        <v>4097</v>
      </c>
      <c r="Y37" s="68">
        <v>5.5</v>
      </c>
      <c r="Z37" s="68">
        <v>8.6</v>
      </c>
      <c r="AA37" s="62">
        <f t="shared" si="15"/>
        <v>225.33500000000001</v>
      </c>
      <c r="AB37" s="63">
        <f t="shared" si="16"/>
        <v>352.34199999999998</v>
      </c>
      <c r="AC37" s="69">
        <v>4090</v>
      </c>
      <c r="AD37" s="70">
        <v>5.5</v>
      </c>
      <c r="AE37" s="70">
        <v>8.6</v>
      </c>
      <c r="AF37" s="62">
        <f t="shared" si="17"/>
        <v>224.95</v>
      </c>
      <c r="AG37" s="63">
        <f t="shared" si="18"/>
        <v>351.73999999999995</v>
      </c>
      <c r="AH37" s="89">
        <v>2650</v>
      </c>
      <c r="AI37" s="66">
        <v>4.5999999999999996</v>
      </c>
      <c r="AJ37" s="66">
        <v>8.5</v>
      </c>
      <c r="AK37" s="62">
        <f t="shared" si="4"/>
        <v>121.89999999999999</v>
      </c>
      <c r="AL37" s="72">
        <f t="shared" si="5"/>
        <v>225.25000000000003</v>
      </c>
      <c r="AM37" s="73">
        <f t="shared" si="6"/>
        <v>-9.5429999999996653</v>
      </c>
      <c r="AN37" s="80">
        <f t="shared" si="23"/>
        <v>1.7832280000000509</v>
      </c>
      <c r="AO37" s="80">
        <f t="shared" si="23"/>
        <v>-3.9475809999999854</v>
      </c>
      <c r="AP37" s="75">
        <f t="shared" si="19"/>
        <v>-1.1369212656048757E-2</v>
      </c>
      <c r="AQ37" s="76">
        <f t="shared" si="8"/>
        <v>-325.36627441901817</v>
      </c>
      <c r="AR37" s="90">
        <f t="shared" si="9"/>
        <v>-16.542999999999665</v>
      </c>
    </row>
    <row r="38" spans="1:49" x14ac:dyDescent="0.25">
      <c r="A38" t="str">
        <f t="shared" si="10"/>
        <v>46221M</v>
      </c>
      <c r="B38" s="51">
        <f t="shared" si="20"/>
        <v>46221</v>
      </c>
      <c r="C38" s="52" t="s">
        <v>87</v>
      </c>
      <c r="D38" s="91">
        <v>2650</v>
      </c>
      <c r="E38" s="62">
        <v>4.5999999999999996</v>
      </c>
      <c r="F38" s="62">
        <v>8.5</v>
      </c>
      <c r="G38" s="62">
        <f t="shared" si="0"/>
        <v>121.89999999999999</v>
      </c>
      <c r="H38" s="72">
        <f t="shared" si="11"/>
        <v>225.25000000000003</v>
      </c>
      <c r="I38" s="143">
        <v>1266</v>
      </c>
      <c r="J38" s="144">
        <v>1303.98</v>
      </c>
      <c r="K38" s="145">
        <v>5.7017377567140617</v>
      </c>
      <c r="L38" s="146">
        <v>8.6217061611374426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1303.98</v>
      </c>
      <c r="S38" s="62">
        <f t="shared" si="13"/>
        <v>74.349520000000027</v>
      </c>
      <c r="T38" s="63">
        <f t="shared" si="14"/>
        <v>112.42532400000002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89">
        <v>3950</v>
      </c>
      <c r="AI38" s="66">
        <v>5</v>
      </c>
      <c r="AJ38" s="66">
        <v>8.5</v>
      </c>
      <c r="AK38" s="62">
        <f t="shared" si="4"/>
        <v>197.5</v>
      </c>
      <c r="AL38" s="72">
        <f t="shared" si="5"/>
        <v>335.75</v>
      </c>
      <c r="AM38" s="73">
        <f t="shared" si="6"/>
        <v>3.9800000000000182</v>
      </c>
      <c r="AN38" s="80">
        <f t="shared" si="23"/>
        <v>-1.2504799999999818</v>
      </c>
      <c r="AO38" s="80">
        <f t="shared" si="23"/>
        <v>1.925324000000046</v>
      </c>
      <c r="AP38" s="75">
        <f t="shared" si="19"/>
        <v>3.6131418211762184E-3</v>
      </c>
      <c r="AQ38" s="76">
        <f t="shared" si="8"/>
        <v>-24.278940872488306</v>
      </c>
      <c r="AR38" s="90">
        <f t="shared" si="9"/>
        <v>3.9800000000000182</v>
      </c>
    </row>
    <row r="39" spans="1:49" x14ac:dyDescent="0.25">
      <c r="A39" t="str">
        <f t="shared" si="10"/>
        <v>46221E</v>
      </c>
      <c r="B39" s="51">
        <f t="shared" si="20"/>
        <v>46221</v>
      </c>
      <c r="C39" s="52" t="s">
        <v>88</v>
      </c>
      <c r="D39" s="91">
        <v>3950</v>
      </c>
      <c r="E39" s="62">
        <v>5</v>
      </c>
      <c r="F39" s="62">
        <v>8.5</v>
      </c>
      <c r="G39" s="62">
        <f t="shared" si="0"/>
        <v>197.5</v>
      </c>
      <c r="H39" s="72">
        <f t="shared" si="11"/>
        <v>335.75</v>
      </c>
      <c r="I39" s="143">
        <v>1126</v>
      </c>
      <c r="J39" s="144">
        <v>1159.78</v>
      </c>
      <c r="K39" s="145">
        <v>5.2635168738898761</v>
      </c>
      <c r="L39" s="146">
        <v>8.5270071047957359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1159.78</v>
      </c>
      <c r="S39" s="62">
        <f t="shared" si="13"/>
        <v>61.045215999999996</v>
      </c>
      <c r="T39" s="63">
        <f t="shared" si="14"/>
        <v>98.894522999999992</v>
      </c>
      <c r="U39" s="64" t="s">
        <v>180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89">
        <v>5126</v>
      </c>
      <c r="AI39" s="66">
        <v>5</v>
      </c>
      <c r="AJ39" s="66">
        <v>8.5</v>
      </c>
      <c r="AK39" s="62">
        <f t="shared" si="4"/>
        <v>256.3</v>
      </c>
      <c r="AL39" s="72">
        <f t="shared" si="5"/>
        <v>435.71000000000004</v>
      </c>
      <c r="AM39" s="73">
        <f t="shared" si="6"/>
        <v>-16.220000000000255</v>
      </c>
      <c r="AN39" s="80">
        <f t="shared" si="23"/>
        <v>2.2452159999999708</v>
      </c>
      <c r="AO39" s="80">
        <f t="shared" si="23"/>
        <v>-1.065477000000044</v>
      </c>
      <c r="AP39" s="75">
        <f t="shared" si="19"/>
        <v>7.3761468374030983E-3</v>
      </c>
      <c r="AQ39" s="76">
        <f t="shared" si="8"/>
        <v>759.79848567633212</v>
      </c>
      <c r="AR39" s="90">
        <f t="shared" si="9"/>
        <v>-16.220000000000255</v>
      </c>
      <c r="AS39" s="90">
        <f>SUM(J26:J39)</f>
        <v>18166.830999999998</v>
      </c>
      <c r="AT39" s="83">
        <f>SUM(AM26:AM39)</f>
        <v>-134.16899999999987</v>
      </c>
      <c r="AU39" s="83">
        <f>SUM(AN26:AN39)</f>
        <v>2.9744279999999605</v>
      </c>
      <c r="AV39" s="83">
        <f>SUM(AO26:AO39)</f>
        <v>-4.3568599999999265</v>
      </c>
      <c r="AW39" s="83">
        <f>-SUM(AQ26:AQ39)</f>
        <v>-124.4686779940015</v>
      </c>
    </row>
    <row r="40" spans="1:49" x14ac:dyDescent="0.25">
      <c r="A40" t="str">
        <f t="shared" si="10"/>
        <v>46222M</v>
      </c>
      <c r="B40" s="51">
        <f t="shared" si="20"/>
        <v>46222</v>
      </c>
      <c r="C40" s="52" t="s">
        <v>87</v>
      </c>
      <c r="D40" s="91">
        <v>5126</v>
      </c>
      <c r="E40" s="62">
        <v>5</v>
      </c>
      <c r="F40" s="62">
        <v>8.5</v>
      </c>
      <c r="G40" s="62">
        <f t="shared" si="0"/>
        <v>256.3</v>
      </c>
      <c r="H40" s="72">
        <f t="shared" si="11"/>
        <v>435.71000000000004</v>
      </c>
      <c r="I40" s="143">
        <v>1335</v>
      </c>
      <c r="J40" s="144">
        <v>1375.05</v>
      </c>
      <c r="K40" s="145">
        <v>5.5248239700374535</v>
      </c>
      <c r="L40" s="146">
        <v>8.5622022471910118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1375.05</v>
      </c>
      <c r="S40" s="62">
        <f t="shared" si="13"/>
        <v>75.969092000000003</v>
      </c>
      <c r="T40" s="63">
        <f t="shared" si="14"/>
        <v>117.734562</v>
      </c>
      <c r="U40" s="64" t="s">
        <v>202</v>
      </c>
      <c r="V40" s="65" t="s">
        <v>657</v>
      </c>
      <c r="W40" s="66" t="s">
        <v>203</v>
      </c>
      <c r="X40" s="67">
        <v>3838</v>
      </c>
      <c r="Y40" s="68">
        <v>5.7</v>
      </c>
      <c r="Z40" s="68">
        <v>8.8000000000000007</v>
      </c>
      <c r="AA40" s="62">
        <f t="shared" si="15"/>
        <v>218.76600000000002</v>
      </c>
      <c r="AB40" s="63">
        <f t="shared" si="16"/>
        <v>337.74400000000003</v>
      </c>
      <c r="AC40" s="69">
        <v>3830</v>
      </c>
      <c r="AD40" s="70">
        <v>5.7</v>
      </c>
      <c r="AE40" s="70">
        <v>8.6999999999999993</v>
      </c>
      <c r="AF40" s="62">
        <f t="shared" si="17"/>
        <v>218.31</v>
      </c>
      <c r="AG40" s="63">
        <f t="shared" si="18"/>
        <v>333.21</v>
      </c>
      <c r="AH40" s="89">
        <v>2650</v>
      </c>
      <c r="AI40" s="66">
        <v>4.2</v>
      </c>
      <c r="AJ40" s="66">
        <v>8.5</v>
      </c>
      <c r="AK40" s="62">
        <f t="shared" si="4"/>
        <v>111.30000000000001</v>
      </c>
      <c r="AL40" s="72">
        <f t="shared" si="5"/>
        <v>225.25000000000003</v>
      </c>
      <c r="AM40" s="73">
        <f t="shared" si="6"/>
        <v>21.050000000000182</v>
      </c>
      <c r="AN40" s="80">
        <f t="shared" si="23"/>
        <v>2.6590919999999869</v>
      </c>
      <c r="AO40" s="80">
        <f t="shared" si="23"/>
        <v>-5.015437999999989</v>
      </c>
      <c r="AP40" s="75">
        <f t="shared" si="19"/>
        <v>-1.2164695664440084E-2</v>
      </c>
      <c r="AQ40" s="76">
        <f t="shared" si="8"/>
        <v>-224.29878106776459</v>
      </c>
      <c r="AR40" s="90">
        <f t="shared" si="9"/>
        <v>13.050000000000182</v>
      </c>
    </row>
    <row r="41" spans="1:49" x14ac:dyDescent="0.25">
      <c r="A41" t="str">
        <f t="shared" si="10"/>
        <v>46222E</v>
      </c>
      <c r="B41" s="51">
        <f t="shared" si="20"/>
        <v>46222</v>
      </c>
      <c r="C41" s="52" t="s">
        <v>88</v>
      </c>
      <c r="D41" s="91">
        <v>2650</v>
      </c>
      <c r="E41" s="62">
        <v>4.2</v>
      </c>
      <c r="F41" s="62">
        <v>8.5</v>
      </c>
      <c r="G41" s="62">
        <f t="shared" si="0"/>
        <v>111.30000000000001</v>
      </c>
      <c r="H41" s="72">
        <f t="shared" si="11"/>
        <v>225.25000000000003</v>
      </c>
      <c r="I41" s="143">
        <v>1240.1000000000001</v>
      </c>
      <c r="J41" s="144">
        <v>1277.3030000000001</v>
      </c>
      <c r="K41" s="145">
        <v>5.3213692444157727</v>
      </c>
      <c r="L41" s="146">
        <v>8.5207321990162068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1277.3030000000001</v>
      </c>
      <c r="S41" s="62">
        <f t="shared" si="13"/>
        <v>67.970009000000005</v>
      </c>
      <c r="T41" s="63">
        <f t="shared" si="14"/>
        <v>108.83556799999998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89">
        <v>3943</v>
      </c>
      <c r="AI41" s="66">
        <v>4.5</v>
      </c>
      <c r="AJ41" s="66">
        <v>8.5</v>
      </c>
      <c r="AK41" s="62">
        <f t="shared" si="4"/>
        <v>177.435</v>
      </c>
      <c r="AL41" s="72">
        <f t="shared" si="5"/>
        <v>335.15500000000003</v>
      </c>
      <c r="AM41" s="73">
        <f t="shared" si="6"/>
        <v>-15.697000000000116</v>
      </c>
      <c r="AN41" s="80">
        <f t="shared" si="23"/>
        <v>1.8350090000000137</v>
      </c>
      <c r="AO41" s="80">
        <f t="shared" si="23"/>
        <v>-1.0694320000000062</v>
      </c>
      <c r="AP41" s="75">
        <f t="shared" si="19"/>
        <v>4.330050063975118E-3</v>
      </c>
      <c r="AQ41" s="76">
        <f t="shared" si="8"/>
        <v>561.49618411417055</v>
      </c>
      <c r="AR41" s="90">
        <f t="shared" si="9"/>
        <v>-15.697000000000116</v>
      </c>
    </row>
    <row r="42" spans="1:49" x14ac:dyDescent="0.25">
      <c r="A42" t="str">
        <f t="shared" si="10"/>
        <v>46223M</v>
      </c>
      <c r="B42" s="51">
        <f t="shared" si="20"/>
        <v>46223</v>
      </c>
      <c r="C42" s="52" t="s">
        <v>87</v>
      </c>
      <c r="D42" s="91">
        <v>3943</v>
      </c>
      <c r="E42" s="62">
        <v>4.5</v>
      </c>
      <c r="F42" s="62">
        <v>8.5</v>
      </c>
      <c r="G42" s="62">
        <f t="shared" si="0"/>
        <v>177.435</v>
      </c>
      <c r="H42" s="72">
        <f t="shared" si="11"/>
        <v>335.15500000000003</v>
      </c>
      <c r="I42" s="143">
        <v>1536.0999999999997</v>
      </c>
      <c r="J42" s="144">
        <v>1582.1829999999998</v>
      </c>
      <c r="K42" s="145">
        <v>5.3597812642406097</v>
      </c>
      <c r="L42" s="146">
        <v>8.5357919406288651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1582.1829999999998</v>
      </c>
      <c r="S42" s="62">
        <f t="shared" si="13"/>
        <v>84.801547999999997</v>
      </c>
      <c r="T42" s="63">
        <f t="shared" si="14"/>
        <v>135.05184899999998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89">
        <v>5510</v>
      </c>
      <c r="AI42" s="66">
        <v>4.8</v>
      </c>
      <c r="AJ42" s="66">
        <v>8.5</v>
      </c>
      <c r="AK42" s="62">
        <f t="shared" si="4"/>
        <v>264.48</v>
      </c>
      <c r="AL42" s="72">
        <f t="shared" si="5"/>
        <v>468.35</v>
      </c>
      <c r="AM42" s="73">
        <f t="shared" si="6"/>
        <v>15.182999999999993</v>
      </c>
      <c r="AN42" s="80">
        <f t="shared" si="23"/>
        <v>-2.2434520000000475</v>
      </c>
      <c r="AO42" s="80">
        <f t="shared" si="23"/>
        <v>1.8568490000000111</v>
      </c>
      <c r="AP42" s="75">
        <f t="shared" si="19"/>
        <v>-1.7584581601895217E-3</v>
      </c>
      <c r="AQ42" s="76">
        <f t="shared" si="8"/>
        <v>-521.94195746245248</v>
      </c>
      <c r="AR42" s="90">
        <f t="shared" si="9"/>
        <v>15.182999999999993</v>
      </c>
    </row>
    <row r="43" spans="1:49" x14ac:dyDescent="0.25">
      <c r="A43" t="str">
        <f t="shared" si="10"/>
        <v>46223E</v>
      </c>
      <c r="B43" s="51">
        <f t="shared" si="20"/>
        <v>46223</v>
      </c>
      <c r="C43" s="52" t="s">
        <v>88</v>
      </c>
      <c r="D43" s="91">
        <v>5510</v>
      </c>
      <c r="E43" s="62">
        <v>4.8</v>
      </c>
      <c r="F43" s="62">
        <v>8.5</v>
      </c>
      <c r="G43" s="62">
        <f t="shared" si="0"/>
        <v>264.48</v>
      </c>
      <c r="H43" s="72">
        <f t="shared" si="11"/>
        <v>468.35</v>
      </c>
      <c r="I43" s="143">
        <v>1138.3999999999999</v>
      </c>
      <c r="J43" s="144">
        <v>1172.5519999999999</v>
      </c>
      <c r="K43" s="145">
        <v>5.4690794096978204</v>
      </c>
      <c r="L43" s="146">
        <v>8.6013879128601545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1172.5519999999999</v>
      </c>
      <c r="S43" s="62">
        <f t="shared" si="13"/>
        <v>64.127799999999979</v>
      </c>
      <c r="T43" s="63">
        <f t="shared" si="14"/>
        <v>100.855746</v>
      </c>
      <c r="U43" s="64" t="s">
        <v>205</v>
      </c>
      <c r="V43" s="65" t="s">
        <v>722</v>
      </c>
      <c r="W43" s="66" t="s">
        <v>203</v>
      </c>
      <c r="X43" s="67">
        <v>4280</v>
      </c>
      <c r="Y43" s="68">
        <v>5.5</v>
      </c>
      <c r="Z43" s="68">
        <v>8.6999999999999993</v>
      </c>
      <c r="AA43" s="62">
        <f t="shared" si="15"/>
        <v>235.4</v>
      </c>
      <c r="AB43" s="63">
        <f t="shared" si="16"/>
        <v>372.35999999999996</v>
      </c>
      <c r="AC43" s="69">
        <v>4280</v>
      </c>
      <c r="AD43" s="70">
        <v>5.5</v>
      </c>
      <c r="AE43" s="70">
        <v>8.6</v>
      </c>
      <c r="AF43" s="62">
        <f t="shared" si="17"/>
        <v>235.4</v>
      </c>
      <c r="AG43" s="63">
        <f t="shared" si="18"/>
        <v>368.08</v>
      </c>
      <c r="AH43" s="89">
        <v>2380</v>
      </c>
      <c r="AI43" s="66">
        <v>3.9</v>
      </c>
      <c r="AJ43" s="66">
        <v>8.5</v>
      </c>
      <c r="AK43" s="62">
        <f t="shared" si="4"/>
        <v>92.82</v>
      </c>
      <c r="AL43" s="72">
        <f t="shared" si="5"/>
        <v>202.3</v>
      </c>
      <c r="AM43" s="73">
        <f t="shared" si="6"/>
        <v>22.55199999999968</v>
      </c>
      <c r="AN43" s="80">
        <f t="shared" si="23"/>
        <v>0.38779999999999859</v>
      </c>
      <c r="AO43" s="80">
        <f t="shared" si="23"/>
        <v>-1.174254000000019</v>
      </c>
      <c r="AP43" s="75">
        <f t="shared" si="19"/>
        <v>-4.7668632361679295E-3</v>
      </c>
      <c r="AQ43" s="76">
        <f t="shared" si="8"/>
        <v>-165.32809768693977</v>
      </c>
      <c r="AR43" s="90">
        <f t="shared" si="9"/>
        <v>22.55199999999968</v>
      </c>
    </row>
    <row r="44" spans="1:49" x14ac:dyDescent="0.25">
      <c r="A44" t="str">
        <f t="shared" si="10"/>
        <v>46224M</v>
      </c>
      <c r="B44" s="51">
        <f t="shared" si="20"/>
        <v>46224</v>
      </c>
      <c r="C44" s="52" t="s">
        <v>87</v>
      </c>
      <c r="D44" s="91">
        <v>2380</v>
      </c>
      <c r="E44" s="62">
        <v>3.9</v>
      </c>
      <c r="F44" s="62">
        <v>8.5</v>
      </c>
      <c r="G44" s="62">
        <f t="shared" si="0"/>
        <v>92.82</v>
      </c>
      <c r="H44" s="72">
        <f t="shared" si="11"/>
        <v>202.3</v>
      </c>
      <c r="I44" s="143">
        <v>1215.8999999999999</v>
      </c>
      <c r="J44" s="144">
        <v>1252.377</v>
      </c>
      <c r="K44" s="145">
        <v>5.7321325766921625</v>
      </c>
      <c r="L44" s="146">
        <v>8.5814129451435139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1252.377</v>
      </c>
      <c r="S44" s="62">
        <f t="shared" si="13"/>
        <v>71.787909999999997</v>
      </c>
      <c r="T44" s="63">
        <f t="shared" si="14"/>
        <v>107.47164199999999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89">
        <v>3648</v>
      </c>
      <c r="AI44" s="66">
        <v>4.5</v>
      </c>
      <c r="AJ44" s="66">
        <v>8.5</v>
      </c>
      <c r="AK44" s="62">
        <f t="shared" si="4"/>
        <v>164.16</v>
      </c>
      <c r="AL44" s="72">
        <f t="shared" si="5"/>
        <v>310.08000000000004</v>
      </c>
      <c r="AM44" s="73">
        <f t="shared" si="6"/>
        <v>-15.623000000000047</v>
      </c>
      <c r="AN44" s="80">
        <f t="shared" si="23"/>
        <v>0.44791000000000736</v>
      </c>
      <c r="AO44" s="80">
        <f t="shared" si="23"/>
        <v>-0.3083580000000552</v>
      </c>
      <c r="AP44" s="75">
        <f t="shared" si="19"/>
        <v>7.7849129066188993E-4</v>
      </c>
      <c r="AQ44" s="76">
        <f t="shared" si="8"/>
        <v>122.88485702999776</v>
      </c>
      <c r="AR44" s="90">
        <f t="shared" si="9"/>
        <v>-15.623000000000047</v>
      </c>
    </row>
    <row r="45" spans="1:49" x14ac:dyDescent="0.25">
      <c r="A45" t="str">
        <f t="shared" si="10"/>
        <v>46224E</v>
      </c>
      <c r="B45" s="51">
        <f t="shared" si="20"/>
        <v>46224</v>
      </c>
      <c r="C45" s="52" t="s">
        <v>88</v>
      </c>
      <c r="D45" s="91">
        <v>3648</v>
      </c>
      <c r="E45" s="62">
        <v>4.5</v>
      </c>
      <c r="F45" s="62">
        <v>8.5</v>
      </c>
      <c r="G45" s="62">
        <f t="shared" si="0"/>
        <v>164.16</v>
      </c>
      <c r="H45" s="72">
        <f t="shared" si="11"/>
        <v>310.08000000000004</v>
      </c>
      <c r="I45" s="143">
        <v>1234.4000000000001</v>
      </c>
      <c r="J45" s="144">
        <v>1271.432</v>
      </c>
      <c r="K45" s="145">
        <v>5.3334737524303293</v>
      </c>
      <c r="L45" s="146">
        <v>8.5306788723266358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1271.432</v>
      </c>
      <c r="S45" s="62">
        <f t="shared" si="13"/>
        <v>67.811491999999987</v>
      </c>
      <c r="T45" s="63">
        <f t="shared" si="14"/>
        <v>108.46178099999999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89">
        <v>4935</v>
      </c>
      <c r="AI45" s="66">
        <v>4.7</v>
      </c>
      <c r="AJ45" s="66">
        <v>8.5</v>
      </c>
      <c r="AK45" s="62">
        <f t="shared" si="4"/>
        <v>231.94499999999999</v>
      </c>
      <c r="AL45" s="72">
        <f t="shared" si="5"/>
        <v>419.47500000000002</v>
      </c>
      <c r="AM45" s="73">
        <f t="shared" si="6"/>
        <v>-15.568000000000211</v>
      </c>
      <c r="AN45" s="80">
        <f t="shared" si="23"/>
        <v>2.6491999999990412E-2</v>
      </c>
      <c r="AO45" s="80">
        <f t="shared" si="23"/>
        <v>-0.93321900000000824</v>
      </c>
      <c r="AP45" s="75">
        <f t="shared" si="19"/>
        <v>-5.1438711301401777E-3</v>
      </c>
      <c r="AQ45" s="76">
        <f t="shared" si="8"/>
        <v>-266.76051428764663</v>
      </c>
      <c r="AR45" s="90">
        <f t="shared" si="9"/>
        <v>-15.568000000000211</v>
      </c>
    </row>
    <row r="46" spans="1:49" x14ac:dyDescent="0.25">
      <c r="A46" t="str">
        <f t="shared" si="10"/>
        <v>46225M</v>
      </c>
      <c r="B46" s="51">
        <f t="shared" si="20"/>
        <v>46225</v>
      </c>
      <c r="C46" s="52" t="s">
        <v>87</v>
      </c>
      <c r="D46" s="91">
        <v>4935</v>
      </c>
      <c r="E46" s="62">
        <v>4.7</v>
      </c>
      <c r="F46" s="62">
        <v>8.5</v>
      </c>
      <c r="G46" s="62">
        <f t="shared" si="0"/>
        <v>231.94499999999999</v>
      </c>
      <c r="H46" s="72">
        <f t="shared" si="11"/>
        <v>419.47500000000002</v>
      </c>
      <c r="I46" s="143">
        <v>1310.5999999999997</v>
      </c>
      <c r="J46" s="144">
        <v>1349.9179999999997</v>
      </c>
      <c r="K46" s="145">
        <v>5.8213795208301518</v>
      </c>
      <c r="L46" s="146">
        <v>8.6089882496566457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1349.9179999999997</v>
      </c>
      <c r="S46" s="62">
        <f t="shared" si="13"/>
        <v>78.583849999999956</v>
      </c>
      <c r="T46" s="63">
        <f t="shared" si="14"/>
        <v>116.21428199999997</v>
      </c>
      <c r="U46" s="64" t="s">
        <v>206</v>
      </c>
      <c r="V46" s="65" t="s">
        <v>784</v>
      </c>
      <c r="W46" s="66" t="s">
        <v>203</v>
      </c>
      <c r="X46" s="67">
        <v>3625</v>
      </c>
      <c r="Y46" s="68">
        <v>5.7</v>
      </c>
      <c r="Z46" s="68">
        <v>8.8000000000000007</v>
      </c>
      <c r="AA46" s="62">
        <f t="shared" si="15"/>
        <v>206.625</v>
      </c>
      <c r="AB46" s="63">
        <f t="shared" si="16"/>
        <v>319.00000000000006</v>
      </c>
      <c r="AC46" s="69">
        <v>3620</v>
      </c>
      <c r="AD46" s="70">
        <v>5.7</v>
      </c>
      <c r="AE46" s="70">
        <v>8.6999999999999993</v>
      </c>
      <c r="AF46" s="62">
        <f t="shared" si="17"/>
        <v>206.34</v>
      </c>
      <c r="AG46" s="63">
        <f t="shared" si="18"/>
        <v>314.94</v>
      </c>
      <c r="AH46" s="89">
        <v>2655</v>
      </c>
      <c r="AI46" s="66">
        <v>3.9</v>
      </c>
      <c r="AJ46" s="66">
        <v>8.4</v>
      </c>
      <c r="AK46" s="62">
        <f t="shared" si="4"/>
        <v>103.545</v>
      </c>
      <c r="AL46" s="72">
        <f t="shared" si="5"/>
        <v>223.02</v>
      </c>
      <c r="AM46" s="73">
        <f t="shared" si="6"/>
        <v>9.9179999999996653</v>
      </c>
      <c r="AN46" s="80">
        <f t="shared" si="23"/>
        <v>0.64384999999991521</v>
      </c>
      <c r="AO46" s="80">
        <f t="shared" si="23"/>
        <v>-2.2707179999999596</v>
      </c>
      <c r="AP46" s="75">
        <f t="shared" si="19"/>
        <v>-8.3515585252123721E-3</v>
      </c>
      <c r="AQ46" s="76">
        <f t="shared" si="8"/>
        <v>-370.66894589180816</v>
      </c>
      <c r="AR46" s="90">
        <f t="shared" si="9"/>
        <v>4.9179999999996653</v>
      </c>
    </row>
    <row r="47" spans="1:49" x14ac:dyDescent="0.25">
      <c r="A47" t="str">
        <f t="shared" si="10"/>
        <v>46225E</v>
      </c>
      <c r="B47" s="51">
        <f t="shared" si="20"/>
        <v>46225</v>
      </c>
      <c r="C47" s="52" t="s">
        <v>88</v>
      </c>
      <c r="D47" s="91">
        <v>2655</v>
      </c>
      <c r="E47" s="62">
        <v>3.9</v>
      </c>
      <c r="F47" s="62">
        <v>8.4</v>
      </c>
      <c r="G47" s="62">
        <f t="shared" si="0"/>
        <v>103.545</v>
      </c>
      <c r="H47" s="72">
        <f t="shared" si="11"/>
        <v>223.02</v>
      </c>
      <c r="I47" s="143">
        <v>1226.3999999999999</v>
      </c>
      <c r="J47" s="144">
        <v>1263.1919999999998</v>
      </c>
      <c r="K47" s="145">
        <v>5.3053571428571438</v>
      </c>
      <c r="L47" s="146">
        <v>8.567938682322243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1263.1919999999998</v>
      </c>
      <c r="S47" s="62">
        <f t="shared" si="13"/>
        <v>67.016846999999999</v>
      </c>
      <c r="T47" s="63">
        <f t="shared" si="14"/>
        <v>108.22951599999998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89">
        <v>3930</v>
      </c>
      <c r="AI47" s="66">
        <v>4.3</v>
      </c>
      <c r="AJ47" s="66">
        <v>8.5</v>
      </c>
      <c r="AK47" s="62">
        <f t="shared" si="4"/>
        <v>168.98999999999998</v>
      </c>
      <c r="AL47" s="72">
        <f t="shared" si="5"/>
        <v>334.05</v>
      </c>
      <c r="AM47" s="73">
        <f t="shared" si="6"/>
        <v>-11.807999999999993</v>
      </c>
      <c r="AN47" s="80">
        <f t="shared" si="23"/>
        <v>1.5718470000000195</v>
      </c>
      <c r="AO47" s="80">
        <f t="shared" si="23"/>
        <v>-2.8004840000000399</v>
      </c>
      <c r="AP47" s="75">
        <f t="shared" si="19"/>
        <v>-7.0109129739829214E-3</v>
      </c>
      <c r="AQ47" s="76">
        <f t="shared" si="8"/>
        <v>-83.396385158757766</v>
      </c>
      <c r="AR47" s="90">
        <f t="shared" si="9"/>
        <v>-11.807999999999993</v>
      </c>
      <c r="AS47" s="90">
        <f>SUM(J34:J47)</f>
        <v>18506.524999999998</v>
      </c>
      <c r="AT47" s="83">
        <f>SUM(AM34:AM47)</f>
        <v>-28.474999999999909</v>
      </c>
      <c r="AU47" s="83">
        <f>SUM(AN34:AN47)</f>
        <v>9.297857999999934</v>
      </c>
      <c r="AV47" s="83">
        <f>SUM(AO34:AO47)</f>
        <v>-16.674887000000012</v>
      </c>
      <c r="AW47" s="83">
        <f>-SUM(AQ34:AQ47)</f>
        <v>526.05682709033317</v>
      </c>
    </row>
    <row r="48" spans="1:49" x14ac:dyDescent="0.25">
      <c r="A48" t="str">
        <f t="shared" si="10"/>
        <v>46226M</v>
      </c>
      <c r="B48" s="51">
        <f t="shared" si="20"/>
        <v>46226</v>
      </c>
      <c r="C48" s="98" t="s">
        <v>87</v>
      </c>
      <c r="D48" s="91">
        <v>3930</v>
      </c>
      <c r="E48" s="62">
        <v>4.3</v>
      </c>
      <c r="F48" s="62">
        <v>8.5</v>
      </c>
      <c r="G48" s="62">
        <f t="shared" si="0"/>
        <v>168.98999999999998</v>
      </c>
      <c r="H48" s="72">
        <f t="shared" si="11"/>
        <v>334.05</v>
      </c>
      <c r="I48" s="143">
        <v>1346.1</v>
      </c>
      <c r="J48" s="144">
        <v>1386.4829999999999</v>
      </c>
      <c r="K48" s="145">
        <v>5.5961295594680935</v>
      </c>
      <c r="L48" s="146">
        <v>8.5381398113067402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1386.4829999999999</v>
      </c>
      <c r="S48" s="62">
        <f t="shared" si="13"/>
        <v>77.589385000000007</v>
      </c>
      <c r="T48" s="63">
        <f t="shared" si="14"/>
        <v>118.37985700000003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89">
        <v>5332</v>
      </c>
      <c r="AI48" s="66">
        <v>4.5999999999999996</v>
      </c>
      <c r="AJ48" s="66">
        <v>8.5</v>
      </c>
      <c r="AK48" s="62">
        <f t="shared" si="4"/>
        <v>245.27199999999999</v>
      </c>
      <c r="AL48" s="72">
        <f t="shared" si="5"/>
        <v>453.22</v>
      </c>
      <c r="AM48" s="73">
        <f t="shared" si="6"/>
        <v>-15.516999999999825</v>
      </c>
      <c r="AN48" s="80">
        <f t="shared" si="23"/>
        <v>1.3073850000000107</v>
      </c>
      <c r="AO48" s="80">
        <f t="shared" si="23"/>
        <v>-0.79014300000000048</v>
      </c>
      <c r="AP48" s="75">
        <f t="shared" si="19"/>
        <v>2.6394039938165913E-3</v>
      </c>
      <c r="AQ48" s="76">
        <f t="shared" si="8"/>
        <v>391.60024896547969</v>
      </c>
      <c r="AR48" s="90">
        <f t="shared" si="9"/>
        <v>-15.516999999999825</v>
      </c>
    </row>
    <row r="49" spans="1:49" x14ac:dyDescent="0.25">
      <c r="A49" t="str">
        <f t="shared" si="10"/>
        <v>46226E</v>
      </c>
      <c r="B49" s="51">
        <f t="shared" si="20"/>
        <v>46226</v>
      </c>
      <c r="C49" s="52" t="s">
        <v>88</v>
      </c>
      <c r="D49" s="91">
        <v>5332</v>
      </c>
      <c r="E49" s="62">
        <v>4.5999999999999996</v>
      </c>
      <c r="F49" s="62">
        <v>8.5</v>
      </c>
      <c r="G49" s="62">
        <f t="shared" si="0"/>
        <v>245.27199999999999</v>
      </c>
      <c r="H49" s="72">
        <f t="shared" si="11"/>
        <v>453.22</v>
      </c>
      <c r="I49" s="143">
        <v>1210.3</v>
      </c>
      <c r="J49" s="144">
        <v>1246.6089999999999</v>
      </c>
      <c r="K49" s="145">
        <v>5.2682888540031403</v>
      </c>
      <c r="L49" s="146">
        <v>8.4822853837891437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1246.6089999999999</v>
      </c>
      <c r="S49" s="62">
        <f t="shared" si="13"/>
        <v>65.674963000000005</v>
      </c>
      <c r="T49" s="63">
        <f t="shared" si="14"/>
        <v>105.740933</v>
      </c>
      <c r="U49" s="64" t="s">
        <v>202</v>
      </c>
      <c r="V49" s="65" t="s">
        <v>785</v>
      </c>
      <c r="W49" s="66" t="s">
        <v>203</v>
      </c>
      <c r="X49" s="67">
        <v>3895</v>
      </c>
      <c r="Y49" s="68">
        <v>5.6</v>
      </c>
      <c r="Z49" s="68">
        <v>8.8000000000000007</v>
      </c>
      <c r="AA49" s="62">
        <f t="shared" si="15"/>
        <v>218.11999999999998</v>
      </c>
      <c r="AB49" s="63">
        <f t="shared" si="16"/>
        <v>342.76000000000005</v>
      </c>
      <c r="AC49" s="69">
        <v>3895</v>
      </c>
      <c r="AD49" s="70">
        <v>5.4</v>
      </c>
      <c r="AE49" s="70">
        <v>8.6</v>
      </c>
      <c r="AF49" s="62">
        <f t="shared" si="17"/>
        <v>210.33</v>
      </c>
      <c r="AG49" s="63">
        <f t="shared" si="18"/>
        <v>334.96999999999997</v>
      </c>
      <c r="AH49" s="89">
        <v>2650</v>
      </c>
      <c r="AI49" s="66">
        <v>3.9</v>
      </c>
      <c r="AJ49" s="66">
        <v>8.4</v>
      </c>
      <c r="AK49" s="62">
        <f t="shared" si="4"/>
        <v>103.35</v>
      </c>
      <c r="AL49" s="72">
        <f t="shared" si="5"/>
        <v>222.60000000000002</v>
      </c>
      <c r="AM49" s="73">
        <f t="shared" si="6"/>
        <v>33.609000000000378</v>
      </c>
      <c r="AN49" s="80">
        <f t="shared" si="23"/>
        <v>-2.7330370000000244</v>
      </c>
      <c r="AO49" s="80">
        <f t="shared" si="23"/>
        <v>1.390933000000075</v>
      </c>
      <c r="AP49" s="75">
        <f t="shared" si="19"/>
        <v>-7.8295189146282522E-3</v>
      </c>
      <c r="AQ49" s="76">
        <f t="shared" si="8"/>
        <v>-896.74117838188704</v>
      </c>
      <c r="AR49" s="90">
        <f t="shared" si="9"/>
        <v>33.609000000000378</v>
      </c>
      <c r="AS49" s="90">
        <f>SUM(J36:J49)</f>
        <v>18370.152999999998</v>
      </c>
      <c r="AT49" s="83">
        <f>SUM(AM36:AM49)</f>
        <v>-9.8469999999997526</v>
      </c>
      <c r="AU49" s="83">
        <f>SUM(AN36:AN49)</f>
        <v>6.8605329999998901</v>
      </c>
      <c r="AV49" s="83">
        <f>SUM(AO36:AO49)</f>
        <v>-14.015815000000003</v>
      </c>
      <c r="AW49" s="83">
        <f>-SUM(AQ36:AQ49)</f>
        <v>900.90242422507959</v>
      </c>
    </row>
    <row r="50" spans="1:49" x14ac:dyDescent="0.25">
      <c r="A50" t="str">
        <f t="shared" si="10"/>
        <v>46227M</v>
      </c>
      <c r="B50" s="51">
        <f t="shared" si="20"/>
        <v>46227</v>
      </c>
      <c r="C50" s="52" t="s">
        <v>87</v>
      </c>
      <c r="D50" s="91">
        <v>2650</v>
      </c>
      <c r="E50" s="62">
        <v>3.9</v>
      </c>
      <c r="F50" s="62">
        <v>8.4</v>
      </c>
      <c r="G50" s="62">
        <f t="shared" si="0"/>
        <v>103.35</v>
      </c>
      <c r="H50" s="72">
        <f t="shared" si="11"/>
        <v>222.60000000000002</v>
      </c>
      <c r="I50" s="143">
        <v>1283.2</v>
      </c>
      <c r="J50" s="144">
        <v>1321.6960000000001</v>
      </c>
      <c r="K50" s="145">
        <v>5.8790679551122169</v>
      </c>
      <c r="L50" s="146">
        <v>8.5403834164588517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2"/>
        <v>1321.6960000000001</v>
      </c>
      <c r="S50" s="62">
        <f t="shared" si="13"/>
        <v>77.703405999999973</v>
      </c>
      <c r="T50" s="63">
        <f t="shared" si="14"/>
        <v>112.877906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89">
        <v>3985</v>
      </c>
      <c r="AI50" s="66">
        <v>4.5</v>
      </c>
      <c r="AJ50" s="66">
        <v>8.5</v>
      </c>
      <c r="AK50" s="62">
        <f t="shared" si="4"/>
        <v>179.32499999999999</v>
      </c>
      <c r="AL50" s="72">
        <f t="shared" si="5"/>
        <v>338.72500000000002</v>
      </c>
      <c r="AM50" s="73">
        <f t="shared" si="6"/>
        <v>-13.304000000000087</v>
      </c>
      <c r="AN50" s="80">
        <f t="shared" si="23"/>
        <v>1.7284059999999783</v>
      </c>
      <c r="AO50" s="80">
        <f t="shared" si="23"/>
        <v>-3.2470940000000041</v>
      </c>
      <c r="AP50" s="75">
        <f t="shared" si="19"/>
        <v>-7.9687141622785448E-3</v>
      </c>
      <c r="AQ50" s="76">
        <f t="shared" si="8"/>
        <v>-141.92040927245762</v>
      </c>
      <c r="AR50" s="90">
        <f t="shared" si="9"/>
        <v>-13.304000000000087</v>
      </c>
    </row>
    <row r="51" spans="1:49" x14ac:dyDescent="0.25">
      <c r="A51" t="str">
        <f t="shared" si="10"/>
        <v>46227E</v>
      </c>
      <c r="B51" s="51">
        <f t="shared" si="20"/>
        <v>46227</v>
      </c>
      <c r="C51" s="52" t="s">
        <v>88</v>
      </c>
      <c r="D51" s="91">
        <v>3985</v>
      </c>
      <c r="E51" s="62">
        <v>4.5</v>
      </c>
      <c r="F51" s="62">
        <v>8.5</v>
      </c>
      <c r="G51" s="62">
        <f t="shared" si="0"/>
        <v>179.32499999999999</v>
      </c>
      <c r="H51" s="72">
        <f t="shared" si="11"/>
        <v>338.72500000000002</v>
      </c>
      <c r="I51" s="143">
        <v>1216.5999999999995</v>
      </c>
      <c r="J51" s="144">
        <v>1253.0979999999995</v>
      </c>
      <c r="K51" s="145">
        <v>5.2595183297714971</v>
      </c>
      <c r="L51" s="146">
        <v>8.5061482820976515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2"/>
        <v>1253.0979999999995</v>
      </c>
      <c r="S51" s="62">
        <f t="shared" si="13"/>
        <v>65.906919000000016</v>
      </c>
      <c r="T51" s="63">
        <f t="shared" si="14"/>
        <v>106.59037399999998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89">
        <v>5235</v>
      </c>
      <c r="AI51" s="66">
        <v>4.7</v>
      </c>
      <c r="AJ51" s="66">
        <v>8.5</v>
      </c>
      <c r="AK51" s="62">
        <f t="shared" si="4"/>
        <v>246.04499999999999</v>
      </c>
      <c r="AL51" s="72">
        <f t="shared" si="5"/>
        <v>444.97500000000002</v>
      </c>
      <c r="AM51" s="73">
        <f t="shared" si="6"/>
        <v>3.0979999999999563</v>
      </c>
      <c r="AN51" s="80">
        <f t="shared" si="23"/>
        <v>-0.81308099999998262</v>
      </c>
      <c r="AO51" s="80">
        <f t="shared" si="23"/>
        <v>0.34037399999999707</v>
      </c>
      <c r="AP51" s="75">
        <f t="shared" si="19"/>
        <v>-2.7403734387877353E-3</v>
      </c>
      <c r="AQ51" s="76">
        <f t="shared" si="8"/>
        <v>-288.77290056359607</v>
      </c>
      <c r="AR51" s="90">
        <f t="shared" si="9"/>
        <v>3.0979999999999563</v>
      </c>
    </row>
    <row r="52" spans="1:49" x14ac:dyDescent="0.25">
      <c r="A52" t="str">
        <f t="shared" si="10"/>
        <v>46228M</v>
      </c>
      <c r="B52" s="51">
        <f t="shared" si="20"/>
        <v>46228</v>
      </c>
      <c r="C52" s="52" t="s">
        <v>87</v>
      </c>
      <c r="D52" s="91">
        <v>5235</v>
      </c>
      <c r="E52" s="62">
        <v>4.7</v>
      </c>
      <c r="F52" s="62">
        <v>8.5</v>
      </c>
      <c r="G52" s="62">
        <f t="shared" si="0"/>
        <v>246.04499999999999</v>
      </c>
      <c r="H52" s="72">
        <f t="shared" si="11"/>
        <v>444.97500000000002</v>
      </c>
      <c r="I52" s="143">
        <v>1231.6000000000001</v>
      </c>
      <c r="J52" s="144">
        <v>1268.5480000000002</v>
      </c>
      <c r="K52" s="145">
        <v>5.5674813251055557</v>
      </c>
      <c r="L52" s="146">
        <v>8.5480513153621338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2"/>
        <v>1268.5480000000002</v>
      </c>
      <c r="S52" s="62">
        <f t="shared" si="13"/>
        <v>70.626173000000037</v>
      </c>
      <c r="T52" s="63">
        <f t="shared" si="14"/>
        <v>108.43613400000005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89">
        <v>6490</v>
      </c>
      <c r="AI52" s="66">
        <v>4.9000000000000004</v>
      </c>
      <c r="AJ52" s="66">
        <v>8.5</v>
      </c>
      <c r="AK52" s="62">
        <f t="shared" si="4"/>
        <v>318.01</v>
      </c>
      <c r="AL52" s="72">
        <f t="shared" si="5"/>
        <v>551.65000000000009</v>
      </c>
      <c r="AM52" s="73">
        <f t="shared" si="6"/>
        <v>13.548000000000684</v>
      </c>
      <c r="AN52" s="80">
        <f t="shared" ref="AN52:AO65" si="24">+G52+S52-AF52-AK52</f>
        <v>-1.3388269999999807</v>
      </c>
      <c r="AO52" s="80">
        <f t="shared" si="24"/>
        <v>1.76113399999997</v>
      </c>
      <c r="AP52" s="75">
        <f t="shared" si="19"/>
        <v>2.3584360498605053E-3</v>
      </c>
      <c r="AQ52" s="76">
        <f t="shared" si="8"/>
        <v>-115.90599304828891</v>
      </c>
      <c r="AR52" s="90">
        <f t="shared" si="9"/>
        <v>13.548000000000684</v>
      </c>
    </row>
    <row r="53" spans="1:49" x14ac:dyDescent="0.25">
      <c r="A53" t="str">
        <f t="shared" si="10"/>
        <v>46228E</v>
      </c>
      <c r="B53" s="51">
        <f t="shared" si="20"/>
        <v>46228</v>
      </c>
      <c r="C53" s="52" t="s">
        <v>88</v>
      </c>
      <c r="D53" s="91">
        <v>6490</v>
      </c>
      <c r="E53" s="62">
        <v>4.9000000000000004</v>
      </c>
      <c r="F53" s="62">
        <v>8.5</v>
      </c>
      <c r="G53" s="62">
        <f t="shared" si="0"/>
        <v>318.01</v>
      </c>
      <c r="H53" s="72">
        <f t="shared" si="11"/>
        <v>551.65000000000009</v>
      </c>
      <c r="I53" s="143">
        <v>1190.4000000000001</v>
      </c>
      <c r="J53" s="144">
        <v>1226.1120000000001</v>
      </c>
      <c r="K53" s="145">
        <v>5.2803511424731173</v>
      </c>
      <c r="L53" s="146">
        <v>8.5108954973118252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2"/>
        <v>1226.1120000000001</v>
      </c>
      <c r="S53" s="62">
        <f t="shared" si="13"/>
        <v>64.74301899999999</v>
      </c>
      <c r="T53" s="63">
        <f t="shared" si="14"/>
        <v>104.35311099999997</v>
      </c>
      <c r="U53" s="64" t="s">
        <v>202</v>
      </c>
      <c r="V53" s="65" t="s">
        <v>879</v>
      </c>
      <c r="W53" s="66" t="s">
        <v>203</v>
      </c>
      <c r="X53" s="67">
        <v>5068</v>
      </c>
      <c r="Y53" s="68">
        <v>5.7</v>
      </c>
      <c r="Z53" s="68">
        <v>8.8000000000000007</v>
      </c>
      <c r="AA53" s="62">
        <f t="shared" si="15"/>
        <v>288.87600000000003</v>
      </c>
      <c r="AB53" s="63">
        <f t="shared" si="16"/>
        <v>445.98400000000004</v>
      </c>
      <c r="AC53" s="69">
        <v>5065</v>
      </c>
      <c r="AD53" s="70">
        <v>5.5</v>
      </c>
      <c r="AE53" s="70">
        <v>8.6</v>
      </c>
      <c r="AF53" s="62">
        <f t="shared" si="17"/>
        <v>278.57499999999999</v>
      </c>
      <c r="AG53" s="63">
        <f t="shared" si="18"/>
        <v>435.59</v>
      </c>
      <c r="AH53" s="89">
        <v>2660</v>
      </c>
      <c r="AI53" s="66">
        <v>4.0999999999999996</v>
      </c>
      <c r="AJ53" s="66">
        <v>8.5</v>
      </c>
      <c r="AK53" s="62">
        <f t="shared" si="4"/>
        <v>109.05999999999999</v>
      </c>
      <c r="AL53" s="72">
        <f t="shared" si="5"/>
        <v>226.10000000000002</v>
      </c>
      <c r="AM53" s="73">
        <f t="shared" si="6"/>
        <v>-8.88799999999992</v>
      </c>
      <c r="AN53" s="80">
        <f t="shared" si="24"/>
        <v>-4.8819809999999819</v>
      </c>
      <c r="AO53" s="80">
        <f t="shared" si="24"/>
        <v>-5.6868889999998942</v>
      </c>
      <c r="AP53" s="75">
        <f t="shared" si="19"/>
        <v>-6.2502140054889951E-2</v>
      </c>
      <c r="AQ53" s="76">
        <f t="shared" si="8"/>
        <v>-4049.12338943946</v>
      </c>
      <c r="AR53" s="90">
        <f t="shared" si="9"/>
        <v>-11.88799999999992</v>
      </c>
      <c r="AS53" s="90">
        <f>SUM(J40:J53)</f>
        <v>18246.553</v>
      </c>
      <c r="AT53" s="83">
        <f>SUM(AM40:AM53)</f>
        <v>22.553000000000338</v>
      </c>
      <c r="AU53" s="83">
        <f>SUM(AN40:AN53)</f>
        <v>-1.4025870000000964</v>
      </c>
      <c r="AV53" s="83">
        <f>SUM(AO40:AO53)</f>
        <v>-17.946738999999923</v>
      </c>
      <c r="AW53" s="83">
        <f>-SUM(AQ40:AQ53)</f>
        <v>6048.8772621514108</v>
      </c>
    </row>
    <row r="54" spans="1:49" x14ac:dyDescent="0.25">
      <c r="A54" t="str">
        <f t="shared" si="10"/>
        <v>46229M</v>
      </c>
      <c r="B54" s="51">
        <f t="shared" si="20"/>
        <v>46229</v>
      </c>
      <c r="C54" s="52" t="s">
        <v>87</v>
      </c>
      <c r="D54" s="91">
        <v>2660</v>
      </c>
      <c r="E54" s="62">
        <v>4.0999999999999996</v>
      </c>
      <c r="F54" s="62">
        <v>8.5</v>
      </c>
      <c r="G54" s="62">
        <f t="shared" si="0"/>
        <v>109.05999999999999</v>
      </c>
      <c r="H54" s="72">
        <f t="shared" si="11"/>
        <v>226.10000000000002</v>
      </c>
      <c r="I54" s="143">
        <v>1117.2999999999997</v>
      </c>
      <c r="J54" s="144">
        <v>1150.8189999999997</v>
      </c>
      <c r="K54" s="145">
        <v>5.8450192428175063</v>
      </c>
      <c r="L54" s="146">
        <v>8.5588382708314725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2"/>
        <v>1150.8189999999997</v>
      </c>
      <c r="S54" s="62">
        <f t="shared" si="13"/>
        <v>67.265591999999984</v>
      </c>
      <c r="T54" s="63">
        <f t="shared" si="14"/>
        <v>98.496737000000024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89">
        <v>3827</v>
      </c>
      <c r="AI54" s="66">
        <v>4.5999999999999996</v>
      </c>
      <c r="AJ54" s="66">
        <v>8.5</v>
      </c>
      <c r="AK54" s="62">
        <f t="shared" si="4"/>
        <v>176.042</v>
      </c>
      <c r="AL54" s="72">
        <f t="shared" si="5"/>
        <v>325.29500000000002</v>
      </c>
      <c r="AM54" s="73">
        <f t="shared" si="6"/>
        <v>-16.181000000000495</v>
      </c>
      <c r="AN54" s="80">
        <f t="shared" si="24"/>
        <v>0.28359199999997031</v>
      </c>
      <c r="AO54" s="80">
        <f t="shared" si="24"/>
        <v>-0.69826299999994035</v>
      </c>
      <c r="AP54" s="75">
        <f t="shared" si="19"/>
        <v>-2.5015997452591896E-3</v>
      </c>
      <c r="AQ54" s="76">
        <f t="shared" si="8"/>
        <v>-72.848366299986935</v>
      </c>
      <c r="AR54" s="90">
        <f t="shared" si="9"/>
        <v>-16.181000000000495</v>
      </c>
    </row>
    <row r="55" spans="1:49" x14ac:dyDescent="0.25">
      <c r="A55" t="str">
        <f t="shared" si="10"/>
        <v>46229E</v>
      </c>
      <c r="B55" s="51">
        <f t="shared" si="20"/>
        <v>46229</v>
      </c>
      <c r="C55" s="52" t="s">
        <v>88</v>
      </c>
      <c r="D55" s="91">
        <v>3827</v>
      </c>
      <c r="E55" s="62">
        <v>4.5999999999999996</v>
      </c>
      <c r="F55" s="62">
        <v>8.5</v>
      </c>
      <c r="G55" s="62">
        <f t="shared" si="0"/>
        <v>176.042</v>
      </c>
      <c r="H55" s="72">
        <f t="shared" si="11"/>
        <v>325.29500000000002</v>
      </c>
      <c r="I55" s="143">
        <v>1198.3</v>
      </c>
      <c r="J55" s="144">
        <v>1234.249</v>
      </c>
      <c r="K55" s="145">
        <v>5.3519319035300006</v>
      </c>
      <c r="L55" s="146">
        <v>8.4828673954769265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2"/>
        <v>1234.249</v>
      </c>
      <c r="S55" s="62">
        <f t="shared" si="13"/>
        <v>66.056166000000005</v>
      </c>
      <c r="T55" s="63">
        <f t="shared" si="14"/>
        <v>104.69970600000002</v>
      </c>
      <c r="U55" s="64" t="s">
        <v>202</v>
      </c>
      <c r="V55" s="65" t="s">
        <v>880</v>
      </c>
      <c r="W55" s="66" t="s">
        <v>203</v>
      </c>
      <c r="X55" s="67">
        <v>2200</v>
      </c>
      <c r="Y55" s="68">
        <v>4.9000000000000004</v>
      </c>
      <c r="Z55" s="68">
        <v>8.5</v>
      </c>
      <c r="AA55" s="62">
        <f t="shared" si="15"/>
        <v>107.8</v>
      </c>
      <c r="AB55" s="63">
        <f t="shared" si="16"/>
        <v>187</v>
      </c>
      <c r="AC55" s="69">
        <v>2200</v>
      </c>
      <c r="AD55" s="70">
        <v>4.9000000000000004</v>
      </c>
      <c r="AE55" s="70">
        <v>8.5</v>
      </c>
      <c r="AF55" s="62">
        <f t="shared" si="17"/>
        <v>107.8</v>
      </c>
      <c r="AG55" s="63">
        <f t="shared" si="18"/>
        <v>187</v>
      </c>
      <c r="AH55" s="89">
        <v>2860</v>
      </c>
      <c r="AI55" s="66">
        <v>4.7</v>
      </c>
      <c r="AJ55" s="66">
        <v>8.5</v>
      </c>
      <c r="AK55" s="62">
        <f t="shared" si="4"/>
        <v>134.41999999999999</v>
      </c>
      <c r="AL55" s="72">
        <f t="shared" si="5"/>
        <v>243.10000000000002</v>
      </c>
      <c r="AM55" s="73">
        <f t="shared" si="6"/>
        <v>1.2489999999997963</v>
      </c>
      <c r="AN55" s="80">
        <f t="shared" si="24"/>
        <v>-0.12183400000000688</v>
      </c>
      <c r="AO55" s="80">
        <f t="shared" si="24"/>
        <v>-0.10529399999995803</v>
      </c>
      <c r="AP55" s="75">
        <f t="shared" si="19"/>
        <v>-1.3301328811694681E-3</v>
      </c>
      <c r="AQ55" s="76">
        <f t="shared" si="8"/>
        <v>-90.079817880215131</v>
      </c>
      <c r="AR55" s="90">
        <f t="shared" si="9"/>
        <v>1.2489999999997963</v>
      </c>
    </row>
    <row r="56" spans="1:49" x14ac:dyDescent="0.25">
      <c r="A56" t="str">
        <f t="shared" si="10"/>
        <v>46230M</v>
      </c>
      <c r="B56" s="51">
        <f t="shared" si="20"/>
        <v>46230</v>
      </c>
      <c r="C56" s="52" t="s">
        <v>87</v>
      </c>
      <c r="D56" s="91">
        <v>2860</v>
      </c>
      <c r="E56" s="62">
        <v>4.7</v>
      </c>
      <c r="F56" s="62">
        <v>8.5</v>
      </c>
      <c r="G56" s="62">
        <f t="shared" si="0"/>
        <v>134.41999999999999</v>
      </c>
      <c r="H56" s="72">
        <f t="shared" si="11"/>
        <v>243.10000000000002</v>
      </c>
      <c r="I56" s="143">
        <v>1265.4000000000001</v>
      </c>
      <c r="J56" s="144">
        <v>1303.3620000000001</v>
      </c>
      <c r="K56" s="145">
        <v>5.8097992729571688</v>
      </c>
      <c r="L56" s="146">
        <v>8.6077524893314372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2"/>
        <v>1303.3620000000001</v>
      </c>
      <c r="S56" s="62">
        <f t="shared" si="13"/>
        <v>75.72271600000002</v>
      </c>
      <c r="T56" s="63">
        <f t="shared" si="14"/>
        <v>112.19017500000001</v>
      </c>
      <c r="U56" s="64" t="s">
        <v>202</v>
      </c>
      <c r="V56" s="65" t="s">
        <v>881</v>
      </c>
      <c r="W56" s="66" t="s">
        <v>203</v>
      </c>
      <c r="X56" s="67">
        <v>3690</v>
      </c>
      <c r="Y56" s="68">
        <v>5.5</v>
      </c>
      <c r="Z56" s="68">
        <v>8.5</v>
      </c>
      <c r="AA56" s="62">
        <f t="shared" si="15"/>
        <v>202.95</v>
      </c>
      <c r="AB56" s="63">
        <f t="shared" si="16"/>
        <v>313.65000000000003</v>
      </c>
      <c r="AC56" s="69">
        <v>3690</v>
      </c>
      <c r="AD56" s="70">
        <v>5.0999999999999996</v>
      </c>
      <c r="AE56" s="70">
        <v>8.5</v>
      </c>
      <c r="AF56" s="62">
        <f t="shared" si="17"/>
        <v>188.19</v>
      </c>
      <c r="AG56" s="63">
        <f t="shared" si="18"/>
        <v>313.65000000000003</v>
      </c>
      <c r="AH56" s="89">
        <v>489</v>
      </c>
      <c r="AI56" s="66">
        <v>4.5</v>
      </c>
      <c r="AJ56" s="66">
        <v>8.5</v>
      </c>
      <c r="AK56" s="62">
        <f t="shared" si="4"/>
        <v>22.004999999999999</v>
      </c>
      <c r="AL56" s="72">
        <f t="shared" si="5"/>
        <v>41.565000000000005</v>
      </c>
      <c r="AM56" s="73">
        <f t="shared" si="6"/>
        <v>-15.63799999999992</v>
      </c>
      <c r="AN56" s="80">
        <f t="shared" si="24"/>
        <v>-5.2283999999989561E-2</v>
      </c>
      <c r="AO56" s="80">
        <f t="shared" si="24"/>
        <v>7.5174999999994441E-2</v>
      </c>
      <c r="AP56" s="75">
        <f t="shared" si="19"/>
        <v>1.2181708172434469E-4</v>
      </c>
      <c r="AQ56" s="76">
        <f t="shared" si="8"/>
        <v>-2.609920403582688</v>
      </c>
      <c r="AR56" s="90">
        <f t="shared" si="9"/>
        <v>-15.63799999999992</v>
      </c>
    </row>
    <row r="57" spans="1:49" x14ac:dyDescent="0.25">
      <c r="A57" t="str">
        <f t="shared" si="10"/>
        <v>46230E</v>
      </c>
      <c r="B57" s="51">
        <f t="shared" si="20"/>
        <v>46230</v>
      </c>
      <c r="C57" s="52" t="s">
        <v>88</v>
      </c>
      <c r="D57" s="91">
        <v>489</v>
      </c>
      <c r="E57" s="62">
        <v>4.5</v>
      </c>
      <c r="F57" s="62">
        <v>8.5</v>
      </c>
      <c r="G57" s="62">
        <f t="shared" si="0"/>
        <v>22.004999999999999</v>
      </c>
      <c r="H57" s="72">
        <f t="shared" si="11"/>
        <v>41.565000000000005</v>
      </c>
      <c r="I57" s="143">
        <v>1167.3999999999999</v>
      </c>
      <c r="J57" s="144">
        <v>1202.4219999999998</v>
      </c>
      <c r="K57" s="145">
        <v>5.3125835189309569</v>
      </c>
      <c r="L57" s="146">
        <v>8.4849494603392142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2"/>
        <v>1202.4219999999998</v>
      </c>
      <c r="S57" s="62">
        <f t="shared" si="13"/>
        <v>63.879672999999983</v>
      </c>
      <c r="T57" s="63">
        <f t="shared" si="14"/>
        <v>102.02489899999996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89">
        <v>1711</v>
      </c>
      <c r="AI57" s="66">
        <v>5</v>
      </c>
      <c r="AJ57" s="66">
        <v>8.4</v>
      </c>
      <c r="AK57" s="62">
        <f t="shared" si="4"/>
        <v>85.550000000000011</v>
      </c>
      <c r="AL57" s="72">
        <f t="shared" si="5"/>
        <v>143.72400000000002</v>
      </c>
      <c r="AM57" s="73">
        <f t="shared" si="6"/>
        <v>-19.578000000000202</v>
      </c>
      <c r="AN57" s="80">
        <f t="shared" si="24"/>
        <v>0.33467299999996669</v>
      </c>
      <c r="AO57" s="80">
        <f t="shared" si="24"/>
        <v>-0.13410100000004377</v>
      </c>
      <c r="AP57" s="75">
        <f t="shared" si="19"/>
        <v>1.2089600520468055E-3</v>
      </c>
      <c r="AQ57" s="76">
        <f t="shared" si="8"/>
        <v>120.65921324551414</v>
      </c>
      <c r="AR57" s="90">
        <f t="shared" si="9"/>
        <v>-19.578000000000202</v>
      </c>
    </row>
    <row r="58" spans="1:49" x14ac:dyDescent="0.25">
      <c r="A58" t="str">
        <f t="shared" si="10"/>
        <v>46231M</v>
      </c>
      <c r="B58" s="51">
        <f t="shared" si="20"/>
        <v>46231</v>
      </c>
      <c r="C58" s="52" t="s">
        <v>87</v>
      </c>
      <c r="D58" s="91">
        <v>1711</v>
      </c>
      <c r="E58" s="62">
        <v>5</v>
      </c>
      <c r="F58" s="62">
        <v>8.4</v>
      </c>
      <c r="G58" s="62">
        <f t="shared" si="0"/>
        <v>85.550000000000011</v>
      </c>
      <c r="H58" s="72">
        <f t="shared" si="11"/>
        <v>143.72400000000002</v>
      </c>
      <c r="I58" s="143">
        <v>1193</v>
      </c>
      <c r="J58" s="144">
        <v>1228.79</v>
      </c>
      <c r="K58" s="145">
        <v>5.700913663034366</v>
      </c>
      <c r="L58" s="146">
        <v>8.5446269907795482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2"/>
        <v>1228.79</v>
      </c>
      <c r="S58" s="62">
        <f t="shared" si="13"/>
        <v>70.052256999999983</v>
      </c>
      <c r="T58" s="63">
        <f t="shared" si="14"/>
        <v>104.99552200000001</v>
      </c>
      <c r="U58" s="64" t="s">
        <v>206</v>
      </c>
      <c r="V58" s="65" t="s">
        <v>913</v>
      </c>
      <c r="W58" s="66" t="s">
        <v>203</v>
      </c>
      <c r="X58" s="67">
        <v>2430</v>
      </c>
      <c r="Y58" s="68">
        <v>5.6</v>
      </c>
      <c r="Z58" s="68">
        <v>8.7799999999999994</v>
      </c>
      <c r="AA58" s="62">
        <f t="shared" si="15"/>
        <v>136.07999999999998</v>
      </c>
      <c r="AB58" s="63">
        <f t="shared" si="16"/>
        <v>213.35399999999998</v>
      </c>
      <c r="AC58" s="69">
        <v>2430</v>
      </c>
      <c r="AD58" s="70">
        <v>5.4</v>
      </c>
      <c r="AE58" s="70">
        <v>8.4</v>
      </c>
      <c r="AF58" s="62">
        <f t="shared" si="17"/>
        <v>131.22000000000003</v>
      </c>
      <c r="AG58" s="63">
        <f t="shared" si="18"/>
        <v>204.12</v>
      </c>
      <c r="AH58" s="89">
        <v>500</v>
      </c>
      <c r="AI58" s="66">
        <v>5.0999999999999996</v>
      </c>
      <c r="AJ58" s="66">
        <v>8.5</v>
      </c>
      <c r="AK58" s="62">
        <f t="shared" si="4"/>
        <v>25.5</v>
      </c>
      <c r="AL58" s="72">
        <f t="shared" si="5"/>
        <v>42.5</v>
      </c>
      <c r="AM58" s="73">
        <f t="shared" si="6"/>
        <v>9.7899999999999636</v>
      </c>
      <c r="AN58" s="80">
        <f t="shared" si="24"/>
        <v>-1.1177430000000186</v>
      </c>
      <c r="AO58" s="80">
        <f t="shared" si="24"/>
        <v>2.0995220000000359</v>
      </c>
      <c r="AP58" s="75">
        <f t="shared" si="19"/>
        <v>5.608634428889368E-3</v>
      </c>
      <c r="AQ58" s="76">
        <f t="shared" si="8"/>
        <v>91.676257942773418</v>
      </c>
      <c r="AR58" s="90">
        <f t="shared" si="9"/>
        <v>9.7899999999999636</v>
      </c>
    </row>
    <row r="59" spans="1:49" x14ac:dyDescent="0.25">
      <c r="A59" t="str">
        <f t="shared" si="10"/>
        <v>46231E</v>
      </c>
      <c r="B59" s="51">
        <f t="shared" si="20"/>
        <v>46231</v>
      </c>
      <c r="C59" s="52" t="s">
        <v>88</v>
      </c>
      <c r="D59" s="91">
        <v>500</v>
      </c>
      <c r="E59" s="62">
        <v>5.0999999999999996</v>
      </c>
      <c r="F59" s="62">
        <v>8.5</v>
      </c>
      <c r="G59" s="62">
        <f t="shared" si="0"/>
        <v>25.5</v>
      </c>
      <c r="H59" s="72">
        <f t="shared" si="11"/>
        <v>42.5</v>
      </c>
      <c r="I59" s="143">
        <v>1097.8000000000002</v>
      </c>
      <c r="J59" s="144">
        <v>1130.7340000000002</v>
      </c>
      <c r="K59" s="145">
        <v>5.2820094734924394</v>
      </c>
      <c r="L59" s="146">
        <v>8.5049918017853905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2"/>
        <v>1130.7340000000002</v>
      </c>
      <c r="S59" s="62">
        <f t="shared" si="13"/>
        <v>59.725477000000012</v>
      </c>
      <c r="T59" s="63">
        <f t="shared" si="14"/>
        <v>96.168834000000032</v>
      </c>
      <c r="U59" s="64" t="s">
        <v>180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89">
        <v>1625</v>
      </c>
      <c r="AI59" s="66">
        <v>5.3</v>
      </c>
      <c r="AJ59" s="66">
        <v>8.5</v>
      </c>
      <c r="AK59" s="62">
        <f t="shared" si="4"/>
        <v>86.125</v>
      </c>
      <c r="AL59" s="72">
        <f t="shared" si="5"/>
        <v>138.125</v>
      </c>
      <c r="AM59" s="73">
        <f t="shared" si="6"/>
        <v>5.734000000000151</v>
      </c>
      <c r="AN59" s="80">
        <f t="shared" si="24"/>
        <v>-0.89952299999998786</v>
      </c>
      <c r="AO59" s="80">
        <f t="shared" si="24"/>
        <v>0.54383400000003235</v>
      </c>
      <c r="AP59" s="75">
        <f t="shared" si="19"/>
        <v>-2.2816034640286225E-3</v>
      </c>
      <c r="AQ59" s="76">
        <f t="shared" si="8"/>
        <v>-269.37663624661036</v>
      </c>
      <c r="AR59" s="90">
        <f t="shared" si="9"/>
        <v>5.734000000000151</v>
      </c>
    </row>
    <row r="60" spans="1:49" x14ac:dyDescent="0.25">
      <c r="A60" t="str">
        <f t="shared" si="10"/>
        <v>46232M</v>
      </c>
      <c r="B60" s="51">
        <f t="shared" si="20"/>
        <v>46232</v>
      </c>
      <c r="C60" s="52" t="s">
        <v>87</v>
      </c>
      <c r="D60" s="91">
        <v>1625</v>
      </c>
      <c r="E60" s="62">
        <v>5.3</v>
      </c>
      <c r="F60" s="62">
        <v>8.5</v>
      </c>
      <c r="G60" s="62">
        <f t="shared" si="0"/>
        <v>86.125</v>
      </c>
      <c r="H60" s="72">
        <f t="shared" si="11"/>
        <v>138.125</v>
      </c>
      <c r="I60" s="143">
        <v>1136.3999999999999</v>
      </c>
      <c r="J60" s="144">
        <v>1170.492</v>
      </c>
      <c r="K60" s="145">
        <v>5.7749999999999986</v>
      </c>
      <c r="L60" s="146">
        <v>8.5302974304822232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2"/>
        <v>1170.492</v>
      </c>
      <c r="S60" s="62">
        <f t="shared" si="13"/>
        <v>67.595912999999982</v>
      </c>
      <c r="T60" s="63">
        <f t="shared" si="14"/>
        <v>99.846448999999978</v>
      </c>
      <c r="U60" s="64" t="s">
        <v>180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89">
        <v>2800</v>
      </c>
      <c r="AI60" s="66">
        <v>5.5</v>
      </c>
      <c r="AJ60" s="66">
        <v>8.5</v>
      </c>
      <c r="AK60" s="62">
        <f t="shared" si="4"/>
        <v>154</v>
      </c>
      <c r="AL60" s="72">
        <f t="shared" si="5"/>
        <v>238.00000000000003</v>
      </c>
      <c r="AM60" s="73">
        <f t="shared" si="6"/>
        <v>-4.5079999999998108</v>
      </c>
      <c r="AN60" s="80">
        <f t="shared" si="24"/>
        <v>-0.27908700000000408</v>
      </c>
      <c r="AO60" s="80">
        <f t="shared" si="24"/>
        <v>-2.8551000000049953E-2</v>
      </c>
      <c r="AP60" s="75">
        <f t="shared" si="19"/>
        <v>-1.8372769968453631E-3</v>
      </c>
      <c r="AQ60" s="76">
        <f t="shared" si="8"/>
        <v>-142.66115710871821</v>
      </c>
      <c r="AR60" s="90">
        <f t="shared" si="9"/>
        <v>-4.5079999999998108</v>
      </c>
    </row>
    <row r="61" spans="1:49" x14ac:dyDescent="0.25">
      <c r="A61" t="str">
        <f t="shared" si="10"/>
        <v>46232E</v>
      </c>
      <c r="B61" s="51">
        <f t="shared" si="20"/>
        <v>46232</v>
      </c>
      <c r="C61" s="52" t="s">
        <v>88</v>
      </c>
      <c r="D61" s="91">
        <v>2800</v>
      </c>
      <c r="E61" s="62">
        <v>5.5</v>
      </c>
      <c r="F61" s="62">
        <v>8.5</v>
      </c>
      <c r="G61" s="62">
        <f t="shared" si="0"/>
        <v>154</v>
      </c>
      <c r="H61" s="72">
        <f t="shared" si="11"/>
        <v>238.00000000000003</v>
      </c>
      <c r="I61" s="143">
        <v>1046.7000000000003</v>
      </c>
      <c r="J61" s="144">
        <v>1078.1010000000003</v>
      </c>
      <c r="K61" s="145">
        <v>5.3876373363905596</v>
      </c>
      <c r="L61" s="146">
        <v>8.541062386548198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2"/>
        <v>1078.1010000000003</v>
      </c>
      <c r="S61" s="62">
        <f t="shared" si="13"/>
        <v>58.084172000000009</v>
      </c>
      <c r="T61" s="63">
        <f t="shared" si="14"/>
        <v>92.081279000000023</v>
      </c>
      <c r="U61" s="64" t="s">
        <v>202</v>
      </c>
      <c r="V61" s="65" t="s">
        <v>914</v>
      </c>
      <c r="W61" s="66" t="s">
        <v>203</v>
      </c>
      <c r="X61" s="67">
        <v>3378</v>
      </c>
      <c r="Y61" s="68">
        <v>5.6</v>
      </c>
      <c r="Z61" s="68">
        <v>8.5299999999999994</v>
      </c>
      <c r="AA61" s="62">
        <f t="shared" si="15"/>
        <v>189.16799999999998</v>
      </c>
      <c r="AB61" s="63">
        <f t="shared" si="16"/>
        <v>288.14339999999993</v>
      </c>
      <c r="AC61" s="69">
        <v>3380</v>
      </c>
      <c r="AD61" s="70">
        <v>5.5</v>
      </c>
      <c r="AE61" s="70">
        <v>8.5</v>
      </c>
      <c r="AF61" s="62">
        <f t="shared" si="17"/>
        <v>185.9</v>
      </c>
      <c r="AG61" s="63">
        <f t="shared" si="18"/>
        <v>287.3</v>
      </c>
      <c r="AH61" s="89">
        <v>510</v>
      </c>
      <c r="AI61" s="66">
        <v>5.0999999999999996</v>
      </c>
      <c r="AJ61" s="66">
        <v>8.5</v>
      </c>
      <c r="AK61" s="62">
        <f t="shared" si="4"/>
        <v>26.009999999999998</v>
      </c>
      <c r="AL61" s="72">
        <f t="shared" si="5"/>
        <v>43.35</v>
      </c>
      <c r="AM61" s="73">
        <f t="shared" si="6"/>
        <v>-11.898999999999432</v>
      </c>
      <c r="AN61" s="80">
        <f t="shared" si="24"/>
        <v>0.17417200000001998</v>
      </c>
      <c r="AO61" s="80">
        <f t="shared" si="24"/>
        <v>-0.56872099999996095</v>
      </c>
      <c r="AP61" s="75">
        <f t="shared" si="19"/>
        <v>-2.6274285954093458E-3</v>
      </c>
      <c r="AQ61" s="76">
        <f t="shared" si="8"/>
        <v>-86.631561778948779</v>
      </c>
      <c r="AR61" s="90">
        <f t="shared" si="9"/>
        <v>-9.8989999999994325</v>
      </c>
      <c r="AS61" s="90">
        <f>SUM(J48:J61)</f>
        <v>17201.514999999999</v>
      </c>
      <c r="AT61" s="83">
        <f>SUM(AM48:AM61)</f>
        <v>-38.484999999998763</v>
      </c>
      <c r="AU61" s="83">
        <f>SUM(AN48:AN61)</f>
        <v>-8.4091690000000305</v>
      </c>
      <c r="AV61" s="83">
        <f>SUM(AO48:AO61)</f>
        <v>-5.0480839999997471</v>
      </c>
      <c r="AW61" s="83">
        <f>-SUM(AQ48:AQ61)</f>
        <v>5552.7356102699841</v>
      </c>
    </row>
    <row r="62" spans="1:49" x14ac:dyDescent="0.25">
      <c r="A62" t="str">
        <f t="shared" si="10"/>
        <v>46233M</v>
      </c>
      <c r="B62" s="51">
        <f t="shared" si="20"/>
        <v>46233</v>
      </c>
      <c r="C62" s="52" t="s">
        <v>87</v>
      </c>
      <c r="D62" s="91">
        <v>510</v>
      </c>
      <c r="E62" s="62">
        <v>5.0999999999999996</v>
      </c>
      <c r="F62" s="62">
        <v>8.5</v>
      </c>
      <c r="G62" s="62">
        <f t="shared" si="0"/>
        <v>26.009999999999998</v>
      </c>
      <c r="H62" s="72">
        <f t="shared" si="11"/>
        <v>43.35</v>
      </c>
      <c r="I62" s="143">
        <v>1164.9000000000003</v>
      </c>
      <c r="J62" s="144">
        <v>1199.8470000000004</v>
      </c>
      <c r="K62" s="145">
        <v>5.7932869774229561</v>
      </c>
      <c r="L62" s="146">
        <v>8.5537213494720579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2"/>
        <v>1199.8470000000004</v>
      </c>
      <c r="S62" s="62">
        <f t="shared" si="13"/>
        <v>69.510580000000047</v>
      </c>
      <c r="T62" s="63">
        <f t="shared" si="14"/>
        <v>102.63156900000004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89">
        <v>1726</v>
      </c>
      <c r="AI62" s="66">
        <v>5.5</v>
      </c>
      <c r="AJ62" s="66">
        <v>8.5</v>
      </c>
      <c r="AK62" s="62">
        <f t="shared" si="4"/>
        <v>94.93</v>
      </c>
      <c r="AL62" s="72">
        <f t="shared" si="5"/>
        <v>146.71</v>
      </c>
      <c r="AM62" s="73">
        <f t="shared" si="6"/>
        <v>-16.152999999999565</v>
      </c>
      <c r="AN62" s="80">
        <f t="shared" si="24"/>
        <v>0.5905800000000454</v>
      </c>
      <c r="AO62" s="80">
        <f t="shared" si="24"/>
        <v>-0.72843099999997207</v>
      </c>
      <c r="AP62" s="75">
        <f t="shared" si="19"/>
        <v>-8.0079748510590869E-4</v>
      </c>
      <c r="AQ62" s="76">
        <f t="shared" si="8"/>
        <v>65.63431163310878</v>
      </c>
      <c r="AR62" s="90">
        <f t="shared" si="9"/>
        <v>-16.152999999999565</v>
      </c>
    </row>
    <row r="63" spans="1:49" x14ac:dyDescent="0.25">
      <c r="A63" t="str">
        <f t="shared" si="10"/>
        <v>46233E</v>
      </c>
      <c r="B63" s="51">
        <f t="shared" si="20"/>
        <v>46233</v>
      </c>
      <c r="C63" s="52" t="s">
        <v>88</v>
      </c>
      <c r="D63" s="91">
        <v>1726</v>
      </c>
      <c r="E63" s="62">
        <v>5.5</v>
      </c>
      <c r="F63" s="62">
        <v>8.5</v>
      </c>
      <c r="G63" s="62">
        <f t="shared" si="0"/>
        <v>94.93</v>
      </c>
      <c r="H63" s="72">
        <f t="shared" si="11"/>
        <v>146.71</v>
      </c>
      <c r="I63" s="143">
        <v>1090.5</v>
      </c>
      <c r="J63" s="144">
        <v>1123.2149999999999</v>
      </c>
      <c r="K63" s="145">
        <v>5.3713801008711606</v>
      </c>
      <c r="L63" s="146">
        <v>8.5618065107748738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2"/>
        <v>1123.2149999999999</v>
      </c>
      <c r="S63" s="62">
        <f t="shared" si="13"/>
        <v>60.332146999999999</v>
      </c>
      <c r="T63" s="63">
        <f t="shared" si="14"/>
        <v>96.167494999999988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89">
        <v>2835</v>
      </c>
      <c r="AI63" s="66">
        <v>5.5</v>
      </c>
      <c r="AJ63" s="66">
        <v>8.5</v>
      </c>
      <c r="AK63" s="62">
        <f t="shared" si="4"/>
        <v>155.92500000000001</v>
      </c>
      <c r="AL63" s="72">
        <f t="shared" si="5"/>
        <v>240.97500000000002</v>
      </c>
      <c r="AM63" s="73">
        <f t="shared" si="6"/>
        <v>14.215000000000146</v>
      </c>
      <c r="AN63" s="80">
        <f t="shared" si="24"/>
        <v>-0.66285300000001257</v>
      </c>
      <c r="AO63" s="80">
        <f t="shared" si="24"/>
        <v>1.9024949999999876</v>
      </c>
      <c r="AP63" s="75">
        <f t="shared" si="19"/>
        <v>7.9210532634954849E-3</v>
      </c>
      <c r="AQ63" s="76">
        <f t="shared" si="8"/>
        <v>251.25787552136677</v>
      </c>
      <c r="AR63" s="90">
        <f t="shared" si="9"/>
        <v>14.215000000000146</v>
      </c>
    </row>
    <row r="64" spans="1:49" x14ac:dyDescent="0.25">
      <c r="A64" t="str">
        <f t="shared" si="10"/>
        <v>46234M</v>
      </c>
      <c r="B64" s="51">
        <f t="shared" si="20"/>
        <v>46234</v>
      </c>
      <c r="C64" s="52" t="s">
        <v>87</v>
      </c>
      <c r="D64" s="91"/>
      <c r="E64" s="62"/>
      <c r="F64" s="62"/>
      <c r="G64" s="62">
        <f t="shared" si="0"/>
        <v>0</v>
      </c>
      <c r="H64" s="72">
        <f t="shared" si="11"/>
        <v>0</v>
      </c>
      <c r="I64" s="143"/>
      <c r="J64" s="144"/>
      <c r="K64" s="145"/>
      <c r="L64" s="146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89"/>
      <c r="AI64" s="66"/>
      <c r="AJ64" s="66"/>
      <c r="AK64" s="62">
        <f t="shared" si="4"/>
        <v>0</v>
      </c>
      <c r="AL64" s="72">
        <f t="shared" si="5"/>
        <v>0</v>
      </c>
      <c r="AM64" s="73">
        <f t="shared" si="6"/>
        <v>0</v>
      </c>
      <c r="AN64" s="80">
        <f t="shared" si="24"/>
        <v>0</v>
      </c>
      <c r="AO64" s="80">
        <f t="shared" si="24"/>
        <v>0</v>
      </c>
      <c r="AP64" s="75" t="e">
        <f t="shared" si="19"/>
        <v>#DIV/0!</v>
      </c>
      <c r="AQ64" s="76">
        <f t="shared" si="8"/>
        <v>0</v>
      </c>
      <c r="AR64" s="90">
        <f t="shared" si="9"/>
        <v>0</v>
      </c>
      <c r="AT64">
        <v>745</v>
      </c>
    </row>
    <row r="65" spans="1:49" x14ac:dyDescent="0.25">
      <c r="A65" t="str">
        <f t="shared" si="10"/>
        <v>46234E</v>
      </c>
      <c r="B65" s="51">
        <f t="shared" si="20"/>
        <v>46234</v>
      </c>
      <c r="C65" s="52" t="s">
        <v>88</v>
      </c>
      <c r="D65" s="91"/>
      <c r="E65" s="62"/>
      <c r="F65" s="62"/>
      <c r="G65" s="62">
        <f t="shared" si="0"/>
        <v>0</v>
      </c>
      <c r="H65" s="72">
        <f t="shared" si="11"/>
        <v>0</v>
      </c>
      <c r="I65" s="143"/>
      <c r="J65" s="144"/>
      <c r="K65" s="145"/>
      <c r="L65" s="146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89"/>
      <c r="AI65" s="66"/>
      <c r="AJ65" s="66"/>
      <c r="AK65" s="62">
        <f t="shared" si="4"/>
        <v>0</v>
      </c>
      <c r="AL65" s="72">
        <f t="shared" si="5"/>
        <v>0</v>
      </c>
      <c r="AM65" s="73">
        <f t="shared" si="6"/>
        <v>0</v>
      </c>
      <c r="AN65" s="80">
        <f t="shared" si="24"/>
        <v>0</v>
      </c>
      <c r="AO65" s="80">
        <f t="shared" si="24"/>
        <v>0</v>
      </c>
      <c r="AP65" s="75" t="e">
        <f t="shared" si="19"/>
        <v>#DIV/0!</v>
      </c>
      <c r="AQ65" s="76">
        <f t="shared" si="8"/>
        <v>0</v>
      </c>
      <c r="AR65" s="90">
        <f t="shared" si="9"/>
        <v>0</v>
      </c>
      <c r="AS65" s="90">
        <f>SUM(J62:J65)</f>
        <v>2323.0620000000004</v>
      </c>
      <c r="AT65" s="83">
        <f>SUM(AM62:AM65)</f>
        <v>-1.9379999999994197</v>
      </c>
      <c r="AU65" s="83">
        <f>SUM(AN62:AN65)</f>
        <v>-7.2272999999967169E-2</v>
      </c>
      <c r="AV65" s="83">
        <f>SUM(AO62:AO65)</f>
        <v>1.1740640000000155</v>
      </c>
      <c r="AW65" s="83">
        <f>-SUM(AQ62:AQ65)</f>
        <v>-316.89218715447555</v>
      </c>
    </row>
    <row r="66" spans="1:49" ht="15.75" thickBot="1" x14ac:dyDescent="0.3">
      <c r="J66" s="83">
        <f>SUM(J4:J65)</f>
        <v>75792.045299999998</v>
      </c>
      <c r="AM66" s="93">
        <f>-SUM(AM4:AM65)</f>
        <v>330.95469999999727</v>
      </c>
      <c r="AN66" s="93">
        <f>-SUM(AN4:AN65)</f>
        <v>-12.246822099999935</v>
      </c>
      <c r="AO66" s="93">
        <f>-SUM(AO4:AO65)</f>
        <v>44.435080599999694</v>
      </c>
      <c r="AP66" s="94"/>
      <c r="AQ66" s="93">
        <f>-SUM(AQ4:AQ65)</f>
        <v>7422.9144465693671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4" priority="2" operator="lessThan">
      <formula>0.1</formula>
    </cfRule>
    <cfRule type="cellIs" dxfId="33" priority="3" operator="greaterThan">
      <formula>0.1</formula>
    </cfRule>
  </conditionalFormatting>
  <conditionalFormatting sqref="AP1:AQ1">
    <cfRule type="cellIs" dxfId="32" priority="1" operator="lessThan">
      <formula>1</formula>
    </cfRule>
  </conditionalFormatting>
  <conditionalFormatting sqref="AQ4:AQ65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AW66"/>
  <sheetViews>
    <sheetView zoomScale="80" zoomScaleNormal="80" workbookViewId="0">
      <pane xSplit="3" ySplit="3" topLeftCell="D37" activePane="bottomRight" state="frozen"/>
      <selection pane="topRight" activeCell="D1" sqref="D1"/>
      <selection pane="bottomLeft" activeCell="A4" sqref="A4"/>
      <selection pane="bottomRight" activeCell="AC61" sqref="AC61:AE61"/>
    </sheetView>
  </sheetViews>
  <sheetFormatPr defaultRowHeight="15" x14ac:dyDescent="0.25"/>
  <cols>
    <col min="1" max="1" width="3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9.28515625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2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5.1406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" bestFit="1" customWidth="1"/>
    <col min="49" max="49" width="7.85546875" bestFit="1" customWidth="1"/>
  </cols>
  <sheetData>
    <row r="1" spans="1:44" ht="15.75" thickBot="1" x14ac:dyDescent="0.3">
      <c r="B1" s="43" t="s">
        <v>99</v>
      </c>
      <c r="C1" s="44"/>
      <c r="L1">
        <v>2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11468</v>
      </c>
      <c r="E4" s="108">
        <v>5.2</v>
      </c>
      <c r="F4" s="108">
        <v>8.6</v>
      </c>
      <c r="G4" s="55">
        <f t="shared" ref="G4:G35" si="0">+D4*E4%</f>
        <v>596.33600000000001</v>
      </c>
      <c r="H4" s="142">
        <f>D4*F4%</f>
        <v>986.24799999999993</v>
      </c>
      <c r="I4" s="143">
        <v>2178.2000000000003</v>
      </c>
      <c r="J4" s="144">
        <v>2243.5460000000003</v>
      </c>
      <c r="K4" s="145">
        <v>4.5805297952437787</v>
      </c>
      <c r="L4" s="146">
        <v>8.2324579928381212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2243.5460000000003</v>
      </c>
      <c r="S4" s="62">
        <f>+J4*K4%+O4*P4%</f>
        <v>102.766293</v>
      </c>
      <c r="T4" s="63">
        <f>+J4*L4%+O4*Q4%</f>
        <v>184.69898199999997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X4*Y4%</f>
        <v>0</v>
      </c>
      <c r="AB4" s="63">
        <f t="shared" ref="AB4" si="1">X4*Z4%</f>
        <v>0</v>
      </c>
      <c r="AC4" s="69"/>
      <c r="AD4" s="70"/>
      <c r="AE4" s="70"/>
      <c r="AF4" s="62">
        <f t="shared" ref="AF4" si="2">AC4*AD4%</f>
        <v>0</v>
      </c>
      <c r="AG4" s="63">
        <f t="shared" ref="AG4" si="3">AC4*AE4%</f>
        <v>0</v>
      </c>
      <c r="AH4" s="89">
        <v>13735</v>
      </c>
      <c r="AI4" s="66">
        <v>5.0999999999999996</v>
      </c>
      <c r="AJ4" s="66">
        <v>8.5</v>
      </c>
      <c r="AK4" s="62">
        <f t="shared" ref="AK4" si="4">AH4*AI4%</f>
        <v>700.4849999999999</v>
      </c>
      <c r="AL4" s="72">
        <f t="shared" ref="AL4" si="5">AH4*AJ4%</f>
        <v>1167.4750000000001</v>
      </c>
      <c r="AM4" s="73">
        <f t="shared" ref="AM4:AM35" si="6">+D4+R4-AC4-AH4</f>
        <v>-23.453999999999724</v>
      </c>
      <c r="AN4" s="74">
        <f t="shared" ref="AN4:AO4" si="7">+G4+S4-AF4-AK4</f>
        <v>-1.3827069999998685</v>
      </c>
      <c r="AO4" s="74">
        <f t="shared" si="7"/>
        <v>3.4719819999997981</v>
      </c>
      <c r="AP4" s="75">
        <f>(AN4+AO4)/(S4+T4)</f>
        <v>7.2679213167570582E-3</v>
      </c>
      <c r="AQ4" s="76">
        <f t="shared" ref="AQ4:AQ65" si="8">($AP$1*AN4+$AQ$1*AO4)</f>
        <v>375.39198397134476</v>
      </c>
      <c r="AR4" s="90">
        <f t="shared" ref="AR4:AR35" si="9">(D4+J4+O4)-(X4+AH4)</f>
        <v>-23.453999999999724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13735</v>
      </c>
      <c r="E5" s="62">
        <v>5.0999999999999996</v>
      </c>
      <c r="F5" s="62">
        <v>8.5</v>
      </c>
      <c r="G5" s="62">
        <f t="shared" si="0"/>
        <v>700.4849999999999</v>
      </c>
      <c r="H5" s="72">
        <f t="shared" ref="H5:H36" si="11">+D5*F5%</f>
        <v>1167.4750000000001</v>
      </c>
      <c r="I5" s="118">
        <v>3183.0999999999995</v>
      </c>
      <c r="J5" s="119">
        <v>3278.5929999999994</v>
      </c>
      <c r="K5" s="120">
        <v>4.2050988030536276</v>
      </c>
      <c r="L5" s="121">
        <v>8.2958342496308646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3278.5929999999994</v>
      </c>
      <c r="S5" s="62">
        <f t="shared" ref="S5:S65" si="13">+J5*K5%+O5*P5%</f>
        <v>137.868075</v>
      </c>
      <c r="T5" s="63">
        <f t="shared" ref="T5:T65" si="14">+J5*L5%+O5*Q5%</f>
        <v>271.98664100000002</v>
      </c>
      <c r="U5" s="64" t="s">
        <v>206</v>
      </c>
      <c r="V5" s="65" t="s">
        <v>246</v>
      </c>
      <c r="W5" s="66" t="s">
        <v>184</v>
      </c>
      <c r="X5" s="67">
        <v>8220</v>
      </c>
      <c r="Y5" s="68">
        <v>4.45</v>
      </c>
      <c r="Z5" s="68">
        <v>8.49</v>
      </c>
      <c r="AA5" s="62">
        <f t="shared" ref="AA5:AA11" si="15">X5*Y5%</f>
        <v>365.79</v>
      </c>
      <c r="AB5" s="63">
        <f t="shared" ref="AB5:AB11" si="16">X5*Z5%</f>
        <v>697.87800000000004</v>
      </c>
      <c r="AC5" s="69">
        <v>8160</v>
      </c>
      <c r="AD5" s="70">
        <v>4.4000000000000004</v>
      </c>
      <c r="AE5" s="70">
        <v>8.4749999999999996</v>
      </c>
      <c r="AF5" s="62">
        <f t="shared" ref="AF5:AF18" si="17">AC5*AD5%</f>
        <v>359.04</v>
      </c>
      <c r="AG5" s="63">
        <f t="shared" ref="AG5:AG18" si="18">AC5*AE5%</f>
        <v>691.56</v>
      </c>
      <c r="AH5" s="89">
        <v>8840</v>
      </c>
      <c r="AI5" s="66">
        <v>5.4</v>
      </c>
      <c r="AJ5" s="66">
        <v>8.5</v>
      </c>
      <c r="AK5" s="62">
        <f t="shared" ref="AK5:AK19" si="19">AH5*AI5%</f>
        <v>477.36000000000007</v>
      </c>
      <c r="AL5" s="72">
        <f t="shared" ref="AL5:AL19" si="20">AH5*AJ5%</f>
        <v>751.40000000000009</v>
      </c>
      <c r="AM5" s="73">
        <f t="shared" si="6"/>
        <v>13.593000000000757</v>
      </c>
      <c r="AN5" s="74">
        <f t="shared" ref="AN5:AN19" si="21">+G5+S5-AF5-AK5</f>
        <v>1.9530749999997852</v>
      </c>
      <c r="AO5" s="74">
        <f t="shared" ref="AO5:AO19" si="22">+H5+T5-AG5-AL5</f>
        <v>-3.4983589999999367</v>
      </c>
      <c r="AP5" s="75">
        <f t="shared" ref="AP5:AP19" si="23">(AN5+AO5)/(S5+T5)</f>
        <v>-3.7703213838343424E-3</v>
      </c>
      <c r="AQ5" s="76">
        <f t="shared" ref="AQ5:AQ19" si="24">($AP$1*AN5+$AQ$1*AO5)</f>
        <v>-109.21127321018992</v>
      </c>
      <c r="AR5" s="90">
        <f t="shared" si="9"/>
        <v>-46.406999999999243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8840</v>
      </c>
      <c r="E6" s="62">
        <v>5.4</v>
      </c>
      <c r="F6" s="62">
        <v>8.5</v>
      </c>
      <c r="G6" s="62">
        <f t="shared" si="0"/>
        <v>477.36000000000007</v>
      </c>
      <c r="H6" s="72">
        <f t="shared" si="11"/>
        <v>751.40000000000009</v>
      </c>
      <c r="I6" s="118">
        <v>2841.9</v>
      </c>
      <c r="J6" s="119">
        <v>2927.1570000000002</v>
      </c>
      <c r="K6" s="120">
        <v>4.5595024455469924</v>
      </c>
      <c r="L6" s="121">
        <v>8.336760617896477</v>
      </c>
      <c r="M6" s="58" t="s">
        <v>204</v>
      </c>
      <c r="N6" s="58">
        <v>36539</v>
      </c>
      <c r="O6" s="59">
        <v>3410</v>
      </c>
      <c r="P6" s="56">
        <v>5.3</v>
      </c>
      <c r="Q6" s="60">
        <v>8.6</v>
      </c>
      <c r="R6" s="61">
        <f t="shared" si="12"/>
        <v>6337.1570000000002</v>
      </c>
      <c r="S6" s="62">
        <f t="shared" si="13"/>
        <v>314.19379499999997</v>
      </c>
      <c r="T6" s="63">
        <f t="shared" si="14"/>
        <v>537.29007200000001</v>
      </c>
      <c r="U6" s="64" t="s">
        <v>202</v>
      </c>
      <c r="V6" s="65" t="s">
        <v>247</v>
      </c>
      <c r="W6" s="66" t="s">
        <v>184</v>
      </c>
      <c r="X6" s="67">
        <v>6000</v>
      </c>
      <c r="Y6" s="68">
        <v>5.08</v>
      </c>
      <c r="Z6" s="68">
        <v>8.76</v>
      </c>
      <c r="AA6" s="62">
        <f t="shared" si="15"/>
        <v>304.8</v>
      </c>
      <c r="AB6" s="63">
        <f t="shared" si="16"/>
        <v>525.6</v>
      </c>
      <c r="AC6" s="69">
        <v>5880</v>
      </c>
      <c r="AD6" s="70">
        <v>4.9647959183673471</v>
      </c>
      <c r="AE6" s="70">
        <v>8.5229591836734677</v>
      </c>
      <c r="AF6" s="62">
        <f t="shared" si="17"/>
        <v>291.93</v>
      </c>
      <c r="AG6" s="63">
        <f t="shared" si="18"/>
        <v>501.14999999999986</v>
      </c>
      <c r="AH6" s="89">
        <v>9313</v>
      </c>
      <c r="AI6" s="66">
        <v>5.4</v>
      </c>
      <c r="AJ6" s="66">
        <v>8.4</v>
      </c>
      <c r="AK6" s="62">
        <f t="shared" si="19"/>
        <v>502.90200000000004</v>
      </c>
      <c r="AL6" s="72">
        <f t="shared" si="20"/>
        <v>782.29200000000003</v>
      </c>
      <c r="AM6" s="73">
        <f t="shared" si="6"/>
        <v>-15.843000000000757</v>
      </c>
      <c r="AN6" s="74">
        <f t="shared" si="21"/>
        <v>-3.278205000000014</v>
      </c>
      <c r="AO6" s="74">
        <f t="shared" si="22"/>
        <v>5.2480720000002066</v>
      </c>
      <c r="AP6" s="75">
        <f t="shared" si="23"/>
        <v>2.3134519353144628E-3</v>
      </c>
      <c r="AQ6" s="76">
        <f t="shared" si="24"/>
        <v>-3.5333533741577412</v>
      </c>
      <c r="AR6" s="90">
        <f t="shared" si="9"/>
        <v>-135.84300000000076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9313</v>
      </c>
      <c r="E7" s="62">
        <v>5.4</v>
      </c>
      <c r="F7" s="62">
        <v>8.4</v>
      </c>
      <c r="G7" s="62">
        <f t="shared" si="0"/>
        <v>502.90200000000004</v>
      </c>
      <c r="H7" s="72">
        <f t="shared" si="11"/>
        <v>782.29200000000003</v>
      </c>
      <c r="I7" s="118">
        <v>7108.2999999999993</v>
      </c>
      <c r="J7" s="119">
        <v>7321.5489999999991</v>
      </c>
      <c r="K7" s="120">
        <v>3.8404006583852679</v>
      </c>
      <c r="L7" s="121">
        <v>8.2222176891802512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7321.5489999999991</v>
      </c>
      <c r="S7" s="62">
        <f t="shared" si="13"/>
        <v>281.17681599999997</v>
      </c>
      <c r="T7" s="63">
        <f t="shared" si="14"/>
        <v>601.99369699999977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16520</v>
      </c>
      <c r="AI7" s="66">
        <v>4.5999999999999996</v>
      </c>
      <c r="AJ7" s="66">
        <v>8.5</v>
      </c>
      <c r="AK7" s="62">
        <f t="shared" si="19"/>
        <v>759.92</v>
      </c>
      <c r="AL7" s="72">
        <f t="shared" si="20"/>
        <v>1404.2</v>
      </c>
      <c r="AM7" s="73">
        <f t="shared" si="6"/>
        <v>114.54899999999907</v>
      </c>
      <c r="AN7" s="74">
        <f t="shared" si="21"/>
        <v>24.158816000000002</v>
      </c>
      <c r="AO7" s="74">
        <f t="shared" si="22"/>
        <v>-19.914303000000245</v>
      </c>
      <c r="AP7" s="75">
        <f t="shared" si="23"/>
        <v>4.8059949211639464E-3</v>
      </c>
      <c r="AQ7" s="76">
        <f t="shared" si="24"/>
        <v>5644.9409099109043</v>
      </c>
      <c r="AR7" s="90">
        <f t="shared" si="9"/>
        <v>114.54899999999907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16520</v>
      </c>
      <c r="E8" s="62">
        <v>4.5999999999999996</v>
      </c>
      <c r="F8" s="62">
        <v>8.5</v>
      </c>
      <c r="G8" s="62">
        <f t="shared" si="0"/>
        <v>759.92</v>
      </c>
      <c r="H8" s="72">
        <f t="shared" si="11"/>
        <v>1404.2</v>
      </c>
      <c r="I8" s="118">
        <v>2352.6</v>
      </c>
      <c r="J8" s="119">
        <v>2423.1779999999999</v>
      </c>
      <c r="K8" s="120">
        <v>4.7110686049477186</v>
      </c>
      <c r="L8" s="121">
        <v>8.4012921873671687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2423.1779999999999</v>
      </c>
      <c r="S8" s="62">
        <f t="shared" si="13"/>
        <v>114.15757800000002</v>
      </c>
      <c r="T8" s="63">
        <f t="shared" si="14"/>
        <v>203.57826399999999</v>
      </c>
      <c r="U8" s="64" t="s">
        <v>205</v>
      </c>
      <c r="V8" s="65" t="s">
        <v>286</v>
      </c>
      <c r="W8" s="66" t="s">
        <v>184</v>
      </c>
      <c r="X8" s="67">
        <v>9530</v>
      </c>
      <c r="Y8" s="68">
        <v>4.7254459601259171</v>
      </c>
      <c r="Z8" s="68">
        <v>8.5389821615949622</v>
      </c>
      <c r="AA8" s="62">
        <f t="shared" si="15"/>
        <v>450.33499999999992</v>
      </c>
      <c r="AB8" s="63">
        <f t="shared" si="16"/>
        <v>813.76499999999987</v>
      </c>
      <c r="AC8" s="69">
        <v>9430</v>
      </c>
      <c r="AD8" s="70">
        <v>4.6209968186638388</v>
      </c>
      <c r="AE8" s="70">
        <v>8.4460763520678679</v>
      </c>
      <c r="AF8" s="62">
        <f t="shared" si="17"/>
        <v>435.76</v>
      </c>
      <c r="AG8" s="63">
        <f t="shared" si="18"/>
        <v>796.46499999999992</v>
      </c>
      <c r="AH8" s="89">
        <v>9530</v>
      </c>
      <c r="AI8" s="66">
        <v>4.5999999999999996</v>
      </c>
      <c r="AJ8" s="66">
        <v>8.5</v>
      </c>
      <c r="AK8" s="62">
        <f t="shared" si="19"/>
        <v>438.38</v>
      </c>
      <c r="AL8" s="72">
        <f t="shared" si="20"/>
        <v>810.05000000000007</v>
      </c>
      <c r="AM8" s="73">
        <f t="shared" si="6"/>
        <v>-16.822000000000116</v>
      </c>
      <c r="AN8" s="74">
        <f t="shared" si="21"/>
        <v>-6.2421999999969557E-2</v>
      </c>
      <c r="AO8" s="74">
        <f t="shared" si="22"/>
        <v>1.2632640000000492</v>
      </c>
      <c r="AP8" s="75">
        <f t="shared" si="23"/>
        <v>3.7793721741977088E-3</v>
      </c>
      <c r="AQ8" s="76">
        <f t="shared" si="24"/>
        <v>348.34051916533855</v>
      </c>
      <c r="AR8" s="90">
        <f t="shared" si="9"/>
        <v>-116.82200000000012</v>
      </c>
    </row>
    <row r="9" spans="1:44" x14ac:dyDescent="0.25">
      <c r="A9" t="str">
        <f t="shared" si="10"/>
        <v>46206E</v>
      </c>
      <c r="B9" s="51">
        <f t="shared" ref="B9:B65" si="25">+B7+1</f>
        <v>46206</v>
      </c>
      <c r="C9" s="52" t="s">
        <v>88</v>
      </c>
      <c r="D9" s="91">
        <v>9530</v>
      </c>
      <c r="E9" s="62">
        <v>4.5999999999999996</v>
      </c>
      <c r="F9" s="62">
        <v>8.5</v>
      </c>
      <c r="G9" s="62">
        <f t="shared" si="0"/>
        <v>438.38</v>
      </c>
      <c r="H9" s="72">
        <f t="shared" si="11"/>
        <v>810.05000000000007</v>
      </c>
      <c r="I9" s="118">
        <v>3736.2</v>
      </c>
      <c r="J9" s="119">
        <v>3848.2860000000001</v>
      </c>
      <c r="K9" s="120">
        <v>4.04644558642471</v>
      </c>
      <c r="L9" s="121">
        <v>8.3194636261442128</v>
      </c>
      <c r="M9" s="58" t="s">
        <v>204</v>
      </c>
      <c r="N9" s="58">
        <v>36540</v>
      </c>
      <c r="O9" s="59">
        <v>3730</v>
      </c>
      <c r="P9" s="56">
        <v>5.3</v>
      </c>
      <c r="Q9" s="60">
        <v>8.5</v>
      </c>
      <c r="R9" s="61">
        <f t="shared" si="12"/>
        <v>7578.2860000000001</v>
      </c>
      <c r="S9" s="62">
        <f t="shared" si="13"/>
        <v>353.40879900000004</v>
      </c>
      <c r="T9" s="63">
        <f t="shared" si="14"/>
        <v>637.20675400000005</v>
      </c>
      <c r="U9" s="64" t="s">
        <v>202</v>
      </c>
      <c r="V9" s="65" t="s">
        <v>287</v>
      </c>
      <c r="W9" s="66" t="s">
        <v>184</v>
      </c>
      <c r="X9" s="67">
        <v>6100</v>
      </c>
      <c r="Y9" s="68">
        <v>4.38</v>
      </c>
      <c r="Z9" s="68">
        <v>8.58</v>
      </c>
      <c r="AA9" s="62">
        <f t="shared" si="15"/>
        <v>267.18</v>
      </c>
      <c r="AB9" s="63">
        <f t="shared" si="16"/>
        <v>523.38</v>
      </c>
      <c r="AC9" s="69">
        <v>5920</v>
      </c>
      <c r="AD9" s="70">
        <v>4.2117398648648647</v>
      </c>
      <c r="AE9" s="70">
        <v>8.3723479729729728</v>
      </c>
      <c r="AF9" s="62">
        <f t="shared" si="17"/>
        <v>249.33500000000001</v>
      </c>
      <c r="AG9" s="63">
        <f t="shared" si="18"/>
        <v>495.64299999999997</v>
      </c>
      <c r="AH9" s="89">
        <v>11170</v>
      </c>
      <c r="AI9" s="66">
        <v>4.8</v>
      </c>
      <c r="AJ9" s="66">
        <v>8.6</v>
      </c>
      <c r="AK9" s="62">
        <f t="shared" si="19"/>
        <v>536.16</v>
      </c>
      <c r="AL9" s="72">
        <f t="shared" si="20"/>
        <v>960.61999999999989</v>
      </c>
      <c r="AM9" s="73">
        <f t="shared" si="6"/>
        <v>18.286000000000058</v>
      </c>
      <c r="AN9" s="74">
        <f t="shared" si="21"/>
        <v>6.2937990000000354</v>
      </c>
      <c r="AO9" s="74">
        <f t="shared" si="22"/>
        <v>-9.0062459999999191</v>
      </c>
      <c r="AP9" s="75">
        <f t="shared" si="23"/>
        <v>-2.7381429574626147E-3</v>
      </c>
      <c r="AQ9" s="76">
        <f t="shared" si="24"/>
        <v>327.0847613656847</v>
      </c>
      <c r="AR9" s="90">
        <f t="shared" si="9"/>
        <v>-161.71399999999994</v>
      </c>
    </row>
    <row r="10" spans="1:44" x14ac:dyDescent="0.25">
      <c r="A10" t="str">
        <f t="shared" si="10"/>
        <v>46207M</v>
      </c>
      <c r="B10" s="51">
        <f t="shared" si="25"/>
        <v>46207</v>
      </c>
      <c r="C10" s="52" t="s">
        <v>87</v>
      </c>
      <c r="D10" s="91">
        <v>11170</v>
      </c>
      <c r="E10" s="62">
        <v>4.8</v>
      </c>
      <c r="F10" s="62">
        <v>8.6</v>
      </c>
      <c r="G10" s="62">
        <f t="shared" si="0"/>
        <v>536.16</v>
      </c>
      <c r="H10" s="72">
        <f t="shared" si="11"/>
        <v>960.61999999999989</v>
      </c>
      <c r="I10" s="118">
        <v>2792.6000000000004</v>
      </c>
      <c r="J10" s="119">
        <v>2876.3780000000006</v>
      </c>
      <c r="K10" s="120">
        <v>4.7201747475470883</v>
      </c>
      <c r="L10" s="121">
        <v>8.3215677146744973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2876.3780000000006</v>
      </c>
      <c r="S10" s="62">
        <f t="shared" si="13"/>
        <v>135.77006800000001</v>
      </c>
      <c r="T10" s="63">
        <f t="shared" si="14"/>
        <v>239.35974300000009</v>
      </c>
      <c r="U10" s="64" t="s">
        <v>205</v>
      </c>
      <c r="V10" s="65" t="s">
        <v>288</v>
      </c>
      <c r="W10" s="66" t="s">
        <v>184</v>
      </c>
      <c r="X10" s="67">
        <v>8680</v>
      </c>
      <c r="Y10" s="68">
        <v>4.5999999999999996</v>
      </c>
      <c r="Z10" s="68">
        <v>8.64</v>
      </c>
      <c r="AA10" s="62">
        <f t="shared" si="15"/>
        <v>399.28</v>
      </c>
      <c r="AB10" s="63">
        <f t="shared" si="16"/>
        <v>749.952</v>
      </c>
      <c r="AC10" s="69">
        <v>9060</v>
      </c>
      <c r="AD10" s="70">
        <v>4.4530905077262704</v>
      </c>
      <c r="AE10" s="70">
        <v>8.550618101545254</v>
      </c>
      <c r="AF10" s="62">
        <f t="shared" si="17"/>
        <v>403.4500000000001</v>
      </c>
      <c r="AG10" s="63">
        <f t="shared" si="18"/>
        <v>774.68600000000004</v>
      </c>
      <c r="AH10" s="89">
        <v>4990</v>
      </c>
      <c r="AI10" s="66">
        <v>5.4</v>
      </c>
      <c r="AJ10" s="66">
        <v>8.5</v>
      </c>
      <c r="AK10" s="62">
        <f t="shared" si="19"/>
        <v>269.46000000000004</v>
      </c>
      <c r="AL10" s="72">
        <f t="shared" si="20"/>
        <v>424.15000000000003</v>
      </c>
      <c r="AM10" s="73">
        <f t="shared" si="6"/>
        <v>-3.6219999999993888</v>
      </c>
      <c r="AN10" s="74">
        <f t="shared" si="21"/>
        <v>-0.97993200000013303</v>
      </c>
      <c r="AO10" s="74">
        <f t="shared" si="22"/>
        <v>1.1437429999998017</v>
      </c>
      <c r="AP10" s="75">
        <f t="shared" si="23"/>
        <v>4.3667817165207533E-4</v>
      </c>
      <c r="AQ10" s="76">
        <f t="shared" si="24"/>
        <v>-128.34837296878572</v>
      </c>
      <c r="AR10" s="90">
        <f t="shared" si="9"/>
        <v>376.37800000000061</v>
      </c>
    </row>
    <row r="11" spans="1:44" x14ac:dyDescent="0.25">
      <c r="A11" t="str">
        <f t="shared" si="10"/>
        <v>46207E</v>
      </c>
      <c r="B11" s="51">
        <f t="shared" si="25"/>
        <v>46207</v>
      </c>
      <c r="C11" s="52" t="s">
        <v>88</v>
      </c>
      <c r="D11" s="91">
        <v>4990</v>
      </c>
      <c r="E11" s="62">
        <v>5.4</v>
      </c>
      <c r="F11" s="62">
        <v>8.5</v>
      </c>
      <c r="G11" s="62">
        <f t="shared" si="0"/>
        <v>269.46000000000004</v>
      </c>
      <c r="H11" s="72">
        <f t="shared" si="11"/>
        <v>424.15000000000003</v>
      </c>
      <c r="I11" s="118">
        <v>5156.0999999999985</v>
      </c>
      <c r="J11" s="119">
        <v>5310.7829999999985</v>
      </c>
      <c r="K11" s="120">
        <v>4.5403269913306552</v>
      </c>
      <c r="L11" s="121">
        <v>8.4793758848742282</v>
      </c>
      <c r="M11" s="58" t="s">
        <v>204</v>
      </c>
      <c r="N11" s="58">
        <v>36541</v>
      </c>
      <c r="O11" s="59">
        <v>3780</v>
      </c>
      <c r="P11" s="56">
        <v>5.7</v>
      </c>
      <c r="Q11" s="60">
        <v>8.8000000000000007</v>
      </c>
      <c r="R11" s="61">
        <f t="shared" si="12"/>
        <v>9090.7829999999994</v>
      </c>
      <c r="S11" s="62">
        <f t="shared" si="13"/>
        <v>456.58691399999987</v>
      </c>
      <c r="T11" s="63">
        <f t="shared" si="14"/>
        <v>782.96125299999994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89">
        <v>14075</v>
      </c>
      <c r="AI11" s="66">
        <v>5.2</v>
      </c>
      <c r="AJ11" s="66">
        <v>8.5</v>
      </c>
      <c r="AK11" s="62">
        <f t="shared" si="19"/>
        <v>731.90000000000009</v>
      </c>
      <c r="AL11" s="72">
        <f t="shared" si="20"/>
        <v>1196.375</v>
      </c>
      <c r="AM11" s="73">
        <f t="shared" si="6"/>
        <v>5.782999999999447</v>
      </c>
      <c r="AN11" s="74">
        <f t="shared" si="21"/>
        <v>-5.8530860000001894</v>
      </c>
      <c r="AO11" s="74">
        <f t="shared" si="22"/>
        <v>10.736253000000033</v>
      </c>
      <c r="AP11" s="75">
        <f t="shared" si="23"/>
        <v>3.9394733742523814E-3</v>
      </c>
      <c r="AQ11" s="76">
        <f t="shared" si="24"/>
        <v>402.81387386073993</v>
      </c>
      <c r="AR11" s="90">
        <f t="shared" si="9"/>
        <v>5.782999999999447</v>
      </c>
    </row>
    <row r="12" spans="1:44" x14ac:dyDescent="0.25">
      <c r="A12" t="str">
        <f t="shared" si="10"/>
        <v>46208M</v>
      </c>
      <c r="B12" s="51">
        <f t="shared" si="25"/>
        <v>46208</v>
      </c>
      <c r="C12" s="52" t="s">
        <v>87</v>
      </c>
      <c r="D12" s="91">
        <v>14075</v>
      </c>
      <c r="E12" s="62">
        <v>5.2</v>
      </c>
      <c r="F12" s="62">
        <v>8.5</v>
      </c>
      <c r="G12" s="62">
        <f t="shared" si="0"/>
        <v>731.90000000000009</v>
      </c>
      <c r="H12" s="72">
        <f t="shared" si="11"/>
        <v>1196.375</v>
      </c>
      <c r="I12" s="118">
        <v>2701.0000000000005</v>
      </c>
      <c r="J12" s="119">
        <v>2782.0300000000007</v>
      </c>
      <c r="K12" s="120">
        <v>4.5526323583857842</v>
      </c>
      <c r="L12" s="121">
        <v>8.2499925953350619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2782.0300000000007</v>
      </c>
      <c r="S12" s="62">
        <f t="shared" si="13"/>
        <v>126.65559800000007</v>
      </c>
      <c r="T12" s="63">
        <f t="shared" si="14"/>
        <v>229.51726900000008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26">X12*Y12%</f>
        <v>0</v>
      </c>
      <c r="AB12" s="63">
        <f t="shared" ref="AB12:AB65" si="27">X12*Z12%</f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16850</v>
      </c>
      <c r="AI12" s="66">
        <v>5.0999999999999996</v>
      </c>
      <c r="AJ12" s="66">
        <v>8.4499999999999993</v>
      </c>
      <c r="AK12" s="62">
        <f t="shared" si="19"/>
        <v>859.34999999999991</v>
      </c>
      <c r="AL12" s="72">
        <f t="shared" si="20"/>
        <v>1423.8249999999998</v>
      </c>
      <c r="AM12" s="73">
        <f t="shared" si="6"/>
        <v>7.0299999999988358</v>
      </c>
      <c r="AN12" s="74">
        <f t="shared" si="21"/>
        <v>-0.79440199999976358</v>
      </c>
      <c r="AO12" s="74">
        <f t="shared" si="22"/>
        <v>2.0672690000003513</v>
      </c>
      <c r="AP12" s="75">
        <f t="shared" si="23"/>
        <v>3.5737337622649035E-3</v>
      </c>
      <c r="AQ12" s="76">
        <f t="shared" si="24"/>
        <v>237.39264566949362</v>
      </c>
      <c r="AR12" s="90">
        <f t="shared" si="9"/>
        <v>7.0299999999988358</v>
      </c>
    </row>
    <row r="13" spans="1:44" x14ac:dyDescent="0.25">
      <c r="A13" t="str">
        <f t="shared" si="10"/>
        <v>46208E</v>
      </c>
      <c r="B13" s="51">
        <f t="shared" si="25"/>
        <v>46208</v>
      </c>
      <c r="C13" s="52" t="s">
        <v>88</v>
      </c>
      <c r="D13" s="91">
        <v>16850</v>
      </c>
      <c r="E13" s="62">
        <v>5.0999999999999996</v>
      </c>
      <c r="F13" s="62">
        <v>8.4499999999999993</v>
      </c>
      <c r="G13" s="62">
        <f t="shared" si="0"/>
        <v>859.34999999999991</v>
      </c>
      <c r="H13" s="72">
        <f t="shared" si="11"/>
        <v>1423.8249999999998</v>
      </c>
      <c r="I13" s="118">
        <v>3062.7999999999993</v>
      </c>
      <c r="J13" s="119">
        <v>3154.6839999999993</v>
      </c>
      <c r="K13" s="120">
        <v>4.066272691654695</v>
      </c>
      <c r="L13" s="121">
        <v>8.2871000391798333</v>
      </c>
      <c r="M13" s="58" t="s">
        <v>204</v>
      </c>
      <c r="N13" s="58">
        <v>36542</v>
      </c>
      <c r="O13" s="59">
        <v>3855</v>
      </c>
      <c r="P13" s="56">
        <v>5.5</v>
      </c>
      <c r="Q13" s="60">
        <v>8.5</v>
      </c>
      <c r="R13" s="61">
        <f t="shared" si="12"/>
        <v>7009.6839999999993</v>
      </c>
      <c r="S13" s="62">
        <f t="shared" si="13"/>
        <v>340.30305399999997</v>
      </c>
      <c r="T13" s="63">
        <f t="shared" si="14"/>
        <v>589.10681899999986</v>
      </c>
      <c r="U13" s="64" t="s">
        <v>206</v>
      </c>
      <c r="V13" s="65" t="s">
        <v>347</v>
      </c>
      <c r="W13" s="66" t="s">
        <v>184</v>
      </c>
      <c r="X13" s="67">
        <v>8220</v>
      </c>
      <c r="Y13" s="68">
        <v>4.8500000000000005</v>
      </c>
      <c r="Z13" s="68">
        <v>8.48</v>
      </c>
      <c r="AA13" s="62">
        <f t="shared" si="26"/>
        <v>398.67000000000007</v>
      </c>
      <c r="AB13" s="63">
        <f t="shared" si="27"/>
        <v>697.05600000000004</v>
      </c>
      <c r="AC13" s="69">
        <v>8160</v>
      </c>
      <c r="AD13" s="70">
        <v>4.799019607843138</v>
      </c>
      <c r="AE13" s="70">
        <v>8.3651102941176489</v>
      </c>
      <c r="AF13" s="62">
        <f t="shared" si="17"/>
        <v>391.6</v>
      </c>
      <c r="AG13" s="63">
        <f t="shared" si="18"/>
        <v>682.59300000000019</v>
      </c>
      <c r="AH13" s="89">
        <v>15705</v>
      </c>
      <c r="AI13" s="66">
        <v>5.0999999999999996</v>
      </c>
      <c r="AJ13" s="66">
        <v>8.5</v>
      </c>
      <c r="AK13" s="62">
        <f t="shared" si="19"/>
        <v>800.95499999999993</v>
      </c>
      <c r="AL13" s="72">
        <f t="shared" si="20"/>
        <v>1334.9250000000002</v>
      </c>
      <c r="AM13" s="73">
        <f t="shared" si="6"/>
        <v>-5.3159999999988941</v>
      </c>
      <c r="AN13" s="74">
        <f t="shared" si="21"/>
        <v>7.0980539999999337</v>
      </c>
      <c r="AO13" s="74">
        <f t="shared" si="22"/>
        <v>-4.5861810000005789</v>
      </c>
      <c r="AP13" s="75">
        <f t="shared" si="23"/>
        <v>2.7026536654828019E-3</v>
      </c>
      <c r="AQ13" s="76">
        <f t="shared" si="24"/>
        <v>2037.3255823135264</v>
      </c>
      <c r="AR13" s="90">
        <f t="shared" si="9"/>
        <v>-65.315999999998894</v>
      </c>
    </row>
    <row r="14" spans="1:44" x14ac:dyDescent="0.25">
      <c r="A14" t="str">
        <f t="shared" si="10"/>
        <v>46209M</v>
      </c>
      <c r="B14" s="51">
        <f t="shared" si="25"/>
        <v>46209</v>
      </c>
      <c r="C14" s="52" t="s">
        <v>87</v>
      </c>
      <c r="D14" s="91">
        <v>15705</v>
      </c>
      <c r="E14" s="62">
        <v>5.0999999999999996</v>
      </c>
      <c r="F14" s="62">
        <v>8.5</v>
      </c>
      <c r="G14" s="62">
        <f t="shared" si="0"/>
        <v>800.95499999999993</v>
      </c>
      <c r="H14" s="72">
        <f t="shared" si="11"/>
        <v>1334.9250000000002</v>
      </c>
      <c r="I14" s="118">
        <v>2889.2000000000003</v>
      </c>
      <c r="J14" s="119">
        <v>2975.8760000000002</v>
      </c>
      <c r="K14" s="120">
        <v>4.5310258895195901</v>
      </c>
      <c r="L14" s="121">
        <v>8.2667035857676865</v>
      </c>
      <c r="M14" s="58" t="s">
        <v>204</v>
      </c>
      <c r="N14" s="58">
        <v>36543</v>
      </c>
      <c r="O14" s="59">
        <v>2550</v>
      </c>
      <c r="P14" s="56">
        <v>5.3</v>
      </c>
      <c r="Q14" s="60">
        <v>8.5</v>
      </c>
      <c r="R14" s="61">
        <f t="shared" si="12"/>
        <v>5525.8760000000002</v>
      </c>
      <c r="S14" s="62">
        <f t="shared" si="13"/>
        <v>269.98771199999999</v>
      </c>
      <c r="T14" s="63">
        <f t="shared" si="14"/>
        <v>462.75684799999999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26"/>
        <v>0</v>
      </c>
      <c r="AB14" s="63">
        <f t="shared" si="27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21247</v>
      </c>
      <c r="AI14" s="66">
        <v>5</v>
      </c>
      <c r="AJ14" s="66">
        <v>8.5</v>
      </c>
      <c r="AK14" s="62">
        <f t="shared" si="19"/>
        <v>1062.3500000000001</v>
      </c>
      <c r="AL14" s="72">
        <f t="shared" si="20"/>
        <v>1805.9950000000001</v>
      </c>
      <c r="AM14" s="73">
        <f t="shared" si="6"/>
        <v>-16.123999999999796</v>
      </c>
      <c r="AN14" s="74">
        <f t="shared" si="21"/>
        <v>8.5927119999998922</v>
      </c>
      <c r="AO14" s="74">
        <f t="shared" si="22"/>
        <v>-8.3131519999999455</v>
      </c>
      <c r="AP14" s="75">
        <f t="shared" si="23"/>
        <v>3.8152449743188372E-4</v>
      </c>
      <c r="AQ14" s="76">
        <f t="shared" si="24"/>
        <v>1639.3627619896392</v>
      </c>
      <c r="AR14" s="90">
        <f t="shared" si="9"/>
        <v>-16.123999999999796</v>
      </c>
    </row>
    <row r="15" spans="1:44" x14ac:dyDescent="0.25">
      <c r="A15" t="str">
        <f t="shared" si="10"/>
        <v>46209E</v>
      </c>
      <c r="B15" s="51">
        <f t="shared" si="25"/>
        <v>46209</v>
      </c>
      <c r="C15" s="52" t="s">
        <v>88</v>
      </c>
      <c r="D15" s="91">
        <v>21247</v>
      </c>
      <c r="E15" s="62">
        <v>5</v>
      </c>
      <c r="F15" s="62">
        <v>8.5</v>
      </c>
      <c r="G15" s="62">
        <f t="shared" si="0"/>
        <v>1062.3500000000001</v>
      </c>
      <c r="H15" s="72">
        <f t="shared" si="11"/>
        <v>1805.9950000000001</v>
      </c>
      <c r="I15" s="118">
        <v>3304.8999999999996</v>
      </c>
      <c r="J15" s="119">
        <v>3404.0469999999996</v>
      </c>
      <c r="K15" s="120">
        <v>4.19295893975612</v>
      </c>
      <c r="L15" s="121">
        <v>8.2141396108808156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3404.0469999999996</v>
      </c>
      <c r="S15" s="62">
        <f t="shared" si="13"/>
        <v>142.73029299999999</v>
      </c>
      <c r="T15" s="63">
        <f t="shared" si="14"/>
        <v>279.61317300000007</v>
      </c>
      <c r="U15" s="64" t="s">
        <v>206</v>
      </c>
      <c r="V15" s="65" t="s">
        <v>348</v>
      </c>
      <c r="W15" s="66" t="s">
        <v>184</v>
      </c>
      <c r="X15" s="67">
        <v>8220</v>
      </c>
      <c r="Y15" s="68">
        <v>4.75</v>
      </c>
      <c r="Z15" s="68">
        <v>8.5500000000000007</v>
      </c>
      <c r="AA15" s="62">
        <f t="shared" si="26"/>
        <v>390.45</v>
      </c>
      <c r="AB15" s="63">
        <f t="shared" si="27"/>
        <v>702.81000000000006</v>
      </c>
      <c r="AC15" s="69">
        <v>8120</v>
      </c>
      <c r="AD15" s="70">
        <v>4.6009852216748772</v>
      </c>
      <c r="AE15" s="70">
        <v>8.455812807881772</v>
      </c>
      <c r="AF15" s="62">
        <f t="shared" si="17"/>
        <v>373.60000000000008</v>
      </c>
      <c r="AG15" s="63">
        <f t="shared" si="18"/>
        <v>686.61199999999997</v>
      </c>
      <c r="AH15" s="89">
        <v>16540</v>
      </c>
      <c r="AI15" s="66">
        <v>5</v>
      </c>
      <c r="AJ15" s="66">
        <v>8.5</v>
      </c>
      <c r="AK15" s="62">
        <f t="shared" si="19"/>
        <v>827</v>
      </c>
      <c r="AL15" s="72">
        <f t="shared" si="20"/>
        <v>1405.9</v>
      </c>
      <c r="AM15" s="73">
        <f t="shared" si="6"/>
        <v>-8.9530000000013388</v>
      </c>
      <c r="AN15" s="74">
        <f t="shared" si="21"/>
        <v>4.4802930000000742</v>
      </c>
      <c r="AO15" s="74">
        <f t="shared" si="22"/>
        <v>-6.9038270000000921</v>
      </c>
      <c r="AP15" s="75">
        <f t="shared" si="23"/>
        <v>-5.7383011579490561E-3</v>
      </c>
      <c r="AQ15" s="76">
        <f t="shared" si="24"/>
        <v>85.291878919103056</v>
      </c>
      <c r="AR15" s="90">
        <f t="shared" si="9"/>
        <v>-108.95300000000134</v>
      </c>
    </row>
    <row r="16" spans="1:44" x14ac:dyDescent="0.25">
      <c r="A16" t="str">
        <f t="shared" si="10"/>
        <v>46210M</v>
      </c>
      <c r="B16" s="51">
        <f t="shared" si="25"/>
        <v>46210</v>
      </c>
      <c r="C16" s="52" t="s">
        <v>87</v>
      </c>
      <c r="D16" s="91">
        <v>16540</v>
      </c>
      <c r="E16" s="62">
        <v>5</v>
      </c>
      <c r="F16" s="62">
        <v>8.5</v>
      </c>
      <c r="G16" s="62">
        <f t="shared" si="0"/>
        <v>827</v>
      </c>
      <c r="H16" s="72">
        <f t="shared" si="11"/>
        <v>1405.9</v>
      </c>
      <c r="I16" s="118">
        <v>2812.7</v>
      </c>
      <c r="J16" s="119">
        <v>2897.0809999999997</v>
      </c>
      <c r="K16" s="120">
        <v>4.6493938208838497</v>
      </c>
      <c r="L16" s="121">
        <v>8.3848899633803811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2897.0809999999997</v>
      </c>
      <c r="S16" s="62">
        <f t="shared" si="13"/>
        <v>134.69670500000001</v>
      </c>
      <c r="T16" s="63">
        <f t="shared" si="14"/>
        <v>242.91705399999992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6"/>
        <v>0</v>
      </c>
      <c r="AB16" s="63">
        <f t="shared" si="27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89">
        <v>19450</v>
      </c>
      <c r="AI16" s="66">
        <v>4.9000000000000004</v>
      </c>
      <c r="AJ16" s="66">
        <v>8.5500000000000007</v>
      </c>
      <c r="AK16" s="62">
        <f t="shared" si="19"/>
        <v>953.05000000000007</v>
      </c>
      <c r="AL16" s="72">
        <f t="shared" si="20"/>
        <v>1662.9750000000001</v>
      </c>
      <c r="AM16" s="73">
        <f t="shared" si="6"/>
        <v>-12.919000000001688</v>
      </c>
      <c r="AN16" s="74">
        <f t="shared" si="21"/>
        <v>8.6467049999999972</v>
      </c>
      <c r="AO16" s="74">
        <f t="shared" si="22"/>
        <v>-14.157946000000038</v>
      </c>
      <c r="AP16" s="75">
        <f t="shared" si="23"/>
        <v>-1.4594915753586303E-2</v>
      </c>
      <c r="AQ16" s="76">
        <f t="shared" si="24"/>
        <v>-85.155613888053267</v>
      </c>
      <c r="AR16" s="90">
        <f t="shared" si="9"/>
        <v>-12.919000000001688</v>
      </c>
    </row>
    <row r="17" spans="1:49" x14ac:dyDescent="0.25">
      <c r="A17" t="str">
        <f t="shared" si="10"/>
        <v>46210E</v>
      </c>
      <c r="B17" s="51">
        <f t="shared" si="25"/>
        <v>46210</v>
      </c>
      <c r="C17" s="52" t="s">
        <v>88</v>
      </c>
      <c r="D17" s="91">
        <v>19450</v>
      </c>
      <c r="E17" s="62">
        <v>4.9000000000000004</v>
      </c>
      <c r="F17" s="62">
        <v>8.5500000000000007</v>
      </c>
      <c r="G17" s="62">
        <f t="shared" si="0"/>
        <v>953.05000000000007</v>
      </c>
      <c r="H17" s="72">
        <f t="shared" si="11"/>
        <v>1662.9750000000001</v>
      </c>
      <c r="I17" s="118">
        <v>3549.3000000000011</v>
      </c>
      <c r="J17" s="119">
        <v>3655.7790000000014</v>
      </c>
      <c r="K17" s="120">
        <v>4.1725297946073905</v>
      </c>
      <c r="L17" s="121">
        <v>8.3147324824613325</v>
      </c>
      <c r="M17" s="58" t="s">
        <v>204</v>
      </c>
      <c r="N17" s="58">
        <v>36544</v>
      </c>
      <c r="O17" s="59">
        <v>2585</v>
      </c>
      <c r="P17" s="56">
        <v>5.5</v>
      </c>
      <c r="Q17" s="60">
        <v>8.8000000000000007</v>
      </c>
      <c r="R17" s="61">
        <f t="shared" si="12"/>
        <v>6240.7790000000014</v>
      </c>
      <c r="S17" s="62">
        <f t="shared" si="13"/>
        <v>294.7134680000002</v>
      </c>
      <c r="T17" s="63">
        <f t="shared" si="14"/>
        <v>531.44824400000016</v>
      </c>
      <c r="U17" s="64" t="s">
        <v>205</v>
      </c>
      <c r="V17" s="65" t="s">
        <v>414</v>
      </c>
      <c r="W17" s="66" t="s">
        <v>184</v>
      </c>
      <c r="X17" s="67">
        <v>9530</v>
      </c>
      <c r="Y17" s="68">
        <v>4.79</v>
      </c>
      <c r="Z17" s="68">
        <v>8.64</v>
      </c>
      <c r="AA17" s="62">
        <f t="shared" si="26"/>
        <v>456.48699999999997</v>
      </c>
      <c r="AB17" s="63">
        <f t="shared" si="27"/>
        <v>823.39200000000005</v>
      </c>
      <c r="AC17" s="221">
        <v>9530</v>
      </c>
      <c r="AD17" s="223">
        <v>4.79</v>
      </c>
      <c r="AE17" s="223">
        <v>8.64</v>
      </c>
      <c r="AF17" s="62">
        <f t="shared" si="17"/>
        <v>456.48699999999997</v>
      </c>
      <c r="AG17" s="63">
        <f t="shared" si="18"/>
        <v>823.39200000000005</v>
      </c>
      <c r="AH17" s="89">
        <v>16135</v>
      </c>
      <c r="AI17" s="66">
        <v>4.9000000000000004</v>
      </c>
      <c r="AJ17" s="66">
        <v>8.5</v>
      </c>
      <c r="AK17" s="62">
        <f t="shared" si="19"/>
        <v>790.61500000000001</v>
      </c>
      <c r="AL17" s="72">
        <f t="shared" si="20"/>
        <v>1371.4750000000001</v>
      </c>
      <c r="AM17" s="73">
        <f t="shared" si="6"/>
        <v>25.77900000000227</v>
      </c>
      <c r="AN17" s="74">
        <f t="shared" si="21"/>
        <v>0.66146800000035455</v>
      </c>
      <c r="AO17" s="74">
        <f t="shared" si="22"/>
        <v>-0.44375599999966653</v>
      </c>
      <c r="AP17" s="75">
        <f t="shared" si="23"/>
        <v>2.6352225821945128E-4</v>
      </c>
      <c r="AQ17" s="76">
        <f t="shared" si="24"/>
        <v>184.95593096203905</v>
      </c>
      <c r="AR17" s="90">
        <f t="shared" si="9"/>
        <v>25.77900000000227</v>
      </c>
    </row>
    <row r="18" spans="1:49" x14ac:dyDescent="0.25">
      <c r="A18" t="str">
        <f t="shared" si="10"/>
        <v>46211M</v>
      </c>
      <c r="B18" s="51">
        <f t="shared" si="25"/>
        <v>46211</v>
      </c>
      <c r="C18" s="98" t="s">
        <v>87</v>
      </c>
      <c r="D18" s="91">
        <v>16135</v>
      </c>
      <c r="E18" s="62">
        <v>4.9000000000000004</v>
      </c>
      <c r="F18" s="62">
        <v>8.5</v>
      </c>
      <c r="G18" s="62">
        <f t="shared" si="0"/>
        <v>790.61500000000001</v>
      </c>
      <c r="H18" s="72">
        <f t="shared" si="11"/>
        <v>1371.4750000000001</v>
      </c>
      <c r="I18" s="118">
        <v>3161.0000000000005</v>
      </c>
      <c r="J18" s="119">
        <v>3255.8300000000004</v>
      </c>
      <c r="K18" s="120">
        <v>4.5881809553938631</v>
      </c>
      <c r="L18" s="121">
        <v>8.3618696614995258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3255.8300000000004</v>
      </c>
      <c r="S18" s="62">
        <f t="shared" si="13"/>
        <v>149.38337200000004</v>
      </c>
      <c r="T18" s="63">
        <f t="shared" si="14"/>
        <v>272.24826100000001</v>
      </c>
      <c r="U18" s="64" t="s">
        <v>206</v>
      </c>
      <c r="V18" s="65" t="s">
        <v>415</v>
      </c>
      <c r="W18" s="66" t="s">
        <v>184</v>
      </c>
      <c r="X18" s="67">
        <v>8220</v>
      </c>
      <c r="Y18" s="68">
        <v>4.8</v>
      </c>
      <c r="Z18" s="68">
        <v>8.56</v>
      </c>
      <c r="AA18" s="62">
        <f t="shared" si="26"/>
        <v>394.56</v>
      </c>
      <c r="AB18" s="63">
        <f t="shared" si="27"/>
        <v>703.63200000000006</v>
      </c>
      <c r="AC18" s="221">
        <v>8220</v>
      </c>
      <c r="AD18" s="223">
        <v>4.8</v>
      </c>
      <c r="AE18" s="223">
        <v>8.56</v>
      </c>
      <c r="AF18" s="62">
        <f t="shared" si="17"/>
        <v>394.56</v>
      </c>
      <c r="AG18" s="63">
        <f t="shared" si="18"/>
        <v>703.63200000000006</v>
      </c>
      <c r="AH18" s="89">
        <v>11160</v>
      </c>
      <c r="AI18" s="66">
        <v>4.9000000000000004</v>
      </c>
      <c r="AJ18" s="66">
        <v>8.4</v>
      </c>
      <c r="AK18" s="62">
        <f t="shared" si="19"/>
        <v>546.84</v>
      </c>
      <c r="AL18" s="72">
        <f t="shared" si="20"/>
        <v>937.44</v>
      </c>
      <c r="AM18" s="73">
        <f t="shared" si="6"/>
        <v>10.830000000001746</v>
      </c>
      <c r="AN18" s="74">
        <f t="shared" si="21"/>
        <v>-1.4016279999999597</v>
      </c>
      <c r="AO18" s="74">
        <f t="shared" si="22"/>
        <v>2.6512609999999768</v>
      </c>
      <c r="AP18" s="75">
        <f t="shared" si="23"/>
        <v>2.9638027657189962E-3</v>
      </c>
      <c r="AQ18" s="76">
        <f t="shared" si="24"/>
        <v>120.50119463819976</v>
      </c>
      <c r="AR18" s="90">
        <f t="shared" si="9"/>
        <v>10.830000000001746</v>
      </c>
    </row>
    <row r="19" spans="1:49" x14ac:dyDescent="0.25">
      <c r="A19" t="str">
        <f t="shared" si="10"/>
        <v>46211E</v>
      </c>
      <c r="B19" s="51">
        <f t="shared" si="25"/>
        <v>46211</v>
      </c>
      <c r="C19" s="52" t="s">
        <v>88</v>
      </c>
      <c r="D19" s="91">
        <v>11160</v>
      </c>
      <c r="E19" s="62">
        <v>4.9000000000000004</v>
      </c>
      <c r="F19" s="62">
        <v>8.4</v>
      </c>
      <c r="G19" s="62">
        <f t="shared" si="0"/>
        <v>546.84</v>
      </c>
      <c r="H19" s="72">
        <f t="shared" si="11"/>
        <v>937.44</v>
      </c>
      <c r="I19" s="118">
        <v>4635.3999999999996</v>
      </c>
      <c r="J19" s="119">
        <v>4774.4619999999995</v>
      </c>
      <c r="K19" s="120">
        <v>4.6754713724813373</v>
      </c>
      <c r="L19" s="121">
        <v>8.5777840100099265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4774.4619999999995</v>
      </c>
      <c r="S19" s="62">
        <f t="shared" si="13"/>
        <v>223.22860399999988</v>
      </c>
      <c r="T19" s="63">
        <f t="shared" si="14"/>
        <v>409.54303800000014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6"/>
        <v>0</v>
      </c>
      <c r="AB19" s="63">
        <f t="shared" si="27"/>
        <v>0</v>
      </c>
      <c r="AC19" s="69"/>
      <c r="AD19" s="70"/>
      <c r="AE19" s="70"/>
      <c r="AF19" s="62">
        <f t="shared" ref="AF19:AF31" si="28">AC19*AD19%</f>
        <v>0</v>
      </c>
      <c r="AG19" s="63">
        <f t="shared" ref="AG19:AG31" si="29">AC19*AE19%</f>
        <v>0</v>
      </c>
      <c r="AH19" s="89">
        <v>15910</v>
      </c>
      <c r="AI19" s="66">
        <v>4.8</v>
      </c>
      <c r="AJ19" s="66">
        <v>8.5</v>
      </c>
      <c r="AK19" s="62">
        <f t="shared" si="19"/>
        <v>763.68000000000006</v>
      </c>
      <c r="AL19" s="72">
        <f t="shared" si="20"/>
        <v>1352.3500000000001</v>
      </c>
      <c r="AM19" s="73">
        <f t="shared" si="6"/>
        <v>24.461999999999534</v>
      </c>
      <c r="AN19" s="74">
        <f t="shared" si="21"/>
        <v>6.3886039999998729</v>
      </c>
      <c r="AO19" s="74">
        <f t="shared" si="22"/>
        <v>-5.3669619999998304</v>
      </c>
      <c r="AP19" s="75">
        <f t="shared" si="23"/>
        <v>1.6145508619364495E-3</v>
      </c>
      <c r="AQ19" s="76">
        <f t="shared" si="24"/>
        <v>1462.574808663521</v>
      </c>
      <c r="AR19" s="90">
        <f t="shared" si="9"/>
        <v>24.461999999999534</v>
      </c>
    </row>
    <row r="20" spans="1:49" x14ac:dyDescent="0.25">
      <c r="A20" t="str">
        <f t="shared" si="10"/>
        <v>46212M</v>
      </c>
      <c r="B20" s="51">
        <f t="shared" si="25"/>
        <v>46212</v>
      </c>
      <c r="C20" s="52" t="s">
        <v>87</v>
      </c>
      <c r="D20" s="91">
        <v>15910</v>
      </c>
      <c r="E20" s="62">
        <v>4.8</v>
      </c>
      <c r="F20" s="62">
        <v>8.5</v>
      </c>
      <c r="G20" s="62">
        <f t="shared" si="0"/>
        <v>763.68000000000006</v>
      </c>
      <c r="H20" s="72">
        <f t="shared" si="11"/>
        <v>1352.3500000000001</v>
      </c>
      <c r="I20" s="118">
        <v>4732.6000000000013</v>
      </c>
      <c r="J20" s="119">
        <v>4874.5780000000013</v>
      </c>
      <c r="K20" s="120">
        <v>4.5558213244305437</v>
      </c>
      <c r="L20" s="121">
        <v>8.1220238346786093</v>
      </c>
      <c r="M20" s="58" t="s">
        <v>204</v>
      </c>
      <c r="N20" s="58">
        <v>36545</v>
      </c>
      <c r="O20" s="59">
        <v>2500</v>
      </c>
      <c r="P20" s="56">
        <v>5.6</v>
      </c>
      <c r="Q20" s="60">
        <v>8.6</v>
      </c>
      <c r="R20" s="61">
        <f t="shared" si="12"/>
        <v>7374.5780000000013</v>
      </c>
      <c r="S20" s="62">
        <f t="shared" si="13"/>
        <v>362.07706399999995</v>
      </c>
      <c r="T20" s="63">
        <f t="shared" si="14"/>
        <v>610.91438699999992</v>
      </c>
      <c r="U20" s="64" t="s">
        <v>416</v>
      </c>
      <c r="V20" s="65" t="s">
        <v>417</v>
      </c>
      <c r="W20" s="66" t="s">
        <v>184</v>
      </c>
      <c r="X20" s="67">
        <v>15630</v>
      </c>
      <c r="Y20" s="68">
        <v>4.6399999999999997</v>
      </c>
      <c r="Z20" s="68">
        <v>8.76</v>
      </c>
      <c r="AA20" s="62">
        <f t="shared" si="26"/>
        <v>725.23199999999997</v>
      </c>
      <c r="AB20" s="63">
        <f t="shared" si="27"/>
        <v>1369.1879999999999</v>
      </c>
      <c r="AC20" s="69">
        <v>15440</v>
      </c>
      <c r="AD20" s="70">
        <v>4.5544689119170982</v>
      </c>
      <c r="AE20" s="70">
        <v>8.4604533678756457</v>
      </c>
      <c r="AF20" s="62">
        <f t="shared" si="28"/>
        <v>703.21</v>
      </c>
      <c r="AG20" s="63">
        <f t="shared" si="29"/>
        <v>1306.2939999999999</v>
      </c>
      <c r="AH20" s="89">
        <v>7691</v>
      </c>
      <c r="AI20" s="66">
        <v>5.2</v>
      </c>
      <c r="AJ20" s="66">
        <v>8.5</v>
      </c>
      <c r="AK20" s="62">
        <f t="shared" ref="AK20:AK22" si="30">AH20*AI20%</f>
        <v>399.93200000000002</v>
      </c>
      <c r="AL20" s="72">
        <f t="shared" ref="AL20:AL22" si="31">AH20*AJ20%</f>
        <v>653.73500000000001</v>
      </c>
      <c r="AM20" s="73">
        <f t="shared" si="6"/>
        <v>153.57800000000134</v>
      </c>
      <c r="AN20" s="74">
        <f t="shared" ref="AN20:AN21" si="32">+G20+S20-AF20-AK20</f>
        <v>22.615063999999848</v>
      </c>
      <c r="AO20" s="74">
        <f t="shared" ref="AO20:AO21" si="33">+H20+T20-AG20-AL20</f>
        <v>3.2353870000002871</v>
      </c>
      <c r="AP20" s="75">
        <f t="shared" ref="AP20:AP65" si="34">(AN20+AO20)/(S20+T20)</f>
        <v>2.6568014522051684E-2</v>
      </c>
      <c r="AQ20" s="76">
        <f t="shared" si="8"/>
        <v>11836.24389493046</v>
      </c>
      <c r="AR20" s="90">
        <f t="shared" si="9"/>
        <v>-36.421999999998661</v>
      </c>
    </row>
    <row r="21" spans="1:49" x14ac:dyDescent="0.25">
      <c r="A21" t="str">
        <f t="shared" si="10"/>
        <v>46212E</v>
      </c>
      <c r="B21" s="51">
        <f t="shared" si="25"/>
        <v>46212</v>
      </c>
      <c r="C21" s="52" t="s">
        <v>88</v>
      </c>
      <c r="D21" s="91">
        <v>7691</v>
      </c>
      <c r="E21" s="62">
        <v>5.2</v>
      </c>
      <c r="F21" s="62">
        <v>8.5</v>
      </c>
      <c r="G21" s="62">
        <f t="shared" si="0"/>
        <v>399.93200000000002</v>
      </c>
      <c r="H21" s="72">
        <f t="shared" si="11"/>
        <v>653.73500000000001</v>
      </c>
      <c r="I21" s="118">
        <v>3731.5</v>
      </c>
      <c r="J21" s="119">
        <v>3843.4450000000002</v>
      </c>
      <c r="K21" s="120">
        <v>4.135082406538924</v>
      </c>
      <c r="L21" s="121">
        <v>8.2675626423690165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2"/>
        <v>3843.4450000000002</v>
      </c>
      <c r="S21" s="62">
        <f t="shared" si="13"/>
        <v>158.92961799999995</v>
      </c>
      <c r="T21" s="63">
        <f t="shared" si="14"/>
        <v>317.75922299999985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6"/>
        <v>0</v>
      </c>
      <c r="AB21" s="63">
        <f t="shared" si="27"/>
        <v>0</v>
      </c>
      <c r="AC21" s="69"/>
      <c r="AD21" s="70"/>
      <c r="AE21" s="70"/>
      <c r="AF21" s="62">
        <f t="shared" si="28"/>
        <v>0</v>
      </c>
      <c r="AG21" s="63">
        <f t="shared" si="29"/>
        <v>0</v>
      </c>
      <c r="AH21" s="89">
        <v>11530</v>
      </c>
      <c r="AI21" s="66">
        <v>4.8</v>
      </c>
      <c r="AJ21" s="66">
        <v>8.5</v>
      </c>
      <c r="AK21" s="62">
        <f t="shared" si="30"/>
        <v>553.44000000000005</v>
      </c>
      <c r="AL21" s="72">
        <f t="shared" si="31"/>
        <v>980.05000000000007</v>
      </c>
      <c r="AM21" s="73">
        <f t="shared" si="6"/>
        <v>4.444999999999709</v>
      </c>
      <c r="AN21" s="74">
        <f t="shared" si="32"/>
        <v>5.4216179999998531</v>
      </c>
      <c r="AO21" s="74">
        <f t="shared" si="33"/>
        <v>-8.5557770000001483</v>
      </c>
      <c r="AP21" s="75">
        <f t="shared" si="34"/>
        <v>-6.5748528818619784E-3</v>
      </c>
      <c r="AQ21" s="76">
        <f t="shared" si="8"/>
        <v>42.884859686216714</v>
      </c>
      <c r="AR21" s="90">
        <f t="shared" si="9"/>
        <v>4.444999999999709</v>
      </c>
      <c r="AS21" s="90">
        <f>SUM(J8:J21)</f>
        <v>50076.436999999998</v>
      </c>
      <c r="AT21" s="83">
        <f>SUM(AM8:AM21)</f>
        <v>186.43700000000172</v>
      </c>
      <c r="AU21" s="83">
        <f>SUM(AN8:AN21)</f>
        <v>61.106846999999846</v>
      </c>
      <c r="AV21" s="83">
        <f>SUM(AO8:AO21)</f>
        <v>-36.236669999999719</v>
      </c>
      <c r="AW21" s="83">
        <f>-SUM(AQ8:AQ21)</f>
        <v>-18511.26872530712</v>
      </c>
    </row>
    <row r="22" spans="1:49" x14ac:dyDescent="0.25">
      <c r="A22" t="str">
        <f t="shared" si="10"/>
        <v>46213M</v>
      </c>
      <c r="B22" s="51">
        <f t="shared" si="25"/>
        <v>46213</v>
      </c>
      <c r="C22" s="52" t="s">
        <v>87</v>
      </c>
      <c r="D22" s="91">
        <v>11530</v>
      </c>
      <c r="E22" s="62">
        <v>4.8</v>
      </c>
      <c r="F22" s="62">
        <v>8.5</v>
      </c>
      <c r="G22" s="62">
        <f t="shared" si="0"/>
        <v>553.44000000000005</v>
      </c>
      <c r="H22" s="72">
        <f t="shared" si="11"/>
        <v>980.05000000000007</v>
      </c>
      <c r="I22" s="118">
        <v>2343.8999999999996</v>
      </c>
      <c r="J22" s="119">
        <v>2414.2169999999996</v>
      </c>
      <c r="K22" s="120">
        <v>4.5968130039677462</v>
      </c>
      <c r="L22" s="121">
        <v>8.420726140193695</v>
      </c>
      <c r="M22" s="58" t="s">
        <v>448</v>
      </c>
      <c r="N22" s="58" t="s">
        <v>449</v>
      </c>
      <c r="O22" s="59">
        <v>13270</v>
      </c>
      <c r="P22" s="56">
        <v>4.91</v>
      </c>
      <c r="Q22" s="60">
        <v>8.6</v>
      </c>
      <c r="R22" s="61">
        <f t="shared" si="12"/>
        <v>15684.217000000001</v>
      </c>
      <c r="S22" s="62">
        <f t="shared" si="13"/>
        <v>762.534041</v>
      </c>
      <c r="T22" s="63">
        <f t="shared" si="14"/>
        <v>1344.5146019999997</v>
      </c>
      <c r="U22" s="64" t="s">
        <v>451</v>
      </c>
      <c r="V22" s="65" t="s">
        <v>452</v>
      </c>
      <c r="W22" s="66" t="s">
        <v>184</v>
      </c>
      <c r="X22" s="67">
        <v>10800</v>
      </c>
      <c r="Y22" s="68">
        <v>4.45</v>
      </c>
      <c r="Z22" s="68">
        <v>8.43</v>
      </c>
      <c r="AA22" s="62">
        <f t="shared" si="26"/>
        <v>480.60000000000008</v>
      </c>
      <c r="AB22" s="63">
        <f t="shared" si="27"/>
        <v>910.44</v>
      </c>
      <c r="AC22" s="69">
        <v>10780</v>
      </c>
      <c r="AD22" s="70">
        <v>4.4000000000000004</v>
      </c>
      <c r="AE22" s="70">
        <v>8.2899999999999991</v>
      </c>
      <c r="AF22" s="62">
        <f t="shared" si="28"/>
        <v>474.32000000000005</v>
      </c>
      <c r="AG22" s="63">
        <f t="shared" si="29"/>
        <v>893.66199999999992</v>
      </c>
      <c r="AH22" s="89">
        <v>16450</v>
      </c>
      <c r="AI22" s="66">
        <v>5.3</v>
      </c>
      <c r="AJ22" s="66">
        <v>8.6</v>
      </c>
      <c r="AK22" s="62">
        <f t="shared" si="30"/>
        <v>871.85</v>
      </c>
      <c r="AL22" s="72">
        <f t="shared" si="31"/>
        <v>1414.6999999999998</v>
      </c>
      <c r="AM22" s="73">
        <f t="shared" si="6"/>
        <v>-15.782999999999447</v>
      </c>
      <c r="AN22" s="80">
        <f t="shared" ref="AN22" si="35">+G22+S22-AF22-AK22</f>
        <v>-30.19595900000013</v>
      </c>
      <c r="AO22" s="80">
        <f t="shared" ref="AO22" si="36">+H22+T22-AG22-AL22</f>
        <v>16.202602000000297</v>
      </c>
      <c r="AP22" s="75">
        <f t="shared" si="34"/>
        <v>-6.6412121269664656E-3</v>
      </c>
      <c r="AQ22" s="76">
        <f t="shared" si="8"/>
        <v>-9657.6060148775723</v>
      </c>
      <c r="AR22" s="90">
        <f t="shared" si="9"/>
        <v>-35.782999999999447</v>
      </c>
    </row>
    <row r="23" spans="1:49" x14ac:dyDescent="0.25">
      <c r="A23" t="str">
        <f t="shared" si="10"/>
        <v>46213E</v>
      </c>
      <c r="B23" s="51">
        <f t="shared" si="25"/>
        <v>46213</v>
      </c>
      <c r="C23" s="52" t="s">
        <v>88</v>
      </c>
      <c r="D23" s="91">
        <v>16450</v>
      </c>
      <c r="E23" s="62">
        <v>5.3</v>
      </c>
      <c r="F23" s="62">
        <v>8.6</v>
      </c>
      <c r="G23" s="62">
        <f t="shared" si="0"/>
        <v>871.85</v>
      </c>
      <c r="H23" s="72">
        <f t="shared" si="11"/>
        <v>1414.6999999999998</v>
      </c>
      <c r="I23" s="118">
        <v>3439.7999999999997</v>
      </c>
      <c r="J23" s="119">
        <v>3542.9939999999997</v>
      </c>
      <c r="K23" s="120">
        <v>4.3916942845514253</v>
      </c>
      <c r="L23" s="121">
        <v>8.4711989069131892</v>
      </c>
      <c r="M23" s="58" t="s">
        <v>450</v>
      </c>
      <c r="N23" s="58" t="s">
        <v>415</v>
      </c>
      <c r="O23" s="59">
        <v>8220</v>
      </c>
      <c r="P23" s="56">
        <v>4.8</v>
      </c>
      <c r="Q23" s="60">
        <v>8.56</v>
      </c>
      <c r="R23" s="61">
        <f t="shared" si="12"/>
        <v>11762.993999999999</v>
      </c>
      <c r="S23" s="62">
        <f t="shared" si="13"/>
        <v>550.15746499999989</v>
      </c>
      <c r="T23" s="63">
        <f t="shared" si="14"/>
        <v>1003.7660689999999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6"/>
        <v>0</v>
      </c>
      <c r="AB23" s="63">
        <f t="shared" si="27"/>
        <v>0</v>
      </c>
      <c r="AC23" s="69"/>
      <c r="AD23" s="70"/>
      <c r="AE23" s="70"/>
      <c r="AF23" s="62">
        <f t="shared" si="28"/>
        <v>0</v>
      </c>
      <c r="AG23" s="63">
        <f t="shared" si="29"/>
        <v>0</v>
      </c>
      <c r="AH23" s="89">
        <v>28200</v>
      </c>
      <c r="AI23" s="66">
        <v>5.0999999999999996</v>
      </c>
      <c r="AJ23" s="66">
        <v>8.5</v>
      </c>
      <c r="AK23" s="62">
        <f t="shared" ref="AK23:AK36" si="37">AH23*AI23%</f>
        <v>1438.1999999999998</v>
      </c>
      <c r="AL23" s="72">
        <f t="shared" ref="AL23:AL36" si="38">AH23*AJ23%</f>
        <v>2397</v>
      </c>
      <c r="AM23" s="73">
        <f t="shared" si="6"/>
        <v>12.993999999998778</v>
      </c>
      <c r="AN23" s="80">
        <f t="shared" ref="AN23:AN35" si="39">+G23+S23-AF23-AK23</f>
        <v>-16.192534999999907</v>
      </c>
      <c r="AO23" s="80">
        <f t="shared" ref="AO23:AO35" si="40">+H23+T23-AG23-AL23</f>
        <v>21.466068999999607</v>
      </c>
      <c r="AP23" s="75">
        <f t="shared" si="34"/>
        <v>3.3936895121376674E-3</v>
      </c>
      <c r="AQ23" s="76">
        <f t="shared" si="8"/>
        <v>-1352.1435130527652</v>
      </c>
      <c r="AR23" s="90">
        <f t="shared" si="9"/>
        <v>12.993999999998778</v>
      </c>
    </row>
    <row r="24" spans="1:49" x14ac:dyDescent="0.25">
      <c r="A24" t="str">
        <f t="shared" si="10"/>
        <v>46214M</v>
      </c>
      <c r="B24" s="51">
        <f t="shared" si="25"/>
        <v>46214</v>
      </c>
      <c r="C24" s="98" t="s">
        <v>87</v>
      </c>
      <c r="D24" s="91">
        <v>28200</v>
      </c>
      <c r="E24" s="62">
        <v>5.0999999999999996</v>
      </c>
      <c r="F24" s="62">
        <v>8.5</v>
      </c>
      <c r="G24" s="62">
        <f t="shared" si="0"/>
        <v>1438.1999999999998</v>
      </c>
      <c r="H24" s="72">
        <f t="shared" si="11"/>
        <v>2397</v>
      </c>
      <c r="I24" s="118">
        <v>3328.4999999999995</v>
      </c>
      <c r="J24" s="119">
        <v>3428.3549999999996</v>
      </c>
      <c r="K24" s="120">
        <v>4.5685804416403801</v>
      </c>
      <c r="L24" s="121">
        <v>8.3666125882529716</v>
      </c>
      <c r="M24" s="58">
        <v>0</v>
      </c>
      <c r="N24" s="58" t="s">
        <v>167</v>
      </c>
      <c r="O24" s="59">
        <v>0</v>
      </c>
      <c r="P24" s="56">
        <v>0</v>
      </c>
      <c r="Q24" s="60">
        <v>0</v>
      </c>
      <c r="R24" s="61">
        <f t="shared" si="12"/>
        <v>3428.3549999999996</v>
      </c>
      <c r="S24" s="62">
        <f t="shared" si="13"/>
        <v>156.62715600000004</v>
      </c>
      <c r="T24" s="63">
        <f t="shared" si="14"/>
        <v>286.8371810000001</v>
      </c>
      <c r="U24" s="64" t="s">
        <v>205</v>
      </c>
      <c r="V24" s="65" t="s">
        <v>453</v>
      </c>
      <c r="W24" s="66" t="s">
        <v>184</v>
      </c>
      <c r="X24" s="67">
        <v>9530</v>
      </c>
      <c r="Y24" s="68">
        <v>4.8600000000000003</v>
      </c>
      <c r="Z24" s="68">
        <v>8.69</v>
      </c>
      <c r="AA24" s="62">
        <f t="shared" si="26"/>
        <v>463.15800000000002</v>
      </c>
      <c r="AB24" s="63">
        <f t="shared" si="27"/>
        <v>828.15699999999993</v>
      </c>
      <c r="AC24" s="69">
        <v>9450</v>
      </c>
      <c r="AD24" s="70">
        <v>4.8104761904761908</v>
      </c>
      <c r="AE24" s="70">
        <v>8.4920952380952386</v>
      </c>
      <c r="AF24" s="62">
        <f t="shared" si="28"/>
        <v>454.59000000000003</v>
      </c>
      <c r="AG24" s="63">
        <f t="shared" si="29"/>
        <v>802.50300000000004</v>
      </c>
      <c r="AH24" s="89">
        <v>22150</v>
      </c>
      <c r="AI24" s="66">
        <v>5.0999999999999996</v>
      </c>
      <c r="AJ24" s="66">
        <v>8.5500000000000007</v>
      </c>
      <c r="AK24" s="62">
        <f t="shared" si="37"/>
        <v>1129.6499999999999</v>
      </c>
      <c r="AL24" s="72">
        <f t="shared" si="38"/>
        <v>1893.825</v>
      </c>
      <c r="AM24" s="73">
        <f t="shared" si="6"/>
        <v>28.354999999999563</v>
      </c>
      <c r="AN24" s="80">
        <f t="shared" si="39"/>
        <v>10.587155999999823</v>
      </c>
      <c r="AO24" s="80">
        <f t="shared" si="40"/>
        <v>-12.490819000000329</v>
      </c>
      <c r="AP24" s="75">
        <f t="shared" si="34"/>
        <v>-4.2927082093649968E-3</v>
      </c>
      <c r="AQ24" s="76">
        <f t="shared" si="8"/>
        <v>1346.5839412394394</v>
      </c>
      <c r="AR24" s="90">
        <f t="shared" si="9"/>
        <v>-51.645000000000437</v>
      </c>
    </row>
    <row r="25" spans="1:49" x14ac:dyDescent="0.25">
      <c r="A25" t="str">
        <f t="shared" si="10"/>
        <v>46214E</v>
      </c>
      <c r="B25" s="51">
        <f t="shared" si="25"/>
        <v>46214</v>
      </c>
      <c r="C25" s="52" t="s">
        <v>88</v>
      </c>
      <c r="D25" s="91">
        <v>22150</v>
      </c>
      <c r="E25" s="62">
        <v>5.0999999999999996</v>
      </c>
      <c r="F25" s="62">
        <v>8.5500000000000007</v>
      </c>
      <c r="G25" s="62">
        <f t="shared" si="0"/>
        <v>1129.6499999999999</v>
      </c>
      <c r="H25" s="72">
        <f t="shared" si="11"/>
        <v>1893.825</v>
      </c>
      <c r="I25" s="118">
        <v>3966.2999999999984</v>
      </c>
      <c r="J25" s="119">
        <v>4085.2889999999984</v>
      </c>
      <c r="K25" s="120">
        <v>4.3331744951213977</v>
      </c>
      <c r="L25" s="121">
        <v>8.3391674860701404</v>
      </c>
      <c r="M25" s="58" t="s">
        <v>204</v>
      </c>
      <c r="N25" s="58" t="s">
        <v>445</v>
      </c>
      <c r="O25" s="59">
        <v>2200</v>
      </c>
      <c r="P25" s="56">
        <v>5.5</v>
      </c>
      <c r="Q25" s="60">
        <v>8.8000000000000007</v>
      </c>
      <c r="R25" s="61">
        <f t="shared" si="12"/>
        <v>6285.2889999999989</v>
      </c>
      <c r="S25" s="62">
        <f t="shared" si="13"/>
        <v>298.02270099999993</v>
      </c>
      <c r="T25" s="63">
        <f t="shared" si="14"/>
        <v>534.27909199999976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6"/>
        <v>0</v>
      </c>
      <c r="AB25" s="63">
        <f t="shared" si="27"/>
        <v>0</v>
      </c>
      <c r="AC25" s="69"/>
      <c r="AD25" s="70"/>
      <c r="AE25" s="70"/>
      <c r="AF25" s="62">
        <f t="shared" si="28"/>
        <v>0</v>
      </c>
      <c r="AG25" s="63">
        <f t="shared" si="29"/>
        <v>0</v>
      </c>
      <c r="AH25" s="89">
        <v>28380</v>
      </c>
      <c r="AI25" s="66">
        <v>5</v>
      </c>
      <c r="AJ25" s="66">
        <v>8.6</v>
      </c>
      <c r="AK25" s="62">
        <f t="shared" si="37"/>
        <v>1419</v>
      </c>
      <c r="AL25" s="72">
        <f t="shared" si="38"/>
        <v>2440.6799999999998</v>
      </c>
      <c r="AM25" s="73">
        <f t="shared" si="6"/>
        <v>55.288999999997031</v>
      </c>
      <c r="AN25" s="80">
        <f t="shared" si="39"/>
        <v>8.6727009999997335</v>
      </c>
      <c r="AO25" s="80">
        <f t="shared" si="40"/>
        <v>-12.575908000000254</v>
      </c>
      <c r="AP25" s="75">
        <f t="shared" si="34"/>
        <v>-4.6896534800574706E-3</v>
      </c>
      <c r="AQ25" s="76">
        <f t="shared" si="8"/>
        <v>401.14260707787253</v>
      </c>
      <c r="AR25" s="90">
        <f t="shared" si="9"/>
        <v>55.288999999997031</v>
      </c>
    </row>
    <row r="26" spans="1:49" x14ac:dyDescent="0.25">
      <c r="A26" t="str">
        <f t="shared" si="10"/>
        <v>46215M</v>
      </c>
      <c r="B26" s="51">
        <f t="shared" si="25"/>
        <v>46215</v>
      </c>
      <c r="C26" s="52" t="s">
        <v>87</v>
      </c>
      <c r="D26" s="91">
        <v>28380</v>
      </c>
      <c r="E26" s="62">
        <v>5</v>
      </c>
      <c r="F26" s="62">
        <v>8.6</v>
      </c>
      <c r="G26" s="62">
        <f t="shared" si="0"/>
        <v>1419</v>
      </c>
      <c r="H26" s="72">
        <f t="shared" si="11"/>
        <v>2440.6799999999998</v>
      </c>
      <c r="I26" s="118">
        <v>3287.900000000001</v>
      </c>
      <c r="J26" s="119">
        <v>3386.5370000000012</v>
      </c>
      <c r="K26" s="120">
        <v>4.5622950819672123</v>
      </c>
      <c r="L26" s="121">
        <v>8.3011222969068399</v>
      </c>
      <c r="M26" s="58">
        <v>0</v>
      </c>
      <c r="N26" s="58" t="s">
        <v>167</v>
      </c>
      <c r="O26" s="59">
        <v>0</v>
      </c>
      <c r="P26" s="56">
        <v>0</v>
      </c>
      <c r="Q26" s="60">
        <v>0</v>
      </c>
      <c r="R26" s="61">
        <f t="shared" si="12"/>
        <v>3386.5370000000012</v>
      </c>
      <c r="S26" s="62">
        <f t="shared" si="13"/>
        <v>154.50381100000004</v>
      </c>
      <c r="T26" s="63">
        <f t="shared" si="14"/>
        <v>281.12057800000008</v>
      </c>
      <c r="U26" s="64" t="s">
        <v>205</v>
      </c>
      <c r="V26" s="65" t="s">
        <v>454</v>
      </c>
      <c r="W26" s="66" t="s">
        <v>184</v>
      </c>
      <c r="X26" s="67">
        <v>9530</v>
      </c>
      <c r="Y26" s="68">
        <v>4.79</v>
      </c>
      <c r="Z26" s="68">
        <v>8.6199999999999992</v>
      </c>
      <c r="AA26" s="62">
        <f t="shared" si="26"/>
        <v>456.48699999999997</v>
      </c>
      <c r="AB26" s="63">
        <f t="shared" si="27"/>
        <v>821.48599999999999</v>
      </c>
      <c r="AC26" s="69">
        <v>9470</v>
      </c>
      <c r="AD26" s="70">
        <v>4.7447729672650478</v>
      </c>
      <c r="AE26" s="70">
        <v>8.5371594508975708</v>
      </c>
      <c r="AF26" s="62">
        <f t="shared" si="28"/>
        <v>449.33000000000004</v>
      </c>
      <c r="AG26" s="63">
        <f t="shared" si="29"/>
        <v>808.46899999999994</v>
      </c>
      <c r="AH26" s="89">
        <v>22290</v>
      </c>
      <c r="AI26" s="66">
        <v>5.0999999999999996</v>
      </c>
      <c r="AJ26" s="66">
        <v>8.5</v>
      </c>
      <c r="AK26" s="62">
        <f t="shared" si="37"/>
        <v>1136.79</v>
      </c>
      <c r="AL26" s="72">
        <f t="shared" si="38"/>
        <v>1894.65</v>
      </c>
      <c r="AM26" s="73">
        <f t="shared" si="6"/>
        <v>6.5370000000002619</v>
      </c>
      <c r="AN26" s="80">
        <f t="shared" si="39"/>
        <v>-12.616188999999849</v>
      </c>
      <c r="AO26" s="80">
        <f t="shared" si="40"/>
        <v>18.681577999999718</v>
      </c>
      <c r="AP26" s="75">
        <f t="shared" si="34"/>
        <v>1.3923437606244463E-2</v>
      </c>
      <c r="AQ26" s="76">
        <f t="shared" si="8"/>
        <v>-467.52312831165909</v>
      </c>
      <c r="AR26" s="90">
        <f t="shared" si="9"/>
        <v>-53.462999999999738</v>
      </c>
    </row>
    <row r="27" spans="1:49" x14ac:dyDescent="0.25">
      <c r="A27" t="str">
        <f t="shared" si="10"/>
        <v>46215E</v>
      </c>
      <c r="B27" s="51">
        <f t="shared" si="25"/>
        <v>46215</v>
      </c>
      <c r="C27" s="52" t="s">
        <v>88</v>
      </c>
      <c r="D27" s="91">
        <v>22290</v>
      </c>
      <c r="E27" s="62">
        <v>5.0999999999999996</v>
      </c>
      <c r="F27" s="62">
        <v>8.5</v>
      </c>
      <c r="G27" s="62">
        <f t="shared" si="0"/>
        <v>1136.79</v>
      </c>
      <c r="H27" s="72">
        <f t="shared" si="11"/>
        <v>1894.65</v>
      </c>
      <c r="I27" s="118">
        <v>4996.0000000000018</v>
      </c>
      <c r="J27" s="119">
        <v>5145.8800000000019</v>
      </c>
      <c r="K27" s="120">
        <v>4.6370236188951157</v>
      </c>
      <c r="L27" s="121">
        <v>8.5670976781425097</v>
      </c>
      <c r="M27" s="58" t="s">
        <v>204</v>
      </c>
      <c r="N27" s="58" t="s">
        <v>446</v>
      </c>
      <c r="O27" s="59">
        <v>2900</v>
      </c>
      <c r="P27" s="56">
        <v>5.4</v>
      </c>
      <c r="Q27" s="60">
        <v>8.6999999999999993</v>
      </c>
      <c r="R27" s="61">
        <f t="shared" si="12"/>
        <v>8045.8800000000019</v>
      </c>
      <c r="S27" s="62">
        <f t="shared" si="13"/>
        <v>395.21567100000004</v>
      </c>
      <c r="T27" s="63">
        <f t="shared" si="14"/>
        <v>693.15256599999998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6"/>
        <v>0</v>
      </c>
      <c r="AB27" s="63">
        <f t="shared" si="27"/>
        <v>0</v>
      </c>
      <c r="AC27" s="69"/>
      <c r="AD27" s="70"/>
      <c r="AE27" s="70"/>
      <c r="AF27" s="62">
        <f t="shared" si="28"/>
        <v>0</v>
      </c>
      <c r="AG27" s="63">
        <f t="shared" si="29"/>
        <v>0</v>
      </c>
      <c r="AH27" s="89">
        <v>30290</v>
      </c>
      <c r="AI27" s="66">
        <v>5</v>
      </c>
      <c r="AJ27" s="66">
        <v>8.6</v>
      </c>
      <c r="AK27" s="62">
        <f t="shared" si="37"/>
        <v>1514.5</v>
      </c>
      <c r="AL27" s="72">
        <f t="shared" si="38"/>
        <v>2604.9399999999996</v>
      </c>
      <c r="AM27" s="73">
        <f t="shared" si="6"/>
        <v>45.880000000001019</v>
      </c>
      <c r="AN27" s="80">
        <f t="shared" si="39"/>
        <v>17.505670999999893</v>
      </c>
      <c r="AO27" s="80">
        <f t="shared" si="40"/>
        <v>-17.137433999999303</v>
      </c>
      <c r="AP27" s="75">
        <f t="shared" si="34"/>
        <v>3.3833861323958345E-4</v>
      </c>
      <c r="AQ27" s="76">
        <f t="shared" si="8"/>
        <v>3279.5357457151504</v>
      </c>
      <c r="AR27" s="90">
        <f t="shared" si="9"/>
        <v>45.880000000001019</v>
      </c>
    </row>
    <row r="28" spans="1:49" x14ac:dyDescent="0.25">
      <c r="A28" t="str">
        <f t="shared" si="10"/>
        <v>46216M</v>
      </c>
      <c r="B28" s="51">
        <f t="shared" si="25"/>
        <v>46216</v>
      </c>
      <c r="C28" s="52" t="s">
        <v>87</v>
      </c>
      <c r="D28" s="91">
        <v>30290</v>
      </c>
      <c r="E28" s="62">
        <v>5</v>
      </c>
      <c r="F28" s="62">
        <v>8.6</v>
      </c>
      <c r="G28" s="62">
        <f t="shared" si="0"/>
        <v>1514.5</v>
      </c>
      <c r="H28" s="72">
        <f t="shared" si="11"/>
        <v>2604.9399999999996</v>
      </c>
      <c r="I28" s="118">
        <v>3586.4999999999995</v>
      </c>
      <c r="J28" s="119">
        <v>3694.0949999999998</v>
      </c>
      <c r="K28" s="120">
        <v>4.682308657465498</v>
      </c>
      <c r="L28" s="121">
        <v>8.3434574097309362</v>
      </c>
      <c r="M28" s="58">
        <v>0</v>
      </c>
      <c r="N28" s="58" t="s">
        <v>167</v>
      </c>
      <c r="O28" s="59">
        <v>0</v>
      </c>
      <c r="P28" s="56">
        <v>0</v>
      </c>
      <c r="Q28" s="60">
        <v>0</v>
      </c>
      <c r="R28" s="61">
        <f t="shared" si="12"/>
        <v>3694.0949999999998</v>
      </c>
      <c r="S28" s="62">
        <f t="shared" si="13"/>
        <v>172.96893000000006</v>
      </c>
      <c r="T28" s="63">
        <f t="shared" si="14"/>
        <v>308.21524300000004</v>
      </c>
      <c r="U28" s="64" t="s">
        <v>206</v>
      </c>
      <c r="V28" s="65" t="s">
        <v>595</v>
      </c>
      <c r="W28" s="66" t="s">
        <v>184</v>
      </c>
      <c r="X28" s="67">
        <v>8220</v>
      </c>
      <c r="Y28" s="68">
        <v>4.88</v>
      </c>
      <c r="Z28" s="68">
        <v>8.6999999999999993</v>
      </c>
      <c r="AA28" s="62">
        <f t="shared" si="26"/>
        <v>401.13599999999997</v>
      </c>
      <c r="AB28" s="63">
        <f t="shared" si="27"/>
        <v>715.14</v>
      </c>
      <c r="AC28" s="69">
        <v>8180</v>
      </c>
      <c r="AD28" s="70">
        <v>4.7750000000000004</v>
      </c>
      <c r="AE28" s="70">
        <v>8.5500000000000007</v>
      </c>
      <c r="AF28" s="62">
        <f t="shared" si="28"/>
        <v>390.59500000000003</v>
      </c>
      <c r="AG28" s="63">
        <f t="shared" si="29"/>
        <v>699.3900000000001</v>
      </c>
      <c r="AH28" s="89">
        <v>25820</v>
      </c>
      <c r="AI28" s="66">
        <v>5</v>
      </c>
      <c r="AJ28" s="66">
        <v>8.6</v>
      </c>
      <c r="AK28" s="62">
        <f t="shared" si="37"/>
        <v>1291</v>
      </c>
      <c r="AL28" s="72">
        <f t="shared" si="38"/>
        <v>2220.52</v>
      </c>
      <c r="AM28" s="73">
        <f t="shared" si="6"/>
        <v>-15.904999999998836</v>
      </c>
      <c r="AN28" s="80">
        <f t="shared" si="39"/>
        <v>5.873929999999973</v>
      </c>
      <c r="AO28" s="80">
        <f t="shared" si="40"/>
        <v>-6.7547570000001542</v>
      </c>
      <c r="AP28" s="75">
        <f t="shared" si="34"/>
        <v>-1.8305402576077269E-3</v>
      </c>
      <c r="AQ28" s="76">
        <f t="shared" si="8"/>
        <v>799.62495322471159</v>
      </c>
      <c r="AR28" s="90">
        <f t="shared" si="9"/>
        <v>-55.904999999998836</v>
      </c>
    </row>
    <row r="29" spans="1:49" x14ac:dyDescent="0.25">
      <c r="A29" t="str">
        <f t="shared" si="10"/>
        <v>46216E</v>
      </c>
      <c r="B29" s="51">
        <f t="shared" si="25"/>
        <v>46216</v>
      </c>
      <c r="C29" s="52" t="s">
        <v>88</v>
      </c>
      <c r="D29" s="91">
        <v>25820</v>
      </c>
      <c r="E29" s="62">
        <v>5</v>
      </c>
      <c r="F29" s="62">
        <v>8.6</v>
      </c>
      <c r="G29" s="62">
        <f t="shared" si="0"/>
        <v>1291</v>
      </c>
      <c r="H29" s="72">
        <f t="shared" si="11"/>
        <v>2220.52</v>
      </c>
      <c r="I29" s="118">
        <v>4668.7999999999984</v>
      </c>
      <c r="J29" s="119">
        <v>4808.8639999999987</v>
      </c>
      <c r="K29" s="120">
        <v>4.3468878512679918</v>
      </c>
      <c r="L29" s="121">
        <v>8.3221727210418113</v>
      </c>
      <c r="M29" s="58" t="s">
        <v>204</v>
      </c>
      <c r="N29" s="58" t="s">
        <v>447</v>
      </c>
      <c r="O29" s="59">
        <v>3940</v>
      </c>
      <c r="P29" s="56">
        <v>5.5</v>
      </c>
      <c r="Q29" s="60">
        <v>8.6</v>
      </c>
      <c r="R29" s="61">
        <f t="shared" si="12"/>
        <v>8748.8639999999978</v>
      </c>
      <c r="S29" s="62">
        <f t="shared" si="13"/>
        <v>425.73592499999995</v>
      </c>
      <c r="T29" s="63">
        <f t="shared" si="14"/>
        <v>739.041968</v>
      </c>
      <c r="U29" s="64" t="s">
        <v>205</v>
      </c>
      <c r="V29" s="65" t="s">
        <v>596</v>
      </c>
      <c r="W29" s="66" t="s">
        <v>184</v>
      </c>
      <c r="X29" s="67">
        <v>8650</v>
      </c>
      <c r="Y29" s="68">
        <v>4.7699999999999996</v>
      </c>
      <c r="Z29" s="68">
        <v>8.7200000000000006</v>
      </c>
      <c r="AA29" s="62">
        <f t="shared" si="26"/>
        <v>412.60499999999996</v>
      </c>
      <c r="AB29" s="63">
        <f t="shared" si="27"/>
        <v>754.28</v>
      </c>
      <c r="AC29" s="69">
        <v>8330</v>
      </c>
      <c r="AD29" s="70">
        <v>4.7066626650660268</v>
      </c>
      <c r="AE29" s="70">
        <v>8.4713325330132054</v>
      </c>
      <c r="AF29" s="62">
        <f t="shared" si="28"/>
        <v>392.06500000000005</v>
      </c>
      <c r="AG29" s="63">
        <f t="shared" si="29"/>
        <v>705.66200000000003</v>
      </c>
      <c r="AH29" s="89">
        <v>26255</v>
      </c>
      <c r="AI29" s="66">
        <v>5.0999999999999996</v>
      </c>
      <c r="AJ29" s="66">
        <v>8.5</v>
      </c>
      <c r="AK29" s="62">
        <f t="shared" si="37"/>
        <v>1339.0049999999999</v>
      </c>
      <c r="AL29" s="72">
        <f t="shared" si="38"/>
        <v>2231.6750000000002</v>
      </c>
      <c r="AM29" s="73">
        <f t="shared" si="6"/>
        <v>-16.135999999998603</v>
      </c>
      <c r="AN29" s="80">
        <f t="shared" si="39"/>
        <v>-14.334074999999984</v>
      </c>
      <c r="AO29" s="80">
        <f t="shared" si="40"/>
        <v>22.224967999999535</v>
      </c>
      <c r="AP29" s="75">
        <f t="shared" si="34"/>
        <v>6.774590286630338E-3</v>
      </c>
      <c r="AQ29" s="76">
        <f t="shared" si="8"/>
        <v>-231.80950242934614</v>
      </c>
      <c r="AR29" s="90">
        <f t="shared" si="9"/>
        <v>-336.1359999999986</v>
      </c>
    </row>
    <row r="30" spans="1:49" x14ac:dyDescent="0.25">
      <c r="A30" t="str">
        <f t="shared" si="10"/>
        <v>46217M</v>
      </c>
      <c r="B30" s="51">
        <f t="shared" si="25"/>
        <v>46217</v>
      </c>
      <c r="C30" s="52" t="s">
        <v>87</v>
      </c>
      <c r="D30" s="91">
        <v>26255</v>
      </c>
      <c r="E30" s="62">
        <v>5.0999999999999996</v>
      </c>
      <c r="F30" s="62">
        <v>8.5</v>
      </c>
      <c r="G30" s="62">
        <f t="shared" si="0"/>
        <v>1339.0049999999999</v>
      </c>
      <c r="H30" s="72">
        <f t="shared" si="11"/>
        <v>2231.6750000000002</v>
      </c>
      <c r="I30" s="118">
        <v>3158.6000000000008</v>
      </c>
      <c r="J30" s="119">
        <v>3253.3580000000011</v>
      </c>
      <c r="K30" s="120">
        <v>4.7889951244222111</v>
      </c>
      <c r="L30" s="121">
        <v>8.4201450009497893</v>
      </c>
      <c r="M30" s="58">
        <v>0</v>
      </c>
      <c r="N30" s="58" t="s">
        <v>167</v>
      </c>
      <c r="O30" s="59">
        <v>0</v>
      </c>
      <c r="P30" s="56">
        <v>0</v>
      </c>
      <c r="Q30" s="60">
        <v>0</v>
      </c>
      <c r="R30" s="61">
        <f t="shared" si="12"/>
        <v>3253.3580000000011</v>
      </c>
      <c r="S30" s="62">
        <f t="shared" si="13"/>
        <v>155.803156</v>
      </c>
      <c r="T30" s="63">
        <f t="shared" si="14"/>
        <v>273.93746100000016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26"/>
        <v>0</v>
      </c>
      <c r="AB30" s="63">
        <f t="shared" si="27"/>
        <v>0</v>
      </c>
      <c r="AC30" s="69"/>
      <c r="AD30" s="70"/>
      <c r="AE30" s="70"/>
      <c r="AF30" s="62">
        <f t="shared" si="28"/>
        <v>0</v>
      </c>
      <c r="AG30" s="63">
        <f t="shared" si="29"/>
        <v>0</v>
      </c>
      <c r="AH30" s="89">
        <v>29524</v>
      </c>
      <c r="AI30" s="66">
        <v>5.05</v>
      </c>
      <c r="AJ30" s="66">
        <v>8.5</v>
      </c>
      <c r="AK30" s="62">
        <f t="shared" si="37"/>
        <v>1490.962</v>
      </c>
      <c r="AL30" s="72">
        <f t="shared" si="38"/>
        <v>2509.54</v>
      </c>
      <c r="AM30" s="73">
        <f t="shared" si="6"/>
        <v>-15.641999999999825</v>
      </c>
      <c r="AN30" s="80">
        <f t="shared" si="39"/>
        <v>3.8461559999998371</v>
      </c>
      <c r="AO30" s="80">
        <f t="shared" si="40"/>
        <v>-3.9275389999997969</v>
      </c>
      <c r="AP30" s="75">
        <f t="shared" si="34"/>
        <v>-1.893770260025474E-4</v>
      </c>
      <c r="AQ30" s="76">
        <f t="shared" si="8"/>
        <v>671.94017108957314</v>
      </c>
      <c r="AR30" s="90">
        <f t="shared" si="9"/>
        <v>-15.641999999999825</v>
      </c>
    </row>
    <row r="31" spans="1:49" x14ac:dyDescent="0.25">
      <c r="A31" t="str">
        <f t="shared" si="10"/>
        <v>46217E</v>
      </c>
      <c r="B31" s="51">
        <f t="shared" si="25"/>
        <v>46217</v>
      </c>
      <c r="C31" s="52" t="s">
        <v>88</v>
      </c>
      <c r="D31" s="91">
        <v>29524</v>
      </c>
      <c r="E31" s="62">
        <v>5.05</v>
      </c>
      <c r="F31" s="62">
        <v>8.5</v>
      </c>
      <c r="G31" s="62">
        <f t="shared" si="0"/>
        <v>1490.962</v>
      </c>
      <c r="H31" s="72">
        <f t="shared" si="11"/>
        <v>2509.54</v>
      </c>
      <c r="I31" s="118">
        <v>4320.5999999999995</v>
      </c>
      <c r="J31" s="119">
        <v>4450.2179999999998</v>
      </c>
      <c r="K31" s="120">
        <v>4.1465722353376862</v>
      </c>
      <c r="L31" s="121">
        <v>8.3043905938989937</v>
      </c>
      <c r="M31" s="58">
        <v>0</v>
      </c>
      <c r="N31" s="58" t="s">
        <v>167</v>
      </c>
      <c r="O31" s="59">
        <v>0</v>
      </c>
      <c r="P31" s="56">
        <v>0</v>
      </c>
      <c r="Q31" s="60">
        <v>0</v>
      </c>
      <c r="R31" s="61">
        <f t="shared" si="12"/>
        <v>4450.2179999999998</v>
      </c>
      <c r="S31" s="62">
        <f t="shared" si="13"/>
        <v>184.53150400000004</v>
      </c>
      <c r="T31" s="63">
        <f t="shared" si="14"/>
        <v>369.56348499999996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26"/>
        <v>0</v>
      </c>
      <c r="AB31" s="63">
        <f t="shared" si="27"/>
        <v>0</v>
      </c>
      <c r="AC31" s="69"/>
      <c r="AD31" s="70"/>
      <c r="AE31" s="70"/>
      <c r="AF31" s="62">
        <f t="shared" si="28"/>
        <v>0</v>
      </c>
      <c r="AG31" s="63">
        <f t="shared" si="29"/>
        <v>0</v>
      </c>
      <c r="AH31" s="89">
        <v>34010</v>
      </c>
      <c r="AI31" s="66">
        <v>4.9000000000000004</v>
      </c>
      <c r="AJ31" s="66">
        <v>8.5</v>
      </c>
      <c r="AK31" s="62">
        <f t="shared" si="37"/>
        <v>1666.49</v>
      </c>
      <c r="AL31" s="72">
        <f t="shared" si="38"/>
        <v>2890.8500000000004</v>
      </c>
      <c r="AM31" s="73">
        <f t="shared" si="6"/>
        <v>-35.781999999999243</v>
      </c>
      <c r="AN31" s="80">
        <f t="shared" si="39"/>
        <v>9.0035040000000208</v>
      </c>
      <c r="AO31" s="80">
        <f t="shared" si="40"/>
        <v>-11.746515000000272</v>
      </c>
      <c r="AP31" s="75">
        <f t="shared" si="34"/>
        <v>-4.9504345905576341E-3</v>
      </c>
      <c r="AQ31" s="76">
        <f t="shared" si="8"/>
        <v>808.50003485290699</v>
      </c>
      <c r="AR31" s="90">
        <f t="shared" si="9"/>
        <v>-35.781999999999243</v>
      </c>
    </row>
    <row r="32" spans="1:49" x14ac:dyDescent="0.25">
      <c r="A32" t="str">
        <f t="shared" si="10"/>
        <v>46218M</v>
      </c>
      <c r="B32" s="51">
        <f t="shared" si="25"/>
        <v>46218</v>
      </c>
      <c r="C32" s="52" t="s">
        <v>87</v>
      </c>
      <c r="D32" s="91">
        <v>34010</v>
      </c>
      <c r="E32" s="62">
        <v>4.9000000000000004</v>
      </c>
      <c r="F32" s="62">
        <v>8.5</v>
      </c>
      <c r="G32" s="62">
        <f t="shared" si="0"/>
        <v>1666.49</v>
      </c>
      <c r="H32" s="72">
        <f t="shared" si="11"/>
        <v>2890.8500000000004</v>
      </c>
      <c r="I32" s="118">
        <v>3279.5000000000009</v>
      </c>
      <c r="J32" s="119">
        <v>3377.8850000000011</v>
      </c>
      <c r="K32" s="120">
        <v>4.6776551303552365</v>
      </c>
      <c r="L32" s="121">
        <v>8.398319865833205</v>
      </c>
      <c r="M32" s="58" t="s">
        <v>204</v>
      </c>
      <c r="N32" s="58" t="s">
        <v>593</v>
      </c>
      <c r="O32" s="59">
        <v>3770</v>
      </c>
      <c r="P32" s="56">
        <v>5.6</v>
      </c>
      <c r="Q32" s="60">
        <v>8.6</v>
      </c>
      <c r="R32" s="61">
        <f t="shared" si="12"/>
        <v>7147.8850000000011</v>
      </c>
      <c r="S32" s="62">
        <f t="shared" si="13"/>
        <v>369.125811</v>
      </c>
      <c r="T32" s="63">
        <f t="shared" si="14"/>
        <v>607.90558699999997</v>
      </c>
      <c r="U32" s="64" t="s">
        <v>206</v>
      </c>
      <c r="V32" s="65" t="s">
        <v>597</v>
      </c>
      <c r="W32" s="66" t="s">
        <v>184</v>
      </c>
      <c r="X32" s="67">
        <v>8220</v>
      </c>
      <c r="Y32" s="68">
        <v>4.63</v>
      </c>
      <c r="Z32" s="68">
        <v>8.4700000000000006</v>
      </c>
      <c r="AA32" s="62">
        <f t="shared" si="26"/>
        <v>380.58600000000001</v>
      </c>
      <c r="AB32" s="63">
        <f t="shared" si="27"/>
        <v>696.23400000000004</v>
      </c>
      <c r="AC32" s="69">
        <v>8140</v>
      </c>
      <c r="AD32" s="70">
        <v>4.5999999999999996</v>
      </c>
      <c r="AE32" s="70">
        <v>8.4499999999999993</v>
      </c>
      <c r="AF32" s="62">
        <f t="shared" ref="AF32:AF36" si="41">AC32*AD32%</f>
        <v>374.44</v>
      </c>
      <c r="AG32" s="63">
        <f t="shared" ref="AG32:AG36" si="42">AC32*AE32%</f>
        <v>687.82999999999993</v>
      </c>
      <c r="AH32" s="89">
        <v>32980</v>
      </c>
      <c r="AI32" s="66">
        <v>5.05</v>
      </c>
      <c r="AJ32" s="66">
        <v>8.5</v>
      </c>
      <c r="AK32" s="62">
        <f t="shared" si="37"/>
        <v>1665.4899999999998</v>
      </c>
      <c r="AL32" s="72">
        <f t="shared" si="38"/>
        <v>2803.3</v>
      </c>
      <c r="AM32" s="73">
        <f t="shared" si="6"/>
        <v>37.885000000002037</v>
      </c>
      <c r="AN32" s="80">
        <f t="shared" si="39"/>
        <v>-4.3141889999997147</v>
      </c>
      <c r="AO32" s="80">
        <f t="shared" si="40"/>
        <v>7.6255870000004506</v>
      </c>
      <c r="AP32" s="75">
        <f t="shared" si="34"/>
        <v>3.3892442011374704E-3</v>
      </c>
      <c r="AQ32" s="76">
        <f t="shared" si="8"/>
        <v>210.68719369629298</v>
      </c>
      <c r="AR32" s="90">
        <f t="shared" si="9"/>
        <v>-42.114999999997963</v>
      </c>
    </row>
    <row r="33" spans="1:49" x14ac:dyDescent="0.25">
      <c r="A33" t="str">
        <f t="shared" si="10"/>
        <v>46218E</v>
      </c>
      <c r="B33" s="51">
        <f t="shared" si="25"/>
        <v>46218</v>
      </c>
      <c r="C33" s="52" t="s">
        <v>88</v>
      </c>
      <c r="D33" s="91">
        <v>32980</v>
      </c>
      <c r="E33" s="62">
        <v>5.05</v>
      </c>
      <c r="F33" s="62">
        <v>8.5</v>
      </c>
      <c r="G33" s="62">
        <f t="shared" si="0"/>
        <v>1665.4899999999998</v>
      </c>
      <c r="H33" s="72">
        <f t="shared" si="11"/>
        <v>2803.3</v>
      </c>
      <c r="I33" s="118">
        <v>5400.7000000000007</v>
      </c>
      <c r="J33" s="119">
        <v>5562.7210000000005</v>
      </c>
      <c r="K33" s="120">
        <v>4.2682485603718048</v>
      </c>
      <c r="L33" s="121">
        <v>8.3462106763937989</v>
      </c>
      <c r="M33" s="58">
        <v>0</v>
      </c>
      <c r="N33" s="58" t="s">
        <v>167</v>
      </c>
      <c r="O33" s="59">
        <v>0</v>
      </c>
      <c r="P33" s="56">
        <v>0</v>
      </c>
      <c r="Q33" s="60">
        <v>0</v>
      </c>
      <c r="R33" s="61">
        <f t="shared" si="12"/>
        <v>5562.7210000000005</v>
      </c>
      <c r="S33" s="62">
        <f t="shared" si="13"/>
        <v>237.43075900000008</v>
      </c>
      <c r="T33" s="63">
        <f t="shared" si="14"/>
        <v>464.27641399999993</v>
      </c>
      <c r="U33" s="64" t="s">
        <v>205</v>
      </c>
      <c r="V33" s="65" t="s">
        <v>598</v>
      </c>
      <c r="W33" s="66" t="s">
        <v>184</v>
      </c>
      <c r="X33" s="67">
        <v>8550</v>
      </c>
      <c r="Y33" s="68">
        <v>4.7300000000000004</v>
      </c>
      <c r="Z33" s="68">
        <v>8.69</v>
      </c>
      <c r="AA33" s="62">
        <f t="shared" si="26"/>
        <v>404.41500000000002</v>
      </c>
      <c r="AB33" s="63">
        <f t="shared" si="27"/>
        <v>742.99499999999989</v>
      </c>
      <c r="AC33" s="69">
        <v>8590</v>
      </c>
      <c r="AD33" s="70">
        <v>4.6789289871944115</v>
      </c>
      <c r="AE33" s="70">
        <v>8.5957857974388823</v>
      </c>
      <c r="AF33" s="62">
        <f t="shared" si="41"/>
        <v>401.9199999999999</v>
      </c>
      <c r="AG33" s="63">
        <f t="shared" si="42"/>
        <v>738.37799999999993</v>
      </c>
      <c r="AH33" s="89">
        <v>29960</v>
      </c>
      <c r="AI33" s="66">
        <v>5</v>
      </c>
      <c r="AJ33" s="66">
        <v>8.5</v>
      </c>
      <c r="AK33" s="62">
        <f t="shared" si="37"/>
        <v>1498</v>
      </c>
      <c r="AL33" s="72">
        <f t="shared" si="38"/>
        <v>2546.6000000000004</v>
      </c>
      <c r="AM33" s="73">
        <f t="shared" si="6"/>
        <v>-7.2790000000022701</v>
      </c>
      <c r="AN33" s="80">
        <f t="shared" si="39"/>
        <v>3.0007590000000164</v>
      </c>
      <c r="AO33" s="80">
        <f t="shared" si="40"/>
        <v>-17.401585999999952</v>
      </c>
      <c r="AP33" s="75">
        <f t="shared" si="34"/>
        <v>-2.0522559201486081E-2</v>
      </c>
      <c r="AQ33" s="76">
        <f t="shared" si="8"/>
        <v>-3769.6577257087883</v>
      </c>
      <c r="AR33" s="90">
        <f t="shared" si="9"/>
        <v>32.72099999999773</v>
      </c>
    </row>
    <row r="34" spans="1:49" x14ac:dyDescent="0.25">
      <c r="A34" t="str">
        <f t="shared" si="10"/>
        <v>46219M</v>
      </c>
      <c r="B34" s="51">
        <f t="shared" si="25"/>
        <v>46219</v>
      </c>
      <c r="C34" s="52" t="s">
        <v>87</v>
      </c>
      <c r="D34" s="91">
        <v>29960</v>
      </c>
      <c r="E34" s="62">
        <v>5</v>
      </c>
      <c r="F34" s="62">
        <v>8.5</v>
      </c>
      <c r="G34" s="62">
        <f t="shared" si="0"/>
        <v>1498</v>
      </c>
      <c r="H34" s="72">
        <f t="shared" si="11"/>
        <v>2546.6000000000004</v>
      </c>
      <c r="I34" s="118">
        <v>4004.2999999999984</v>
      </c>
      <c r="J34" s="119">
        <v>4124.4289999999983</v>
      </c>
      <c r="K34" s="120">
        <v>4.6732512549009826</v>
      </c>
      <c r="L34" s="121">
        <v>8.3691206952526045</v>
      </c>
      <c r="M34" s="58">
        <v>0</v>
      </c>
      <c r="N34" s="58" t="s">
        <v>167</v>
      </c>
      <c r="O34" s="59">
        <v>0</v>
      </c>
      <c r="P34" s="56">
        <v>0</v>
      </c>
      <c r="Q34" s="60">
        <v>0</v>
      </c>
      <c r="R34" s="61">
        <f t="shared" si="12"/>
        <v>4124.4289999999983</v>
      </c>
      <c r="S34" s="62">
        <f t="shared" si="13"/>
        <v>192.74492999999998</v>
      </c>
      <c r="T34" s="63">
        <f t="shared" si="14"/>
        <v>345.17844099999991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6"/>
        <v>0</v>
      </c>
      <c r="AB34" s="63">
        <f t="shared" si="27"/>
        <v>0</v>
      </c>
      <c r="AC34" s="69"/>
      <c r="AD34" s="70"/>
      <c r="AE34" s="70"/>
      <c r="AF34" s="62">
        <f t="shared" si="41"/>
        <v>0</v>
      </c>
      <c r="AG34" s="63">
        <f t="shared" si="42"/>
        <v>0</v>
      </c>
      <c r="AH34" s="89">
        <v>34100</v>
      </c>
      <c r="AI34" s="66">
        <v>4.95</v>
      </c>
      <c r="AJ34" s="66">
        <v>8.5</v>
      </c>
      <c r="AK34" s="62">
        <f t="shared" si="37"/>
        <v>1687.95</v>
      </c>
      <c r="AL34" s="72">
        <f t="shared" si="38"/>
        <v>2898.5</v>
      </c>
      <c r="AM34" s="73">
        <f t="shared" si="6"/>
        <v>-15.571000000003551</v>
      </c>
      <c r="AN34" s="80">
        <f t="shared" si="39"/>
        <v>2.7949300000000221</v>
      </c>
      <c r="AO34" s="80">
        <f t="shared" si="40"/>
        <v>-6.7215589999996155</v>
      </c>
      <c r="AP34" s="75">
        <f t="shared" si="34"/>
        <v>-7.2996066199912226E-3</v>
      </c>
      <c r="AQ34" s="76">
        <f t="shared" si="8"/>
        <v>-669.99225176522691</v>
      </c>
      <c r="AR34" s="90">
        <f t="shared" si="9"/>
        <v>-15.571000000003551</v>
      </c>
    </row>
    <row r="35" spans="1:49" x14ac:dyDescent="0.25">
      <c r="A35" t="str">
        <f t="shared" si="10"/>
        <v>46219E</v>
      </c>
      <c r="B35" s="51">
        <f t="shared" si="25"/>
        <v>46219</v>
      </c>
      <c r="C35" s="52" t="s">
        <v>88</v>
      </c>
      <c r="D35" s="91">
        <v>34100</v>
      </c>
      <c r="E35" s="62">
        <v>4.95</v>
      </c>
      <c r="F35" s="62">
        <v>8.5</v>
      </c>
      <c r="G35" s="62">
        <f t="shared" si="0"/>
        <v>1687.95</v>
      </c>
      <c r="H35" s="72">
        <f t="shared" si="11"/>
        <v>2898.5</v>
      </c>
      <c r="I35" s="118">
        <v>5893.699999999998</v>
      </c>
      <c r="J35" s="119">
        <v>6070.5109999999977</v>
      </c>
      <c r="K35" s="120">
        <v>4.3926124505828268</v>
      </c>
      <c r="L35" s="121">
        <v>8.349193206305042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2"/>
        <v>6070.5109999999977</v>
      </c>
      <c r="S35" s="62">
        <f t="shared" si="13"/>
        <v>266.65402199999994</v>
      </c>
      <c r="T35" s="63">
        <f t="shared" si="14"/>
        <v>506.83869200000004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26"/>
        <v>0</v>
      </c>
      <c r="AB35" s="63">
        <f t="shared" si="27"/>
        <v>0</v>
      </c>
      <c r="AC35" s="69"/>
      <c r="AD35" s="70"/>
      <c r="AE35" s="70"/>
      <c r="AF35" s="62">
        <f t="shared" si="41"/>
        <v>0</v>
      </c>
      <c r="AG35" s="63">
        <f t="shared" si="42"/>
        <v>0</v>
      </c>
      <c r="AH35" s="89">
        <v>40190</v>
      </c>
      <c r="AI35" s="66">
        <v>4.8499999999999996</v>
      </c>
      <c r="AJ35" s="66">
        <v>8.5</v>
      </c>
      <c r="AK35" s="62">
        <f t="shared" si="37"/>
        <v>1949.2149999999997</v>
      </c>
      <c r="AL35" s="72">
        <f t="shared" si="38"/>
        <v>3416.15</v>
      </c>
      <c r="AM35" s="73">
        <f t="shared" si="6"/>
        <v>-19.489000000001397</v>
      </c>
      <c r="AN35" s="80">
        <f t="shared" si="39"/>
        <v>5.3890220000002955</v>
      </c>
      <c r="AO35" s="80">
        <f t="shared" si="40"/>
        <v>-10.811307999999826</v>
      </c>
      <c r="AP35" s="75">
        <f t="shared" si="34"/>
        <v>-7.0101319661551855E-3</v>
      </c>
      <c r="AQ35" s="76">
        <f t="shared" si="8"/>
        <v>-648.29003380713129</v>
      </c>
      <c r="AR35" s="90">
        <f t="shared" si="9"/>
        <v>-19.489000000001397</v>
      </c>
      <c r="AS35" s="90">
        <f>SUM(J22:J35)</f>
        <v>57345.352999999996</v>
      </c>
      <c r="AT35" s="83">
        <f>SUM(AM22:AM35)</f>
        <v>45.352999999995518</v>
      </c>
      <c r="AU35" s="83">
        <f>SUM(AN22:AN35)</f>
        <v>-10.979117999999971</v>
      </c>
      <c r="AV35" s="83">
        <f>SUM(AO22:AO35)</f>
        <v>-13.366620999999896</v>
      </c>
      <c r="AW35" s="83">
        <f>-SUM(AQ22:AQ35)</f>
        <v>9279.0075230565417</v>
      </c>
    </row>
    <row r="36" spans="1:49" x14ac:dyDescent="0.25">
      <c r="A36" t="str">
        <f t="shared" si="10"/>
        <v>46220M</v>
      </c>
      <c r="B36" s="51">
        <f t="shared" si="25"/>
        <v>46220</v>
      </c>
      <c r="C36" s="98" t="s">
        <v>87</v>
      </c>
      <c r="D36" s="91">
        <v>40190</v>
      </c>
      <c r="E36" s="62">
        <v>4.8499999999999996</v>
      </c>
      <c r="F36" s="62">
        <v>8.5</v>
      </c>
      <c r="G36" s="62">
        <f t="shared" ref="G36:G65" si="43">+D36*E36%</f>
        <v>1949.2149999999997</v>
      </c>
      <c r="H36" s="72">
        <f t="shared" si="11"/>
        <v>3416.15</v>
      </c>
      <c r="I36" s="118">
        <v>2963.2999999999997</v>
      </c>
      <c r="J36" s="119">
        <v>3052.1989999999996</v>
      </c>
      <c r="K36" s="120">
        <v>4.8319204940438025</v>
      </c>
      <c r="L36" s="121">
        <v>8.4015050787972836</v>
      </c>
      <c r="M36" s="58" t="s">
        <v>204</v>
      </c>
      <c r="N36" s="58" t="s">
        <v>594</v>
      </c>
      <c r="O36" s="59">
        <v>3890</v>
      </c>
      <c r="P36" s="56">
        <v>5.5</v>
      </c>
      <c r="Q36" s="60">
        <v>8.6</v>
      </c>
      <c r="R36" s="61">
        <f t="shared" si="12"/>
        <v>6942.1989999999996</v>
      </c>
      <c r="S36" s="62">
        <f t="shared" si="13"/>
        <v>361.42982899999993</v>
      </c>
      <c r="T36" s="63">
        <f t="shared" si="14"/>
        <v>590.97065399999985</v>
      </c>
      <c r="U36" s="64" t="s">
        <v>206</v>
      </c>
      <c r="V36" s="85" t="s">
        <v>658</v>
      </c>
      <c r="W36" s="66" t="s">
        <v>184</v>
      </c>
      <c r="X36" s="67">
        <v>8220</v>
      </c>
      <c r="Y36" s="68">
        <v>4.5000000000000009</v>
      </c>
      <c r="Z36" s="68">
        <v>8.625</v>
      </c>
      <c r="AA36" s="62">
        <f t="shared" si="26"/>
        <v>369.90000000000009</v>
      </c>
      <c r="AB36" s="63">
        <f t="shared" si="27"/>
        <v>708.97499999999991</v>
      </c>
      <c r="AC36" s="69">
        <v>8160</v>
      </c>
      <c r="AD36" s="70">
        <v>4.45</v>
      </c>
      <c r="AE36" s="70">
        <v>8.5500000000000007</v>
      </c>
      <c r="AF36" s="62">
        <f t="shared" si="41"/>
        <v>363.12000000000006</v>
      </c>
      <c r="AG36" s="63">
        <f t="shared" si="42"/>
        <v>697.68000000000006</v>
      </c>
      <c r="AH36" s="89">
        <v>38900</v>
      </c>
      <c r="AI36" s="66">
        <v>5</v>
      </c>
      <c r="AJ36" s="66">
        <v>8.5</v>
      </c>
      <c r="AK36" s="62">
        <f t="shared" si="37"/>
        <v>1945</v>
      </c>
      <c r="AL36" s="72">
        <f t="shared" si="38"/>
        <v>3306.5000000000005</v>
      </c>
      <c r="AM36" s="73">
        <f t="shared" ref="AM36:AM65" si="44">+D36+R36-AC36-AH36</f>
        <v>72.199000000000524</v>
      </c>
      <c r="AN36" s="80">
        <f t="shared" ref="AN36:AO36" si="45">+G36+S36-AF36-AK36</f>
        <v>2.5248289999997269</v>
      </c>
      <c r="AO36" s="80">
        <f t="shared" si="45"/>
        <v>2.9406539999995402</v>
      </c>
      <c r="AP36" s="75">
        <f t="shared" si="34"/>
        <v>5.7386394668588886E-3</v>
      </c>
      <c r="AQ36" s="76">
        <f t="shared" si="8"/>
        <v>2093.9622024543405</v>
      </c>
      <c r="AR36" s="90">
        <f t="shared" ref="AR36:AR65" si="46">(D36+J36+O36)-(X36+AH36)</f>
        <v>12.199000000000524</v>
      </c>
    </row>
    <row r="37" spans="1:49" x14ac:dyDescent="0.25">
      <c r="A37" t="str">
        <f t="shared" si="10"/>
        <v>46220E</v>
      </c>
      <c r="B37" s="51">
        <f t="shared" si="25"/>
        <v>46220</v>
      </c>
      <c r="C37" s="52" t="s">
        <v>88</v>
      </c>
      <c r="D37" s="91">
        <v>38900</v>
      </c>
      <c r="E37" s="62">
        <v>5</v>
      </c>
      <c r="F37" s="62">
        <v>8.5</v>
      </c>
      <c r="G37" s="62">
        <f t="shared" si="43"/>
        <v>1945</v>
      </c>
      <c r="H37" s="72">
        <f t="shared" ref="H37:H65" si="47">+D37*F37%</f>
        <v>3306.5000000000005</v>
      </c>
      <c r="I37" s="118">
        <v>4826.2000000000016</v>
      </c>
      <c r="J37" s="119">
        <v>4970.9860000000017</v>
      </c>
      <c r="K37" s="120">
        <v>4.1906986863370781</v>
      </c>
      <c r="L37" s="121">
        <v>8.2772947660685414</v>
      </c>
      <c r="M37" s="58">
        <v>0</v>
      </c>
      <c r="N37" s="58" t="s">
        <v>167</v>
      </c>
      <c r="O37" s="59">
        <v>0</v>
      </c>
      <c r="P37" s="56">
        <v>0</v>
      </c>
      <c r="Q37" s="60">
        <v>0</v>
      </c>
      <c r="R37" s="61">
        <f t="shared" si="12"/>
        <v>4970.9860000000017</v>
      </c>
      <c r="S37" s="62">
        <f t="shared" si="13"/>
        <v>208.31904500000013</v>
      </c>
      <c r="T37" s="63">
        <f t="shared" si="14"/>
        <v>411.46316400000006</v>
      </c>
      <c r="U37" s="64" t="s">
        <v>205</v>
      </c>
      <c r="V37" s="65" t="s">
        <v>659</v>
      </c>
      <c r="W37" s="66" t="s">
        <v>184</v>
      </c>
      <c r="X37" s="67">
        <v>9530</v>
      </c>
      <c r="Y37" s="68">
        <v>4.9400000000000004</v>
      </c>
      <c r="Z37" s="68">
        <v>8.7200000000000006</v>
      </c>
      <c r="AA37" s="62">
        <f t="shared" si="26"/>
        <v>470.78200000000004</v>
      </c>
      <c r="AB37" s="63">
        <f t="shared" si="27"/>
        <v>831.01599999999996</v>
      </c>
      <c r="AC37" s="224">
        <v>9530</v>
      </c>
      <c r="AD37" s="223">
        <v>4.9400000000000004</v>
      </c>
      <c r="AE37" s="223">
        <v>8.7200000000000006</v>
      </c>
      <c r="AF37" s="62">
        <f t="shared" ref="AF37:AF55" si="48">AC37*AD37%</f>
        <v>470.78200000000004</v>
      </c>
      <c r="AG37" s="63">
        <f t="shared" ref="AG37:AG55" si="49">AC37*AE37%</f>
        <v>831.01599999999996</v>
      </c>
      <c r="AH37" s="89">
        <v>34350</v>
      </c>
      <c r="AI37" s="66">
        <v>4.9000000000000004</v>
      </c>
      <c r="AJ37" s="66">
        <v>8.4</v>
      </c>
      <c r="AK37" s="62">
        <f t="shared" ref="AK37:AK49" si="50">AH37*AI37%</f>
        <v>1683.15</v>
      </c>
      <c r="AL37" s="72">
        <f t="shared" ref="AL37:AL49" si="51">AH37*AJ37%</f>
        <v>2885.4</v>
      </c>
      <c r="AM37" s="73">
        <f t="shared" si="44"/>
        <v>-9.0139999999955762</v>
      </c>
      <c r="AN37" s="80">
        <f t="shared" ref="AN37:AN49" si="52">+G37+S37-AF37-AK37</f>
        <v>-0.61295500000005632</v>
      </c>
      <c r="AO37" s="80">
        <f t="shared" ref="AO37:AO49" si="53">+H37+T37-AG37-AL37</f>
        <v>1.5471640000005209</v>
      </c>
      <c r="AP37" s="75">
        <f t="shared" si="34"/>
        <v>1.5073181940923773E-3</v>
      </c>
      <c r="AQ37" s="76">
        <f t="shared" si="8"/>
        <v>168.81701736120345</v>
      </c>
      <c r="AR37" s="90">
        <f t="shared" si="46"/>
        <v>-9.0139999999955762</v>
      </c>
    </row>
    <row r="38" spans="1:49" x14ac:dyDescent="0.25">
      <c r="A38" t="str">
        <f t="shared" si="10"/>
        <v>46221M</v>
      </c>
      <c r="B38" s="51">
        <f t="shared" si="25"/>
        <v>46221</v>
      </c>
      <c r="C38" s="52" t="s">
        <v>87</v>
      </c>
      <c r="D38" s="91">
        <v>34350</v>
      </c>
      <c r="E38" s="62">
        <v>4.9000000000000004</v>
      </c>
      <c r="F38" s="62">
        <v>8.4</v>
      </c>
      <c r="G38" s="62">
        <f t="shared" si="43"/>
        <v>1683.15</v>
      </c>
      <c r="H38" s="72">
        <f t="shared" si="47"/>
        <v>2885.4</v>
      </c>
      <c r="I38" s="118">
        <v>3530.4999999999995</v>
      </c>
      <c r="J38" s="119">
        <v>3636.4149999999995</v>
      </c>
      <c r="K38" s="120">
        <v>4.7560883727517309</v>
      </c>
      <c r="L38" s="121">
        <v>8.3952697918141865</v>
      </c>
      <c r="M38" s="58" t="s">
        <v>204</v>
      </c>
      <c r="N38" s="58" t="s">
        <v>656</v>
      </c>
      <c r="O38" s="59">
        <v>4090</v>
      </c>
      <c r="P38" s="56">
        <v>5.5</v>
      </c>
      <c r="Q38" s="60">
        <v>8.6</v>
      </c>
      <c r="R38" s="61">
        <f t="shared" si="12"/>
        <v>7726.4149999999991</v>
      </c>
      <c r="S38" s="62">
        <f t="shared" si="13"/>
        <v>397.90111099999979</v>
      </c>
      <c r="T38" s="63">
        <f t="shared" si="14"/>
        <v>657.02684999999974</v>
      </c>
      <c r="U38" s="64" t="s">
        <v>206</v>
      </c>
      <c r="V38" s="65" t="s">
        <v>660</v>
      </c>
      <c r="W38" s="66" t="s">
        <v>184</v>
      </c>
      <c r="X38" s="67">
        <v>8220</v>
      </c>
      <c r="Y38" s="68">
        <v>4.6000000000000005</v>
      </c>
      <c r="Z38" s="68">
        <v>8.58</v>
      </c>
      <c r="AA38" s="62">
        <f t="shared" si="26"/>
        <v>378.12000000000006</v>
      </c>
      <c r="AB38" s="63">
        <f t="shared" si="27"/>
        <v>705.27599999999995</v>
      </c>
      <c r="AC38" s="69">
        <v>8130</v>
      </c>
      <c r="AD38" s="70">
        <v>4.5499384993849938</v>
      </c>
      <c r="AE38" s="70">
        <v>8.5699876998769984</v>
      </c>
      <c r="AF38" s="62">
        <f t="shared" si="48"/>
        <v>369.90999999999997</v>
      </c>
      <c r="AG38" s="63">
        <f t="shared" si="49"/>
        <v>696.7399999999999</v>
      </c>
      <c r="AH38" s="89">
        <v>33920</v>
      </c>
      <c r="AI38" s="66">
        <v>5</v>
      </c>
      <c r="AJ38" s="66">
        <v>8.4499999999999993</v>
      </c>
      <c r="AK38" s="62">
        <f t="shared" si="50"/>
        <v>1696</v>
      </c>
      <c r="AL38" s="72">
        <f t="shared" si="51"/>
        <v>2866.24</v>
      </c>
      <c r="AM38" s="73">
        <f t="shared" si="44"/>
        <v>26.415000000000873</v>
      </c>
      <c r="AN38" s="80">
        <f t="shared" si="52"/>
        <v>15.14111099999991</v>
      </c>
      <c r="AO38" s="80">
        <f t="shared" si="53"/>
        <v>-20.553149999999732</v>
      </c>
      <c r="AP38" s="75">
        <f t="shared" si="34"/>
        <v>-5.13024509737099E-3</v>
      </c>
      <c r="AQ38" s="76">
        <f t="shared" si="8"/>
        <v>1120.311174188213</v>
      </c>
      <c r="AR38" s="90">
        <f t="shared" si="46"/>
        <v>-63.584999999999127</v>
      </c>
    </row>
    <row r="39" spans="1:49" x14ac:dyDescent="0.25">
      <c r="A39" t="str">
        <f t="shared" si="10"/>
        <v>46221E</v>
      </c>
      <c r="B39" s="51">
        <f t="shared" si="25"/>
        <v>46221</v>
      </c>
      <c r="C39" s="52" t="s">
        <v>88</v>
      </c>
      <c r="D39" s="91">
        <v>33920</v>
      </c>
      <c r="E39" s="62">
        <v>5</v>
      </c>
      <c r="F39" s="62">
        <v>8.4499999999999993</v>
      </c>
      <c r="G39" s="62">
        <f t="shared" si="43"/>
        <v>1696</v>
      </c>
      <c r="H39" s="72">
        <f t="shared" si="47"/>
        <v>2866.24</v>
      </c>
      <c r="I39" s="118">
        <v>4447</v>
      </c>
      <c r="J39" s="119">
        <v>4580.41</v>
      </c>
      <c r="K39" s="120">
        <v>4.271724758263999</v>
      </c>
      <c r="L39" s="121">
        <v>8.3418304474926952</v>
      </c>
      <c r="M39" s="58">
        <v>0</v>
      </c>
      <c r="N39" s="58" t="s">
        <v>167</v>
      </c>
      <c r="O39" s="59">
        <v>0</v>
      </c>
      <c r="P39" s="56">
        <v>0</v>
      </c>
      <c r="Q39" s="60">
        <v>0</v>
      </c>
      <c r="R39" s="61">
        <f t="shared" si="12"/>
        <v>4580.41</v>
      </c>
      <c r="S39" s="62">
        <f t="shared" si="13"/>
        <v>195.66250800000003</v>
      </c>
      <c r="T39" s="63">
        <f t="shared" si="14"/>
        <v>382.09003600000017</v>
      </c>
      <c r="U39" s="64" t="s">
        <v>205</v>
      </c>
      <c r="V39" s="65" t="s">
        <v>661</v>
      </c>
      <c r="W39" s="66" t="s">
        <v>184</v>
      </c>
      <c r="X39" s="67">
        <v>9530</v>
      </c>
      <c r="Y39" s="68">
        <v>4.76</v>
      </c>
      <c r="Z39" s="68">
        <v>8.7200000000000006</v>
      </c>
      <c r="AA39" s="62">
        <f t="shared" si="26"/>
        <v>453.62799999999999</v>
      </c>
      <c r="AB39" s="63">
        <f t="shared" si="27"/>
        <v>831.01599999999996</v>
      </c>
      <c r="AC39" s="69">
        <v>9480</v>
      </c>
      <c r="AD39" s="70">
        <v>4.7101265822784812</v>
      </c>
      <c r="AE39" s="70">
        <v>8.6020253164556966</v>
      </c>
      <c r="AF39" s="62">
        <f t="shared" si="48"/>
        <v>446.52000000000004</v>
      </c>
      <c r="AG39" s="63">
        <f t="shared" si="49"/>
        <v>815.47200000000009</v>
      </c>
      <c r="AH39" s="89">
        <v>29030</v>
      </c>
      <c r="AI39" s="66">
        <v>4.9000000000000004</v>
      </c>
      <c r="AJ39" s="66">
        <v>8.5</v>
      </c>
      <c r="AK39" s="62">
        <f t="shared" si="50"/>
        <v>1422.47</v>
      </c>
      <c r="AL39" s="72">
        <f t="shared" si="51"/>
        <v>2467.5500000000002</v>
      </c>
      <c r="AM39" s="73">
        <f t="shared" si="44"/>
        <v>-9.5899999999965075</v>
      </c>
      <c r="AN39" s="80">
        <f t="shared" si="52"/>
        <v>22.672508000000107</v>
      </c>
      <c r="AO39" s="80">
        <f t="shared" si="53"/>
        <v>-34.691964000000553</v>
      </c>
      <c r="AP39" s="75">
        <f t="shared" si="34"/>
        <v>-2.0803813197922402E-2</v>
      </c>
      <c r="AQ39" s="76">
        <f t="shared" si="8"/>
        <v>504.94363068828716</v>
      </c>
      <c r="AR39" s="90">
        <f t="shared" si="46"/>
        <v>-59.589999999996508</v>
      </c>
    </row>
    <row r="40" spans="1:49" x14ac:dyDescent="0.25">
      <c r="A40" t="str">
        <f t="shared" si="10"/>
        <v>46222M</v>
      </c>
      <c r="B40" s="51">
        <f t="shared" si="25"/>
        <v>46222</v>
      </c>
      <c r="C40" s="52" t="s">
        <v>87</v>
      </c>
      <c r="D40" s="91">
        <v>29030</v>
      </c>
      <c r="E40" s="62">
        <v>4.9000000000000004</v>
      </c>
      <c r="F40" s="62">
        <v>8.5</v>
      </c>
      <c r="G40" s="62">
        <f t="shared" si="43"/>
        <v>1422.47</v>
      </c>
      <c r="H40" s="72">
        <f t="shared" si="47"/>
        <v>2467.5500000000002</v>
      </c>
      <c r="I40" s="118">
        <v>3647.0000000000005</v>
      </c>
      <c r="J40" s="119">
        <v>3756.4100000000008</v>
      </c>
      <c r="K40" s="120">
        <v>4.5198162873594736</v>
      </c>
      <c r="L40" s="121">
        <v>8.3140032903756538</v>
      </c>
      <c r="M40" s="58" t="s">
        <v>450</v>
      </c>
      <c r="N40" s="58" t="s">
        <v>659</v>
      </c>
      <c r="O40" s="59">
        <v>9530</v>
      </c>
      <c r="P40" s="56">
        <v>4.9400000000000004</v>
      </c>
      <c r="Q40" s="60">
        <v>8.7200000000000006</v>
      </c>
      <c r="R40" s="61">
        <f t="shared" si="12"/>
        <v>13286.41</v>
      </c>
      <c r="S40" s="62">
        <f t="shared" si="13"/>
        <v>640.56483100000014</v>
      </c>
      <c r="T40" s="63">
        <f t="shared" si="14"/>
        <v>1143.3240510000001</v>
      </c>
      <c r="U40" s="64" t="s">
        <v>723</v>
      </c>
      <c r="V40" s="65" t="s">
        <v>724</v>
      </c>
      <c r="W40" s="66" t="s">
        <v>184</v>
      </c>
      <c r="X40" s="67">
        <v>19130</v>
      </c>
      <c r="Y40" s="68">
        <v>4.8</v>
      </c>
      <c r="Z40" s="68">
        <v>8.6199999999999992</v>
      </c>
      <c r="AA40" s="62">
        <f t="shared" si="26"/>
        <v>918.24</v>
      </c>
      <c r="AB40" s="63">
        <f t="shared" si="27"/>
        <v>1649.0060000000001</v>
      </c>
      <c r="AC40" s="69">
        <v>18950</v>
      </c>
      <c r="AD40" s="70">
        <v>4.7452242744063327</v>
      </c>
      <c r="AE40" s="70">
        <v>8.5441477572559368</v>
      </c>
      <c r="AF40" s="62">
        <f t="shared" si="48"/>
        <v>899.22</v>
      </c>
      <c r="AG40" s="63">
        <f t="shared" si="49"/>
        <v>1619.116</v>
      </c>
      <c r="AH40" s="89">
        <v>23350</v>
      </c>
      <c r="AI40" s="66">
        <v>5</v>
      </c>
      <c r="AJ40" s="66">
        <v>8.5</v>
      </c>
      <c r="AK40" s="62">
        <f t="shared" si="50"/>
        <v>1167.5</v>
      </c>
      <c r="AL40" s="72">
        <f t="shared" si="51"/>
        <v>1984.7500000000002</v>
      </c>
      <c r="AM40" s="73">
        <f t="shared" si="44"/>
        <v>16.410000000003492</v>
      </c>
      <c r="AN40" s="80">
        <f t="shared" si="52"/>
        <v>-3.6851690000000872</v>
      </c>
      <c r="AO40" s="80">
        <f t="shared" si="53"/>
        <v>7.0080510000000231</v>
      </c>
      <c r="AP40" s="75">
        <f t="shared" si="34"/>
        <v>1.8627180389590744E-3</v>
      </c>
      <c r="AQ40" s="76">
        <f t="shared" si="8"/>
        <v>328.00524166970445</v>
      </c>
      <c r="AR40" s="90">
        <f t="shared" si="46"/>
        <v>-163.58999999999651</v>
      </c>
    </row>
    <row r="41" spans="1:49" x14ac:dyDescent="0.25">
      <c r="A41" t="str">
        <f t="shared" si="10"/>
        <v>46222E</v>
      </c>
      <c r="B41" s="51">
        <f t="shared" si="25"/>
        <v>46222</v>
      </c>
      <c r="C41" s="52" t="s">
        <v>88</v>
      </c>
      <c r="D41" s="91">
        <v>23350</v>
      </c>
      <c r="E41" s="62">
        <v>5</v>
      </c>
      <c r="F41" s="62">
        <v>8.5</v>
      </c>
      <c r="G41" s="62">
        <f t="shared" si="43"/>
        <v>1167.5</v>
      </c>
      <c r="H41" s="72">
        <f t="shared" si="47"/>
        <v>1984.7500000000002</v>
      </c>
      <c r="I41" s="118">
        <v>5642.199999999998</v>
      </c>
      <c r="J41" s="119">
        <v>5811.4659999999985</v>
      </c>
      <c r="K41" s="120">
        <v>4.766424444365672</v>
      </c>
      <c r="L41" s="121">
        <v>8.6005653822976882</v>
      </c>
      <c r="M41" s="58" t="s">
        <v>204</v>
      </c>
      <c r="N41" s="58" t="s">
        <v>657</v>
      </c>
      <c r="O41" s="59">
        <v>3830</v>
      </c>
      <c r="P41" s="56">
        <v>5.7</v>
      </c>
      <c r="Q41" s="60">
        <v>8.6999999999999993</v>
      </c>
      <c r="R41" s="61">
        <f t="shared" si="12"/>
        <v>9641.4659999999985</v>
      </c>
      <c r="S41" s="62">
        <f t="shared" si="13"/>
        <v>495.30913599999985</v>
      </c>
      <c r="T41" s="63">
        <f t="shared" si="14"/>
        <v>833.02893300000005</v>
      </c>
      <c r="U41" s="64" t="s">
        <v>206</v>
      </c>
      <c r="V41" s="65" t="s">
        <v>725</v>
      </c>
      <c r="W41" s="66" t="s">
        <v>184</v>
      </c>
      <c r="X41" s="67">
        <v>8220</v>
      </c>
      <c r="Y41" s="68">
        <v>4.9499999999999993</v>
      </c>
      <c r="Z41" s="68">
        <v>8.7200000000000006</v>
      </c>
      <c r="AA41" s="62">
        <f t="shared" si="26"/>
        <v>406.89</v>
      </c>
      <c r="AB41" s="63">
        <f t="shared" si="27"/>
        <v>716.78399999999999</v>
      </c>
      <c r="AC41" s="224">
        <v>8220</v>
      </c>
      <c r="AD41" s="223">
        <v>4.95</v>
      </c>
      <c r="AE41" s="223">
        <v>8.7200000000000006</v>
      </c>
      <c r="AF41" s="62">
        <f t="shared" si="48"/>
        <v>406.89000000000004</v>
      </c>
      <c r="AG41" s="63">
        <f t="shared" si="49"/>
        <v>716.78399999999999</v>
      </c>
      <c r="AH41" s="89">
        <v>24787</v>
      </c>
      <c r="AI41" s="66">
        <v>5.0999999999999996</v>
      </c>
      <c r="AJ41" s="66">
        <v>8.4</v>
      </c>
      <c r="AK41" s="62">
        <f t="shared" si="50"/>
        <v>1264.1369999999999</v>
      </c>
      <c r="AL41" s="72">
        <f t="shared" si="51"/>
        <v>2082.1080000000002</v>
      </c>
      <c r="AM41" s="73">
        <f t="shared" si="44"/>
        <v>-15.533999999999651</v>
      </c>
      <c r="AN41" s="80">
        <f t="shared" si="52"/>
        <v>-8.2178640000001906</v>
      </c>
      <c r="AO41" s="80">
        <f t="shared" si="53"/>
        <v>18.886933000000226</v>
      </c>
      <c r="AP41" s="75">
        <f t="shared" si="34"/>
        <v>8.0318928208027111E-3</v>
      </c>
      <c r="AQ41" s="76">
        <f t="shared" si="8"/>
        <v>1707.5171782707516</v>
      </c>
      <c r="AR41" s="90">
        <f t="shared" si="46"/>
        <v>-15.533999999999651</v>
      </c>
    </row>
    <row r="42" spans="1:49" x14ac:dyDescent="0.25">
      <c r="A42" t="str">
        <f t="shared" si="10"/>
        <v>46223M</v>
      </c>
      <c r="B42" s="51">
        <f t="shared" si="25"/>
        <v>46223</v>
      </c>
      <c r="C42" s="52" t="s">
        <v>87</v>
      </c>
      <c r="D42" s="91">
        <v>24787</v>
      </c>
      <c r="E42" s="62">
        <v>5.0999999999999996</v>
      </c>
      <c r="F42" s="62">
        <v>8.4</v>
      </c>
      <c r="G42" s="62">
        <f t="shared" si="43"/>
        <v>1264.1369999999999</v>
      </c>
      <c r="H42" s="72">
        <f t="shared" si="47"/>
        <v>2082.1080000000002</v>
      </c>
      <c r="I42" s="118">
        <v>5255.9000000000005</v>
      </c>
      <c r="J42" s="119">
        <v>5413.5770000000011</v>
      </c>
      <c r="K42" s="120">
        <v>4.8659525485644721</v>
      </c>
      <c r="L42" s="121">
        <v>8.5511177914343879</v>
      </c>
      <c r="M42" s="58">
        <v>0</v>
      </c>
      <c r="N42" s="58" t="s">
        <v>167</v>
      </c>
      <c r="O42" s="59">
        <v>0</v>
      </c>
      <c r="P42" s="56">
        <v>0</v>
      </c>
      <c r="Q42" s="60">
        <v>0</v>
      </c>
      <c r="R42" s="61">
        <f t="shared" si="12"/>
        <v>5413.5770000000011</v>
      </c>
      <c r="S42" s="62">
        <f t="shared" si="13"/>
        <v>263.42208800000014</v>
      </c>
      <c r="T42" s="63">
        <f t="shared" si="14"/>
        <v>462.92134600000003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26"/>
        <v>0</v>
      </c>
      <c r="AB42" s="63">
        <f t="shared" si="27"/>
        <v>0</v>
      </c>
      <c r="AC42" s="69"/>
      <c r="AD42" s="70"/>
      <c r="AE42" s="70"/>
      <c r="AF42" s="62">
        <f t="shared" si="48"/>
        <v>0</v>
      </c>
      <c r="AG42" s="63">
        <f t="shared" si="49"/>
        <v>0</v>
      </c>
      <c r="AH42" s="89">
        <v>30217</v>
      </c>
      <c r="AI42" s="66">
        <v>5</v>
      </c>
      <c r="AJ42" s="66">
        <v>8.5</v>
      </c>
      <c r="AK42" s="62">
        <f t="shared" si="50"/>
        <v>1510.8500000000001</v>
      </c>
      <c r="AL42" s="72">
        <f t="shared" si="51"/>
        <v>2568.4450000000002</v>
      </c>
      <c r="AM42" s="73">
        <f t="shared" si="44"/>
        <v>-16.422999999998865</v>
      </c>
      <c r="AN42" s="80">
        <f t="shared" si="52"/>
        <v>16.709087999999838</v>
      </c>
      <c r="AO42" s="80">
        <f t="shared" si="53"/>
        <v>-23.415653999999904</v>
      </c>
      <c r="AP42" s="75">
        <f t="shared" si="34"/>
        <v>-9.2333263936410347E-3</v>
      </c>
      <c r="AQ42" s="76">
        <f t="shared" si="8"/>
        <v>1016.4806902084392</v>
      </c>
      <c r="AR42" s="90">
        <f t="shared" si="46"/>
        <v>-16.422999999998865</v>
      </c>
    </row>
    <row r="43" spans="1:49" x14ac:dyDescent="0.25">
      <c r="A43" t="str">
        <f t="shared" si="10"/>
        <v>46223E</v>
      </c>
      <c r="B43" s="51">
        <f t="shared" si="25"/>
        <v>46223</v>
      </c>
      <c r="C43" s="52" t="s">
        <v>88</v>
      </c>
      <c r="D43" s="91">
        <v>30217</v>
      </c>
      <c r="E43" s="62">
        <v>5</v>
      </c>
      <c r="F43" s="62">
        <v>8.5</v>
      </c>
      <c r="G43" s="62">
        <f t="shared" si="43"/>
        <v>1510.8500000000001</v>
      </c>
      <c r="H43" s="72">
        <f t="shared" si="47"/>
        <v>2568.4450000000002</v>
      </c>
      <c r="I43" s="118">
        <v>4173.7999999999993</v>
      </c>
      <c r="J43" s="119">
        <v>4299.0139999999992</v>
      </c>
      <c r="K43" s="120">
        <v>4.4356270065647614</v>
      </c>
      <c r="L43" s="121">
        <v>8.3420623891897083</v>
      </c>
      <c r="M43" s="58">
        <v>0</v>
      </c>
      <c r="N43" s="58" t="s">
        <v>167</v>
      </c>
      <c r="O43" s="59">
        <v>0</v>
      </c>
      <c r="P43" s="56">
        <v>0</v>
      </c>
      <c r="Q43" s="60">
        <v>0</v>
      </c>
      <c r="R43" s="61">
        <f t="shared" si="12"/>
        <v>4299.0139999999992</v>
      </c>
      <c r="S43" s="62">
        <f t="shared" si="13"/>
        <v>190.68822599999999</v>
      </c>
      <c r="T43" s="63">
        <f t="shared" si="14"/>
        <v>358.62642999999997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26"/>
        <v>0</v>
      </c>
      <c r="AB43" s="63">
        <f t="shared" si="27"/>
        <v>0</v>
      </c>
      <c r="AC43" s="69"/>
      <c r="AD43" s="70"/>
      <c r="AE43" s="70"/>
      <c r="AF43" s="62">
        <f t="shared" si="48"/>
        <v>0</v>
      </c>
      <c r="AG43" s="63">
        <f t="shared" si="49"/>
        <v>0</v>
      </c>
      <c r="AH43" s="89">
        <v>34550</v>
      </c>
      <c r="AI43" s="66">
        <v>4.9000000000000004</v>
      </c>
      <c r="AJ43" s="66">
        <v>8.5</v>
      </c>
      <c r="AK43" s="62">
        <f t="shared" si="50"/>
        <v>1692.95</v>
      </c>
      <c r="AL43" s="72">
        <f t="shared" si="51"/>
        <v>2936.75</v>
      </c>
      <c r="AM43" s="73">
        <f t="shared" si="44"/>
        <v>-33.986000000004424</v>
      </c>
      <c r="AN43" s="80">
        <f t="shared" si="52"/>
        <v>8.588226000000077</v>
      </c>
      <c r="AO43" s="80">
        <f t="shared" si="53"/>
        <v>-9.6785700000000361</v>
      </c>
      <c r="AP43" s="75">
        <f t="shared" si="34"/>
        <v>-1.9849170017410913E-3</v>
      </c>
      <c r="AQ43" s="76">
        <f t="shared" si="8"/>
        <v>1228.2765576352576</v>
      </c>
      <c r="AR43" s="90">
        <f t="shared" si="46"/>
        <v>-33.986000000004424</v>
      </c>
    </row>
    <row r="44" spans="1:49" x14ac:dyDescent="0.25">
      <c r="A44" t="str">
        <f t="shared" si="10"/>
        <v>46224M</v>
      </c>
      <c r="B44" s="51">
        <f t="shared" si="25"/>
        <v>46224</v>
      </c>
      <c r="C44" s="52" t="s">
        <v>87</v>
      </c>
      <c r="D44" s="91">
        <v>34550</v>
      </c>
      <c r="E44" s="62">
        <v>4.9000000000000004</v>
      </c>
      <c r="F44" s="62">
        <v>8.5</v>
      </c>
      <c r="G44" s="62">
        <f t="shared" si="43"/>
        <v>1692.95</v>
      </c>
      <c r="H44" s="72">
        <f t="shared" si="47"/>
        <v>2936.75</v>
      </c>
      <c r="I44" s="118">
        <v>2978.7999999999997</v>
      </c>
      <c r="J44" s="119">
        <v>3068.1639999999998</v>
      </c>
      <c r="K44" s="120">
        <v>4.6872834698536332</v>
      </c>
      <c r="L44" s="121">
        <v>8.4610447159930153</v>
      </c>
      <c r="M44" s="58" t="s">
        <v>204</v>
      </c>
      <c r="N44" s="58" t="s">
        <v>722</v>
      </c>
      <c r="O44" s="59">
        <v>4280</v>
      </c>
      <c r="P44" s="56">
        <v>5.5</v>
      </c>
      <c r="Q44" s="60">
        <v>8.6</v>
      </c>
      <c r="R44" s="61">
        <f t="shared" si="12"/>
        <v>7348.1639999999998</v>
      </c>
      <c r="S44" s="62">
        <f t="shared" si="13"/>
        <v>379.21354400000007</v>
      </c>
      <c r="T44" s="63">
        <f t="shared" si="14"/>
        <v>627.67872799999986</v>
      </c>
      <c r="U44" s="64" t="s">
        <v>205</v>
      </c>
      <c r="V44" s="65" t="s">
        <v>726</v>
      </c>
      <c r="W44" s="66" t="s">
        <v>184</v>
      </c>
      <c r="X44" s="67">
        <v>9050</v>
      </c>
      <c r="Y44" s="68">
        <v>4.63</v>
      </c>
      <c r="Z44" s="68">
        <v>8.7799999999999994</v>
      </c>
      <c r="AA44" s="62">
        <f t="shared" si="26"/>
        <v>419.01499999999999</v>
      </c>
      <c r="AB44" s="63">
        <f t="shared" si="27"/>
        <v>794.58999999999992</v>
      </c>
      <c r="AC44" s="69">
        <v>9320</v>
      </c>
      <c r="AD44" s="70">
        <v>4.5802575107296137</v>
      </c>
      <c r="AE44" s="70">
        <v>8.6419742489270384</v>
      </c>
      <c r="AF44" s="62">
        <f t="shared" si="48"/>
        <v>426.88</v>
      </c>
      <c r="AG44" s="63">
        <f t="shared" si="49"/>
        <v>805.43200000000002</v>
      </c>
      <c r="AH44" s="89">
        <v>32500</v>
      </c>
      <c r="AI44" s="66">
        <v>5.05</v>
      </c>
      <c r="AJ44" s="66">
        <v>8.5</v>
      </c>
      <c r="AK44" s="62">
        <f t="shared" si="50"/>
        <v>1641.2499999999998</v>
      </c>
      <c r="AL44" s="72">
        <f t="shared" si="51"/>
        <v>2762.5</v>
      </c>
      <c r="AM44" s="73">
        <f t="shared" si="44"/>
        <v>78.163999999997031</v>
      </c>
      <c r="AN44" s="80">
        <f t="shared" si="52"/>
        <v>4.0335440000001199</v>
      </c>
      <c r="AO44" s="80">
        <f t="shared" si="53"/>
        <v>-3.5032719999999244</v>
      </c>
      <c r="AP44" s="75">
        <f t="shared" si="34"/>
        <v>5.266422384461359E-4</v>
      </c>
      <c r="AQ44" s="76">
        <f t="shared" si="8"/>
        <v>889.05039335762717</v>
      </c>
      <c r="AR44" s="90">
        <f t="shared" si="46"/>
        <v>348.16399999999703</v>
      </c>
    </row>
    <row r="45" spans="1:49" x14ac:dyDescent="0.25">
      <c r="A45" t="str">
        <f t="shared" si="10"/>
        <v>46224E</v>
      </c>
      <c r="B45" s="51">
        <f t="shared" si="25"/>
        <v>46224</v>
      </c>
      <c r="C45" s="52" t="s">
        <v>88</v>
      </c>
      <c r="D45" s="91">
        <v>32500</v>
      </c>
      <c r="E45" s="62">
        <v>5.05</v>
      </c>
      <c r="F45" s="62">
        <v>8.5</v>
      </c>
      <c r="G45" s="62">
        <f t="shared" si="43"/>
        <v>1641.2499999999998</v>
      </c>
      <c r="H45" s="72">
        <f t="shared" si="47"/>
        <v>2762.5</v>
      </c>
      <c r="I45" s="118">
        <v>3699.0000000000009</v>
      </c>
      <c r="J45" s="119">
        <v>3809.9700000000012</v>
      </c>
      <c r="K45" s="120">
        <v>4.3010137875101373</v>
      </c>
      <c r="L45" s="121">
        <v>8.3375398756420616</v>
      </c>
      <c r="M45" s="58">
        <v>0</v>
      </c>
      <c r="N45" s="58" t="s">
        <v>167</v>
      </c>
      <c r="O45" s="59">
        <v>0</v>
      </c>
      <c r="P45" s="56">
        <v>0</v>
      </c>
      <c r="Q45" s="60">
        <v>0</v>
      </c>
      <c r="R45" s="61">
        <f t="shared" si="12"/>
        <v>3809.9700000000012</v>
      </c>
      <c r="S45" s="62">
        <f t="shared" si="13"/>
        <v>163.86733500000003</v>
      </c>
      <c r="T45" s="63">
        <f t="shared" si="14"/>
        <v>317.65776799999992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26"/>
        <v>0</v>
      </c>
      <c r="AB45" s="63">
        <f t="shared" si="27"/>
        <v>0</v>
      </c>
      <c r="AC45" s="69"/>
      <c r="AD45" s="70"/>
      <c r="AE45" s="70"/>
      <c r="AF45" s="62">
        <f t="shared" si="48"/>
        <v>0</v>
      </c>
      <c r="AG45" s="63">
        <f t="shared" si="49"/>
        <v>0</v>
      </c>
      <c r="AH45" s="89">
        <v>36330</v>
      </c>
      <c r="AI45" s="66">
        <v>4.95</v>
      </c>
      <c r="AJ45" s="66">
        <v>8.5</v>
      </c>
      <c r="AK45" s="62">
        <f t="shared" si="50"/>
        <v>1798.335</v>
      </c>
      <c r="AL45" s="72">
        <f t="shared" si="51"/>
        <v>3088.05</v>
      </c>
      <c r="AM45" s="73">
        <f t="shared" si="44"/>
        <v>-20.029999999998836</v>
      </c>
      <c r="AN45" s="80">
        <f t="shared" si="52"/>
        <v>6.7823349999998754</v>
      </c>
      <c r="AO45" s="80">
        <f t="shared" si="53"/>
        <v>-7.8922320000001491</v>
      </c>
      <c r="AP45" s="75">
        <f t="shared" si="34"/>
        <v>-2.3049618661319798E-3</v>
      </c>
      <c r="AQ45" s="76">
        <f t="shared" si="8"/>
        <v>895.47948494420189</v>
      </c>
      <c r="AR45" s="90">
        <f t="shared" si="46"/>
        <v>-20.029999999998836</v>
      </c>
    </row>
    <row r="46" spans="1:49" x14ac:dyDescent="0.25">
      <c r="A46" t="str">
        <f t="shared" si="10"/>
        <v>46225M</v>
      </c>
      <c r="B46" s="51">
        <f t="shared" si="25"/>
        <v>46225</v>
      </c>
      <c r="C46" s="52" t="s">
        <v>87</v>
      </c>
      <c r="D46" s="91">
        <v>36330</v>
      </c>
      <c r="E46" s="62">
        <v>4.95</v>
      </c>
      <c r="F46" s="62">
        <v>8.5</v>
      </c>
      <c r="G46" s="62">
        <f t="shared" si="43"/>
        <v>1798.335</v>
      </c>
      <c r="H46" s="72">
        <f t="shared" si="47"/>
        <v>3088.05</v>
      </c>
      <c r="I46" s="118">
        <v>3886.0999999999995</v>
      </c>
      <c r="J46" s="119">
        <v>4002.6829999999995</v>
      </c>
      <c r="K46" s="120">
        <v>4.4161653071202496</v>
      </c>
      <c r="L46" s="121">
        <v>8.3603381282005103</v>
      </c>
      <c r="M46" s="58" t="s">
        <v>450</v>
      </c>
      <c r="N46" s="58" t="s">
        <v>725</v>
      </c>
      <c r="O46" s="59">
        <v>8220</v>
      </c>
      <c r="P46" s="56">
        <v>4.95</v>
      </c>
      <c r="Q46" s="60">
        <v>8.7200000000000006</v>
      </c>
      <c r="R46" s="61">
        <f t="shared" si="12"/>
        <v>12222.682999999999</v>
      </c>
      <c r="S46" s="62">
        <f t="shared" si="13"/>
        <v>583.65509800000007</v>
      </c>
      <c r="T46" s="63">
        <f t="shared" si="14"/>
        <v>1051.4218329999999</v>
      </c>
      <c r="U46" s="64" t="s">
        <v>786</v>
      </c>
      <c r="V46" s="65" t="s">
        <v>787</v>
      </c>
      <c r="W46" s="66" t="s">
        <v>184</v>
      </c>
      <c r="X46" s="67">
        <v>9600</v>
      </c>
      <c r="Y46" s="68">
        <v>5.05</v>
      </c>
      <c r="Z46" s="68">
        <v>8.67</v>
      </c>
      <c r="AA46" s="62">
        <f t="shared" si="26"/>
        <v>484.79999999999995</v>
      </c>
      <c r="AB46" s="63">
        <f t="shared" si="27"/>
        <v>832.31999999999994</v>
      </c>
      <c r="AC46" s="69">
        <v>9610</v>
      </c>
      <c r="AD46" s="70">
        <v>5</v>
      </c>
      <c r="AE46" s="70">
        <v>8.41</v>
      </c>
      <c r="AF46" s="62">
        <f t="shared" si="48"/>
        <v>480.5</v>
      </c>
      <c r="AG46" s="63">
        <f t="shared" si="49"/>
        <v>808.20100000000002</v>
      </c>
      <c r="AH46" s="89">
        <v>38890</v>
      </c>
      <c r="AI46" s="66">
        <v>4.9000000000000004</v>
      </c>
      <c r="AJ46" s="66">
        <v>8.5500000000000007</v>
      </c>
      <c r="AK46" s="62">
        <f t="shared" si="50"/>
        <v>1905.6100000000001</v>
      </c>
      <c r="AL46" s="72">
        <f t="shared" si="51"/>
        <v>3325.0950000000003</v>
      </c>
      <c r="AM46" s="73">
        <f t="shared" si="44"/>
        <v>52.682999999997264</v>
      </c>
      <c r="AN46" s="80">
        <f t="shared" si="52"/>
        <v>-4.1199019999999109</v>
      </c>
      <c r="AO46" s="80">
        <f t="shared" si="53"/>
        <v>6.1758329999993293</v>
      </c>
      <c r="AP46" s="75">
        <f t="shared" si="34"/>
        <v>1.2573909893903448E-3</v>
      </c>
      <c r="AQ46" s="76">
        <f t="shared" si="8"/>
        <v>-130.13999600574425</v>
      </c>
      <c r="AR46" s="90">
        <f t="shared" si="46"/>
        <v>62.682999999997264</v>
      </c>
    </row>
    <row r="47" spans="1:49" x14ac:dyDescent="0.25">
      <c r="A47" t="str">
        <f t="shared" si="10"/>
        <v>46225E</v>
      </c>
      <c r="B47" s="51">
        <f t="shared" si="25"/>
        <v>46225</v>
      </c>
      <c r="C47" s="52" t="s">
        <v>88</v>
      </c>
      <c r="D47" s="91">
        <v>38890</v>
      </c>
      <c r="E47" s="62">
        <v>4.9000000000000004</v>
      </c>
      <c r="F47" s="62">
        <v>8.5500000000000007</v>
      </c>
      <c r="G47" s="62">
        <f t="shared" si="43"/>
        <v>1905.6100000000001</v>
      </c>
      <c r="H47" s="72">
        <f t="shared" si="47"/>
        <v>3325.0950000000003</v>
      </c>
      <c r="I47" s="118">
        <v>5429.0000000000009</v>
      </c>
      <c r="J47" s="119">
        <v>5591.8700000000008</v>
      </c>
      <c r="K47" s="120">
        <v>4.6204733836802365</v>
      </c>
      <c r="L47" s="121">
        <v>8.5382814514643606</v>
      </c>
      <c r="M47" s="58" t="s">
        <v>204</v>
      </c>
      <c r="N47" s="58" t="s">
        <v>784</v>
      </c>
      <c r="O47" s="59">
        <v>3620</v>
      </c>
      <c r="P47" s="56">
        <v>5.7</v>
      </c>
      <c r="Q47" s="60">
        <v>8.6999999999999993</v>
      </c>
      <c r="R47" s="61">
        <f t="shared" si="12"/>
        <v>9211.8700000000008</v>
      </c>
      <c r="S47" s="62">
        <f t="shared" si="13"/>
        <v>464.71086500000013</v>
      </c>
      <c r="T47" s="63">
        <f t="shared" si="14"/>
        <v>792.3895990000002</v>
      </c>
      <c r="U47" s="64" t="s">
        <v>205</v>
      </c>
      <c r="V47" s="65" t="s">
        <v>788</v>
      </c>
      <c r="W47" s="66" t="s">
        <v>184</v>
      </c>
      <c r="X47" s="67">
        <v>8600</v>
      </c>
      <c r="Y47" s="68">
        <v>4.41</v>
      </c>
      <c r="Z47" s="68">
        <v>8.6199999999999992</v>
      </c>
      <c r="AA47" s="62">
        <f t="shared" si="26"/>
        <v>379.26</v>
      </c>
      <c r="AB47" s="63">
        <f t="shared" si="27"/>
        <v>741.31999999999994</v>
      </c>
      <c r="AC47" s="69">
        <v>8700</v>
      </c>
      <c r="AD47" s="70">
        <v>4.3596551724137926</v>
      </c>
      <c r="AE47" s="70">
        <v>8.5319310344827581</v>
      </c>
      <c r="AF47" s="62">
        <f t="shared" si="48"/>
        <v>379.28999999999996</v>
      </c>
      <c r="AG47" s="63">
        <f t="shared" si="49"/>
        <v>742.27799999999991</v>
      </c>
      <c r="AH47" s="89">
        <v>39390</v>
      </c>
      <c r="AI47" s="66">
        <v>5.0999999999999996</v>
      </c>
      <c r="AJ47" s="66">
        <v>8.5</v>
      </c>
      <c r="AK47" s="62">
        <f t="shared" si="50"/>
        <v>2008.8899999999999</v>
      </c>
      <c r="AL47" s="72">
        <f t="shared" si="51"/>
        <v>3348.15</v>
      </c>
      <c r="AM47" s="73">
        <f t="shared" si="44"/>
        <v>11.870000000002619</v>
      </c>
      <c r="AN47" s="80">
        <f t="shared" si="52"/>
        <v>-17.859134999999696</v>
      </c>
      <c r="AO47" s="80">
        <f t="shared" si="53"/>
        <v>27.05659900000046</v>
      </c>
      <c r="AP47" s="75">
        <f t="shared" si="34"/>
        <v>7.3164112681456794E-3</v>
      </c>
      <c r="AQ47" s="76">
        <f t="shared" si="8"/>
        <v>-478.68508968044534</v>
      </c>
      <c r="AR47" s="90">
        <f t="shared" si="46"/>
        <v>111.87000000000262</v>
      </c>
    </row>
    <row r="48" spans="1:49" x14ac:dyDescent="0.25">
      <c r="A48" t="str">
        <f t="shared" si="10"/>
        <v>46226M</v>
      </c>
      <c r="B48" s="51">
        <f t="shared" si="25"/>
        <v>46226</v>
      </c>
      <c r="C48" s="98" t="s">
        <v>87</v>
      </c>
      <c r="D48" s="91">
        <v>39390</v>
      </c>
      <c r="E48" s="62">
        <v>5.0999999999999996</v>
      </c>
      <c r="F48" s="62">
        <v>8.5</v>
      </c>
      <c r="G48" s="62">
        <f t="shared" si="43"/>
        <v>2008.8899999999999</v>
      </c>
      <c r="H48" s="72">
        <f t="shared" si="47"/>
        <v>3348.15</v>
      </c>
      <c r="I48" s="118">
        <v>5173.8999999999996</v>
      </c>
      <c r="J48" s="119">
        <v>5329.1170000000002</v>
      </c>
      <c r="K48" s="120">
        <v>4.6441794391078286</v>
      </c>
      <c r="L48" s="121">
        <v>8.3668026053847182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5329.1170000000002</v>
      </c>
      <c r="S48" s="62">
        <f t="shared" si="13"/>
        <v>247.49375599999996</v>
      </c>
      <c r="T48" s="63">
        <f t="shared" si="14"/>
        <v>445.87669999999997</v>
      </c>
      <c r="U48" s="64" t="s">
        <v>206</v>
      </c>
      <c r="V48" s="65" t="s">
        <v>789</v>
      </c>
      <c r="W48" s="66" t="s">
        <v>184</v>
      </c>
      <c r="X48" s="67">
        <v>8220</v>
      </c>
      <c r="Y48" s="68">
        <v>5</v>
      </c>
      <c r="Z48" s="68">
        <v>8.5399999999999991</v>
      </c>
      <c r="AA48" s="62">
        <f t="shared" si="26"/>
        <v>411</v>
      </c>
      <c r="AB48" s="63">
        <f t="shared" si="27"/>
        <v>701.98799999999994</v>
      </c>
      <c r="AC48" s="69">
        <v>8150</v>
      </c>
      <c r="AD48" s="70">
        <v>4.950061349693252</v>
      </c>
      <c r="AE48" s="70">
        <v>8.5200122699386487</v>
      </c>
      <c r="AF48" s="62">
        <f t="shared" si="48"/>
        <v>403.43000000000006</v>
      </c>
      <c r="AG48" s="63">
        <f t="shared" si="49"/>
        <v>694.38099999999986</v>
      </c>
      <c r="AH48" s="89">
        <v>36570</v>
      </c>
      <c r="AI48" s="66">
        <v>5.05</v>
      </c>
      <c r="AJ48" s="66">
        <v>8.5</v>
      </c>
      <c r="AK48" s="62">
        <f t="shared" si="50"/>
        <v>1846.7849999999999</v>
      </c>
      <c r="AL48" s="72">
        <f t="shared" si="51"/>
        <v>3108.4500000000003</v>
      </c>
      <c r="AM48" s="73">
        <f t="shared" si="44"/>
        <v>-0.88300000000162981</v>
      </c>
      <c r="AN48" s="80">
        <f t="shared" si="52"/>
        <v>6.168755999999803</v>
      </c>
      <c r="AO48" s="80">
        <f t="shared" si="53"/>
        <v>-8.8043000000002394</v>
      </c>
      <c r="AP48" s="75">
        <f t="shared" si="34"/>
        <v>-3.8010618669919749E-3</v>
      </c>
      <c r="AQ48" s="76">
        <f t="shared" si="8"/>
        <v>327.47855933628034</v>
      </c>
      <c r="AR48" s="90">
        <f t="shared" si="46"/>
        <v>-70.88300000000163</v>
      </c>
    </row>
    <row r="49" spans="1:49" x14ac:dyDescent="0.25">
      <c r="A49" t="str">
        <f t="shared" si="10"/>
        <v>46226E</v>
      </c>
      <c r="B49" s="51">
        <f t="shared" si="25"/>
        <v>46226</v>
      </c>
      <c r="C49" s="52" t="s">
        <v>88</v>
      </c>
      <c r="D49" s="91">
        <v>36570</v>
      </c>
      <c r="E49" s="62">
        <v>5.05</v>
      </c>
      <c r="F49" s="62">
        <v>8.5</v>
      </c>
      <c r="G49" s="62">
        <f t="shared" si="43"/>
        <v>1846.7849999999999</v>
      </c>
      <c r="H49" s="72">
        <f t="shared" si="47"/>
        <v>3108.4500000000003</v>
      </c>
      <c r="I49" s="118">
        <v>4950.2</v>
      </c>
      <c r="J49" s="119">
        <v>5098.7060000000001</v>
      </c>
      <c r="K49" s="120">
        <v>4.2195406246212288</v>
      </c>
      <c r="L49" s="121">
        <v>8.3730596743565933</v>
      </c>
      <c r="M49" s="58">
        <v>0</v>
      </c>
      <c r="N49" s="58" t="s">
        <v>167</v>
      </c>
      <c r="O49" s="59">
        <v>0</v>
      </c>
      <c r="P49" s="56">
        <v>0</v>
      </c>
      <c r="Q49" s="60">
        <v>0</v>
      </c>
      <c r="R49" s="61">
        <f t="shared" si="12"/>
        <v>5098.7060000000001</v>
      </c>
      <c r="S49" s="62">
        <f t="shared" si="13"/>
        <v>215.1419710000001</v>
      </c>
      <c r="T49" s="63">
        <f t="shared" si="14"/>
        <v>426.91769600000009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26"/>
        <v>0</v>
      </c>
      <c r="AB49" s="63">
        <f t="shared" si="27"/>
        <v>0</v>
      </c>
      <c r="AC49" s="69"/>
      <c r="AD49" s="70"/>
      <c r="AE49" s="70"/>
      <c r="AF49" s="62">
        <f t="shared" si="48"/>
        <v>0</v>
      </c>
      <c r="AG49" s="63">
        <f t="shared" si="49"/>
        <v>0</v>
      </c>
      <c r="AH49" s="89">
        <v>41685</v>
      </c>
      <c r="AI49" s="66">
        <v>4.9000000000000004</v>
      </c>
      <c r="AJ49" s="66">
        <v>8.5500000000000007</v>
      </c>
      <c r="AK49" s="62">
        <f t="shared" si="50"/>
        <v>2042.5650000000001</v>
      </c>
      <c r="AL49" s="72">
        <f t="shared" si="51"/>
        <v>3564.0675000000001</v>
      </c>
      <c r="AM49" s="73">
        <f t="shared" si="44"/>
        <v>-16.294000000001688</v>
      </c>
      <c r="AN49" s="80">
        <f t="shared" si="52"/>
        <v>19.361970999999812</v>
      </c>
      <c r="AO49" s="80">
        <f t="shared" si="53"/>
        <v>-28.699803999999858</v>
      </c>
      <c r="AP49" s="75">
        <f t="shared" si="34"/>
        <v>-1.4543559547402692E-2</v>
      </c>
      <c r="AQ49" s="76">
        <f t="shared" si="8"/>
        <v>708.72143077146939</v>
      </c>
      <c r="AR49" s="90">
        <f t="shared" si="46"/>
        <v>-16.294000000001688</v>
      </c>
      <c r="AS49" s="90">
        <f>SUM(J36:J49)</f>
        <v>62420.986999999994</v>
      </c>
      <c r="AT49" s="83">
        <f>SUM(AM36:AM49)</f>
        <v>135.98700000000463</v>
      </c>
      <c r="AU49" s="83">
        <f>SUM(AN36:AN49)</f>
        <v>67.487342999999328</v>
      </c>
      <c r="AV49" s="83">
        <f>SUM(AO36:AO49)</f>
        <v>-73.623712000000296</v>
      </c>
      <c r="AW49" s="83">
        <f>-SUM(AQ36:AQ49)</f>
        <v>-10380.218475199586</v>
      </c>
    </row>
    <row r="50" spans="1:49" x14ac:dyDescent="0.25">
      <c r="A50" t="str">
        <f t="shared" si="10"/>
        <v>46227M</v>
      </c>
      <c r="B50" s="51">
        <f t="shared" si="25"/>
        <v>46227</v>
      </c>
      <c r="C50" s="52" t="s">
        <v>87</v>
      </c>
      <c r="D50" s="91">
        <v>41685</v>
      </c>
      <c r="E50" s="62">
        <v>4.9000000000000004</v>
      </c>
      <c r="F50" s="62">
        <v>8.5500000000000007</v>
      </c>
      <c r="G50" s="62">
        <f t="shared" si="43"/>
        <v>2042.5650000000001</v>
      </c>
      <c r="H50" s="72">
        <f t="shared" si="47"/>
        <v>3564.0675000000001</v>
      </c>
      <c r="I50" s="118">
        <v>3023.7000000000003</v>
      </c>
      <c r="J50" s="119">
        <v>3114.4110000000005</v>
      </c>
      <c r="K50" s="120">
        <v>4.7847107848000805</v>
      </c>
      <c r="L50" s="121">
        <v>8.4600654826867725</v>
      </c>
      <c r="M50" s="58" t="s">
        <v>204</v>
      </c>
      <c r="N50" s="58" t="s">
        <v>785</v>
      </c>
      <c r="O50" s="59">
        <v>3895</v>
      </c>
      <c r="P50" s="56">
        <v>5.4</v>
      </c>
      <c r="Q50" s="60">
        <v>8.6</v>
      </c>
      <c r="R50" s="61">
        <f t="shared" si="12"/>
        <v>7009.4110000000001</v>
      </c>
      <c r="S50" s="62">
        <f t="shared" si="13"/>
        <v>359.34555900000009</v>
      </c>
      <c r="T50" s="63">
        <f t="shared" si="14"/>
        <v>598.45120999999995</v>
      </c>
      <c r="U50" s="64" t="s">
        <v>821</v>
      </c>
      <c r="V50" s="65" t="s">
        <v>822</v>
      </c>
      <c r="W50" s="66" t="s">
        <v>184</v>
      </c>
      <c r="X50" s="67">
        <v>17400</v>
      </c>
      <c r="Y50" s="68">
        <v>4.7500000000000009</v>
      </c>
      <c r="Z50" s="68">
        <v>8.7100000000000009</v>
      </c>
      <c r="AA50" s="62">
        <f t="shared" si="26"/>
        <v>826.50000000000011</v>
      </c>
      <c r="AB50" s="63">
        <f t="shared" si="27"/>
        <v>1515.5400000000002</v>
      </c>
      <c r="AC50" s="69">
        <v>17600</v>
      </c>
      <c r="AD50" s="70">
        <v>4.7007386363636359</v>
      </c>
      <c r="AE50" s="70">
        <v>8.6279659090909089</v>
      </c>
      <c r="AF50" s="62">
        <f t="shared" si="48"/>
        <v>827.32999999999981</v>
      </c>
      <c r="AG50" s="63">
        <f t="shared" si="49"/>
        <v>1518.5220000000002</v>
      </c>
      <c r="AH50" s="89">
        <v>31090</v>
      </c>
      <c r="AI50" s="66">
        <v>5</v>
      </c>
      <c r="AJ50" s="66">
        <v>8.6</v>
      </c>
      <c r="AK50" s="62">
        <f t="shared" ref="AK50" si="54">AH50*AI50%</f>
        <v>1554.5</v>
      </c>
      <c r="AL50" s="72">
        <f t="shared" ref="AL50" si="55">AH50*AJ50%</f>
        <v>2673.74</v>
      </c>
      <c r="AM50" s="73">
        <f t="shared" si="44"/>
        <v>4.4110000000000582</v>
      </c>
      <c r="AN50" s="80">
        <f t="shared" ref="AN50" si="56">+G50+S50-AF50-AK50</f>
        <v>20.080558999999994</v>
      </c>
      <c r="AO50" s="80">
        <f t="shared" ref="AO50" si="57">+H50+T50-AG50-AL50</f>
        <v>-29.743289999999433</v>
      </c>
      <c r="AP50" s="75">
        <f t="shared" si="34"/>
        <v>-1.0088498220857372E-2</v>
      </c>
      <c r="AQ50" s="76">
        <f t="shared" si="8"/>
        <v>741.51158488823421</v>
      </c>
      <c r="AR50" s="90">
        <f t="shared" si="46"/>
        <v>204.41100000000006</v>
      </c>
    </row>
    <row r="51" spans="1:49" x14ac:dyDescent="0.25">
      <c r="A51" t="str">
        <f t="shared" si="10"/>
        <v>46227E</v>
      </c>
      <c r="B51" s="51">
        <f t="shared" si="25"/>
        <v>46227</v>
      </c>
      <c r="C51" s="52" t="s">
        <v>88</v>
      </c>
      <c r="D51" s="91">
        <v>31090</v>
      </c>
      <c r="E51" s="62">
        <v>5</v>
      </c>
      <c r="F51" s="62">
        <v>8.6</v>
      </c>
      <c r="G51" s="62">
        <f t="shared" si="43"/>
        <v>1554.5</v>
      </c>
      <c r="H51" s="72">
        <f t="shared" si="47"/>
        <v>2673.74</v>
      </c>
      <c r="I51" s="118">
        <v>4756.2000000000007</v>
      </c>
      <c r="J51" s="119">
        <v>4898.8860000000004</v>
      </c>
      <c r="K51" s="120">
        <v>4.1993061687902102</v>
      </c>
      <c r="L51" s="121">
        <v>8.3178377696480386</v>
      </c>
      <c r="M51" s="58">
        <v>0</v>
      </c>
      <c r="N51" s="58" t="s">
        <v>167</v>
      </c>
      <c r="O51" s="59">
        <v>0</v>
      </c>
      <c r="P51" s="56">
        <v>0</v>
      </c>
      <c r="Q51" s="60">
        <v>0</v>
      </c>
      <c r="R51" s="61">
        <f t="shared" si="12"/>
        <v>4898.8860000000004</v>
      </c>
      <c r="S51" s="62">
        <f t="shared" si="13"/>
        <v>205.719222</v>
      </c>
      <c r="T51" s="63">
        <f t="shared" si="14"/>
        <v>407.48139000000003</v>
      </c>
      <c r="U51" s="64" t="s">
        <v>823</v>
      </c>
      <c r="V51" s="85" t="s">
        <v>824</v>
      </c>
      <c r="W51" s="66" t="s">
        <v>305</v>
      </c>
      <c r="X51" s="67">
        <v>24400</v>
      </c>
      <c r="Y51" s="68">
        <v>4.25</v>
      </c>
      <c r="Z51" s="68">
        <v>8.3000000000000007</v>
      </c>
      <c r="AA51" s="62">
        <f t="shared" si="26"/>
        <v>1037</v>
      </c>
      <c r="AB51" s="63">
        <f t="shared" si="27"/>
        <v>2025.2</v>
      </c>
      <c r="AC51" s="69">
        <v>24000</v>
      </c>
      <c r="AD51" s="70">
        <v>4.1500000000000004</v>
      </c>
      <c r="AE51" s="70">
        <v>8.17</v>
      </c>
      <c r="AF51" s="62">
        <f t="shared" si="48"/>
        <v>996</v>
      </c>
      <c r="AG51" s="63">
        <f t="shared" si="49"/>
        <v>1960.8</v>
      </c>
      <c r="AH51" s="89">
        <v>11990</v>
      </c>
      <c r="AI51" s="66">
        <v>6.6</v>
      </c>
      <c r="AJ51" s="66">
        <v>9</v>
      </c>
      <c r="AK51" s="62">
        <f t="shared" ref="AK51:AK63" si="58">AH51*AI51%</f>
        <v>791.34</v>
      </c>
      <c r="AL51" s="72">
        <f t="shared" ref="AL51:AL63" si="59">AH51*AJ51%</f>
        <v>1079.0999999999999</v>
      </c>
      <c r="AM51" s="73">
        <f t="shared" si="44"/>
        <v>-1.114000000001397</v>
      </c>
      <c r="AN51" s="80">
        <f t="shared" ref="AN51:AN63" si="60">+G51+S51-AF51-AK51</f>
        <v>-27.120778000000087</v>
      </c>
      <c r="AO51" s="80">
        <f t="shared" ref="AO51:AO63" si="61">+H51+T51-AG51-AL51</f>
        <v>41.321389999999838</v>
      </c>
      <c r="AP51" s="75">
        <f t="shared" si="34"/>
        <v>2.3158183018903686E-2</v>
      </c>
      <c r="AQ51" s="76">
        <f t="shared" si="8"/>
        <v>-657.02807251546437</v>
      </c>
      <c r="AR51" s="90">
        <f t="shared" si="46"/>
        <v>-401.1140000000014</v>
      </c>
    </row>
    <row r="52" spans="1:49" x14ac:dyDescent="0.25">
      <c r="A52" t="str">
        <f t="shared" si="10"/>
        <v>46228M</v>
      </c>
      <c r="B52" s="51">
        <f t="shared" si="25"/>
        <v>46228</v>
      </c>
      <c r="C52" s="52" t="s">
        <v>87</v>
      </c>
      <c r="D52" s="91">
        <v>11990</v>
      </c>
      <c r="E52" s="62">
        <v>6.6</v>
      </c>
      <c r="F52" s="62">
        <v>9</v>
      </c>
      <c r="G52" s="62">
        <f t="shared" si="43"/>
        <v>791.34</v>
      </c>
      <c r="H52" s="72">
        <f t="shared" si="47"/>
        <v>1079.0999999999999</v>
      </c>
      <c r="I52" s="118">
        <v>3388.4000000000005</v>
      </c>
      <c r="J52" s="119">
        <v>3490.0520000000006</v>
      </c>
      <c r="K52" s="120">
        <v>4.7758233974737347</v>
      </c>
      <c r="L52" s="121">
        <v>8.4554479990556022</v>
      </c>
      <c r="M52" s="58">
        <v>0</v>
      </c>
      <c r="N52" s="58" t="s">
        <v>167</v>
      </c>
      <c r="O52" s="59">
        <v>0</v>
      </c>
      <c r="P52" s="56">
        <v>0</v>
      </c>
      <c r="Q52" s="60">
        <v>0</v>
      </c>
      <c r="R52" s="61">
        <f t="shared" si="12"/>
        <v>3490.0520000000006</v>
      </c>
      <c r="S52" s="62">
        <f t="shared" si="13"/>
        <v>166.67872000000006</v>
      </c>
      <c r="T52" s="63">
        <f t="shared" si="14"/>
        <v>295.09953200000012</v>
      </c>
      <c r="U52" s="64" t="s">
        <v>205</v>
      </c>
      <c r="V52" s="65" t="s">
        <v>825</v>
      </c>
      <c r="W52" s="66" t="s">
        <v>184</v>
      </c>
      <c r="X52" s="67">
        <v>9450</v>
      </c>
      <c r="Y52" s="68">
        <v>4.6399999999999997</v>
      </c>
      <c r="Z52" s="68">
        <v>8.66</v>
      </c>
      <c r="AA52" s="62">
        <f t="shared" si="26"/>
        <v>438.47999999999996</v>
      </c>
      <c r="AB52" s="63">
        <f t="shared" si="27"/>
        <v>818.37</v>
      </c>
      <c r="AC52" s="69">
        <v>9440</v>
      </c>
      <c r="AD52" s="70">
        <v>4.5658898305084739</v>
      </c>
      <c r="AE52" s="70">
        <v>8.573177966101694</v>
      </c>
      <c r="AF52" s="62">
        <f t="shared" si="48"/>
        <v>431.01999999999992</v>
      </c>
      <c r="AG52" s="63">
        <f t="shared" si="49"/>
        <v>809.30799999999999</v>
      </c>
      <c r="AH52" s="89">
        <v>6056</v>
      </c>
      <c r="AI52" s="66">
        <v>8.9</v>
      </c>
      <c r="AJ52" s="66">
        <v>9</v>
      </c>
      <c r="AK52" s="62">
        <f t="shared" si="58"/>
        <v>538.98400000000004</v>
      </c>
      <c r="AL52" s="72">
        <f t="shared" si="59"/>
        <v>545.04</v>
      </c>
      <c r="AM52" s="73">
        <f t="shared" si="44"/>
        <v>-15.94800000000032</v>
      </c>
      <c r="AN52" s="80">
        <f t="shared" si="60"/>
        <v>-11.985279999999989</v>
      </c>
      <c r="AO52" s="80">
        <f t="shared" si="61"/>
        <v>19.851532000000134</v>
      </c>
      <c r="AP52" s="75">
        <f t="shared" si="34"/>
        <v>1.7034695691992317E-2</v>
      </c>
      <c r="AQ52" s="76">
        <f t="shared" si="8"/>
        <v>186.03998749285256</v>
      </c>
      <c r="AR52" s="90">
        <f t="shared" si="46"/>
        <v>-25.94800000000032</v>
      </c>
    </row>
    <row r="53" spans="1:49" x14ac:dyDescent="0.25">
      <c r="A53" t="str">
        <f t="shared" si="10"/>
        <v>46228E</v>
      </c>
      <c r="B53" s="51">
        <f t="shared" si="25"/>
        <v>46228</v>
      </c>
      <c r="C53" s="52" t="s">
        <v>88</v>
      </c>
      <c r="D53" s="91">
        <v>6056</v>
      </c>
      <c r="E53" s="62">
        <v>8.9</v>
      </c>
      <c r="F53" s="62">
        <v>9</v>
      </c>
      <c r="G53" s="62">
        <f t="shared" si="43"/>
        <v>538.98400000000004</v>
      </c>
      <c r="H53" s="72">
        <f t="shared" si="47"/>
        <v>545.04</v>
      </c>
      <c r="I53" s="118">
        <v>4519.0999999999995</v>
      </c>
      <c r="J53" s="119">
        <v>4654.6729999999998</v>
      </c>
      <c r="K53" s="120">
        <v>4.0238919253833707</v>
      </c>
      <c r="L53" s="121">
        <v>8.3530636631187587</v>
      </c>
      <c r="M53" s="58">
        <v>0</v>
      </c>
      <c r="N53" s="58" t="s">
        <v>167</v>
      </c>
      <c r="O53" s="59">
        <v>0</v>
      </c>
      <c r="P53" s="56">
        <v>0</v>
      </c>
      <c r="Q53" s="60">
        <v>0</v>
      </c>
      <c r="R53" s="61">
        <f t="shared" si="12"/>
        <v>4654.6729999999998</v>
      </c>
      <c r="S53" s="62">
        <f t="shared" si="13"/>
        <v>187.29901099999989</v>
      </c>
      <c r="T53" s="63">
        <f t="shared" si="14"/>
        <v>388.80779899999982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26"/>
        <v>0</v>
      </c>
      <c r="AB53" s="63">
        <f t="shared" si="27"/>
        <v>0</v>
      </c>
      <c r="AC53" s="69"/>
      <c r="AD53" s="70"/>
      <c r="AE53" s="70"/>
      <c r="AF53" s="62">
        <f t="shared" si="48"/>
        <v>0</v>
      </c>
      <c r="AG53" s="63">
        <f t="shared" si="49"/>
        <v>0</v>
      </c>
      <c r="AH53" s="89">
        <v>10700</v>
      </c>
      <c r="AI53" s="66">
        <v>6.8</v>
      </c>
      <c r="AJ53" s="66">
        <v>8.6999999999999993</v>
      </c>
      <c r="AK53" s="62">
        <f t="shared" si="58"/>
        <v>727.6</v>
      </c>
      <c r="AL53" s="72">
        <f t="shared" si="59"/>
        <v>930.9</v>
      </c>
      <c r="AM53" s="73">
        <f t="shared" si="44"/>
        <v>10.672999999998865</v>
      </c>
      <c r="AN53" s="80">
        <f t="shared" si="60"/>
        <v>-1.316989000000035</v>
      </c>
      <c r="AO53" s="80">
        <f t="shared" si="61"/>
        <v>2.9477989999998044</v>
      </c>
      <c r="AP53" s="75">
        <f t="shared" si="34"/>
        <v>2.8307424451375087E-3</v>
      </c>
      <c r="AQ53" s="76">
        <f t="shared" si="8"/>
        <v>249.98347990221271</v>
      </c>
      <c r="AR53" s="90">
        <f t="shared" si="46"/>
        <v>10.672999999998865</v>
      </c>
    </row>
    <row r="54" spans="1:49" x14ac:dyDescent="0.25">
      <c r="A54" t="str">
        <f t="shared" si="10"/>
        <v>46229M</v>
      </c>
      <c r="B54" s="51">
        <f t="shared" si="25"/>
        <v>46229</v>
      </c>
      <c r="C54" s="52" t="s">
        <v>87</v>
      </c>
      <c r="D54" s="91">
        <v>10700</v>
      </c>
      <c r="E54" s="62">
        <v>6.8</v>
      </c>
      <c r="F54" s="62">
        <v>8.6999999999999993</v>
      </c>
      <c r="G54" s="62">
        <f t="shared" si="43"/>
        <v>727.6</v>
      </c>
      <c r="H54" s="72">
        <f t="shared" si="47"/>
        <v>930.9</v>
      </c>
      <c r="I54" s="118">
        <v>2935</v>
      </c>
      <c r="J54" s="119">
        <v>3023.05</v>
      </c>
      <c r="K54" s="120">
        <v>4.7228756388415682</v>
      </c>
      <c r="L54" s="121">
        <v>8.4214684838160103</v>
      </c>
      <c r="M54" s="58" t="s">
        <v>204</v>
      </c>
      <c r="N54" s="58" t="s">
        <v>879</v>
      </c>
      <c r="O54" s="59">
        <v>5065</v>
      </c>
      <c r="P54" s="56">
        <v>5.5</v>
      </c>
      <c r="Q54" s="60">
        <v>8.6</v>
      </c>
      <c r="R54" s="61">
        <f t="shared" si="12"/>
        <v>8088.05</v>
      </c>
      <c r="S54" s="62">
        <f t="shared" si="13"/>
        <v>421.34989200000007</v>
      </c>
      <c r="T54" s="63">
        <f t="shared" si="14"/>
        <v>690.1752029999999</v>
      </c>
      <c r="U54" s="64" t="s">
        <v>206</v>
      </c>
      <c r="V54" s="65" t="s">
        <v>882</v>
      </c>
      <c r="W54" s="66" t="s">
        <v>184</v>
      </c>
      <c r="X54" s="67">
        <v>8000</v>
      </c>
      <c r="Y54" s="68">
        <v>4.53</v>
      </c>
      <c r="Z54" s="68">
        <v>8.6999999999999993</v>
      </c>
      <c r="AA54" s="62">
        <f t="shared" si="26"/>
        <v>362.4</v>
      </c>
      <c r="AB54" s="63">
        <f t="shared" si="27"/>
        <v>696</v>
      </c>
      <c r="AC54" s="69">
        <v>7790</v>
      </c>
      <c r="AD54" s="70">
        <v>4.4612323491655959</v>
      </c>
      <c r="AE54" s="70">
        <v>8.5522464698331184</v>
      </c>
      <c r="AF54" s="62">
        <f t="shared" si="48"/>
        <v>347.52999999999992</v>
      </c>
      <c r="AG54" s="63">
        <f>AC54*AE54%</f>
        <v>666.22</v>
      </c>
      <c r="AH54" s="89">
        <v>11000</v>
      </c>
      <c r="AI54" s="66">
        <v>7.2</v>
      </c>
      <c r="AJ54" s="66">
        <v>8.8000000000000007</v>
      </c>
      <c r="AK54" s="62">
        <f t="shared" si="58"/>
        <v>792.00000000000011</v>
      </c>
      <c r="AL54" s="72">
        <f t="shared" si="59"/>
        <v>968.00000000000011</v>
      </c>
      <c r="AM54" s="73">
        <f t="shared" si="44"/>
        <v>-1.9500000000007276</v>
      </c>
      <c r="AN54" s="80">
        <f t="shared" si="60"/>
        <v>9.4198920000000044</v>
      </c>
      <c r="AO54" s="80">
        <f t="shared" si="61"/>
        <v>-13.144797000000267</v>
      </c>
      <c r="AP54" s="75">
        <f t="shared" si="34"/>
        <v>-3.3511659041762462E-3</v>
      </c>
      <c r="AQ54" s="76">
        <f t="shared" si="8"/>
        <v>589.81501001492688</v>
      </c>
      <c r="AR54" s="90">
        <f t="shared" si="46"/>
        <v>-211.95000000000073</v>
      </c>
    </row>
    <row r="55" spans="1:49" x14ac:dyDescent="0.25">
      <c r="A55" t="str">
        <f t="shared" si="10"/>
        <v>46229E</v>
      </c>
      <c r="B55" s="51">
        <f t="shared" si="25"/>
        <v>46229</v>
      </c>
      <c r="C55" s="52" t="s">
        <v>88</v>
      </c>
      <c r="D55" s="91">
        <v>11000</v>
      </c>
      <c r="E55" s="62">
        <v>7.2</v>
      </c>
      <c r="F55" s="62">
        <v>8.8000000000000007</v>
      </c>
      <c r="G55" s="62">
        <f t="shared" si="43"/>
        <v>792.00000000000011</v>
      </c>
      <c r="H55" s="72">
        <f t="shared" si="47"/>
        <v>968.00000000000011</v>
      </c>
      <c r="I55" s="118">
        <v>4685.1000000000004</v>
      </c>
      <c r="J55" s="119">
        <v>4825.6530000000002</v>
      </c>
      <c r="K55" s="120">
        <v>4.1515656015880111</v>
      </c>
      <c r="L55" s="121">
        <v>8.3535335425070922</v>
      </c>
      <c r="M55" s="58">
        <v>0</v>
      </c>
      <c r="N55" s="58" t="s">
        <v>167</v>
      </c>
      <c r="O55" s="59">
        <v>0</v>
      </c>
      <c r="P55" s="56">
        <v>0</v>
      </c>
      <c r="Q55" s="60">
        <v>0</v>
      </c>
      <c r="R55" s="61">
        <f t="shared" si="12"/>
        <v>4825.6530000000002</v>
      </c>
      <c r="S55" s="62">
        <f t="shared" si="13"/>
        <v>200.34014999999994</v>
      </c>
      <c r="T55" s="63">
        <f t="shared" si="14"/>
        <v>403.11254199999979</v>
      </c>
      <c r="U55" s="64" t="s">
        <v>205</v>
      </c>
      <c r="V55" s="65" t="s">
        <v>883</v>
      </c>
      <c r="W55" s="66" t="s">
        <v>184</v>
      </c>
      <c r="X55" s="67">
        <v>9400</v>
      </c>
      <c r="Y55" s="68">
        <v>5.12</v>
      </c>
      <c r="Z55" s="68">
        <v>8.68</v>
      </c>
      <c r="AA55" s="62">
        <f t="shared" si="26"/>
        <v>481.28000000000003</v>
      </c>
      <c r="AB55" s="63">
        <f t="shared" si="27"/>
        <v>815.92000000000007</v>
      </c>
      <c r="AC55" s="69">
        <v>9430</v>
      </c>
      <c r="AD55" s="70">
        <v>4.9697773064687167</v>
      </c>
      <c r="AE55" s="70">
        <v>8.6539554612937426</v>
      </c>
      <c r="AF55" s="62">
        <f t="shared" si="48"/>
        <v>468.65</v>
      </c>
      <c r="AG55" s="63">
        <f t="shared" si="49"/>
        <v>816.06799999999998</v>
      </c>
      <c r="AH55" s="89">
        <v>6412</v>
      </c>
      <c r="AI55" s="66">
        <v>8.1999999999999993</v>
      </c>
      <c r="AJ55" s="66">
        <v>8.6</v>
      </c>
      <c r="AK55" s="62">
        <f t="shared" si="58"/>
        <v>525.78399999999988</v>
      </c>
      <c r="AL55" s="72">
        <f t="shared" si="59"/>
        <v>551.4319999999999</v>
      </c>
      <c r="AM55" s="73">
        <f t="shared" si="44"/>
        <v>-16.346999999999753</v>
      </c>
      <c r="AN55" s="80">
        <f t="shared" si="60"/>
        <v>-2.0938499999998612</v>
      </c>
      <c r="AO55" s="80">
        <f t="shared" si="61"/>
        <v>3.6125419999999622</v>
      </c>
      <c r="AP55" s="75">
        <f t="shared" si="34"/>
        <v>2.5166711825690248E-3</v>
      </c>
      <c r="AQ55" s="76">
        <f t="shared" si="8"/>
        <v>75.761095971672376</v>
      </c>
      <c r="AR55" s="90">
        <f t="shared" si="46"/>
        <v>13.653000000000247</v>
      </c>
    </row>
    <row r="56" spans="1:49" x14ac:dyDescent="0.25">
      <c r="A56" t="str">
        <f t="shared" si="10"/>
        <v>46230M</v>
      </c>
      <c r="B56" s="51">
        <f t="shared" si="25"/>
        <v>46230</v>
      </c>
      <c r="C56" s="52" t="s">
        <v>87</v>
      </c>
      <c r="D56" s="91">
        <v>6412</v>
      </c>
      <c r="E56" s="62">
        <v>8.1999999999999993</v>
      </c>
      <c r="F56" s="62">
        <v>8.6</v>
      </c>
      <c r="G56" s="62">
        <f t="shared" si="43"/>
        <v>525.78399999999988</v>
      </c>
      <c r="H56" s="72">
        <f t="shared" si="47"/>
        <v>551.4319999999999</v>
      </c>
      <c r="I56" s="118">
        <v>2769.1000000000008</v>
      </c>
      <c r="J56" s="119">
        <v>2852.1730000000011</v>
      </c>
      <c r="K56" s="120">
        <v>4.7775558845834381</v>
      </c>
      <c r="L56" s="121">
        <v>8.3526922104654915</v>
      </c>
      <c r="M56" s="58" t="s">
        <v>204</v>
      </c>
      <c r="N56" s="58" t="s">
        <v>880</v>
      </c>
      <c r="O56" s="59">
        <v>2200</v>
      </c>
      <c r="P56" s="56">
        <v>4.9000000000000004</v>
      </c>
      <c r="Q56" s="60">
        <v>8.5</v>
      </c>
      <c r="R56" s="61">
        <f t="shared" si="12"/>
        <v>5052.1730000000007</v>
      </c>
      <c r="S56" s="62">
        <f t="shared" si="13"/>
        <v>244.06415900000002</v>
      </c>
      <c r="T56" s="63">
        <f t="shared" si="14"/>
        <v>425.23323200000004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26"/>
        <v>0</v>
      </c>
      <c r="AB56" s="63">
        <f t="shared" si="27"/>
        <v>0</v>
      </c>
      <c r="AC56" s="69"/>
      <c r="AD56" s="70"/>
      <c r="AE56" s="70"/>
      <c r="AF56" s="62">
        <f t="shared" ref="AF56:AF63" si="62">AC56*AD56%</f>
        <v>0</v>
      </c>
      <c r="AG56" s="63">
        <f t="shared" ref="AG56:AG63" si="63">AC56*AE56%</f>
        <v>0</v>
      </c>
      <c r="AH56" s="89">
        <v>11480</v>
      </c>
      <c r="AI56" s="66">
        <v>6.7</v>
      </c>
      <c r="AJ56" s="66">
        <v>8.5</v>
      </c>
      <c r="AK56" s="62">
        <f t="shared" si="58"/>
        <v>769.16000000000008</v>
      </c>
      <c r="AL56" s="72">
        <f t="shared" si="59"/>
        <v>975.80000000000007</v>
      </c>
      <c r="AM56" s="73">
        <f t="shared" si="44"/>
        <v>-15.826999999999316</v>
      </c>
      <c r="AN56" s="80">
        <f t="shared" si="60"/>
        <v>0.68815899999981411</v>
      </c>
      <c r="AO56" s="80">
        <f t="shared" si="61"/>
        <v>0.8652319999998781</v>
      </c>
      <c r="AP56" s="75">
        <f t="shared" si="34"/>
        <v>2.3209279176761234E-3</v>
      </c>
      <c r="AQ56" s="76">
        <f t="shared" si="8"/>
        <v>589.81207787816584</v>
      </c>
      <c r="AR56" s="90">
        <f t="shared" si="46"/>
        <v>-15.826999999999316</v>
      </c>
    </row>
    <row r="57" spans="1:49" x14ac:dyDescent="0.25">
      <c r="A57" t="str">
        <f t="shared" si="10"/>
        <v>46230E</v>
      </c>
      <c r="B57" s="51">
        <f t="shared" si="25"/>
        <v>46230</v>
      </c>
      <c r="C57" s="52" t="s">
        <v>88</v>
      </c>
      <c r="D57" s="91">
        <v>11480</v>
      </c>
      <c r="E57" s="62">
        <v>6.7</v>
      </c>
      <c r="F57" s="62">
        <v>8.5</v>
      </c>
      <c r="G57" s="62">
        <f t="shared" si="43"/>
        <v>769.16000000000008</v>
      </c>
      <c r="H57" s="72">
        <f t="shared" si="47"/>
        <v>975.80000000000007</v>
      </c>
      <c r="I57" s="118">
        <v>4610.9000000000005</v>
      </c>
      <c r="J57" s="119">
        <v>4749.2270000000008</v>
      </c>
      <c r="K57" s="120">
        <v>4.2669110152031067</v>
      </c>
      <c r="L57" s="121">
        <v>8.3754928538896927</v>
      </c>
      <c r="M57" s="58" t="s">
        <v>204</v>
      </c>
      <c r="N57" s="58" t="s">
        <v>881</v>
      </c>
      <c r="O57" s="59">
        <v>3690</v>
      </c>
      <c r="P57" s="56">
        <v>5.0999999999999996</v>
      </c>
      <c r="Q57" s="60">
        <v>8.5</v>
      </c>
      <c r="R57" s="61">
        <f t="shared" si="12"/>
        <v>8439.2270000000008</v>
      </c>
      <c r="S57" s="62">
        <f t="shared" si="13"/>
        <v>390.8352900000001</v>
      </c>
      <c r="T57" s="63">
        <f t="shared" si="14"/>
        <v>711.42116799999997</v>
      </c>
      <c r="U57" s="64" t="s">
        <v>206</v>
      </c>
      <c r="V57" s="65" t="s">
        <v>884</v>
      </c>
      <c r="W57" s="66" t="s">
        <v>184</v>
      </c>
      <c r="X57" s="67">
        <v>8200</v>
      </c>
      <c r="Y57" s="68">
        <v>4.5000000000000009</v>
      </c>
      <c r="Z57" s="68">
        <v>8.5599999999999987</v>
      </c>
      <c r="AA57" s="62">
        <f t="shared" si="26"/>
        <v>369.00000000000011</v>
      </c>
      <c r="AB57" s="63">
        <f t="shared" si="27"/>
        <v>701.91999999999985</v>
      </c>
      <c r="AC57" s="69">
        <v>8160</v>
      </c>
      <c r="AD57" s="70">
        <v>4.45</v>
      </c>
      <c r="AE57" s="70">
        <v>8.43</v>
      </c>
      <c r="AF57" s="62">
        <f t="shared" si="62"/>
        <v>363.12000000000006</v>
      </c>
      <c r="AG57" s="63">
        <f t="shared" si="63"/>
        <v>687.88800000000003</v>
      </c>
      <c r="AH57" s="89">
        <v>11770</v>
      </c>
      <c r="AI57" s="66">
        <v>6.7</v>
      </c>
      <c r="AJ57" s="66">
        <v>8.6</v>
      </c>
      <c r="AK57" s="62">
        <f t="shared" si="58"/>
        <v>788.59</v>
      </c>
      <c r="AL57" s="72">
        <f t="shared" si="59"/>
        <v>1012.2199999999999</v>
      </c>
      <c r="AM57" s="73">
        <f t="shared" si="44"/>
        <v>-10.773000000001048</v>
      </c>
      <c r="AN57" s="80">
        <f t="shared" si="60"/>
        <v>8.2852900000001455</v>
      </c>
      <c r="AO57" s="80">
        <f t="shared" si="61"/>
        <v>-12.886831999999913</v>
      </c>
      <c r="AP57" s="75">
        <f t="shared" si="34"/>
        <v>-4.1746564210193701E-3</v>
      </c>
      <c r="AQ57" s="76">
        <f t="shared" si="8"/>
        <v>121.86004273921026</v>
      </c>
      <c r="AR57" s="90">
        <f t="shared" si="46"/>
        <v>-50.773000000001048</v>
      </c>
    </row>
    <row r="58" spans="1:49" x14ac:dyDescent="0.25">
      <c r="A58" t="str">
        <f t="shared" si="10"/>
        <v>46231M</v>
      </c>
      <c r="B58" s="51">
        <f t="shared" si="25"/>
        <v>46231</v>
      </c>
      <c r="C58" s="52" t="s">
        <v>87</v>
      </c>
      <c r="D58" s="91">
        <v>11770</v>
      </c>
      <c r="E58" s="62">
        <v>6.7</v>
      </c>
      <c r="F58" s="62">
        <v>8.6</v>
      </c>
      <c r="G58" s="62">
        <f t="shared" si="43"/>
        <v>788.59</v>
      </c>
      <c r="H58" s="72">
        <f t="shared" si="47"/>
        <v>1012.2199999999999</v>
      </c>
      <c r="I58" s="118">
        <v>5130.4000000000005</v>
      </c>
      <c r="J58" s="119">
        <v>5284.3120000000008</v>
      </c>
      <c r="K58" s="120">
        <v>5.1189868236394807</v>
      </c>
      <c r="L58" s="121">
        <v>8.6415367222828632</v>
      </c>
      <c r="M58" s="58">
        <v>0</v>
      </c>
      <c r="N58" s="58" t="s">
        <v>167</v>
      </c>
      <c r="O58" s="59">
        <v>0</v>
      </c>
      <c r="P58" s="56">
        <v>0</v>
      </c>
      <c r="Q58" s="60">
        <v>0</v>
      </c>
      <c r="R58" s="61">
        <f t="shared" si="12"/>
        <v>5284.3120000000008</v>
      </c>
      <c r="S58" s="62">
        <f t="shared" si="13"/>
        <v>270.50323499999996</v>
      </c>
      <c r="T58" s="63">
        <f t="shared" si="14"/>
        <v>456.6457620000001</v>
      </c>
      <c r="U58" s="64" t="s">
        <v>205</v>
      </c>
      <c r="V58" s="65" t="s">
        <v>915</v>
      </c>
      <c r="W58" s="66" t="s">
        <v>184</v>
      </c>
      <c r="X58" s="67">
        <v>9400</v>
      </c>
      <c r="Y58" s="68">
        <v>4.82</v>
      </c>
      <c r="Z58" s="68">
        <v>8.6199999999999992</v>
      </c>
      <c r="AA58" s="62">
        <f t="shared" si="26"/>
        <v>453.08</v>
      </c>
      <c r="AB58" s="63">
        <f t="shared" si="27"/>
        <v>810.28</v>
      </c>
      <c r="AC58" s="69">
        <v>9450</v>
      </c>
      <c r="AD58" s="70">
        <v>4.6674603174603178</v>
      </c>
      <c r="AE58" s="70">
        <v>8.4634920634920636</v>
      </c>
      <c r="AF58" s="62">
        <f t="shared" si="62"/>
        <v>441.07499999999999</v>
      </c>
      <c r="AG58" s="63">
        <f t="shared" si="63"/>
        <v>799.8</v>
      </c>
      <c r="AH58" s="89">
        <v>7615</v>
      </c>
      <c r="AI58" s="66">
        <v>8</v>
      </c>
      <c r="AJ58" s="66">
        <v>8.9</v>
      </c>
      <c r="AK58" s="62">
        <f t="shared" si="58"/>
        <v>609.20000000000005</v>
      </c>
      <c r="AL58" s="72">
        <f t="shared" si="59"/>
        <v>677.73500000000013</v>
      </c>
      <c r="AM58" s="73">
        <f t="shared" si="44"/>
        <v>-10.687999999998283</v>
      </c>
      <c r="AN58" s="80">
        <f t="shared" si="60"/>
        <v>8.8182349999999587</v>
      </c>
      <c r="AO58" s="80">
        <f t="shared" si="61"/>
        <v>-8.6692380000001776</v>
      </c>
      <c r="AP58" s="75">
        <f t="shared" si="34"/>
        <v>2.0490573543317575E-4</v>
      </c>
      <c r="AQ58" s="76">
        <f t="shared" si="8"/>
        <v>1641.0893165166995</v>
      </c>
      <c r="AR58" s="90">
        <f t="shared" si="46"/>
        <v>39.312000000001717</v>
      </c>
    </row>
    <row r="59" spans="1:49" x14ac:dyDescent="0.25">
      <c r="A59" t="str">
        <f t="shared" si="10"/>
        <v>46231E</v>
      </c>
      <c r="B59" s="51">
        <f t="shared" si="25"/>
        <v>46231</v>
      </c>
      <c r="C59" s="52" t="s">
        <v>88</v>
      </c>
      <c r="D59" s="91">
        <v>7615</v>
      </c>
      <c r="E59" s="62">
        <v>8</v>
      </c>
      <c r="F59" s="62">
        <v>8.9</v>
      </c>
      <c r="G59" s="62">
        <f t="shared" si="43"/>
        <v>609.20000000000005</v>
      </c>
      <c r="H59" s="72">
        <f t="shared" si="47"/>
        <v>677.73500000000013</v>
      </c>
      <c r="I59" s="118">
        <v>6027.2999999999975</v>
      </c>
      <c r="J59" s="119">
        <v>6208.1189999999979</v>
      </c>
      <c r="K59" s="120">
        <v>4.3596369850513499</v>
      </c>
      <c r="L59" s="121">
        <v>8.4361621289798094</v>
      </c>
      <c r="M59" s="58" t="s">
        <v>204</v>
      </c>
      <c r="N59" s="58" t="s">
        <v>913</v>
      </c>
      <c r="O59" s="59">
        <v>2430</v>
      </c>
      <c r="P59" s="56">
        <v>5.4</v>
      </c>
      <c r="Q59" s="60">
        <v>8.4</v>
      </c>
      <c r="R59" s="61">
        <f t="shared" si="12"/>
        <v>8638.1189999999988</v>
      </c>
      <c r="S59" s="62">
        <f t="shared" si="13"/>
        <v>401.87145199999992</v>
      </c>
      <c r="T59" s="63">
        <f t="shared" si="14"/>
        <v>727.84698399999991</v>
      </c>
      <c r="U59" s="64" t="s">
        <v>206</v>
      </c>
      <c r="V59" s="65" t="s">
        <v>916</v>
      </c>
      <c r="W59" s="66" t="s">
        <v>184</v>
      </c>
      <c r="X59" s="67">
        <v>8200</v>
      </c>
      <c r="Y59" s="68">
        <v>4.8499999999999996</v>
      </c>
      <c r="Z59" s="68">
        <v>8.6300000000000008</v>
      </c>
      <c r="AA59" s="62">
        <f t="shared" si="26"/>
        <v>397.69999999999993</v>
      </c>
      <c r="AB59" s="63">
        <f t="shared" si="27"/>
        <v>707.66</v>
      </c>
      <c r="AC59" s="69">
        <v>8130</v>
      </c>
      <c r="AD59" s="70">
        <v>4.7752767527675273</v>
      </c>
      <c r="AE59" s="70">
        <v>8.5502952029520305</v>
      </c>
      <c r="AF59" s="62">
        <f t="shared" si="62"/>
        <v>388.22999999999996</v>
      </c>
      <c r="AG59" s="63">
        <f t="shared" si="63"/>
        <v>695.13900000000012</v>
      </c>
      <c r="AH59" s="89">
        <v>8110</v>
      </c>
      <c r="AI59" s="66">
        <v>6.2</v>
      </c>
      <c r="AJ59" s="66">
        <v>8.6999999999999993</v>
      </c>
      <c r="AK59" s="62">
        <f t="shared" si="58"/>
        <v>502.82</v>
      </c>
      <c r="AL59" s="72">
        <f t="shared" si="59"/>
        <v>705.56999999999994</v>
      </c>
      <c r="AM59" s="73">
        <f t="shared" si="44"/>
        <v>13.118999999998778</v>
      </c>
      <c r="AN59" s="80">
        <f t="shared" si="60"/>
        <v>120.0214519999999</v>
      </c>
      <c r="AO59" s="80">
        <f t="shared" si="61"/>
        <v>4.8729839999998603</v>
      </c>
      <c r="AP59" s="75">
        <f t="shared" si="34"/>
        <v>0.11055359638301926</v>
      </c>
      <c r="AQ59" s="76">
        <f t="shared" si="8"/>
        <v>59133.629281469395</v>
      </c>
      <c r="AR59" s="90">
        <f t="shared" si="46"/>
        <v>-56.881000000001222</v>
      </c>
    </row>
    <row r="60" spans="1:49" x14ac:dyDescent="0.25">
      <c r="A60" t="str">
        <f t="shared" si="10"/>
        <v>46232M</v>
      </c>
      <c r="B60" s="51">
        <f t="shared" si="25"/>
        <v>46232</v>
      </c>
      <c r="C60" s="52" t="s">
        <v>87</v>
      </c>
      <c r="D60" s="91">
        <v>8110</v>
      </c>
      <c r="E60" s="62">
        <v>6.2</v>
      </c>
      <c r="F60" s="62">
        <v>8.6999999999999993</v>
      </c>
      <c r="G60" s="62">
        <f t="shared" si="43"/>
        <v>502.82</v>
      </c>
      <c r="H60" s="72">
        <f t="shared" si="47"/>
        <v>705.56999999999994</v>
      </c>
      <c r="I60" s="118">
        <v>4132</v>
      </c>
      <c r="J60" s="119">
        <v>4255.96</v>
      </c>
      <c r="K60" s="120">
        <v>4.6823886737657308</v>
      </c>
      <c r="L60" s="121">
        <v>8.3896902226524706</v>
      </c>
      <c r="M60" s="58">
        <v>0</v>
      </c>
      <c r="N60" s="58" t="s">
        <v>167</v>
      </c>
      <c r="O60" s="59">
        <v>0</v>
      </c>
      <c r="P60" s="56">
        <v>0</v>
      </c>
      <c r="Q60" s="60">
        <v>0</v>
      </c>
      <c r="R60" s="61">
        <f t="shared" si="12"/>
        <v>4255.96</v>
      </c>
      <c r="S60" s="62">
        <f t="shared" si="13"/>
        <v>199.28058899999999</v>
      </c>
      <c r="T60" s="63">
        <f t="shared" si="14"/>
        <v>357.06186000000014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26"/>
        <v>0</v>
      </c>
      <c r="AB60" s="63">
        <f t="shared" si="27"/>
        <v>0</v>
      </c>
      <c r="AC60" s="69"/>
      <c r="AD60" s="70"/>
      <c r="AE60" s="70"/>
      <c r="AF60" s="62">
        <f t="shared" si="62"/>
        <v>0</v>
      </c>
      <c r="AG60" s="63">
        <f t="shared" si="63"/>
        <v>0</v>
      </c>
      <c r="AH60" s="89">
        <v>12370</v>
      </c>
      <c r="AI60" s="66">
        <v>5.6</v>
      </c>
      <c r="AJ60" s="66">
        <v>8.6999999999999993</v>
      </c>
      <c r="AK60" s="62">
        <f t="shared" si="58"/>
        <v>692.71999999999991</v>
      </c>
      <c r="AL60" s="72">
        <f t="shared" si="59"/>
        <v>1076.1899999999998</v>
      </c>
      <c r="AM60" s="73">
        <f t="shared" si="44"/>
        <v>-4.0400000000008731</v>
      </c>
      <c r="AN60" s="80">
        <f t="shared" si="60"/>
        <v>9.3805890000001</v>
      </c>
      <c r="AO60" s="80">
        <f t="shared" si="61"/>
        <v>-13.558139999999867</v>
      </c>
      <c r="AP60" s="75">
        <f t="shared" si="34"/>
        <v>-7.508956053072567E-3</v>
      </c>
      <c r="AQ60" s="76">
        <f t="shared" si="8"/>
        <v>447.13609063354716</v>
      </c>
      <c r="AR60" s="90">
        <f t="shared" si="46"/>
        <v>-4.0400000000008731</v>
      </c>
    </row>
    <row r="61" spans="1:49" x14ac:dyDescent="0.25">
      <c r="A61" t="str">
        <f t="shared" si="10"/>
        <v>46232E</v>
      </c>
      <c r="B61" s="51">
        <f t="shared" si="25"/>
        <v>46232</v>
      </c>
      <c r="C61" s="52" t="s">
        <v>88</v>
      </c>
      <c r="D61" s="91">
        <v>12370</v>
      </c>
      <c r="E61" s="62">
        <v>5.6</v>
      </c>
      <c r="F61" s="62">
        <v>8.6999999999999993</v>
      </c>
      <c r="G61" s="62">
        <f t="shared" si="43"/>
        <v>692.71999999999991</v>
      </c>
      <c r="H61" s="72">
        <f t="shared" si="47"/>
        <v>1076.1899999999998</v>
      </c>
      <c r="I61" s="118">
        <v>5160.8999999999996</v>
      </c>
      <c r="J61" s="119">
        <v>5315.7269999999999</v>
      </c>
      <c r="K61" s="120">
        <v>4.3094208374508316</v>
      </c>
      <c r="L61" s="121">
        <v>8.4645197543064157</v>
      </c>
      <c r="M61" s="58">
        <v>0</v>
      </c>
      <c r="N61" s="58" t="s">
        <v>167</v>
      </c>
      <c r="O61" s="59">
        <v>0</v>
      </c>
      <c r="P61" s="56">
        <v>0</v>
      </c>
      <c r="Q61" s="60">
        <v>0</v>
      </c>
      <c r="R61" s="61">
        <f t="shared" si="12"/>
        <v>5315.7269999999999</v>
      </c>
      <c r="S61" s="62">
        <f t="shared" si="13"/>
        <v>229.07704699999996</v>
      </c>
      <c r="T61" s="63">
        <f t="shared" si="14"/>
        <v>449.95076199999977</v>
      </c>
      <c r="U61" s="64" t="s">
        <v>205</v>
      </c>
      <c r="V61" s="65" t="s">
        <v>948</v>
      </c>
      <c r="W61" s="66" t="s">
        <v>184</v>
      </c>
      <c r="X61" s="67">
        <v>9450</v>
      </c>
      <c r="Y61" s="68">
        <v>4.62</v>
      </c>
      <c r="Z61" s="68">
        <v>8.58</v>
      </c>
      <c r="AA61" s="62">
        <f t="shared" si="26"/>
        <v>436.59</v>
      </c>
      <c r="AB61" s="63">
        <f t="shared" si="27"/>
        <v>810.81000000000006</v>
      </c>
      <c r="AC61" s="221">
        <v>9450</v>
      </c>
      <c r="AD61" s="222">
        <v>4.62</v>
      </c>
      <c r="AE61" s="222">
        <v>8.58</v>
      </c>
      <c r="AF61" s="62">
        <f t="shared" si="62"/>
        <v>436.59</v>
      </c>
      <c r="AG61" s="63">
        <f t="shared" si="63"/>
        <v>810.81000000000006</v>
      </c>
      <c r="AH61" s="89">
        <v>8215</v>
      </c>
      <c r="AI61" s="66">
        <v>5.9</v>
      </c>
      <c r="AJ61" s="66">
        <v>8.9</v>
      </c>
      <c r="AK61" s="62">
        <f t="shared" si="58"/>
        <v>484.68500000000006</v>
      </c>
      <c r="AL61" s="72">
        <f t="shared" si="59"/>
        <v>731.1350000000001</v>
      </c>
      <c r="AM61" s="73">
        <f t="shared" si="44"/>
        <v>20.726999999998952</v>
      </c>
      <c r="AN61" s="80">
        <f t="shared" si="60"/>
        <v>0.5220469999998727</v>
      </c>
      <c r="AO61" s="80">
        <f t="shared" si="61"/>
        <v>-15.804238000000623</v>
      </c>
      <c r="AP61" s="75">
        <f t="shared" si="34"/>
        <v>-2.2505986938159049E-2</v>
      </c>
      <c r="AQ61" s="76">
        <f t="shared" si="8"/>
        <v>-4482.3680093330704</v>
      </c>
      <c r="AR61" s="90">
        <f t="shared" si="46"/>
        <v>20.726999999998952</v>
      </c>
    </row>
    <row r="62" spans="1:49" x14ac:dyDescent="0.25">
      <c r="A62" t="str">
        <f t="shared" si="10"/>
        <v>46233M</v>
      </c>
      <c r="B62" s="51">
        <f t="shared" si="25"/>
        <v>46233</v>
      </c>
      <c r="C62" s="52" t="s">
        <v>87</v>
      </c>
      <c r="D62" s="91">
        <v>8215</v>
      </c>
      <c r="E62" s="62">
        <v>5.9</v>
      </c>
      <c r="F62" s="62">
        <v>8.9</v>
      </c>
      <c r="G62" s="62">
        <f t="shared" si="43"/>
        <v>484.68500000000006</v>
      </c>
      <c r="H62" s="72">
        <f t="shared" si="47"/>
        <v>731.1350000000001</v>
      </c>
      <c r="I62" s="118">
        <v>5837.1</v>
      </c>
      <c r="J62" s="119">
        <v>6012.2130000000006</v>
      </c>
      <c r="K62" s="120">
        <v>4.6498603758715813</v>
      </c>
      <c r="L62" s="121">
        <v>8.3909715440886732</v>
      </c>
      <c r="M62" s="58" t="s">
        <v>204</v>
      </c>
      <c r="N62" s="58" t="s">
        <v>914</v>
      </c>
      <c r="O62" s="59">
        <v>3380</v>
      </c>
      <c r="P62" s="56">
        <v>5.5</v>
      </c>
      <c r="Q62" s="60">
        <v>8.5</v>
      </c>
      <c r="R62" s="61">
        <f t="shared" si="12"/>
        <v>9392.2129999999997</v>
      </c>
      <c r="S62" s="62">
        <f t="shared" si="13"/>
        <v>465.45951000000014</v>
      </c>
      <c r="T62" s="63">
        <f t="shared" si="14"/>
        <v>791.78308199999992</v>
      </c>
      <c r="U62" s="64" t="s">
        <v>206</v>
      </c>
      <c r="V62" s="65" t="s">
        <v>949</v>
      </c>
      <c r="W62" s="66" t="s">
        <v>184</v>
      </c>
      <c r="X62" s="67">
        <v>8000</v>
      </c>
      <c r="Y62" s="68">
        <v>5</v>
      </c>
      <c r="Z62" s="68">
        <v>8.67</v>
      </c>
      <c r="AA62" s="62">
        <f t="shared" si="26"/>
        <v>400</v>
      </c>
      <c r="AB62" s="63">
        <f t="shared" si="27"/>
        <v>693.6</v>
      </c>
      <c r="AC62" s="69">
        <v>8120</v>
      </c>
      <c r="AD62" s="70">
        <v>4.8249999999999993</v>
      </c>
      <c r="AE62" s="70">
        <v>8.5</v>
      </c>
      <c r="AF62" s="62">
        <f t="shared" si="62"/>
        <v>391.78999999999996</v>
      </c>
      <c r="AG62" s="63">
        <f t="shared" si="63"/>
        <v>690.2</v>
      </c>
      <c r="AH62" s="89">
        <v>9460</v>
      </c>
      <c r="AI62" s="66">
        <v>5.9</v>
      </c>
      <c r="AJ62" s="66">
        <v>8.8000000000000007</v>
      </c>
      <c r="AK62" s="62">
        <f t="shared" si="58"/>
        <v>558.14</v>
      </c>
      <c r="AL62" s="72">
        <f t="shared" si="59"/>
        <v>832.48000000000013</v>
      </c>
      <c r="AM62" s="73">
        <f t="shared" si="44"/>
        <v>27.212999999999738</v>
      </c>
      <c r="AN62" s="80">
        <f t="shared" si="60"/>
        <v>0.21451000000024578</v>
      </c>
      <c r="AO62" s="80">
        <f t="shared" si="61"/>
        <v>0.23808199999996305</v>
      </c>
      <c r="AP62" s="75">
        <f t="shared" si="34"/>
        <v>3.5998780416771688E-4</v>
      </c>
      <c r="AQ62" s="76">
        <f t="shared" si="8"/>
        <v>174.38247600623828</v>
      </c>
      <c r="AR62" s="90">
        <f t="shared" si="46"/>
        <v>147.21299999999974</v>
      </c>
    </row>
    <row r="63" spans="1:49" x14ac:dyDescent="0.25">
      <c r="A63" t="str">
        <f t="shared" si="10"/>
        <v>46233E</v>
      </c>
      <c r="B63" s="51">
        <f t="shared" si="25"/>
        <v>46233</v>
      </c>
      <c r="C63" s="52" t="s">
        <v>88</v>
      </c>
      <c r="D63" s="91">
        <v>9460</v>
      </c>
      <c r="E63" s="62">
        <v>5.9</v>
      </c>
      <c r="F63" s="62">
        <v>8.8000000000000007</v>
      </c>
      <c r="G63" s="62">
        <f t="shared" si="43"/>
        <v>558.14</v>
      </c>
      <c r="H63" s="72">
        <f t="shared" si="47"/>
        <v>832.48000000000013</v>
      </c>
      <c r="I63" s="118">
        <v>4427.7</v>
      </c>
      <c r="J63" s="119">
        <v>4560.5309999999999</v>
      </c>
      <c r="K63" s="120">
        <v>4.2031619125053643</v>
      </c>
      <c r="L63" s="121">
        <v>8.4861169455925207</v>
      </c>
      <c r="M63" s="58">
        <v>0</v>
      </c>
      <c r="N63" s="58" t="s">
        <v>167</v>
      </c>
      <c r="O63" s="59">
        <v>0</v>
      </c>
      <c r="P63" s="56">
        <v>0</v>
      </c>
      <c r="Q63" s="60">
        <v>0</v>
      </c>
      <c r="R63" s="61">
        <f t="shared" si="12"/>
        <v>4560.5309999999999</v>
      </c>
      <c r="S63" s="62">
        <f t="shared" si="13"/>
        <v>191.68650199999999</v>
      </c>
      <c r="T63" s="63">
        <f t="shared" si="14"/>
        <v>387.01199400000002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26"/>
        <v>0</v>
      </c>
      <c r="AB63" s="63">
        <f t="shared" si="27"/>
        <v>0</v>
      </c>
      <c r="AC63" s="69"/>
      <c r="AD63" s="70"/>
      <c r="AE63" s="70"/>
      <c r="AF63" s="62">
        <f t="shared" si="62"/>
        <v>0</v>
      </c>
      <c r="AG63" s="63">
        <f t="shared" si="63"/>
        <v>0</v>
      </c>
      <c r="AH63" s="89">
        <v>13985</v>
      </c>
      <c r="AI63" s="66">
        <v>5.3</v>
      </c>
      <c r="AJ63" s="66">
        <v>8.8000000000000007</v>
      </c>
      <c r="AK63" s="62">
        <f t="shared" si="58"/>
        <v>741.20499999999993</v>
      </c>
      <c r="AL63" s="72">
        <f t="shared" si="59"/>
        <v>1230.68</v>
      </c>
      <c r="AM63" s="73">
        <f t="shared" si="44"/>
        <v>35.53099999999904</v>
      </c>
      <c r="AN63" s="80">
        <f t="shared" si="60"/>
        <v>8.6215020000000777</v>
      </c>
      <c r="AO63" s="80">
        <f t="shared" si="61"/>
        <v>-11.188005999999859</v>
      </c>
      <c r="AP63" s="75">
        <f t="shared" si="34"/>
        <v>-4.434958821803784E-3</v>
      </c>
      <c r="AQ63" s="76">
        <f t="shared" si="8"/>
        <v>792.20411442082877</v>
      </c>
      <c r="AR63" s="90">
        <f t="shared" si="46"/>
        <v>35.53099999999904</v>
      </c>
      <c r="AS63" s="90">
        <f>SUM(J50:J63)</f>
        <v>63244.987000000001</v>
      </c>
      <c r="AT63" s="83">
        <f>SUM(AM50:AM63)</f>
        <v>34.986999999993714</v>
      </c>
      <c r="AU63" s="83">
        <f>SUM(AN50:AN63)</f>
        <v>143.53533800000014</v>
      </c>
      <c r="AV63" s="83">
        <f>SUM(AO50:AO63)</f>
        <v>-31.284980000000701</v>
      </c>
      <c r="AW63" s="83">
        <f>-SUM(AQ50:AQ63)</f>
        <v>-59603.828476085451</v>
      </c>
    </row>
    <row r="64" spans="1:49" x14ac:dyDescent="0.25">
      <c r="A64" t="str">
        <f t="shared" si="10"/>
        <v>46234M</v>
      </c>
      <c r="B64" s="51">
        <f t="shared" si="25"/>
        <v>46234</v>
      </c>
      <c r="C64" s="52" t="s">
        <v>87</v>
      </c>
      <c r="D64" s="91"/>
      <c r="E64" s="62"/>
      <c r="F64" s="62"/>
      <c r="G64" s="62">
        <f t="shared" si="43"/>
        <v>0</v>
      </c>
      <c r="H64" s="72">
        <f t="shared" si="47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26"/>
        <v>0</v>
      </c>
      <c r="AB64" s="63">
        <f t="shared" si="27"/>
        <v>0</v>
      </c>
      <c r="AC64" s="69"/>
      <c r="AD64" s="70"/>
      <c r="AE64" s="70"/>
      <c r="AF64" s="62">
        <f t="shared" ref="AF64:AF65" si="64">AC64*AD64%</f>
        <v>0</v>
      </c>
      <c r="AG64" s="63">
        <f t="shared" ref="AG64:AG65" si="65">AC64*AE64%</f>
        <v>0</v>
      </c>
      <c r="AH64" s="89"/>
      <c r="AI64" s="66"/>
      <c r="AJ64" s="66"/>
      <c r="AK64" s="62">
        <f t="shared" ref="AK64:AK65" si="66">AH64*AI64%</f>
        <v>0</v>
      </c>
      <c r="AL64" s="72">
        <f t="shared" ref="AL64:AL65" si="67">AH64*AJ64%</f>
        <v>0</v>
      </c>
      <c r="AM64" s="73">
        <f t="shared" si="44"/>
        <v>0</v>
      </c>
      <c r="AN64" s="80">
        <f t="shared" ref="AN64:AN65" si="68">+G64+S64-AF64-AK64</f>
        <v>0</v>
      </c>
      <c r="AO64" s="80">
        <f t="shared" ref="AO64:AO65" si="69">+H64+T64-AG64-AL64</f>
        <v>0</v>
      </c>
      <c r="AP64" s="75" t="e">
        <f t="shared" si="34"/>
        <v>#DIV/0!</v>
      </c>
      <c r="AQ64" s="76">
        <f t="shared" si="8"/>
        <v>0</v>
      </c>
      <c r="AR64" s="90">
        <f t="shared" si="46"/>
        <v>0</v>
      </c>
    </row>
    <row r="65" spans="1:44" x14ac:dyDescent="0.25">
      <c r="A65" t="str">
        <f t="shared" si="10"/>
        <v>46234E</v>
      </c>
      <c r="B65" s="51">
        <f t="shared" si="25"/>
        <v>46234</v>
      </c>
      <c r="C65" s="52" t="s">
        <v>88</v>
      </c>
      <c r="D65" s="91"/>
      <c r="E65" s="62"/>
      <c r="F65" s="62"/>
      <c r="G65" s="62">
        <f t="shared" si="43"/>
        <v>0</v>
      </c>
      <c r="H65" s="72">
        <f t="shared" si="47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26"/>
        <v>0</v>
      </c>
      <c r="AB65" s="63">
        <f t="shared" si="27"/>
        <v>0</v>
      </c>
      <c r="AC65" s="69"/>
      <c r="AD65" s="70"/>
      <c r="AE65" s="70"/>
      <c r="AF65" s="62">
        <f t="shared" si="64"/>
        <v>0</v>
      </c>
      <c r="AG65" s="63">
        <f t="shared" si="65"/>
        <v>0</v>
      </c>
      <c r="AH65" s="89"/>
      <c r="AI65" s="66"/>
      <c r="AJ65" s="66"/>
      <c r="AK65" s="62">
        <f t="shared" si="66"/>
        <v>0</v>
      </c>
      <c r="AL65" s="72">
        <f t="shared" si="67"/>
        <v>0</v>
      </c>
      <c r="AM65" s="73">
        <f t="shared" si="44"/>
        <v>0</v>
      </c>
      <c r="AN65" s="80">
        <f t="shared" si="68"/>
        <v>0</v>
      </c>
      <c r="AO65" s="80">
        <f t="shared" si="69"/>
        <v>0</v>
      </c>
      <c r="AP65" s="75" t="e">
        <f t="shared" si="34"/>
        <v>#DIV/0!</v>
      </c>
      <c r="AQ65" s="76">
        <f t="shared" si="8"/>
        <v>0</v>
      </c>
      <c r="AR65" s="90">
        <f t="shared" si="46"/>
        <v>0</v>
      </c>
    </row>
    <row r="66" spans="1:44" ht="15.75" thickBot="1" x14ac:dyDescent="0.3">
      <c r="J66" s="83">
        <f>SUM(J4:J65)</f>
        <v>248858.60899999997</v>
      </c>
      <c r="AM66" s="93">
        <f>-SUM(AM4:AM65)</f>
        <v>-491.60899999999492</v>
      </c>
      <c r="AN66" s="93">
        <f>-SUM(AN4:AN65)</f>
        <v>-282.60138899999924</v>
      </c>
      <c r="AO66" s="93">
        <f>-SUM(AO4:AO65)</f>
        <v>169.20459100000079</v>
      </c>
      <c r="AP66" s="94"/>
      <c r="AQ66" s="93">
        <f>-SUM(AQ4:AQ65)</f>
        <v>-85123.896420833509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9" priority="2" operator="lessThan">
      <formula>0.1</formula>
    </cfRule>
    <cfRule type="cellIs" dxfId="28" priority="3" operator="greaterThan">
      <formula>0.1</formula>
    </cfRule>
  </conditionalFormatting>
  <conditionalFormatting sqref="AP1:AQ1">
    <cfRule type="cellIs" dxfId="27" priority="1" operator="lessThan">
      <formula>1</formula>
    </cfRule>
  </conditionalFormatting>
  <conditionalFormatting sqref="AQ4:AQ65">
    <cfRule type="cellIs" dxfId="26" priority="8" operator="lessThan">
      <formula>0</formula>
    </cfRule>
    <cfRule type="cellIs" dxfId="25" priority="9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AW66"/>
  <sheetViews>
    <sheetView zoomScale="80" zoomScaleNormal="8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AH50" sqref="AH50:AJ63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7109375" customWidth="1"/>
    <col min="23" max="23" width="8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3.42578125" bestFit="1" customWidth="1"/>
    <col min="45" max="45" width="5.5703125" bestFit="1" customWidth="1"/>
    <col min="46" max="48" width="3.85546875" bestFit="1" customWidth="1"/>
    <col min="49" max="49" width="7.85546875" bestFit="1" customWidth="1"/>
  </cols>
  <sheetData>
    <row r="1" spans="1:44" ht="15.75" thickBot="1" x14ac:dyDescent="0.3">
      <c r="B1" s="43" t="s">
        <v>98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2253</v>
      </c>
      <c r="E4" s="88">
        <v>4.1100000000000003</v>
      </c>
      <c r="F4" s="88">
        <v>7.92</v>
      </c>
      <c r="G4" s="62">
        <f t="shared" ref="G4" si="0">+D4*E4%</f>
        <v>92.598300000000009</v>
      </c>
      <c r="H4" s="63">
        <f t="shared" ref="H4" si="1">+D4*F4%</f>
        <v>178.43759999999997</v>
      </c>
      <c r="I4" s="143">
        <v>331.7</v>
      </c>
      <c r="J4" s="144">
        <v>341.65100000000001</v>
      </c>
      <c r="K4" s="145">
        <v>4.073319264395538</v>
      </c>
      <c r="L4" s="146">
        <v>8.0857702743442879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341.65100000000001</v>
      </c>
      <c r="S4" s="62">
        <f>+J4*K4%+O4*P4%</f>
        <v>13.916536000000001</v>
      </c>
      <c r="T4" s="63">
        <f>+J4*L4%+O4*Q4%</f>
        <v>27.625115000000005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2">X4*Y4%</f>
        <v>0</v>
      </c>
      <c r="AB4" s="63">
        <f t="shared" ref="AB4" si="3">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66">
        <v>2594</v>
      </c>
      <c r="AI4" s="66">
        <v>4.0999999999999996</v>
      </c>
      <c r="AJ4" s="66">
        <v>7.94</v>
      </c>
      <c r="AK4" s="62">
        <f t="shared" ref="AK4" si="6">AH4*AI4%</f>
        <v>106.35399999999998</v>
      </c>
      <c r="AL4" s="72">
        <f t="shared" ref="AL4" si="7">AH4*AJ4%</f>
        <v>205.96359999999999</v>
      </c>
      <c r="AM4" s="73">
        <f>+D4+R4-AC4-AH4</f>
        <v>0.65099999999983993</v>
      </c>
      <c r="AN4" s="74">
        <f t="shared" ref="AN4:AO4" si="8">+G4+S4-AF4-AK4</f>
        <v>0.16083600000001752</v>
      </c>
      <c r="AO4" s="74">
        <f t="shared" si="8"/>
        <v>9.9114999999983411E-2</v>
      </c>
      <c r="AP4" s="75">
        <f>(AN4+AO4)/(S4+T4)</f>
        <v>6.2575991503082276E-3</v>
      </c>
      <c r="AQ4" s="76">
        <f t="shared" ref="AQ4:AQ65" si="9">($AP$1*AN4+$AQ$1*AO4)</f>
        <v>106.97099276453659</v>
      </c>
      <c r="AR4" s="90">
        <f>(D4+J4+O4)-(X4+AH4)</f>
        <v>0.65099999999983993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2594</v>
      </c>
      <c r="E5" s="62">
        <v>4.0999999999999996</v>
      </c>
      <c r="F5" s="62">
        <v>7.94</v>
      </c>
      <c r="G5" s="62">
        <f t="shared" ref="G5:G65" si="11">+D5*E5%</f>
        <v>106.35399999999998</v>
      </c>
      <c r="H5" s="63">
        <f t="shared" ref="H5:H65" si="12">+D5*F5%</f>
        <v>205.96359999999999</v>
      </c>
      <c r="I5" s="143">
        <v>480.1</v>
      </c>
      <c r="J5" s="144">
        <v>494.50300000000004</v>
      </c>
      <c r="K5" s="145">
        <v>3.9941470526973548</v>
      </c>
      <c r="L5" s="146">
        <v>8.0237658821078952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494.50300000000004</v>
      </c>
      <c r="S5" s="62">
        <f t="shared" ref="S5:S65" si="14">+J5*K5%+O5*P5%</f>
        <v>19.751177000000002</v>
      </c>
      <c r="T5" s="63">
        <f t="shared" ref="T5:T65" si="15">+J5*L5%+O5*Q5%</f>
        <v>39.677763000000013</v>
      </c>
      <c r="U5" s="64" t="s">
        <v>207</v>
      </c>
      <c r="V5" s="65" t="s">
        <v>248</v>
      </c>
      <c r="W5" s="66" t="s">
        <v>178</v>
      </c>
      <c r="X5" s="67">
        <v>2487</v>
      </c>
      <c r="Y5" s="68">
        <v>4</v>
      </c>
      <c r="Z5" s="68">
        <v>7.96</v>
      </c>
      <c r="AA5" s="62">
        <f t="shared" ref="AA5:AA65" si="16">X5*Y5%</f>
        <v>99.48</v>
      </c>
      <c r="AB5" s="63">
        <f t="shared" ref="AB5:AB65" si="17">X5*Z5%</f>
        <v>197.96520000000001</v>
      </c>
      <c r="AC5" s="69">
        <v>2484</v>
      </c>
      <c r="AD5" s="70">
        <v>3.95</v>
      </c>
      <c r="AE5" s="70">
        <v>7.94</v>
      </c>
      <c r="AF5" s="62">
        <f t="shared" ref="AF5:AF65" si="18">AC5*AD5%</f>
        <v>98.117999999999995</v>
      </c>
      <c r="AG5" s="63">
        <f t="shared" ref="AG5:AG65" si="19">AC5*AE5%</f>
        <v>197.2296</v>
      </c>
      <c r="AH5" s="66">
        <v>601</v>
      </c>
      <c r="AI5" s="66">
        <v>4.08</v>
      </c>
      <c r="AJ5" s="66">
        <v>7.95</v>
      </c>
      <c r="AK5" s="62">
        <f t="shared" ref="AK5:AK65" si="20">AH5*AI5%</f>
        <v>24.520800000000001</v>
      </c>
      <c r="AL5" s="72">
        <f t="shared" ref="AL5:AL65" si="21">AH5*AJ5%</f>
        <v>47.779499999999999</v>
      </c>
      <c r="AM5" s="73">
        <f t="shared" ref="AM5:AM65" si="22">+D5+R5-AC5-AH5</f>
        <v>3.5030000000001564</v>
      </c>
      <c r="AN5" s="74">
        <f t="shared" ref="AN5:AN65" si="23">+G5+S5-AF5-AK5</f>
        <v>3.4663769999999872</v>
      </c>
      <c r="AO5" s="74">
        <f t="shared" ref="AO5:AO65" si="24">+H5+T5-AG5-AL5</f>
        <v>0.6322630000000089</v>
      </c>
      <c r="AP5" s="75">
        <f t="shared" ref="AP5:AP65" si="25">(AN5+AO5)/(S5+T5)</f>
        <v>6.896707227152285E-2</v>
      </c>
      <c r="AQ5" s="76">
        <f t="shared" si="9"/>
        <v>1855.0641064529464</v>
      </c>
      <c r="AR5" s="90">
        <f t="shared" ref="AR5:AR65" si="26">(D5+J5+O5)-(X5+AH5)</f>
        <v>0.50300000000015643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601</v>
      </c>
      <c r="E6" s="62">
        <v>4.08</v>
      </c>
      <c r="F6" s="62">
        <v>7.95</v>
      </c>
      <c r="G6" s="62">
        <f t="shared" si="11"/>
        <v>24.520800000000001</v>
      </c>
      <c r="H6" s="63">
        <f t="shared" si="12"/>
        <v>47.779499999999999</v>
      </c>
      <c r="I6" s="143">
        <v>334.8</v>
      </c>
      <c r="J6" s="144">
        <v>344.84399999999999</v>
      </c>
      <c r="K6" s="145">
        <v>4.1380525686977307</v>
      </c>
      <c r="L6" s="146">
        <v>8.0719534050179238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344.84399999999999</v>
      </c>
      <c r="S6" s="62">
        <f t="shared" si="14"/>
        <v>14.269826000000004</v>
      </c>
      <c r="T6" s="63">
        <f t="shared" si="15"/>
        <v>27.835647000000005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946</v>
      </c>
      <c r="AI6" s="66">
        <v>4.09</v>
      </c>
      <c r="AJ6" s="66">
        <v>7.99</v>
      </c>
      <c r="AK6" s="62">
        <f t="shared" si="20"/>
        <v>38.691400000000002</v>
      </c>
      <c r="AL6" s="72">
        <f t="shared" si="21"/>
        <v>75.585399999999993</v>
      </c>
      <c r="AM6" s="73">
        <f t="shared" si="22"/>
        <v>-0.15599999999994907</v>
      </c>
      <c r="AN6" s="74">
        <f t="shared" si="23"/>
        <v>9.9226000000001591E-2</v>
      </c>
      <c r="AO6" s="74">
        <f t="shared" si="24"/>
        <v>2.9747000000014623E-2</v>
      </c>
      <c r="AP6" s="75">
        <f t="shared" si="25"/>
        <v>3.0630934843082318E-3</v>
      </c>
      <c r="AQ6" s="76">
        <f t="shared" si="9"/>
        <v>56.590284128640249</v>
      </c>
      <c r="AR6" s="90">
        <f t="shared" si="26"/>
        <v>-0.15599999999994907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946</v>
      </c>
      <c r="E7" s="62">
        <v>4.09</v>
      </c>
      <c r="F7" s="62">
        <v>7.99</v>
      </c>
      <c r="G7" s="62">
        <f t="shared" si="11"/>
        <v>38.691400000000002</v>
      </c>
      <c r="H7" s="63">
        <f t="shared" si="12"/>
        <v>75.585399999999993</v>
      </c>
      <c r="I7" s="143">
        <v>518.30000000000007</v>
      </c>
      <c r="J7" s="144">
        <v>533.84900000000005</v>
      </c>
      <c r="K7" s="145">
        <v>3.971541578236542</v>
      </c>
      <c r="L7" s="146">
        <v>8.0424657534246577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533.84900000000005</v>
      </c>
      <c r="S7" s="62">
        <f t="shared" si="14"/>
        <v>21.202034999999999</v>
      </c>
      <c r="T7" s="63">
        <f t="shared" si="15"/>
        <v>42.934623000000002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1479</v>
      </c>
      <c r="AI7" s="66">
        <v>4.03</v>
      </c>
      <c r="AJ7" s="66">
        <v>8.01</v>
      </c>
      <c r="AK7" s="62">
        <f t="shared" si="20"/>
        <v>59.603700000000003</v>
      </c>
      <c r="AL7" s="72">
        <f t="shared" si="21"/>
        <v>118.4679</v>
      </c>
      <c r="AM7" s="73">
        <f t="shared" si="22"/>
        <v>0.84900000000016007</v>
      </c>
      <c r="AN7" s="74">
        <f t="shared" si="23"/>
        <v>0.28973499999999319</v>
      </c>
      <c r="AO7" s="74">
        <f t="shared" si="24"/>
        <v>5.212299999999459E-2</v>
      </c>
      <c r="AP7" s="75">
        <f t="shared" si="25"/>
        <v>5.3301498808994352E-3</v>
      </c>
      <c r="AQ7" s="76">
        <f t="shared" si="9"/>
        <v>154.83747181304639</v>
      </c>
      <c r="AR7" s="90">
        <f t="shared" si="26"/>
        <v>0.84900000000016007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1479</v>
      </c>
      <c r="E8" s="62">
        <v>4.03</v>
      </c>
      <c r="F8" s="62">
        <v>8.01</v>
      </c>
      <c r="G8" s="62">
        <f t="shared" si="11"/>
        <v>59.603700000000003</v>
      </c>
      <c r="H8" s="63">
        <f t="shared" si="12"/>
        <v>118.4679</v>
      </c>
      <c r="I8" s="143">
        <v>280.59999999999997</v>
      </c>
      <c r="J8" s="144">
        <v>289.01799999999997</v>
      </c>
      <c r="K8" s="145">
        <v>4.2951176051318596</v>
      </c>
      <c r="L8" s="146">
        <v>7.9671062009978613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289.01799999999997</v>
      </c>
      <c r="S8" s="62">
        <f t="shared" si="14"/>
        <v>12.413662999999996</v>
      </c>
      <c r="T8" s="63">
        <f t="shared" si="15"/>
        <v>23.026370999999997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6"/>
        <v>0</v>
      </c>
      <c r="AB8" s="63">
        <f t="shared" si="17"/>
        <v>0</v>
      </c>
      <c r="AC8" s="69"/>
      <c r="AD8" s="70"/>
      <c r="AE8" s="70"/>
      <c r="AF8" s="62">
        <f t="shared" si="18"/>
        <v>0</v>
      </c>
      <c r="AG8" s="63">
        <f t="shared" si="19"/>
        <v>0</v>
      </c>
      <c r="AH8" s="66">
        <v>1768</v>
      </c>
      <c r="AI8" s="66">
        <v>4.07</v>
      </c>
      <c r="AJ8" s="66">
        <v>8</v>
      </c>
      <c r="AK8" s="62">
        <f t="shared" si="20"/>
        <v>71.957599999999999</v>
      </c>
      <c r="AL8" s="72">
        <f t="shared" si="21"/>
        <v>141.44</v>
      </c>
      <c r="AM8" s="73">
        <f t="shared" si="22"/>
        <v>1.8000000000029104E-2</v>
      </c>
      <c r="AN8" s="74">
        <f t="shared" si="23"/>
        <v>5.9763000000003785E-2</v>
      </c>
      <c r="AO8" s="74">
        <f t="shared" si="24"/>
        <v>5.4270999999999958E-2</v>
      </c>
      <c r="AP8" s="75">
        <f t="shared" si="25"/>
        <v>3.2176605699645706E-3</v>
      </c>
      <c r="AQ8" s="76">
        <f t="shared" si="9"/>
        <v>44.971747923860875</v>
      </c>
      <c r="AR8" s="90">
        <f t="shared" si="26"/>
        <v>1.8000000000029104E-2</v>
      </c>
    </row>
    <row r="9" spans="1:44" x14ac:dyDescent="0.25">
      <c r="A9" t="str">
        <f t="shared" si="10"/>
        <v>46206E</v>
      </c>
      <c r="B9" s="51">
        <f t="shared" ref="B9:B65" si="27">+B7+1</f>
        <v>46206</v>
      </c>
      <c r="C9" s="52" t="s">
        <v>88</v>
      </c>
      <c r="D9" s="91">
        <v>1768</v>
      </c>
      <c r="E9" s="62">
        <v>4.07</v>
      </c>
      <c r="F9" s="62">
        <v>8</v>
      </c>
      <c r="G9" s="62">
        <f t="shared" si="11"/>
        <v>71.957599999999999</v>
      </c>
      <c r="H9" s="63">
        <f t="shared" si="12"/>
        <v>141.44</v>
      </c>
      <c r="I9" s="143">
        <v>486.40000000000003</v>
      </c>
      <c r="J9" s="144">
        <v>500.99200000000008</v>
      </c>
      <c r="K9" s="145">
        <v>4.2484580592105265</v>
      </c>
      <c r="L9" s="146">
        <v>7.9801192434210524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500.99200000000008</v>
      </c>
      <c r="S9" s="62">
        <f t="shared" si="14"/>
        <v>21.284435000000006</v>
      </c>
      <c r="T9" s="63">
        <f t="shared" si="15"/>
        <v>39.979759000000001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2269</v>
      </c>
      <c r="AI9" s="66">
        <v>4.0999999999999996</v>
      </c>
      <c r="AJ9" s="66">
        <v>7.99</v>
      </c>
      <c r="AK9" s="62">
        <f t="shared" si="20"/>
        <v>93.028999999999982</v>
      </c>
      <c r="AL9" s="72">
        <f t="shared" si="21"/>
        <v>181.29310000000001</v>
      </c>
      <c r="AM9" s="73">
        <f t="shared" si="22"/>
        <v>-7.9999999998108251E-3</v>
      </c>
      <c r="AN9" s="74">
        <f t="shared" si="23"/>
        <v>0.21303500000001918</v>
      </c>
      <c r="AO9" s="74">
        <f t="shared" si="24"/>
        <v>0.12665899999998942</v>
      </c>
      <c r="AP9" s="75">
        <f t="shared" si="25"/>
        <v>5.5447395586402165E-3</v>
      </c>
      <c r="AQ9" s="76">
        <f t="shared" si="9"/>
        <v>140.3034939446473</v>
      </c>
      <c r="AR9" s="90">
        <f t="shared" si="26"/>
        <v>-7.9999999998108251E-3</v>
      </c>
    </row>
    <row r="10" spans="1:44" x14ac:dyDescent="0.25">
      <c r="A10" t="str">
        <f t="shared" si="10"/>
        <v>46207M</v>
      </c>
      <c r="B10" s="51">
        <f t="shared" si="27"/>
        <v>46207</v>
      </c>
      <c r="C10" s="52" t="s">
        <v>87</v>
      </c>
      <c r="D10" s="91">
        <v>2269</v>
      </c>
      <c r="E10" s="62">
        <v>4.0999999999999996</v>
      </c>
      <c r="F10" s="62">
        <v>7.99</v>
      </c>
      <c r="G10" s="62">
        <f t="shared" si="11"/>
        <v>93.028999999999982</v>
      </c>
      <c r="H10" s="63">
        <f t="shared" si="12"/>
        <v>181.29310000000001</v>
      </c>
      <c r="I10" s="143">
        <v>309</v>
      </c>
      <c r="J10" s="144">
        <v>318.27</v>
      </c>
      <c r="K10" s="145">
        <v>4.3012944983818766</v>
      </c>
      <c r="L10" s="146">
        <v>8.0760194174757274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318.27</v>
      </c>
      <c r="S10" s="62">
        <f t="shared" si="14"/>
        <v>13.689729999999997</v>
      </c>
      <c r="T10" s="63">
        <f t="shared" si="15"/>
        <v>25.703546999999997</v>
      </c>
      <c r="U10" s="64" t="s">
        <v>207</v>
      </c>
      <c r="V10" s="65" t="s">
        <v>289</v>
      </c>
      <c r="W10" s="66" t="s">
        <v>178</v>
      </c>
      <c r="X10" s="67">
        <v>2068</v>
      </c>
      <c r="Y10" s="68">
        <v>4</v>
      </c>
      <c r="Z10" s="68">
        <v>7.94</v>
      </c>
      <c r="AA10" s="62">
        <f t="shared" si="16"/>
        <v>82.72</v>
      </c>
      <c r="AB10" s="63">
        <f t="shared" si="17"/>
        <v>164.19919999999999</v>
      </c>
      <c r="AC10" s="69">
        <v>2066</v>
      </c>
      <c r="AD10" s="70">
        <v>3.95</v>
      </c>
      <c r="AE10" s="70">
        <v>7.94</v>
      </c>
      <c r="AF10" s="62">
        <f t="shared" si="18"/>
        <v>81.606999999999999</v>
      </c>
      <c r="AG10" s="63">
        <f t="shared" si="19"/>
        <v>164.04040000000001</v>
      </c>
      <c r="AH10" s="66">
        <v>519</v>
      </c>
      <c r="AI10" s="66">
        <v>4.12</v>
      </c>
      <c r="AJ10" s="66">
        <v>8</v>
      </c>
      <c r="AK10" s="62">
        <f t="shared" si="20"/>
        <v>21.3828</v>
      </c>
      <c r="AL10" s="72">
        <f t="shared" si="21"/>
        <v>41.52</v>
      </c>
      <c r="AM10" s="73">
        <f t="shared" si="22"/>
        <v>2.2699999999999818</v>
      </c>
      <c r="AN10" s="74">
        <f t="shared" si="23"/>
        <v>3.7289299999999805</v>
      </c>
      <c r="AO10" s="74">
        <f t="shared" si="24"/>
        <v>1.4362469999999874</v>
      </c>
      <c r="AP10" s="75">
        <f t="shared" si="25"/>
        <v>0.13111823624117303</v>
      </c>
      <c r="AQ10" s="76">
        <f t="shared" si="9"/>
        <v>2222.0154186381915</v>
      </c>
      <c r="AR10" s="90">
        <f t="shared" si="26"/>
        <v>0.26999999999998181</v>
      </c>
    </row>
    <row r="11" spans="1:44" x14ac:dyDescent="0.25">
      <c r="A11" t="str">
        <f t="shared" si="10"/>
        <v>46207E</v>
      </c>
      <c r="B11" s="51">
        <f t="shared" si="27"/>
        <v>46207</v>
      </c>
      <c r="C11" s="52" t="s">
        <v>88</v>
      </c>
      <c r="D11" s="91">
        <v>519</v>
      </c>
      <c r="E11" s="62">
        <v>4.12</v>
      </c>
      <c r="F11" s="62">
        <v>8</v>
      </c>
      <c r="G11" s="62">
        <f t="shared" si="11"/>
        <v>21.3828</v>
      </c>
      <c r="H11" s="63">
        <f t="shared" si="12"/>
        <v>41.52</v>
      </c>
      <c r="I11" s="143">
        <v>499</v>
      </c>
      <c r="J11" s="144">
        <v>513.97</v>
      </c>
      <c r="K11" s="145">
        <v>4.0546092184368732</v>
      </c>
      <c r="L11" s="146">
        <v>8.0751903807615228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513.97</v>
      </c>
      <c r="S11" s="62">
        <f t="shared" si="14"/>
        <v>20.839475</v>
      </c>
      <c r="T11" s="63">
        <f t="shared" si="15"/>
        <v>41.504055999999999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1032</v>
      </c>
      <c r="AI11" s="66">
        <v>4.08</v>
      </c>
      <c r="AJ11" s="66">
        <v>8.0399999999999991</v>
      </c>
      <c r="AK11" s="62">
        <f t="shared" si="20"/>
        <v>42.105600000000003</v>
      </c>
      <c r="AL11" s="72">
        <f t="shared" si="21"/>
        <v>82.972799999999978</v>
      </c>
      <c r="AM11" s="73">
        <f t="shared" si="22"/>
        <v>0.97000000000002728</v>
      </c>
      <c r="AN11" s="74">
        <f t="shared" si="23"/>
        <v>0.11667499999999364</v>
      </c>
      <c r="AO11" s="74">
        <f t="shared" si="24"/>
        <v>5.1256000000023505E-2</v>
      </c>
      <c r="AP11" s="75">
        <f t="shared" si="25"/>
        <v>2.6936395373566048E-3</v>
      </c>
      <c r="AQ11" s="76">
        <f t="shared" si="9"/>
        <v>71.416850547110172</v>
      </c>
      <c r="AR11" s="90">
        <f t="shared" si="26"/>
        <v>0.97000000000002728</v>
      </c>
    </row>
    <row r="12" spans="1:44" x14ac:dyDescent="0.25">
      <c r="A12" t="str">
        <f t="shared" si="10"/>
        <v>46208M</v>
      </c>
      <c r="B12" s="51">
        <f t="shared" si="27"/>
        <v>46208</v>
      </c>
      <c r="C12" s="52" t="s">
        <v>87</v>
      </c>
      <c r="D12" s="91">
        <v>1032</v>
      </c>
      <c r="E12" s="62">
        <v>4.08</v>
      </c>
      <c r="F12" s="62">
        <v>8.0399999999999991</v>
      </c>
      <c r="G12" s="62">
        <f t="shared" si="11"/>
        <v>42.105600000000003</v>
      </c>
      <c r="H12" s="63">
        <f t="shared" si="12"/>
        <v>82.972799999999978</v>
      </c>
      <c r="I12" s="143">
        <v>317.89999999999998</v>
      </c>
      <c r="J12" s="144">
        <v>327.43700000000001</v>
      </c>
      <c r="K12" s="145">
        <v>4.389430638565587</v>
      </c>
      <c r="L12" s="146">
        <v>8.0862849952815345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327.43700000000001</v>
      </c>
      <c r="S12" s="62">
        <f t="shared" si="14"/>
        <v>14.372620000000001</v>
      </c>
      <c r="T12" s="63">
        <f t="shared" si="15"/>
        <v>26.477488999999998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1359</v>
      </c>
      <c r="AI12" s="66">
        <v>4.1500000000000004</v>
      </c>
      <c r="AJ12" s="66">
        <v>8.0399999999999991</v>
      </c>
      <c r="AK12" s="62">
        <f t="shared" si="20"/>
        <v>56.398500000000006</v>
      </c>
      <c r="AL12" s="72">
        <f t="shared" si="21"/>
        <v>109.26359999999998</v>
      </c>
      <c r="AM12" s="73">
        <f t="shared" si="22"/>
        <v>0.43699999999989814</v>
      </c>
      <c r="AN12" s="74">
        <f t="shared" si="23"/>
        <v>7.9720000000001789E-2</v>
      </c>
      <c r="AO12" s="74">
        <f t="shared" si="24"/>
        <v>0.186688999999987</v>
      </c>
      <c r="AP12" s="75">
        <f t="shared" si="25"/>
        <v>6.5216227452413594E-3</v>
      </c>
      <c r="AQ12" s="76">
        <f t="shared" si="9"/>
        <v>94.219748100165447</v>
      </c>
      <c r="AR12" s="90">
        <f t="shared" si="26"/>
        <v>0.43699999999989814</v>
      </c>
    </row>
    <row r="13" spans="1:44" x14ac:dyDescent="0.25">
      <c r="A13" t="str">
        <f t="shared" si="10"/>
        <v>46208E</v>
      </c>
      <c r="B13" s="51">
        <f t="shared" si="27"/>
        <v>46208</v>
      </c>
      <c r="C13" s="52" t="s">
        <v>88</v>
      </c>
      <c r="D13" s="91">
        <v>1359</v>
      </c>
      <c r="E13" s="62">
        <v>4.1500000000000004</v>
      </c>
      <c r="F13" s="62">
        <v>8.0399999999999991</v>
      </c>
      <c r="G13" s="62">
        <f t="shared" si="11"/>
        <v>56.398500000000006</v>
      </c>
      <c r="H13" s="63">
        <f t="shared" si="12"/>
        <v>109.26359999999998</v>
      </c>
      <c r="I13" s="143">
        <v>525.00000000000011</v>
      </c>
      <c r="J13" s="144">
        <v>540.75000000000011</v>
      </c>
      <c r="K13" s="145">
        <v>4.4862857142857147</v>
      </c>
      <c r="L13" s="146">
        <v>8.1143428571428569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540.75000000000011</v>
      </c>
      <c r="S13" s="62">
        <f t="shared" si="14"/>
        <v>24.25959000000001</v>
      </c>
      <c r="T13" s="63">
        <f t="shared" si="15"/>
        <v>43.878309000000009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1899</v>
      </c>
      <c r="AI13" s="66">
        <v>4.24</v>
      </c>
      <c r="AJ13" s="66">
        <v>8.0500000000000007</v>
      </c>
      <c r="AK13" s="62">
        <f t="shared" si="20"/>
        <v>80.517600000000002</v>
      </c>
      <c r="AL13" s="72">
        <f t="shared" si="21"/>
        <v>152.86950000000002</v>
      </c>
      <c r="AM13" s="73">
        <f t="shared" si="22"/>
        <v>0.75</v>
      </c>
      <c r="AN13" s="74">
        <f t="shared" si="23"/>
        <v>0.14049000000001399</v>
      </c>
      <c r="AO13" s="74">
        <f t="shared" si="24"/>
        <v>0.27240899999998192</v>
      </c>
      <c r="AP13" s="75">
        <f t="shared" si="25"/>
        <v>6.0597553793080086E-3</v>
      </c>
      <c r="AQ13" s="76">
        <f t="shared" si="9"/>
        <v>149.09408782320972</v>
      </c>
      <c r="AR13" s="90">
        <f t="shared" si="26"/>
        <v>0.75</v>
      </c>
    </row>
    <row r="14" spans="1:44" x14ac:dyDescent="0.25">
      <c r="A14" t="str">
        <f t="shared" si="10"/>
        <v>46209M</v>
      </c>
      <c r="B14" s="51">
        <f t="shared" si="27"/>
        <v>46209</v>
      </c>
      <c r="C14" s="52" t="s">
        <v>87</v>
      </c>
      <c r="D14" s="91">
        <v>1899</v>
      </c>
      <c r="E14" s="62">
        <v>4.24</v>
      </c>
      <c r="F14" s="62">
        <v>8.0500000000000007</v>
      </c>
      <c r="G14" s="62">
        <f t="shared" si="11"/>
        <v>80.517600000000002</v>
      </c>
      <c r="H14" s="63">
        <f t="shared" si="12"/>
        <v>152.86950000000002</v>
      </c>
      <c r="I14" s="143">
        <v>355.99999999999994</v>
      </c>
      <c r="J14" s="144">
        <v>366.67999999999995</v>
      </c>
      <c r="K14" s="145">
        <v>4.3015449438202253</v>
      </c>
      <c r="L14" s="146">
        <v>8.1549157303370805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366.67999999999995</v>
      </c>
      <c r="S14" s="62">
        <f t="shared" si="14"/>
        <v>15.772905000000002</v>
      </c>
      <c r="T14" s="63">
        <f t="shared" si="15"/>
        <v>29.902445000000004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66">
        <v>2265</v>
      </c>
      <c r="AI14" s="66">
        <v>4.25</v>
      </c>
      <c r="AJ14" s="66">
        <v>8.06</v>
      </c>
      <c r="AK14" s="62">
        <f t="shared" si="20"/>
        <v>96.262500000000003</v>
      </c>
      <c r="AL14" s="72">
        <f t="shared" si="21"/>
        <v>182.559</v>
      </c>
      <c r="AM14" s="73">
        <f t="shared" si="22"/>
        <v>0.67999999999983629</v>
      </c>
      <c r="AN14" s="74">
        <f t="shared" si="23"/>
        <v>2.8004999999993174E-2</v>
      </c>
      <c r="AO14" s="74">
        <f t="shared" si="24"/>
        <v>0.21294500000001904</v>
      </c>
      <c r="AP14" s="75">
        <f t="shared" si="25"/>
        <v>5.2752743000329975E-3</v>
      </c>
      <c r="AQ14" s="76">
        <f t="shared" si="9"/>
        <v>77.232445717438736</v>
      </c>
      <c r="AR14" s="90">
        <f t="shared" si="26"/>
        <v>0.67999999999983629</v>
      </c>
    </row>
    <row r="15" spans="1:44" x14ac:dyDescent="0.25">
      <c r="A15" t="str">
        <f t="shared" si="10"/>
        <v>46209E</v>
      </c>
      <c r="B15" s="51">
        <f t="shared" si="27"/>
        <v>46209</v>
      </c>
      <c r="C15" s="52" t="s">
        <v>88</v>
      </c>
      <c r="D15" s="91">
        <v>2265</v>
      </c>
      <c r="E15" s="62">
        <v>4.25</v>
      </c>
      <c r="F15" s="62">
        <v>8.06</v>
      </c>
      <c r="G15" s="62">
        <f t="shared" si="11"/>
        <v>96.262500000000003</v>
      </c>
      <c r="H15" s="63">
        <f t="shared" si="12"/>
        <v>182.559</v>
      </c>
      <c r="I15" s="143">
        <v>448.30000000000007</v>
      </c>
      <c r="J15" s="144">
        <v>461.74900000000008</v>
      </c>
      <c r="K15" s="145">
        <v>4.107606513495428</v>
      </c>
      <c r="L15" s="146">
        <v>8.0207004238233299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461.74900000000008</v>
      </c>
      <c r="S15" s="62">
        <f t="shared" si="14"/>
        <v>18.966832000000007</v>
      </c>
      <c r="T15" s="63">
        <f t="shared" si="15"/>
        <v>37.035503999999989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2726</v>
      </c>
      <c r="AI15" s="66">
        <v>4.22</v>
      </c>
      <c r="AJ15" s="66">
        <v>8.0500000000000007</v>
      </c>
      <c r="AK15" s="62">
        <f t="shared" si="20"/>
        <v>115.03719999999998</v>
      </c>
      <c r="AL15" s="72">
        <f t="shared" si="21"/>
        <v>219.44300000000001</v>
      </c>
      <c r="AM15" s="73">
        <f t="shared" si="22"/>
        <v>0.74900000000025102</v>
      </c>
      <c r="AN15" s="74">
        <f t="shared" si="23"/>
        <v>0.19213200000002928</v>
      </c>
      <c r="AO15" s="74">
        <f t="shared" si="24"/>
        <v>0.15150399999996012</v>
      </c>
      <c r="AP15" s="75">
        <f t="shared" si="25"/>
        <v>6.1361011797791687E-3</v>
      </c>
      <c r="AQ15" s="76">
        <f t="shared" si="9"/>
        <v>137.69977844382126</v>
      </c>
      <c r="AR15" s="90">
        <f t="shared" si="26"/>
        <v>0.74900000000025102</v>
      </c>
    </row>
    <row r="16" spans="1:44" x14ac:dyDescent="0.25">
      <c r="A16" t="str">
        <f t="shared" si="10"/>
        <v>46210M</v>
      </c>
      <c r="B16" s="51">
        <f t="shared" si="27"/>
        <v>46210</v>
      </c>
      <c r="C16" s="52" t="s">
        <v>87</v>
      </c>
      <c r="D16" s="91">
        <v>2726</v>
      </c>
      <c r="E16" s="62">
        <v>4.22</v>
      </c>
      <c r="F16" s="62">
        <v>8.0500000000000007</v>
      </c>
      <c r="G16" s="62">
        <f t="shared" si="11"/>
        <v>115.03719999999998</v>
      </c>
      <c r="H16" s="63">
        <f t="shared" si="12"/>
        <v>219.44300000000001</v>
      </c>
      <c r="I16" s="143">
        <v>366.80000000000007</v>
      </c>
      <c r="J16" s="144">
        <v>377.80400000000009</v>
      </c>
      <c r="K16" s="145">
        <v>4.4805070883315166</v>
      </c>
      <c r="L16" s="146">
        <v>8.3244547437295537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377.80400000000009</v>
      </c>
      <c r="S16" s="62">
        <f t="shared" si="14"/>
        <v>16.927535000000006</v>
      </c>
      <c r="T16" s="63">
        <f t="shared" si="15"/>
        <v>31.450123000000008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66">
        <v>3103</v>
      </c>
      <c r="AI16" s="66">
        <v>4.25</v>
      </c>
      <c r="AJ16" s="66">
        <v>8.08</v>
      </c>
      <c r="AK16" s="62">
        <f t="shared" si="20"/>
        <v>131.8775</v>
      </c>
      <c r="AL16" s="72">
        <f t="shared" si="21"/>
        <v>250.72239999999999</v>
      </c>
      <c r="AM16" s="73">
        <f t="shared" si="22"/>
        <v>0.80400000000008731</v>
      </c>
      <c r="AN16" s="74">
        <f t="shared" si="23"/>
        <v>8.7234999999992624E-2</v>
      </c>
      <c r="AO16" s="74">
        <f t="shared" si="24"/>
        <v>0.17072300000003793</v>
      </c>
      <c r="AP16" s="75">
        <f t="shared" si="25"/>
        <v>5.3321721361548856E-3</v>
      </c>
      <c r="AQ16" s="76">
        <f t="shared" si="9"/>
        <v>93.049275324056325</v>
      </c>
      <c r="AR16" s="90">
        <f t="shared" si="26"/>
        <v>0.80400000000008731</v>
      </c>
    </row>
    <row r="17" spans="1:49" x14ac:dyDescent="0.25">
      <c r="A17" t="str">
        <f t="shared" si="10"/>
        <v>46210E</v>
      </c>
      <c r="B17" s="51">
        <f t="shared" si="27"/>
        <v>46210</v>
      </c>
      <c r="C17" s="52" t="s">
        <v>88</v>
      </c>
      <c r="D17" s="91">
        <v>3103</v>
      </c>
      <c r="E17" s="62">
        <v>4.25</v>
      </c>
      <c r="F17" s="62">
        <v>8.08</v>
      </c>
      <c r="G17" s="62">
        <f t="shared" si="11"/>
        <v>131.8775</v>
      </c>
      <c r="H17" s="63">
        <f t="shared" si="12"/>
        <v>250.72239999999999</v>
      </c>
      <c r="I17" s="143">
        <v>683.59999999999991</v>
      </c>
      <c r="J17" s="144">
        <v>704.10799999999995</v>
      </c>
      <c r="K17" s="145">
        <v>3.9785254534815691</v>
      </c>
      <c r="L17" s="146">
        <v>7.987170860152137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704.10799999999995</v>
      </c>
      <c r="S17" s="62">
        <f t="shared" si="14"/>
        <v>28.013116000000004</v>
      </c>
      <c r="T17" s="63">
        <f t="shared" si="15"/>
        <v>56.238309000000008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3807</v>
      </c>
      <c r="AI17" s="66">
        <v>4.2</v>
      </c>
      <c r="AJ17" s="66">
        <v>8.06</v>
      </c>
      <c r="AK17" s="62">
        <f t="shared" si="20"/>
        <v>159.89400000000001</v>
      </c>
      <c r="AL17" s="72">
        <f t="shared" si="21"/>
        <v>306.8442</v>
      </c>
      <c r="AM17" s="73">
        <f t="shared" si="22"/>
        <v>0.10800000000017462</v>
      </c>
      <c r="AN17" s="74">
        <f t="shared" si="23"/>
        <v>-3.3840000000111559E-3</v>
      </c>
      <c r="AO17" s="74">
        <f t="shared" si="24"/>
        <v>0.11650900000000775</v>
      </c>
      <c r="AP17" s="75">
        <f t="shared" si="25"/>
        <v>1.342707259847493E-3</v>
      </c>
      <c r="AQ17" s="76">
        <f t="shared" si="9"/>
        <v>33.267286140233558</v>
      </c>
      <c r="AR17" s="90">
        <f t="shared" si="26"/>
        <v>0.10800000000017462</v>
      </c>
    </row>
    <row r="18" spans="1:49" x14ac:dyDescent="0.25">
      <c r="A18" t="str">
        <f t="shared" si="10"/>
        <v>46211M</v>
      </c>
      <c r="B18" s="51">
        <f t="shared" si="27"/>
        <v>46211</v>
      </c>
      <c r="C18" s="52" t="s">
        <v>87</v>
      </c>
      <c r="D18" s="91">
        <v>3807</v>
      </c>
      <c r="E18" s="62">
        <v>4.2</v>
      </c>
      <c r="F18" s="62">
        <v>8.06</v>
      </c>
      <c r="G18" s="62">
        <f t="shared" si="11"/>
        <v>159.89400000000001</v>
      </c>
      <c r="H18" s="63">
        <f t="shared" si="12"/>
        <v>306.8442</v>
      </c>
      <c r="I18" s="143">
        <v>414.09999999999991</v>
      </c>
      <c r="J18" s="144">
        <v>426.52299999999991</v>
      </c>
      <c r="K18" s="145">
        <v>4.0799323834822525</v>
      </c>
      <c r="L18" s="146">
        <v>8.1300652016421182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426.52299999999991</v>
      </c>
      <c r="S18" s="62">
        <f t="shared" si="14"/>
        <v>17.401850000000003</v>
      </c>
      <c r="T18" s="63">
        <f t="shared" si="15"/>
        <v>34.676598000000006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4233</v>
      </c>
      <c r="AI18" s="66">
        <v>4.18</v>
      </c>
      <c r="AJ18" s="66">
        <v>8.06</v>
      </c>
      <c r="AK18" s="62">
        <f t="shared" si="20"/>
        <v>176.93939999999998</v>
      </c>
      <c r="AL18" s="72">
        <f t="shared" si="21"/>
        <v>341.1798</v>
      </c>
      <c r="AM18" s="73">
        <f t="shared" si="22"/>
        <v>0.52300000000013824</v>
      </c>
      <c r="AN18" s="74">
        <f t="shared" si="23"/>
        <v>0.35645000000002369</v>
      </c>
      <c r="AO18" s="74">
        <f t="shared" si="24"/>
        <v>0.34099800000001323</v>
      </c>
      <c r="AP18" s="75">
        <f t="shared" si="25"/>
        <v>1.3392257772352142E-2</v>
      </c>
      <c r="AQ18" s="76">
        <f t="shared" si="9"/>
        <v>273.41169143497626</v>
      </c>
      <c r="AR18" s="90">
        <f t="shared" si="26"/>
        <v>0.52300000000013824</v>
      </c>
    </row>
    <row r="19" spans="1:49" x14ac:dyDescent="0.25">
      <c r="A19" t="str">
        <f t="shared" si="10"/>
        <v>46211E</v>
      </c>
      <c r="B19" s="51">
        <f t="shared" si="27"/>
        <v>46211</v>
      </c>
      <c r="C19" s="52" t="s">
        <v>88</v>
      </c>
      <c r="D19" s="91">
        <v>4233</v>
      </c>
      <c r="E19" s="62">
        <v>4.18</v>
      </c>
      <c r="F19" s="62">
        <v>8.06</v>
      </c>
      <c r="G19" s="62">
        <f t="shared" si="11"/>
        <v>176.93939999999998</v>
      </c>
      <c r="H19" s="63">
        <f t="shared" si="12"/>
        <v>341.1798</v>
      </c>
      <c r="I19" s="143">
        <v>786.90000000000009</v>
      </c>
      <c r="J19" s="144">
        <v>810.50700000000006</v>
      </c>
      <c r="K19" s="145">
        <v>4.0060871775320885</v>
      </c>
      <c r="L19" s="146">
        <v>7.9844325835557246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810.50700000000006</v>
      </c>
      <c r="S19" s="62">
        <f t="shared" si="14"/>
        <v>32.469617000000007</v>
      </c>
      <c r="T19" s="63">
        <f t="shared" si="15"/>
        <v>64.714384999999993</v>
      </c>
      <c r="U19" s="64" t="s">
        <v>207</v>
      </c>
      <c r="V19" s="65" t="s">
        <v>418</v>
      </c>
      <c r="W19" s="66" t="s">
        <v>178</v>
      </c>
      <c r="X19" s="67">
        <v>3188</v>
      </c>
      <c r="Y19" s="68">
        <v>4</v>
      </c>
      <c r="Z19" s="68">
        <v>8</v>
      </c>
      <c r="AA19" s="62">
        <f t="shared" si="16"/>
        <v>127.52</v>
      </c>
      <c r="AB19" s="63">
        <f t="shared" si="17"/>
        <v>255.04</v>
      </c>
      <c r="AC19" s="69">
        <v>3178</v>
      </c>
      <c r="AD19" s="70">
        <v>3.95</v>
      </c>
      <c r="AE19" s="70">
        <v>8</v>
      </c>
      <c r="AF19" s="62">
        <f t="shared" si="18"/>
        <v>125.53100000000001</v>
      </c>
      <c r="AG19" s="63">
        <f t="shared" si="19"/>
        <v>254.24</v>
      </c>
      <c r="AH19" s="66">
        <v>1855</v>
      </c>
      <c r="AI19" s="66">
        <v>4.1500000000000004</v>
      </c>
      <c r="AJ19" s="66">
        <v>8.0399999999999991</v>
      </c>
      <c r="AK19" s="62">
        <f t="shared" si="20"/>
        <v>76.982500000000002</v>
      </c>
      <c r="AL19" s="72">
        <f t="shared" si="21"/>
        <v>149.14199999999997</v>
      </c>
      <c r="AM19" s="73">
        <f t="shared" si="22"/>
        <v>10.506999999999607</v>
      </c>
      <c r="AN19" s="74">
        <f t="shared" si="23"/>
        <v>6.8955169999999697</v>
      </c>
      <c r="AO19" s="74">
        <f t="shared" si="24"/>
        <v>2.5121850000000165</v>
      </c>
      <c r="AP19" s="75">
        <f t="shared" si="25"/>
        <v>9.6802990269941616E-2</v>
      </c>
      <c r="AQ19" s="76">
        <f t="shared" si="9"/>
        <v>4065.8973856766142</v>
      </c>
      <c r="AR19" s="90">
        <f t="shared" si="26"/>
        <v>0.5069999999996071</v>
      </c>
    </row>
    <row r="20" spans="1:49" x14ac:dyDescent="0.25">
      <c r="A20" t="str">
        <f t="shared" si="10"/>
        <v>46212M</v>
      </c>
      <c r="B20" s="51">
        <f t="shared" si="27"/>
        <v>46212</v>
      </c>
      <c r="C20" s="52" t="s">
        <v>87</v>
      </c>
      <c r="D20" s="91">
        <v>1855</v>
      </c>
      <c r="E20" s="62">
        <v>4.1500000000000004</v>
      </c>
      <c r="F20" s="62">
        <v>8.0399999999999991</v>
      </c>
      <c r="G20" s="62">
        <f t="shared" si="11"/>
        <v>76.982500000000002</v>
      </c>
      <c r="H20" s="63">
        <f t="shared" si="12"/>
        <v>149.14199999999997</v>
      </c>
      <c r="I20" s="143">
        <v>439.40000000000003</v>
      </c>
      <c r="J20" s="144">
        <v>452.58200000000005</v>
      </c>
      <c r="K20" s="145">
        <v>4.0785844333181611</v>
      </c>
      <c r="L20" s="146">
        <v>8.1679107874374139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452.58200000000005</v>
      </c>
      <c r="S20" s="62">
        <f t="shared" si="14"/>
        <v>18.458939000000001</v>
      </c>
      <c r="T20" s="63">
        <f t="shared" si="15"/>
        <v>36.966494000000004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66">
        <v>2307</v>
      </c>
      <c r="AI20" s="66">
        <v>4.13</v>
      </c>
      <c r="AJ20" s="66">
        <v>8.06</v>
      </c>
      <c r="AK20" s="62">
        <f t="shared" si="20"/>
        <v>95.279099999999985</v>
      </c>
      <c r="AL20" s="72">
        <f t="shared" si="21"/>
        <v>185.94420000000002</v>
      </c>
      <c r="AM20" s="73">
        <f t="shared" si="22"/>
        <v>0.58199999999987995</v>
      </c>
      <c r="AN20" s="74">
        <f t="shared" si="23"/>
        <v>0.16233900000001711</v>
      </c>
      <c r="AO20" s="74">
        <f t="shared" si="24"/>
        <v>0.16429399999995553</v>
      </c>
      <c r="AP20" s="75">
        <f t="shared" si="25"/>
        <v>5.8931970815631262E-3</v>
      </c>
      <c r="AQ20" s="76">
        <f t="shared" si="9"/>
        <v>127.21376342503856</v>
      </c>
      <c r="AR20" s="90">
        <f t="shared" si="26"/>
        <v>0.58199999999987995</v>
      </c>
    </row>
    <row r="21" spans="1:49" x14ac:dyDescent="0.25">
      <c r="A21" t="str">
        <f t="shared" si="10"/>
        <v>46212E</v>
      </c>
      <c r="B21" s="51">
        <f t="shared" si="27"/>
        <v>46212</v>
      </c>
      <c r="C21" s="52" t="s">
        <v>88</v>
      </c>
      <c r="D21" s="91">
        <v>2307</v>
      </c>
      <c r="E21" s="62">
        <v>4.13</v>
      </c>
      <c r="F21" s="62">
        <v>8.06</v>
      </c>
      <c r="G21" s="62">
        <f t="shared" si="11"/>
        <v>95.279099999999985</v>
      </c>
      <c r="H21" s="63">
        <f t="shared" si="12"/>
        <v>185.94420000000002</v>
      </c>
      <c r="I21" s="143">
        <v>684.89999999999986</v>
      </c>
      <c r="J21" s="144">
        <v>705.44699999999989</v>
      </c>
      <c r="K21" s="145">
        <v>3.9424587531026423</v>
      </c>
      <c r="L21" s="146">
        <v>8.0902321506789292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705.44699999999989</v>
      </c>
      <c r="S21" s="62">
        <f t="shared" si="14"/>
        <v>27.811956999999992</v>
      </c>
      <c r="T21" s="63">
        <f t="shared" si="15"/>
        <v>57.072299999999977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3012</v>
      </c>
      <c r="AI21" s="66">
        <v>4.08</v>
      </c>
      <c r="AJ21" s="66">
        <v>8.06</v>
      </c>
      <c r="AK21" s="62">
        <f t="shared" si="20"/>
        <v>122.88960000000002</v>
      </c>
      <c r="AL21" s="72">
        <f t="shared" si="21"/>
        <v>242.7672</v>
      </c>
      <c r="AM21" s="73">
        <f t="shared" si="22"/>
        <v>0.44700000000011642</v>
      </c>
      <c r="AN21" s="74">
        <f t="shared" si="23"/>
        <v>0.20145699999996225</v>
      </c>
      <c r="AO21" s="74">
        <f t="shared" si="24"/>
        <v>0.24930000000000518</v>
      </c>
      <c r="AP21" s="75">
        <f t="shared" si="25"/>
        <v>5.3102544091299239E-3</v>
      </c>
      <c r="AQ21" s="76">
        <f t="shared" si="9"/>
        <v>171.46977580925181</v>
      </c>
      <c r="AR21" s="90">
        <f t="shared" si="26"/>
        <v>0.44700000000011642</v>
      </c>
    </row>
    <row r="22" spans="1:49" x14ac:dyDescent="0.25">
      <c r="A22" t="str">
        <f t="shared" si="10"/>
        <v>46213M</v>
      </c>
      <c r="B22" s="51">
        <f t="shared" si="27"/>
        <v>46213</v>
      </c>
      <c r="C22" s="52" t="s">
        <v>87</v>
      </c>
      <c r="D22" s="91">
        <v>3012</v>
      </c>
      <c r="E22" s="62">
        <v>4.08</v>
      </c>
      <c r="F22" s="62">
        <v>8.06</v>
      </c>
      <c r="G22" s="62">
        <f t="shared" si="11"/>
        <v>122.88960000000002</v>
      </c>
      <c r="H22" s="63">
        <f t="shared" si="12"/>
        <v>242.7672</v>
      </c>
      <c r="I22" s="143">
        <v>422.9</v>
      </c>
      <c r="J22" s="144">
        <v>435.58699999999999</v>
      </c>
      <c r="K22" s="145">
        <v>4.1309765902104525</v>
      </c>
      <c r="L22" s="146">
        <v>8.0622369354457319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435.58699999999999</v>
      </c>
      <c r="S22" s="62">
        <f t="shared" si="14"/>
        <v>17.993997000000004</v>
      </c>
      <c r="T22" s="63">
        <f t="shared" si="15"/>
        <v>35.118056000000003</v>
      </c>
      <c r="U22" s="64" t="s">
        <v>207</v>
      </c>
      <c r="V22" s="65" t="s">
        <v>455</v>
      </c>
      <c r="W22" s="66" t="s">
        <v>178</v>
      </c>
      <c r="X22" s="67">
        <v>2823</v>
      </c>
      <c r="Y22" s="68">
        <v>4</v>
      </c>
      <c r="Z22" s="68">
        <v>8</v>
      </c>
      <c r="AA22" s="62">
        <f t="shared" si="16"/>
        <v>112.92</v>
      </c>
      <c r="AB22" s="63">
        <f t="shared" si="17"/>
        <v>225.84</v>
      </c>
      <c r="AC22" s="69">
        <v>2818</v>
      </c>
      <c r="AD22" s="70">
        <v>4</v>
      </c>
      <c r="AE22" s="70">
        <v>7.96</v>
      </c>
      <c r="AF22" s="62">
        <f t="shared" si="18"/>
        <v>112.72</v>
      </c>
      <c r="AG22" s="63">
        <f t="shared" si="19"/>
        <v>224.31280000000001</v>
      </c>
      <c r="AH22" s="66">
        <v>624</v>
      </c>
      <c r="AI22" s="66">
        <v>4.09</v>
      </c>
      <c r="AJ22" s="66">
        <v>8.06</v>
      </c>
      <c r="AK22" s="62">
        <f t="shared" si="20"/>
        <v>25.521599999999999</v>
      </c>
      <c r="AL22" s="72">
        <f t="shared" si="21"/>
        <v>50.294400000000003</v>
      </c>
      <c r="AM22" s="73">
        <f t="shared" si="22"/>
        <v>5.5869999999999891</v>
      </c>
      <c r="AN22" s="74">
        <f t="shared" si="23"/>
        <v>2.6419970000000106</v>
      </c>
      <c r="AO22" s="74">
        <f t="shared" si="24"/>
        <v>3.2780560000000136</v>
      </c>
      <c r="AP22" s="75">
        <f t="shared" si="25"/>
        <v>0.11146345632694755</v>
      </c>
      <c r="AQ22" s="76">
        <f t="shared" si="9"/>
        <v>2251.3141351291879</v>
      </c>
      <c r="AR22" s="90">
        <f t="shared" si="26"/>
        <v>0.58699999999998909</v>
      </c>
    </row>
    <row r="23" spans="1:49" x14ac:dyDescent="0.25">
      <c r="A23" t="str">
        <f t="shared" si="10"/>
        <v>46213E</v>
      </c>
      <c r="B23" s="51">
        <f t="shared" si="27"/>
        <v>46213</v>
      </c>
      <c r="C23" s="52" t="s">
        <v>88</v>
      </c>
      <c r="D23" s="91">
        <v>624</v>
      </c>
      <c r="E23" s="62">
        <v>4.09</v>
      </c>
      <c r="F23" s="62">
        <v>8.06</v>
      </c>
      <c r="G23" s="62">
        <f t="shared" si="11"/>
        <v>25.521599999999999</v>
      </c>
      <c r="H23" s="63">
        <f t="shared" si="12"/>
        <v>50.294400000000003</v>
      </c>
      <c r="I23" s="143">
        <v>679.19999999999993</v>
      </c>
      <c r="J23" s="144">
        <v>699.57599999999991</v>
      </c>
      <c r="K23" s="145">
        <v>3.9442432273262664</v>
      </c>
      <c r="L23" s="146">
        <v>8.0589517078916391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699.57599999999991</v>
      </c>
      <c r="S23" s="62">
        <f t="shared" si="14"/>
        <v>27.592978999999996</v>
      </c>
      <c r="T23" s="63">
        <f t="shared" si="15"/>
        <v>56.378492000000001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1323</v>
      </c>
      <c r="AI23" s="66">
        <v>4.01</v>
      </c>
      <c r="AJ23" s="66">
        <v>8.06</v>
      </c>
      <c r="AK23" s="62">
        <f t="shared" si="20"/>
        <v>53.052299999999995</v>
      </c>
      <c r="AL23" s="72">
        <f t="shared" si="21"/>
        <v>106.63380000000001</v>
      </c>
      <c r="AM23" s="73">
        <f t="shared" si="22"/>
        <v>0.57600000000002183</v>
      </c>
      <c r="AN23" s="74">
        <f t="shared" si="23"/>
        <v>6.2278999999996643E-2</v>
      </c>
      <c r="AO23" s="74">
        <f t="shared" si="24"/>
        <v>3.9091999999996574E-2</v>
      </c>
      <c r="AP23" s="75">
        <f t="shared" si="25"/>
        <v>1.2072076241226408E-3</v>
      </c>
      <c r="AQ23" s="76">
        <f t="shared" si="9"/>
        <v>41.63479244187846</v>
      </c>
      <c r="AR23" s="90">
        <f t="shared" si="26"/>
        <v>0.57600000000002183</v>
      </c>
    </row>
    <row r="24" spans="1:49" x14ac:dyDescent="0.25">
      <c r="A24" t="str">
        <f t="shared" si="10"/>
        <v>46214M</v>
      </c>
      <c r="B24" s="51">
        <f t="shared" si="27"/>
        <v>46214</v>
      </c>
      <c r="C24" s="52" t="s">
        <v>87</v>
      </c>
      <c r="D24" s="91">
        <v>1323</v>
      </c>
      <c r="E24" s="62">
        <v>4.01</v>
      </c>
      <c r="F24" s="62">
        <v>8.06</v>
      </c>
      <c r="G24" s="62">
        <f t="shared" si="11"/>
        <v>53.052299999999995</v>
      </c>
      <c r="H24" s="63">
        <f t="shared" si="12"/>
        <v>106.63380000000001</v>
      </c>
      <c r="I24" s="143">
        <v>462.1</v>
      </c>
      <c r="J24" s="144">
        <v>475.96300000000002</v>
      </c>
      <c r="K24" s="145">
        <v>4.1147370698982906</v>
      </c>
      <c r="L24" s="146">
        <v>8.1654187405323544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475.96300000000002</v>
      </c>
      <c r="S24" s="62">
        <f t="shared" si="14"/>
        <v>19.584626000000004</v>
      </c>
      <c r="T24" s="63">
        <f t="shared" si="15"/>
        <v>38.86437200000001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>
        <v>1799</v>
      </c>
      <c r="AI24" s="66">
        <v>4.03</v>
      </c>
      <c r="AJ24" s="66">
        <v>8.08</v>
      </c>
      <c r="AK24" s="62">
        <f t="shared" si="20"/>
        <v>72.499700000000004</v>
      </c>
      <c r="AL24" s="72">
        <f t="shared" si="21"/>
        <v>145.35919999999999</v>
      </c>
      <c r="AM24" s="73">
        <f t="shared" si="22"/>
        <v>-3.7000000000034561E-2</v>
      </c>
      <c r="AN24" s="74">
        <f t="shared" si="23"/>
        <v>0.13722599999999829</v>
      </c>
      <c r="AO24" s="74">
        <f t="shared" si="24"/>
        <v>0.13897200000002385</v>
      </c>
      <c r="AP24" s="75">
        <f t="shared" si="25"/>
        <v>4.7254531206851842E-3</v>
      </c>
      <c r="AQ24" s="76">
        <f t="shared" si="9"/>
        <v>107.56243601604737</v>
      </c>
      <c r="AR24" s="90">
        <f t="shared" si="26"/>
        <v>-3.7000000000034561E-2</v>
      </c>
    </row>
    <row r="25" spans="1:49" x14ac:dyDescent="0.25">
      <c r="A25" t="str">
        <f t="shared" si="10"/>
        <v>46214E</v>
      </c>
      <c r="B25" s="51">
        <f t="shared" si="27"/>
        <v>46214</v>
      </c>
      <c r="C25" s="52" t="s">
        <v>88</v>
      </c>
      <c r="D25" s="91">
        <v>1799</v>
      </c>
      <c r="E25" s="62">
        <v>4.03</v>
      </c>
      <c r="F25" s="62">
        <v>8.08</v>
      </c>
      <c r="G25" s="62">
        <f t="shared" si="11"/>
        <v>72.499700000000004</v>
      </c>
      <c r="H25" s="63">
        <f t="shared" si="12"/>
        <v>145.35919999999999</v>
      </c>
      <c r="I25" s="143">
        <v>725.90000000000009</v>
      </c>
      <c r="J25" s="144">
        <v>747.67700000000013</v>
      </c>
      <c r="K25" s="145">
        <v>4.0954125912660144</v>
      </c>
      <c r="L25" s="146">
        <v>8.0437112549938004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747.67700000000013</v>
      </c>
      <c r="S25" s="62">
        <f t="shared" si="14"/>
        <v>30.620458000000003</v>
      </c>
      <c r="T25" s="63">
        <f t="shared" si="15"/>
        <v>60.140979000000009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>
        <v>2546</v>
      </c>
      <c r="AI25" s="66">
        <v>4.05</v>
      </c>
      <c r="AJ25" s="66">
        <v>8.06</v>
      </c>
      <c r="AK25" s="62">
        <f t="shared" si="20"/>
        <v>103.113</v>
      </c>
      <c r="AL25" s="72">
        <f t="shared" si="21"/>
        <v>205.20760000000001</v>
      </c>
      <c r="AM25" s="73">
        <f t="shared" si="22"/>
        <v>0.67700000000013461</v>
      </c>
      <c r="AN25" s="74">
        <f t="shared" si="23"/>
        <v>7.1580000000039945E-3</v>
      </c>
      <c r="AO25" s="74">
        <f t="shared" si="24"/>
        <v>0.29257899999998926</v>
      </c>
      <c r="AP25" s="75">
        <f t="shared" si="25"/>
        <v>3.3024708500372598E-3</v>
      </c>
      <c r="AQ25" s="76">
        <f t="shared" si="9"/>
        <v>91.06445777953526</v>
      </c>
      <c r="AR25" s="90">
        <f t="shared" si="26"/>
        <v>0.67700000000013461</v>
      </c>
    </row>
    <row r="26" spans="1:49" x14ac:dyDescent="0.25">
      <c r="A26" t="str">
        <f t="shared" si="10"/>
        <v>46215M</v>
      </c>
      <c r="B26" s="51">
        <f t="shared" si="27"/>
        <v>46215</v>
      </c>
      <c r="C26" s="52" t="s">
        <v>87</v>
      </c>
      <c r="D26" s="91">
        <v>2546</v>
      </c>
      <c r="E26" s="62">
        <v>4.05</v>
      </c>
      <c r="F26" s="62">
        <v>8.06</v>
      </c>
      <c r="G26" s="62">
        <f t="shared" si="11"/>
        <v>103.113</v>
      </c>
      <c r="H26" s="63">
        <f t="shared" si="12"/>
        <v>205.20760000000001</v>
      </c>
      <c r="I26" s="143">
        <v>408.2</v>
      </c>
      <c r="J26" s="144">
        <v>420.44600000000003</v>
      </c>
      <c r="K26" s="145">
        <v>4.0693042626163658</v>
      </c>
      <c r="L26" s="146">
        <v>8.0467172954434094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420.44600000000003</v>
      </c>
      <c r="S26" s="62">
        <f t="shared" si="14"/>
        <v>17.109227000000008</v>
      </c>
      <c r="T26" s="63">
        <f t="shared" si="15"/>
        <v>33.832100999999994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2966</v>
      </c>
      <c r="AI26" s="66">
        <v>4.05</v>
      </c>
      <c r="AJ26" s="66">
        <v>8.0500000000000007</v>
      </c>
      <c r="AK26" s="62">
        <f t="shared" si="20"/>
        <v>120.123</v>
      </c>
      <c r="AL26" s="72">
        <f t="shared" si="21"/>
        <v>238.76300000000001</v>
      </c>
      <c r="AM26" s="73">
        <f t="shared" si="22"/>
        <v>0.44599999999991269</v>
      </c>
      <c r="AN26" s="74">
        <f t="shared" si="23"/>
        <v>9.9226999999999066E-2</v>
      </c>
      <c r="AO26" s="74">
        <f t="shared" si="24"/>
        <v>0.27670100000000275</v>
      </c>
      <c r="AP26" s="75">
        <f t="shared" si="25"/>
        <v>7.3796270093312412E-3</v>
      </c>
      <c r="AQ26" s="76">
        <f t="shared" si="9"/>
        <v>130.55128915046998</v>
      </c>
      <c r="AR26" s="90">
        <f t="shared" si="26"/>
        <v>0.44599999999991269</v>
      </c>
    </row>
    <row r="27" spans="1:49" x14ac:dyDescent="0.25">
      <c r="A27" t="str">
        <f t="shared" si="10"/>
        <v>46215E</v>
      </c>
      <c r="B27" s="51">
        <f t="shared" si="27"/>
        <v>46215</v>
      </c>
      <c r="C27" s="52" t="s">
        <v>88</v>
      </c>
      <c r="D27" s="91">
        <v>2966</v>
      </c>
      <c r="E27" s="62">
        <v>4.05</v>
      </c>
      <c r="F27" s="62">
        <v>8.0500000000000007</v>
      </c>
      <c r="G27" s="62">
        <f t="shared" si="11"/>
        <v>120.123</v>
      </c>
      <c r="H27" s="63">
        <f t="shared" si="12"/>
        <v>238.76300000000001</v>
      </c>
      <c r="I27" s="143">
        <v>621.09999999999991</v>
      </c>
      <c r="J27" s="144">
        <v>639.73299999999995</v>
      </c>
      <c r="K27" s="145">
        <v>3.8476734825309937</v>
      </c>
      <c r="L27" s="146">
        <v>8.0728868137175969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639.73299999999995</v>
      </c>
      <c r="S27" s="62">
        <f t="shared" si="14"/>
        <v>24.614837000000001</v>
      </c>
      <c r="T27" s="63">
        <f t="shared" si="15"/>
        <v>51.644920999999997</v>
      </c>
      <c r="U27" s="64" t="s">
        <v>207</v>
      </c>
      <c r="V27" s="65" t="s">
        <v>456</v>
      </c>
      <c r="W27" s="66" t="s">
        <v>178</v>
      </c>
      <c r="X27" s="67">
        <v>2711</v>
      </c>
      <c r="Y27" s="68">
        <v>3.85</v>
      </c>
      <c r="Z27" s="68">
        <v>8.06</v>
      </c>
      <c r="AA27" s="62">
        <f t="shared" si="16"/>
        <v>104.37349999999999</v>
      </c>
      <c r="AB27" s="63">
        <f t="shared" si="17"/>
        <v>218.50660000000002</v>
      </c>
      <c r="AC27" s="69">
        <v>2711</v>
      </c>
      <c r="AD27" s="70">
        <v>3.85</v>
      </c>
      <c r="AE27" s="70">
        <v>8</v>
      </c>
      <c r="AF27" s="62">
        <f t="shared" si="18"/>
        <v>104.37349999999999</v>
      </c>
      <c r="AG27" s="63">
        <f t="shared" si="19"/>
        <v>216.88</v>
      </c>
      <c r="AH27" s="66">
        <v>894</v>
      </c>
      <c r="AI27" s="66">
        <v>4.01</v>
      </c>
      <c r="AJ27" s="66">
        <v>8.0500000000000007</v>
      </c>
      <c r="AK27" s="62">
        <f t="shared" si="20"/>
        <v>35.849399999999996</v>
      </c>
      <c r="AL27" s="72">
        <f t="shared" si="21"/>
        <v>71.966999999999999</v>
      </c>
      <c r="AM27" s="73">
        <f t="shared" si="22"/>
        <v>0.73300000000017462</v>
      </c>
      <c r="AN27" s="74">
        <f t="shared" si="23"/>
        <v>4.5149370000000246</v>
      </c>
      <c r="AO27" s="74">
        <f t="shared" si="24"/>
        <v>1.5609209999999933</v>
      </c>
      <c r="AP27" s="75">
        <f t="shared" si="25"/>
        <v>7.9673187528342501E-2</v>
      </c>
      <c r="AQ27" s="76">
        <f t="shared" si="9"/>
        <v>2637.0561169449352</v>
      </c>
      <c r="AR27" s="90">
        <f t="shared" si="26"/>
        <v>0.73300000000017462</v>
      </c>
    </row>
    <row r="28" spans="1:49" x14ac:dyDescent="0.25">
      <c r="A28" t="str">
        <f t="shared" si="10"/>
        <v>46216M</v>
      </c>
      <c r="B28" s="51">
        <f t="shared" si="27"/>
        <v>46216</v>
      </c>
      <c r="C28" s="52" t="s">
        <v>87</v>
      </c>
      <c r="D28" s="91">
        <v>894</v>
      </c>
      <c r="E28" s="62">
        <v>4.01</v>
      </c>
      <c r="F28" s="62">
        <v>8.0500000000000007</v>
      </c>
      <c r="G28" s="62">
        <f t="shared" si="11"/>
        <v>35.849399999999996</v>
      </c>
      <c r="H28" s="63">
        <f t="shared" si="12"/>
        <v>71.966999999999999</v>
      </c>
      <c r="I28" s="143">
        <v>430.00000000000006</v>
      </c>
      <c r="J28" s="144">
        <v>442.90000000000009</v>
      </c>
      <c r="K28" s="145">
        <v>4.1483720930232568</v>
      </c>
      <c r="L28" s="146">
        <v>8.1948372093023263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442.90000000000009</v>
      </c>
      <c r="S28" s="62">
        <f t="shared" si="14"/>
        <v>18.373140000000006</v>
      </c>
      <c r="T28" s="63">
        <f t="shared" si="15"/>
        <v>36.294934000000012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>
        <v>1337</v>
      </c>
      <c r="AI28" s="66">
        <v>4.05</v>
      </c>
      <c r="AJ28" s="66">
        <v>8.1</v>
      </c>
      <c r="AK28" s="62">
        <f t="shared" si="20"/>
        <v>54.148499999999999</v>
      </c>
      <c r="AL28" s="72">
        <f t="shared" si="21"/>
        <v>108.297</v>
      </c>
      <c r="AM28" s="73">
        <f t="shared" si="22"/>
        <v>-9.9999999999909051E-2</v>
      </c>
      <c r="AN28" s="74">
        <f t="shared" si="23"/>
        <v>7.4040000000003658E-2</v>
      </c>
      <c r="AO28" s="74">
        <f t="shared" si="24"/>
        <v>-3.5065999999986275E-2</v>
      </c>
      <c r="AP28" s="75">
        <f t="shared" si="25"/>
        <v>7.1292067103035988E-4</v>
      </c>
      <c r="AQ28" s="76">
        <f t="shared" si="9"/>
        <v>25.076674912812855</v>
      </c>
      <c r="AR28" s="90">
        <f t="shared" si="26"/>
        <v>-9.9999999999909051E-2</v>
      </c>
    </row>
    <row r="29" spans="1:49" x14ac:dyDescent="0.25">
      <c r="A29" t="str">
        <f t="shared" si="10"/>
        <v>46216E</v>
      </c>
      <c r="B29" s="51">
        <f t="shared" si="27"/>
        <v>46216</v>
      </c>
      <c r="C29" s="52" t="s">
        <v>88</v>
      </c>
      <c r="D29" s="91">
        <v>1337</v>
      </c>
      <c r="E29" s="62">
        <v>4.05</v>
      </c>
      <c r="F29" s="62">
        <v>8.1</v>
      </c>
      <c r="G29" s="62">
        <f t="shared" si="11"/>
        <v>54.148499999999999</v>
      </c>
      <c r="H29" s="63">
        <f t="shared" si="12"/>
        <v>108.297</v>
      </c>
      <c r="I29" s="143">
        <v>703.50000000000011</v>
      </c>
      <c r="J29" s="144">
        <v>724.60500000000013</v>
      </c>
      <c r="K29" s="145">
        <v>3.9414072494669514</v>
      </c>
      <c r="L29" s="146">
        <v>7.9650604122245907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724.60500000000013</v>
      </c>
      <c r="S29" s="62">
        <f t="shared" si="14"/>
        <v>28.55963400000001</v>
      </c>
      <c r="T29" s="63">
        <f t="shared" si="15"/>
        <v>57.715226000000008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2061</v>
      </c>
      <c r="AI29" s="66">
        <v>4</v>
      </c>
      <c r="AJ29" s="66">
        <v>8.0500000000000007</v>
      </c>
      <c r="AK29" s="62">
        <f t="shared" si="20"/>
        <v>82.44</v>
      </c>
      <c r="AL29" s="72">
        <f t="shared" si="21"/>
        <v>165.91050000000001</v>
      </c>
      <c r="AM29" s="73">
        <f t="shared" si="22"/>
        <v>0.60500000000001819</v>
      </c>
      <c r="AN29" s="74">
        <f t="shared" si="23"/>
        <v>0.26813400000000343</v>
      </c>
      <c r="AO29" s="74">
        <f t="shared" si="24"/>
        <v>0.10172599999998511</v>
      </c>
      <c r="AP29" s="75">
        <f t="shared" si="25"/>
        <v>4.2869962350560575E-3</v>
      </c>
      <c r="AQ29" s="76">
        <f t="shared" si="9"/>
        <v>159.31314518645289</v>
      </c>
      <c r="AR29" s="90">
        <f t="shared" si="26"/>
        <v>0.60500000000001819</v>
      </c>
      <c r="AS29" s="90">
        <f>SUM(J16:J29)</f>
        <v>8063.4579999999996</v>
      </c>
      <c r="AT29" s="83">
        <f>SUM(AM16:AM29)</f>
        <v>21.458000000000311</v>
      </c>
      <c r="AU29" s="83">
        <f>SUM(AN16:AN29)</f>
        <v>15.504611999999995</v>
      </c>
      <c r="AV29" s="83">
        <f>SUM(AO16:AO29)</f>
        <v>9.2069900000000544</v>
      </c>
      <c r="AW29" s="83">
        <f>-SUM(AQ16:AQ29)</f>
        <v>-10207.882225371492</v>
      </c>
    </row>
    <row r="30" spans="1:49" x14ac:dyDescent="0.25">
      <c r="A30" t="str">
        <f t="shared" si="10"/>
        <v>46217M</v>
      </c>
      <c r="B30" s="51">
        <f t="shared" si="27"/>
        <v>46217</v>
      </c>
      <c r="C30" s="52" t="s">
        <v>87</v>
      </c>
      <c r="D30" s="79">
        <v>2061</v>
      </c>
      <c r="E30" s="62">
        <v>4</v>
      </c>
      <c r="F30" s="62">
        <v>8.0500000000000007</v>
      </c>
      <c r="G30" s="62">
        <f t="shared" si="11"/>
        <v>82.44</v>
      </c>
      <c r="H30" s="63">
        <f t="shared" si="12"/>
        <v>165.91050000000001</v>
      </c>
      <c r="I30" s="143">
        <v>401.2</v>
      </c>
      <c r="J30" s="144">
        <v>413.23599999999999</v>
      </c>
      <c r="K30" s="145">
        <v>4.076620139581256</v>
      </c>
      <c r="L30" s="146">
        <v>8.0913010967098717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413.23599999999999</v>
      </c>
      <c r="S30" s="62">
        <f t="shared" si="14"/>
        <v>16.846061999999996</v>
      </c>
      <c r="T30" s="63">
        <f t="shared" si="15"/>
        <v>33.436169000000007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>
        <v>2474</v>
      </c>
      <c r="AI30" s="66">
        <v>4.01</v>
      </c>
      <c r="AJ30" s="66">
        <v>8.0500000000000007</v>
      </c>
      <c r="AK30" s="62">
        <f t="shared" si="20"/>
        <v>99.207399999999993</v>
      </c>
      <c r="AL30" s="72">
        <f t="shared" si="21"/>
        <v>199.15700000000001</v>
      </c>
      <c r="AM30" s="73">
        <f t="shared" si="22"/>
        <v>0.23599999999987631</v>
      </c>
      <c r="AN30" s="74">
        <f t="shared" si="23"/>
        <v>7.8661999999994237E-2</v>
      </c>
      <c r="AO30" s="74">
        <f t="shared" si="24"/>
        <v>0.18966900000000919</v>
      </c>
      <c r="AP30" s="75">
        <f t="shared" si="25"/>
        <v>5.3364974994845275E-3</v>
      </c>
      <c r="AQ30" s="76">
        <f t="shared" si="9"/>
        <v>94.60382813656723</v>
      </c>
      <c r="AR30" s="90">
        <f t="shared" si="26"/>
        <v>0.23599999999987631</v>
      </c>
    </row>
    <row r="31" spans="1:49" x14ac:dyDescent="0.25">
      <c r="A31" t="str">
        <f t="shared" si="10"/>
        <v>46217E</v>
      </c>
      <c r="B31" s="51">
        <f t="shared" si="27"/>
        <v>46217</v>
      </c>
      <c r="C31" s="52" t="s">
        <v>88</v>
      </c>
      <c r="D31" s="79">
        <v>2474</v>
      </c>
      <c r="E31" s="62">
        <v>4.01</v>
      </c>
      <c r="F31" s="62">
        <v>8.0500000000000007</v>
      </c>
      <c r="G31" s="62">
        <f t="shared" si="11"/>
        <v>99.207399999999993</v>
      </c>
      <c r="H31" s="63">
        <f t="shared" si="12"/>
        <v>199.15700000000001</v>
      </c>
      <c r="I31" s="143">
        <v>683.40000000000009</v>
      </c>
      <c r="J31" s="144">
        <v>703.90200000000016</v>
      </c>
      <c r="K31" s="145">
        <v>4.0369768803043602</v>
      </c>
      <c r="L31" s="146">
        <v>8.0178811823236753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703.90200000000016</v>
      </c>
      <c r="S31" s="62">
        <f t="shared" si="14"/>
        <v>28.416361000000006</v>
      </c>
      <c r="T31" s="63">
        <f t="shared" si="15"/>
        <v>56.438026000000015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>
        <v>3178</v>
      </c>
      <c r="AI31" s="66">
        <v>4.01</v>
      </c>
      <c r="AJ31" s="66">
        <v>8.0399999999999991</v>
      </c>
      <c r="AK31" s="62">
        <f t="shared" si="20"/>
        <v>127.4378</v>
      </c>
      <c r="AL31" s="72">
        <f t="shared" si="21"/>
        <v>255.51119999999995</v>
      </c>
      <c r="AM31" s="73">
        <f t="shared" si="22"/>
        <v>-9.7999999999956344E-2</v>
      </c>
      <c r="AN31" s="74">
        <f t="shared" si="23"/>
        <v>0.18596100000000604</v>
      </c>
      <c r="AO31" s="74">
        <f t="shared" si="24"/>
        <v>8.3826000000073009E-2</v>
      </c>
      <c r="AP31" s="75">
        <f t="shared" si="25"/>
        <v>3.179411336741835E-3</v>
      </c>
      <c r="AQ31" s="76">
        <f t="shared" si="9"/>
        <v>114.46545360399357</v>
      </c>
      <c r="AR31" s="90">
        <f t="shared" si="26"/>
        <v>-9.7999999999956344E-2</v>
      </c>
    </row>
    <row r="32" spans="1:49" x14ac:dyDescent="0.25">
      <c r="A32" t="str">
        <f t="shared" si="10"/>
        <v>46218M</v>
      </c>
      <c r="B32" s="51">
        <f t="shared" si="27"/>
        <v>46218</v>
      </c>
      <c r="C32" s="52" t="s">
        <v>87</v>
      </c>
      <c r="D32" s="79">
        <v>3178</v>
      </c>
      <c r="E32" s="62">
        <v>4.01</v>
      </c>
      <c r="F32" s="62">
        <v>8.0399999999999991</v>
      </c>
      <c r="G32" s="62">
        <f t="shared" si="11"/>
        <v>127.4378</v>
      </c>
      <c r="H32" s="63">
        <f t="shared" si="12"/>
        <v>255.51119999999995</v>
      </c>
      <c r="I32" s="143">
        <v>389.59999999999997</v>
      </c>
      <c r="J32" s="144">
        <v>401.28799999999995</v>
      </c>
      <c r="K32" s="145">
        <v>4.0542094455852151</v>
      </c>
      <c r="L32" s="146">
        <v>8.091247433264888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401.28799999999995</v>
      </c>
      <c r="S32" s="62">
        <f t="shared" si="14"/>
        <v>16.269055999999996</v>
      </c>
      <c r="T32" s="63">
        <f t="shared" si="15"/>
        <v>32.469205000000002</v>
      </c>
      <c r="U32" s="64" t="s">
        <v>207</v>
      </c>
      <c r="V32" s="65" t="s">
        <v>554</v>
      </c>
      <c r="W32" s="66" t="s">
        <v>178</v>
      </c>
      <c r="X32" s="67">
        <v>3085</v>
      </c>
      <c r="Y32" s="68">
        <v>4.05</v>
      </c>
      <c r="Z32" s="68">
        <v>8.1</v>
      </c>
      <c r="AA32" s="62">
        <f t="shared" si="16"/>
        <v>124.94250000000001</v>
      </c>
      <c r="AB32" s="63">
        <f t="shared" si="17"/>
        <v>249.88500000000002</v>
      </c>
      <c r="AC32" s="69">
        <v>3080</v>
      </c>
      <c r="AD32" s="70">
        <v>4</v>
      </c>
      <c r="AE32" s="70">
        <v>8.1</v>
      </c>
      <c r="AF32" s="62">
        <f t="shared" si="18"/>
        <v>123.2</v>
      </c>
      <c r="AG32" s="63">
        <f t="shared" si="19"/>
        <v>249.48000000000002</v>
      </c>
      <c r="AH32" s="66">
        <v>494</v>
      </c>
      <c r="AI32" s="66">
        <v>4.01</v>
      </c>
      <c r="AJ32" s="66">
        <v>8.0399999999999991</v>
      </c>
      <c r="AK32" s="62">
        <f t="shared" si="20"/>
        <v>19.8094</v>
      </c>
      <c r="AL32" s="72">
        <f t="shared" si="21"/>
        <v>39.71759999999999</v>
      </c>
      <c r="AM32" s="73">
        <f t="shared" si="22"/>
        <v>5.2880000000000109</v>
      </c>
      <c r="AN32" s="74">
        <f t="shared" si="23"/>
        <v>0.69745599999998475</v>
      </c>
      <c r="AO32" s="74">
        <f t="shared" si="24"/>
        <v>-1.2171950000000464</v>
      </c>
      <c r="AP32" s="75">
        <f t="shared" si="25"/>
        <v>-1.066388068298255E-2</v>
      </c>
      <c r="AQ32" s="76">
        <f t="shared" si="9"/>
        <v>-29.388758708248361</v>
      </c>
      <c r="AR32" s="90">
        <f t="shared" si="26"/>
        <v>0.28800000000001091</v>
      </c>
    </row>
    <row r="33" spans="1:44" x14ac:dyDescent="0.25">
      <c r="A33" t="str">
        <f t="shared" si="10"/>
        <v>46218E</v>
      </c>
      <c r="B33" s="51">
        <f t="shared" si="27"/>
        <v>46218</v>
      </c>
      <c r="C33" s="52" t="s">
        <v>88</v>
      </c>
      <c r="D33" s="79">
        <v>494</v>
      </c>
      <c r="E33" s="62">
        <v>4.01</v>
      </c>
      <c r="F33" s="62">
        <v>8.0399999999999991</v>
      </c>
      <c r="G33" s="62">
        <f t="shared" si="11"/>
        <v>19.8094</v>
      </c>
      <c r="H33" s="63">
        <f t="shared" si="12"/>
        <v>39.71759999999999</v>
      </c>
      <c r="I33" s="143">
        <v>770.7</v>
      </c>
      <c r="J33" s="144">
        <v>793.82100000000003</v>
      </c>
      <c r="K33" s="145">
        <v>3.851861943687557</v>
      </c>
      <c r="L33" s="146">
        <v>8.0605553393019314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793.82100000000003</v>
      </c>
      <c r="S33" s="62">
        <f t="shared" si="14"/>
        <v>30.576889000000001</v>
      </c>
      <c r="T33" s="63">
        <f t="shared" si="15"/>
        <v>63.98638099999998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1288</v>
      </c>
      <c r="AI33" s="66">
        <v>3.9</v>
      </c>
      <c r="AJ33" s="66">
        <v>8.0399999999999991</v>
      </c>
      <c r="AK33" s="62">
        <f t="shared" si="20"/>
        <v>50.231999999999999</v>
      </c>
      <c r="AL33" s="72">
        <f t="shared" si="21"/>
        <v>103.55519999999999</v>
      </c>
      <c r="AM33" s="73">
        <f t="shared" si="22"/>
        <v>-0.17900000000008731</v>
      </c>
      <c r="AN33" s="74">
        <f t="shared" si="23"/>
        <v>0.15428900000000567</v>
      </c>
      <c r="AO33" s="74">
        <f t="shared" si="24"/>
        <v>0.1487809999999854</v>
      </c>
      <c r="AP33" s="75">
        <f t="shared" si="25"/>
        <v>3.2049441606660928E-3</v>
      </c>
      <c r="AQ33" s="76">
        <f t="shared" si="9"/>
        <v>118.69947103096936</v>
      </c>
      <c r="AR33" s="90">
        <f t="shared" si="26"/>
        <v>-0.17900000000008731</v>
      </c>
    </row>
    <row r="34" spans="1:44" x14ac:dyDescent="0.25">
      <c r="A34" t="str">
        <f t="shared" si="10"/>
        <v>46219M</v>
      </c>
      <c r="B34" s="51">
        <f t="shared" si="27"/>
        <v>46219</v>
      </c>
      <c r="C34" s="52" t="s">
        <v>87</v>
      </c>
      <c r="D34" s="79">
        <v>1288</v>
      </c>
      <c r="E34" s="62">
        <v>3.9</v>
      </c>
      <c r="F34" s="62">
        <v>8.0399999999999991</v>
      </c>
      <c r="G34" s="62">
        <f t="shared" si="11"/>
        <v>50.231999999999999</v>
      </c>
      <c r="H34" s="63">
        <f t="shared" si="12"/>
        <v>103.55519999999999</v>
      </c>
      <c r="I34" s="143">
        <v>424.99999999999994</v>
      </c>
      <c r="J34" s="144">
        <v>437.74999999999994</v>
      </c>
      <c r="K34" s="145">
        <v>4.3818117647058825</v>
      </c>
      <c r="L34" s="146">
        <v>8.1555294117647072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437.74999999999994</v>
      </c>
      <c r="S34" s="62">
        <f t="shared" si="14"/>
        <v>19.181380999999998</v>
      </c>
      <c r="T34" s="63">
        <f t="shared" si="15"/>
        <v>35.700830000000003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>
        <v>1725</v>
      </c>
      <c r="AI34" s="66">
        <v>4.0199999999999996</v>
      </c>
      <c r="AJ34" s="66">
        <v>8.07</v>
      </c>
      <c r="AK34" s="62">
        <f t="shared" si="20"/>
        <v>69.344999999999985</v>
      </c>
      <c r="AL34" s="72">
        <f t="shared" si="21"/>
        <v>139.20750000000001</v>
      </c>
      <c r="AM34" s="73">
        <f t="shared" si="22"/>
        <v>0.75</v>
      </c>
      <c r="AN34" s="74">
        <f t="shared" si="23"/>
        <v>6.8381000000016456E-2</v>
      </c>
      <c r="AO34" s="74">
        <f t="shared" si="24"/>
        <v>4.8529999999971096E-2</v>
      </c>
      <c r="AP34" s="75">
        <f t="shared" si="25"/>
        <v>2.1302166561763987E-3</v>
      </c>
      <c r="AQ34" s="76">
        <f t="shared" si="9"/>
        <v>47.393599018270422</v>
      </c>
      <c r="AR34" s="90">
        <f t="shared" si="26"/>
        <v>0.75</v>
      </c>
    </row>
    <row r="35" spans="1:44" x14ac:dyDescent="0.25">
      <c r="A35" t="str">
        <f t="shared" si="10"/>
        <v>46219E</v>
      </c>
      <c r="B35" s="51">
        <f t="shared" si="27"/>
        <v>46219</v>
      </c>
      <c r="C35" s="52" t="s">
        <v>88</v>
      </c>
      <c r="D35" s="79">
        <v>1725</v>
      </c>
      <c r="E35" s="62">
        <v>4.0199999999999996</v>
      </c>
      <c r="F35" s="62">
        <v>8.07</v>
      </c>
      <c r="G35" s="62">
        <f t="shared" si="11"/>
        <v>69.344999999999985</v>
      </c>
      <c r="H35" s="63">
        <f t="shared" si="12"/>
        <v>139.20750000000001</v>
      </c>
      <c r="I35" s="143">
        <v>765.1</v>
      </c>
      <c r="J35" s="144">
        <v>788.053</v>
      </c>
      <c r="K35" s="145">
        <v>3.9332374852960399</v>
      </c>
      <c r="L35" s="146">
        <v>8.0687491831133187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788.053</v>
      </c>
      <c r="S35" s="62">
        <f t="shared" si="14"/>
        <v>30.995996000000002</v>
      </c>
      <c r="T35" s="63">
        <f t="shared" si="15"/>
        <v>63.586020000000005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2513</v>
      </c>
      <c r="AI35" s="66">
        <v>3.98</v>
      </c>
      <c r="AJ35" s="66">
        <v>8.07</v>
      </c>
      <c r="AK35" s="62">
        <f t="shared" si="20"/>
        <v>100.01740000000001</v>
      </c>
      <c r="AL35" s="72">
        <f t="shared" si="21"/>
        <v>202.79910000000001</v>
      </c>
      <c r="AM35" s="73">
        <f t="shared" si="22"/>
        <v>5.2999999999883585E-2</v>
      </c>
      <c r="AN35" s="74">
        <f t="shared" si="23"/>
        <v>0.32359599999998068</v>
      </c>
      <c r="AO35" s="74">
        <f t="shared" si="24"/>
        <v>-5.5800000000090222E-3</v>
      </c>
      <c r="AP35" s="75">
        <f t="shared" si="25"/>
        <v>3.3623305301503791E-3</v>
      </c>
      <c r="AQ35" s="76">
        <f t="shared" si="9"/>
        <v>153.82724956915277</v>
      </c>
      <c r="AR35" s="90">
        <f t="shared" si="26"/>
        <v>5.2999999999883585E-2</v>
      </c>
    </row>
    <row r="36" spans="1:44" x14ac:dyDescent="0.25">
      <c r="A36" t="str">
        <f t="shared" si="10"/>
        <v>46220M</v>
      </c>
      <c r="B36" s="51">
        <f t="shared" si="27"/>
        <v>46220</v>
      </c>
      <c r="C36" s="52" t="s">
        <v>87</v>
      </c>
      <c r="D36" s="79">
        <v>2513</v>
      </c>
      <c r="E36" s="62">
        <v>3.98</v>
      </c>
      <c r="F36" s="62">
        <v>8.07</v>
      </c>
      <c r="G36" s="62">
        <f t="shared" si="11"/>
        <v>100.01740000000001</v>
      </c>
      <c r="H36" s="63">
        <f t="shared" si="12"/>
        <v>202.79910000000001</v>
      </c>
      <c r="I36" s="143">
        <v>316.3</v>
      </c>
      <c r="J36" s="144">
        <v>325.78900000000004</v>
      </c>
      <c r="K36" s="145">
        <v>4.2537464432500789</v>
      </c>
      <c r="L36" s="146">
        <v>8.1619032564021499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325.78900000000004</v>
      </c>
      <c r="S36" s="62">
        <f t="shared" si="14"/>
        <v>13.858238000000002</v>
      </c>
      <c r="T36" s="63">
        <f t="shared" si="15"/>
        <v>26.590583000000006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>
        <v>2839</v>
      </c>
      <c r="AI36" s="66">
        <v>4</v>
      </c>
      <c r="AJ36" s="66">
        <v>8.08</v>
      </c>
      <c r="AK36" s="62">
        <f t="shared" si="20"/>
        <v>113.56</v>
      </c>
      <c r="AL36" s="72">
        <f t="shared" si="21"/>
        <v>229.3912</v>
      </c>
      <c r="AM36" s="73">
        <f t="shared" si="22"/>
        <v>-0.21099999999978536</v>
      </c>
      <c r="AN36" s="74">
        <f t="shared" si="23"/>
        <v>0.31563800000000697</v>
      </c>
      <c r="AO36" s="74">
        <f t="shared" si="24"/>
        <v>-1.5169999999784523E-3</v>
      </c>
      <c r="AP36" s="75">
        <f t="shared" si="25"/>
        <v>7.7658876633271571E-3</v>
      </c>
      <c r="AQ36" s="76">
        <f t="shared" si="9"/>
        <v>151.22000389381688</v>
      </c>
      <c r="AR36" s="90">
        <f t="shared" si="26"/>
        <v>-0.21099999999978536</v>
      </c>
    </row>
    <row r="37" spans="1:44" x14ac:dyDescent="0.25">
      <c r="A37" t="str">
        <f t="shared" si="10"/>
        <v>46220E</v>
      </c>
      <c r="B37" s="51">
        <f t="shared" si="27"/>
        <v>46220</v>
      </c>
      <c r="C37" s="52" t="s">
        <v>88</v>
      </c>
      <c r="D37" s="79">
        <v>2839</v>
      </c>
      <c r="E37" s="62">
        <v>4</v>
      </c>
      <c r="F37" s="62">
        <v>8.08</v>
      </c>
      <c r="G37" s="62">
        <f t="shared" si="11"/>
        <v>113.56</v>
      </c>
      <c r="H37" s="63">
        <f t="shared" si="12"/>
        <v>229.3912</v>
      </c>
      <c r="I37" s="143">
        <v>814.29999999999984</v>
      </c>
      <c r="J37" s="144">
        <v>838.72899999999981</v>
      </c>
      <c r="K37" s="145">
        <v>4.0138892300135076</v>
      </c>
      <c r="L37" s="146">
        <v>8.0914773425027615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838.72899999999981</v>
      </c>
      <c r="S37" s="62">
        <f t="shared" si="14"/>
        <v>33.665652999999985</v>
      </c>
      <c r="T37" s="63">
        <f t="shared" si="15"/>
        <v>67.86556699999997</v>
      </c>
      <c r="U37" s="64" t="s">
        <v>207</v>
      </c>
      <c r="V37" s="65" t="s">
        <v>727</v>
      </c>
      <c r="W37" s="66" t="s">
        <v>178</v>
      </c>
      <c r="X37" s="67">
        <v>2717</v>
      </c>
      <c r="Y37" s="68">
        <v>3.95</v>
      </c>
      <c r="Z37" s="68">
        <v>8</v>
      </c>
      <c r="AA37" s="62">
        <f t="shared" si="16"/>
        <v>107.3215</v>
      </c>
      <c r="AB37" s="63">
        <f t="shared" si="17"/>
        <v>217.36</v>
      </c>
      <c r="AC37" s="69">
        <v>2715</v>
      </c>
      <c r="AD37" s="70">
        <v>3.9</v>
      </c>
      <c r="AE37" s="70">
        <v>7.95</v>
      </c>
      <c r="AF37" s="62">
        <f t="shared" si="18"/>
        <v>105.88500000000001</v>
      </c>
      <c r="AG37" s="63">
        <f t="shared" si="19"/>
        <v>215.8425</v>
      </c>
      <c r="AH37" s="66">
        <v>960</v>
      </c>
      <c r="AI37" s="66">
        <v>4</v>
      </c>
      <c r="AJ37" s="66">
        <v>8.08</v>
      </c>
      <c r="AK37" s="62">
        <f t="shared" si="20"/>
        <v>38.4</v>
      </c>
      <c r="AL37" s="72">
        <f t="shared" si="21"/>
        <v>77.567999999999998</v>
      </c>
      <c r="AM37" s="73">
        <f t="shared" si="22"/>
        <v>2.7289999999998145</v>
      </c>
      <c r="AN37" s="74">
        <f t="shared" si="23"/>
        <v>2.9406529999999904</v>
      </c>
      <c r="AO37" s="74">
        <f t="shared" si="24"/>
        <v>3.846266999999969</v>
      </c>
      <c r="AP37" s="75">
        <f t="shared" si="25"/>
        <v>6.6845646097820566E-2</v>
      </c>
      <c r="AQ37" s="76">
        <f t="shared" si="9"/>
        <v>2565.0021993097607</v>
      </c>
      <c r="AR37" s="90">
        <f t="shared" si="26"/>
        <v>0.72899999999981446</v>
      </c>
    </row>
    <row r="38" spans="1:44" x14ac:dyDescent="0.25">
      <c r="A38" t="str">
        <f t="shared" si="10"/>
        <v>46221M</v>
      </c>
      <c r="B38" s="51">
        <f t="shared" si="27"/>
        <v>46221</v>
      </c>
      <c r="C38" s="52" t="s">
        <v>87</v>
      </c>
      <c r="D38" s="79">
        <v>960</v>
      </c>
      <c r="E38" s="62">
        <v>4</v>
      </c>
      <c r="F38" s="62">
        <v>8.08</v>
      </c>
      <c r="G38" s="62">
        <f t="shared" si="11"/>
        <v>38.4</v>
      </c>
      <c r="H38" s="63">
        <f t="shared" si="12"/>
        <v>77.567999999999998</v>
      </c>
      <c r="I38" s="143">
        <v>355.99999999999994</v>
      </c>
      <c r="J38" s="144">
        <v>366.67999999999995</v>
      </c>
      <c r="K38" s="145">
        <v>4.3470786516853943</v>
      </c>
      <c r="L38" s="146">
        <v>8.1835955056179781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366.67999999999995</v>
      </c>
      <c r="S38" s="62">
        <f t="shared" si="14"/>
        <v>15.939868000000002</v>
      </c>
      <c r="T38" s="63">
        <f t="shared" si="15"/>
        <v>30.007608000000001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>
        <v>1326</v>
      </c>
      <c r="AI38" s="66">
        <v>4.09</v>
      </c>
      <c r="AJ38" s="66">
        <v>8.1</v>
      </c>
      <c r="AK38" s="62">
        <f t="shared" si="20"/>
        <v>54.233399999999996</v>
      </c>
      <c r="AL38" s="72">
        <f t="shared" si="21"/>
        <v>107.40600000000001</v>
      </c>
      <c r="AM38" s="73">
        <f t="shared" si="22"/>
        <v>0.67999999999983629</v>
      </c>
      <c r="AN38" s="74">
        <f t="shared" si="23"/>
        <v>0.10646800000000667</v>
      </c>
      <c r="AO38" s="74">
        <f t="shared" si="24"/>
        <v>0.16960799999999665</v>
      </c>
      <c r="AP38" s="75">
        <f t="shared" si="25"/>
        <v>6.0085128506297781E-3</v>
      </c>
      <c r="AQ38" s="76">
        <f t="shared" si="9"/>
        <v>101.95742521575497</v>
      </c>
      <c r="AR38" s="90">
        <f t="shared" si="26"/>
        <v>0.67999999999983629</v>
      </c>
    </row>
    <row r="39" spans="1:44" x14ac:dyDescent="0.25">
      <c r="A39" t="str">
        <f t="shared" si="10"/>
        <v>46221E</v>
      </c>
      <c r="B39" s="51">
        <f t="shared" si="27"/>
        <v>46221</v>
      </c>
      <c r="C39" s="52" t="s">
        <v>88</v>
      </c>
      <c r="D39" s="79">
        <v>1326</v>
      </c>
      <c r="E39" s="62">
        <v>4.09</v>
      </c>
      <c r="F39" s="62">
        <v>8.1</v>
      </c>
      <c r="G39" s="62">
        <f t="shared" si="11"/>
        <v>54.233399999999996</v>
      </c>
      <c r="H39" s="63">
        <f t="shared" si="12"/>
        <v>107.40600000000001</v>
      </c>
      <c r="I39" s="143">
        <v>714.8</v>
      </c>
      <c r="J39" s="144">
        <v>736.24400000000003</v>
      </c>
      <c r="K39" s="145">
        <v>4.0992865137101289</v>
      </c>
      <c r="L39" s="146">
        <v>8.0921516508114149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736.24400000000003</v>
      </c>
      <c r="S39" s="62">
        <f t="shared" si="14"/>
        <v>30.180751000000004</v>
      </c>
      <c r="T39" s="63">
        <f t="shared" si="15"/>
        <v>59.577980999999994</v>
      </c>
      <c r="U39" s="64" t="s">
        <v>167</v>
      </c>
      <c r="V39" s="65" t="s">
        <v>180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2062</v>
      </c>
      <c r="AI39" s="66">
        <v>4.09</v>
      </c>
      <c r="AJ39" s="66">
        <v>8.09</v>
      </c>
      <c r="AK39" s="62">
        <f t="shared" si="20"/>
        <v>84.335799999999992</v>
      </c>
      <c r="AL39" s="72">
        <f t="shared" si="21"/>
        <v>166.8158</v>
      </c>
      <c r="AM39" s="73">
        <f t="shared" si="22"/>
        <v>0.24400000000014188</v>
      </c>
      <c r="AN39" s="74">
        <f t="shared" si="23"/>
        <v>7.835100000001205E-2</v>
      </c>
      <c r="AO39" s="74">
        <f t="shared" si="24"/>
        <v>0.16818100000000413</v>
      </c>
      <c r="AP39" s="75">
        <f t="shared" si="25"/>
        <v>2.7466074275649993E-3</v>
      </c>
      <c r="AQ39" s="76">
        <f t="shared" si="9"/>
        <v>88.018917811793173</v>
      </c>
      <c r="AR39" s="90">
        <f t="shared" si="26"/>
        <v>0.24400000000014188</v>
      </c>
    </row>
    <row r="40" spans="1:44" x14ac:dyDescent="0.25">
      <c r="A40" t="str">
        <f t="shared" si="10"/>
        <v>46222M</v>
      </c>
      <c r="B40" s="51">
        <f t="shared" si="27"/>
        <v>46222</v>
      </c>
      <c r="C40" s="52" t="s">
        <v>87</v>
      </c>
      <c r="D40" s="79">
        <v>2062</v>
      </c>
      <c r="E40" s="62">
        <v>4.09</v>
      </c>
      <c r="F40" s="62">
        <v>8.09</v>
      </c>
      <c r="G40" s="62">
        <f t="shared" si="11"/>
        <v>84.335799999999992</v>
      </c>
      <c r="H40" s="63">
        <f t="shared" si="12"/>
        <v>166.8158</v>
      </c>
      <c r="I40" s="143">
        <v>369.6</v>
      </c>
      <c r="J40" s="144">
        <v>380.68800000000005</v>
      </c>
      <c r="K40" s="145">
        <v>4.2587121212121204</v>
      </c>
      <c r="L40" s="146">
        <v>8.1087391774891771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3"/>
        <v>380.68800000000005</v>
      </c>
      <c r="S40" s="62">
        <f t="shared" si="14"/>
        <v>16.212405999999998</v>
      </c>
      <c r="T40" s="63">
        <f t="shared" si="15"/>
        <v>30.868997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>
        <v>2442</v>
      </c>
      <c r="AI40" s="66">
        <v>4.1100000000000003</v>
      </c>
      <c r="AJ40" s="66">
        <v>8.09</v>
      </c>
      <c r="AK40" s="62">
        <f t="shared" si="20"/>
        <v>100.36620000000001</v>
      </c>
      <c r="AL40" s="72">
        <f t="shared" si="21"/>
        <v>197.55779999999999</v>
      </c>
      <c r="AM40" s="73">
        <f t="shared" si="22"/>
        <v>0.68800000000010186</v>
      </c>
      <c r="AN40" s="74">
        <f t="shared" si="23"/>
        <v>0.18200599999998701</v>
      </c>
      <c r="AO40" s="74">
        <f t="shared" si="24"/>
        <v>0.12699700000001712</v>
      </c>
      <c r="AP40" s="75">
        <f t="shared" si="25"/>
        <v>6.5631646533558944E-3</v>
      </c>
      <c r="AQ40" s="76">
        <f t="shared" si="9"/>
        <v>125.49427755255006</v>
      </c>
      <c r="AR40" s="90">
        <f t="shared" si="26"/>
        <v>0.68800000000010186</v>
      </c>
    </row>
    <row r="41" spans="1:44" x14ac:dyDescent="0.25">
      <c r="A41" t="str">
        <f t="shared" si="10"/>
        <v>46222E</v>
      </c>
      <c r="B41" s="51">
        <f t="shared" si="27"/>
        <v>46222</v>
      </c>
      <c r="C41" s="52" t="s">
        <v>88</v>
      </c>
      <c r="D41" s="79">
        <v>2442</v>
      </c>
      <c r="E41" s="62">
        <v>4.1100000000000003</v>
      </c>
      <c r="F41" s="62">
        <v>8.09</v>
      </c>
      <c r="G41" s="62">
        <f t="shared" si="11"/>
        <v>100.36620000000001</v>
      </c>
      <c r="H41" s="63">
        <f t="shared" si="12"/>
        <v>197.55779999999999</v>
      </c>
      <c r="I41" s="143">
        <v>642.30000000000007</v>
      </c>
      <c r="J41" s="144">
        <v>661.56900000000007</v>
      </c>
      <c r="K41" s="145">
        <v>4.2415537910633665</v>
      </c>
      <c r="L41" s="146">
        <v>8.1548808967772075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3"/>
        <v>661.56900000000007</v>
      </c>
      <c r="S41" s="62">
        <f t="shared" si="14"/>
        <v>28.060805000000006</v>
      </c>
      <c r="T41" s="63">
        <f t="shared" si="15"/>
        <v>53.950164000000008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>
        <v>3103</v>
      </c>
      <c r="AI41" s="66">
        <v>4.13</v>
      </c>
      <c r="AJ41" s="66">
        <v>8.1</v>
      </c>
      <c r="AK41" s="62">
        <f t="shared" si="20"/>
        <v>128.15389999999999</v>
      </c>
      <c r="AL41" s="72">
        <f t="shared" si="21"/>
        <v>251.34300000000002</v>
      </c>
      <c r="AM41" s="73">
        <f t="shared" si="22"/>
        <v>0.56899999999995998</v>
      </c>
      <c r="AN41" s="74">
        <f t="shared" si="23"/>
        <v>0.27310500000001525</v>
      </c>
      <c r="AO41" s="74">
        <f t="shared" si="24"/>
        <v>0.16496399999996925</v>
      </c>
      <c r="AP41" s="75">
        <f t="shared" si="25"/>
        <v>5.3415903426282454E-3</v>
      </c>
      <c r="AQ41" s="76">
        <f t="shared" si="9"/>
        <v>180.6410904977424</v>
      </c>
      <c r="AR41" s="90">
        <f t="shared" si="26"/>
        <v>0.56899999999995998</v>
      </c>
    </row>
    <row r="42" spans="1:44" x14ac:dyDescent="0.25">
      <c r="A42" t="str">
        <f t="shared" si="10"/>
        <v>46223M</v>
      </c>
      <c r="B42" s="51">
        <f t="shared" si="27"/>
        <v>46223</v>
      </c>
      <c r="C42" s="52" t="s">
        <v>87</v>
      </c>
      <c r="D42" s="79">
        <v>3103</v>
      </c>
      <c r="E42" s="62">
        <v>4.13</v>
      </c>
      <c r="F42" s="62">
        <v>8.1</v>
      </c>
      <c r="G42" s="62">
        <f t="shared" si="11"/>
        <v>128.15389999999999</v>
      </c>
      <c r="H42" s="63">
        <f t="shared" si="12"/>
        <v>251.34300000000002</v>
      </c>
      <c r="I42" s="143">
        <v>423.2</v>
      </c>
      <c r="J42" s="144">
        <v>435.89600000000002</v>
      </c>
      <c r="K42" s="145">
        <v>4.2163988657844982</v>
      </c>
      <c r="L42" s="146">
        <v>8.14284026465028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3"/>
        <v>435.89600000000002</v>
      </c>
      <c r="S42" s="62">
        <f t="shared" si="14"/>
        <v>18.379113999999994</v>
      </c>
      <c r="T42" s="63">
        <f t="shared" si="15"/>
        <v>35.494314999999986</v>
      </c>
      <c r="U42" s="64" t="s">
        <v>176</v>
      </c>
      <c r="V42" s="65" t="s">
        <v>728</v>
      </c>
      <c r="W42" s="66" t="s">
        <v>178</v>
      </c>
      <c r="X42" s="67">
        <v>3025</v>
      </c>
      <c r="Y42" s="68">
        <v>4.0999999999999996</v>
      </c>
      <c r="Z42" s="68">
        <v>8.1</v>
      </c>
      <c r="AA42" s="62">
        <f t="shared" si="16"/>
        <v>124.02499999999998</v>
      </c>
      <c r="AB42" s="63">
        <f t="shared" si="17"/>
        <v>245.02500000000001</v>
      </c>
      <c r="AC42" s="69">
        <v>3025</v>
      </c>
      <c r="AD42" s="70">
        <v>4</v>
      </c>
      <c r="AE42" s="70">
        <v>8.1</v>
      </c>
      <c r="AF42" s="62">
        <f t="shared" si="18"/>
        <v>121</v>
      </c>
      <c r="AG42" s="63">
        <f t="shared" si="19"/>
        <v>245.02500000000001</v>
      </c>
      <c r="AH42" s="66">
        <v>514</v>
      </c>
      <c r="AI42" s="66">
        <v>4.1399999999999997</v>
      </c>
      <c r="AJ42" s="66">
        <v>8.1</v>
      </c>
      <c r="AK42" s="62">
        <f t="shared" si="20"/>
        <v>21.279599999999999</v>
      </c>
      <c r="AL42" s="72">
        <f t="shared" si="21"/>
        <v>41.634</v>
      </c>
      <c r="AM42" s="73">
        <f t="shared" si="22"/>
        <v>-0.10399999999981446</v>
      </c>
      <c r="AN42" s="74">
        <f t="shared" si="23"/>
        <v>4.2534139999999816</v>
      </c>
      <c r="AO42" s="74">
        <f t="shared" si="24"/>
        <v>0.17831499999998357</v>
      </c>
      <c r="AP42" s="75">
        <f t="shared" si="25"/>
        <v>8.2261869761435957E-2</v>
      </c>
      <c r="AQ42" s="76">
        <f t="shared" si="9"/>
        <v>2097.3076154712194</v>
      </c>
      <c r="AR42" s="90">
        <f t="shared" si="26"/>
        <v>-0.10399999999981446</v>
      </c>
    </row>
    <row r="43" spans="1:44" x14ac:dyDescent="0.25">
      <c r="A43" t="str">
        <f t="shared" si="10"/>
        <v>46223E</v>
      </c>
      <c r="B43" s="51">
        <f t="shared" si="27"/>
        <v>46223</v>
      </c>
      <c r="C43" s="52" t="s">
        <v>88</v>
      </c>
      <c r="D43" s="79">
        <v>514</v>
      </c>
      <c r="E43" s="62">
        <v>4.1399999999999997</v>
      </c>
      <c r="F43" s="62">
        <v>8.1</v>
      </c>
      <c r="G43" s="62">
        <f t="shared" si="11"/>
        <v>21.279599999999999</v>
      </c>
      <c r="H43" s="63">
        <f t="shared" si="12"/>
        <v>41.634</v>
      </c>
      <c r="I43" s="143">
        <v>654.9</v>
      </c>
      <c r="J43" s="144">
        <v>674.54700000000003</v>
      </c>
      <c r="K43" s="145">
        <v>4.1124446480378687</v>
      </c>
      <c r="L43" s="146">
        <v>8.1393189799969452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3"/>
        <v>674.54700000000003</v>
      </c>
      <c r="S43" s="62">
        <f t="shared" si="14"/>
        <v>27.740372000000004</v>
      </c>
      <c r="T43" s="63">
        <f t="shared" si="15"/>
        <v>54.903531999999998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>
        <v>1188</v>
      </c>
      <c r="AI43" s="66">
        <v>4.12</v>
      </c>
      <c r="AJ43" s="66">
        <v>8.1199999999999992</v>
      </c>
      <c r="AK43" s="62">
        <f t="shared" si="20"/>
        <v>48.945599999999999</v>
      </c>
      <c r="AL43" s="72">
        <f t="shared" si="21"/>
        <v>96.465599999999995</v>
      </c>
      <c r="AM43" s="73">
        <f t="shared" si="22"/>
        <v>0.54700000000002547</v>
      </c>
      <c r="AN43" s="74">
        <f t="shared" si="23"/>
        <v>7.4372000000003879E-2</v>
      </c>
      <c r="AO43" s="74">
        <f t="shared" si="24"/>
        <v>7.1932000000003882E-2</v>
      </c>
      <c r="AP43" s="75">
        <f t="shared" si="25"/>
        <v>1.770293910607221E-3</v>
      </c>
      <c r="AQ43" s="76">
        <f t="shared" si="9"/>
        <v>57.281160167346833</v>
      </c>
      <c r="AR43" s="90">
        <f t="shared" si="26"/>
        <v>0.54700000000002547</v>
      </c>
    </row>
    <row r="44" spans="1:44" x14ac:dyDescent="0.25">
      <c r="A44" t="str">
        <f t="shared" si="10"/>
        <v>46224M</v>
      </c>
      <c r="B44" s="51">
        <f t="shared" si="27"/>
        <v>46224</v>
      </c>
      <c r="C44" s="52" t="s">
        <v>87</v>
      </c>
      <c r="D44" s="79">
        <v>1188</v>
      </c>
      <c r="E44" s="62">
        <v>4.12</v>
      </c>
      <c r="F44" s="62">
        <v>8.1199999999999992</v>
      </c>
      <c r="G44" s="62">
        <f t="shared" si="11"/>
        <v>48.945599999999999</v>
      </c>
      <c r="H44" s="63">
        <f t="shared" si="12"/>
        <v>96.465599999999995</v>
      </c>
      <c r="I44" s="143">
        <v>376.3</v>
      </c>
      <c r="J44" s="144">
        <v>387.589</v>
      </c>
      <c r="K44" s="145">
        <v>4.1878022854105774</v>
      </c>
      <c r="L44" s="146">
        <v>8.1973691203826746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3"/>
        <v>387.589</v>
      </c>
      <c r="S44" s="62">
        <f t="shared" si="14"/>
        <v>16.231461000000003</v>
      </c>
      <c r="T44" s="63">
        <f t="shared" si="15"/>
        <v>31.772101000000006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>
        <v>1575</v>
      </c>
      <c r="AI44" s="66">
        <v>4.13</v>
      </c>
      <c r="AJ44" s="66">
        <v>8.1300000000000008</v>
      </c>
      <c r="AK44" s="62">
        <f t="shared" si="20"/>
        <v>65.047499999999999</v>
      </c>
      <c r="AL44" s="72">
        <f t="shared" si="21"/>
        <v>128.04750000000001</v>
      </c>
      <c r="AM44" s="73">
        <f t="shared" si="22"/>
        <v>0.58899999999994179</v>
      </c>
      <c r="AN44" s="74">
        <f t="shared" si="23"/>
        <v>0.12956100000000959</v>
      </c>
      <c r="AO44" s="74">
        <f t="shared" si="24"/>
        <v>0.19020100000000184</v>
      </c>
      <c r="AP44" s="75">
        <f t="shared" si="25"/>
        <v>6.661214015743485E-3</v>
      </c>
      <c r="AQ44" s="76">
        <f t="shared" si="9"/>
        <v>119.22178348095545</v>
      </c>
      <c r="AR44" s="90">
        <f t="shared" si="26"/>
        <v>0.58899999999994179</v>
      </c>
    </row>
    <row r="45" spans="1:44" x14ac:dyDescent="0.25">
      <c r="A45" t="str">
        <f t="shared" si="10"/>
        <v>46224E</v>
      </c>
      <c r="B45" s="51">
        <f t="shared" si="27"/>
        <v>46224</v>
      </c>
      <c r="C45" s="52" t="s">
        <v>88</v>
      </c>
      <c r="D45" s="79">
        <v>1575</v>
      </c>
      <c r="E45" s="62">
        <v>4.13</v>
      </c>
      <c r="F45" s="62">
        <v>8.1300000000000008</v>
      </c>
      <c r="G45" s="62">
        <f t="shared" si="11"/>
        <v>65.047499999999999</v>
      </c>
      <c r="H45" s="63">
        <f t="shared" si="12"/>
        <v>128.04750000000001</v>
      </c>
      <c r="I45" s="143">
        <v>653</v>
      </c>
      <c r="J45" s="144">
        <v>672.59</v>
      </c>
      <c r="K45" s="145">
        <v>4.1130781010719746</v>
      </c>
      <c r="L45" s="146">
        <v>8.1137366003062787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3"/>
        <v>672.59</v>
      </c>
      <c r="S45" s="62">
        <f t="shared" si="14"/>
        <v>27.664151999999994</v>
      </c>
      <c r="T45" s="63">
        <f t="shared" si="15"/>
        <v>54.572181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>
        <v>2247</v>
      </c>
      <c r="AI45" s="66">
        <v>4.12</v>
      </c>
      <c r="AJ45" s="66">
        <v>8.1199999999999992</v>
      </c>
      <c r="AK45" s="62">
        <f t="shared" si="20"/>
        <v>92.576400000000007</v>
      </c>
      <c r="AL45" s="72">
        <f t="shared" si="21"/>
        <v>182.45639999999997</v>
      </c>
      <c r="AM45" s="73">
        <f t="shared" si="22"/>
        <v>0.59000000000014552</v>
      </c>
      <c r="AN45" s="74">
        <f t="shared" si="23"/>
        <v>0.13525199999997994</v>
      </c>
      <c r="AO45" s="74">
        <f t="shared" si="24"/>
        <v>0.16328100000004042</v>
      </c>
      <c r="AP45" s="75">
        <f t="shared" si="25"/>
        <v>3.6301837534514136E-3</v>
      </c>
      <c r="AQ45" s="76">
        <f t="shared" si="9"/>
        <v>113.89419385825836</v>
      </c>
      <c r="AR45" s="90">
        <f t="shared" si="26"/>
        <v>0.59000000000014552</v>
      </c>
    </row>
    <row r="46" spans="1:44" x14ac:dyDescent="0.25">
      <c r="A46" t="str">
        <f t="shared" si="10"/>
        <v>46225M</v>
      </c>
      <c r="B46" s="51">
        <f t="shared" si="27"/>
        <v>46225</v>
      </c>
      <c r="C46" s="52" t="s">
        <v>87</v>
      </c>
      <c r="D46" s="79">
        <v>2247</v>
      </c>
      <c r="E46" s="62">
        <v>4.12</v>
      </c>
      <c r="F46" s="62">
        <v>8.1199999999999992</v>
      </c>
      <c r="G46" s="62">
        <f t="shared" si="11"/>
        <v>92.576400000000007</v>
      </c>
      <c r="H46" s="63">
        <f t="shared" si="12"/>
        <v>182.45639999999997</v>
      </c>
      <c r="I46" s="143">
        <v>389.20000000000005</v>
      </c>
      <c r="J46" s="144">
        <v>400.87600000000003</v>
      </c>
      <c r="K46" s="145">
        <v>4.4316032887975334</v>
      </c>
      <c r="L46" s="146">
        <v>8.1870760534429579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3"/>
        <v>400.87600000000003</v>
      </c>
      <c r="S46" s="62">
        <f t="shared" si="14"/>
        <v>17.765234000000003</v>
      </c>
      <c r="T46" s="63">
        <f t="shared" si="15"/>
        <v>32.820022999999999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>
        <v>2647</v>
      </c>
      <c r="AI46" s="66">
        <v>4.16</v>
      </c>
      <c r="AJ46" s="66">
        <v>8.1300000000000008</v>
      </c>
      <c r="AK46" s="62">
        <f t="shared" si="20"/>
        <v>110.1152</v>
      </c>
      <c r="AL46" s="72">
        <f t="shared" si="21"/>
        <v>215.20110000000003</v>
      </c>
      <c r="AM46" s="73">
        <f t="shared" si="22"/>
        <v>0.87600000000020373</v>
      </c>
      <c r="AN46" s="74">
        <f t="shared" si="23"/>
        <v>0.22643400000001179</v>
      </c>
      <c r="AO46" s="74">
        <f t="shared" si="24"/>
        <v>7.5322999999940521E-2</v>
      </c>
      <c r="AP46" s="75">
        <f t="shared" si="25"/>
        <v>5.9653151510123256E-3</v>
      </c>
      <c r="AQ46" s="76">
        <f t="shared" si="9"/>
        <v>131.3674745534932</v>
      </c>
      <c r="AR46" s="90">
        <f>(D46+J46+O46)-(X46+AH46)</f>
        <v>0.87600000000020373</v>
      </c>
    </row>
    <row r="47" spans="1:44" x14ac:dyDescent="0.25">
      <c r="A47" t="str">
        <f t="shared" si="10"/>
        <v>46225E</v>
      </c>
      <c r="B47" s="51">
        <f t="shared" si="27"/>
        <v>46225</v>
      </c>
      <c r="C47" s="52" t="s">
        <v>88</v>
      </c>
      <c r="D47" s="79">
        <v>2647</v>
      </c>
      <c r="E47" s="62">
        <v>4.16</v>
      </c>
      <c r="F47" s="62">
        <v>8.1300000000000008</v>
      </c>
      <c r="G47" s="62">
        <f t="shared" si="11"/>
        <v>110.1152</v>
      </c>
      <c r="H47" s="63">
        <f t="shared" si="12"/>
        <v>215.20110000000003</v>
      </c>
      <c r="I47" s="143">
        <v>562</v>
      </c>
      <c r="J47" s="144">
        <v>578.86</v>
      </c>
      <c r="K47" s="145">
        <v>4.4149644128113881</v>
      </c>
      <c r="L47" s="146">
        <v>8.1785231316725966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3"/>
        <v>578.86</v>
      </c>
      <c r="S47" s="62">
        <f t="shared" si="14"/>
        <v>25.556463000000001</v>
      </c>
      <c r="T47" s="63">
        <f t="shared" si="15"/>
        <v>47.342198999999994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>
        <v>3225</v>
      </c>
      <c r="AI47" s="66">
        <v>4.2</v>
      </c>
      <c r="AJ47" s="66">
        <v>8.1300000000000008</v>
      </c>
      <c r="AK47" s="62">
        <f t="shared" si="20"/>
        <v>135.45000000000002</v>
      </c>
      <c r="AL47" s="72">
        <f t="shared" si="21"/>
        <v>262.19250000000005</v>
      </c>
      <c r="AM47" s="73">
        <f t="shared" si="22"/>
        <v>0.86000000000012733</v>
      </c>
      <c r="AN47" s="74">
        <f t="shared" si="23"/>
        <v>0.22166299999997818</v>
      </c>
      <c r="AO47" s="74">
        <f t="shared" si="24"/>
        <v>0.35079899999999498</v>
      </c>
      <c r="AP47" s="75">
        <f t="shared" si="25"/>
        <v>7.8528464623942359E-3</v>
      </c>
      <c r="AQ47" s="76">
        <f t="shared" si="9"/>
        <v>211.57746334636474</v>
      </c>
      <c r="AR47" s="90">
        <f t="shared" si="26"/>
        <v>0.86000000000012733</v>
      </c>
    </row>
    <row r="48" spans="1:44" x14ac:dyDescent="0.25">
      <c r="A48" t="str">
        <f t="shared" si="10"/>
        <v>46226M</v>
      </c>
      <c r="B48" s="51">
        <f t="shared" si="27"/>
        <v>46226</v>
      </c>
      <c r="C48" s="52" t="s">
        <v>87</v>
      </c>
      <c r="D48" s="79">
        <v>3225</v>
      </c>
      <c r="E48" s="62">
        <v>4.2</v>
      </c>
      <c r="F48" s="62">
        <v>8.1300000000000008</v>
      </c>
      <c r="G48" s="62">
        <f t="shared" si="11"/>
        <v>135.45000000000002</v>
      </c>
      <c r="H48" s="63">
        <f t="shared" si="12"/>
        <v>262.19250000000005</v>
      </c>
      <c r="I48" s="143">
        <v>374.1</v>
      </c>
      <c r="J48" s="144">
        <v>385.32300000000004</v>
      </c>
      <c r="K48" s="145">
        <v>4.110264635124298</v>
      </c>
      <c r="L48" s="146">
        <v>8.1020582731889874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3"/>
        <v>385.32300000000004</v>
      </c>
      <c r="S48" s="62">
        <f t="shared" si="14"/>
        <v>15.837795</v>
      </c>
      <c r="T48" s="63">
        <f t="shared" si="15"/>
        <v>31.219094000000005</v>
      </c>
      <c r="U48" s="64" t="s">
        <v>207</v>
      </c>
      <c r="V48" s="65" t="s">
        <v>790</v>
      </c>
      <c r="W48" s="66" t="s">
        <v>178</v>
      </c>
      <c r="X48" s="67">
        <v>3027</v>
      </c>
      <c r="Y48" s="68">
        <v>4</v>
      </c>
      <c r="Z48" s="68">
        <v>8.0500000000000007</v>
      </c>
      <c r="AA48" s="62">
        <f t="shared" si="16"/>
        <v>121.08</v>
      </c>
      <c r="AB48" s="63">
        <f t="shared" si="17"/>
        <v>243.67350000000002</v>
      </c>
      <c r="AC48" s="69">
        <v>3027</v>
      </c>
      <c r="AD48" s="70">
        <v>4</v>
      </c>
      <c r="AE48" s="70">
        <v>8</v>
      </c>
      <c r="AF48" s="62">
        <f t="shared" si="18"/>
        <v>121.08</v>
      </c>
      <c r="AG48" s="63">
        <f t="shared" si="19"/>
        <v>242.16</v>
      </c>
      <c r="AH48" s="66">
        <v>583</v>
      </c>
      <c r="AI48" s="66">
        <v>4.18</v>
      </c>
      <c r="AJ48" s="66">
        <v>8.1199999999999992</v>
      </c>
      <c r="AK48" s="62">
        <f t="shared" si="20"/>
        <v>24.369399999999999</v>
      </c>
      <c r="AL48" s="72">
        <f t="shared" si="21"/>
        <v>47.339599999999997</v>
      </c>
      <c r="AM48" s="73">
        <f t="shared" si="22"/>
        <v>0.32299999999986539</v>
      </c>
      <c r="AN48" s="74">
        <f t="shared" si="23"/>
        <v>5.8383950000000198</v>
      </c>
      <c r="AO48" s="74">
        <f t="shared" si="24"/>
        <v>3.9119940000000426</v>
      </c>
      <c r="AP48" s="75">
        <f t="shared" si="25"/>
        <v>0.20720428415911774</v>
      </c>
      <c r="AQ48" s="76">
        <f t="shared" si="9"/>
        <v>3977.1461928189956</v>
      </c>
      <c r="AR48" s="90">
        <f t="shared" si="26"/>
        <v>0.32299999999986539</v>
      </c>
    </row>
    <row r="49" spans="1:49" x14ac:dyDescent="0.25">
      <c r="A49" t="str">
        <f t="shared" si="10"/>
        <v>46226E</v>
      </c>
      <c r="B49" s="51">
        <f t="shared" si="27"/>
        <v>46226</v>
      </c>
      <c r="C49" s="52" t="s">
        <v>88</v>
      </c>
      <c r="D49" s="79">
        <v>583</v>
      </c>
      <c r="E49" s="62">
        <v>4.18</v>
      </c>
      <c r="F49" s="62">
        <v>8.1199999999999992</v>
      </c>
      <c r="G49" s="62">
        <f t="shared" si="11"/>
        <v>24.369399999999999</v>
      </c>
      <c r="H49" s="63">
        <f t="shared" si="12"/>
        <v>47.339599999999997</v>
      </c>
      <c r="I49" s="143">
        <v>669.7</v>
      </c>
      <c r="J49" s="144">
        <v>689.79100000000005</v>
      </c>
      <c r="K49" s="145">
        <v>4.169777512318948</v>
      </c>
      <c r="L49" s="146">
        <v>8.1899507242048681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3"/>
        <v>689.79100000000005</v>
      </c>
      <c r="S49" s="62">
        <f t="shared" si="14"/>
        <v>28.762749999999997</v>
      </c>
      <c r="T49" s="63">
        <f t="shared" si="15"/>
        <v>56.49354300000001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1272</v>
      </c>
      <c r="AI49" s="66">
        <v>4.17</v>
      </c>
      <c r="AJ49" s="66">
        <v>8.16</v>
      </c>
      <c r="AK49" s="62">
        <f t="shared" si="20"/>
        <v>53.042400000000001</v>
      </c>
      <c r="AL49" s="72">
        <f t="shared" si="21"/>
        <v>103.79520000000001</v>
      </c>
      <c r="AM49" s="73">
        <f t="shared" si="22"/>
        <v>0.79100000000016735</v>
      </c>
      <c r="AN49" s="74">
        <f t="shared" si="23"/>
        <v>8.9749999999995111E-2</v>
      </c>
      <c r="AO49" s="74">
        <f t="shared" si="24"/>
        <v>3.7942999999998506E-2</v>
      </c>
      <c r="AP49" s="75">
        <f t="shared" si="25"/>
        <v>1.4977545411221857E-3</v>
      </c>
      <c r="AQ49" s="76">
        <f t="shared" si="9"/>
        <v>54.491386753722395</v>
      </c>
      <c r="AR49" s="90">
        <f t="shared" si="26"/>
        <v>0.79100000000016735</v>
      </c>
    </row>
    <row r="50" spans="1:49" x14ac:dyDescent="0.25">
      <c r="A50" t="str">
        <f t="shared" si="10"/>
        <v>46227M</v>
      </c>
      <c r="B50" s="51">
        <f t="shared" si="27"/>
        <v>46227</v>
      </c>
      <c r="C50" s="52" t="s">
        <v>87</v>
      </c>
      <c r="D50" s="79">
        <v>1272</v>
      </c>
      <c r="E50" s="62">
        <v>4.17</v>
      </c>
      <c r="F50" s="62">
        <v>8.16</v>
      </c>
      <c r="G50" s="62">
        <f t="shared" si="11"/>
        <v>53.042400000000001</v>
      </c>
      <c r="H50" s="63">
        <f t="shared" si="12"/>
        <v>103.79520000000001</v>
      </c>
      <c r="I50" s="143">
        <v>322.39999999999998</v>
      </c>
      <c r="J50" s="144">
        <v>332.072</v>
      </c>
      <c r="K50" s="145">
        <v>3.9723945409429278</v>
      </c>
      <c r="L50" s="146">
        <v>7.9977977667493789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3"/>
        <v>332.072</v>
      </c>
      <c r="S50" s="62">
        <f t="shared" si="14"/>
        <v>13.19121</v>
      </c>
      <c r="T50" s="63">
        <f t="shared" si="15"/>
        <v>26.558446999999997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>
        <v>1604</v>
      </c>
      <c r="AI50" s="66">
        <v>4.12</v>
      </c>
      <c r="AJ50" s="66">
        <v>8.1199999999999992</v>
      </c>
      <c r="AK50" s="62">
        <f t="shared" si="20"/>
        <v>66.084800000000001</v>
      </c>
      <c r="AL50" s="72">
        <f t="shared" si="21"/>
        <v>130.2448</v>
      </c>
      <c r="AM50" s="73">
        <f t="shared" si="22"/>
        <v>7.2000000000116415E-2</v>
      </c>
      <c r="AN50" s="74">
        <f t="shared" si="23"/>
        <v>0.14880999999999744</v>
      </c>
      <c r="AO50" s="74">
        <f t="shared" si="24"/>
        <v>0.10884699999999725</v>
      </c>
      <c r="AP50" s="75">
        <f t="shared" si="25"/>
        <v>6.4819930395876042E-3</v>
      </c>
      <c r="AQ50" s="76">
        <f t="shared" si="9"/>
        <v>104.10675572197883</v>
      </c>
      <c r="AR50" s="90">
        <f t="shared" ref="AR50:AR59" si="28">(D50+J50+O50)-(X50+AH50)</f>
        <v>7.2000000000116415E-2</v>
      </c>
    </row>
    <row r="51" spans="1:49" x14ac:dyDescent="0.25">
      <c r="A51" t="str">
        <f t="shared" si="10"/>
        <v>46227E</v>
      </c>
      <c r="B51" s="51">
        <f t="shared" si="27"/>
        <v>46227</v>
      </c>
      <c r="C51" s="52" t="s">
        <v>88</v>
      </c>
      <c r="D51" s="79">
        <v>1604</v>
      </c>
      <c r="E51" s="62">
        <v>4.12</v>
      </c>
      <c r="F51" s="62">
        <v>8.1199999999999992</v>
      </c>
      <c r="G51" s="62">
        <f t="shared" si="11"/>
        <v>66.084800000000001</v>
      </c>
      <c r="H51" s="63">
        <f t="shared" si="12"/>
        <v>130.2448</v>
      </c>
      <c r="I51" s="143">
        <v>583.70000000000005</v>
      </c>
      <c r="J51" s="144">
        <v>601.21100000000001</v>
      </c>
      <c r="K51" s="145">
        <v>4.146342299126264</v>
      </c>
      <c r="L51" s="146">
        <v>8.1201130717834502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3"/>
        <v>601.21100000000001</v>
      </c>
      <c r="S51" s="62">
        <f t="shared" si="14"/>
        <v>24.928266000000004</v>
      </c>
      <c r="T51" s="63">
        <f t="shared" si="15"/>
        <v>48.819012999999998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>
        <v>2205</v>
      </c>
      <c r="AI51" s="66">
        <v>4.12</v>
      </c>
      <c r="AJ51" s="66">
        <v>8.1199999999999992</v>
      </c>
      <c r="AK51" s="62">
        <f t="shared" si="20"/>
        <v>90.846000000000004</v>
      </c>
      <c r="AL51" s="72">
        <f t="shared" si="21"/>
        <v>179.04599999999999</v>
      </c>
      <c r="AM51" s="73">
        <f t="shared" si="22"/>
        <v>0.21100000000024011</v>
      </c>
      <c r="AN51" s="74">
        <f t="shared" si="23"/>
        <v>0.16706600000000549</v>
      </c>
      <c r="AO51" s="74">
        <f t="shared" si="24"/>
        <v>1.7812999999989643E-2</v>
      </c>
      <c r="AP51" s="75">
        <f t="shared" si="25"/>
        <v>2.5069263911417683E-3</v>
      </c>
      <c r="AQ51" s="76">
        <f t="shared" si="9"/>
        <v>85.615485320717198</v>
      </c>
      <c r="AR51" s="90">
        <f t="shared" si="28"/>
        <v>0.21100000000024011</v>
      </c>
      <c r="AS51" s="90">
        <f>SUM(J38:J51)</f>
        <v>7303.9360000000006</v>
      </c>
      <c r="AT51" s="83">
        <f>SUM(AM38:AM51)</f>
        <v>6.9360000000010587</v>
      </c>
      <c r="AU51" s="83">
        <f>SUM(AN38:AN51)</f>
        <v>11.924647000000004</v>
      </c>
      <c r="AV51" s="83">
        <f>SUM(AO38:AO51)</f>
        <v>5.7361979999999804</v>
      </c>
      <c r="AW51" s="83">
        <f>-SUM(AQ38:AQ51)</f>
        <v>-7448.1212225708923</v>
      </c>
    </row>
    <row r="52" spans="1:49" x14ac:dyDescent="0.25">
      <c r="A52" t="str">
        <f t="shared" si="10"/>
        <v>46228M</v>
      </c>
      <c r="B52" s="51">
        <f t="shared" si="27"/>
        <v>46228</v>
      </c>
      <c r="C52" s="52" t="s">
        <v>87</v>
      </c>
      <c r="D52" s="79">
        <v>2205</v>
      </c>
      <c r="E52" s="62">
        <v>4.12</v>
      </c>
      <c r="F52" s="62">
        <v>8.1199999999999992</v>
      </c>
      <c r="G52" s="62">
        <f t="shared" si="11"/>
        <v>90.846000000000004</v>
      </c>
      <c r="H52" s="63">
        <f t="shared" si="12"/>
        <v>179.04599999999999</v>
      </c>
      <c r="I52" s="143">
        <v>386.4</v>
      </c>
      <c r="J52" s="144">
        <v>397.99199999999996</v>
      </c>
      <c r="K52" s="145">
        <v>4.4443581780538297</v>
      </c>
      <c r="L52" s="146">
        <v>8.2186335403726698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3"/>
        <v>397.99199999999996</v>
      </c>
      <c r="S52" s="62">
        <f t="shared" si="14"/>
        <v>17.688189999999995</v>
      </c>
      <c r="T52" s="63">
        <f t="shared" si="15"/>
        <v>32.709503999999995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>
        <v>2603</v>
      </c>
      <c r="AI52" s="66">
        <v>4.16</v>
      </c>
      <c r="AJ52" s="66">
        <v>8.1300000000000008</v>
      </c>
      <c r="AK52" s="62">
        <f t="shared" si="20"/>
        <v>108.28479999999999</v>
      </c>
      <c r="AL52" s="72">
        <f t="shared" si="21"/>
        <v>211.62390000000002</v>
      </c>
      <c r="AM52" s="73">
        <f t="shared" si="22"/>
        <v>-7.9999999998108251E-3</v>
      </c>
      <c r="AN52" s="74">
        <f t="shared" si="23"/>
        <v>0.24939000000000533</v>
      </c>
      <c r="AO52" s="74">
        <f t="shared" si="24"/>
        <v>0.1316039999999532</v>
      </c>
      <c r="AP52" s="75">
        <f t="shared" si="25"/>
        <v>7.559750650495212E-3</v>
      </c>
      <c r="AQ52" s="76">
        <f t="shared" si="9"/>
        <v>159.25423814701702</v>
      </c>
      <c r="AR52" s="90">
        <f t="shared" si="28"/>
        <v>-7.9999999998108251E-3</v>
      </c>
    </row>
    <row r="53" spans="1:49" x14ac:dyDescent="0.25">
      <c r="A53" t="str">
        <f t="shared" si="10"/>
        <v>46228E</v>
      </c>
      <c r="B53" s="51">
        <f t="shared" si="27"/>
        <v>46228</v>
      </c>
      <c r="C53" s="52" t="s">
        <v>88</v>
      </c>
      <c r="D53" s="79">
        <v>2603</v>
      </c>
      <c r="E53" s="62">
        <v>4.16</v>
      </c>
      <c r="F53" s="62">
        <v>8.1300000000000008</v>
      </c>
      <c r="G53" s="62">
        <f t="shared" si="11"/>
        <v>108.28479999999999</v>
      </c>
      <c r="H53" s="63">
        <f t="shared" si="12"/>
        <v>211.62390000000002</v>
      </c>
      <c r="I53" s="143">
        <v>597.9</v>
      </c>
      <c r="J53" s="144">
        <v>615.83699999999999</v>
      </c>
      <c r="K53" s="145">
        <v>4.2159892958688756</v>
      </c>
      <c r="L53" s="146">
        <v>8.1358421140658983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3"/>
        <v>615.83699999999999</v>
      </c>
      <c r="S53" s="62">
        <f t="shared" si="14"/>
        <v>25.963622000000008</v>
      </c>
      <c r="T53" s="63">
        <f t="shared" si="15"/>
        <v>50.103526000000009</v>
      </c>
      <c r="U53" s="64" t="s">
        <v>167</v>
      </c>
      <c r="V53" s="8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>
        <v>3218</v>
      </c>
      <c r="AI53" s="66">
        <v>4.16</v>
      </c>
      <c r="AJ53" s="66">
        <v>8.1300000000000008</v>
      </c>
      <c r="AK53" s="62">
        <f t="shared" si="20"/>
        <v>133.86879999999999</v>
      </c>
      <c r="AL53" s="72">
        <f t="shared" si="21"/>
        <v>261.62340000000006</v>
      </c>
      <c r="AM53" s="73">
        <f t="shared" si="22"/>
        <v>0.83699999999998909</v>
      </c>
      <c r="AN53" s="74">
        <f t="shared" si="23"/>
        <v>0.37962200000001189</v>
      </c>
      <c r="AO53" s="74">
        <f t="shared" si="24"/>
        <v>0.10402599999997619</v>
      </c>
      <c r="AP53" s="75">
        <f t="shared" si="25"/>
        <v>6.358171861524084E-3</v>
      </c>
      <c r="AQ53" s="76">
        <f t="shared" si="9"/>
        <v>213.57558724658125</v>
      </c>
      <c r="AR53" s="90">
        <f t="shared" si="28"/>
        <v>0.83699999999998909</v>
      </c>
    </row>
    <row r="54" spans="1:49" x14ac:dyDescent="0.25">
      <c r="A54" t="str">
        <f t="shared" si="10"/>
        <v>46229M</v>
      </c>
      <c r="B54" s="51">
        <f t="shared" si="27"/>
        <v>46229</v>
      </c>
      <c r="C54" s="52" t="s">
        <v>87</v>
      </c>
      <c r="D54" s="79">
        <v>3218</v>
      </c>
      <c r="E54" s="62">
        <v>4.16</v>
      </c>
      <c r="F54" s="62">
        <v>8.1300000000000008</v>
      </c>
      <c r="G54" s="62">
        <f t="shared" si="11"/>
        <v>133.86879999999999</v>
      </c>
      <c r="H54" s="63">
        <f t="shared" si="12"/>
        <v>261.62340000000006</v>
      </c>
      <c r="I54" s="143">
        <v>295.5</v>
      </c>
      <c r="J54" s="144">
        <v>304.36500000000001</v>
      </c>
      <c r="K54" s="145">
        <v>4.1749238578680199</v>
      </c>
      <c r="L54" s="146">
        <v>8.1626057529610829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3"/>
        <v>304.36500000000001</v>
      </c>
      <c r="S54" s="62">
        <f t="shared" si="14"/>
        <v>12.707007000000001</v>
      </c>
      <c r="T54" s="63">
        <f t="shared" si="15"/>
        <v>24.844115000000002</v>
      </c>
      <c r="U54" s="64" t="s">
        <v>176</v>
      </c>
      <c r="V54" s="65" t="s">
        <v>885</v>
      </c>
      <c r="W54" s="66" t="s">
        <v>178</v>
      </c>
      <c r="X54" s="67">
        <v>3056</v>
      </c>
      <c r="Y54" s="68">
        <v>4.05</v>
      </c>
      <c r="Z54" s="68">
        <v>8.1</v>
      </c>
      <c r="AA54" s="62">
        <f t="shared" si="16"/>
        <v>123.768</v>
      </c>
      <c r="AB54" s="63">
        <f t="shared" si="17"/>
        <v>247.536</v>
      </c>
      <c r="AC54" s="69">
        <v>3056</v>
      </c>
      <c r="AD54" s="70">
        <v>4</v>
      </c>
      <c r="AE54" s="70">
        <v>8.1</v>
      </c>
      <c r="AF54" s="62">
        <f t="shared" si="18"/>
        <v>122.24000000000001</v>
      </c>
      <c r="AG54" s="63">
        <f t="shared" si="19"/>
        <v>247.536</v>
      </c>
      <c r="AH54" s="66">
        <v>466</v>
      </c>
      <c r="AI54" s="66">
        <v>4.16</v>
      </c>
      <c r="AJ54" s="66">
        <v>8.1300000000000008</v>
      </c>
      <c r="AK54" s="62">
        <f t="shared" si="20"/>
        <v>19.3856</v>
      </c>
      <c r="AL54" s="72">
        <f t="shared" si="21"/>
        <v>37.885800000000003</v>
      </c>
      <c r="AM54" s="73">
        <f t="shared" si="22"/>
        <v>0.36499999999978172</v>
      </c>
      <c r="AN54" s="74">
        <f t="shared" si="23"/>
        <v>4.9502069999999883</v>
      </c>
      <c r="AO54" s="74">
        <f t="shared" si="24"/>
        <v>1.0457150000000439</v>
      </c>
      <c r="AP54" s="75">
        <f t="shared" si="25"/>
        <v>0.15967357779615829</v>
      </c>
      <c r="AQ54" s="76">
        <f t="shared" si="9"/>
        <v>2691.9179080547274</v>
      </c>
      <c r="AR54" s="90">
        <f t="shared" si="28"/>
        <v>0.36499999999978172</v>
      </c>
    </row>
    <row r="55" spans="1:49" x14ac:dyDescent="0.25">
      <c r="A55" t="str">
        <f t="shared" si="10"/>
        <v>46229E</v>
      </c>
      <c r="B55" s="51">
        <f t="shared" si="27"/>
        <v>46229</v>
      </c>
      <c r="C55" s="52" t="s">
        <v>88</v>
      </c>
      <c r="D55" s="79">
        <v>466</v>
      </c>
      <c r="E55" s="62">
        <v>4.16</v>
      </c>
      <c r="F55" s="62">
        <v>8.1300000000000008</v>
      </c>
      <c r="G55" s="62">
        <f t="shared" si="11"/>
        <v>19.3856</v>
      </c>
      <c r="H55" s="63">
        <f t="shared" si="12"/>
        <v>37.885800000000003</v>
      </c>
      <c r="I55" s="143">
        <v>491.5</v>
      </c>
      <c r="J55" s="144">
        <v>506.245</v>
      </c>
      <c r="K55" s="145">
        <v>4.0748524923702938</v>
      </c>
      <c r="L55" s="146">
        <v>8.0935300101729393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3"/>
        <v>506.245</v>
      </c>
      <c r="S55" s="62">
        <f t="shared" si="14"/>
        <v>20.628736999999994</v>
      </c>
      <c r="T55" s="63">
        <f t="shared" si="15"/>
        <v>40.973090999999997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>
        <v>972</v>
      </c>
      <c r="AI55" s="66">
        <v>4.1100000000000003</v>
      </c>
      <c r="AJ55" s="66">
        <v>8.11</v>
      </c>
      <c r="AK55" s="62">
        <f t="shared" si="20"/>
        <v>39.949200000000005</v>
      </c>
      <c r="AL55" s="72">
        <f t="shared" si="21"/>
        <v>78.829199999999986</v>
      </c>
      <c r="AM55" s="73">
        <f t="shared" si="22"/>
        <v>0.24500000000000455</v>
      </c>
      <c r="AN55" s="74">
        <f t="shared" si="23"/>
        <v>6.5136999999992895E-2</v>
      </c>
      <c r="AO55" s="74">
        <f t="shared" si="24"/>
        <v>2.9691000000013901E-2</v>
      </c>
      <c r="AP55" s="75">
        <f t="shared" si="25"/>
        <v>1.5393699031140246E-3</v>
      </c>
      <c r="AQ55" s="76">
        <f t="shared" si="9"/>
        <v>40.192638652072652</v>
      </c>
      <c r="AR55" s="90">
        <f t="shared" si="28"/>
        <v>0.24500000000000455</v>
      </c>
    </row>
    <row r="56" spans="1:49" x14ac:dyDescent="0.25">
      <c r="A56" t="str">
        <f t="shared" si="10"/>
        <v>46230M</v>
      </c>
      <c r="B56" s="51">
        <f t="shared" si="27"/>
        <v>46230</v>
      </c>
      <c r="C56" s="52" t="s">
        <v>87</v>
      </c>
      <c r="D56" s="91">
        <v>972</v>
      </c>
      <c r="E56" s="62">
        <v>4.1100000000000003</v>
      </c>
      <c r="F56" s="62">
        <v>8.11</v>
      </c>
      <c r="G56" s="62">
        <f t="shared" si="11"/>
        <v>39.949200000000005</v>
      </c>
      <c r="H56" s="63">
        <f t="shared" si="12"/>
        <v>78.829199999999986</v>
      </c>
      <c r="I56" s="143">
        <v>322</v>
      </c>
      <c r="J56" s="144">
        <v>331.66</v>
      </c>
      <c r="K56" s="145">
        <v>4.3983850931677022</v>
      </c>
      <c r="L56" s="146">
        <v>8.1892546583850958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3"/>
        <v>331.66</v>
      </c>
      <c r="S56" s="62">
        <f t="shared" si="14"/>
        <v>14.587684000000003</v>
      </c>
      <c r="T56" s="63">
        <f t="shared" si="15"/>
        <v>27.160482000000012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>
        <v>1303</v>
      </c>
      <c r="AI56" s="66">
        <v>4.18</v>
      </c>
      <c r="AJ56" s="66">
        <v>8.1300000000000008</v>
      </c>
      <c r="AK56" s="62">
        <f t="shared" si="20"/>
        <v>54.465399999999995</v>
      </c>
      <c r="AL56" s="72">
        <f t="shared" si="21"/>
        <v>105.93390000000001</v>
      </c>
      <c r="AM56" s="73">
        <f t="shared" si="22"/>
        <v>0.66000000000008185</v>
      </c>
      <c r="AN56" s="74">
        <f t="shared" si="23"/>
        <v>7.1484000000012315E-2</v>
      </c>
      <c r="AO56" s="74">
        <f t="shared" si="24"/>
        <v>5.5781999999993559E-2</v>
      </c>
      <c r="AP56" s="75">
        <f t="shared" si="25"/>
        <v>3.048421336640413E-3</v>
      </c>
      <c r="AQ56" s="76">
        <f t="shared" si="9"/>
        <v>51.056600948823863</v>
      </c>
      <c r="AR56" s="90">
        <f t="shared" si="28"/>
        <v>0.66000000000008185</v>
      </c>
    </row>
    <row r="57" spans="1:49" x14ac:dyDescent="0.25">
      <c r="A57" t="str">
        <f t="shared" si="10"/>
        <v>46230E</v>
      </c>
      <c r="B57" s="51">
        <f t="shared" si="27"/>
        <v>46230</v>
      </c>
      <c r="C57" s="52" t="s">
        <v>88</v>
      </c>
      <c r="D57" s="91">
        <v>1303</v>
      </c>
      <c r="E57" s="62">
        <v>4.18</v>
      </c>
      <c r="F57" s="62">
        <v>8.1300000000000008</v>
      </c>
      <c r="G57" s="62">
        <f t="shared" si="11"/>
        <v>54.465399999999995</v>
      </c>
      <c r="H57" s="63">
        <f t="shared" si="12"/>
        <v>105.93390000000001</v>
      </c>
      <c r="I57" s="143">
        <v>533.40000000000009</v>
      </c>
      <c r="J57" s="144">
        <v>549.40200000000016</v>
      </c>
      <c r="K57" s="145">
        <v>3.9550431196100488</v>
      </c>
      <c r="L57" s="146">
        <v>8.0438882639670055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3"/>
        <v>549.40200000000016</v>
      </c>
      <c r="S57" s="62">
        <f t="shared" si="14"/>
        <v>21.729086000000006</v>
      </c>
      <c r="T57" s="63">
        <f t="shared" si="15"/>
        <v>44.193283000000022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>
        <v>1852</v>
      </c>
      <c r="AI57" s="66">
        <v>4.1100000000000003</v>
      </c>
      <c r="AJ57" s="66">
        <v>8.1</v>
      </c>
      <c r="AK57" s="62">
        <f t="shared" si="20"/>
        <v>76.117200000000011</v>
      </c>
      <c r="AL57" s="72">
        <f t="shared" si="21"/>
        <v>150.012</v>
      </c>
      <c r="AM57" s="73">
        <f t="shared" si="22"/>
        <v>0.40200000000004366</v>
      </c>
      <c r="AN57" s="74">
        <f t="shared" si="23"/>
        <v>7.7285999999986643E-2</v>
      </c>
      <c r="AO57" s="74">
        <f t="shared" si="24"/>
        <v>0.11518300000003023</v>
      </c>
      <c r="AP57" s="75">
        <f t="shared" si="25"/>
        <v>2.9196311194462201E-3</v>
      </c>
      <c r="AQ57" s="76">
        <f t="shared" si="9"/>
        <v>71.634721465125693</v>
      </c>
      <c r="AR57" s="90">
        <f t="shared" si="28"/>
        <v>0.40200000000004366</v>
      </c>
    </row>
    <row r="58" spans="1:49" x14ac:dyDescent="0.25">
      <c r="A58" t="str">
        <f t="shared" si="10"/>
        <v>46231M</v>
      </c>
      <c r="B58" s="51">
        <f t="shared" si="27"/>
        <v>46231</v>
      </c>
      <c r="C58" s="52" t="s">
        <v>87</v>
      </c>
      <c r="D58" s="91">
        <v>1852</v>
      </c>
      <c r="E58" s="62">
        <v>4.1100000000000003</v>
      </c>
      <c r="F58" s="62">
        <v>8.1</v>
      </c>
      <c r="G58" s="62">
        <f t="shared" si="11"/>
        <v>76.117200000000011</v>
      </c>
      <c r="H58" s="63">
        <f t="shared" si="12"/>
        <v>150.012</v>
      </c>
      <c r="I58" s="143">
        <v>337.1</v>
      </c>
      <c r="J58" s="144">
        <v>347.21300000000002</v>
      </c>
      <c r="K58" s="145">
        <v>4.3010086027884888</v>
      </c>
      <c r="L58" s="146">
        <v>8.2311480272916047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3"/>
        <v>347.21300000000002</v>
      </c>
      <c r="S58" s="62">
        <f t="shared" si="14"/>
        <v>14.933660999999997</v>
      </c>
      <c r="T58" s="63">
        <f t="shared" si="15"/>
        <v>28.579616000000001</v>
      </c>
      <c r="U58" s="64" t="s">
        <v>167</v>
      </c>
      <c r="V58" s="65" t="s">
        <v>167</v>
      </c>
      <c r="W58" s="66">
        <v>0</v>
      </c>
      <c r="X58" s="67">
        <v>0</v>
      </c>
      <c r="Y58" s="68">
        <v>0</v>
      </c>
      <c r="Z58" s="68">
        <v>0</v>
      </c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>
        <v>2199</v>
      </c>
      <c r="AI58" s="66">
        <v>4.1399999999999997</v>
      </c>
      <c r="AJ58" s="66">
        <v>8.11</v>
      </c>
      <c r="AK58" s="62">
        <f t="shared" si="20"/>
        <v>91.038600000000002</v>
      </c>
      <c r="AL58" s="72">
        <f t="shared" si="21"/>
        <v>178.3389</v>
      </c>
      <c r="AM58" s="73">
        <f t="shared" si="22"/>
        <v>0.21300000000019281</v>
      </c>
      <c r="AN58" s="74">
        <f t="shared" si="23"/>
        <v>1.2261000000009403E-2</v>
      </c>
      <c r="AO58" s="74">
        <f t="shared" si="24"/>
        <v>0.25271599999999239</v>
      </c>
      <c r="AP58" s="75">
        <f t="shared" si="25"/>
        <v>6.0895666396259185E-3</v>
      </c>
      <c r="AQ58" s="76">
        <f t="shared" si="9"/>
        <v>81.57800174474653</v>
      </c>
      <c r="AR58" s="90">
        <f t="shared" si="28"/>
        <v>0.21300000000019281</v>
      </c>
    </row>
    <row r="59" spans="1:49" x14ac:dyDescent="0.25">
      <c r="A59" t="str">
        <f t="shared" si="10"/>
        <v>46231E</v>
      </c>
      <c r="B59" s="51">
        <f t="shared" si="27"/>
        <v>46231</v>
      </c>
      <c r="C59" s="52" t="s">
        <v>88</v>
      </c>
      <c r="D59" s="91">
        <v>2199</v>
      </c>
      <c r="E59" s="62">
        <v>4.1399999999999997</v>
      </c>
      <c r="F59" s="62">
        <v>8.11</v>
      </c>
      <c r="G59" s="62">
        <f t="shared" si="11"/>
        <v>91.038600000000002</v>
      </c>
      <c r="H59" s="63">
        <f t="shared" si="12"/>
        <v>178.3389</v>
      </c>
      <c r="I59" s="143">
        <v>501.8</v>
      </c>
      <c r="J59" s="144">
        <v>516.85400000000004</v>
      </c>
      <c r="K59" s="145">
        <v>4.2362495017935444</v>
      </c>
      <c r="L59" s="146">
        <v>8.1049820645675599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3"/>
        <v>516.85400000000004</v>
      </c>
      <c r="S59" s="62">
        <f t="shared" si="14"/>
        <v>21.895225000000007</v>
      </c>
      <c r="T59" s="63">
        <f t="shared" si="15"/>
        <v>41.89092400000002</v>
      </c>
      <c r="U59" s="64" t="s">
        <v>207</v>
      </c>
      <c r="V59" s="65" t="s">
        <v>950</v>
      </c>
      <c r="W59" s="66" t="s">
        <v>178</v>
      </c>
      <c r="X59" s="67">
        <v>2157</v>
      </c>
      <c r="Y59" s="68">
        <v>3.9</v>
      </c>
      <c r="Z59" s="68">
        <v>8.1</v>
      </c>
      <c r="AA59" s="62">
        <f t="shared" si="16"/>
        <v>84.123000000000005</v>
      </c>
      <c r="AB59" s="63">
        <f t="shared" si="17"/>
        <v>174.71700000000001</v>
      </c>
      <c r="AC59" s="69">
        <v>2156</v>
      </c>
      <c r="AD59" s="70">
        <v>3.9</v>
      </c>
      <c r="AE59" s="70">
        <v>8</v>
      </c>
      <c r="AF59" s="62">
        <f t="shared" si="18"/>
        <v>84.084000000000003</v>
      </c>
      <c r="AG59" s="63">
        <f t="shared" si="19"/>
        <v>172.48</v>
      </c>
      <c r="AH59" s="66">
        <v>558</v>
      </c>
      <c r="AI59" s="66">
        <v>4.1500000000000004</v>
      </c>
      <c r="AJ59" s="66">
        <v>8.1</v>
      </c>
      <c r="AK59" s="62">
        <f t="shared" si="20"/>
        <v>23.157</v>
      </c>
      <c r="AL59" s="72">
        <f t="shared" si="21"/>
        <v>45.198</v>
      </c>
      <c r="AM59" s="73">
        <f t="shared" si="22"/>
        <v>1.8540000000002692</v>
      </c>
      <c r="AN59" s="74">
        <f t="shared" si="23"/>
        <v>5.6928250000000098</v>
      </c>
      <c r="AO59" s="74">
        <f t="shared" si="24"/>
        <v>2.5518240000000176</v>
      </c>
      <c r="AP59" s="75">
        <f t="shared" si="25"/>
        <v>0.12925453455420274</v>
      </c>
      <c r="AQ59" s="76">
        <f t="shared" si="9"/>
        <v>3499.8362639642464</v>
      </c>
      <c r="AR59" s="90">
        <f t="shared" si="28"/>
        <v>0.85400000000026921</v>
      </c>
    </row>
    <row r="60" spans="1:49" x14ac:dyDescent="0.25">
      <c r="A60" t="str">
        <f t="shared" si="10"/>
        <v>46232M</v>
      </c>
      <c r="B60" s="51">
        <f t="shared" si="27"/>
        <v>46232</v>
      </c>
      <c r="C60" s="52" t="s">
        <v>87</v>
      </c>
      <c r="D60" s="91">
        <v>558</v>
      </c>
      <c r="E60" s="62">
        <v>4.1500000000000004</v>
      </c>
      <c r="F60" s="62">
        <v>8.1</v>
      </c>
      <c r="G60" s="62">
        <f t="shared" si="11"/>
        <v>23.157</v>
      </c>
      <c r="H60" s="63">
        <f t="shared" si="12"/>
        <v>45.198</v>
      </c>
      <c r="I60" s="143">
        <v>364.50000000000006</v>
      </c>
      <c r="J60" s="144">
        <v>375.43500000000006</v>
      </c>
      <c r="K60" s="145">
        <v>4.388724279835392</v>
      </c>
      <c r="L60" s="146">
        <v>8.1903703703703723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13"/>
        <v>375.43500000000006</v>
      </c>
      <c r="S60" s="62">
        <f t="shared" si="14"/>
        <v>16.476807000000004</v>
      </c>
      <c r="T60" s="63">
        <f t="shared" si="15"/>
        <v>30.749517000000015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>
        <v>933</v>
      </c>
      <c r="AI60" s="66">
        <v>4.24</v>
      </c>
      <c r="AJ60" s="66">
        <v>8.14</v>
      </c>
      <c r="AK60" s="62">
        <f t="shared" si="20"/>
        <v>39.559199999999997</v>
      </c>
      <c r="AL60" s="72">
        <f t="shared" si="21"/>
        <v>75.946200000000005</v>
      </c>
      <c r="AM60" s="73">
        <f t="shared" si="22"/>
        <v>0.43500000000005912</v>
      </c>
      <c r="AN60" s="74">
        <f t="shared" si="23"/>
        <v>7.4607000000007417E-2</v>
      </c>
      <c r="AO60" s="74">
        <f t="shared" si="24"/>
        <v>1.3170000000144455E-3</v>
      </c>
      <c r="AP60" s="75">
        <f t="shared" si="25"/>
        <v>1.6076627094673266E-3</v>
      </c>
      <c r="AQ60" s="76">
        <f t="shared" si="9"/>
        <v>36.245521466578971</v>
      </c>
      <c r="AR60" s="90">
        <f>(D60+J60+O60)-(X60+AH60)</f>
        <v>0.43500000000005912</v>
      </c>
    </row>
    <row r="61" spans="1:49" x14ac:dyDescent="0.25">
      <c r="A61" t="str">
        <f t="shared" si="10"/>
        <v>46232E</v>
      </c>
      <c r="B61" s="51">
        <f t="shared" si="27"/>
        <v>46232</v>
      </c>
      <c r="C61" s="52" t="s">
        <v>88</v>
      </c>
      <c r="D61" s="91">
        <v>933</v>
      </c>
      <c r="E61" s="62">
        <v>4.24</v>
      </c>
      <c r="F61" s="62">
        <v>8.14</v>
      </c>
      <c r="G61" s="62">
        <f t="shared" si="11"/>
        <v>39.559199999999997</v>
      </c>
      <c r="H61" s="63">
        <f t="shared" si="12"/>
        <v>75.946200000000005</v>
      </c>
      <c r="I61" s="143">
        <v>565.6</v>
      </c>
      <c r="J61" s="144">
        <v>582.56799999999998</v>
      </c>
      <c r="K61" s="145">
        <v>4.1344059405940596</v>
      </c>
      <c r="L61" s="146">
        <v>8.1808521923620958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13"/>
        <v>582.56799999999998</v>
      </c>
      <c r="S61" s="62">
        <f t="shared" si="14"/>
        <v>24.085726000000001</v>
      </c>
      <c r="T61" s="63">
        <f t="shared" si="15"/>
        <v>47.659027000000009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>
        <v>1515</v>
      </c>
      <c r="AI61" s="66">
        <v>4.2</v>
      </c>
      <c r="AJ61" s="66">
        <v>8.15</v>
      </c>
      <c r="AK61" s="62">
        <f t="shared" si="20"/>
        <v>63.63</v>
      </c>
      <c r="AL61" s="72">
        <f t="shared" si="21"/>
        <v>123.47250000000001</v>
      </c>
      <c r="AM61" s="73">
        <f t="shared" si="22"/>
        <v>0.56799999999998363</v>
      </c>
      <c r="AN61" s="74">
        <f t="shared" si="23"/>
        <v>1.4925999999995554E-2</v>
      </c>
      <c r="AO61" s="74">
        <f t="shared" si="24"/>
        <v>0.1327270000000027</v>
      </c>
      <c r="AP61" s="75">
        <f t="shared" si="25"/>
        <v>2.0580320347607615E-3</v>
      </c>
      <c r="AQ61" s="76">
        <f t="shared" si="9"/>
        <v>46.922983684364759</v>
      </c>
      <c r="AR61" s="90">
        <f>(D61+J61+O61)-(X61+AH61)</f>
        <v>0.56799999999998363</v>
      </c>
    </row>
    <row r="62" spans="1:49" x14ac:dyDescent="0.25">
      <c r="A62" t="str">
        <f t="shared" si="10"/>
        <v>46233M</v>
      </c>
      <c r="B62" s="51">
        <f t="shared" si="27"/>
        <v>46233</v>
      </c>
      <c r="C62" s="52" t="s">
        <v>87</v>
      </c>
      <c r="D62" s="91">
        <v>1515</v>
      </c>
      <c r="E62" s="62">
        <v>4.2</v>
      </c>
      <c r="F62" s="62">
        <v>8.15</v>
      </c>
      <c r="G62" s="62">
        <f t="shared" si="11"/>
        <v>63.63</v>
      </c>
      <c r="H62" s="63">
        <f t="shared" si="12"/>
        <v>123.47250000000001</v>
      </c>
      <c r="I62" s="143">
        <v>286</v>
      </c>
      <c r="J62" s="144">
        <v>294.58</v>
      </c>
      <c r="K62" s="145">
        <v>4.0902097902097898</v>
      </c>
      <c r="L62" s="146">
        <v>8.1153846153846168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13"/>
        <v>294.58</v>
      </c>
      <c r="S62" s="62">
        <f t="shared" si="14"/>
        <v>12.048939999999996</v>
      </c>
      <c r="T62" s="63">
        <f t="shared" si="15"/>
        <v>23.906300000000005</v>
      </c>
      <c r="U62" s="64" t="s">
        <v>167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>
        <v>1809</v>
      </c>
      <c r="AI62" s="66">
        <v>4.18</v>
      </c>
      <c r="AJ62" s="66">
        <v>8.14</v>
      </c>
      <c r="AK62" s="62">
        <f t="shared" si="20"/>
        <v>75.616199999999992</v>
      </c>
      <c r="AL62" s="72">
        <f t="shared" si="21"/>
        <v>147.2526</v>
      </c>
      <c r="AM62" s="73">
        <f t="shared" si="22"/>
        <v>0.57999999999992724</v>
      </c>
      <c r="AN62" s="74">
        <f t="shared" si="23"/>
        <v>6.2740000000005125E-2</v>
      </c>
      <c r="AO62" s="74">
        <f t="shared" si="24"/>
        <v>0.12620000000001141</v>
      </c>
      <c r="AP62" s="75">
        <f t="shared" si="25"/>
        <v>5.2548668844935127E-3</v>
      </c>
      <c r="AQ62" s="76">
        <f t="shared" si="9"/>
        <v>67.944388465857344</v>
      </c>
      <c r="AR62" s="90">
        <f>(D62+J62+O62)-(X62+AH62)</f>
        <v>0.57999999999992724</v>
      </c>
    </row>
    <row r="63" spans="1:49" x14ac:dyDescent="0.25">
      <c r="A63" t="str">
        <f t="shared" si="10"/>
        <v>46233E</v>
      </c>
      <c r="B63" s="51">
        <f t="shared" si="27"/>
        <v>46233</v>
      </c>
      <c r="C63" s="52" t="s">
        <v>88</v>
      </c>
      <c r="D63" s="91">
        <v>1809</v>
      </c>
      <c r="E63" s="62">
        <v>4.18</v>
      </c>
      <c r="F63" s="62">
        <v>8.14</v>
      </c>
      <c r="G63" s="62">
        <f t="shared" si="11"/>
        <v>75.616199999999992</v>
      </c>
      <c r="H63" s="63">
        <f t="shared" si="12"/>
        <v>147.2526</v>
      </c>
      <c r="I63" s="143">
        <v>535.5</v>
      </c>
      <c r="J63" s="144">
        <v>551.56500000000005</v>
      </c>
      <c r="K63" s="145">
        <v>4.1818300653594775</v>
      </c>
      <c r="L63" s="146">
        <v>8.156078431372551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13"/>
        <v>551.56500000000005</v>
      </c>
      <c r="S63" s="62">
        <f t="shared" si="14"/>
        <v>23.065511000000008</v>
      </c>
      <c r="T63" s="63">
        <f t="shared" si="15"/>
        <v>44.986074000000016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>
        <v>2360</v>
      </c>
      <c r="AI63" s="66">
        <v>4.18</v>
      </c>
      <c r="AJ63" s="66">
        <v>8.14</v>
      </c>
      <c r="AK63" s="62">
        <f t="shared" si="20"/>
        <v>98.647999999999996</v>
      </c>
      <c r="AL63" s="72">
        <f t="shared" si="21"/>
        <v>192.10400000000001</v>
      </c>
      <c r="AM63" s="73">
        <f t="shared" si="22"/>
        <v>0.56500000000005457</v>
      </c>
      <c r="AN63" s="74">
        <f t="shared" si="23"/>
        <v>3.3711000000010927E-2</v>
      </c>
      <c r="AO63" s="74">
        <f t="shared" si="24"/>
        <v>0.13467399999998975</v>
      </c>
      <c r="AP63" s="75">
        <f t="shared" si="25"/>
        <v>2.4743729334151532E-3</v>
      </c>
      <c r="AQ63" s="76">
        <f t="shared" si="9"/>
        <v>56.532896735785009</v>
      </c>
      <c r="AR63" s="90">
        <f>(D63+J63+O63)-(X63+AH63)</f>
        <v>0.56500000000005457</v>
      </c>
    </row>
    <row r="64" spans="1:49" x14ac:dyDescent="0.25">
      <c r="A64" t="str">
        <f t="shared" si="10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43"/>
      <c r="J64" s="144"/>
      <c r="K64" s="145"/>
      <c r="L64" s="146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9"/>
        <v>0</v>
      </c>
      <c r="AR64" s="90">
        <f t="shared" si="26"/>
        <v>0</v>
      </c>
    </row>
    <row r="65" spans="1:44" x14ac:dyDescent="0.25">
      <c r="A65" t="str">
        <f t="shared" si="10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43"/>
      <c r="J65" s="144"/>
      <c r="K65" s="145"/>
      <c r="L65" s="146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9"/>
        <v>0</v>
      </c>
      <c r="AR65" s="90">
        <f t="shared" si="26"/>
        <v>0</v>
      </c>
    </row>
    <row r="66" spans="1:44" x14ac:dyDescent="0.25">
      <c r="J66" s="83">
        <f>SUM(J4:J65)</f>
        <v>30477.391</v>
      </c>
      <c r="AM66" s="126">
        <f>-SUM(AM4:AM65)</f>
        <v>-54.391000000002123</v>
      </c>
      <c r="AN66" s="126">
        <f>-SUM(AN4:AN65)</f>
        <v>-52.45301500000005</v>
      </c>
      <c r="AO66" s="126">
        <f>-SUM(AO4:AO65)</f>
        <v>-26.022655999999998</v>
      </c>
      <c r="AP66" s="126"/>
      <c r="AQ66" s="126">
        <f>-SUM(AQ4:AQ65)</f>
        <v>-32998.934670670205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2" operator="lessThan">
      <formula>0.1</formula>
    </cfRule>
    <cfRule type="cellIs" dxfId="23" priority="3" operator="greaterThan">
      <formula>0.1</formula>
    </cfRule>
  </conditionalFormatting>
  <conditionalFormatting sqref="AP1:AQ1">
    <cfRule type="cellIs" dxfId="22" priority="1" operator="lessThan">
      <formula>1</formula>
    </cfRule>
  </conditionalFormatting>
  <conditionalFormatting sqref="AQ4:AQ65">
    <cfRule type="cellIs" dxfId="21" priority="12" operator="lessThan">
      <formula>0</formula>
    </cfRule>
    <cfRule type="cellIs" dxfId="20" priority="13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AW68"/>
  <sheetViews>
    <sheetView zoomScale="80" zoomScaleNormal="80" workbookViewId="0">
      <pane xSplit="2" ySplit="3" topLeftCell="C33" activePane="bottomRight" state="frozen"/>
      <selection pane="topRight" activeCell="C1" sqref="C1"/>
      <selection pane="bottomLeft" activeCell="A4" sqref="A4"/>
      <selection pane="bottomRight" activeCell="V62" sqref="V62"/>
    </sheetView>
  </sheetViews>
  <sheetFormatPr defaultRowHeight="15" x14ac:dyDescent="0.25"/>
  <cols>
    <col min="1" max="1" width="3.42578125" customWidth="1"/>
    <col min="2" max="2" width="10.140625" bestFit="1" customWidth="1"/>
    <col min="3" max="3" width="5.7109375" bestFit="1" customWidth="1"/>
    <col min="4" max="4" width="8.14062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140625" bestFit="1" customWidth="1"/>
    <col min="10" max="10" width="9.28515625" bestFit="1" customWidth="1"/>
    <col min="11" max="12" width="5.85546875" bestFit="1" customWidth="1"/>
    <col min="13" max="13" width="8.7109375" customWidth="1"/>
    <col min="14" max="14" width="7.57031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9.140625" customWidth="1"/>
    <col min="22" max="22" width="7.85546875" customWidth="1"/>
    <col min="23" max="23" width="10.855468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.28515625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9.28515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13" bestFit="1" customWidth="1"/>
    <col min="44" max="44" width="5.57031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.5703125" bestFit="1" customWidth="1"/>
    <col min="49" max="49" width="8.85546875" bestFit="1" customWidth="1"/>
  </cols>
  <sheetData>
    <row r="1" spans="1:44" ht="15.75" thickBot="1" x14ac:dyDescent="0.3">
      <c r="B1" s="43" t="s">
        <v>100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55">
        <v>5940</v>
      </c>
      <c r="E4" s="54">
        <v>4</v>
      </c>
      <c r="F4" s="55">
        <v>8.35</v>
      </c>
      <c r="G4" s="62">
        <f t="shared" ref="G4" si="0">+D4*E4%</f>
        <v>237.6</v>
      </c>
      <c r="H4" s="63">
        <f t="shared" ref="H4" si="1">+D4*F4%</f>
        <v>495.98999999999995</v>
      </c>
      <c r="I4" s="118">
        <v>3272.6999999999994</v>
      </c>
      <c r="J4" s="119">
        <v>3370.8809999999994</v>
      </c>
      <c r="K4" s="120">
        <v>4.0186757111864821</v>
      </c>
      <c r="L4" s="121">
        <v>8.0795245515934848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3370.8809999999994</v>
      </c>
      <c r="S4" s="62">
        <f>+J4*K4%+O4*P4%</f>
        <v>135.46477599999997</v>
      </c>
      <c r="T4" s="63">
        <f>+J4*L4%+O4*Q4%</f>
        <v>272.35115799999994</v>
      </c>
      <c r="U4" s="64" t="s">
        <v>179</v>
      </c>
      <c r="V4" s="65" t="s">
        <v>250</v>
      </c>
      <c r="W4" s="66" t="s">
        <v>251</v>
      </c>
      <c r="X4" s="67">
        <v>5130</v>
      </c>
      <c r="Y4" s="68">
        <v>3.9</v>
      </c>
      <c r="Z4" s="68">
        <v>8</v>
      </c>
      <c r="AA4" s="62">
        <f t="shared" ref="AA4" si="2">X4*Y4%</f>
        <v>200.07</v>
      </c>
      <c r="AB4" s="63">
        <f t="shared" ref="AB4" si="3">X4*Z4%</f>
        <v>410.40000000000003</v>
      </c>
      <c r="AC4" s="69">
        <v>5140</v>
      </c>
      <c r="AD4" s="70">
        <v>3.85</v>
      </c>
      <c r="AE4" s="70">
        <v>7.93</v>
      </c>
      <c r="AF4" s="62">
        <f t="shared" ref="AF4" si="4">AC4*AD4%</f>
        <v>197.89</v>
      </c>
      <c r="AG4" s="63">
        <f t="shared" ref="AG4" si="5">AC4*AE4%</f>
        <v>407.60199999999998</v>
      </c>
      <c r="AH4" s="66">
        <v>4180.8</v>
      </c>
      <c r="AI4" s="66">
        <v>4</v>
      </c>
      <c r="AJ4" s="66">
        <v>8.25</v>
      </c>
      <c r="AK4" s="62">
        <f t="shared" ref="AK4" si="6">AH4*AI4%</f>
        <v>167.232</v>
      </c>
      <c r="AL4" s="72">
        <f t="shared" ref="AL4" si="7">AH4*AJ4%</f>
        <v>344.91600000000005</v>
      </c>
      <c r="AM4" s="73">
        <f>+D4+R4-AC4-AH4</f>
        <v>-9.9190000000007785</v>
      </c>
      <c r="AN4" s="74">
        <f t="shared" ref="AN4:AO4" si="8">+G4+S4-AF4-AK4</f>
        <v>7.9427759999999523</v>
      </c>
      <c r="AO4" s="74">
        <f t="shared" si="8"/>
        <v>15.823157999999921</v>
      </c>
      <c r="AP4" s="75">
        <f>(AN4+AO4)/(S4+T4)</f>
        <v>5.8276129053848783E-2</v>
      </c>
      <c r="AQ4" s="76">
        <f t="shared" ref="AQ4" si="9">($AP$1*AN4+$AQ$1*AO4)</f>
        <v>8555.6573321296364</v>
      </c>
      <c r="AR4" s="90">
        <f>(D4+J4+O4)-(X4+AH4)</f>
        <v>8.1000000000130967E-2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79">
        <v>4180.8</v>
      </c>
      <c r="E5" s="62">
        <v>4</v>
      </c>
      <c r="F5" s="62">
        <v>8.25</v>
      </c>
      <c r="G5" s="62">
        <f t="shared" ref="G5:G45" si="11">+D5*E5%</f>
        <v>167.232</v>
      </c>
      <c r="H5" s="63">
        <f t="shared" ref="H5:H45" si="12">+D5*F5%</f>
        <v>344.91600000000005</v>
      </c>
      <c r="I5" s="118">
        <v>6610.3</v>
      </c>
      <c r="J5" s="119">
        <v>6808.6090000000004</v>
      </c>
      <c r="K5" s="120">
        <v>4.0141415669485498</v>
      </c>
      <c r="L5" s="121">
        <v>8.0348456197146874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6" si="13">+J5+O5</f>
        <v>6808.6090000000004</v>
      </c>
      <c r="S5" s="62">
        <f t="shared" ref="S5:S36" si="14">+J5*K5%+O5*P5%</f>
        <v>273.30720400000001</v>
      </c>
      <c r="T5" s="63">
        <f t="shared" ref="T5:T36" si="15">+J5*L5%+O5*Q5%</f>
        <v>547.06122199999993</v>
      </c>
      <c r="U5" s="64" t="s">
        <v>176</v>
      </c>
      <c r="V5" s="65" t="s">
        <v>252</v>
      </c>
      <c r="W5" s="66" t="s">
        <v>184</v>
      </c>
      <c r="X5" s="67">
        <v>9250</v>
      </c>
      <c r="Y5" s="68">
        <v>3.99</v>
      </c>
      <c r="Z5" s="68">
        <v>8.02</v>
      </c>
      <c r="AA5" s="62">
        <f t="shared" ref="AA5:AA13" si="16">X5*Y5%</f>
        <v>369.07500000000005</v>
      </c>
      <c r="AB5" s="63">
        <f t="shared" ref="AB5:AB13" si="17">X5*Z5%</f>
        <v>741.84999999999991</v>
      </c>
      <c r="AC5" s="69">
        <v>9260</v>
      </c>
      <c r="AD5" s="70">
        <v>3.935205183585313</v>
      </c>
      <c r="AE5" s="70">
        <v>7.9470410367170627</v>
      </c>
      <c r="AF5" s="62">
        <f t="shared" ref="AF5:AF65" si="18">AC5*AD5%</f>
        <v>364.4</v>
      </c>
      <c r="AG5" s="63">
        <f t="shared" ref="AG5:AG65" si="19">AC5*AE5%</f>
        <v>735.89600000000007</v>
      </c>
      <c r="AH5" s="66">
        <v>1739.4</v>
      </c>
      <c r="AI5" s="66">
        <v>4</v>
      </c>
      <c r="AJ5" s="66">
        <v>8.11</v>
      </c>
      <c r="AK5" s="62">
        <f t="shared" ref="AK5:AK65" si="20">AH5*AI5%</f>
        <v>69.576000000000008</v>
      </c>
      <c r="AL5" s="72">
        <f t="shared" ref="AL5:AL65" si="21">AH5*AJ5%</f>
        <v>141.06533999999999</v>
      </c>
      <c r="AM5" s="73">
        <f t="shared" ref="AM5:AM65" si="22">+D5+R5-AC5-AH5</f>
        <v>-9.9910000000004402</v>
      </c>
      <c r="AN5" s="74">
        <f t="shared" ref="AN5:AN65" si="23">+G5+S5-AF5-AK5</f>
        <v>6.5632040000000558</v>
      </c>
      <c r="AO5" s="74">
        <f t="shared" ref="AO5:AO65" si="24">+H5+T5-AG5-AL5</f>
        <v>15.01588199999992</v>
      </c>
      <c r="AP5" s="75">
        <f t="shared" ref="AP5:AP65" si="25">(AN5+AO5)/(S5+T5)</f>
        <v>2.6304140086444498E-2</v>
      </c>
      <c r="AQ5" s="76">
        <f t="shared" ref="AQ5:AQ65" si="26">($AP$1*AN5+$AQ$1*AO5)</f>
        <v>7650.9561107756708</v>
      </c>
      <c r="AR5" s="90">
        <f t="shared" ref="AR5:AR35" si="27">(D5+J5+O5)-(X5+AH5)</f>
        <v>9.0000000000145519E-3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79">
        <v>1739.4</v>
      </c>
      <c r="E6" s="62">
        <v>4</v>
      </c>
      <c r="F6" s="62">
        <v>8.11</v>
      </c>
      <c r="G6" s="62">
        <f t="shared" si="11"/>
        <v>69.576000000000008</v>
      </c>
      <c r="H6" s="63">
        <f t="shared" si="12"/>
        <v>141.06533999999999</v>
      </c>
      <c r="I6" s="118">
        <v>3022.2</v>
      </c>
      <c r="J6" s="119">
        <v>3112.866</v>
      </c>
      <c r="K6" s="120">
        <v>3.9234828932565669</v>
      </c>
      <c r="L6" s="121">
        <v>8.0483918999404409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3"/>
        <v>3112.866</v>
      </c>
      <c r="S6" s="62">
        <f t="shared" si="14"/>
        <v>122.13276499999996</v>
      </c>
      <c r="T6" s="63">
        <f t="shared" si="15"/>
        <v>250.53565499999999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4852.2</v>
      </c>
      <c r="AI6" s="66">
        <v>3.94</v>
      </c>
      <c r="AJ6" s="66">
        <v>8.0399999999999991</v>
      </c>
      <c r="AK6" s="62">
        <f t="shared" si="20"/>
        <v>191.17667999999998</v>
      </c>
      <c r="AL6" s="72">
        <f t="shared" si="21"/>
        <v>390.11687999999992</v>
      </c>
      <c r="AM6" s="73">
        <f t="shared" si="22"/>
        <v>6.5999999999803549E-2</v>
      </c>
      <c r="AN6" s="74">
        <f t="shared" si="23"/>
        <v>0.53208499999999503</v>
      </c>
      <c r="AO6" s="74">
        <f t="shared" si="24"/>
        <v>1.484115000000088</v>
      </c>
      <c r="AP6" s="75">
        <f t="shared" si="25"/>
        <v>5.4101713260277951E-3</v>
      </c>
      <c r="AQ6" s="76">
        <f t="shared" si="26"/>
        <v>700.16339011473804</v>
      </c>
      <c r="AR6" s="90">
        <f t="shared" si="27"/>
        <v>6.5999999999803549E-2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79">
        <v>4852.2</v>
      </c>
      <c r="E7" s="62">
        <v>3.94</v>
      </c>
      <c r="F7" s="62">
        <v>8.0399999999999991</v>
      </c>
      <c r="G7" s="62">
        <f t="shared" si="11"/>
        <v>191.17667999999998</v>
      </c>
      <c r="H7" s="63">
        <f t="shared" si="12"/>
        <v>390.11687999999992</v>
      </c>
      <c r="I7" s="118">
        <v>8355.7999999999993</v>
      </c>
      <c r="J7" s="119">
        <v>8606.4740000000002</v>
      </c>
      <c r="K7" s="120">
        <v>3.6465030278369532</v>
      </c>
      <c r="L7" s="121">
        <v>7.9933698748174935</v>
      </c>
      <c r="M7" s="58" t="s">
        <v>183</v>
      </c>
      <c r="N7" s="58" t="s">
        <v>249</v>
      </c>
      <c r="O7" s="59">
        <v>2484</v>
      </c>
      <c r="P7" s="56">
        <v>3.95</v>
      </c>
      <c r="Q7" s="60">
        <v>7.94</v>
      </c>
      <c r="R7" s="61">
        <f t="shared" si="13"/>
        <v>11090.474</v>
      </c>
      <c r="S7" s="62">
        <f t="shared" si="14"/>
        <v>411.95333500000015</v>
      </c>
      <c r="T7" s="63">
        <f t="shared" si="15"/>
        <v>885.17690000000016</v>
      </c>
      <c r="U7" s="64" t="s">
        <v>253</v>
      </c>
      <c r="V7" s="65" t="s">
        <v>254</v>
      </c>
      <c r="W7" s="66" t="s">
        <v>255</v>
      </c>
      <c r="X7" s="67">
        <v>11410</v>
      </c>
      <c r="Y7" s="68">
        <v>3.9</v>
      </c>
      <c r="Z7" s="68">
        <v>8.0299999999999994</v>
      </c>
      <c r="AA7" s="62">
        <f t="shared" si="16"/>
        <v>444.99</v>
      </c>
      <c r="AB7" s="63">
        <f t="shared" si="17"/>
        <v>916.22299999999996</v>
      </c>
      <c r="AC7" s="69">
        <v>11460</v>
      </c>
      <c r="AD7" s="70">
        <v>3.8264397905759169</v>
      </c>
      <c r="AE7" s="70">
        <v>8.001204188481676</v>
      </c>
      <c r="AF7" s="62">
        <f t="shared" si="18"/>
        <v>438.51000000000005</v>
      </c>
      <c r="AG7" s="63">
        <f t="shared" si="19"/>
        <v>916.93799999999999</v>
      </c>
      <c r="AH7" s="66">
        <v>4750</v>
      </c>
      <c r="AI7" s="66">
        <v>3.78</v>
      </c>
      <c r="AJ7" s="66">
        <v>8.1199999999999992</v>
      </c>
      <c r="AK7" s="62">
        <f t="shared" si="20"/>
        <v>179.55</v>
      </c>
      <c r="AL7" s="72">
        <f t="shared" si="21"/>
        <v>385.7</v>
      </c>
      <c r="AM7" s="73">
        <f t="shared" si="22"/>
        <v>-267.32600000000093</v>
      </c>
      <c r="AN7" s="74">
        <f t="shared" si="23"/>
        <v>-14.929984999999874</v>
      </c>
      <c r="AO7" s="74">
        <f t="shared" si="24"/>
        <v>-27.344220000000007</v>
      </c>
      <c r="AP7" s="75">
        <f t="shared" si="25"/>
        <v>-3.2590563275244191E-2</v>
      </c>
      <c r="AQ7" s="76">
        <f t="shared" si="26"/>
        <v>-15363.69416792614</v>
      </c>
      <c r="AR7" s="90">
        <f>(D7+J7+O7)-(X7+AH7)</f>
        <v>-217.32600000000093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79">
        <v>4750</v>
      </c>
      <c r="E8" s="62">
        <v>3.78</v>
      </c>
      <c r="F8" s="62">
        <v>8.1199999999999992</v>
      </c>
      <c r="G8" s="62">
        <f t="shared" si="11"/>
        <v>179.55</v>
      </c>
      <c r="H8" s="63">
        <f t="shared" si="12"/>
        <v>385.7</v>
      </c>
      <c r="I8" s="118">
        <v>4362.2</v>
      </c>
      <c r="J8" s="119">
        <v>4493.0659999999998</v>
      </c>
      <c r="K8" s="120">
        <v>3.916111136582459</v>
      </c>
      <c r="L8" s="121">
        <v>8.0865755811287894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3"/>
        <v>4493.0659999999998</v>
      </c>
      <c r="S8" s="62">
        <f t="shared" si="14"/>
        <v>175.95345800000001</v>
      </c>
      <c r="T8" s="63">
        <f t="shared" si="15"/>
        <v>363.33517800000004</v>
      </c>
      <c r="U8" s="64" t="s">
        <v>176</v>
      </c>
      <c r="V8" s="65" t="s">
        <v>350</v>
      </c>
      <c r="W8" s="66" t="s">
        <v>184</v>
      </c>
      <c r="X8" s="67">
        <v>9250</v>
      </c>
      <c r="Y8" s="68">
        <v>4</v>
      </c>
      <c r="Z8" s="68">
        <v>8.08</v>
      </c>
      <c r="AA8" s="62">
        <f t="shared" si="16"/>
        <v>370</v>
      </c>
      <c r="AB8" s="63">
        <f t="shared" si="17"/>
        <v>747.4</v>
      </c>
      <c r="AC8" s="69">
        <v>9250</v>
      </c>
      <c r="AD8" s="70">
        <v>3.95</v>
      </c>
      <c r="AE8" s="70">
        <v>8.07</v>
      </c>
      <c r="AF8" s="62">
        <f t="shared" si="18"/>
        <v>365.375</v>
      </c>
      <c r="AG8" s="63">
        <f t="shared" si="19"/>
        <v>746.47500000000002</v>
      </c>
      <c r="AH8" s="66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-6.9340000000011059</v>
      </c>
      <c r="AN8" s="74">
        <f t="shared" si="23"/>
        <v>-9.8715419999999767</v>
      </c>
      <c r="AO8" s="74">
        <f t="shared" si="24"/>
        <v>2.5601780000000645</v>
      </c>
      <c r="AP8" s="75">
        <f t="shared" si="25"/>
        <v>-1.3557422708235803E-2</v>
      </c>
      <c r="AQ8" s="76">
        <f t="shared" si="26"/>
        <v>-3976.8466954205915</v>
      </c>
      <c r="AR8" s="90">
        <f t="shared" si="27"/>
        <v>-6.9340000000011059</v>
      </c>
    </row>
    <row r="9" spans="1:44" x14ac:dyDescent="0.25">
      <c r="A9" t="str">
        <f t="shared" si="10"/>
        <v>46206E</v>
      </c>
      <c r="B9" s="51">
        <f t="shared" ref="B9:B65" si="28">+B7+1</f>
        <v>46206</v>
      </c>
      <c r="C9" s="52" t="s">
        <v>88</v>
      </c>
      <c r="D9" s="79">
        <v>0</v>
      </c>
      <c r="E9" s="62">
        <v>0</v>
      </c>
      <c r="F9" s="62">
        <v>0</v>
      </c>
      <c r="G9" s="62">
        <f t="shared" si="11"/>
        <v>0</v>
      </c>
      <c r="H9" s="63">
        <f t="shared" si="12"/>
        <v>0</v>
      </c>
      <c r="I9" s="118">
        <v>5164.8</v>
      </c>
      <c r="J9" s="119">
        <v>5319.7440000000006</v>
      </c>
      <c r="K9" s="120">
        <v>3.8933492100371754</v>
      </c>
      <c r="L9" s="121">
        <v>8.054429987608426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3"/>
        <v>5319.7440000000006</v>
      </c>
      <c r="S9" s="62">
        <f t="shared" si="14"/>
        <v>207.11621100000005</v>
      </c>
      <c r="T9" s="63">
        <f t="shared" si="15"/>
        <v>428.47505600000005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5319.7</v>
      </c>
      <c r="AI9" s="66">
        <v>3.89</v>
      </c>
      <c r="AJ9" s="66">
        <v>8.0500000000000007</v>
      </c>
      <c r="AK9" s="62">
        <f t="shared" si="20"/>
        <v>206.93633000000003</v>
      </c>
      <c r="AL9" s="72">
        <f t="shared" si="21"/>
        <v>428.23584999999997</v>
      </c>
      <c r="AM9" s="73">
        <f t="shared" si="22"/>
        <v>4.4000000000778527E-2</v>
      </c>
      <c r="AN9" s="74">
        <f t="shared" si="23"/>
        <v>0.17988100000002305</v>
      </c>
      <c r="AO9" s="74">
        <f t="shared" si="24"/>
        <v>0.23920600000008108</v>
      </c>
      <c r="AP9" s="75">
        <f t="shared" si="25"/>
        <v>6.5936557306427569E-4</v>
      </c>
      <c r="AQ9" s="76">
        <f t="shared" si="26"/>
        <v>158.07874244957048</v>
      </c>
      <c r="AR9" s="90">
        <f t="shared" si="27"/>
        <v>4.4000000000778527E-2</v>
      </c>
    </row>
    <row r="10" spans="1:44" x14ac:dyDescent="0.25">
      <c r="A10" t="str">
        <f t="shared" si="10"/>
        <v>46207M</v>
      </c>
      <c r="B10" s="51">
        <f t="shared" si="28"/>
        <v>46207</v>
      </c>
      <c r="C10" s="52" t="s">
        <v>87</v>
      </c>
      <c r="D10" s="79">
        <v>5319.7</v>
      </c>
      <c r="E10" s="62">
        <v>3.89</v>
      </c>
      <c r="F10" s="62">
        <v>8.0500000000000007</v>
      </c>
      <c r="G10" s="62">
        <f t="shared" si="11"/>
        <v>206.93633000000003</v>
      </c>
      <c r="H10" s="63">
        <f t="shared" si="12"/>
        <v>428.23584999999997</v>
      </c>
      <c r="I10" s="118">
        <v>3044.1</v>
      </c>
      <c r="J10" s="119">
        <v>3135.4229999999998</v>
      </c>
      <c r="K10" s="120">
        <v>4.0450905029401145</v>
      </c>
      <c r="L10" s="121">
        <v>8.0635425905850653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3135.4229999999998</v>
      </c>
      <c r="S10" s="62">
        <f t="shared" si="14"/>
        <v>126.83069800000001</v>
      </c>
      <c r="T10" s="63">
        <f t="shared" si="15"/>
        <v>252.82616899999996</v>
      </c>
      <c r="U10" s="64" t="s">
        <v>179</v>
      </c>
      <c r="V10" s="65" t="s">
        <v>351</v>
      </c>
      <c r="W10" s="66" t="s">
        <v>184</v>
      </c>
      <c r="X10" s="67">
        <v>3830</v>
      </c>
      <c r="Y10" s="68">
        <v>4.0999999999999996</v>
      </c>
      <c r="Z10" s="68">
        <v>8.23</v>
      </c>
      <c r="AA10" s="62">
        <f t="shared" si="16"/>
        <v>157.02999999999997</v>
      </c>
      <c r="AB10" s="63">
        <f t="shared" si="17"/>
        <v>315.209</v>
      </c>
      <c r="AC10" s="69">
        <v>3850</v>
      </c>
      <c r="AD10" s="70">
        <v>4</v>
      </c>
      <c r="AE10" s="70">
        <v>8.2100000000000009</v>
      </c>
      <c r="AF10" s="62">
        <f t="shared" si="18"/>
        <v>154</v>
      </c>
      <c r="AG10" s="63">
        <f t="shared" si="19"/>
        <v>316.08500000000004</v>
      </c>
      <c r="AH10" s="66">
        <v>4625.1000000000004</v>
      </c>
      <c r="AI10" s="66">
        <v>3.94</v>
      </c>
      <c r="AJ10" s="66">
        <v>8.0500000000000007</v>
      </c>
      <c r="AK10" s="62">
        <f t="shared" si="20"/>
        <v>182.22893999999999</v>
      </c>
      <c r="AL10" s="72">
        <f t="shared" si="21"/>
        <v>372.32055000000003</v>
      </c>
      <c r="AM10" s="73">
        <f t="shared" si="22"/>
        <v>-19.977000000000771</v>
      </c>
      <c r="AN10" s="74">
        <f t="shared" si="23"/>
        <v>-2.4619119999999555</v>
      </c>
      <c r="AO10" s="74">
        <f t="shared" si="24"/>
        <v>-7.3435310000000982</v>
      </c>
      <c r="AP10" s="75">
        <f t="shared" si="25"/>
        <v>-2.582711878091765E-2</v>
      </c>
      <c r="AQ10" s="76">
        <f t="shared" si="26"/>
        <v>-3382.3510010700447</v>
      </c>
      <c r="AR10" s="90">
        <f t="shared" si="27"/>
        <v>2.2999999999228748E-2</v>
      </c>
    </row>
    <row r="11" spans="1:44" x14ac:dyDescent="0.25">
      <c r="A11" t="str">
        <f t="shared" si="10"/>
        <v>46207E</v>
      </c>
      <c r="B11" s="51">
        <f t="shared" si="28"/>
        <v>46207</v>
      </c>
      <c r="C11" s="52" t="s">
        <v>88</v>
      </c>
      <c r="D11" s="79">
        <v>4625.1000000000004</v>
      </c>
      <c r="E11" s="62">
        <v>3.94</v>
      </c>
      <c r="F11" s="62">
        <v>8.0500000000000007</v>
      </c>
      <c r="G11" s="62">
        <f t="shared" si="11"/>
        <v>182.22893999999999</v>
      </c>
      <c r="H11" s="63">
        <f t="shared" si="12"/>
        <v>372.32055000000003</v>
      </c>
      <c r="I11" s="118">
        <v>9154.9</v>
      </c>
      <c r="J11" s="119">
        <v>9429.5470000000005</v>
      </c>
      <c r="K11" s="120">
        <v>3.5514445815901867</v>
      </c>
      <c r="L11" s="121">
        <v>8.0128412107177578</v>
      </c>
      <c r="M11" s="58" t="s">
        <v>183</v>
      </c>
      <c r="N11" s="58" t="s">
        <v>349</v>
      </c>
      <c r="O11" s="59">
        <v>2066</v>
      </c>
      <c r="P11" s="56">
        <v>3.95</v>
      </c>
      <c r="Q11" s="60">
        <v>7.94</v>
      </c>
      <c r="R11" s="61">
        <f t="shared" si="13"/>
        <v>11495.547</v>
      </c>
      <c r="S11" s="62">
        <f t="shared" si="14"/>
        <v>416.49213599999996</v>
      </c>
      <c r="T11" s="63">
        <f t="shared" si="15"/>
        <v>919.61502800000005</v>
      </c>
      <c r="U11" s="64" t="s">
        <v>207</v>
      </c>
      <c r="V11" s="65" t="s">
        <v>352</v>
      </c>
      <c r="W11" s="66" t="s">
        <v>184</v>
      </c>
      <c r="X11" s="67">
        <v>6280</v>
      </c>
      <c r="Y11" s="68">
        <v>3.93</v>
      </c>
      <c r="Z11" s="68">
        <v>8.07</v>
      </c>
      <c r="AA11" s="62">
        <f t="shared" si="16"/>
        <v>246.804</v>
      </c>
      <c r="AB11" s="63">
        <f t="shared" si="17"/>
        <v>506.79600000000005</v>
      </c>
      <c r="AC11" s="69">
        <v>6290</v>
      </c>
      <c r="AD11" s="70">
        <v>3.8662957074721782</v>
      </c>
      <c r="AE11" s="70">
        <v>7.9731319554848969</v>
      </c>
      <c r="AF11" s="62">
        <f t="shared" si="18"/>
        <v>243.19</v>
      </c>
      <c r="AG11" s="63">
        <f t="shared" si="19"/>
        <v>501.51</v>
      </c>
      <c r="AH11" s="66">
        <v>9840.6</v>
      </c>
      <c r="AI11" s="66">
        <v>3.71</v>
      </c>
      <c r="AJ11" s="66">
        <v>8.01</v>
      </c>
      <c r="AK11" s="62">
        <f t="shared" si="20"/>
        <v>365.08626000000004</v>
      </c>
      <c r="AL11" s="72">
        <f t="shared" si="21"/>
        <v>788.23206000000005</v>
      </c>
      <c r="AM11" s="73">
        <f t="shared" si="22"/>
        <v>-9.9529999999995198</v>
      </c>
      <c r="AN11" s="74">
        <f t="shared" si="23"/>
        <v>-9.5551840000001107</v>
      </c>
      <c r="AO11" s="74">
        <f t="shared" si="24"/>
        <v>2.19351800000004</v>
      </c>
      <c r="AP11" s="75">
        <f t="shared" si="25"/>
        <v>-5.5097870877070382E-3</v>
      </c>
      <c r="AQ11" s="76">
        <f t="shared" si="26"/>
        <v>-3934.6377859038412</v>
      </c>
      <c r="AR11" s="90">
        <f t="shared" si="27"/>
        <v>4.7000000000480213E-2</v>
      </c>
    </row>
    <row r="12" spans="1:44" x14ac:dyDescent="0.25">
      <c r="A12" t="str">
        <f t="shared" si="10"/>
        <v>46208M</v>
      </c>
      <c r="B12" s="51">
        <f t="shared" si="28"/>
        <v>46208</v>
      </c>
      <c r="C12" s="52" t="s">
        <v>87</v>
      </c>
      <c r="D12" s="79">
        <v>9840.6</v>
      </c>
      <c r="E12" s="62">
        <v>3.71</v>
      </c>
      <c r="F12" s="62">
        <v>8.01</v>
      </c>
      <c r="G12" s="62">
        <f t="shared" si="11"/>
        <v>365.08626000000004</v>
      </c>
      <c r="H12" s="63">
        <f t="shared" si="12"/>
        <v>788.23206000000005</v>
      </c>
      <c r="I12" s="118">
        <v>2713.9</v>
      </c>
      <c r="J12" s="119">
        <v>2795.317</v>
      </c>
      <c r="K12" s="120">
        <v>4.1236744168908217</v>
      </c>
      <c r="L12" s="121">
        <v>8.0879803972143414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3"/>
        <v>2795.317</v>
      </c>
      <c r="S12" s="62">
        <f t="shared" si="14"/>
        <v>115.26977200000002</v>
      </c>
      <c r="T12" s="63">
        <f t="shared" si="15"/>
        <v>226.08469099999999</v>
      </c>
      <c r="U12" s="64" t="s">
        <v>176</v>
      </c>
      <c r="V12" s="65" t="s">
        <v>353</v>
      </c>
      <c r="W12" s="66" t="s">
        <v>184</v>
      </c>
      <c r="X12" s="67">
        <v>9250</v>
      </c>
      <c r="Y12" s="68">
        <v>3.92</v>
      </c>
      <c r="Z12" s="68">
        <v>8.06</v>
      </c>
      <c r="AA12" s="62">
        <f t="shared" si="16"/>
        <v>362.59999999999997</v>
      </c>
      <c r="AB12" s="63">
        <f t="shared" si="17"/>
        <v>745.55000000000007</v>
      </c>
      <c r="AC12" s="69">
        <v>9270</v>
      </c>
      <c r="AD12" s="70">
        <v>3.8162891046386189</v>
      </c>
      <c r="AE12" s="70">
        <v>8.0432578209277228</v>
      </c>
      <c r="AF12" s="62">
        <f t="shared" si="18"/>
        <v>353.77</v>
      </c>
      <c r="AG12" s="63">
        <f t="shared" si="19"/>
        <v>745.6099999999999</v>
      </c>
      <c r="AH12" s="66">
        <v>3385.9</v>
      </c>
      <c r="AI12" s="66">
        <v>3.8</v>
      </c>
      <c r="AJ12" s="66">
        <v>8.02</v>
      </c>
      <c r="AK12" s="62">
        <f t="shared" si="20"/>
        <v>128.66419999999999</v>
      </c>
      <c r="AL12" s="72">
        <f t="shared" si="21"/>
        <v>271.54917999999998</v>
      </c>
      <c r="AM12" s="73">
        <f t="shared" si="22"/>
        <v>-19.98299999999881</v>
      </c>
      <c r="AN12" s="74">
        <f t="shared" si="23"/>
        <v>-2.0781679999999483</v>
      </c>
      <c r="AO12" s="74">
        <f t="shared" si="24"/>
        <v>-2.8424289999998109</v>
      </c>
      <c r="AP12" s="75">
        <f t="shared" si="25"/>
        <v>-1.4414919192076768E-2</v>
      </c>
      <c r="AQ12" s="76">
        <f t="shared" si="26"/>
        <v>-1849.9095416846499</v>
      </c>
      <c r="AR12" s="90">
        <f t="shared" si="27"/>
        <v>1.7000000001644366E-2</v>
      </c>
    </row>
    <row r="13" spans="1:44" x14ac:dyDescent="0.25">
      <c r="A13" t="str">
        <f t="shared" si="10"/>
        <v>46208E</v>
      </c>
      <c r="B13" s="51">
        <f t="shared" si="28"/>
        <v>46208</v>
      </c>
      <c r="C13" s="52" t="s">
        <v>88</v>
      </c>
      <c r="D13" s="79">
        <v>3385.9</v>
      </c>
      <c r="E13" s="62">
        <v>3.8</v>
      </c>
      <c r="F13" s="62">
        <v>8.02</v>
      </c>
      <c r="G13" s="62">
        <f t="shared" si="11"/>
        <v>128.66419999999999</v>
      </c>
      <c r="H13" s="63">
        <f t="shared" si="12"/>
        <v>271.54917999999998</v>
      </c>
      <c r="I13" s="118">
        <v>5225.8999999999996</v>
      </c>
      <c r="J13" s="119">
        <v>5382.6769999999997</v>
      </c>
      <c r="K13" s="120">
        <v>3.9906944258405241</v>
      </c>
      <c r="L13" s="121">
        <v>8.0660881379283946</v>
      </c>
      <c r="M13" s="58">
        <v>0</v>
      </c>
      <c r="N13" s="58" t="s">
        <v>167</v>
      </c>
      <c r="O13" s="59">
        <v>0</v>
      </c>
      <c r="P13" s="56">
        <v>0</v>
      </c>
      <c r="Q13" s="60">
        <v>0</v>
      </c>
      <c r="R13" s="61">
        <f t="shared" si="13"/>
        <v>5382.6769999999997</v>
      </c>
      <c r="S13" s="62">
        <f t="shared" si="14"/>
        <v>214.80619099999993</v>
      </c>
      <c r="T13" s="63">
        <f t="shared" si="15"/>
        <v>434.17147099999994</v>
      </c>
      <c r="U13" s="64" t="s">
        <v>179</v>
      </c>
      <c r="V13" s="65" t="s">
        <v>354</v>
      </c>
      <c r="W13" s="66" t="s">
        <v>184</v>
      </c>
      <c r="X13" s="67">
        <v>3830</v>
      </c>
      <c r="Y13" s="68">
        <v>4</v>
      </c>
      <c r="Z13" s="68">
        <v>8.02</v>
      </c>
      <c r="AA13" s="62">
        <f t="shared" si="16"/>
        <v>153.20000000000002</v>
      </c>
      <c r="AB13" s="63">
        <f t="shared" si="17"/>
        <v>307.166</v>
      </c>
      <c r="AC13" s="69">
        <v>3830</v>
      </c>
      <c r="AD13" s="70">
        <v>3.9</v>
      </c>
      <c r="AE13" s="70">
        <v>7.94</v>
      </c>
      <c r="AF13" s="62">
        <f t="shared" si="18"/>
        <v>149.37</v>
      </c>
      <c r="AG13" s="63">
        <f t="shared" si="19"/>
        <v>304.10199999999998</v>
      </c>
      <c r="AH13" s="66">
        <v>4938.5</v>
      </c>
      <c r="AI13" s="66">
        <v>3.91</v>
      </c>
      <c r="AJ13" s="66">
        <v>8.0500000000000007</v>
      </c>
      <c r="AK13" s="62">
        <f t="shared" si="20"/>
        <v>193.09535000000002</v>
      </c>
      <c r="AL13" s="72">
        <f t="shared" si="21"/>
        <v>397.54925000000003</v>
      </c>
      <c r="AM13" s="73">
        <f t="shared" si="22"/>
        <v>7.699999999931606E-2</v>
      </c>
      <c r="AN13" s="74">
        <f t="shared" si="23"/>
        <v>1.0050409999999204</v>
      </c>
      <c r="AO13" s="74">
        <f t="shared" si="24"/>
        <v>4.069400999999857</v>
      </c>
      <c r="AP13" s="75">
        <f t="shared" si="25"/>
        <v>7.8191319934826642E-3</v>
      </c>
      <c r="AQ13" s="76">
        <f t="shared" si="26"/>
        <v>1701.7042826047582</v>
      </c>
      <c r="AR13" s="90">
        <f t="shared" si="27"/>
        <v>7.699999999931606E-2</v>
      </c>
    </row>
    <row r="14" spans="1:44" x14ac:dyDescent="0.25">
      <c r="A14" t="str">
        <f t="shared" si="10"/>
        <v>46209M</v>
      </c>
      <c r="B14" s="51">
        <f t="shared" si="28"/>
        <v>46209</v>
      </c>
      <c r="C14" s="52" t="s">
        <v>87</v>
      </c>
      <c r="D14" s="79">
        <v>4938.5</v>
      </c>
      <c r="E14" s="62">
        <v>3.91</v>
      </c>
      <c r="F14" s="62">
        <v>8.0500000000000007</v>
      </c>
      <c r="G14" s="62">
        <f t="shared" si="11"/>
        <v>193.09535000000002</v>
      </c>
      <c r="H14" s="63">
        <f t="shared" si="12"/>
        <v>397.54925000000003</v>
      </c>
      <c r="I14" s="118">
        <v>2955.1</v>
      </c>
      <c r="J14" s="119">
        <v>3043.7530000000002</v>
      </c>
      <c r="K14" s="120">
        <v>4.2436262732225654</v>
      </c>
      <c r="L14" s="121">
        <v>8.110273764001219</v>
      </c>
      <c r="M14" s="58">
        <v>0</v>
      </c>
      <c r="N14" s="58" t="s">
        <v>167</v>
      </c>
      <c r="O14" s="59">
        <v>0</v>
      </c>
      <c r="P14" s="56">
        <v>0</v>
      </c>
      <c r="Q14" s="60">
        <v>0</v>
      </c>
      <c r="R14" s="61">
        <f t="shared" si="13"/>
        <v>3043.7530000000002</v>
      </c>
      <c r="S14" s="62">
        <f t="shared" si="14"/>
        <v>129.16550200000003</v>
      </c>
      <c r="T14" s="63">
        <f t="shared" si="15"/>
        <v>246.85670100000004</v>
      </c>
      <c r="U14" s="64" t="s">
        <v>176</v>
      </c>
      <c r="V14" s="65" t="s">
        <v>355</v>
      </c>
      <c r="W14" s="66" t="s">
        <v>184</v>
      </c>
      <c r="X14" s="67">
        <v>7850</v>
      </c>
      <c r="Y14" s="68">
        <v>4</v>
      </c>
      <c r="Z14" s="68">
        <v>7.96</v>
      </c>
      <c r="AA14" s="62">
        <f t="shared" ref="AA14:AA21" si="29">X14*Y14%</f>
        <v>314</v>
      </c>
      <c r="AB14" s="63">
        <f t="shared" ref="AB14:AB21" si="30">X14*Z14%</f>
        <v>624.86</v>
      </c>
      <c r="AC14" s="69">
        <v>7860</v>
      </c>
      <c r="AD14" s="70">
        <v>3.9000000000000004</v>
      </c>
      <c r="AE14" s="70">
        <v>7.9057379134860071</v>
      </c>
      <c r="AF14" s="62">
        <f t="shared" si="18"/>
        <v>306.54000000000008</v>
      </c>
      <c r="AG14" s="63">
        <f t="shared" si="19"/>
        <v>621.39100000000008</v>
      </c>
      <c r="AH14" s="66">
        <v>132.19999999999999</v>
      </c>
      <c r="AI14" s="66">
        <v>4.03</v>
      </c>
      <c r="AJ14" s="66">
        <v>8.07</v>
      </c>
      <c r="AK14" s="62">
        <f t="shared" si="20"/>
        <v>5.3276599999999998</v>
      </c>
      <c r="AL14" s="72">
        <f t="shared" si="21"/>
        <v>10.66854</v>
      </c>
      <c r="AM14" s="73">
        <f t="shared" si="22"/>
        <v>-9.9469999999993775</v>
      </c>
      <c r="AN14" s="74">
        <f t="shared" si="23"/>
        <v>10.39319199999998</v>
      </c>
      <c r="AO14" s="74">
        <f t="shared" si="24"/>
        <v>12.346410999999996</v>
      </c>
      <c r="AP14" s="75">
        <f t="shared" si="25"/>
        <v>6.0474096525624493E-2</v>
      </c>
      <c r="AQ14" s="76">
        <f t="shared" si="26"/>
        <v>8691.9071976903761</v>
      </c>
      <c r="AR14" s="90">
        <f t="shared" si="27"/>
        <v>5.3000000000793079E-2</v>
      </c>
    </row>
    <row r="15" spans="1:44" x14ac:dyDescent="0.25">
      <c r="A15" t="str">
        <f t="shared" si="10"/>
        <v>46209E</v>
      </c>
      <c r="B15" s="51">
        <f t="shared" si="28"/>
        <v>46209</v>
      </c>
      <c r="C15" s="52" t="s">
        <v>88</v>
      </c>
      <c r="D15" s="79">
        <v>132.19999999999999</v>
      </c>
      <c r="E15" s="62">
        <v>4.03</v>
      </c>
      <c r="F15" s="62">
        <v>8.07</v>
      </c>
      <c r="G15" s="62">
        <f t="shared" si="11"/>
        <v>5.3276599999999998</v>
      </c>
      <c r="H15" s="63">
        <f t="shared" si="12"/>
        <v>10.66854</v>
      </c>
      <c r="I15" s="118">
        <v>5233.7000000000007</v>
      </c>
      <c r="J15" s="119">
        <v>5390.7110000000011</v>
      </c>
      <c r="K15" s="120">
        <v>4.0401054703173669</v>
      </c>
      <c r="L15" s="121">
        <v>8.117234461279784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3"/>
        <v>5390.7110000000011</v>
      </c>
      <c r="S15" s="62">
        <f t="shared" si="14"/>
        <v>217.79041000000009</v>
      </c>
      <c r="T15" s="63">
        <f t="shared" si="15"/>
        <v>437.57665100000014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9"/>
        <v>0</v>
      </c>
      <c r="AB15" s="63">
        <f t="shared" si="30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5522.9</v>
      </c>
      <c r="AI15" s="66">
        <v>4.03</v>
      </c>
      <c r="AJ15" s="66">
        <v>8.11</v>
      </c>
      <c r="AK15" s="62">
        <f t="shared" si="20"/>
        <v>222.57286999999999</v>
      </c>
      <c r="AL15" s="72">
        <f t="shared" si="21"/>
        <v>447.9071899999999</v>
      </c>
      <c r="AM15" s="73">
        <f t="shared" si="22"/>
        <v>1.10000000013315E-2</v>
      </c>
      <c r="AN15" s="74">
        <f t="shared" si="23"/>
        <v>0.54520000000010782</v>
      </c>
      <c r="AO15" s="74">
        <f t="shared" si="24"/>
        <v>0.33800100000024713</v>
      </c>
      <c r="AP15" s="75">
        <f t="shared" si="25"/>
        <v>1.3476432560597588E-3</v>
      </c>
      <c r="AQ15" s="76">
        <f t="shared" si="26"/>
        <v>363.21463475375288</v>
      </c>
      <c r="AR15" s="90">
        <f t="shared" si="27"/>
        <v>1.10000000013315E-2</v>
      </c>
    </row>
    <row r="16" spans="1:44" x14ac:dyDescent="0.25">
      <c r="A16" t="str">
        <f t="shared" si="10"/>
        <v>46210M</v>
      </c>
      <c r="B16" s="51">
        <f t="shared" si="28"/>
        <v>46210</v>
      </c>
      <c r="C16" s="52" t="s">
        <v>87</v>
      </c>
      <c r="D16" s="79">
        <v>5522.9</v>
      </c>
      <c r="E16" s="62">
        <v>4.03</v>
      </c>
      <c r="F16" s="62">
        <v>8.11</v>
      </c>
      <c r="G16" s="62">
        <f t="shared" si="11"/>
        <v>222.57286999999999</v>
      </c>
      <c r="H16" s="63">
        <f t="shared" si="12"/>
        <v>447.9071899999999</v>
      </c>
      <c r="I16" s="118">
        <v>2949.2999999999997</v>
      </c>
      <c r="J16" s="119">
        <v>3037.779</v>
      </c>
      <c r="K16" s="120">
        <v>3.9919336791781097</v>
      </c>
      <c r="L16" s="121">
        <v>8.1184687892042184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3"/>
        <v>3037.779</v>
      </c>
      <c r="S16" s="62">
        <f t="shared" si="14"/>
        <v>121.26612299999999</v>
      </c>
      <c r="T16" s="63">
        <f t="shared" si="15"/>
        <v>246.62114</v>
      </c>
      <c r="U16" s="64" t="s">
        <v>179</v>
      </c>
      <c r="V16" s="65" t="s">
        <v>376</v>
      </c>
      <c r="W16" s="66" t="s">
        <v>184</v>
      </c>
      <c r="X16" s="67">
        <v>3830</v>
      </c>
      <c r="Y16" s="68">
        <v>4.0999999999999996</v>
      </c>
      <c r="Z16" s="68">
        <v>8.1</v>
      </c>
      <c r="AA16" s="62">
        <f t="shared" si="29"/>
        <v>157.02999999999997</v>
      </c>
      <c r="AB16" s="63">
        <f t="shared" si="30"/>
        <v>310.23</v>
      </c>
      <c r="AC16" s="69">
        <v>3870</v>
      </c>
      <c r="AD16" s="70">
        <v>4.05</v>
      </c>
      <c r="AE16" s="70">
        <v>8.09</v>
      </c>
      <c r="AF16" s="62">
        <f t="shared" si="18"/>
        <v>156.73500000000001</v>
      </c>
      <c r="AG16" s="63">
        <f t="shared" si="19"/>
        <v>313.08300000000003</v>
      </c>
      <c r="AH16" s="66">
        <v>4729.8999999999996</v>
      </c>
      <c r="AI16" s="66">
        <v>4.01</v>
      </c>
      <c r="AJ16" s="66">
        <v>8.11</v>
      </c>
      <c r="AK16" s="62">
        <f t="shared" si="20"/>
        <v>189.66898999999998</v>
      </c>
      <c r="AL16" s="72">
        <f t="shared" si="21"/>
        <v>383.59488999999991</v>
      </c>
      <c r="AM16" s="73">
        <f t="shared" si="22"/>
        <v>-39.220999999999549</v>
      </c>
      <c r="AN16" s="74">
        <f t="shared" si="23"/>
        <v>-2.5649970000000337</v>
      </c>
      <c r="AO16" s="74">
        <f t="shared" si="24"/>
        <v>-2.149560000000065</v>
      </c>
      <c r="AP16" s="75">
        <f t="shared" si="25"/>
        <v>-1.281522214592164E-2</v>
      </c>
      <c r="AQ16" s="76">
        <f t="shared" si="26"/>
        <v>-1876.3386235025407</v>
      </c>
      <c r="AR16" s="90">
        <f t="shared" si="27"/>
        <v>0.77900000000045111</v>
      </c>
    </row>
    <row r="17" spans="1:49" x14ac:dyDescent="0.25">
      <c r="A17" t="str">
        <f t="shared" si="10"/>
        <v>46210E</v>
      </c>
      <c r="B17" s="51">
        <f t="shared" si="28"/>
        <v>46210</v>
      </c>
      <c r="C17" s="52" t="s">
        <v>88</v>
      </c>
      <c r="D17" s="79">
        <v>4729.8999999999996</v>
      </c>
      <c r="E17" s="62">
        <v>4.01</v>
      </c>
      <c r="F17" s="62">
        <v>8.11</v>
      </c>
      <c r="G17" s="62">
        <f t="shared" si="11"/>
        <v>189.66898999999998</v>
      </c>
      <c r="H17" s="63">
        <f t="shared" si="12"/>
        <v>383.59488999999991</v>
      </c>
      <c r="I17" s="118">
        <v>5364.7</v>
      </c>
      <c r="J17" s="119">
        <v>5525.6409999999996</v>
      </c>
      <c r="K17" s="120">
        <v>3.9527280183421256</v>
      </c>
      <c r="L17" s="121">
        <v>8.0994855257516729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3"/>
        <v>5525.6409999999996</v>
      </c>
      <c r="S17" s="62">
        <f t="shared" si="14"/>
        <v>218.41355999999999</v>
      </c>
      <c r="T17" s="63">
        <f t="shared" si="15"/>
        <v>447.54849300000001</v>
      </c>
      <c r="U17" s="64" t="s">
        <v>176</v>
      </c>
      <c r="V17" s="65" t="s">
        <v>377</v>
      </c>
      <c r="W17" s="66" t="s">
        <v>184</v>
      </c>
      <c r="X17" s="67">
        <v>9250</v>
      </c>
      <c r="Y17" s="68">
        <v>3.98</v>
      </c>
      <c r="Z17" s="68">
        <v>8.06</v>
      </c>
      <c r="AA17" s="62">
        <f t="shared" si="29"/>
        <v>368.15000000000003</v>
      </c>
      <c r="AB17" s="63">
        <f t="shared" si="30"/>
        <v>745.55000000000007</v>
      </c>
      <c r="AC17" s="69">
        <v>9260</v>
      </c>
      <c r="AD17" s="70">
        <v>3.9674946004319653</v>
      </c>
      <c r="AE17" s="70">
        <v>7.9534989200863935</v>
      </c>
      <c r="AF17" s="62">
        <f t="shared" si="18"/>
        <v>367.39</v>
      </c>
      <c r="AG17" s="63">
        <f t="shared" si="19"/>
        <v>736.49400000000003</v>
      </c>
      <c r="AH17" s="66">
        <v>1005.5</v>
      </c>
      <c r="AI17" s="66">
        <v>3.97</v>
      </c>
      <c r="AJ17" s="66">
        <v>8.1</v>
      </c>
      <c r="AK17" s="62">
        <f t="shared" si="20"/>
        <v>39.918349999999997</v>
      </c>
      <c r="AL17" s="72">
        <f t="shared" si="21"/>
        <v>81.445499999999996</v>
      </c>
      <c r="AM17" s="73">
        <f t="shared" si="22"/>
        <v>-9.9590000000007421</v>
      </c>
      <c r="AN17" s="74">
        <f t="shared" si="23"/>
        <v>0.77419999999998623</v>
      </c>
      <c r="AO17" s="74">
        <f t="shared" si="24"/>
        <v>13.203882999999834</v>
      </c>
      <c r="AP17" s="75">
        <f t="shared" si="25"/>
        <v>2.0989308530466405E-2</v>
      </c>
      <c r="AQ17" s="76">
        <f t="shared" si="26"/>
        <v>4326.473708228471</v>
      </c>
      <c r="AR17" s="90">
        <f t="shared" si="27"/>
        <v>4.0999999999257852E-2</v>
      </c>
    </row>
    <row r="18" spans="1:49" x14ac:dyDescent="0.25">
      <c r="A18" t="str">
        <f t="shared" si="10"/>
        <v>46211M</v>
      </c>
      <c r="B18" s="51">
        <f t="shared" si="28"/>
        <v>46211</v>
      </c>
      <c r="C18" s="52" t="s">
        <v>87</v>
      </c>
      <c r="D18" s="79">
        <v>1005.5</v>
      </c>
      <c r="E18" s="62">
        <v>3.97</v>
      </c>
      <c r="F18" s="62">
        <v>8.1</v>
      </c>
      <c r="G18" s="62">
        <f t="shared" si="11"/>
        <v>39.918349999999997</v>
      </c>
      <c r="H18" s="63">
        <f t="shared" si="12"/>
        <v>81.445499999999996</v>
      </c>
      <c r="I18" s="118">
        <v>3449.5</v>
      </c>
      <c r="J18" s="119">
        <v>3552.9850000000001</v>
      </c>
      <c r="K18" s="120">
        <v>4.0380460936367593</v>
      </c>
      <c r="L18" s="121">
        <v>8.1316451659660842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3"/>
        <v>3552.9850000000001</v>
      </c>
      <c r="S18" s="62">
        <f t="shared" si="14"/>
        <v>143.47117200000002</v>
      </c>
      <c r="T18" s="63">
        <f t="shared" si="15"/>
        <v>288.91613300000006</v>
      </c>
      <c r="U18" s="64" t="s">
        <v>179</v>
      </c>
      <c r="V18" s="65" t="s">
        <v>378</v>
      </c>
      <c r="W18" s="66" t="s">
        <v>251</v>
      </c>
      <c r="X18" s="67">
        <v>3830</v>
      </c>
      <c r="Y18" s="68">
        <v>4</v>
      </c>
      <c r="Z18" s="68">
        <v>8.08</v>
      </c>
      <c r="AA18" s="62">
        <f t="shared" si="29"/>
        <v>153.20000000000002</v>
      </c>
      <c r="AB18" s="63">
        <f t="shared" si="30"/>
        <v>309.464</v>
      </c>
      <c r="AC18" s="69">
        <v>3850</v>
      </c>
      <c r="AD18" s="70">
        <v>3.9</v>
      </c>
      <c r="AE18" s="70">
        <v>8.06</v>
      </c>
      <c r="AF18" s="62">
        <f t="shared" si="18"/>
        <v>150.15</v>
      </c>
      <c r="AG18" s="63">
        <f t="shared" si="19"/>
        <v>310.31</v>
      </c>
      <c r="AH18" s="206">
        <v>728</v>
      </c>
      <c r="AI18" s="66">
        <v>4.0199999999999996</v>
      </c>
      <c r="AJ18" s="66">
        <v>8.1199999999999992</v>
      </c>
      <c r="AK18" s="62">
        <f t="shared" si="20"/>
        <v>29.265599999999996</v>
      </c>
      <c r="AL18" s="72">
        <f t="shared" si="21"/>
        <v>59.113599999999998</v>
      </c>
      <c r="AM18" s="73">
        <f t="shared" si="22"/>
        <v>-19.514999999999418</v>
      </c>
      <c r="AN18" s="74">
        <f t="shared" si="23"/>
        <v>3.9739220000000266</v>
      </c>
      <c r="AO18" s="74">
        <f t="shared" si="24"/>
        <v>0.93803300000003986</v>
      </c>
      <c r="AP18" s="75">
        <f t="shared" si="25"/>
        <v>1.1360081443649382E-2</v>
      </c>
      <c r="AQ18" s="76">
        <f t="shared" si="26"/>
        <v>2190.5313906077772</v>
      </c>
      <c r="AR18" s="90">
        <f t="shared" si="27"/>
        <v>0.48500000000058208</v>
      </c>
    </row>
    <row r="19" spans="1:49" x14ac:dyDescent="0.25">
      <c r="A19" t="str">
        <f t="shared" si="10"/>
        <v>46211E</v>
      </c>
      <c r="B19" s="51">
        <f t="shared" si="28"/>
        <v>46211</v>
      </c>
      <c r="C19" s="52" t="s">
        <v>88</v>
      </c>
      <c r="D19" s="79">
        <v>728</v>
      </c>
      <c r="E19" s="62">
        <v>4.0199999999999996</v>
      </c>
      <c r="F19" s="62">
        <v>8.1199999999999992</v>
      </c>
      <c r="G19" s="62">
        <f t="shared" si="11"/>
        <v>29.265599999999996</v>
      </c>
      <c r="H19" s="63">
        <f t="shared" si="12"/>
        <v>59.113599999999998</v>
      </c>
      <c r="I19" s="118">
        <v>4724.4999999999991</v>
      </c>
      <c r="J19" s="119">
        <v>4866.2349999999988</v>
      </c>
      <c r="K19" s="120">
        <v>3.9174536988041062</v>
      </c>
      <c r="L19" s="121">
        <v>8.0805439729071864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3"/>
        <v>4866.2349999999988</v>
      </c>
      <c r="S19" s="62">
        <f t="shared" si="14"/>
        <v>190.63250299999996</v>
      </c>
      <c r="T19" s="63">
        <f t="shared" si="15"/>
        <v>393.21825899999993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9"/>
        <v>0</v>
      </c>
      <c r="AB19" s="63">
        <f t="shared" si="30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206">
        <v>5594.2</v>
      </c>
      <c r="AI19" s="66">
        <v>3.93</v>
      </c>
      <c r="AJ19" s="66">
        <v>8.08</v>
      </c>
      <c r="AK19" s="62">
        <f t="shared" si="20"/>
        <v>219.85205999999999</v>
      </c>
      <c r="AL19" s="72">
        <f t="shared" si="21"/>
        <v>452.01135999999997</v>
      </c>
      <c r="AM19" s="73">
        <f t="shared" si="22"/>
        <v>3.4999999998944986E-2</v>
      </c>
      <c r="AN19" s="74">
        <f t="shared" si="23"/>
        <v>4.604299999996897E-2</v>
      </c>
      <c r="AO19" s="74">
        <f t="shared" si="24"/>
        <v>0.32049899999998388</v>
      </c>
      <c r="AP19" s="75">
        <f t="shared" si="25"/>
        <v>6.2780084202399813E-4</v>
      </c>
      <c r="AQ19" s="76">
        <f t="shared" si="26"/>
        <v>118.11175728916973</v>
      </c>
      <c r="AR19" s="90">
        <f t="shared" si="27"/>
        <v>3.4999999998944986E-2</v>
      </c>
      <c r="AS19" s="90">
        <f>SUM(J6:J19)</f>
        <v>67692.218000000008</v>
      </c>
      <c r="AT19" s="83">
        <f>SUM(AM6:AM19)</f>
        <v>-402.58200000000005</v>
      </c>
      <c r="AU19" s="83">
        <f>SUM(AN6:AN19)</f>
        <v>-24.012223999999893</v>
      </c>
      <c r="AV19" s="83">
        <f>SUM(AO6:AO19)</f>
        <v>-1.9864949999997492</v>
      </c>
      <c r="AW19" s="83">
        <f>-SUM(AQ6:AQ19)</f>
        <v>12133.592711769194</v>
      </c>
    </row>
    <row r="20" spans="1:49" x14ac:dyDescent="0.25">
      <c r="A20" t="str">
        <f t="shared" si="10"/>
        <v>46212M</v>
      </c>
      <c r="B20" s="51">
        <f t="shared" si="28"/>
        <v>46212</v>
      </c>
      <c r="C20" s="52" t="s">
        <v>87</v>
      </c>
      <c r="D20" s="79">
        <v>5594.2</v>
      </c>
      <c r="E20" s="62">
        <v>3.93</v>
      </c>
      <c r="F20" s="62">
        <v>8.08</v>
      </c>
      <c r="G20" s="62">
        <f t="shared" si="11"/>
        <v>219.85205999999999</v>
      </c>
      <c r="H20" s="63">
        <f t="shared" si="12"/>
        <v>452.01135999999997</v>
      </c>
      <c r="I20" s="118">
        <v>7817.4999999999991</v>
      </c>
      <c r="J20" s="119">
        <v>8052.0249999999996</v>
      </c>
      <c r="K20" s="120">
        <v>3.5879155740326194</v>
      </c>
      <c r="L20" s="121">
        <v>8.0920076750879453</v>
      </c>
      <c r="M20" s="58" t="s">
        <v>183</v>
      </c>
      <c r="N20" s="58" t="s">
        <v>375</v>
      </c>
      <c r="O20" s="59">
        <v>3178</v>
      </c>
      <c r="P20" s="56">
        <v>3.95</v>
      </c>
      <c r="Q20" s="60">
        <v>8</v>
      </c>
      <c r="R20" s="61">
        <f t="shared" si="13"/>
        <v>11230.025</v>
      </c>
      <c r="S20" s="62">
        <f t="shared" si="14"/>
        <v>414.430859</v>
      </c>
      <c r="T20" s="63">
        <f t="shared" si="15"/>
        <v>905.8104810000001</v>
      </c>
      <c r="U20" s="64" t="s">
        <v>207</v>
      </c>
      <c r="V20" s="65" t="s">
        <v>379</v>
      </c>
      <c r="W20" s="66" t="s">
        <v>184</v>
      </c>
      <c r="X20" s="67">
        <v>6280</v>
      </c>
      <c r="Y20" s="68">
        <v>3.77</v>
      </c>
      <c r="Z20" s="68">
        <v>7.91</v>
      </c>
      <c r="AA20" s="62">
        <f t="shared" si="29"/>
        <v>236.75599999999997</v>
      </c>
      <c r="AB20" s="63">
        <f t="shared" si="30"/>
        <v>496.74800000000005</v>
      </c>
      <c r="AC20" s="69">
        <v>6280</v>
      </c>
      <c r="AD20" s="70">
        <v>3.7000000000000006</v>
      </c>
      <c r="AE20" s="70">
        <v>7.9</v>
      </c>
      <c r="AF20" s="62">
        <f t="shared" si="18"/>
        <v>232.36000000000004</v>
      </c>
      <c r="AG20" s="63">
        <f t="shared" si="19"/>
        <v>496.12</v>
      </c>
      <c r="AH20" s="206">
        <v>10544.2</v>
      </c>
      <c r="AI20" s="66">
        <v>3.77</v>
      </c>
      <c r="AJ20" s="66">
        <v>8.06</v>
      </c>
      <c r="AK20" s="62">
        <f t="shared" si="20"/>
        <v>397.51634000000001</v>
      </c>
      <c r="AL20" s="72">
        <f t="shared" si="21"/>
        <v>849.86252000000013</v>
      </c>
      <c r="AM20" s="73">
        <f t="shared" si="22"/>
        <v>2.4999999997817213E-2</v>
      </c>
      <c r="AN20" s="74">
        <f t="shared" si="23"/>
        <v>4.4065789999999652</v>
      </c>
      <c r="AO20" s="74">
        <f t="shared" si="24"/>
        <v>11.839320999999813</v>
      </c>
      <c r="AP20" s="75">
        <f t="shared" si="25"/>
        <v>1.2305250190090078E-2</v>
      </c>
      <c r="AQ20" s="76">
        <f t="shared" si="26"/>
        <v>5663.2758677097663</v>
      </c>
      <c r="AR20" s="90">
        <f t="shared" si="27"/>
        <v>2.4999999997817213E-2</v>
      </c>
    </row>
    <row r="21" spans="1:49" x14ac:dyDescent="0.25">
      <c r="A21" t="str">
        <f t="shared" si="10"/>
        <v>46212E</v>
      </c>
      <c r="B21" s="51">
        <f t="shared" si="28"/>
        <v>46212</v>
      </c>
      <c r="C21" s="52" t="s">
        <v>88</v>
      </c>
      <c r="D21" s="79">
        <v>10544.2</v>
      </c>
      <c r="E21" s="62">
        <v>3.77</v>
      </c>
      <c r="F21" s="62">
        <v>8.06</v>
      </c>
      <c r="G21" s="62">
        <f t="shared" si="11"/>
        <v>397.51634000000001</v>
      </c>
      <c r="H21" s="63">
        <f t="shared" si="12"/>
        <v>849.86252000000013</v>
      </c>
      <c r="I21" s="118">
        <v>5624.4000000000024</v>
      </c>
      <c r="J21" s="119">
        <v>5793.1320000000023</v>
      </c>
      <c r="K21" s="120">
        <v>3.9731366901358358</v>
      </c>
      <c r="L21" s="121">
        <v>8.0994897233482668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3"/>
        <v>5793.1320000000023</v>
      </c>
      <c r="S21" s="62">
        <f t="shared" si="14"/>
        <v>230.16905300000005</v>
      </c>
      <c r="T21" s="63">
        <f t="shared" si="15"/>
        <v>469.21413100000012</v>
      </c>
      <c r="U21" s="64" t="s">
        <v>380</v>
      </c>
      <c r="V21" s="65" t="s">
        <v>381</v>
      </c>
      <c r="W21" s="66" t="s">
        <v>184</v>
      </c>
      <c r="X21" s="67">
        <v>13080</v>
      </c>
      <c r="Y21" s="68">
        <v>4.03</v>
      </c>
      <c r="Z21" s="68">
        <v>8.15</v>
      </c>
      <c r="AA21" s="62">
        <f t="shared" si="29"/>
        <v>527.12400000000002</v>
      </c>
      <c r="AB21" s="63">
        <f t="shared" si="30"/>
        <v>1066.02</v>
      </c>
      <c r="AC21" s="69">
        <v>13080</v>
      </c>
      <c r="AD21" s="70">
        <v>3.9292813455657494</v>
      </c>
      <c r="AE21" s="70">
        <v>8.1338379204892952</v>
      </c>
      <c r="AF21" s="62">
        <f t="shared" si="18"/>
        <v>513.95000000000005</v>
      </c>
      <c r="AG21" s="63">
        <f t="shared" si="19"/>
        <v>1063.9059999999997</v>
      </c>
      <c r="AH21" s="206">
        <v>3257.3</v>
      </c>
      <c r="AI21" s="66">
        <v>3.84</v>
      </c>
      <c r="AJ21" s="66">
        <v>8.07</v>
      </c>
      <c r="AK21" s="62">
        <f t="shared" si="20"/>
        <v>125.08032</v>
      </c>
      <c r="AL21" s="72">
        <f t="shared" si="21"/>
        <v>262.86411000000004</v>
      </c>
      <c r="AM21" s="73">
        <f t="shared" si="22"/>
        <v>3.2000000001971785E-2</v>
      </c>
      <c r="AN21" s="74">
        <f t="shared" si="23"/>
        <v>-11.344926999999956</v>
      </c>
      <c r="AO21" s="74">
        <f t="shared" si="24"/>
        <v>-7.69345899999945</v>
      </c>
      <c r="AP21" s="75">
        <f t="shared" si="25"/>
        <v>-2.7221681097782016E-2</v>
      </c>
      <c r="AQ21" s="76">
        <f t="shared" si="26"/>
        <v>-7755.7291397191711</v>
      </c>
      <c r="AR21" s="90">
        <f t="shared" si="27"/>
        <v>3.2000000002881279E-2</v>
      </c>
    </row>
    <row r="22" spans="1:49" x14ac:dyDescent="0.25">
      <c r="A22" t="str">
        <f t="shared" si="10"/>
        <v>46213M</v>
      </c>
      <c r="B22" s="51">
        <f t="shared" si="28"/>
        <v>46213</v>
      </c>
      <c r="C22" s="52" t="s">
        <v>87</v>
      </c>
      <c r="D22" s="79">
        <v>3257.3</v>
      </c>
      <c r="E22" s="62">
        <v>3.84</v>
      </c>
      <c r="F22" s="62">
        <v>8.07</v>
      </c>
      <c r="G22" s="62">
        <f t="shared" si="11"/>
        <v>125.08032</v>
      </c>
      <c r="H22" s="63">
        <f t="shared" si="12"/>
        <v>262.86411000000004</v>
      </c>
      <c r="I22" s="118">
        <v>3224.8999999999992</v>
      </c>
      <c r="J22" s="119">
        <v>3321.646999999999</v>
      </c>
      <c r="K22" s="120">
        <v>3.9567552482247499</v>
      </c>
      <c r="L22" s="121">
        <v>8.0930137368600548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3321.646999999999</v>
      </c>
      <c r="S22" s="62">
        <f t="shared" si="14"/>
        <v>131.42944199999991</v>
      </c>
      <c r="T22" s="63">
        <f t="shared" si="15"/>
        <v>268.82134799999983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ref="AA22:AA35" si="31">X22*Y22%</f>
        <v>0</v>
      </c>
      <c r="AB22" s="63">
        <f t="shared" ref="AB22:AB35" si="32">X22*Z22%</f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206">
        <v>6578.9</v>
      </c>
      <c r="AI22" s="66">
        <v>3.9</v>
      </c>
      <c r="AJ22" s="66">
        <v>8.08</v>
      </c>
      <c r="AK22" s="62">
        <f t="shared" si="20"/>
        <v>256.57709999999997</v>
      </c>
      <c r="AL22" s="72">
        <f t="shared" si="21"/>
        <v>531.57511999999997</v>
      </c>
      <c r="AM22" s="73">
        <f t="shared" si="22"/>
        <v>4.6999999999570719E-2</v>
      </c>
      <c r="AN22" s="74">
        <f t="shared" si="23"/>
        <v>-6.7338000000063403E-2</v>
      </c>
      <c r="AO22" s="74">
        <f t="shared" si="24"/>
        <v>0.11033799999995608</v>
      </c>
      <c r="AP22" s="75">
        <f t="shared" si="25"/>
        <v>1.0743264241875128E-4</v>
      </c>
      <c r="AQ22" s="76">
        <f t="shared" si="26"/>
        <v>0.68714810348289745</v>
      </c>
      <c r="AR22" s="90">
        <f t="shared" si="27"/>
        <v>4.6999999999570719E-2</v>
      </c>
    </row>
    <row r="23" spans="1:49" x14ac:dyDescent="0.25">
      <c r="A23" t="str">
        <f t="shared" si="10"/>
        <v>46213E</v>
      </c>
      <c r="B23" s="51">
        <f t="shared" si="28"/>
        <v>46213</v>
      </c>
      <c r="C23" s="52" t="s">
        <v>88</v>
      </c>
      <c r="D23" s="79">
        <v>6578.9</v>
      </c>
      <c r="E23" s="62">
        <v>3.9</v>
      </c>
      <c r="F23" s="62">
        <v>8.08</v>
      </c>
      <c r="G23" s="62">
        <f t="shared" si="11"/>
        <v>256.57709999999997</v>
      </c>
      <c r="H23" s="63">
        <f t="shared" si="12"/>
        <v>531.57511999999997</v>
      </c>
      <c r="I23" s="118">
        <v>5274.4000000000005</v>
      </c>
      <c r="J23" s="119">
        <v>5432.6320000000005</v>
      </c>
      <c r="K23" s="120">
        <v>4.0569581374184747</v>
      </c>
      <c r="L23" s="121">
        <v>8.0882773396026089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5432.6320000000005</v>
      </c>
      <c r="S23" s="62">
        <f t="shared" si="14"/>
        <v>220.39960600000003</v>
      </c>
      <c r="T23" s="63">
        <f t="shared" si="15"/>
        <v>439.40634300000005</v>
      </c>
      <c r="U23" s="64" t="s">
        <v>176</v>
      </c>
      <c r="V23" s="65" t="s">
        <v>458</v>
      </c>
      <c r="W23" s="66" t="s">
        <v>184</v>
      </c>
      <c r="X23" s="67">
        <v>9250</v>
      </c>
      <c r="Y23" s="68">
        <v>3.97</v>
      </c>
      <c r="Z23" s="68">
        <v>8.01</v>
      </c>
      <c r="AA23" s="62">
        <f t="shared" si="31"/>
        <v>367.22499999999997</v>
      </c>
      <c r="AB23" s="63">
        <f t="shared" si="32"/>
        <v>740.92500000000007</v>
      </c>
      <c r="AC23" s="69">
        <v>9260</v>
      </c>
      <c r="AD23" s="70">
        <v>3.8852051835853132</v>
      </c>
      <c r="AE23" s="70">
        <v>7.9370410367170638</v>
      </c>
      <c r="AF23" s="62">
        <f t="shared" si="18"/>
        <v>359.77000000000004</v>
      </c>
      <c r="AG23" s="63">
        <f t="shared" si="19"/>
        <v>734.97000000000014</v>
      </c>
      <c r="AH23" s="206">
        <v>2761.5</v>
      </c>
      <c r="AI23" s="66">
        <v>3.9</v>
      </c>
      <c r="AJ23" s="66">
        <v>8.08</v>
      </c>
      <c r="AK23" s="62">
        <f t="shared" si="20"/>
        <v>107.6985</v>
      </c>
      <c r="AL23" s="72">
        <f t="shared" si="21"/>
        <v>223.1292</v>
      </c>
      <c r="AM23" s="73">
        <f t="shared" si="22"/>
        <v>-9.9680000000007567</v>
      </c>
      <c r="AN23" s="74">
        <f t="shared" si="23"/>
        <v>9.5082060000000013</v>
      </c>
      <c r="AO23" s="74">
        <f t="shared" si="24"/>
        <v>12.882262999999938</v>
      </c>
      <c r="AP23" s="75">
        <f t="shared" si="25"/>
        <v>3.3934930465441951E-2</v>
      </c>
      <c r="AQ23" s="76">
        <f t="shared" si="26"/>
        <v>8427.1255251309758</v>
      </c>
      <c r="AR23" s="90">
        <f t="shared" si="27"/>
        <v>3.19999999992433E-2</v>
      </c>
    </row>
    <row r="24" spans="1:49" x14ac:dyDescent="0.25">
      <c r="A24" t="str">
        <f t="shared" si="10"/>
        <v>46214M</v>
      </c>
      <c r="B24" s="51">
        <f t="shared" si="28"/>
        <v>46214</v>
      </c>
      <c r="C24" s="52" t="s">
        <v>87</v>
      </c>
      <c r="D24" s="79">
        <v>2761.5</v>
      </c>
      <c r="E24" s="62">
        <v>3.9</v>
      </c>
      <c r="F24" s="62">
        <v>8.08</v>
      </c>
      <c r="G24" s="62">
        <f t="shared" si="11"/>
        <v>107.6985</v>
      </c>
      <c r="H24" s="63">
        <f t="shared" si="12"/>
        <v>223.1292</v>
      </c>
      <c r="I24" s="118">
        <v>6653.1</v>
      </c>
      <c r="J24" s="119">
        <v>6852.6930000000002</v>
      </c>
      <c r="K24" s="120">
        <v>3.5228404803775675</v>
      </c>
      <c r="L24" s="121">
        <v>7.9472125775954057</v>
      </c>
      <c r="M24" s="58" t="s">
        <v>183</v>
      </c>
      <c r="N24" s="58" t="s">
        <v>457</v>
      </c>
      <c r="O24" s="59">
        <v>2818</v>
      </c>
      <c r="P24" s="56">
        <v>4</v>
      </c>
      <c r="Q24" s="60">
        <v>7.96</v>
      </c>
      <c r="R24" s="61">
        <f t="shared" si="13"/>
        <v>9670.6929999999993</v>
      </c>
      <c r="S24" s="62">
        <f t="shared" si="14"/>
        <v>354.12944299999992</v>
      </c>
      <c r="T24" s="63">
        <f t="shared" si="15"/>
        <v>768.91088000000002</v>
      </c>
      <c r="U24" s="64" t="s">
        <v>207</v>
      </c>
      <c r="V24" s="65" t="s">
        <v>459</v>
      </c>
      <c r="W24" s="66" t="s">
        <v>184</v>
      </c>
      <c r="X24" s="67">
        <v>6280</v>
      </c>
      <c r="Y24" s="68">
        <v>3.97</v>
      </c>
      <c r="Z24" s="68">
        <v>8.0299999999999994</v>
      </c>
      <c r="AA24" s="62">
        <f t="shared" si="31"/>
        <v>249.316</v>
      </c>
      <c r="AB24" s="63">
        <f t="shared" si="32"/>
        <v>504.28399999999999</v>
      </c>
      <c r="AC24" s="69">
        <v>6310</v>
      </c>
      <c r="AD24" s="70">
        <v>3.8835182250396199</v>
      </c>
      <c r="AE24" s="70">
        <v>7.976259904912836</v>
      </c>
      <c r="AF24" s="62">
        <f t="shared" si="18"/>
        <v>245.05</v>
      </c>
      <c r="AG24" s="63">
        <f t="shared" si="19"/>
        <v>503.30199999999996</v>
      </c>
      <c r="AH24" s="206">
        <v>6152.1</v>
      </c>
      <c r="AI24" s="66">
        <v>3.71</v>
      </c>
      <c r="AJ24" s="66">
        <v>7.98</v>
      </c>
      <c r="AK24" s="62">
        <f t="shared" si="20"/>
        <v>228.24291000000002</v>
      </c>
      <c r="AL24" s="72">
        <f t="shared" si="21"/>
        <v>490.93758000000008</v>
      </c>
      <c r="AM24" s="73">
        <f t="shared" si="22"/>
        <v>-29.907000000001062</v>
      </c>
      <c r="AN24" s="74">
        <f t="shared" si="23"/>
        <v>-11.464967000000144</v>
      </c>
      <c r="AO24" s="74">
        <f t="shared" si="24"/>
        <v>-2.1995000000000573</v>
      </c>
      <c r="AP24" s="75">
        <f t="shared" si="25"/>
        <v>-1.216738768871454E-2</v>
      </c>
      <c r="AQ24" s="76">
        <f t="shared" si="26"/>
        <v>-6168.0204561230403</v>
      </c>
      <c r="AR24" s="90">
        <f t="shared" si="27"/>
        <v>9.299999999893771E-2</v>
      </c>
    </row>
    <row r="25" spans="1:49" x14ac:dyDescent="0.25">
      <c r="A25" t="str">
        <f t="shared" si="10"/>
        <v>46214E</v>
      </c>
      <c r="B25" s="51">
        <f t="shared" si="28"/>
        <v>46214</v>
      </c>
      <c r="C25" s="52" t="s">
        <v>88</v>
      </c>
      <c r="D25" s="79">
        <v>6152.1</v>
      </c>
      <c r="E25" s="62">
        <v>3.71</v>
      </c>
      <c r="F25" s="62">
        <v>7.98</v>
      </c>
      <c r="G25" s="62">
        <f t="shared" si="11"/>
        <v>228.24291000000002</v>
      </c>
      <c r="H25" s="63">
        <f t="shared" si="12"/>
        <v>490.93758000000008</v>
      </c>
      <c r="I25" s="118">
        <v>4509.5</v>
      </c>
      <c r="J25" s="119">
        <v>4644.7849999999999</v>
      </c>
      <c r="K25" s="120">
        <v>4.0219758288058545</v>
      </c>
      <c r="L25" s="121">
        <v>8.1003193258676074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4644.7849999999999</v>
      </c>
      <c r="S25" s="62">
        <f t="shared" si="14"/>
        <v>186.81213</v>
      </c>
      <c r="T25" s="63">
        <f t="shared" si="15"/>
        <v>376.2424169999997</v>
      </c>
      <c r="U25" s="64" t="s">
        <v>179</v>
      </c>
      <c r="V25" s="65" t="s">
        <v>460</v>
      </c>
      <c r="W25" s="66" t="s">
        <v>251</v>
      </c>
      <c r="X25" s="67">
        <v>3830</v>
      </c>
      <c r="Y25" s="68">
        <v>4</v>
      </c>
      <c r="Z25" s="68">
        <v>8.08</v>
      </c>
      <c r="AA25" s="62">
        <f t="shared" si="31"/>
        <v>153.20000000000002</v>
      </c>
      <c r="AB25" s="63">
        <f t="shared" si="32"/>
        <v>309.464</v>
      </c>
      <c r="AC25" s="69">
        <v>3830</v>
      </c>
      <c r="AD25" s="70">
        <v>3.9</v>
      </c>
      <c r="AE25" s="70">
        <v>7.94</v>
      </c>
      <c r="AF25" s="62">
        <f t="shared" si="18"/>
        <v>149.37</v>
      </c>
      <c r="AG25" s="63">
        <f t="shared" si="19"/>
        <v>304.10199999999998</v>
      </c>
      <c r="AH25" s="206">
        <v>6966.8</v>
      </c>
      <c r="AI25" s="66">
        <v>3.84</v>
      </c>
      <c r="AJ25" s="66">
        <v>8.0299999999999994</v>
      </c>
      <c r="AK25" s="62">
        <f t="shared" si="20"/>
        <v>267.52511999999996</v>
      </c>
      <c r="AL25" s="72">
        <f t="shared" si="21"/>
        <v>559.43403999999998</v>
      </c>
      <c r="AM25" s="73">
        <f t="shared" si="22"/>
        <v>8.500000000003638E-2</v>
      </c>
      <c r="AN25" s="74">
        <f t="shared" si="23"/>
        <v>-1.8400799999999435</v>
      </c>
      <c r="AO25" s="74">
        <f t="shared" si="24"/>
        <v>3.643956999999773</v>
      </c>
      <c r="AP25" s="75">
        <f t="shared" si="25"/>
        <v>3.2037340069643915E-3</v>
      </c>
      <c r="AQ25" s="76">
        <f t="shared" si="26"/>
        <v>207.11435310562786</v>
      </c>
      <c r="AR25" s="90">
        <f t="shared" si="27"/>
        <v>8.5000000000945874E-2</v>
      </c>
    </row>
    <row r="26" spans="1:49" x14ac:dyDescent="0.25">
      <c r="A26" t="str">
        <f t="shared" si="10"/>
        <v>46215M</v>
      </c>
      <c r="B26" s="51">
        <f t="shared" si="28"/>
        <v>46215</v>
      </c>
      <c r="C26" s="52" t="s">
        <v>87</v>
      </c>
      <c r="D26" s="79">
        <v>6966.8</v>
      </c>
      <c r="E26" s="62">
        <v>3.84</v>
      </c>
      <c r="F26" s="62">
        <v>8.0299999999999994</v>
      </c>
      <c r="G26" s="62">
        <f t="shared" si="11"/>
        <v>267.52511999999996</v>
      </c>
      <c r="H26" s="63">
        <f t="shared" si="12"/>
        <v>559.43403999999998</v>
      </c>
      <c r="I26" s="118">
        <v>2988.6000000000004</v>
      </c>
      <c r="J26" s="119">
        <v>3078.2580000000003</v>
      </c>
      <c r="K26" s="120">
        <v>3.9282707622298068</v>
      </c>
      <c r="L26" s="121">
        <v>8.1038078029846758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3078.2580000000003</v>
      </c>
      <c r="S26" s="62">
        <f t="shared" si="14"/>
        <v>120.92230900000001</v>
      </c>
      <c r="T26" s="63">
        <f t="shared" si="15"/>
        <v>249.45611200000005</v>
      </c>
      <c r="U26" s="64" t="s">
        <v>176</v>
      </c>
      <c r="V26" s="65" t="s">
        <v>461</v>
      </c>
      <c r="W26" s="66" t="s">
        <v>184</v>
      </c>
      <c r="X26" s="67">
        <v>9250</v>
      </c>
      <c r="Y26" s="68">
        <v>3.96</v>
      </c>
      <c r="Z26" s="68">
        <v>8.0299999999999994</v>
      </c>
      <c r="AA26" s="62">
        <f t="shared" si="31"/>
        <v>366.29999999999995</v>
      </c>
      <c r="AB26" s="63">
        <f t="shared" si="32"/>
        <v>742.77499999999998</v>
      </c>
      <c r="AC26" s="69">
        <v>9240</v>
      </c>
      <c r="AD26" s="70">
        <v>3.8987012987012988</v>
      </c>
      <c r="AE26" s="70">
        <v>7.9787012987012975</v>
      </c>
      <c r="AF26" s="62">
        <f t="shared" si="18"/>
        <v>360.24</v>
      </c>
      <c r="AG26" s="63">
        <f t="shared" si="19"/>
        <v>737.23199999999986</v>
      </c>
      <c r="AH26" s="206">
        <v>795</v>
      </c>
      <c r="AI26" s="66">
        <v>3.86</v>
      </c>
      <c r="AJ26" s="66">
        <v>8.0500000000000007</v>
      </c>
      <c r="AK26" s="62">
        <f t="shared" si="20"/>
        <v>30.686999999999998</v>
      </c>
      <c r="AL26" s="72">
        <f t="shared" si="21"/>
        <v>63.997500000000002</v>
      </c>
      <c r="AM26" s="73">
        <f t="shared" si="22"/>
        <v>10.058000000000902</v>
      </c>
      <c r="AN26" s="74">
        <f t="shared" si="23"/>
        <v>-2.4795710000000639</v>
      </c>
      <c r="AO26" s="74">
        <f t="shared" si="24"/>
        <v>7.6606520000001979</v>
      </c>
      <c r="AP26" s="75">
        <f t="shared" si="25"/>
        <v>1.3988614633680651E-2</v>
      </c>
      <c r="AQ26" s="76">
        <f t="shared" si="26"/>
        <v>1102.7825082878242</v>
      </c>
      <c r="AR26" s="90">
        <f t="shared" si="27"/>
        <v>5.8000000000902219E-2</v>
      </c>
    </row>
    <row r="27" spans="1:49" x14ac:dyDescent="0.25">
      <c r="A27" t="str">
        <f t="shared" si="10"/>
        <v>46215E</v>
      </c>
      <c r="B27" s="51">
        <f t="shared" si="28"/>
        <v>46215</v>
      </c>
      <c r="C27" s="52" t="s">
        <v>88</v>
      </c>
      <c r="D27" s="79">
        <v>795</v>
      </c>
      <c r="E27" s="62">
        <v>3.86</v>
      </c>
      <c r="F27" s="62">
        <v>8.0500000000000007</v>
      </c>
      <c r="G27" s="62">
        <f t="shared" si="11"/>
        <v>30.686999999999998</v>
      </c>
      <c r="H27" s="63">
        <f t="shared" si="12"/>
        <v>63.997500000000002</v>
      </c>
      <c r="I27" s="118">
        <v>4620.1999999999989</v>
      </c>
      <c r="J27" s="119">
        <v>4758.8059999999987</v>
      </c>
      <c r="K27" s="120">
        <v>3.8275918791394319</v>
      </c>
      <c r="L27" s="121">
        <v>8.1422968702653566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4758.8059999999987</v>
      </c>
      <c r="S27" s="62">
        <f t="shared" si="14"/>
        <v>182.14767199999997</v>
      </c>
      <c r="T27" s="63">
        <f t="shared" si="15"/>
        <v>387.47611199999994</v>
      </c>
      <c r="U27" s="64" t="s">
        <v>179</v>
      </c>
      <c r="V27" s="65" t="s">
        <v>462</v>
      </c>
      <c r="W27" s="66" t="s">
        <v>184</v>
      </c>
      <c r="X27" s="67">
        <v>5130</v>
      </c>
      <c r="Y27" s="68">
        <v>4</v>
      </c>
      <c r="Z27" s="68">
        <v>8.08</v>
      </c>
      <c r="AA27" s="62">
        <f t="shared" si="31"/>
        <v>205.20000000000002</v>
      </c>
      <c r="AB27" s="63">
        <f t="shared" si="32"/>
        <v>414.50399999999996</v>
      </c>
      <c r="AC27" s="69">
        <v>5120</v>
      </c>
      <c r="AD27" s="70">
        <v>3.85</v>
      </c>
      <c r="AE27" s="70">
        <v>8.0500000000000007</v>
      </c>
      <c r="AF27" s="62">
        <f t="shared" si="18"/>
        <v>197.12</v>
      </c>
      <c r="AG27" s="63">
        <f t="shared" si="19"/>
        <v>412.16</v>
      </c>
      <c r="AH27" s="206">
        <v>423.8</v>
      </c>
      <c r="AI27" s="66">
        <v>3.83</v>
      </c>
      <c r="AJ27" s="66">
        <v>8.1199999999999992</v>
      </c>
      <c r="AK27" s="62">
        <f t="shared" si="20"/>
        <v>16.231539999999999</v>
      </c>
      <c r="AL27" s="72">
        <f t="shared" si="21"/>
        <v>34.412559999999999</v>
      </c>
      <c r="AM27" s="73">
        <f t="shared" si="22"/>
        <v>10.005999999998664</v>
      </c>
      <c r="AN27" s="74">
        <f t="shared" si="23"/>
        <v>-0.51686800000004851</v>
      </c>
      <c r="AO27" s="74">
        <f t="shared" si="24"/>
        <v>4.9010519999999218</v>
      </c>
      <c r="AP27" s="75">
        <f t="shared" si="25"/>
        <v>7.6966308696124848E-3</v>
      </c>
      <c r="AQ27" s="76">
        <f t="shared" si="26"/>
        <v>1219.4495461244744</v>
      </c>
      <c r="AR27" s="90">
        <f t="shared" si="27"/>
        <v>5.9999999984938768E-3</v>
      </c>
    </row>
    <row r="28" spans="1:49" x14ac:dyDescent="0.25">
      <c r="A28" t="str">
        <f t="shared" si="10"/>
        <v>46216M</v>
      </c>
      <c r="B28" s="51">
        <f t="shared" si="28"/>
        <v>46216</v>
      </c>
      <c r="C28" s="52" t="s">
        <v>87</v>
      </c>
      <c r="D28" s="79">
        <v>423.8</v>
      </c>
      <c r="E28" s="62">
        <v>3.83</v>
      </c>
      <c r="F28" s="62">
        <v>8.1199999999999992</v>
      </c>
      <c r="G28" s="62">
        <f t="shared" si="11"/>
        <v>16.231539999999999</v>
      </c>
      <c r="H28" s="63">
        <f t="shared" si="12"/>
        <v>34.412559999999999</v>
      </c>
      <c r="I28" s="118">
        <v>4834.1000000000004</v>
      </c>
      <c r="J28" s="119">
        <v>4979.1230000000005</v>
      </c>
      <c r="K28" s="120">
        <v>3.6789081731863225</v>
      </c>
      <c r="L28" s="121">
        <v>8.0616143646180252</v>
      </c>
      <c r="M28" s="58" t="s">
        <v>183</v>
      </c>
      <c r="N28" s="58" t="s">
        <v>504</v>
      </c>
      <c r="O28" s="59">
        <v>2711</v>
      </c>
      <c r="P28" s="56">
        <v>3.85</v>
      </c>
      <c r="Q28" s="60">
        <v>8</v>
      </c>
      <c r="R28" s="61">
        <f t="shared" si="13"/>
        <v>7690.1230000000005</v>
      </c>
      <c r="S28" s="62">
        <f t="shared" si="14"/>
        <v>287.55086300000005</v>
      </c>
      <c r="T28" s="63">
        <f t="shared" si="15"/>
        <v>618.27769499999999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31"/>
        <v>0</v>
      </c>
      <c r="AB28" s="63">
        <f t="shared" si="32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206">
        <v>8113.9</v>
      </c>
      <c r="AI28" s="66">
        <v>3.74</v>
      </c>
      <c r="AJ28" s="66">
        <v>8.0399999999999991</v>
      </c>
      <c r="AK28" s="62">
        <f t="shared" si="20"/>
        <v>303.45985999999999</v>
      </c>
      <c r="AL28" s="72">
        <f t="shared" si="21"/>
        <v>652.35755999999981</v>
      </c>
      <c r="AM28" s="73">
        <f t="shared" si="22"/>
        <v>2.3000000001047738E-2</v>
      </c>
      <c r="AN28" s="74">
        <f t="shared" si="23"/>
        <v>0.32254300000005287</v>
      </c>
      <c r="AO28" s="74">
        <f t="shared" si="24"/>
        <v>0.3326950000001716</v>
      </c>
      <c r="AP28" s="75">
        <f t="shared" si="25"/>
        <v>7.2335763121328357E-4</v>
      </c>
      <c r="AQ28" s="76">
        <f t="shared" si="26"/>
        <v>254.63159980093252</v>
      </c>
      <c r="AR28" s="90">
        <f t="shared" si="27"/>
        <v>2.3000000001047738E-2</v>
      </c>
    </row>
    <row r="29" spans="1:49" x14ac:dyDescent="0.25">
      <c r="A29" t="str">
        <f t="shared" si="10"/>
        <v>46216E</v>
      </c>
      <c r="B29" s="51">
        <f t="shared" si="28"/>
        <v>46216</v>
      </c>
      <c r="C29" s="52" t="s">
        <v>88</v>
      </c>
      <c r="D29" s="79">
        <v>8113.9</v>
      </c>
      <c r="E29" s="62">
        <v>3.74</v>
      </c>
      <c r="F29" s="62">
        <v>8.0399999999999991</v>
      </c>
      <c r="G29" s="62">
        <f t="shared" si="11"/>
        <v>303.45985999999999</v>
      </c>
      <c r="H29" s="63">
        <f t="shared" si="12"/>
        <v>652.35755999999981</v>
      </c>
      <c r="I29" s="118">
        <v>5107.4000000000005</v>
      </c>
      <c r="J29" s="119">
        <v>5260.6220000000003</v>
      </c>
      <c r="K29" s="120">
        <v>3.8591573011708507</v>
      </c>
      <c r="L29" s="121">
        <v>8.0891921525629478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>+J29+O29</f>
        <v>5260.6220000000003</v>
      </c>
      <c r="S29" s="62">
        <f t="shared" si="14"/>
        <v>203.01567800000004</v>
      </c>
      <c r="T29" s="63">
        <f t="shared" si="15"/>
        <v>425.54182200000002</v>
      </c>
      <c r="U29" s="64" t="s">
        <v>176</v>
      </c>
      <c r="V29" s="65" t="s">
        <v>505</v>
      </c>
      <c r="W29" s="66" t="s">
        <v>184</v>
      </c>
      <c r="X29" s="67">
        <v>9250</v>
      </c>
      <c r="Y29" s="68">
        <v>4</v>
      </c>
      <c r="Z29" s="68">
        <v>8.0399999999999991</v>
      </c>
      <c r="AA29" s="62">
        <f t="shared" si="31"/>
        <v>370</v>
      </c>
      <c r="AB29" s="63">
        <f t="shared" si="32"/>
        <v>743.69999999999982</v>
      </c>
      <c r="AC29" s="69">
        <v>9270</v>
      </c>
      <c r="AD29" s="70">
        <v>3.95</v>
      </c>
      <c r="AE29" s="70">
        <v>7.9076483279395893</v>
      </c>
      <c r="AF29" s="62">
        <f t="shared" si="18"/>
        <v>366.16500000000002</v>
      </c>
      <c r="AG29" s="63">
        <f t="shared" si="19"/>
        <v>733.03899999999999</v>
      </c>
      <c r="AH29" s="206">
        <v>4124.5</v>
      </c>
      <c r="AI29" s="66">
        <v>3.78</v>
      </c>
      <c r="AJ29" s="66">
        <v>8.0500000000000007</v>
      </c>
      <c r="AK29" s="62">
        <f t="shared" si="20"/>
        <v>155.90610000000001</v>
      </c>
      <c r="AL29" s="72">
        <f t="shared" si="21"/>
        <v>332.02224999999999</v>
      </c>
      <c r="AM29" s="73">
        <f t="shared" si="22"/>
        <v>-19.977999999999156</v>
      </c>
      <c r="AN29" s="74">
        <f t="shared" si="23"/>
        <v>-15.595562000000001</v>
      </c>
      <c r="AO29" s="74">
        <f t="shared" si="24"/>
        <v>12.83813199999986</v>
      </c>
      <c r="AP29" s="75">
        <f t="shared" si="25"/>
        <v>-4.3869176646530207E-3</v>
      </c>
      <c r="AQ29" s="76">
        <f t="shared" si="26"/>
        <v>-3649.2688784109637</v>
      </c>
      <c r="AR29" s="90">
        <f t="shared" si="27"/>
        <v>2.2000000000844011E-2</v>
      </c>
    </row>
    <row r="30" spans="1:49" x14ac:dyDescent="0.25">
      <c r="A30" t="str">
        <f t="shared" si="10"/>
        <v>46217M</v>
      </c>
      <c r="B30" s="51">
        <f t="shared" si="28"/>
        <v>46217</v>
      </c>
      <c r="C30" s="52" t="s">
        <v>87</v>
      </c>
      <c r="D30" s="79">
        <v>4124.5</v>
      </c>
      <c r="E30" s="62">
        <v>3.78</v>
      </c>
      <c r="F30" s="62">
        <v>8.0500000000000007</v>
      </c>
      <c r="G30" s="62">
        <f t="shared" si="11"/>
        <v>155.90610000000001</v>
      </c>
      <c r="H30" s="63">
        <f t="shared" si="12"/>
        <v>332.02224999999999</v>
      </c>
      <c r="I30" s="118">
        <v>3428.6000000000004</v>
      </c>
      <c r="J30" s="119">
        <v>3531.4580000000005</v>
      </c>
      <c r="K30" s="120">
        <v>4.1550457912850733</v>
      </c>
      <c r="L30" s="121">
        <v>8.1229014758210312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3531.4580000000005</v>
      </c>
      <c r="S30" s="62">
        <f t="shared" si="14"/>
        <v>146.73369700000003</v>
      </c>
      <c r="T30" s="63">
        <f t="shared" si="15"/>
        <v>286.85685399999994</v>
      </c>
      <c r="U30" s="64" t="s">
        <v>179</v>
      </c>
      <c r="V30" s="65" t="s">
        <v>506</v>
      </c>
      <c r="W30" s="66" t="s">
        <v>184</v>
      </c>
      <c r="X30" s="67">
        <v>3830</v>
      </c>
      <c r="Y30" s="68">
        <v>4.2</v>
      </c>
      <c r="Z30" s="68">
        <v>8.1199999999999992</v>
      </c>
      <c r="AA30" s="62">
        <f t="shared" si="31"/>
        <v>160.86000000000001</v>
      </c>
      <c r="AB30" s="63">
        <f t="shared" si="32"/>
        <v>310.99599999999998</v>
      </c>
      <c r="AC30" s="224">
        <v>3830</v>
      </c>
      <c r="AD30" s="223">
        <v>4.2</v>
      </c>
      <c r="AE30" s="223">
        <v>8.1199999999999992</v>
      </c>
      <c r="AF30" s="62">
        <f t="shared" si="18"/>
        <v>160.86000000000001</v>
      </c>
      <c r="AG30" s="63">
        <f t="shared" si="19"/>
        <v>310.99599999999998</v>
      </c>
      <c r="AH30" s="206">
        <v>3825.9</v>
      </c>
      <c r="AI30" s="66">
        <v>3.95</v>
      </c>
      <c r="AJ30" s="66">
        <v>8.08</v>
      </c>
      <c r="AK30" s="62">
        <f t="shared" si="20"/>
        <v>151.12305000000001</v>
      </c>
      <c r="AL30" s="72">
        <f t="shared" si="21"/>
        <v>309.13272000000001</v>
      </c>
      <c r="AM30" s="73">
        <f t="shared" si="22"/>
        <v>5.8000000000447471E-2</v>
      </c>
      <c r="AN30" s="74">
        <f t="shared" si="23"/>
        <v>-9.3432529999999758</v>
      </c>
      <c r="AO30" s="74">
        <f t="shared" si="24"/>
        <v>-1.2496160000001169</v>
      </c>
      <c r="AP30" s="75">
        <f t="shared" si="25"/>
        <v>-2.4430580822320764E-2</v>
      </c>
      <c r="AQ30" s="76">
        <f t="shared" si="26"/>
        <v>-4863.9860232688343</v>
      </c>
      <c r="AR30" s="90">
        <f t="shared" si="27"/>
        <v>5.8000000000902219E-2</v>
      </c>
    </row>
    <row r="31" spans="1:49" x14ac:dyDescent="0.25">
      <c r="A31" t="str">
        <f t="shared" si="10"/>
        <v>46217E</v>
      </c>
      <c r="B31" s="51">
        <f t="shared" si="28"/>
        <v>46217</v>
      </c>
      <c r="C31" s="52" t="s">
        <v>88</v>
      </c>
      <c r="D31" s="79">
        <v>3825.9</v>
      </c>
      <c r="E31" s="62">
        <v>3.95</v>
      </c>
      <c r="F31" s="62">
        <v>8.08</v>
      </c>
      <c r="G31" s="62">
        <f t="shared" si="11"/>
        <v>151.12305000000001</v>
      </c>
      <c r="H31" s="63">
        <f t="shared" si="12"/>
        <v>309.13272000000001</v>
      </c>
      <c r="I31" s="118">
        <v>5081.8999999999996</v>
      </c>
      <c r="J31" s="119">
        <v>5234.357</v>
      </c>
      <c r="K31" s="120">
        <v>3.9030461048033214</v>
      </c>
      <c r="L31" s="121">
        <v>8.1060115311202505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5234.357</v>
      </c>
      <c r="S31" s="62">
        <f t="shared" si="14"/>
        <v>204.29936699999999</v>
      </c>
      <c r="T31" s="63">
        <f t="shared" si="15"/>
        <v>424.29758200000003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31"/>
        <v>0</v>
      </c>
      <c r="AB31" s="63">
        <f t="shared" si="32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206">
        <v>9060.2000000000007</v>
      </c>
      <c r="AI31" s="66">
        <v>3.92</v>
      </c>
      <c r="AJ31" s="66">
        <v>8.09</v>
      </c>
      <c r="AK31" s="62">
        <f t="shared" si="20"/>
        <v>355.15984000000003</v>
      </c>
      <c r="AL31" s="72">
        <f t="shared" si="21"/>
        <v>732.97018000000003</v>
      </c>
      <c r="AM31" s="73">
        <f t="shared" si="22"/>
        <v>5.6999999998879503E-2</v>
      </c>
      <c r="AN31" s="74">
        <f t="shared" si="23"/>
        <v>0.26257699999996476</v>
      </c>
      <c r="AO31" s="74">
        <f t="shared" si="24"/>
        <v>0.46012199999995573</v>
      </c>
      <c r="AP31" s="75">
        <f t="shared" si="25"/>
        <v>1.1497017304166401E-3</v>
      </c>
      <c r="AQ31" s="76">
        <f t="shared" si="26"/>
        <v>263.97923720159071</v>
      </c>
      <c r="AR31" s="90">
        <f t="shared" si="27"/>
        <v>5.6999999998879503E-2</v>
      </c>
      <c r="AS31" s="90">
        <f>SUM(J18:J31)</f>
        <v>69358.758000000002</v>
      </c>
      <c r="AT31" s="83">
        <f>SUM(AM18:AM31)</f>
        <v>-58.94200000000211</v>
      </c>
      <c r="AU31" s="83">
        <f>SUM(AN18:AN31)</f>
        <v>-34.132696000000216</v>
      </c>
      <c r="AV31" s="83">
        <f>SUM(AO18:AO31)</f>
        <v>44.784488999999986</v>
      </c>
      <c r="AW31" s="83">
        <f>-SUM(AQ18:AQ31)</f>
        <v>2989.3155641603885</v>
      </c>
    </row>
    <row r="32" spans="1:49" x14ac:dyDescent="0.25">
      <c r="A32" t="str">
        <f t="shared" si="10"/>
        <v>46218M</v>
      </c>
      <c r="B32" s="51">
        <f t="shared" si="28"/>
        <v>46218</v>
      </c>
      <c r="C32" s="52" t="s">
        <v>87</v>
      </c>
      <c r="D32" s="79">
        <v>9060.2000000000007</v>
      </c>
      <c r="E32" s="62">
        <v>3.92</v>
      </c>
      <c r="F32" s="62">
        <v>8.09</v>
      </c>
      <c r="G32" s="62">
        <f t="shared" si="11"/>
        <v>355.15984000000003</v>
      </c>
      <c r="H32" s="63">
        <f t="shared" si="12"/>
        <v>732.97018000000003</v>
      </c>
      <c r="I32" s="118">
        <v>3549.5999999999995</v>
      </c>
      <c r="J32" s="119">
        <v>3656.0879999999997</v>
      </c>
      <c r="K32" s="120">
        <v>4.0796455938697322</v>
      </c>
      <c r="L32" s="121">
        <v>8.112384494027495</v>
      </c>
      <c r="M32" s="58" t="s">
        <v>557</v>
      </c>
      <c r="N32" s="58" t="s">
        <v>558</v>
      </c>
      <c r="O32" s="59">
        <v>3830</v>
      </c>
      <c r="P32" s="56">
        <v>4.2</v>
      </c>
      <c r="Q32" s="60">
        <v>8.1199999999999992</v>
      </c>
      <c r="R32" s="61">
        <f t="shared" si="13"/>
        <v>7486.0879999999997</v>
      </c>
      <c r="S32" s="62">
        <f t="shared" si="14"/>
        <v>310.01543300000003</v>
      </c>
      <c r="T32" s="63">
        <f t="shared" si="15"/>
        <v>607.59191599999997</v>
      </c>
      <c r="U32" s="64" t="s">
        <v>176</v>
      </c>
      <c r="V32" s="65" t="s">
        <v>560</v>
      </c>
      <c r="W32" s="66" t="s">
        <v>184</v>
      </c>
      <c r="X32" s="67">
        <v>9250</v>
      </c>
      <c r="Y32" s="68">
        <v>3.98</v>
      </c>
      <c r="Z32" s="68">
        <v>8.08</v>
      </c>
      <c r="AA32" s="62">
        <f t="shared" si="31"/>
        <v>368.15000000000003</v>
      </c>
      <c r="AB32" s="63">
        <f t="shared" si="32"/>
        <v>747.4</v>
      </c>
      <c r="AC32" s="69">
        <v>9240</v>
      </c>
      <c r="AD32" s="70">
        <v>3.9337121212121211</v>
      </c>
      <c r="AE32" s="70">
        <v>8.0667424242424239</v>
      </c>
      <c r="AF32" s="62">
        <f t="shared" si="18"/>
        <v>363.47500000000002</v>
      </c>
      <c r="AG32" s="63">
        <f t="shared" si="19"/>
        <v>745.36699999999996</v>
      </c>
      <c r="AH32" s="66">
        <v>7296.2</v>
      </c>
      <c r="AI32" s="66">
        <v>4.0199999999999996</v>
      </c>
      <c r="AJ32" s="66">
        <v>8.1</v>
      </c>
      <c r="AK32" s="62">
        <f t="shared" si="20"/>
        <v>293.30723999999992</v>
      </c>
      <c r="AL32" s="72">
        <f t="shared" si="21"/>
        <v>590.99220000000003</v>
      </c>
      <c r="AM32" s="73">
        <f t="shared" si="22"/>
        <v>10.088000000000648</v>
      </c>
      <c r="AN32" s="74">
        <f t="shared" si="23"/>
        <v>8.3930330000001163</v>
      </c>
      <c r="AO32" s="74">
        <f t="shared" si="24"/>
        <v>4.2028960000001234</v>
      </c>
      <c r="AP32" s="75">
        <f t="shared" si="25"/>
        <v>1.3726926897138702E-2</v>
      </c>
      <c r="AQ32" s="76">
        <f t="shared" si="26"/>
        <v>5291.8554553965168</v>
      </c>
      <c r="AR32" s="90">
        <f t="shared" si="27"/>
        <v>8.7999999999738066E-2</v>
      </c>
    </row>
    <row r="33" spans="1:49" x14ac:dyDescent="0.25">
      <c r="A33" t="str">
        <f t="shared" si="10"/>
        <v>46218E</v>
      </c>
      <c r="B33" s="51">
        <f t="shared" si="28"/>
        <v>46218</v>
      </c>
      <c r="C33" s="52" t="s">
        <v>88</v>
      </c>
      <c r="D33" s="79">
        <v>7296.2</v>
      </c>
      <c r="E33" s="62">
        <v>4.0199999999999996</v>
      </c>
      <c r="F33" s="62">
        <v>8.1</v>
      </c>
      <c r="G33" s="62">
        <f t="shared" si="11"/>
        <v>293.30723999999992</v>
      </c>
      <c r="H33" s="63">
        <f t="shared" si="12"/>
        <v>590.99220000000003</v>
      </c>
      <c r="I33" s="118">
        <v>9225.7000000000007</v>
      </c>
      <c r="J33" s="119">
        <v>9502.4710000000014</v>
      </c>
      <c r="K33" s="120">
        <v>3.6860856086801017</v>
      </c>
      <c r="L33" s="121">
        <v>8.0112295002005265</v>
      </c>
      <c r="M33" s="58" t="s">
        <v>183</v>
      </c>
      <c r="N33" s="58" t="s">
        <v>559</v>
      </c>
      <c r="O33" s="59">
        <v>3080</v>
      </c>
      <c r="P33" s="56">
        <v>4</v>
      </c>
      <c r="Q33" s="60">
        <v>8.1</v>
      </c>
      <c r="R33" s="61">
        <f t="shared" si="13"/>
        <v>12582.471000000001</v>
      </c>
      <c r="S33" s="62">
        <f t="shared" si="14"/>
        <v>473.46921600000019</v>
      </c>
      <c r="T33" s="63">
        <f t="shared" si="15"/>
        <v>1010.7447600000002</v>
      </c>
      <c r="U33" s="64" t="s">
        <v>207</v>
      </c>
      <c r="V33" s="65" t="s">
        <v>561</v>
      </c>
      <c r="W33" s="66" t="s">
        <v>184</v>
      </c>
      <c r="X33" s="67">
        <v>6280</v>
      </c>
      <c r="Y33" s="68">
        <v>3.93</v>
      </c>
      <c r="Z33" s="68">
        <v>8.0299999999999994</v>
      </c>
      <c r="AA33" s="62">
        <f t="shared" si="31"/>
        <v>246.804</v>
      </c>
      <c r="AB33" s="63">
        <f t="shared" si="32"/>
        <v>504.28399999999999</v>
      </c>
      <c r="AC33" s="69">
        <v>6310</v>
      </c>
      <c r="AD33" s="70">
        <v>3.9005546751188587</v>
      </c>
      <c r="AE33" s="70">
        <v>7.940110935023772</v>
      </c>
      <c r="AF33" s="62">
        <f t="shared" si="18"/>
        <v>246.12499999999997</v>
      </c>
      <c r="AG33" s="63">
        <f t="shared" si="19"/>
        <v>501.02100000000007</v>
      </c>
      <c r="AH33" s="66">
        <v>13598.6</v>
      </c>
      <c r="AI33" s="66">
        <v>3.85</v>
      </c>
      <c r="AJ33" s="66">
        <v>8.0500000000000007</v>
      </c>
      <c r="AK33" s="62">
        <f t="shared" si="20"/>
        <v>523.54610000000002</v>
      </c>
      <c r="AL33" s="72">
        <f t="shared" si="21"/>
        <v>1094.6873000000001</v>
      </c>
      <c r="AM33" s="73">
        <f t="shared" si="22"/>
        <v>-29.928999999998268</v>
      </c>
      <c r="AN33" s="74">
        <f t="shared" si="23"/>
        <v>-2.8946439999999711</v>
      </c>
      <c r="AO33" s="74">
        <f t="shared" si="24"/>
        <v>6.0286599999999453</v>
      </c>
      <c r="AP33" s="75">
        <f t="shared" si="25"/>
        <v>2.1115661560108991E-3</v>
      </c>
      <c r="AQ33" s="76">
        <f t="shared" si="26"/>
        <v>414.5593474720622</v>
      </c>
      <c r="AR33" s="90">
        <f t="shared" si="27"/>
        <v>7.1000000003550667E-2</v>
      </c>
    </row>
    <row r="34" spans="1:49" x14ac:dyDescent="0.25">
      <c r="A34" t="str">
        <f t="shared" si="10"/>
        <v>46219M</v>
      </c>
      <c r="B34" s="51">
        <f t="shared" si="28"/>
        <v>46219</v>
      </c>
      <c r="C34" s="52" t="s">
        <v>87</v>
      </c>
      <c r="D34" s="79">
        <v>13598.6</v>
      </c>
      <c r="E34" s="62">
        <v>3.85</v>
      </c>
      <c r="F34" s="62">
        <v>8.0500000000000007</v>
      </c>
      <c r="G34" s="62">
        <f t="shared" si="11"/>
        <v>523.54610000000002</v>
      </c>
      <c r="H34" s="63">
        <f t="shared" si="12"/>
        <v>1094.6873000000001</v>
      </c>
      <c r="I34" s="118">
        <v>4137.7000000000007</v>
      </c>
      <c r="J34" s="119">
        <v>4261.831000000001</v>
      </c>
      <c r="K34" s="120">
        <v>4.1871812842883722</v>
      </c>
      <c r="L34" s="121">
        <v>8.1347874422988582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4261.831000000001</v>
      </c>
      <c r="S34" s="62">
        <f t="shared" si="14"/>
        <v>178.45059000000003</v>
      </c>
      <c r="T34" s="63">
        <f t="shared" si="15"/>
        <v>346.6908929999999</v>
      </c>
      <c r="U34" s="64" t="s">
        <v>380</v>
      </c>
      <c r="V34" s="65" t="s">
        <v>562</v>
      </c>
      <c r="W34" s="66" t="s">
        <v>184</v>
      </c>
      <c r="X34" s="67">
        <v>13050</v>
      </c>
      <c r="Y34" s="68">
        <v>4.0599999999999996</v>
      </c>
      <c r="Z34" s="68">
        <v>8.06</v>
      </c>
      <c r="AA34" s="62">
        <f t="shared" si="31"/>
        <v>529.82999999999993</v>
      </c>
      <c r="AB34" s="63">
        <f t="shared" si="32"/>
        <v>1051.8300000000002</v>
      </c>
      <c r="AC34" s="69">
        <v>12870</v>
      </c>
      <c r="AD34" s="70">
        <v>4.0229603729603731</v>
      </c>
      <c r="AE34" s="70">
        <v>8.0264102564102568</v>
      </c>
      <c r="AF34" s="62">
        <f t="shared" si="18"/>
        <v>517.75500000000011</v>
      </c>
      <c r="AG34" s="63">
        <f t="shared" si="19"/>
        <v>1032.999</v>
      </c>
      <c r="AH34" s="66">
        <v>4810.3999999999996</v>
      </c>
      <c r="AI34" s="66">
        <v>3.93</v>
      </c>
      <c r="AJ34" s="66">
        <v>8.06</v>
      </c>
      <c r="AK34" s="62">
        <f t="shared" si="20"/>
        <v>189.04872</v>
      </c>
      <c r="AL34" s="72">
        <f t="shared" si="21"/>
        <v>387.71823999999998</v>
      </c>
      <c r="AM34" s="73">
        <f t="shared" si="22"/>
        <v>180.03100000000086</v>
      </c>
      <c r="AN34" s="74">
        <f t="shared" si="23"/>
        <v>-4.8070300000000543</v>
      </c>
      <c r="AO34" s="74">
        <f t="shared" si="24"/>
        <v>20.660953000000006</v>
      </c>
      <c r="AP34" s="75">
        <f t="shared" si="25"/>
        <v>3.0189812675682215E-2</v>
      </c>
      <c r="AQ34" s="76">
        <f t="shared" si="26"/>
        <v>3877.8371224932816</v>
      </c>
      <c r="AR34" s="90">
        <f t="shared" si="27"/>
        <v>3.0999999999039574E-2</v>
      </c>
    </row>
    <row r="35" spans="1:49" x14ac:dyDescent="0.25">
      <c r="A35" t="str">
        <f t="shared" si="10"/>
        <v>46219E</v>
      </c>
      <c r="B35" s="51">
        <f t="shared" si="28"/>
        <v>46219</v>
      </c>
      <c r="C35" s="52" t="s">
        <v>88</v>
      </c>
      <c r="D35" s="79">
        <v>4810.3999999999996</v>
      </c>
      <c r="E35" s="62">
        <v>3.93</v>
      </c>
      <c r="F35" s="62">
        <v>8.06</v>
      </c>
      <c r="G35" s="62">
        <f t="shared" si="11"/>
        <v>189.04872</v>
      </c>
      <c r="H35" s="63">
        <f t="shared" si="12"/>
        <v>387.71823999999998</v>
      </c>
      <c r="I35" s="118">
        <v>4277.3999999999996</v>
      </c>
      <c r="J35" s="119">
        <v>4405.7219999999998</v>
      </c>
      <c r="K35" s="120">
        <v>3.8831533174358244</v>
      </c>
      <c r="L35" s="121">
        <v>8.0910342731565876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4405.7219999999998</v>
      </c>
      <c r="S35" s="62">
        <f t="shared" si="14"/>
        <v>171.08093999999994</v>
      </c>
      <c r="T35" s="63">
        <f t="shared" si="15"/>
        <v>356.46847699999984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1"/>
        <v>0</v>
      </c>
      <c r="AB35" s="63">
        <f t="shared" si="32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9380</v>
      </c>
      <c r="AI35" s="66">
        <v>3.9</v>
      </c>
      <c r="AJ35" s="66">
        <v>8.07</v>
      </c>
      <c r="AK35" s="62">
        <f t="shared" si="20"/>
        <v>365.82</v>
      </c>
      <c r="AL35" s="72">
        <f t="shared" si="21"/>
        <v>756.96600000000012</v>
      </c>
      <c r="AM35" s="73">
        <f t="shared" si="22"/>
        <v>-163.87800000000061</v>
      </c>
      <c r="AN35" s="74">
        <f t="shared" si="23"/>
        <v>-5.6903400000000488</v>
      </c>
      <c r="AO35" s="74">
        <f t="shared" si="24"/>
        <v>-12.779283000000305</v>
      </c>
      <c r="AP35" s="75">
        <f t="shared" si="25"/>
        <v>-3.5010223506702055E-2</v>
      </c>
      <c r="AQ35" s="76">
        <f t="shared" si="26"/>
        <v>-6561.6750610198023</v>
      </c>
      <c r="AR35" s="90">
        <f t="shared" si="27"/>
        <v>-163.87800000000061</v>
      </c>
    </row>
    <row r="36" spans="1:49" x14ac:dyDescent="0.25">
      <c r="A36" t="str">
        <f t="shared" si="10"/>
        <v>46220M</v>
      </c>
      <c r="B36" s="51">
        <f t="shared" si="28"/>
        <v>46220</v>
      </c>
      <c r="C36" s="52" t="s">
        <v>87</v>
      </c>
      <c r="D36" s="79">
        <v>9380</v>
      </c>
      <c r="E36" s="62">
        <v>3.9</v>
      </c>
      <c r="F36" s="62">
        <v>8.07</v>
      </c>
      <c r="G36" s="62">
        <f t="shared" si="11"/>
        <v>365.82</v>
      </c>
      <c r="H36" s="63">
        <f t="shared" si="12"/>
        <v>756.96600000000012</v>
      </c>
      <c r="I36" s="118">
        <v>2831.7</v>
      </c>
      <c r="J36" s="119">
        <v>2916.6509999999998</v>
      </c>
      <c r="K36" s="120">
        <v>4.1110428364586635</v>
      </c>
      <c r="L36" s="121">
        <v>8.1091676378147408</v>
      </c>
      <c r="M36" s="58" t="s">
        <v>557</v>
      </c>
      <c r="N36" s="58" t="s">
        <v>662</v>
      </c>
      <c r="O36" s="59">
        <v>3000</v>
      </c>
      <c r="P36" s="56">
        <v>3.9</v>
      </c>
      <c r="Q36" s="60">
        <v>8.06</v>
      </c>
      <c r="R36" s="61">
        <f t="shared" si="13"/>
        <v>5916.6509999999998</v>
      </c>
      <c r="S36" s="62">
        <f t="shared" si="14"/>
        <v>236.90477199999998</v>
      </c>
      <c r="T36" s="63">
        <f t="shared" si="15"/>
        <v>478.31611900000001</v>
      </c>
      <c r="U36" s="64" t="s">
        <v>176</v>
      </c>
      <c r="V36" s="85" t="s">
        <v>664</v>
      </c>
      <c r="W36" s="66" t="s">
        <v>184</v>
      </c>
      <c r="X36" s="67">
        <v>9250</v>
      </c>
      <c r="Y36" s="68">
        <v>4.0999999999999996</v>
      </c>
      <c r="Z36" s="68">
        <v>8.0399999999999991</v>
      </c>
      <c r="AA36" s="62">
        <f t="shared" ref="AA36" si="33">X36*Y36%</f>
        <v>379.24999999999994</v>
      </c>
      <c r="AB36" s="63">
        <f t="shared" ref="AB36" si="34">X36*Z36%</f>
        <v>743.69999999999982</v>
      </c>
      <c r="AC36" s="69">
        <v>9260</v>
      </c>
      <c r="AD36" s="70">
        <v>4</v>
      </c>
      <c r="AE36" s="70">
        <v>7.9600000000000009</v>
      </c>
      <c r="AF36" s="62">
        <f t="shared" si="18"/>
        <v>370.40000000000003</v>
      </c>
      <c r="AG36" s="63">
        <f t="shared" si="19"/>
        <v>737.096</v>
      </c>
      <c r="AH36" s="66">
        <v>6046.6</v>
      </c>
      <c r="AI36" s="66">
        <v>3.94</v>
      </c>
      <c r="AJ36" s="66">
        <v>8.07</v>
      </c>
      <c r="AK36" s="62">
        <f t="shared" si="20"/>
        <v>238.23604</v>
      </c>
      <c r="AL36" s="72">
        <f t="shared" si="21"/>
        <v>487.96062000000006</v>
      </c>
      <c r="AM36" s="73">
        <f t="shared" si="22"/>
        <v>-9.9490000000005239</v>
      </c>
      <c r="AN36" s="74">
        <f t="shared" si="23"/>
        <v>-5.9112680000000069</v>
      </c>
      <c r="AO36" s="74">
        <f t="shared" si="24"/>
        <v>10.225499000000127</v>
      </c>
      <c r="AP36" s="75">
        <f t="shared" si="25"/>
        <v>6.0320259856617093E-3</v>
      </c>
      <c r="AQ36" s="76">
        <f t="shared" si="26"/>
        <v>221.8892532378436</v>
      </c>
      <c r="AR36" s="90">
        <f>(D36+J36+O36)-(X36+AH36)</f>
        <v>5.0999999999476131E-2</v>
      </c>
    </row>
    <row r="37" spans="1:49" x14ac:dyDescent="0.25">
      <c r="A37" t="str">
        <f t="shared" si="10"/>
        <v>46220E</v>
      </c>
      <c r="B37" s="51">
        <f t="shared" si="28"/>
        <v>46220</v>
      </c>
      <c r="C37" s="52" t="s">
        <v>88</v>
      </c>
      <c r="D37" s="79">
        <v>6046.6</v>
      </c>
      <c r="E37" s="62">
        <v>3.94</v>
      </c>
      <c r="F37" s="62">
        <v>8.07</v>
      </c>
      <c r="G37" s="62">
        <f t="shared" si="11"/>
        <v>238.23604</v>
      </c>
      <c r="H37" s="63">
        <f t="shared" si="12"/>
        <v>487.96062000000006</v>
      </c>
      <c r="I37" s="118">
        <v>6988.4999999999991</v>
      </c>
      <c r="J37" s="119">
        <v>7198.1549999999988</v>
      </c>
      <c r="K37" s="120">
        <v>3.6341303570150965</v>
      </c>
      <c r="L37" s="121">
        <v>8.0630292623595903</v>
      </c>
      <c r="M37" s="58" t="s">
        <v>183</v>
      </c>
      <c r="N37" s="58" t="s">
        <v>663</v>
      </c>
      <c r="O37" s="59">
        <v>2715</v>
      </c>
      <c r="P37" s="56">
        <v>3.9</v>
      </c>
      <c r="Q37" s="60">
        <v>7.95</v>
      </c>
      <c r="R37" s="61">
        <f t="shared" ref="R37:R49" si="35">+J37+O37</f>
        <v>9913.1549999999988</v>
      </c>
      <c r="S37" s="62">
        <f t="shared" ref="S37:S49" si="36">+J37*K37%+O37*P37%</f>
        <v>367.47533599999997</v>
      </c>
      <c r="T37" s="63">
        <f t="shared" ref="T37:T49" si="37">+J37*L37%+O37*Q37%</f>
        <v>796.2318439999998</v>
      </c>
      <c r="U37" s="64" t="s">
        <v>253</v>
      </c>
      <c r="V37" s="65" t="s">
        <v>665</v>
      </c>
      <c r="W37" s="66" t="s">
        <v>184</v>
      </c>
      <c r="X37" s="67">
        <v>10110</v>
      </c>
      <c r="Y37" s="68">
        <v>3.86</v>
      </c>
      <c r="Z37" s="68">
        <v>7.95</v>
      </c>
      <c r="AA37" s="62">
        <f t="shared" ref="AA37:AA50" si="38">X37*Y37%</f>
        <v>390.24599999999998</v>
      </c>
      <c r="AB37" s="63">
        <f t="shared" ref="AB37:AB50" si="39">X37*Z37%</f>
        <v>803.745</v>
      </c>
      <c r="AC37" s="69">
        <v>10150</v>
      </c>
      <c r="AD37" s="70">
        <v>3.8173399014778329</v>
      </c>
      <c r="AE37" s="70">
        <v>7.8427783251231515</v>
      </c>
      <c r="AF37" s="62">
        <f t="shared" si="18"/>
        <v>387.46000000000004</v>
      </c>
      <c r="AG37" s="63">
        <f t="shared" si="19"/>
        <v>796.0419999999998</v>
      </c>
      <c r="AH37" s="66">
        <v>5849.7</v>
      </c>
      <c r="AI37" s="66">
        <v>3.79</v>
      </c>
      <c r="AJ37" s="66">
        <v>8.0399999999999991</v>
      </c>
      <c r="AK37" s="62">
        <f t="shared" si="20"/>
        <v>221.70363</v>
      </c>
      <c r="AL37" s="72">
        <f t="shared" si="21"/>
        <v>470.31587999999988</v>
      </c>
      <c r="AM37" s="73">
        <f t="shared" si="22"/>
        <v>-39.945000000000618</v>
      </c>
      <c r="AN37" s="74">
        <f t="shared" si="23"/>
        <v>-3.4522540000000674</v>
      </c>
      <c r="AO37" s="74">
        <f t="shared" si="24"/>
        <v>17.834584000000063</v>
      </c>
      <c r="AP37" s="75">
        <f t="shared" si="25"/>
        <v>1.2359062698229633E-2</v>
      </c>
      <c r="AQ37" s="76">
        <f t="shared" si="26"/>
        <v>3682.3787298908742</v>
      </c>
      <c r="AR37" s="90">
        <f>(D37+J37+O37)-(X37+AH37)</f>
        <v>5.4999999998472049E-2</v>
      </c>
    </row>
    <row r="38" spans="1:49" x14ac:dyDescent="0.25">
      <c r="A38" t="str">
        <f t="shared" si="10"/>
        <v>46221M</v>
      </c>
      <c r="B38" s="51">
        <f t="shared" si="28"/>
        <v>46221</v>
      </c>
      <c r="C38" s="52" t="s">
        <v>87</v>
      </c>
      <c r="D38" s="79">
        <v>5849.7</v>
      </c>
      <c r="E38" s="62">
        <v>3.79</v>
      </c>
      <c r="F38" s="62">
        <v>8.0399999999999991</v>
      </c>
      <c r="G38" s="62">
        <f t="shared" si="11"/>
        <v>221.70363</v>
      </c>
      <c r="H38" s="63">
        <f t="shared" si="12"/>
        <v>470.31587999999988</v>
      </c>
      <c r="I38" s="118">
        <v>3000.5</v>
      </c>
      <c r="J38" s="119">
        <v>3090.5149999999999</v>
      </c>
      <c r="K38" s="120">
        <v>4.0743542742876189</v>
      </c>
      <c r="L38" s="121">
        <v>8.0994234294284286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5"/>
        <v>3090.5149999999999</v>
      </c>
      <c r="S38" s="62">
        <f t="shared" si="36"/>
        <v>125.91853</v>
      </c>
      <c r="T38" s="63">
        <f t="shared" si="37"/>
        <v>250.313896</v>
      </c>
      <c r="U38" s="64" t="s">
        <v>176</v>
      </c>
      <c r="V38" s="65" t="s">
        <v>666</v>
      </c>
      <c r="W38" s="66" t="s">
        <v>251</v>
      </c>
      <c r="X38" s="67">
        <v>6250</v>
      </c>
      <c r="Y38" s="68">
        <v>4.2</v>
      </c>
      <c r="Z38" s="68">
        <v>8.06</v>
      </c>
      <c r="AA38" s="62">
        <f t="shared" si="38"/>
        <v>262.5</v>
      </c>
      <c r="AB38" s="63">
        <f t="shared" si="39"/>
        <v>503.75000000000006</v>
      </c>
      <c r="AC38" s="69">
        <v>6260</v>
      </c>
      <c r="AD38" s="70">
        <v>4.2</v>
      </c>
      <c r="AE38" s="70">
        <v>8</v>
      </c>
      <c r="AF38" s="62">
        <f t="shared" si="18"/>
        <v>262.92</v>
      </c>
      <c r="AG38" s="63">
        <f t="shared" si="19"/>
        <v>500.8</v>
      </c>
      <c r="AH38" s="66">
        <v>2690.2</v>
      </c>
      <c r="AI38" s="66">
        <v>3.88</v>
      </c>
      <c r="AJ38" s="66">
        <v>8.06</v>
      </c>
      <c r="AK38" s="62">
        <f t="shared" si="20"/>
        <v>104.37975999999999</v>
      </c>
      <c r="AL38" s="72">
        <f t="shared" si="21"/>
        <v>216.83011999999999</v>
      </c>
      <c r="AM38" s="73">
        <f t="shared" si="22"/>
        <v>-9.9849999999996726</v>
      </c>
      <c r="AN38" s="74">
        <f t="shared" si="23"/>
        <v>-19.677599999999998</v>
      </c>
      <c r="AO38" s="74">
        <f t="shared" si="24"/>
        <v>2.9996559999998738</v>
      </c>
      <c r="AP38" s="75">
        <f t="shared" si="25"/>
        <v>-4.4328831986427779E-2</v>
      </c>
      <c r="AQ38" s="76">
        <f t="shared" si="26"/>
        <v>-8557.3569680159781</v>
      </c>
      <c r="AR38" s="90">
        <f>(D38+J38+O38)-(X38+AH38)</f>
        <v>1.4999999999417923E-2</v>
      </c>
    </row>
    <row r="39" spans="1:49" x14ac:dyDescent="0.25">
      <c r="A39" t="str">
        <f t="shared" si="10"/>
        <v>46221E</v>
      </c>
      <c r="B39" s="51">
        <f t="shared" si="28"/>
        <v>46221</v>
      </c>
      <c r="C39" s="52" t="s">
        <v>88</v>
      </c>
      <c r="D39" s="79">
        <v>2690.2</v>
      </c>
      <c r="E39" s="62">
        <v>3.88</v>
      </c>
      <c r="F39" s="62">
        <v>8.06</v>
      </c>
      <c r="G39" s="62">
        <f t="shared" si="11"/>
        <v>104.37975999999999</v>
      </c>
      <c r="H39" s="63">
        <f t="shared" si="12"/>
        <v>216.83011999999999</v>
      </c>
      <c r="I39" s="118">
        <v>4504.8999999999996</v>
      </c>
      <c r="J39" s="119">
        <v>4640.0469999999996</v>
      </c>
      <c r="K39" s="120">
        <v>3.995498235254944</v>
      </c>
      <c r="L39" s="121">
        <v>8.0839996448311826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5"/>
        <v>4640.0469999999996</v>
      </c>
      <c r="S39" s="62">
        <f t="shared" si="36"/>
        <v>185.39299599999995</v>
      </c>
      <c r="T39" s="63">
        <f t="shared" si="37"/>
        <v>375.10138299999994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8"/>
        <v>0</v>
      </c>
      <c r="AB39" s="63">
        <f t="shared" si="39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7330.2</v>
      </c>
      <c r="AI39" s="66">
        <v>3.9</v>
      </c>
      <c r="AJ39" s="66">
        <v>8.07</v>
      </c>
      <c r="AK39" s="62">
        <f t="shared" si="20"/>
        <v>285.87779999999998</v>
      </c>
      <c r="AL39" s="72">
        <f t="shared" si="21"/>
        <v>591.54714000000001</v>
      </c>
      <c r="AM39" s="73">
        <f t="shared" si="22"/>
        <v>4.6999999999570719E-2</v>
      </c>
      <c r="AN39" s="74">
        <f t="shared" si="23"/>
        <v>3.8949559999999792</v>
      </c>
      <c r="AO39" s="74">
        <f t="shared" si="24"/>
        <v>0.38436299999989387</v>
      </c>
      <c r="AP39" s="75">
        <f t="shared" si="25"/>
        <v>7.63490083100347E-3</v>
      </c>
      <c r="AQ39" s="76">
        <f t="shared" si="26"/>
        <v>1986.7664215999523</v>
      </c>
      <c r="AR39" s="90">
        <f>(D39+J39+O39)-(X39+AH39)</f>
        <v>4.6999999999570719E-2</v>
      </c>
    </row>
    <row r="40" spans="1:49" x14ac:dyDescent="0.25">
      <c r="A40" t="str">
        <f t="shared" si="10"/>
        <v>46222M</v>
      </c>
      <c r="B40" s="51">
        <f t="shared" si="28"/>
        <v>46222</v>
      </c>
      <c r="C40" s="52" t="s">
        <v>87</v>
      </c>
      <c r="D40" s="79">
        <v>7330.2</v>
      </c>
      <c r="E40" s="62">
        <v>3.9</v>
      </c>
      <c r="F40" s="62">
        <v>8.07</v>
      </c>
      <c r="G40" s="62">
        <f t="shared" si="11"/>
        <v>285.87779999999998</v>
      </c>
      <c r="H40" s="63">
        <f t="shared" si="12"/>
        <v>591.54714000000001</v>
      </c>
      <c r="I40" s="118">
        <v>2944.4999999999995</v>
      </c>
      <c r="J40" s="119">
        <v>3032.8349999999996</v>
      </c>
      <c r="K40" s="120">
        <v>4.0433044659534731</v>
      </c>
      <c r="L40" s="121">
        <v>8.1973136355917813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35"/>
        <v>3032.8349999999996</v>
      </c>
      <c r="S40" s="62">
        <f t="shared" si="36"/>
        <v>122.62675300000001</v>
      </c>
      <c r="T40" s="63">
        <f t="shared" si="37"/>
        <v>248.61099699999997</v>
      </c>
      <c r="U40" s="64" t="s">
        <v>179</v>
      </c>
      <c r="V40" s="65" t="s">
        <v>730</v>
      </c>
      <c r="W40" s="66" t="s">
        <v>184</v>
      </c>
      <c r="X40" s="67">
        <v>8430</v>
      </c>
      <c r="Y40" s="68">
        <v>4.07</v>
      </c>
      <c r="Z40" s="68">
        <v>8.01</v>
      </c>
      <c r="AA40" s="62">
        <f t="shared" si="38"/>
        <v>343.101</v>
      </c>
      <c r="AB40" s="63">
        <f t="shared" si="39"/>
        <v>675.24300000000005</v>
      </c>
      <c r="AC40" s="69">
        <v>8530</v>
      </c>
      <c r="AD40" s="70">
        <v>4.0453692848769052</v>
      </c>
      <c r="AE40" s="70">
        <v>7.9690738569753821</v>
      </c>
      <c r="AF40" s="62">
        <f t="shared" si="18"/>
        <v>345.07000000000005</v>
      </c>
      <c r="AG40" s="63">
        <f t="shared" si="19"/>
        <v>679.76200000000017</v>
      </c>
      <c r="AH40" s="66">
        <v>1933</v>
      </c>
      <c r="AI40" s="66">
        <v>3.94</v>
      </c>
      <c r="AJ40" s="66">
        <v>8.1</v>
      </c>
      <c r="AK40" s="62">
        <f t="shared" si="20"/>
        <v>76.160199999999989</v>
      </c>
      <c r="AL40" s="72">
        <f t="shared" si="21"/>
        <v>156.57300000000001</v>
      </c>
      <c r="AM40" s="73">
        <f t="shared" si="22"/>
        <v>-99.965000000000146</v>
      </c>
      <c r="AN40" s="74">
        <f t="shared" si="23"/>
        <v>-12.725647000000052</v>
      </c>
      <c r="AO40" s="74">
        <f t="shared" si="24"/>
        <v>3.8231369999998321</v>
      </c>
      <c r="AP40" s="75">
        <f t="shared" si="25"/>
        <v>-2.3980616195417141E-2</v>
      </c>
      <c r="AQ40" s="76">
        <f t="shared" si="26"/>
        <v>-4970.0920618433083</v>
      </c>
      <c r="AR40" s="90">
        <f t="shared" ref="AR40:AR51" si="40">(D40+J40+O40)-(X40+AH40)</f>
        <v>3.4999999999854481E-2</v>
      </c>
    </row>
    <row r="41" spans="1:49" x14ac:dyDescent="0.25">
      <c r="A41" t="str">
        <f t="shared" si="10"/>
        <v>46222E</v>
      </c>
      <c r="B41" s="51">
        <f t="shared" si="28"/>
        <v>46222</v>
      </c>
      <c r="C41" s="52" t="s">
        <v>88</v>
      </c>
      <c r="D41" s="79">
        <v>1933</v>
      </c>
      <c r="E41" s="62">
        <v>3.94</v>
      </c>
      <c r="F41" s="62">
        <v>8.1</v>
      </c>
      <c r="G41" s="62">
        <f t="shared" si="11"/>
        <v>76.160199999999989</v>
      </c>
      <c r="H41" s="63">
        <f t="shared" si="12"/>
        <v>156.57300000000001</v>
      </c>
      <c r="I41" s="118">
        <v>4482.5</v>
      </c>
      <c r="J41" s="119">
        <v>4616.9750000000004</v>
      </c>
      <c r="K41" s="120">
        <v>3.951854991634133</v>
      </c>
      <c r="L41" s="121">
        <v>8.100443948689346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35"/>
        <v>4616.9750000000004</v>
      </c>
      <c r="S41" s="62">
        <f t="shared" si="36"/>
        <v>182.45615700000002</v>
      </c>
      <c r="T41" s="63">
        <f t="shared" si="37"/>
        <v>373.99547199999995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38"/>
        <v>0</v>
      </c>
      <c r="AB41" s="63">
        <f t="shared" si="39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>
        <v>6549.9</v>
      </c>
      <c r="AI41" s="66">
        <v>3.94</v>
      </c>
      <c r="AJ41" s="66">
        <v>8.1</v>
      </c>
      <c r="AK41" s="62">
        <f t="shared" si="20"/>
        <v>258.06605999999999</v>
      </c>
      <c r="AL41" s="72">
        <f t="shared" si="21"/>
        <v>530.54189999999994</v>
      </c>
      <c r="AM41" s="73">
        <f t="shared" si="22"/>
        <v>7.5000000000727596E-2</v>
      </c>
      <c r="AN41" s="74">
        <f t="shared" si="23"/>
        <v>0.55029700000000048</v>
      </c>
      <c r="AO41" s="74">
        <f t="shared" si="24"/>
        <v>2.6571999999987383E-2</v>
      </c>
      <c r="AP41" s="75">
        <f t="shared" si="25"/>
        <v>1.0366920859530594E-3</v>
      </c>
      <c r="AQ41" s="76">
        <f t="shared" si="26"/>
        <v>272.39369614286636</v>
      </c>
      <c r="AR41" s="90">
        <f t="shared" si="40"/>
        <v>7.5000000000727596E-2</v>
      </c>
      <c r="AS41" s="90">
        <f>SUM(J28:J41)</f>
        <v>66326.850000000006</v>
      </c>
      <c r="AT41" s="83">
        <f>SUM(AM28:AM41)</f>
        <v>-183.24999999999682</v>
      </c>
      <c r="AU41" s="83">
        <f>SUM(AN28:AN41)</f>
        <v>-66.674192000000062</v>
      </c>
      <c r="AV41" s="83">
        <f>SUM(AO28:AO41)</f>
        <v>65.788369999999418</v>
      </c>
      <c r="AW41" s="83">
        <f>-SUM(AQ28:AQ41)</f>
        <v>12336.088129322969</v>
      </c>
    </row>
    <row r="42" spans="1:49" x14ac:dyDescent="0.25">
      <c r="A42" t="str">
        <f t="shared" si="10"/>
        <v>46223M</v>
      </c>
      <c r="B42" s="51">
        <f t="shared" si="28"/>
        <v>46223</v>
      </c>
      <c r="C42" s="52" t="s">
        <v>87</v>
      </c>
      <c r="D42" s="79">
        <v>6549.9</v>
      </c>
      <c r="E42" s="62">
        <v>3.94</v>
      </c>
      <c r="F42" s="62">
        <v>8.1</v>
      </c>
      <c r="G42" s="62">
        <f t="shared" si="11"/>
        <v>258.06605999999999</v>
      </c>
      <c r="H42" s="63">
        <f t="shared" si="12"/>
        <v>530.54189999999994</v>
      </c>
      <c r="I42" s="118">
        <v>2927.3999999999996</v>
      </c>
      <c r="J42" s="119">
        <v>3015.2219999999998</v>
      </c>
      <c r="K42" s="120">
        <v>4.0359089977454383</v>
      </c>
      <c r="L42" s="121">
        <v>8.2109107057457127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35"/>
        <v>3015.2219999999998</v>
      </c>
      <c r="S42" s="62">
        <f t="shared" si="36"/>
        <v>121.69161599999995</v>
      </c>
      <c r="T42" s="63">
        <f t="shared" si="37"/>
        <v>247.57718599999995</v>
      </c>
      <c r="U42" s="64" t="s">
        <v>207</v>
      </c>
      <c r="V42" s="65" t="s">
        <v>731</v>
      </c>
      <c r="W42" s="66" t="s">
        <v>184</v>
      </c>
      <c r="X42" s="67">
        <v>6280</v>
      </c>
      <c r="Y42" s="68">
        <v>4.03</v>
      </c>
      <c r="Z42" s="68">
        <v>8.1300000000000008</v>
      </c>
      <c r="AA42" s="62">
        <f t="shared" si="38"/>
        <v>253.084</v>
      </c>
      <c r="AB42" s="63">
        <f t="shared" si="39"/>
        <v>510.56400000000008</v>
      </c>
      <c r="AC42" s="69">
        <v>6310</v>
      </c>
      <c r="AD42" s="70">
        <v>4.0000000000000009</v>
      </c>
      <c r="AE42" s="70">
        <v>8.0799999999999983</v>
      </c>
      <c r="AF42" s="62">
        <f t="shared" si="18"/>
        <v>252.40000000000006</v>
      </c>
      <c r="AG42" s="63">
        <f t="shared" si="19"/>
        <v>509.8479999999999</v>
      </c>
      <c r="AH42" s="66">
        <v>3285.1</v>
      </c>
      <c r="AI42" s="66">
        <v>3.97</v>
      </c>
      <c r="AJ42" s="66">
        <v>8.1300000000000008</v>
      </c>
      <c r="AK42" s="62">
        <f t="shared" si="20"/>
        <v>130.41846999999999</v>
      </c>
      <c r="AL42" s="72">
        <f t="shared" si="21"/>
        <v>267.07863000000003</v>
      </c>
      <c r="AM42" s="73">
        <f t="shared" si="22"/>
        <v>-29.97800000000052</v>
      </c>
      <c r="AN42" s="74">
        <f t="shared" si="23"/>
        <v>-3.0607940000001008</v>
      </c>
      <c r="AO42" s="74">
        <f t="shared" si="24"/>
        <v>1.1924559999999929</v>
      </c>
      <c r="AP42" s="75">
        <f t="shared" si="25"/>
        <v>-5.0595609211527932E-3</v>
      </c>
      <c r="AQ42" s="76">
        <f t="shared" si="26"/>
        <v>-1113.6811787570946</v>
      </c>
      <c r="AR42" s="90">
        <f t="shared" si="40"/>
        <v>2.1999999999025022E-2</v>
      </c>
    </row>
    <row r="43" spans="1:49" x14ac:dyDescent="0.25">
      <c r="A43" t="str">
        <f t="shared" si="10"/>
        <v>46223E</v>
      </c>
      <c r="B43" s="51">
        <f t="shared" si="28"/>
        <v>46223</v>
      </c>
      <c r="C43" s="52" t="s">
        <v>88</v>
      </c>
      <c r="D43" s="79">
        <v>3285.1</v>
      </c>
      <c r="E43" s="62">
        <v>3.97</v>
      </c>
      <c r="F43" s="62">
        <v>8.1300000000000008</v>
      </c>
      <c r="G43" s="62">
        <f t="shared" si="11"/>
        <v>130.41846999999999</v>
      </c>
      <c r="H43" s="63">
        <f t="shared" si="12"/>
        <v>267.07863000000003</v>
      </c>
      <c r="I43" s="118">
        <v>7513.4999999999991</v>
      </c>
      <c r="J43" s="119">
        <v>7738.9049999999988</v>
      </c>
      <c r="K43" s="120">
        <v>3.6261476009848934</v>
      </c>
      <c r="L43" s="121">
        <v>8.0650349371131966</v>
      </c>
      <c r="M43" s="58" t="s">
        <v>183</v>
      </c>
      <c r="N43" s="58" t="s">
        <v>729</v>
      </c>
      <c r="O43" s="59">
        <v>3025</v>
      </c>
      <c r="P43" s="56">
        <v>4</v>
      </c>
      <c r="Q43" s="60">
        <v>8.1</v>
      </c>
      <c r="R43" s="61">
        <f t="shared" si="35"/>
        <v>10763.904999999999</v>
      </c>
      <c r="S43" s="62">
        <f t="shared" si="36"/>
        <v>401.62411799999995</v>
      </c>
      <c r="T43" s="63">
        <f t="shared" si="37"/>
        <v>869.17039199999988</v>
      </c>
      <c r="U43" s="64" t="s">
        <v>176</v>
      </c>
      <c r="V43" s="65" t="s">
        <v>732</v>
      </c>
      <c r="W43" s="66" t="s">
        <v>184</v>
      </c>
      <c r="X43" s="67">
        <v>8500</v>
      </c>
      <c r="Y43" s="68">
        <v>3.9</v>
      </c>
      <c r="Z43" s="68">
        <v>8.06</v>
      </c>
      <c r="AA43" s="62">
        <f t="shared" si="38"/>
        <v>331.5</v>
      </c>
      <c r="AB43" s="63">
        <f t="shared" si="39"/>
        <v>685.1</v>
      </c>
      <c r="AC43" s="69">
        <v>8420</v>
      </c>
      <c r="AD43" s="70">
        <v>3.8320665083135386</v>
      </c>
      <c r="AE43" s="70">
        <v>8.0464133016627066</v>
      </c>
      <c r="AF43" s="62">
        <f t="shared" si="18"/>
        <v>322.65999999999991</v>
      </c>
      <c r="AG43" s="63">
        <f t="shared" si="19"/>
        <v>677.50799999999992</v>
      </c>
      <c r="AH43" s="66">
        <v>5549</v>
      </c>
      <c r="AI43" s="66">
        <v>3.78</v>
      </c>
      <c r="AJ43" s="66">
        <v>8.09</v>
      </c>
      <c r="AK43" s="62">
        <f t="shared" si="20"/>
        <v>209.75219999999999</v>
      </c>
      <c r="AL43" s="72">
        <f t="shared" si="21"/>
        <v>448.91410000000002</v>
      </c>
      <c r="AM43" s="73">
        <f t="shared" si="22"/>
        <v>80.0049999999992</v>
      </c>
      <c r="AN43" s="74">
        <f t="shared" si="23"/>
        <v>-0.36961199999998939</v>
      </c>
      <c r="AO43" s="74">
        <f t="shared" si="24"/>
        <v>9.8269220000000246</v>
      </c>
      <c r="AP43" s="75">
        <f t="shared" si="25"/>
        <v>7.442045055734493E-3</v>
      </c>
      <c r="AQ43" s="76">
        <f t="shared" si="26"/>
        <v>2765.465059168921</v>
      </c>
      <c r="AR43" s="90">
        <f t="shared" si="40"/>
        <v>4.9999999991996447E-3</v>
      </c>
    </row>
    <row r="44" spans="1:49" x14ac:dyDescent="0.25">
      <c r="A44" t="str">
        <f t="shared" si="10"/>
        <v>46224M</v>
      </c>
      <c r="B44" s="51">
        <f t="shared" si="28"/>
        <v>46224</v>
      </c>
      <c r="C44" s="52" t="s">
        <v>87</v>
      </c>
      <c r="D44" s="79">
        <v>5549</v>
      </c>
      <c r="E44" s="62">
        <v>3.78</v>
      </c>
      <c r="F44" s="62">
        <v>8.09</v>
      </c>
      <c r="G44" s="62">
        <f t="shared" si="11"/>
        <v>209.75219999999999</v>
      </c>
      <c r="H44" s="63">
        <f t="shared" si="12"/>
        <v>448.91410000000002</v>
      </c>
      <c r="I44" s="118">
        <v>2837.4</v>
      </c>
      <c r="J44" s="119">
        <v>2922.5220000000004</v>
      </c>
      <c r="K44" s="120">
        <v>4.2497251004440679</v>
      </c>
      <c r="L44" s="121">
        <v>8.2030908578275863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35"/>
        <v>2922.5220000000004</v>
      </c>
      <c r="S44" s="62">
        <f t="shared" si="36"/>
        <v>124.19915099999999</v>
      </c>
      <c r="T44" s="63">
        <f t="shared" si="37"/>
        <v>239.73713499999994</v>
      </c>
      <c r="U44" s="64" t="s">
        <v>176</v>
      </c>
      <c r="V44" s="65" t="s">
        <v>744</v>
      </c>
      <c r="W44" s="66" t="s">
        <v>184</v>
      </c>
      <c r="X44" s="67">
        <v>8200</v>
      </c>
      <c r="Y44" s="68">
        <v>4.2</v>
      </c>
      <c r="Z44" s="68">
        <v>8.08</v>
      </c>
      <c r="AA44" s="62">
        <f t="shared" si="38"/>
        <v>344.40000000000003</v>
      </c>
      <c r="AB44" s="63">
        <f t="shared" si="39"/>
        <v>662.56</v>
      </c>
      <c r="AC44" s="69">
        <v>8130</v>
      </c>
      <c r="AD44" s="70">
        <v>4.2</v>
      </c>
      <c r="AE44" s="70">
        <v>8.0000000000000018</v>
      </c>
      <c r="AF44" s="62">
        <f t="shared" si="18"/>
        <v>341.46000000000004</v>
      </c>
      <c r="AG44" s="63">
        <f t="shared" si="19"/>
        <v>650.40000000000009</v>
      </c>
      <c r="AH44" s="66">
        <v>271.5</v>
      </c>
      <c r="AI44" s="66">
        <v>3.94</v>
      </c>
      <c r="AJ44" s="66">
        <v>8.1199999999999992</v>
      </c>
      <c r="AK44" s="62">
        <f t="shared" si="20"/>
        <v>10.697099999999999</v>
      </c>
      <c r="AL44" s="72">
        <f t="shared" si="21"/>
        <v>22.0458</v>
      </c>
      <c r="AM44" s="73">
        <f t="shared" si="22"/>
        <v>70.022000000000844</v>
      </c>
      <c r="AN44" s="74">
        <f t="shared" si="23"/>
        <v>-18.205749000000047</v>
      </c>
      <c r="AO44" s="74">
        <f t="shared" si="24"/>
        <v>16.205434999999838</v>
      </c>
      <c r="AP44" s="75">
        <f t="shared" si="25"/>
        <v>-5.4963302010512067E-3</v>
      </c>
      <c r="AQ44" s="76">
        <f t="shared" si="26"/>
        <v>-3895.0714131202485</v>
      </c>
      <c r="AR44" s="90">
        <f t="shared" si="40"/>
        <v>2.2000000000844011E-2</v>
      </c>
    </row>
    <row r="45" spans="1:49" x14ac:dyDescent="0.25">
      <c r="A45" t="str">
        <f t="shared" si="10"/>
        <v>46224E</v>
      </c>
      <c r="B45" s="51">
        <f t="shared" si="28"/>
        <v>46224</v>
      </c>
      <c r="C45" s="52" t="s">
        <v>88</v>
      </c>
      <c r="D45" s="79">
        <v>271.5</v>
      </c>
      <c r="E45" s="62">
        <v>3.94</v>
      </c>
      <c r="F45" s="62">
        <v>8.1199999999999992</v>
      </c>
      <c r="G45" s="62">
        <f t="shared" si="11"/>
        <v>10.697099999999999</v>
      </c>
      <c r="H45" s="63">
        <f t="shared" si="12"/>
        <v>22.0458</v>
      </c>
      <c r="I45" s="118">
        <v>4446.6000000000004</v>
      </c>
      <c r="J45" s="119">
        <v>4579.9980000000005</v>
      </c>
      <c r="K45" s="120">
        <v>3.9475351954302158</v>
      </c>
      <c r="L45" s="121">
        <v>8.1585975801736144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35"/>
        <v>4579.9980000000005</v>
      </c>
      <c r="S45" s="62">
        <f t="shared" si="36"/>
        <v>180.797033</v>
      </c>
      <c r="T45" s="63">
        <f t="shared" si="37"/>
        <v>373.66360599999996</v>
      </c>
      <c r="U45" s="64" t="s">
        <v>179</v>
      </c>
      <c r="V45" s="65" t="s">
        <v>745</v>
      </c>
      <c r="W45" s="66" t="s">
        <v>251</v>
      </c>
      <c r="X45" s="67">
        <v>3830</v>
      </c>
      <c r="Y45" s="68">
        <v>4.0999999999999996</v>
      </c>
      <c r="Z45" s="68">
        <v>8.23</v>
      </c>
      <c r="AA45" s="62">
        <f t="shared" si="38"/>
        <v>157.02999999999997</v>
      </c>
      <c r="AB45" s="63">
        <f t="shared" si="39"/>
        <v>315.209</v>
      </c>
      <c r="AC45" s="69">
        <v>3850</v>
      </c>
      <c r="AD45" s="70">
        <v>4</v>
      </c>
      <c r="AE45" s="70">
        <v>8.08</v>
      </c>
      <c r="AF45" s="62">
        <f t="shared" si="18"/>
        <v>154</v>
      </c>
      <c r="AG45" s="63">
        <f t="shared" si="19"/>
        <v>311.08</v>
      </c>
      <c r="AH45" s="66">
        <v>1021.4</v>
      </c>
      <c r="AI45" s="66">
        <v>3.94</v>
      </c>
      <c r="AJ45" s="66">
        <v>8.15</v>
      </c>
      <c r="AK45" s="62">
        <f t="shared" si="20"/>
        <v>40.243159999999996</v>
      </c>
      <c r="AL45" s="72">
        <f t="shared" si="21"/>
        <v>83.244100000000003</v>
      </c>
      <c r="AM45" s="73">
        <f t="shared" si="22"/>
        <v>-19.901999999999475</v>
      </c>
      <c r="AN45" s="74">
        <f t="shared" si="23"/>
        <v>-2.749026999999991</v>
      </c>
      <c r="AO45" s="74">
        <f t="shared" si="24"/>
        <v>1.3853059999999573</v>
      </c>
      <c r="AP45" s="75">
        <f t="shared" si="25"/>
        <v>-2.4595451941540505E-3</v>
      </c>
      <c r="AQ45" s="76">
        <f t="shared" si="26"/>
        <v>-906.11013020482255</v>
      </c>
      <c r="AR45" s="90">
        <f t="shared" si="40"/>
        <v>9.8000000000865839E-2</v>
      </c>
    </row>
    <row r="46" spans="1:49" x14ac:dyDescent="0.25">
      <c r="A46" t="str">
        <f t="shared" si="10"/>
        <v>46225M</v>
      </c>
      <c r="B46" s="51">
        <f t="shared" si="28"/>
        <v>46225</v>
      </c>
      <c r="C46" s="52" t="s">
        <v>87</v>
      </c>
      <c r="D46" s="79">
        <v>1021.4</v>
      </c>
      <c r="E46" s="62">
        <v>3.94</v>
      </c>
      <c r="F46" s="62">
        <v>8.15</v>
      </c>
      <c r="G46" s="62">
        <f t="shared" ref="G46:G49" si="41">+D46*E46%</f>
        <v>40.243159999999996</v>
      </c>
      <c r="H46" s="63">
        <f t="shared" ref="H46:H49" si="42">+D46*F46%</f>
        <v>83.244100000000003</v>
      </c>
      <c r="I46" s="118">
        <v>2916.9999999999991</v>
      </c>
      <c r="J46" s="119">
        <v>3004.5099999999993</v>
      </c>
      <c r="K46" s="120">
        <v>4.0719746314706891</v>
      </c>
      <c r="L46" s="121">
        <v>8.2283579019540607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35"/>
        <v>3004.5099999999993</v>
      </c>
      <c r="S46" s="62">
        <f t="shared" si="36"/>
        <v>122.34288499999998</v>
      </c>
      <c r="T46" s="63">
        <f t="shared" si="37"/>
        <v>247.22183599999988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38"/>
        <v>0</v>
      </c>
      <c r="AB46" s="63">
        <f t="shared" si="39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>
        <v>4025.9</v>
      </c>
      <c r="AI46" s="66">
        <v>4.03</v>
      </c>
      <c r="AJ46" s="66">
        <v>8.1999999999999993</v>
      </c>
      <c r="AK46" s="62">
        <f t="shared" si="20"/>
        <v>162.24377000000001</v>
      </c>
      <c r="AL46" s="72">
        <f t="shared" si="21"/>
        <v>330.12379999999996</v>
      </c>
      <c r="AM46" s="73">
        <f t="shared" si="22"/>
        <v>9.999999999308784E-3</v>
      </c>
      <c r="AN46" s="74">
        <f t="shared" si="23"/>
        <v>0.34227499999997235</v>
      </c>
      <c r="AO46" s="74">
        <f t="shared" si="24"/>
        <v>0.34213599999992539</v>
      </c>
      <c r="AP46" s="75">
        <f t="shared" si="25"/>
        <v>1.8519381345382749E-3</v>
      </c>
      <c r="AQ46" s="76">
        <f t="shared" si="26"/>
        <v>266.94096345828416</v>
      </c>
      <c r="AR46" s="90">
        <f t="shared" si="40"/>
        <v>9.999999999308784E-3</v>
      </c>
    </row>
    <row r="47" spans="1:49" x14ac:dyDescent="0.25">
      <c r="A47" t="str">
        <f t="shared" si="10"/>
        <v>46225E</v>
      </c>
      <c r="B47" s="51">
        <f t="shared" si="28"/>
        <v>46225</v>
      </c>
      <c r="C47" s="52" t="s">
        <v>88</v>
      </c>
      <c r="D47" s="79">
        <v>4025.9</v>
      </c>
      <c r="E47" s="62">
        <v>4.03</v>
      </c>
      <c r="F47" s="62">
        <v>8.1999999999999993</v>
      </c>
      <c r="G47" s="62">
        <f t="shared" si="41"/>
        <v>162.24377000000001</v>
      </c>
      <c r="H47" s="63">
        <f t="shared" si="42"/>
        <v>330.12379999999996</v>
      </c>
      <c r="I47" s="118">
        <v>5129.1000000000013</v>
      </c>
      <c r="J47" s="119">
        <v>5282.9730000000018</v>
      </c>
      <c r="K47" s="120">
        <v>3.9823107367764328</v>
      </c>
      <c r="L47" s="121">
        <v>8.1826538768984776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35"/>
        <v>5282.9730000000018</v>
      </c>
      <c r="S47" s="62">
        <f t="shared" si="36"/>
        <v>210.38440100000008</v>
      </c>
      <c r="T47" s="63">
        <f t="shared" si="37"/>
        <v>432.28739499999989</v>
      </c>
      <c r="U47" s="64" t="s">
        <v>176</v>
      </c>
      <c r="V47" s="65" t="s">
        <v>746</v>
      </c>
      <c r="W47" s="66" t="s">
        <v>181</v>
      </c>
      <c r="X47" s="67">
        <v>9250</v>
      </c>
      <c r="Y47" s="68">
        <v>4.13</v>
      </c>
      <c r="Z47" s="68">
        <v>8.11</v>
      </c>
      <c r="AA47" s="62">
        <f t="shared" si="38"/>
        <v>382.02499999999998</v>
      </c>
      <c r="AB47" s="63">
        <f t="shared" si="39"/>
        <v>750.17499999999995</v>
      </c>
      <c r="AC47" s="69">
        <v>9240</v>
      </c>
      <c r="AD47" s="70">
        <v>4.0999999999999988</v>
      </c>
      <c r="AE47" s="70">
        <v>7.98</v>
      </c>
      <c r="AF47" s="62">
        <f t="shared" si="18"/>
        <v>378.83999999999986</v>
      </c>
      <c r="AG47" s="63">
        <f t="shared" si="19"/>
        <v>737.35200000000009</v>
      </c>
      <c r="AH47" s="66">
        <v>58.8</v>
      </c>
      <c r="AI47" s="66">
        <v>4</v>
      </c>
      <c r="AJ47" s="66">
        <v>8.18</v>
      </c>
      <c r="AK47" s="62">
        <f t="shared" si="20"/>
        <v>2.3519999999999999</v>
      </c>
      <c r="AL47" s="72">
        <f t="shared" si="21"/>
        <v>4.8098399999999994</v>
      </c>
      <c r="AM47" s="73">
        <f t="shared" si="22"/>
        <v>10.073000000001414</v>
      </c>
      <c r="AN47" s="74">
        <f t="shared" si="23"/>
        <v>-8.5638289999997959</v>
      </c>
      <c r="AO47" s="74">
        <f t="shared" si="24"/>
        <v>20.249354999999817</v>
      </c>
      <c r="AP47" s="75">
        <f t="shared" si="25"/>
        <v>1.8182727284332269E-2</v>
      </c>
      <c r="AQ47" s="76">
        <f t="shared" si="26"/>
        <v>1949.3029958697707</v>
      </c>
      <c r="AR47" s="90">
        <f t="shared" si="40"/>
        <v>7.3000000002139132E-2</v>
      </c>
    </row>
    <row r="48" spans="1:49" x14ac:dyDescent="0.25">
      <c r="A48" t="str">
        <f t="shared" si="10"/>
        <v>46226M</v>
      </c>
      <c r="B48" s="51">
        <f t="shared" si="28"/>
        <v>46226</v>
      </c>
      <c r="C48" s="52" t="s">
        <v>87</v>
      </c>
      <c r="D48" s="79">
        <v>58.8</v>
      </c>
      <c r="E48" s="62">
        <v>4</v>
      </c>
      <c r="F48" s="62">
        <v>8.18</v>
      </c>
      <c r="G48" s="62">
        <f t="shared" si="41"/>
        <v>2.3519999999999999</v>
      </c>
      <c r="H48" s="63">
        <f t="shared" si="42"/>
        <v>4.8098399999999994</v>
      </c>
      <c r="I48" s="118">
        <v>2909.2999999999997</v>
      </c>
      <c r="J48" s="119">
        <v>2996.5789999999997</v>
      </c>
      <c r="K48" s="120">
        <v>4.149936410820473</v>
      </c>
      <c r="L48" s="121">
        <v>8.1863472312927517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35"/>
        <v>2996.5789999999997</v>
      </c>
      <c r="S48" s="62">
        <f t="shared" si="36"/>
        <v>124.35612300000003</v>
      </c>
      <c r="T48" s="63">
        <f>+J48*L48%+O48*Q48%</f>
        <v>245.31036199999997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38"/>
        <v>0</v>
      </c>
      <c r="AB48" s="63">
        <f t="shared" si="39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>
        <v>3055.3</v>
      </c>
      <c r="AI48" s="66">
        <v>4.1399999999999997</v>
      </c>
      <c r="AJ48" s="66">
        <v>8.19</v>
      </c>
      <c r="AK48" s="62">
        <f t="shared" si="20"/>
        <v>126.48942000000001</v>
      </c>
      <c r="AL48" s="72">
        <f t="shared" si="21"/>
        <v>250.22907000000001</v>
      </c>
      <c r="AM48" s="73">
        <f t="shared" si="22"/>
        <v>7.8999999999723514E-2</v>
      </c>
      <c r="AN48" s="74">
        <f t="shared" si="23"/>
        <v>0.21870300000001919</v>
      </c>
      <c r="AO48" s="74">
        <f t="shared" si="24"/>
        <v>-0.1088680000000295</v>
      </c>
      <c r="AP48" s="75">
        <f t="shared" si="25"/>
        <v>2.9711917216403779E-4</v>
      </c>
      <c r="AQ48" s="76">
        <f t="shared" si="26"/>
        <v>72.488912699500446</v>
      </c>
      <c r="AR48" s="90">
        <f t="shared" si="40"/>
        <v>7.8999999999723514E-2</v>
      </c>
    </row>
    <row r="49" spans="1:49" x14ac:dyDescent="0.25">
      <c r="A49" t="str">
        <f t="shared" si="10"/>
        <v>46226E</v>
      </c>
      <c r="B49" s="51">
        <f t="shared" si="28"/>
        <v>46226</v>
      </c>
      <c r="C49" s="52" t="s">
        <v>88</v>
      </c>
      <c r="D49" s="79">
        <v>3055.3</v>
      </c>
      <c r="E49" s="62">
        <v>4.1399999999999997</v>
      </c>
      <c r="F49" s="62">
        <v>8.19</v>
      </c>
      <c r="G49" s="62">
        <f t="shared" si="41"/>
        <v>126.48942000000001</v>
      </c>
      <c r="H49" s="63">
        <f t="shared" si="42"/>
        <v>250.22907000000001</v>
      </c>
      <c r="I49" s="118">
        <v>4556.1999999999989</v>
      </c>
      <c r="J49" s="119">
        <v>4692.8859999999986</v>
      </c>
      <c r="K49" s="120">
        <v>3.9356876344322016</v>
      </c>
      <c r="L49" s="121">
        <v>8.1815350511391056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35"/>
        <v>4692.8859999999986</v>
      </c>
      <c r="S49" s="62">
        <f t="shared" si="36"/>
        <v>184.6973339999999</v>
      </c>
      <c r="T49" s="63">
        <f t="shared" si="37"/>
        <v>383.95011299999976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8"/>
        <v>0</v>
      </c>
      <c r="AB49" s="63">
        <f t="shared" si="39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7580</v>
      </c>
      <c r="AI49" s="66">
        <v>4.01</v>
      </c>
      <c r="AJ49" s="66">
        <v>8.18</v>
      </c>
      <c r="AK49" s="62">
        <f t="shared" si="20"/>
        <v>303.95799999999997</v>
      </c>
      <c r="AL49" s="72">
        <f t="shared" si="21"/>
        <v>620.04399999999998</v>
      </c>
      <c r="AM49" s="73">
        <f t="shared" si="22"/>
        <v>168.18599999999878</v>
      </c>
      <c r="AN49" s="74">
        <f t="shared" si="23"/>
        <v>7.228753999999924</v>
      </c>
      <c r="AO49" s="74">
        <f t="shared" si="24"/>
        <v>14.135182999999756</v>
      </c>
      <c r="AP49" s="75">
        <f t="shared" si="25"/>
        <v>3.7569740465219562E-2</v>
      </c>
      <c r="AQ49" s="76">
        <f t="shared" si="26"/>
        <v>7707.0130369817189</v>
      </c>
      <c r="AR49" s="90">
        <f>(D49+J49+O49)-(X49+AH49)</f>
        <v>168.18599999999878</v>
      </c>
    </row>
    <row r="50" spans="1:49" x14ac:dyDescent="0.25">
      <c r="A50" t="str">
        <f t="shared" si="10"/>
        <v>46227M</v>
      </c>
      <c r="B50" s="51">
        <f t="shared" si="28"/>
        <v>46227</v>
      </c>
      <c r="C50" s="52" t="s">
        <v>87</v>
      </c>
      <c r="D50" s="79">
        <v>7580</v>
      </c>
      <c r="E50" s="62">
        <v>4.01</v>
      </c>
      <c r="F50" s="62">
        <v>8.18</v>
      </c>
      <c r="G50" s="62">
        <f t="shared" ref="G50:G57" si="43">+D50*E50%</f>
        <v>303.95799999999997</v>
      </c>
      <c r="H50" s="63">
        <f t="shared" ref="H50:H57" si="44">+D50*F50%</f>
        <v>620.04399999999998</v>
      </c>
      <c r="I50" s="118">
        <v>5572.8</v>
      </c>
      <c r="J50" s="119">
        <v>5739.9840000000004</v>
      </c>
      <c r="K50" s="120">
        <v>3.7497003301751368</v>
      </c>
      <c r="L50" s="121">
        <v>8.1252566035027272</v>
      </c>
      <c r="M50" s="58" t="s">
        <v>183</v>
      </c>
      <c r="N50" s="58" t="s">
        <v>826</v>
      </c>
      <c r="O50" s="59">
        <v>3027</v>
      </c>
      <c r="P50" s="56">
        <v>4</v>
      </c>
      <c r="Q50" s="60">
        <v>8</v>
      </c>
      <c r="R50" s="61">
        <f t="shared" ref="R50" si="45">+J50+O50</f>
        <v>8766.9840000000004</v>
      </c>
      <c r="S50" s="62">
        <f t="shared" ref="S50" si="46">+J50*K50%+O50*P50%</f>
        <v>336.31219900000002</v>
      </c>
      <c r="T50" s="63">
        <f t="shared" ref="T50" si="47">+J50*L50%+O50*Q50%</f>
        <v>708.54842900000006</v>
      </c>
      <c r="U50" s="64" t="s">
        <v>253</v>
      </c>
      <c r="V50" s="65" t="s">
        <v>827</v>
      </c>
      <c r="W50" s="66" t="s">
        <v>177</v>
      </c>
      <c r="X50" s="67">
        <v>10110</v>
      </c>
      <c r="Y50" s="68">
        <v>4.0999999999999996</v>
      </c>
      <c r="Z50" s="68">
        <v>8.02</v>
      </c>
      <c r="AA50" s="62">
        <f t="shared" si="38"/>
        <v>414.50999999999993</v>
      </c>
      <c r="AB50" s="63">
        <f t="shared" si="39"/>
        <v>810.82199999999989</v>
      </c>
      <c r="AC50" s="69">
        <v>10130</v>
      </c>
      <c r="AD50" s="70">
        <v>4.0500493583415595</v>
      </c>
      <c r="AE50" s="70">
        <v>8.011046396841067</v>
      </c>
      <c r="AF50" s="62">
        <f t="shared" si="18"/>
        <v>410.26999999999992</v>
      </c>
      <c r="AG50" s="63">
        <f t="shared" si="19"/>
        <v>811.51900000000001</v>
      </c>
      <c r="AH50" s="66">
        <v>6236.9</v>
      </c>
      <c r="AI50" s="66">
        <v>3.91</v>
      </c>
      <c r="AJ50" s="66">
        <v>8.1199999999999992</v>
      </c>
      <c r="AK50" s="62">
        <f t="shared" si="20"/>
        <v>243.86278999999999</v>
      </c>
      <c r="AL50" s="72">
        <f t="shared" si="21"/>
        <v>506.43627999999995</v>
      </c>
      <c r="AM50" s="73">
        <f t="shared" si="22"/>
        <v>-19.915999999999258</v>
      </c>
      <c r="AN50" s="74">
        <f t="shared" si="23"/>
        <v>-13.862590999999867</v>
      </c>
      <c r="AO50" s="74">
        <f t="shared" si="24"/>
        <v>10.637149000000079</v>
      </c>
      <c r="AP50" s="75">
        <f t="shared" si="25"/>
        <v>-3.0869590771868834E-3</v>
      </c>
      <c r="AQ50" s="76">
        <f t="shared" si="26"/>
        <v>-3475.6947251235752</v>
      </c>
      <c r="AR50" s="90">
        <f t="shared" si="40"/>
        <v>8.4000000000742148E-2</v>
      </c>
    </row>
    <row r="51" spans="1:49" x14ac:dyDescent="0.25">
      <c r="A51" t="str">
        <f t="shared" si="10"/>
        <v>46227E</v>
      </c>
      <c r="B51" s="51">
        <f t="shared" si="28"/>
        <v>46227</v>
      </c>
      <c r="C51" s="52" t="s">
        <v>88</v>
      </c>
      <c r="D51" s="79">
        <v>6236.9</v>
      </c>
      <c r="E51" s="62">
        <v>3.91</v>
      </c>
      <c r="F51" s="62">
        <v>8.1199999999999992</v>
      </c>
      <c r="G51" s="62">
        <f t="shared" si="43"/>
        <v>243.86278999999999</v>
      </c>
      <c r="H51" s="63">
        <f t="shared" si="44"/>
        <v>506.43627999999995</v>
      </c>
      <c r="I51" s="118">
        <v>5151.2000000000007</v>
      </c>
      <c r="J51" s="119">
        <v>5305.7360000000008</v>
      </c>
      <c r="K51" s="120">
        <v>3.9516170989284038</v>
      </c>
      <c r="L51" s="121">
        <v>8.1651304550396002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ref="R51:R59" si="48">+J51+O51</f>
        <v>5305.7360000000008</v>
      </c>
      <c r="S51" s="62">
        <f t="shared" ref="S51:S59" si="49">+J51*K51%+O51*P51%</f>
        <v>209.66237099999998</v>
      </c>
      <c r="T51" s="63">
        <f t="shared" ref="T51:T59" si="50">+J51*L51%+O51*Q51%</f>
        <v>433.22026599999992</v>
      </c>
      <c r="U51" s="64" t="s">
        <v>828</v>
      </c>
      <c r="V51" s="85" t="s">
        <v>829</v>
      </c>
      <c r="W51" s="66" t="s">
        <v>734</v>
      </c>
      <c r="X51" s="67">
        <v>8330</v>
      </c>
      <c r="Y51" s="68">
        <v>4.0599999999999996</v>
      </c>
      <c r="Z51" s="68">
        <v>8.08</v>
      </c>
      <c r="AA51" s="62">
        <f t="shared" ref="AA51:AA59" si="51">X51*Y51%</f>
        <v>338.19799999999998</v>
      </c>
      <c r="AB51" s="63">
        <f t="shared" ref="AB51:AB59" si="52">X51*Z51%</f>
        <v>673.06399999999996</v>
      </c>
      <c r="AC51" s="69">
        <v>8350</v>
      </c>
      <c r="AD51" s="70">
        <v>3.9497005988023957</v>
      </c>
      <c r="AE51" s="70">
        <v>7.9499401197604787</v>
      </c>
      <c r="AF51" s="62">
        <f t="shared" si="18"/>
        <v>329.8</v>
      </c>
      <c r="AG51" s="63">
        <f t="shared" si="19"/>
        <v>663.82</v>
      </c>
      <c r="AH51" s="66">
        <v>3210.6</v>
      </c>
      <c r="AI51" s="66">
        <v>3.92</v>
      </c>
      <c r="AJ51" s="66">
        <v>8.1300000000000008</v>
      </c>
      <c r="AK51" s="62">
        <f t="shared" si="20"/>
        <v>125.85552</v>
      </c>
      <c r="AL51" s="72">
        <f t="shared" si="21"/>
        <v>261.02178000000004</v>
      </c>
      <c r="AM51" s="73">
        <f t="shared" si="22"/>
        <v>-17.963999999999487</v>
      </c>
      <c r="AN51" s="74">
        <f t="shared" si="23"/>
        <v>-2.1303590000000412</v>
      </c>
      <c r="AO51" s="74">
        <f t="shared" si="24"/>
        <v>14.81476599999985</v>
      </c>
      <c r="AP51" s="75">
        <f t="shared" si="25"/>
        <v>1.9730517313690975E-2</v>
      </c>
      <c r="AQ51" s="76">
        <f t="shared" si="26"/>
        <v>3413.1836933112413</v>
      </c>
      <c r="AR51" s="90">
        <f t="shared" si="40"/>
        <v>2.0360000000000582</v>
      </c>
    </row>
    <row r="52" spans="1:49" x14ac:dyDescent="0.25">
      <c r="A52" t="str">
        <f t="shared" si="10"/>
        <v>46228M</v>
      </c>
      <c r="B52" s="51">
        <f t="shared" si="28"/>
        <v>46228</v>
      </c>
      <c r="C52" s="52" t="s">
        <v>87</v>
      </c>
      <c r="D52" s="79">
        <v>3210.6</v>
      </c>
      <c r="E52" s="62">
        <v>3.92</v>
      </c>
      <c r="F52" s="62">
        <v>8.1300000000000008</v>
      </c>
      <c r="G52" s="62">
        <f t="shared" si="43"/>
        <v>125.85552</v>
      </c>
      <c r="H52" s="63">
        <f t="shared" si="44"/>
        <v>261.02178000000004</v>
      </c>
      <c r="I52" s="118">
        <v>3028.3</v>
      </c>
      <c r="J52" s="119">
        <v>3119.1490000000003</v>
      </c>
      <c r="K52" s="120">
        <v>3.9699072086649281</v>
      </c>
      <c r="L52" s="121">
        <v>8.111891160056798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48"/>
        <v>3119.1490000000003</v>
      </c>
      <c r="S52" s="62">
        <f t="shared" si="49"/>
        <v>123.82732100000003</v>
      </c>
      <c r="T52" s="63">
        <f t="shared" si="50"/>
        <v>253.02197200000006</v>
      </c>
      <c r="U52" s="64" t="s">
        <v>179</v>
      </c>
      <c r="V52" s="65" t="s">
        <v>887</v>
      </c>
      <c r="W52" s="66" t="s">
        <v>251</v>
      </c>
      <c r="X52" s="67">
        <v>3830</v>
      </c>
      <c r="Y52" s="68">
        <v>4</v>
      </c>
      <c r="Z52" s="68">
        <v>8.02</v>
      </c>
      <c r="AA52" s="62">
        <f t="shared" si="51"/>
        <v>153.20000000000002</v>
      </c>
      <c r="AB52" s="63">
        <f t="shared" si="52"/>
        <v>307.166</v>
      </c>
      <c r="AC52" s="69">
        <v>3840</v>
      </c>
      <c r="AD52" s="70">
        <v>4</v>
      </c>
      <c r="AE52" s="70">
        <v>7.96</v>
      </c>
      <c r="AF52" s="62">
        <f t="shared" si="18"/>
        <v>153.6</v>
      </c>
      <c r="AG52" s="63">
        <f t="shared" si="19"/>
        <v>305.66399999999999</v>
      </c>
      <c r="AH52" s="66">
        <v>2499.1</v>
      </c>
      <c r="AI52" s="66">
        <v>3.94</v>
      </c>
      <c r="AJ52" s="66">
        <v>8.1199999999999992</v>
      </c>
      <c r="AK52" s="62">
        <f t="shared" si="20"/>
        <v>98.464539999999985</v>
      </c>
      <c r="AL52" s="72">
        <f t="shared" si="21"/>
        <v>202.92691999999997</v>
      </c>
      <c r="AM52" s="73">
        <f t="shared" si="22"/>
        <v>-9.3510000000001128</v>
      </c>
      <c r="AN52" s="74">
        <f t="shared" si="23"/>
        <v>-2.3816989999999549</v>
      </c>
      <c r="AO52" s="74">
        <f t="shared" si="24"/>
        <v>5.4528320000000861</v>
      </c>
      <c r="AP52" s="75">
        <f t="shared" si="25"/>
        <v>8.1494991686242337E-3</v>
      </c>
      <c r="AQ52" s="76">
        <f t="shared" si="26"/>
        <v>488.59075481354307</v>
      </c>
      <c r="AR52" s="83">
        <f t="shared" ref="AR52:AR65" si="53">(D52+J52+O52)-(X52+AH52)</f>
        <v>0.64899999999943248</v>
      </c>
    </row>
    <row r="53" spans="1:49" x14ac:dyDescent="0.25">
      <c r="A53" t="str">
        <f t="shared" si="10"/>
        <v>46228E</v>
      </c>
      <c r="B53" s="51">
        <f t="shared" si="28"/>
        <v>46228</v>
      </c>
      <c r="C53" s="52" t="s">
        <v>88</v>
      </c>
      <c r="D53" s="79">
        <v>2499.1</v>
      </c>
      <c r="E53" s="62">
        <v>3.94</v>
      </c>
      <c r="F53" s="62">
        <v>8.1199999999999992</v>
      </c>
      <c r="G53" s="62">
        <f t="shared" si="43"/>
        <v>98.464539999999985</v>
      </c>
      <c r="H53" s="63">
        <f t="shared" si="44"/>
        <v>202.92691999999997</v>
      </c>
      <c r="I53" s="118">
        <v>5629</v>
      </c>
      <c r="J53" s="119">
        <v>5797.87</v>
      </c>
      <c r="K53" s="120">
        <v>3.9707603481968374</v>
      </c>
      <c r="L53" s="121">
        <v>8.1022348552140695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48"/>
        <v>5797.87</v>
      </c>
      <c r="S53" s="62">
        <f t="shared" si="49"/>
        <v>230.21952299999998</v>
      </c>
      <c r="T53" s="63">
        <f t="shared" si="50"/>
        <v>469.75704399999995</v>
      </c>
      <c r="U53" s="64" t="s">
        <v>207</v>
      </c>
      <c r="V53" s="65" t="s">
        <v>888</v>
      </c>
      <c r="W53" s="66" t="s">
        <v>184</v>
      </c>
      <c r="X53" s="67">
        <v>6280</v>
      </c>
      <c r="Y53" s="68">
        <v>4.0999999999999996</v>
      </c>
      <c r="Z53" s="68">
        <v>8.14</v>
      </c>
      <c r="AA53" s="62">
        <f t="shared" si="51"/>
        <v>257.47999999999996</v>
      </c>
      <c r="AB53" s="63">
        <f t="shared" si="52"/>
        <v>511.19200000000001</v>
      </c>
      <c r="AC53" s="69">
        <v>6310</v>
      </c>
      <c r="AD53" s="70">
        <v>4.0999999999999996</v>
      </c>
      <c r="AE53" s="70">
        <v>8.1</v>
      </c>
      <c r="AF53" s="62">
        <f t="shared" si="18"/>
        <v>258.70999999999998</v>
      </c>
      <c r="AG53" s="63">
        <f t="shared" si="19"/>
        <v>511.11</v>
      </c>
      <c r="AH53" s="66">
        <v>2016.9</v>
      </c>
      <c r="AI53" s="66">
        <v>3.96</v>
      </c>
      <c r="AJ53" s="66">
        <v>8.1</v>
      </c>
      <c r="AK53" s="62">
        <f t="shared" si="20"/>
        <v>79.869239999999991</v>
      </c>
      <c r="AL53" s="72">
        <f t="shared" si="21"/>
        <v>163.36890000000002</v>
      </c>
      <c r="AM53" s="73">
        <f t="shared" si="22"/>
        <v>-29.930000000000746</v>
      </c>
      <c r="AN53" s="74">
        <f t="shared" si="23"/>
        <v>-9.8951769999999897</v>
      </c>
      <c r="AO53" s="74">
        <f t="shared" si="24"/>
        <v>-1.7949360000000922</v>
      </c>
      <c r="AP53" s="75">
        <f t="shared" si="25"/>
        <v>-1.6700720497119275E-2</v>
      </c>
      <c r="AQ53" s="76">
        <f t="shared" si="26"/>
        <v>-5292.5219537049406</v>
      </c>
      <c r="AR53" s="83">
        <f t="shared" si="53"/>
        <v>6.9999999999708962E-2</v>
      </c>
    </row>
    <row r="54" spans="1:49" x14ac:dyDescent="0.25">
      <c r="A54" t="str">
        <f t="shared" si="10"/>
        <v>46229M</v>
      </c>
      <c r="B54" s="51">
        <f t="shared" si="28"/>
        <v>46229</v>
      </c>
      <c r="C54" s="52" t="s">
        <v>87</v>
      </c>
      <c r="D54" s="79">
        <v>2016.9</v>
      </c>
      <c r="E54" s="62">
        <v>3.96</v>
      </c>
      <c r="F54" s="62">
        <v>8.1</v>
      </c>
      <c r="G54" s="62">
        <f t="shared" si="43"/>
        <v>79.869239999999991</v>
      </c>
      <c r="H54" s="63">
        <f t="shared" si="44"/>
        <v>163.36890000000002</v>
      </c>
      <c r="I54" s="118">
        <v>3635.8999999999996</v>
      </c>
      <c r="J54" s="119">
        <v>3744.9769999999999</v>
      </c>
      <c r="K54" s="120">
        <v>4.0472427734536156</v>
      </c>
      <c r="L54" s="121">
        <v>8.1676256222668382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48"/>
        <v>3744.9769999999999</v>
      </c>
      <c r="S54" s="62">
        <f t="shared" si="49"/>
        <v>151.56831100000002</v>
      </c>
      <c r="T54" s="63">
        <f t="shared" si="50"/>
        <v>305.87570099999999</v>
      </c>
      <c r="U54" s="64" t="s">
        <v>179</v>
      </c>
      <c r="V54" s="65" t="s">
        <v>889</v>
      </c>
      <c r="W54" s="66" t="s">
        <v>251</v>
      </c>
      <c r="X54" s="67">
        <v>5130</v>
      </c>
      <c r="Y54" s="68">
        <v>4.2</v>
      </c>
      <c r="Z54" s="68">
        <v>8.1199999999999992</v>
      </c>
      <c r="AA54" s="62">
        <f t="shared" si="51"/>
        <v>215.46</v>
      </c>
      <c r="AB54" s="63">
        <f t="shared" si="52"/>
        <v>416.55599999999998</v>
      </c>
      <c r="AC54" s="69">
        <v>5130</v>
      </c>
      <c r="AD54" s="70">
        <v>4.0999999999999996</v>
      </c>
      <c r="AE54" s="70">
        <v>8.1</v>
      </c>
      <c r="AF54" s="62">
        <f t="shared" si="18"/>
        <v>210.32999999999998</v>
      </c>
      <c r="AG54" s="63">
        <f t="shared" si="19"/>
        <v>415.53000000000003</v>
      </c>
      <c r="AH54" s="66">
        <v>631.79999999999995</v>
      </c>
      <c r="AI54" s="66">
        <v>4.01</v>
      </c>
      <c r="AJ54" s="66">
        <v>8.14</v>
      </c>
      <c r="AK54" s="62">
        <f t="shared" si="20"/>
        <v>25.335179999999998</v>
      </c>
      <c r="AL54" s="72">
        <f t="shared" si="21"/>
        <v>51.428519999999999</v>
      </c>
      <c r="AM54" s="73">
        <f t="shared" si="22"/>
        <v>7.7000000000452928E-2</v>
      </c>
      <c r="AN54" s="74">
        <f t="shared" si="23"/>
        <v>-4.2276289999999683</v>
      </c>
      <c r="AO54" s="74">
        <f t="shared" si="24"/>
        <v>2.2860809999999603</v>
      </c>
      <c r="AP54" s="75">
        <f t="shared" si="25"/>
        <v>-4.2443401794928469E-3</v>
      </c>
      <c r="AQ54" s="76">
        <f t="shared" si="26"/>
        <v>-1346.8524210742471</v>
      </c>
      <c r="AR54" s="83">
        <f t="shared" si="53"/>
        <v>7.7000000000225555E-2</v>
      </c>
    </row>
    <row r="55" spans="1:49" x14ac:dyDescent="0.25">
      <c r="A55" t="str">
        <f t="shared" si="10"/>
        <v>46229E</v>
      </c>
      <c r="B55" s="51">
        <f t="shared" si="28"/>
        <v>46229</v>
      </c>
      <c r="C55" s="52" t="s">
        <v>88</v>
      </c>
      <c r="D55" s="79">
        <v>631.79999999999995</v>
      </c>
      <c r="E55" s="62">
        <v>4.01</v>
      </c>
      <c r="F55" s="62">
        <v>8.14</v>
      </c>
      <c r="G55" s="62">
        <f t="shared" si="43"/>
        <v>25.335179999999998</v>
      </c>
      <c r="H55" s="63">
        <f t="shared" si="44"/>
        <v>51.428519999999999</v>
      </c>
      <c r="I55" s="118">
        <v>8874.0999999999985</v>
      </c>
      <c r="J55" s="119">
        <v>9140.3229999999985</v>
      </c>
      <c r="K55" s="120">
        <v>3.6633292390214227</v>
      </c>
      <c r="L55" s="121">
        <v>8.0546556833932463</v>
      </c>
      <c r="M55" s="58" t="s">
        <v>183</v>
      </c>
      <c r="N55" s="58" t="s">
        <v>886</v>
      </c>
      <c r="O55" s="59">
        <v>3056</v>
      </c>
      <c r="P55" s="56">
        <v>4</v>
      </c>
      <c r="Q55" s="60">
        <v>8.1</v>
      </c>
      <c r="R55" s="61">
        <f t="shared" si="48"/>
        <v>12196.322999999999</v>
      </c>
      <c r="S55" s="62">
        <f t="shared" si="49"/>
        <v>457.08012500000001</v>
      </c>
      <c r="T55" s="63">
        <f t="shared" si="50"/>
        <v>983.75754600000005</v>
      </c>
      <c r="U55" s="64" t="s">
        <v>176</v>
      </c>
      <c r="V55" s="65" t="s">
        <v>890</v>
      </c>
      <c r="W55" s="66" t="s">
        <v>260</v>
      </c>
      <c r="X55" s="67">
        <v>6250</v>
      </c>
      <c r="Y55" s="68">
        <v>3.9</v>
      </c>
      <c r="Z55" s="68">
        <v>8</v>
      </c>
      <c r="AA55" s="62">
        <f t="shared" si="51"/>
        <v>243.75</v>
      </c>
      <c r="AB55" s="63">
        <f t="shared" si="52"/>
        <v>500</v>
      </c>
      <c r="AC55" s="69">
        <v>6270</v>
      </c>
      <c r="AD55" s="70">
        <v>3.85</v>
      </c>
      <c r="AE55" s="70">
        <v>7.93</v>
      </c>
      <c r="AF55" s="62">
        <f t="shared" si="18"/>
        <v>241.39500000000001</v>
      </c>
      <c r="AG55" s="63">
        <f t="shared" si="19"/>
        <v>497.21099999999996</v>
      </c>
      <c r="AH55" s="66">
        <v>6578.1</v>
      </c>
      <c r="AI55" s="66">
        <v>3.75</v>
      </c>
      <c r="AJ55" s="66">
        <v>8.06</v>
      </c>
      <c r="AK55" s="62">
        <f t="shared" si="20"/>
        <v>246.67875000000001</v>
      </c>
      <c r="AL55" s="72">
        <f t="shared" si="21"/>
        <v>530.19486000000006</v>
      </c>
      <c r="AM55" s="73">
        <f t="shared" si="22"/>
        <v>-19.97700000000259</v>
      </c>
      <c r="AN55" s="74">
        <f t="shared" si="23"/>
        <v>-5.6584450000000288</v>
      </c>
      <c r="AO55" s="74">
        <f t="shared" si="24"/>
        <v>7.7802059999999074</v>
      </c>
      <c r="AP55" s="75">
        <f t="shared" si="25"/>
        <v>1.4725885106316591E-3</v>
      </c>
      <c r="AQ55" s="76">
        <f t="shared" si="26"/>
        <v>-388.96455102932759</v>
      </c>
      <c r="AR55" s="83">
        <f t="shared" si="53"/>
        <v>2.2999999997409759E-2</v>
      </c>
      <c r="AS55" s="90">
        <f>SUM(J42:J55)</f>
        <v>67081.634000000005</v>
      </c>
      <c r="AT55" s="83">
        <f>SUM(AM42:AM55)</f>
        <v>181.43399999999752</v>
      </c>
      <c r="AU55" s="83">
        <f>SUM(AN42:AN55)</f>
        <v>-63.315178999999858</v>
      </c>
      <c r="AV55" s="83">
        <f>SUM(AO42:AO55)</f>
        <v>102.40402299999909</v>
      </c>
      <c r="AW55" s="83">
        <f>-SUM(AQ42:AQ55)</f>
        <v>-244.08904328872359</v>
      </c>
    </row>
    <row r="56" spans="1:49" x14ac:dyDescent="0.25">
      <c r="A56" t="str">
        <f t="shared" si="10"/>
        <v>46230M</v>
      </c>
      <c r="B56" s="51">
        <f t="shared" si="28"/>
        <v>46230</v>
      </c>
      <c r="C56" s="52" t="s">
        <v>87</v>
      </c>
      <c r="D56" s="79">
        <v>6578.1</v>
      </c>
      <c r="E56" s="62">
        <v>3.75</v>
      </c>
      <c r="F56" s="62">
        <v>8.06</v>
      </c>
      <c r="G56" s="62">
        <f t="shared" si="43"/>
        <v>246.67875000000001</v>
      </c>
      <c r="H56" s="63">
        <f t="shared" si="44"/>
        <v>530.19486000000006</v>
      </c>
      <c r="I56" s="118">
        <v>3138.4000000000005</v>
      </c>
      <c r="J56" s="119">
        <v>3232.5520000000006</v>
      </c>
      <c r="K56" s="120">
        <v>4.1928179964313035</v>
      </c>
      <c r="L56" s="121">
        <v>8.1295182258475673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48"/>
        <v>3232.5520000000006</v>
      </c>
      <c r="S56" s="62">
        <f t="shared" si="49"/>
        <v>135.53502200000005</v>
      </c>
      <c r="T56" s="63">
        <f t="shared" si="50"/>
        <v>262.79090400000013</v>
      </c>
      <c r="U56" s="64" t="s">
        <v>207</v>
      </c>
      <c r="V56" s="65" t="s">
        <v>891</v>
      </c>
      <c r="W56" s="66" t="s">
        <v>184</v>
      </c>
      <c r="X56" s="67">
        <v>6280</v>
      </c>
      <c r="Y56" s="68">
        <v>4.05</v>
      </c>
      <c r="Z56" s="68">
        <v>8.09</v>
      </c>
      <c r="AA56" s="62">
        <f t="shared" si="51"/>
        <v>254.34</v>
      </c>
      <c r="AB56" s="63">
        <f t="shared" si="52"/>
        <v>508.05200000000002</v>
      </c>
      <c r="AC56" s="69">
        <v>6300</v>
      </c>
      <c r="AD56" s="70">
        <v>3.9502380952380953</v>
      </c>
      <c r="AE56" s="70">
        <v>8.0700476190476191</v>
      </c>
      <c r="AF56" s="62">
        <f t="shared" si="18"/>
        <v>248.86500000000001</v>
      </c>
      <c r="AG56" s="63">
        <f t="shared" si="19"/>
        <v>508.41300000000007</v>
      </c>
      <c r="AH56" s="66">
        <v>3530.6</v>
      </c>
      <c r="AI56" s="66">
        <v>3.89</v>
      </c>
      <c r="AJ56" s="66">
        <v>8.06</v>
      </c>
      <c r="AK56" s="62">
        <f t="shared" si="20"/>
        <v>137.34034</v>
      </c>
      <c r="AL56" s="72">
        <f t="shared" si="21"/>
        <v>284.56636000000003</v>
      </c>
      <c r="AM56" s="73">
        <f t="shared" si="22"/>
        <v>-19.947999999998046</v>
      </c>
      <c r="AN56" s="74">
        <f t="shared" si="23"/>
        <v>-3.991567999999944</v>
      </c>
      <c r="AO56" s="74">
        <f t="shared" si="24"/>
        <v>6.4040000001455155E-3</v>
      </c>
      <c r="AP56" s="75">
        <f t="shared" si="25"/>
        <v>-1.000478186298071E-2</v>
      </c>
      <c r="AQ56" s="76">
        <f t="shared" si="26"/>
        <v>-1916.1603942827303</v>
      </c>
      <c r="AR56" s="83">
        <f t="shared" si="53"/>
        <v>5.2000000001498847E-2</v>
      </c>
    </row>
    <row r="57" spans="1:49" x14ac:dyDescent="0.25">
      <c r="A57" t="str">
        <f t="shared" si="10"/>
        <v>46230E</v>
      </c>
      <c r="B57" s="51">
        <f t="shared" si="28"/>
        <v>46230</v>
      </c>
      <c r="C57" s="52" t="s">
        <v>88</v>
      </c>
      <c r="D57" s="79">
        <v>3530.6</v>
      </c>
      <c r="E57" s="62">
        <v>3.89</v>
      </c>
      <c r="F57" s="62">
        <v>8.06</v>
      </c>
      <c r="G57" s="62">
        <f t="shared" si="43"/>
        <v>137.34034</v>
      </c>
      <c r="H57" s="63">
        <f t="shared" si="44"/>
        <v>284.56636000000003</v>
      </c>
      <c r="I57" s="118">
        <v>5248.199999999998</v>
      </c>
      <c r="J57" s="119">
        <v>5405.6459999999979</v>
      </c>
      <c r="K57" s="120">
        <v>4.0396478792728923</v>
      </c>
      <c r="L57" s="121">
        <v>8.1262794863000636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48"/>
        <v>5405.6459999999979</v>
      </c>
      <c r="S57" s="62">
        <f t="shared" si="49"/>
        <v>218.36906399999984</v>
      </c>
      <c r="T57" s="63">
        <f t="shared" si="50"/>
        <v>439.27790199999981</v>
      </c>
      <c r="U57" s="64" t="s">
        <v>176</v>
      </c>
      <c r="V57" s="65" t="s">
        <v>892</v>
      </c>
      <c r="W57" s="66" t="s">
        <v>251</v>
      </c>
      <c r="X57" s="67">
        <v>6250</v>
      </c>
      <c r="Y57" s="68">
        <v>4</v>
      </c>
      <c r="Z57" s="68">
        <v>8.08</v>
      </c>
      <c r="AA57" s="62">
        <f t="shared" si="51"/>
        <v>250</v>
      </c>
      <c r="AB57" s="63">
        <f t="shared" si="52"/>
        <v>505</v>
      </c>
      <c r="AC57" s="69">
        <v>6250</v>
      </c>
      <c r="AD57" s="70">
        <v>3.95</v>
      </c>
      <c r="AE57" s="70">
        <v>8.07</v>
      </c>
      <c r="AF57" s="62">
        <f t="shared" si="18"/>
        <v>246.875</v>
      </c>
      <c r="AG57" s="63">
        <f t="shared" si="19"/>
        <v>504.37500000000006</v>
      </c>
      <c r="AH57" s="66">
        <v>2686.2</v>
      </c>
      <c r="AI57" s="66">
        <v>3.98</v>
      </c>
      <c r="AJ57" s="66">
        <v>8.1</v>
      </c>
      <c r="AK57" s="62">
        <f t="shared" si="20"/>
        <v>106.91076</v>
      </c>
      <c r="AL57" s="72">
        <f t="shared" si="21"/>
        <v>217.5822</v>
      </c>
      <c r="AM57" s="73">
        <f t="shared" si="22"/>
        <v>4.5999999997548002E-2</v>
      </c>
      <c r="AN57" s="74">
        <f t="shared" si="23"/>
        <v>1.9236439999998396</v>
      </c>
      <c r="AO57" s="74">
        <f t="shared" si="24"/>
        <v>1.8870619999997871</v>
      </c>
      <c r="AP57" s="75">
        <f t="shared" si="25"/>
        <v>5.7944553795746222E-3</v>
      </c>
      <c r="AQ57" s="76">
        <f t="shared" si="26"/>
        <v>1489.531819145981</v>
      </c>
      <c r="AR57" s="83">
        <f t="shared" si="53"/>
        <v>4.5999999996638508E-2</v>
      </c>
    </row>
    <row r="58" spans="1:49" x14ac:dyDescent="0.25">
      <c r="A58" t="str">
        <f t="shared" si="10"/>
        <v>46231M</v>
      </c>
      <c r="B58" s="51">
        <f t="shared" si="28"/>
        <v>46231</v>
      </c>
      <c r="C58" s="52" t="s">
        <v>87</v>
      </c>
      <c r="D58" s="79">
        <v>2686.2</v>
      </c>
      <c r="E58" s="62">
        <v>3.98</v>
      </c>
      <c r="F58" s="62">
        <v>8.1</v>
      </c>
      <c r="G58" s="62">
        <f t="shared" ref="G58:G63" si="54">+D58*E58%</f>
        <v>106.91076</v>
      </c>
      <c r="H58" s="63">
        <f t="shared" ref="H58:H63" si="55">+D58*F58%</f>
        <v>217.5822</v>
      </c>
      <c r="I58" s="118">
        <v>3524.5</v>
      </c>
      <c r="J58" s="119">
        <v>3630.2350000000001</v>
      </c>
      <c r="K58" s="120">
        <v>4.1053567881969073</v>
      </c>
      <c r="L58" s="121">
        <v>8.1761015746914474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48"/>
        <v>3630.2350000000001</v>
      </c>
      <c r="S58" s="62">
        <f t="shared" si="49"/>
        <v>149.034099</v>
      </c>
      <c r="T58" s="63">
        <f t="shared" si="50"/>
        <v>296.81170100000003</v>
      </c>
      <c r="U58" s="64" t="s">
        <v>179</v>
      </c>
      <c r="V58" s="65" t="s">
        <v>952</v>
      </c>
      <c r="W58" s="66" t="s">
        <v>251</v>
      </c>
      <c r="X58" s="67">
        <v>5100</v>
      </c>
      <c r="Y58" s="68">
        <v>4.0999999999999996</v>
      </c>
      <c r="Z58" s="68">
        <v>8.0399999999999991</v>
      </c>
      <c r="AA58" s="62">
        <f t="shared" si="51"/>
        <v>209.09999999999997</v>
      </c>
      <c r="AB58" s="63">
        <f t="shared" si="52"/>
        <v>410.03999999999991</v>
      </c>
      <c r="AC58" s="69">
        <v>5130</v>
      </c>
      <c r="AD58" s="70">
        <v>4.05</v>
      </c>
      <c r="AE58" s="70">
        <v>7.97</v>
      </c>
      <c r="AF58" s="62">
        <f t="shared" si="18"/>
        <v>207.76500000000001</v>
      </c>
      <c r="AG58" s="63">
        <f t="shared" si="19"/>
        <v>408.86099999999999</v>
      </c>
      <c r="AH58" s="66">
        <v>1186.4000000000001</v>
      </c>
      <c r="AI58" s="66">
        <v>4.05</v>
      </c>
      <c r="AJ58" s="66">
        <v>8.14</v>
      </c>
      <c r="AK58" s="62">
        <f t="shared" si="20"/>
        <v>48.049200000000006</v>
      </c>
      <c r="AL58" s="72">
        <f t="shared" si="21"/>
        <v>96.572960000000009</v>
      </c>
      <c r="AM58" s="73">
        <f t="shared" si="22"/>
        <v>3.4999999999399733E-2</v>
      </c>
      <c r="AN58" s="74">
        <f t="shared" si="23"/>
        <v>0.1306589999999872</v>
      </c>
      <c r="AO58" s="74">
        <f t="shared" si="24"/>
        <v>8.959941000000029</v>
      </c>
      <c r="AP58" s="75">
        <f t="shared" si="25"/>
        <v>2.038956069564862E-2</v>
      </c>
      <c r="AQ58" s="76">
        <f t="shared" si="26"/>
        <v>2746.208465509741</v>
      </c>
      <c r="AR58" s="90">
        <f t="shared" si="53"/>
        <v>30.034999999999854</v>
      </c>
    </row>
    <row r="59" spans="1:49" x14ac:dyDescent="0.25">
      <c r="A59" t="str">
        <f t="shared" si="10"/>
        <v>46231E</v>
      </c>
      <c r="B59" s="51">
        <f t="shared" si="28"/>
        <v>46231</v>
      </c>
      <c r="C59" s="52" t="s">
        <v>88</v>
      </c>
      <c r="D59" s="79">
        <v>1186.4000000000001</v>
      </c>
      <c r="E59" s="62">
        <v>4.05</v>
      </c>
      <c r="F59" s="62">
        <v>8.14</v>
      </c>
      <c r="G59" s="62">
        <f t="shared" si="54"/>
        <v>48.049200000000006</v>
      </c>
      <c r="H59" s="63">
        <f t="shared" si="55"/>
        <v>96.572960000000009</v>
      </c>
      <c r="I59" s="118">
        <v>4827</v>
      </c>
      <c r="J59" s="119">
        <v>4971.8100000000004</v>
      </c>
      <c r="K59" s="120">
        <v>4.113753884400249</v>
      </c>
      <c r="L59" s="121">
        <v>8.1158524963745613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48"/>
        <v>4971.8100000000004</v>
      </c>
      <c r="S59" s="62">
        <f t="shared" si="49"/>
        <v>204.52802700000001</v>
      </c>
      <c r="T59" s="63">
        <f t="shared" si="50"/>
        <v>403.50476600000007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>
        <v>6155.1</v>
      </c>
      <c r="AI59" s="66">
        <v>4.09</v>
      </c>
      <c r="AJ59" s="66">
        <v>8.1199999999999992</v>
      </c>
      <c r="AK59" s="62">
        <f t="shared" si="20"/>
        <v>251.74359000000001</v>
      </c>
      <c r="AL59" s="72">
        <f t="shared" si="21"/>
        <v>499.79412000000002</v>
      </c>
      <c r="AM59" s="73">
        <f t="shared" si="22"/>
        <v>3.1100000000005821</v>
      </c>
      <c r="AN59" s="74">
        <f t="shared" si="23"/>
        <v>0.83363700000001018</v>
      </c>
      <c r="AO59" s="74">
        <f t="shared" si="24"/>
        <v>0.28360600000007707</v>
      </c>
      <c r="AP59" s="75">
        <f t="shared" si="25"/>
        <v>1.8374716180811108E-3</v>
      </c>
      <c r="AQ59" s="76">
        <f t="shared" si="26"/>
        <v>485.52718259911705</v>
      </c>
      <c r="AR59" s="90">
        <f t="shared" si="53"/>
        <v>3.1100000000005821</v>
      </c>
      <c r="AS59" s="90">
        <f>SUM(J46:J59)</f>
        <v>66065.23000000001</v>
      </c>
      <c r="AT59" s="83">
        <f>SUM(AM46:AM59)</f>
        <v>64.52999999999696</v>
      </c>
      <c r="AU59" s="83">
        <f>SUM(AN46:AN59)</f>
        <v>-40.033624999999837</v>
      </c>
      <c r="AV59" s="83">
        <f>SUM(AO46:AO59)</f>
        <v>84.930916999999297</v>
      </c>
      <c r="AW59" s="83">
        <f>-SUM(AQ46:AQ59)</f>
        <v>-6198.593779174078</v>
      </c>
    </row>
    <row r="60" spans="1:49" x14ac:dyDescent="0.25">
      <c r="A60" t="str">
        <f t="shared" si="10"/>
        <v>46232M</v>
      </c>
      <c r="B60" s="51">
        <f t="shared" si="28"/>
        <v>46232</v>
      </c>
      <c r="C60" s="52" t="s">
        <v>87</v>
      </c>
      <c r="D60" s="79">
        <v>6155.1</v>
      </c>
      <c r="E60" s="62">
        <v>4.09</v>
      </c>
      <c r="F60" s="62">
        <v>8.1199999999999992</v>
      </c>
      <c r="G60" s="62">
        <f t="shared" si="54"/>
        <v>251.74359000000001</v>
      </c>
      <c r="H60" s="63">
        <f t="shared" si="55"/>
        <v>499.79412000000002</v>
      </c>
      <c r="I60" s="118">
        <v>6209.4</v>
      </c>
      <c r="J60" s="119">
        <v>6395.6819999999998</v>
      </c>
      <c r="K60" s="120">
        <v>3.7345798305794431</v>
      </c>
      <c r="L60" s="121">
        <v>8.0880552066222169</v>
      </c>
      <c r="M60" s="58" t="s">
        <v>183</v>
      </c>
      <c r="N60" s="58" t="s">
        <v>951</v>
      </c>
      <c r="O60" s="59">
        <v>2156</v>
      </c>
      <c r="P60" s="56">
        <v>3.9</v>
      </c>
      <c r="Q60" s="60">
        <v>8</v>
      </c>
      <c r="R60" s="61">
        <f t="shared" ref="R60:R65" si="56">+J60+O60</f>
        <v>8551.6820000000007</v>
      </c>
      <c r="S60" s="62">
        <f t="shared" ref="S60:S65" si="57">+J60*K60%+O60*P60%</f>
        <v>322.93584999999996</v>
      </c>
      <c r="T60" s="63">
        <f t="shared" ref="T60:T65" si="58">+J60*L60%+O60*Q60%</f>
        <v>689.76629100000002</v>
      </c>
      <c r="U60" s="64" t="s">
        <v>828</v>
      </c>
      <c r="V60" s="65" t="s">
        <v>953</v>
      </c>
      <c r="W60" s="66" t="s">
        <v>954</v>
      </c>
      <c r="X60" s="67">
        <v>8330</v>
      </c>
      <c r="Y60" s="68">
        <v>3.95</v>
      </c>
      <c r="Z60" s="68">
        <v>8.07</v>
      </c>
      <c r="AA60" s="62">
        <f t="shared" ref="AA60:AA65" si="59">X60*Y60%</f>
        <v>329.03500000000003</v>
      </c>
      <c r="AB60" s="63">
        <f t="shared" ref="AB60:AB65" si="60">X60*Z60%</f>
        <v>672.23100000000011</v>
      </c>
      <c r="AC60" s="221">
        <v>8330</v>
      </c>
      <c r="AD60" s="222">
        <v>3.95</v>
      </c>
      <c r="AE60" s="222">
        <v>8.07</v>
      </c>
      <c r="AF60" s="62">
        <f t="shared" si="18"/>
        <v>329.03500000000003</v>
      </c>
      <c r="AG60" s="63">
        <f t="shared" si="19"/>
        <v>672.23100000000011</v>
      </c>
      <c r="AH60" s="66">
        <v>6377.2</v>
      </c>
      <c r="AI60" s="66">
        <v>3.9</v>
      </c>
      <c r="AJ60" s="66">
        <v>8.08</v>
      </c>
      <c r="AK60" s="62">
        <f t="shared" si="20"/>
        <v>248.71080000000001</v>
      </c>
      <c r="AL60" s="72">
        <f t="shared" si="21"/>
        <v>515.27775999999994</v>
      </c>
      <c r="AM60" s="73">
        <f t="shared" si="22"/>
        <v>-0.41799999999875581</v>
      </c>
      <c r="AN60" s="74">
        <f t="shared" si="23"/>
        <v>-3.0663600000000315</v>
      </c>
      <c r="AO60" s="74">
        <f t="shared" si="24"/>
        <v>2.0516509999998789</v>
      </c>
      <c r="AP60" s="75">
        <f t="shared" si="25"/>
        <v>-1.0019816873282907E-3</v>
      </c>
      <c r="AQ60" s="76">
        <f t="shared" si="26"/>
        <v>-859.03456940347542</v>
      </c>
      <c r="AR60" s="90">
        <f t="shared" si="53"/>
        <v>-0.4180000000014843</v>
      </c>
    </row>
    <row r="61" spans="1:49" x14ac:dyDescent="0.25">
      <c r="A61" t="str">
        <f t="shared" si="10"/>
        <v>46232E</v>
      </c>
      <c r="B61" s="51">
        <f t="shared" si="28"/>
        <v>46232</v>
      </c>
      <c r="C61" s="52" t="s">
        <v>88</v>
      </c>
      <c r="D61" s="79">
        <v>6377.2</v>
      </c>
      <c r="E61" s="62">
        <v>3.9</v>
      </c>
      <c r="F61" s="62">
        <v>8.08</v>
      </c>
      <c r="G61" s="62">
        <f t="shared" si="54"/>
        <v>248.71080000000001</v>
      </c>
      <c r="H61" s="63">
        <f t="shared" si="55"/>
        <v>515.27775999999994</v>
      </c>
      <c r="I61" s="118">
        <v>5161.7</v>
      </c>
      <c r="J61" s="119">
        <v>5316.5510000000004</v>
      </c>
      <c r="K61" s="120">
        <v>3.9366197183098581</v>
      </c>
      <c r="L61" s="121">
        <v>8.1679156091985199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56"/>
        <v>5316.5510000000004</v>
      </c>
      <c r="S61" s="62">
        <f t="shared" si="57"/>
        <v>209.29239499999997</v>
      </c>
      <c r="T61" s="63">
        <f t="shared" si="58"/>
        <v>434.25139900000005</v>
      </c>
      <c r="U61" s="64" t="s">
        <v>176</v>
      </c>
      <c r="V61" s="65" t="s">
        <v>955</v>
      </c>
      <c r="W61" s="66" t="s">
        <v>734</v>
      </c>
      <c r="X61" s="67">
        <v>5130</v>
      </c>
      <c r="Y61" s="68">
        <v>4</v>
      </c>
      <c r="Z61" s="68">
        <v>8.02</v>
      </c>
      <c r="AA61" s="62">
        <f t="shared" si="59"/>
        <v>205.20000000000002</v>
      </c>
      <c r="AB61" s="63">
        <f t="shared" si="60"/>
        <v>411.42599999999999</v>
      </c>
      <c r="AC61" s="221">
        <v>5130</v>
      </c>
      <c r="AD61" s="222">
        <v>4</v>
      </c>
      <c r="AE61" s="222">
        <v>8.02</v>
      </c>
      <c r="AF61" s="62">
        <f t="shared" si="18"/>
        <v>205.20000000000002</v>
      </c>
      <c r="AG61" s="63">
        <f t="shared" si="19"/>
        <v>411.42599999999999</v>
      </c>
      <c r="AH61" s="66">
        <v>6563.7</v>
      </c>
      <c r="AI61" s="66">
        <v>3.91</v>
      </c>
      <c r="AJ61" s="66">
        <v>8.1199999999999992</v>
      </c>
      <c r="AK61" s="62">
        <f t="shared" si="20"/>
        <v>256.64067</v>
      </c>
      <c r="AL61" s="72">
        <f t="shared" si="21"/>
        <v>532.97243999999989</v>
      </c>
      <c r="AM61" s="73">
        <f t="shared" si="22"/>
        <v>5.1000000000385626E-2</v>
      </c>
      <c r="AN61" s="74">
        <f t="shared" si="23"/>
        <v>-3.837475000000012</v>
      </c>
      <c r="AO61" s="74">
        <f t="shared" si="24"/>
        <v>5.1307190000001128</v>
      </c>
      <c r="AP61" s="75">
        <f t="shared" si="25"/>
        <v>2.0095664227632979E-3</v>
      </c>
      <c r="AQ61" s="76">
        <f t="shared" si="26"/>
        <v>-307.42696937727715</v>
      </c>
      <c r="AR61" s="90">
        <f t="shared" si="53"/>
        <v>5.0999999999476131E-2</v>
      </c>
      <c r="AS61" s="90">
        <f>SUM(J48:J61)</f>
        <v>69489.98</v>
      </c>
      <c r="AT61" s="83">
        <f>SUM(AM48:AM61)</f>
        <v>54.079999999997881</v>
      </c>
      <c r="AU61" s="83">
        <f>SUM(AN48:AN61)</f>
        <v>-38.715906000000054</v>
      </c>
      <c r="AV61" s="83">
        <f>SUM(AO48:AO61)</f>
        <v>71.52179599999954</v>
      </c>
      <c r="AW61" s="83">
        <f>-SUM(AQ48:AQ61)</f>
        <v>-2815.8882810652699</v>
      </c>
    </row>
    <row r="62" spans="1:49" x14ac:dyDescent="0.25">
      <c r="A62" t="str">
        <f t="shared" si="10"/>
        <v>46233M</v>
      </c>
      <c r="B62" s="51">
        <f t="shared" si="28"/>
        <v>46233</v>
      </c>
      <c r="C62" s="52" t="s">
        <v>87</v>
      </c>
      <c r="D62" s="79">
        <v>6563.7</v>
      </c>
      <c r="E62" s="62">
        <v>3.91</v>
      </c>
      <c r="F62" s="62">
        <v>8.1199999999999992</v>
      </c>
      <c r="G62" s="62">
        <f t="shared" si="54"/>
        <v>256.64067</v>
      </c>
      <c r="H62" s="63">
        <f t="shared" si="55"/>
        <v>532.97243999999989</v>
      </c>
      <c r="I62" s="118">
        <v>2998.9999999999995</v>
      </c>
      <c r="J62" s="119">
        <v>3088.97</v>
      </c>
      <c r="K62" s="120">
        <v>4.1563554518172738</v>
      </c>
      <c r="L62" s="121">
        <v>8.1108836278759586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56"/>
        <v>3088.97</v>
      </c>
      <c r="S62" s="62">
        <f t="shared" si="57"/>
        <v>128.38857300000004</v>
      </c>
      <c r="T62" s="63">
        <f t="shared" si="58"/>
        <v>250.54276199999998</v>
      </c>
      <c r="U62" s="64" t="s">
        <v>179</v>
      </c>
      <c r="V62" s="65" t="s">
        <v>956</v>
      </c>
      <c r="W62" s="66" t="s">
        <v>184</v>
      </c>
      <c r="X62" s="67">
        <v>8800</v>
      </c>
      <c r="Y62" s="68">
        <v>4.04</v>
      </c>
      <c r="Z62" s="68">
        <v>8.06</v>
      </c>
      <c r="AA62" s="62">
        <f t="shared" si="59"/>
        <v>355.52</v>
      </c>
      <c r="AB62" s="63">
        <f t="shared" si="60"/>
        <v>709.28000000000009</v>
      </c>
      <c r="AC62" s="221">
        <v>8800</v>
      </c>
      <c r="AD62" s="222">
        <v>4.04</v>
      </c>
      <c r="AE62" s="222">
        <v>8.06</v>
      </c>
      <c r="AF62" s="62">
        <f t="shared" si="18"/>
        <v>355.52</v>
      </c>
      <c r="AG62" s="63">
        <f t="shared" si="19"/>
        <v>709.28000000000009</v>
      </c>
      <c r="AH62" s="66">
        <v>852.6</v>
      </c>
      <c r="AI62" s="66">
        <v>3.99</v>
      </c>
      <c r="AJ62" s="66">
        <v>8.11</v>
      </c>
      <c r="AK62" s="62">
        <f t="shared" si="20"/>
        <v>34.018740000000008</v>
      </c>
      <c r="AL62" s="72">
        <f t="shared" si="21"/>
        <v>69.145859999999999</v>
      </c>
      <c r="AM62" s="73">
        <f t="shared" si="22"/>
        <v>7.0000000000050022E-2</v>
      </c>
      <c r="AN62" s="74">
        <f t="shared" si="23"/>
        <v>-4.509496999999925</v>
      </c>
      <c r="AO62" s="74">
        <f t="shared" si="24"/>
        <v>5.089341999999732</v>
      </c>
      <c r="AP62" s="75">
        <f t="shared" si="25"/>
        <v>1.5302112716537601E-3</v>
      </c>
      <c r="AQ62" s="76">
        <f t="shared" si="26"/>
        <v>-642.74745543220502</v>
      </c>
      <c r="AR62" s="90">
        <f t="shared" si="53"/>
        <v>6.9999999999708962E-2</v>
      </c>
    </row>
    <row r="63" spans="1:49" x14ac:dyDescent="0.25">
      <c r="A63" t="str">
        <f t="shared" si="10"/>
        <v>46233E</v>
      </c>
      <c r="B63" s="51">
        <f t="shared" si="28"/>
        <v>46233</v>
      </c>
      <c r="C63" s="52" t="s">
        <v>88</v>
      </c>
      <c r="D63" s="79">
        <v>852.6</v>
      </c>
      <c r="E63" s="62">
        <v>3.99</v>
      </c>
      <c r="F63" s="62">
        <v>8.11</v>
      </c>
      <c r="G63" s="62">
        <f t="shared" si="54"/>
        <v>34.018740000000008</v>
      </c>
      <c r="H63" s="63">
        <f t="shared" si="55"/>
        <v>69.145859999999999</v>
      </c>
      <c r="I63" s="118">
        <v>4742.4999999999991</v>
      </c>
      <c r="J63" s="119">
        <v>4884.7749999999996</v>
      </c>
      <c r="K63" s="120">
        <v>4.0450289931470733</v>
      </c>
      <c r="L63" s="121">
        <v>8.1209509752240336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56"/>
        <v>4884.7749999999996</v>
      </c>
      <c r="S63" s="62">
        <f t="shared" si="57"/>
        <v>197.59056499999994</v>
      </c>
      <c r="T63" s="63">
        <f t="shared" si="58"/>
        <v>396.69018299999976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59"/>
        <v>0</v>
      </c>
      <c r="AB63" s="63">
        <f t="shared" si="60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>
        <v>5737.5</v>
      </c>
      <c r="AI63" s="66">
        <v>4.0999999999999996</v>
      </c>
      <c r="AJ63" s="66">
        <v>8.1999999999999993</v>
      </c>
      <c r="AK63" s="62">
        <f t="shared" si="20"/>
        <v>235.23749999999998</v>
      </c>
      <c r="AL63" s="72">
        <f t="shared" si="21"/>
        <v>470.47499999999997</v>
      </c>
      <c r="AM63" s="73">
        <f t="shared" si="22"/>
        <v>-0.125</v>
      </c>
      <c r="AN63" s="74">
        <f t="shared" si="23"/>
        <v>-3.6281950000000336</v>
      </c>
      <c r="AO63" s="74">
        <f t="shared" si="24"/>
        <v>-4.6389570000001754</v>
      </c>
      <c r="AP63" s="75">
        <f t="shared" si="25"/>
        <v>-1.3911189328987338E-2</v>
      </c>
      <c r="AQ63" s="76">
        <f t="shared" si="26"/>
        <v>-3132.7921054129461</v>
      </c>
      <c r="AR63" s="90">
        <f t="shared" si="53"/>
        <v>-0.125</v>
      </c>
    </row>
    <row r="64" spans="1:49" x14ac:dyDescent="0.25">
      <c r="A64" t="str">
        <f t="shared" si="10"/>
        <v>46234M</v>
      </c>
      <c r="B64" s="51">
        <f t="shared" si="28"/>
        <v>46234</v>
      </c>
      <c r="C64" s="52" t="s">
        <v>87</v>
      </c>
      <c r="D64" s="79"/>
      <c r="E64" s="62"/>
      <c r="F64" s="62"/>
      <c r="G64" s="62">
        <f t="shared" ref="G64:G65" si="61">+D64*E64%</f>
        <v>0</v>
      </c>
      <c r="H64" s="63">
        <f t="shared" ref="H64:H65" si="62">+D64*F64%</f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 t="shared" si="56"/>
        <v>0</v>
      </c>
      <c r="S64" s="62">
        <f t="shared" si="57"/>
        <v>0</v>
      </c>
      <c r="T64" s="63">
        <f t="shared" si="58"/>
        <v>0</v>
      </c>
      <c r="U64" s="64"/>
      <c r="V64" s="65"/>
      <c r="W64" s="66"/>
      <c r="X64" s="67"/>
      <c r="Y64" s="68"/>
      <c r="Z64" s="68"/>
      <c r="AA64" s="62">
        <f t="shared" si="59"/>
        <v>0</v>
      </c>
      <c r="AB64" s="63">
        <f t="shared" si="60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90">
        <f t="shared" si="53"/>
        <v>0</v>
      </c>
    </row>
    <row r="65" spans="1:49" x14ac:dyDescent="0.25">
      <c r="A65" t="str">
        <f t="shared" si="10"/>
        <v>46234E</v>
      </c>
      <c r="B65" s="51">
        <f t="shared" si="28"/>
        <v>46234</v>
      </c>
      <c r="C65" s="52" t="s">
        <v>88</v>
      </c>
      <c r="D65" s="79"/>
      <c r="E65" s="62"/>
      <c r="F65" s="62"/>
      <c r="G65" s="62">
        <f t="shared" si="61"/>
        <v>0</v>
      </c>
      <c r="H65" s="63">
        <f t="shared" si="62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 t="shared" si="56"/>
        <v>0</v>
      </c>
      <c r="S65" s="62">
        <f t="shared" si="57"/>
        <v>0</v>
      </c>
      <c r="T65" s="63">
        <f t="shared" si="58"/>
        <v>0</v>
      </c>
      <c r="U65" s="64"/>
      <c r="V65" s="65"/>
      <c r="W65" s="66"/>
      <c r="X65" s="67"/>
      <c r="Y65" s="68"/>
      <c r="Z65" s="68"/>
      <c r="AA65" s="62">
        <f t="shared" si="59"/>
        <v>0</v>
      </c>
      <c r="AB65" s="63">
        <f t="shared" si="60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90">
        <f t="shared" si="53"/>
        <v>0</v>
      </c>
      <c r="AS65" s="90">
        <f>SUM(J52:J65)</f>
        <v>58728.539999999994</v>
      </c>
      <c r="AT65" s="83">
        <f>SUM(AM52:AM65)</f>
        <v>-76.360000000001833</v>
      </c>
      <c r="AU65" s="83">
        <f>SUM(AN52:AN65)</f>
        <v>-38.308105000000054</v>
      </c>
      <c r="AV65" s="83">
        <f>SUM(AO52:AO65)</f>
        <v>32.493950999999448</v>
      </c>
      <c r="AW65" s="83">
        <f>-SUM(AQ52:AQ65)</f>
        <v>8676.6421976487673</v>
      </c>
    </row>
    <row r="66" spans="1:49" x14ac:dyDescent="0.25">
      <c r="J66" s="83">
        <f>SUM(J4:J65)</f>
        <v>290140.391</v>
      </c>
      <c r="AM66" s="97">
        <f>-SUM(AM4:AM65)</f>
        <v>461.1090000000022</v>
      </c>
      <c r="AN66" s="97">
        <f>-SUM(AN4:AN65)</f>
        <v>169.43973600000024</v>
      </c>
      <c r="AO66" s="97">
        <f>-SUM(AO4:AO65)</f>
        <v>-246.95932999999823</v>
      </c>
      <c r="AQ66" s="97">
        <f>-SUM(AQ4:AQ65)</f>
        <v>7459.1870289319868</v>
      </c>
    </row>
    <row r="68" spans="1:49" x14ac:dyDescent="0.25">
      <c r="AQ68">
        <v>17745.614131332622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2" operator="lessThan">
      <formula>0.1</formula>
    </cfRule>
    <cfRule type="cellIs" dxfId="18" priority="3" operator="greaterThan">
      <formula>0.1</formula>
    </cfRule>
  </conditionalFormatting>
  <conditionalFormatting sqref="AP1:AQ1">
    <cfRule type="cellIs" dxfId="17" priority="1" operator="lessThan">
      <formula>1</formula>
    </cfRule>
  </conditionalFormatting>
  <conditionalFormatting sqref="AQ4:AQ65">
    <cfRule type="cellIs" dxfId="16" priority="18" operator="lessThan">
      <formula>0</formula>
    </cfRule>
    <cfRule type="cellIs" dxfId="15" priority="1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66"/>
  <sheetViews>
    <sheetView zoomScale="80" zoomScaleNormal="80"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AC62" sqref="AC62:AE62"/>
    </sheetView>
  </sheetViews>
  <sheetFormatPr defaultRowHeight="15" x14ac:dyDescent="0.25"/>
  <cols>
    <col min="1" max="1" width="3.42578125" customWidth="1"/>
    <col min="2" max="2" width="9.7109375" customWidth="1"/>
    <col min="3" max="3" width="5.7109375" bestFit="1" customWidth="1"/>
    <col min="4" max="4" width="7.85546875" bestFit="1" customWidth="1"/>
    <col min="5" max="5" width="5.85546875" bestFit="1" customWidth="1"/>
    <col min="6" max="6" width="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10.7109375" bestFit="1" customWidth="1"/>
    <col min="22" max="22" width="9" customWidth="1"/>
    <col min="23" max="23" width="10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4.42578125" bestFit="1" customWidth="1"/>
    <col min="45" max="45" width="6.5703125" bestFit="1" customWidth="1"/>
    <col min="46" max="46" width="7.5703125" bestFit="1" customWidth="1"/>
    <col min="47" max="47" width="5.7109375" bestFit="1" customWidth="1"/>
    <col min="48" max="48" width="6.5703125" bestFit="1" customWidth="1"/>
    <col min="49" max="49" width="9.28515625" bestFit="1" customWidth="1"/>
  </cols>
  <sheetData>
    <row r="1" spans="1:44" ht="15.75" thickBot="1" x14ac:dyDescent="0.3">
      <c r="B1" s="43" t="s">
        <v>135</v>
      </c>
      <c r="C1" s="44"/>
      <c r="X1" t="s">
        <v>94</v>
      </c>
      <c r="AG1">
        <v>392</v>
      </c>
      <c r="AI1"/>
      <c r="AJ1"/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/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5243</v>
      </c>
      <c r="E4" s="88">
        <v>4.04</v>
      </c>
      <c r="F4" s="88">
        <v>8.1300000000000008</v>
      </c>
      <c r="G4" s="62">
        <f t="shared" ref="G4" si="0">+D4*E4%</f>
        <v>211.81719999999999</v>
      </c>
      <c r="H4" s="63">
        <f t="shared" ref="H4" si="1">+D4*F4%</f>
        <v>426.25590000000005</v>
      </c>
      <c r="I4" s="202">
        <v>1481.2</v>
      </c>
      <c r="J4" s="202">
        <v>1525.6360000000002</v>
      </c>
      <c r="K4" s="202">
        <v>4.2333175803402634</v>
      </c>
      <c r="L4" s="202">
        <v>8.2070010802052362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1525.6360000000002</v>
      </c>
      <c r="S4" s="62">
        <f>+J4*K4%+O4*P4%</f>
        <v>64.585016999999993</v>
      </c>
      <c r="T4" s="63">
        <f>+J4*L4%+O4*Q4%</f>
        <v>125.20896299999998</v>
      </c>
      <c r="U4" s="64" t="s">
        <v>179</v>
      </c>
      <c r="V4" s="65" t="s">
        <v>216</v>
      </c>
      <c r="W4" s="66" t="s">
        <v>184</v>
      </c>
      <c r="X4" s="67">
        <v>3830</v>
      </c>
      <c r="Y4" s="68">
        <v>4.3499999999999996</v>
      </c>
      <c r="Z4" s="68">
        <v>8.2799999999999994</v>
      </c>
      <c r="AA4" s="62">
        <f t="shared" ref="AA4" si="2">X4*Y4%</f>
        <v>166.60499999999999</v>
      </c>
      <c r="AB4" s="63">
        <f t="shared" ref="AB4" si="3">X4*Z4%</f>
        <v>317.12399999999997</v>
      </c>
      <c r="AC4" s="69">
        <v>3850</v>
      </c>
      <c r="AD4" s="70">
        <v>4.3499999999999996</v>
      </c>
      <c r="AE4" s="70">
        <v>8.2799999999999994</v>
      </c>
      <c r="AF4" s="62">
        <f t="shared" ref="AF4" si="4">AC4*AD4%</f>
        <v>167.47499999999999</v>
      </c>
      <c r="AG4" s="63">
        <f t="shared" ref="AG4" si="5">AC4*AE4%</f>
        <v>318.77999999999997</v>
      </c>
      <c r="AH4" s="66">
        <v>2938</v>
      </c>
      <c r="AI4" s="66">
        <v>4.08</v>
      </c>
      <c r="AJ4" s="66">
        <v>8.14</v>
      </c>
      <c r="AK4" s="62">
        <f t="shared" ref="AK4" si="6">AH4*AI4%</f>
        <v>119.8704</v>
      </c>
      <c r="AL4" s="72">
        <f t="shared" ref="AL4" si="7">AH4*AJ4%</f>
        <v>239.1532</v>
      </c>
      <c r="AM4" s="73">
        <f>+D4+R4-AC4-AH4</f>
        <v>-19.363999999999578</v>
      </c>
      <c r="AN4" s="74">
        <f t="shared" ref="AN4:AO19" si="8">+G4+S4-AF4-AK4</f>
        <v>-10.943183000000047</v>
      </c>
      <c r="AO4" s="74">
        <f t="shared" si="8"/>
        <v>-6.4683369999999343</v>
      </c>
      <c r="AP4" s="75">
        <f>(AN4+AO4)/(S4+T4)</f>
        <v>-9.1739053051103012E-2</v>
      </c>
      <c r="AQ4" s="76">
        <f t="shared" ref="AQ4:AQ65" si="9">($AP$1*AN4+$AQ$1*AO4)</f>
        <v>-7195.7649400502687</v>
      </c>
      <c r="AR4" s="90">
        <f>(D4+J4+O4)-(X4+AH4)</f>
        <v>0.63600000000042201</v>
      </c>
    </row>
    <row r="5" spans="1:44" x14ac:dyDescent="0.25">
      <c r="A5" t="str">
        <f t="shared" ref="A5:A65" si="10">CONCATENATE(B5,C5)</f>
        <v>46204E</v>
      </c>
      <c r="B5" s="51">
        <f>+B4</f>
        <v>46204</v>
      </c>
      <c r="C5" s="52" t="s">
        <v>88</v>
      </c>
      <c r="D5" s="91">
        <v>2938</v>
      </c>
      <c r="E5" s="62">
        <v>4.08</v>
      </c>
      <c r="F5" s="62">
        <v>8.14</v>
      </c>
      <c r="G5" s="62">
        <f t="shared" ref="G5:G65" si="11">+D5*E5%</f>
        <v>119.8704</v>
      </c>
      <c r="H5" s="63">
        <f t="shared" ref="H5:H65" si="12">+D5*F5%</f>
        <v>239.1532</v>
      </c>
      <c r="I5" s="202">
        <v>2153.1999999999998</v>
      </c>
      <c r="J5" s="202">
        <v>2217.7959999999998</v>
      </c>
      <c r="K5" s="202">
        <v>4.0051411852127066</v>
      </c>
      <c r="L5" s="202">
        <v>8.0886680289801234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2217.7959999999998</v>
      </c>
      <c r="S5" s="62">
        <f t="shared" ref="S5:S65" si="14">+J5*K5%+O5*P5%</f>
        <v>88.825860999999989</v>
      </c>
      <c r="T5" s="63">
        <f t="shared" ref="T5:T65" si="15">+J5*L5%+O5*Q5%</f>
        <v>179.39015599999999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66">
        <v>5155</v>
      </c>
      <c r="AI5" s="66">
        <v>4.04</v>
      </c>
      <c r="AJ5" s="66">
        <v>8.11</v>
      </c>
      <c r="AK5" s="62">
        <f t="shared" ref="AK5:AK65" si="20">AH5*AI5%</f>
        <v>208.262</v>
      </c>
      <c r="AL5" s="72">
        <f t="shared" ref="AL5:AL65" si="21">AH5*AJ5%</f>
        <v>418.07049999999998</v>
      </c>
      <c r="AM5" s="73">
        <f t="shared" ref="AM5:AM65" si="22">+D5+R5-AC5-AH5</f>
        <v>0.79600000000027649</v>
      </c>
      <c r="AN5" s="74">
        <f t="shared" si="8"/>
        <v>0.43426099999999224</v>
      </c>
      <c r="AO5" s="74">
        <f t="shared" si="8"/>
        <v>0.47285600000003569</v>
      </c>
      <c r="AP5" s="75">
        <f t="shared" ref="AP5:AP65" si="23">(AN5+AO5)/(S5+T5)</f>
        <v>3.3820388884532129E-3</v>
      </c>
      <c r="AQ5" s="76">
        <f t="shared" si="9"/>
        <v>350.29270653759272</v>
      </c>
      <c r="AR5" s="90">
        <f t="shared" ref="AR5:AR65" si="24">(D5+J5+O5)-(X5+AH5)</f>
        <v>0.79600000000027649</v>
      </c>
    </row>
    <row r="6" spans="1:44" x14ac:dyDescent="0.25">
      <c r="A6" t="str">
        <f t="shared" si="10"/>
        <v>46205M</v>
      </c>
      <c r="B6" s="51">
        <f>+B4+1</f>
        <v>46205</v>
      </c>
      <c r="C6" s="52" t="s">
        <v>87</v>
      </c>
      <c r="D6" s="91">
        <v>5155</v>
      </c>
      <c r="E6" s="62">
        <v>4.04</v>
      </c>
      <c r="F6" s="62">
        <v>8.11</v>
      </c>
      <c r="G6" s="62">
        <f t="shared" si="11"/>
        <v>208.262</v>
      </c>
      <c r="H6" s="63">
        <f t="shared" si="12"/>
        <v>418.07049999999998</v>
      </c>
      <c r="I6" s="202">
        <v>1406.8000000000004</v>
      </c>
      <c r="J6" s="202">
        <v>1449.0040000000004</v>
      </c>
      <c r="K6" s="202">
        <v>4.3141669036110306</v>
      </c>
      <c r="L6" s="202">
        <v>8.1631930622689772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1449.0040000000004</v>
      </c>
      <c r="S6" s="62">
        <f t="shared" si="14"/>
        <v>62.512450999999992</v>
      </c>
      <c r="T6" s="63">
        <f t="shared" si="15"/>
        <v>118.284994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6604</v>
      </c>
      <c r="AI6" s="66">
        <v>4.09</v>
      </c>
      <c r="AJ6" s="66">
        <v>8.1199999999999992</v>
      </c>
      <c r="AK6" s="62">
        <f t="shared" si="20"/>
        <v>270.10359999999997</v>
      </c>
      <c r="AL6" s="72">
        <f t="shared" si="21"/>
        <v>536.24479999999994</v>
      </c>
      <c r="AM6" s="73">
        <f t="shared" si="22"/>
        <v>4.0000000008149073E-3</v>
      </c>
      <c r="AN6" s="74">
        <f t="shared" si="8"/>
        <v>0.6708510000000274</v>
      </c>
      <c r="AO6" s="74">
        <f t="shared" si="8"/>
        <v>0.11069400000008045</v>
      </c>
      <c r="AP6" s="75">
        <f t="shared" si="23"/>
        <v>4.3227657337752082E-3</v>
      </c>
      <c r="AQ6" s="76">
        <f t="shared" si="9"/>
        <v>355.51760684767055</v>
      </c>
      <c r="AR6" s="90">
        <f t="shared" si="24"/>
        <v>4.0000000008149073E-3</v>
      </c>
    </row>
    <row r="7" spans="1:44" x14ac:dyDescent="0.25">
      <c r="A7" t="str">
        <f t="shared" si="10"/>
        <v>46205E</v>
      </c>
      <c r="B7" s="51">
        <f>+B5+1</f>
        <v>46205</v>
      </c>
      <c r="C7" s="52" t="s">
        <v>88</v>
      </c>
      <c r="D7" s="91">
        <v>6604</v>
      </c>
      <c r="E7" s="62">
        <v>4.09</v>
      </c>
      <c r="F7" s="62">
        <v>8.1199999999999992</v>
      </c>
      <c r="G7" s="62">
        <f t="shared" si="11"/>
        <v>270.10359999999997</v>
      </c>
      <c r="H7" s="63">
        <f t="shared" si="12"/>
        <v>536.24479999999994</v>
      </c>
      <c r="I7" s="202">
        <v>2196.5</v>
      </c>
      <c r="J7" s="202">
        <v>2262.395</v>
      </c>
      <c r="K7" s="202">
        <v>3.9252356020942409</v>
      </c>
      <c r="L7" s="202">
        <v>8.0570635101297494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2262.395</v>
      </c>
      <c r="S7" s="62">
        <f t="shared" si="14"/>
        <v>88.804333999999997</v>
      </c>
      <c r="T7" s="63">
        <f t="shared" si="15"/>
        <v>182.28260199999997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8740</v>
      </c>
      <c r="AI7" s="66">
        <v>4.04</v>
      </c>
      <c r="AJ7" s="66">
        <v>8.09</v>
      </c>
      <c r="AK7" s="62">
        <f t="shared" si="20"/>
        <v>353.096</v>
      </c>
      <c r="AL7" s="72">
        <f t="shared" si="21"/>
        <v>707.06600000000003</v>
      </c>
      <c r="AM7" s="73">
        <f t="shared" si="22"/>
        <v>126.39500000000044</v>
      </c>
      <c r="AN7" s="74">
        <f t="shared" si="8"/>
        <v>5.8119339999999511</v>
      </c>
      <c r="AO7" s="74">
        <f t="shared" si="8"/>
        <v>11.461401999999907</v>
      </c>
      <c r="AP7" s="75">
        <f t="shared" si="23"/>
        <v>6.3718806427469674E-2</v>
      </c>
      <c r="AQ7" s="76">
        <f t="shared" si="9"/>
        <v>6225.4113084198707</v>
      </c>
      <c r="AR7" s="90">
        <f t="shared" si="24"/>
        <v>126.39500000000044</v>
      </c>
    </row>
    <row r="8" spans="1:44" x14ac:dyDescent="0.25">
      <c r="A8" t="str">
        <f t="shared" si="10"/>
        <v>46206M</v>
      </c>
      <c r="B8" s="51">
        <f>+B6+1</f>
        <v>46206</v>
      </c>
      <c r="C8" s="52" t="s">
        <v>87</v>
      </c>
      <c r="D8" s="91">
        <v>8740</v>
      </c>
      <c r="E8" s="62">
        <v>4.04</v>
      </c>
      <c r="F8" s="62">
        <v>8.09</v>
      </c>
      <c r="G8" s="62">
        <f t="shared" si="11"/>
        <v>353.096</v>
      </c>
      <c r="H8" s="63">
        <f t="shared" si="12"/>
        <v>707.06600000000003</v>
      </c>
      <c r="I8" s="202">
        <v>1250.6000000000001</v>
      </c>
      <c r="J8" s="202">
        <v>1288.1180000000002</v>
      </c>
      <c r="K8" s="202">
        <v>4.3277946585638896</v>
      </c>
      <c r="L8" s="202">
        <v>8.1850071965456586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1288.1180000000002</v>
      </c>
      <c r="S8" s="62">
        <f t="shared" si="14"/>
        <v>55.747102000000012</v>
      </c>
      <c r="T8" s="63">
        <f t="shared" si="15"/>
        <v>105.43255100000002</v>
      </c>
      <c r="U8" s="64" t="s">
        <v>179</v>
      </c>
      <c r="V8" s="65" t="s">
        <v>290</v>
      </c>
      <c r="W8" s="66" t="s">
        <v>184</v>
      </c>
      <c r="X8" s="67">
        <v>3830</v>
      </c>
      <c r="Y8" s="68">
        <v>4.2</v>
      </c>
      <c r="Z8" s="68">
        <v>8.3699999999999992</v>
      </c>
      <c r="AA8" s="62">
        <f t="shared" si="16"/>
        <v>160.86000000000001</v>
      </c>
      <c r="AB8" s="63">
        <f t="shared" si="17"/>
        <v>320.57099999999997</v>
      </c>
      <c r="AC8" s="69">
        <v>3840</v>
      </c>
      <c r="AD8" s="70">
        <v>4.0999999999999996</v>
      </c>
      <c r="AE8" s="70">
        <v>8.35</v>
      </c>
      <c r="AF8" s="62">
        <f t="shared" si="18"/>
        <v>157.43999999999997</v>
      </c>
      <c r="AG8" s="63">
        <f t="shared" si="19"/>
        <v>320.64</v>
      </c>
      <c r="AH8" s="66">
        <v>6198</v>
      </c>
      <c r="AI8" s="66">
        <v>4.07</v>
      </c>
      <c r="AJ8" s="66">
        <v>8.1</v>
      </c>
      <c r="AK8" s="62">
        <f t="shared" si="20"/>
        <v>252.2586</v>
      </c>
      <c r="AL8" s="72">
        <f t="shared" si="21"/>
        <v>502.03800000000001</v>
      </c>
      <c r="AM8" s="73">
        <f t="shared" si="22"/>
        <v>-9.8819999999996071</v>
      </c>
      <c r="AN8" s="74">
        <f t="shared" si="8"/>
        <v>-0.85549799999992615</v>
      </c>
      <c r="AO8" s="74">
        <f t="shared" si="8"/>
        <v>-10.179448999999977</v>
      </c>
      <c r="AP8" s="75">
        <f t="shared" si="23"/>
        <v>-6.8463647827805535E-2</v>
      </c>
      <c r="AQ8" s="76">
        <f t="shared" si="9"/>
        <v>-3459.748985244878</v>
      </c>
      <c r="AR8" s="90">
        <f t="shared" si="24"/>
        <v>0.1180000000003929</v>
      </c>
    </row>
    <row r="9" spans="1:44" x14ac:dyDescent="0.25">
      <c r="A9" t="str">
        <f t="shared" si="10"/>
        <v>46206E</v>
      </c>
      <c r="B9" s="51">
        <f t="shared" ref="B9:B65" si="25">+B7+1</f>
        <v>46206</v>
      </c>
      <c r="C9" s="52" t="s">
        <v>88</v>
      </c>
      <c r="D9" s="91">
        <v>6198</v>
      </c>
      <c r="E9" s="62">
        <v>4.07</v>
      </c>
      <c r="F9" s="62">
        <v>8.1</v>
      </c>
      <c r="G9" s="62">
        <f t="shared" si="11"/>
        <v>252.2586</v>
      </c>
      <c r="H9" s="63">
        <f t="shared" si="12"/>
        <v>502.03800000000001</v>
      </c>
      <c r="I9" s="202">
        <v>2051.4</v>
      </c>
      <c r="J9" s="202">
        <v>2112.942</v>
      </c>
      <c r="K9" s="202">
        <v>3.9168470312956991</v>
      </c>
      <c r="L9" s="202">
        <v>8.0442234571512099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2112.942</v>
      </c>
      <c r="S9" s="62">
        <f t="shared" si="14"/>
        <v>82.760705999999971</v>
      </c>
      <c r="T9" s="63">
        <f t="shared" si="15"/>
        <v>169.96977599999994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8311</v>
      </c>
      <c r="AI9" s="66">
        <v>4.03</v>
      </c>
      <c r="AJ9" s="66">
        <v>8.08</v>
      </c>
      <c r="AK9" s="62">
        <f t="shared" si="20"/>
        <v>334.93330000000003</v>
      </c>
      <c r="AL9" s="72">
        <f t="shared" si="21"/>
        <v>671.52879999999993</v>
      </c>
      <c r="AM9" s="73">
        <f t="shared" si="22"/>
        <v>-5.8000000000902219E-2</v>
      </c>
      <c r="AN9" s="74">
        <f t="shared" si="8"/>
        <v>8.6005999999940741E-2</v>
      </c>
      <c r="AO9" s="74">
        <f t="shared" si="8"/>
        <v>0.47897599999998874</v>
      </c>
      <c r="AP9" s="75">
        <f t="shared" si="23"/>
        <v>2.2355118999849402E-3</v>
      </c>
      <c r="AQ9" s="76">
        <f t="shared" si="9"/>
        <v>184.77773009872325</v>
      </c>
      <c r="AR9" s="90">
        <f t="shared" si="24"/>
        <v>-5.8000000000902219E-2</v>
      </c>
    </row>
    <row r="10" spans="1:44" x14ac:dyDescent="0.25">
      <c r="A10" t="str">
        <f t="shared" si="10"/>
        <v>46207M</v>
      </c>
      <c r="B10" s="51">
        <f t="shared" si="25"/>
        <v>46207</v>
      </c>
      <c r="C10" s="52" t="s">
        <v>87</v>
      </c>
      <c r="D10" s="91">
        <v>8311</v>
      </c>
      <c r="E10" s="62">
        <v>4.03</v>
      </c>
      <c r="F10" s="62">
        <v>8.08</v>
      </c>
      <c r="G10" s="62">
        <f t="shared" si="11"/>
        <v>334.93330000000003</v>
      </c>
      <c r="H10" s="63">
        <f t="shared" si="12"/>
        <v>671.52879999999993</v>
      </c>
      <c r="I10" s="202">
        <v>1420.1</v>
      </c>
      <c r="J10" s="202">
        <v>1462.703</v>
      </c>
      <c r="K10" s="202">
        <v>4.3372368143088513</v>
      </c>
      <c r="L10" s="202">
        <v>8.1066685444687003</v>
      </c>
      <c r="M10" s="57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1462.703</v>
      </c>
      <c r="S10" s="62">
        <f t="shared" si="14"/>
        <v>63.440892999999996</v>
      </c>
      <c r="T10" s="63">
        <f t="shared" si="15"/>
        <v>118.57648400000002</v>
      </c>
      <c r="U10" s="64" t="s">
        <v>179</v>
      </c>
      <c r="V10" s="65" t="s">
        <v>356</v>
      </c>
      <c r="W10" s="66" t="s">
        <v>178</v>
      </c>
      <c r="X10" s="67">
        <v>5130</v>
      </c>
      <c r="Y10" s="68">
        <v>4.5</v>
      </c>
      <c r="Z10" s="68">
        <v>8.56</v>
      </c>
      <c r="AA10" s="62">
        <f t="shared" si="16"/>
        <v>230.85</v>
      </c>
      <c r="AB10" s="63">
        <f t="shared" si="17"/>
        <v>439.12800000000004</v>
      </c>
      <c r="AC10" s="69">
        <v>5140</v>
      </c>
      <c r="AD10" s="70">
        <v>4.4000000000000004</v>
      </c>
      <c r="AE10" s="70">
        <v>8.41</v>
      </c>
      <c r="AF10" s="62">
        <f t="shared" si="18"/>
        <v>226.16000000000003</v>
      </c>
      <c r="AG10" s="63">
        <f t="shared" si="19"/>
        <v>432.27400000000006</v>
      </c>
      <c r="AH10" s="66">
        <v>4643</v>
      </c>
      <c r="AI10" s="66">
        <v>4.07</v>
      </c>
      <c r="AJ10" s="66">
        <v>8.08</v>
      </c>
      <c r="AK10" s="62">
        <f t="shared" si="20"/>
        <v>188.9701</v>
      </c>
      <c r="AL10" s="72">
        <f t="shared" si="21"/>
        <v>375.15440000000001</v>
      </c>
      <c r="AM10" s="73">
        <f t="shared" si="22"/>
        <v>-9.2970000000004802</v>
      </c>
      <c r="AN10" s="74">
        <f t="shared" si="8"/>
        <v>-16.755906999999979</v>
      </c>
      <c r="AO10" s="74">
        <f t="shared" si="8"/>
        <v>-17.323116000000084</v>
      </c>
      <c r="AP10" s="75">
        <f t="shared" si="23"/>
        <v>-0.18722950281829445</v>
      </c>
      <c r="AQ10" s="76">
        <f t="shared" si="9"/>
        <v>-13239.877681149836</v>
      </c>
      <c r="AR10" s="90">
        <f t="shared" si="24"/>
        <v>0.70299999999951979</v>
      </c>
    </row>
    <row r="11" spans="1:44" x14ac:dyDescent="0.25">
      <c r="A11" t="str">
        <f t="shared" si="10"/>
        <v>46207E</v>
      </c>
      <c r="B11" s="51">
        <f t="shared" si="25"/>
        <v>46207</v>
      </c>
      <c r="C11" s="52" t="s">
        <v>88</v>
      </c>
      <c r="D11" s="91">
        <v>4643</v>
      </c>
      <c r="E11" s="62">
        <v>4.07</v>
      </c>
      <c r="F11" s="62">
        <v>8.08</v>
      </c>
      <c r="G11" s="62">
        <f t="shared" si="11"/>
        <v>188.9701</v>
      </c>
      <c r="H11" s="63">
        <f t="shared" si="12"/>
        <v>375.15440000000001</v>
      </c>
      <c r="I11" s="202">
        <v>1750.6999999999998</v>
      </c>
      <c r="J11" s="202">
        <v>1803.2209999999998</v>
      </c>
      <c r="K11" s="202">
        <v>3.8705260752841717</v>
      </c>
      <c r="L11" s="202">
        <v>8.0501513680242187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1803.2209999999998</v>
      </c>
      <c r="S11" s="62">
        <f t="shared" si="14"/>
        <v>69.794138999999987</v>
      </c>
      <c r="T11" s="63">
        <f t="shared" si="15"/>
        <v>145.16201999999998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6446</v>
      </c>
      <c r="AI11" s="66">
        <v>4.01</v>
      </c>
      <c r="AJ11" s="66">
        <v>8.07</v>
      </c>
      <c r="AK11" s="62">
        <f t="shared" si="20"/>
        <v>258.4846</v>
      </c>
      <c r="AL11" s="72">
        <f t="shared" si="21"/>
        <v>520.19220000000007</v>
      </c>
      <c r="AM11" s="73">
        <f t="shared" si="22"/>
        <v>0.22099999999954889</v>
      </c>
      <c r="AN11" s="74">
        <f t="shared" si="8"/>
        <v>0.27963899999997466</v>
      </c>
      <c r="AO11" s="74">
        <f t="shared" si="8"/>
        <v>0.12421999999992295</v>
      </c>
      <c r="AP11" s="75">
        <f t="shared" si="23"/>
        <v>1.8787970620553268E-3</v>
      </c>
      <c r="AQ11" s="76">
        <f t="shared" si="9"/>
        <v>171.57842487996413</v>
      </c>
      <c r="AR11" s="90">
        <f t="shared" si="24"/>
        <v>0.22099999999954889</v>
      </c>
    </row>
    <row r="12" spans="1:44" x14ac:dyDescent="0.25">
      <c r="A12" t="str">
        <f t="shared" si="10"/>
        <v>46208M</v>
      </c>
      <c r="B12" s="51">
        <f t="shared" si="25"/>
        <v>46208</v>
      </c>
      <c r="C12" s="52" t="s">
        <v>87</v>
      </c>
      <c r="D12" s="91">
        <v>6446</v>
      </c>
      <c r="E12" s="62">
        <v>4.01</v>
      </c>
      <c r="F12" s="62">
        <v>8.07</v>
      </c>
      <c r="G12" s="62">
        <f t="shared" si="11"/>
        <v>258.4846</v>
      </c>
      <c r="H12" s="63">
        <f t="shared" si="12"/>
        <v>520.19220000000007</v>
      </c>
      <c r="I12" s="202">
        <v>1462.1</v>
      </c>
      <c r="J12" s="202">
        <v>1505.963</v>
      </c>
      <c r="K12" s="202">
        <v>4.3711579235346418</v>
      </c>
      <c r="L12" s="202">
        <v>8.1276862047739549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1505.963</v>
      </c>
      <c r="S12" s="62">
        <f t="shared" si="14"/>
        <v>65.828020999999993</v>
      </c>
      <c r="T12" s="63">
        <f t="shared" si="15"/>
        <v>122.399947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7951</v>
      </c>
      <c r="AI12" s="66">
        <v>4.07</v>
      </c>
      <c r="AJ12" s="66">
        <v>8.08</v>
      </c>
      <c r="AK12" s="62">
        <f t="shared" si="20"/>
        <v>323.60570000000001</v>
      </c>
      <c r="AL12" s="72">
        <f t="shared" si="21"/>
        <v>642.44079999999997</v>
      </c>
      <c r="AM12" s="73">
        <f t="shared" si="22"/>
        <v>0.96299999999973807</v>
      </c>
      <c r="AN12" s="74">
        <f t="shared" si="8"/>
        <v>0.70692099999996572</v>
      </c>
      <c r="AO12" s="74">
        <f t="shared" si="8"/>
        <v>0.15134700000010071</v>
      </c>
      <c r="AP12" s="75">
        <f t="shared" si="23"/>
        <v>4.5597262145446234E-3</v>
      </c>
      <c r="AQ12" s="76">
        <f t="shared" si="9"/>
        <v>385.02562738343858</v>
      </c>
      <c r="AR12" s="90">
        <f t="shared" si="24"/>
        <v>0.96299999999973807</v>
      </c>
    </row>
    <row r="13" spans="1:44" x14ac:dyDescent="0.25">
      <c r="A13" t="str">
        <f t="shared" si="10"/>
        <v>46208E</v>
      </c>
      <c r="B13" s="51">
        <f t="shared" si="25"/>
        <v>46208</v>
      </c>
      <c r="C13" s="52" t="s">
        <v>88</v>
      </c>
      <c r="D13" s="91">
        <v>7951</v>
      </c>
      <c r="E13" s="62">
        <v>4.07</v>
      </c>
      <c r="F13" s="62">
        <v>8.08</v>
      </c>
      <c r="G13" s="62">
        <f t="shared" si="11"/>
        <v>323.60570000000001</v>
      </c>
      <c r="H13" s="63">
        <f t="shared" si="12"/>
        <v>642.44079999999997</v>
      </c>
      <c r="I13" s="202">
        <v>1707.5000000000002</v>
      </c>
      <c r="J13" s="202">
        <v>1758.7250000000004</v>
      </c>
      <c r="K13" s="202">
        <v>3.8919590043923868</v>
      </c>
      <c r="L13" s="202">
        <v>7.9963982430453884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1758.7250000000004</v>
      </c>
      <c r="S13" s="62">
        <f t="shared" si="14"/>
        <v>68.448856000000021</v>
      </c>
      <c r="T13" s="63">
        <f t="shared" si="15"/>
        <v>140.63465500000004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9709</v>
      </c>
      <c r="AI13" s="66">
        <v>4.03</v>
      </c>
      <c r="AJ13" s="66">
        <v>8.06</v>
      </c>
      <c r="AK13" s="62">
        <f t="shared" si="20"/>
        <v>391.27270000000004</v>
      </c>
      <c r="AL13" s="72">
        <f t="shared" si="21"/>
        <v>782.54540000000009</v>
      </c>
      <c r="AM13" s="73">
        <f t="shared" si="22"/>
        <v>0.7250000000003638</v>
      </c>
      <c r="AN13" s="74">
        <f t="shared" si="8"/>
        <v>0.78185600000000477</v>
      </c>
      <c r="AO13" s="74">
        <f t="shared" si="8"/>
        <v>0.53005499999994754</v>
      </c>
      <c r="AP13" s="75">
        <f t="shared" si="23"/>
        <v>6.2745789647656721E-3</v>
      </c>
      <c r="AQ13" s="76">
        <f t="shared" si="9"/>
        <v>534.4540082976655</v>
      </c>
      <c r="AR13" s="90">
        <f t="shared" si="24"/>
        <v>0.7250000000003638</v>
      </c>
    </row>
    <row r="14" spans="1:44" x14ac:dyDescent="0.25">
      <c r="A14" t="str">
        <f t="shared" si="10"/>
        <v>46209M</v>
      </c>
      <c r="B14" s="51">
        <f t="shared" si="25"/>
        <v>46209</v>
      </c>
      <c r="C14" s="52" t="s">
        <v>87</v>
      </c>
      <c r="D14" s="91">
        <v>9709</v>
      </c>
      <c r="E14" s="62">
        <v>4.03</v>
      </c>
      <c r="F14" s="62">
        <v>8.06</v>
      </c>
      <c r="G14" s="62">
        <f t="shared" si="11"/>
        <v>391.27270000000004</v>
      </c>
      <c r="H14" s="63">
        <f t="shared" si="12"/>
        <v>782.54540000000009</v>
      </c>
      <c r="I14" s="202">
        <v>1218.6200000000001</v>
      </c>
      <c r="J14" s="202">
        <v>1255.1786000000002</v>
      </c>
      <c r="K14" s="202">
        <v>4.4357847401158699</v>
      </c>
      <c r="L14" s="202">
        <v>8.1623524970868679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1255.1786000000002</v>
      </c>
      <c r="S14" s="62">
        <f t="shared" si="14"/>
        <v>55.677020800000015</v>
      </c>
      <c r="T14" s="63">
        <f t="shared" si="15"/>
        <v>102.45210180000001</v>
      </c>
      <c r="U14" s="64" t="s">
        <v>179</v>
      </c>
      <c r="V14" s="65" t="s">
        <v>357</v>
      </c>
      <c r="W14" s="66" t="s">
        <v>178</v>
      </c>
      <c r="X14" s="67">
        <v>5130</v>
      </c>
      <c r="Y14" s="68">
        <v>4.3</v>
      </c>
      <c r="Z14" s="68">
        <v>8.27</v>
      </c>
      <c r="AA14" s="62">
        <f t="shared" si="16"/>
        <v>220.58999999999997</v>
      </c>
      <c r="AB14" s="63">
        <f t="shared" si="17"/>
        <v>424.25099999999998</v>
      </c>
      <c r="AC14" s="69">
        <v>5120</v>
      </c>
      <c r="AD14" s="70">
        <v>4.3</v>
      </c>
      <c r="AE14" s="70">
        <v>8.14</v>
      </c>
      <c r="AF14" s="62">
        <f t="shared" si="18"/>
        <v>220.15999999999997</v>
      </c>
      <c r="AG14" s="63">
        <f t="shared" si="19"/>
        <v>416.76800000000003</v>
      </c>
      <c r="AH14" s="66">
        <v>5834</v>
      </c>
      <c r="AI14" s="66">
        <v>4</v>
      </c>
      <c r="AJ14" s="66">
        <v>8.07</v>
      </c>
      <c r="AK14" s="62">
        <f t="shared" si="20"/>
        <v>233.36</v>
      </c>
      <c r="AL14" s="72">
        <f t="shared" si="21"/>
        <v>470.80380000000002</v>
      </c>
      <c r="AM14" s="73">
        <f t="shared" si="22"/>
        <v>10.178599999999278</v>
      </c>
      <c r="AN14" s="74">
        <f t="shared" si="8"/>
        <v>-6.5702791999999022</v>
      </c>
      <c r="AO14" s="74">
        <f t="shared" si="8"/>
        <v>-2.5742981999999301</v>
      </c>
      <c r="AP14" s="75">
        <f t="shared" si="23"/>
        <v>-5.782981179963767E-2</v>
      </c>
      <c r="AQ14" s="76">
        <f t="shared" si="9"/>
        <v>-3928.2123878852321</v>
      </c>
      <c r="AR14" s="90">
        <f t="shared" si="24"/>
        <v>0.17859999999927823</v>
      </c>
    </row>
    <row r="15" spans="1:44" x14ac:dyDescent="0.25">
      <c r="A15" t="str">
        <f t="shared" si="10"/>
        <v>46209E</v>
      </c>
      <c r="B15" s="51">
        <f t="shared" si="25"/>
        <v>46209</v>
      </c>
      <c r="C15" s="52" t="s">
        <v>88</v>
      </c>
      <c r="D15" s="91">
        <v>5834</v>
      </c>
      <c r="E15" s="62">
        <v>4</v>
      </c>
      <c r="F15" s="62">
        <v>8.07</v>
      </c>
      <c r="G15" s="62">
        <f t="shared" si="11"/>
        <v>233.36</v>
      </c>
      <c r="H15" s="63">
        <f t="shared" si="12"/>
        <v>470.80380000000002</v>
      </c>
      <c r="I15" s="202">
        <v>1742.2400000000002</v>
      </c>
      <c r="J15" s="202">
        <v>1794.5072000000002</v>
      </c>
      <c r="K15" s="202">
        <v>4.0431697125539534</v>
      </c>
      <c r="L15" s="202">
        <v>8.0366068968683972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1794.5072000000002</v>
      </c>
      <c r="S15" s="62">
        <f t="shared" si="14"/>
        <v>72.554971600000002</v>
      </c>
      <c r="T15" s="63">
        <f t="shared" si="15"/>
        <v>144.21748940000001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7628</v>
      </c>
      <c r="AI15" s="66">
        <v>4.0599999999999996</v>
      </c>
      <c r="AJ15" s="66">
        <v>8.06</v>
      </c>
      <c r="AK15" s="62">
        <f t="shared" si="20"/>
        <v>309.6968</v>
      </c>
      <c r="AL15" s="72">
        <f t="shared" si="21"/>
        <v>614.81680000000006</v>
      </c>
      <c r="AM15" s="73">
        <f t="shared" si="22"/>
        <v>0.50720000000001164</v>
      </c>
      <c r="AN15" s="74">
        <f t="shared" si="8"/>
        <v>-3.7818283999999949</v>
      </c>
      <c r="AO15" s="74">
        <f t="shared" si="8"/>
        <v>0.20448939999994309</v>
      </c>
      <c r="AP15" s="75">
        <f t="shared" si="23"/>
        <v>-1.650273740260785E-2</v>
      </c>
      <c r="AQ15" s="76">
        <f t="shared" si="9"/>
        <v>-1756.04887636598</v>
      </c>
      <c r="AR15" s="90">
        <f t="shared" si="24"/>
        <v>0.50720000000001164</v>
      </c>
    </row>
    <row r="16" spans="1:44" x14ac:dyDescent="0.25">
      <c r="A16" t="str">
        <f t="shared" si="10"/>
        <v>46210M</v>
      </c>
      <c r="B16" s="51">
        <f t="shared" si="25"/>
        <v>46210</v>
      </c>
      <c r="C16" s="52" t="s">
        <v>87</v>
      </c>
      <c r="D16" s="91">
        <v>7628</v>
      </c>
      <c r="E16" s="62">
        <v>4.0599999999999996</v>
      </c>
      <c r="F16" s="62">
        <v>8.06</v>
      </c>
      <c r="G16" s="62">
        <f t="shared" si="11"/>
        <v>309.6968</v>
      </c>
      <c r="H16" s="63">
        <f t="shared" si="12"/>
        <v>614.81680000000006</v>
      </c>
      <c r="I16" s="202">
        <v>1371.5599999999997</v>
      </c>
      <c r="J16" s="202">
        <v>1412.7067999999997</v>
      </c>
      <c r="K16" s="202">
        <v>4.2145906850593482</v>
      </c>
      <c r="L16" s="202">
        <v>8.246175158214001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1412.7067999999997</v>
      </c>
      <c r="S16" s="62">
        <f t="shared" si="14"/>
        <v>59.539809199999979</v>
      </c>
      <c r="T16" s="63">
        <f t="shared" si="15"/>
        <v>116.49427719999994</v>
      </c>
      <c r="U16" s="64" t="s">
        <v>179</v>
      </c>
      <c r="V16" s="65" t="s">
        <v>358</v>
      </c>
      <c r="W16" s="66" t="s">
        <v>178</v>
      </c>
      <c r="X16" s="67">
        <v>5130</v>
      </c>
      <c r="Y16" s="68">
        <v>4.2</v>
      </c>
      <c r="Z16" s="68">
        <v>8.25</v>
      </c>
      <c r="AA16" s="62">
        <f t="shared" si="16"/>
        <v>215.46</v>
      </c>
      <c r="AB16" s="63">
        <f t="shared" si="17"/>
        <v>423.22500000000002</v>
      </c>
      <c r="AC16" s="69">
        <v>5120</v>
      </c>
      <c r="AD16" s="70">
        <v>4.1500000000000004</v>
      </c>
      <c r="AE16" s="70">
        <v>8.11</v>
      </c>
      <c r="AF16" s="62">
        <f t="shared" si="18"/>
        <v>212.48000000000002</v>
      </c>
      <c r="AG16" s="63">
        <f t="shared" si="19"/>
        <v>415.23199999999997</v>
      </c>
      <c r="AH16" s="66">
        <v>3910</v>
      </c>
      <c r="AI16" s="66">
        <v>4.08</v>
      </c>
      <c r="AJ16" s="66">
        <v>8.08</v>
      </c>
      <c r="AK16" s="62">
        <f t="shared" si="20"/>
        <v>159.52800000000002</v>
      </c>
      <c r="AL16" s="72">
        <f t="shared" si="21"/>
        <v>315.928</v>
      </c>
      <c r="AM16" s="73">
        <f t="shared" si="22"/>
        <v>10.70679999999993</v>
      </c>
      <c r="AN16" s="74">
        <f t="shared" si="8"/>
        <v>-2.7713908000000629</v>
      </c>
      <c r="AO16" s="74">
        <f t="shared" si="8"/>
        <v>0.15107720000003155</v>
      </c>
      <c r="AP16" s="75">
        <f t="shared" si="23"/>
        <v>-1.4885262585144603E-2</v>
      </c>
      <c r="AQ16" s="76">
        <f t="shared" si="9"/>
        <v>-1286.4972018310682</v>
      </c>
      <c r="AR16" s="90">
        <f t="shared" si="24"/>
        <v>0.70679999999993015</v>
      </c>
    </row>
    <row r="17" spans="1:49" x14ac:dyDescent="0.25">
      <c r="A17" t="str">
        <f t="shared" si="10"/>
        <v>46210E</v>
      </c>
      <c r="B17" s="51">
        <f t="shared" si="25"/>
        <v>46210</v>
      </c>
      <c r="C17" s="52" t="s">
        <v>88</v>
      </c>
      <c r="D17" s="91">
        <v>3910</v>
      </c>
      <c r="E17" s="62">
        <v>4.08</v>
      </c>
      <c r="F17" s="62">
        <v>8.08</v>
      </c>
      <c r="G17" s="62">
        <f t="shared" si="11"/>
        <v>159.52800000000002</v>
      </c>
      <c r="H17" s="63">
        <f t="shared" si="12"/>
        <v>315.928</v>
      </c>
      <c r="I17" s="202">
        <v>1825.8600000000001</v>
      </c>
      <c r="J17" s="202">
        <v>1880.6358000000002</v>
      </c>
      <c r="K17" s="202">
        <v>4.0287283800510449</v>
      </c>
      <c r="L17" s="202">
        <v>8.1303199588139297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1880.6358000000002</v>
      </c>
      <c r="S17" s="62">
        <f t="shared" si="14"/>
        <v>75.76570820000002</v>
      </c>
      <c r="T17" s="63">
        <f t="shared" si="15"/>
        <v>152.90170780000003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5790</v>
      </c>
      <c r="AI17" s="66">
        <v>4.0599999999999996</v>
      </c>
      <c r="AJ17" s="66">
        <v>8.09</v>
      </c>
      <c r="AK17" s="62">
        <f t="shared" si="20"/>
        <v>235.07399999999998</v>
      </c>
      <c r="AL17" s="72">
        <f t="shared" si="21"/>
        <v>468.411</v>
      </c>
      <c r="AM17" s="73">
        <f t="shared" si="22"/>
        <v>0.63580000000001746</v>
      </c>
      <c r="AN17" s="74">
        <f t="shared" si="8"/>
        <v>0.2197082000000421</v>
      </c>
      <c r="AO17" s="74">
        <f t="shared" si="8"/>
        <v>0.4187078000000497</v>
      </c>
      <c r="AP17" s="75">
        <f t="shared" si="23"/>
        <v>2.7918975565810024E-3</v>
      </c>
      <c r="AQ17" s="76">
        <f t="shared" si="9"/>
        <v>230.97619936581714</v>
      </c>
      <c r="AR17" s="90">
        <f t="shared" si="24"/>
        <v>0.63580000000001746</v>
      </c>
    </row>
    <row r="18" spans="1:49" x14ac:dyDescent="0.25">
      <c r="A18" t="str">
        <f t="shared" si="10"/>
        <v>46211M</v>
      </c>
      <c r="B18" s="51">
        <f t="shared" si="25"/>
        <v>46211</v>
      </c>
      <c r="C18" s="52" t="s">
        <v>87</v>
      </c>
      <c r="D18" s="91">
        <v>5790</v>
      </c>
      <c r="E18" s="62">
        <v>4.0599999999999996</v>
      </c>
      <c r="F18" s="62">
        <v>8.09</v>
      </c>
      <c r="G18" s="62">
        <f t="shared" si="11"/>
        <v>235.07399999999998</v>
      </c>
      <c r="H18" s="63">
        <f t="shared" si="12"/>
        <v>468.411</v>
      </c>
      <c r="I18" s="202">
        <v>1355.64</v>
      </c>
      <c r="J18" s="202">
        <v>1396.3092000000001</v>
      </c>
      <c r="K18" s="202">
        <v>4.394781800478003</v>
      </c>
      <c r="L18" s="202">
        <v>8.2967941341359062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1396.3092000000001</v>
      </c>
      <c r="S18" s="62">
        <f t="shared" si="14"/>
        <v>61.364742600000007</v>
      </c>
      <c r="T18" s="63">
        <f t="shared" si="15"/>
        <v>115.8488998</v>
      </c>
      <c r="U18" s="64" t="s">
        <v>179</v>
      </c>
      <c r="V18" s="65" t="s">
        <v>359</v>
      </c>
      <c r="W18" s="66" t="s">
        <v>184</v>
      </c>
      <c r="X18" s="67">
        <v>5130</v>
      </c>
      <c r="Y18" s="68">
        <v>4.3</v>
      </c>
      <c r="Z18" s="68">
        <v>8.52</v>
      </c>
      <c r="AA18" s="62">
        <f t="shared" si="16"/>
        <v>220.58999999999997</v>
      </c>
      <c r="AB18" s="63">
        <f t="shared" si="17"/>
        <v>437.07599999999996</v>
      </c>
      <c r="AC18" s="69">
        <v>5140</v>
      </c>
      <c r="AD18" s="70">
        <v>4.2</v>
      </c>
      <c r="AE18" s="70">
        <v>8.25</v>
      </c>
      <c r="AF18" s="62">
        <f t="shared" si="18"/>
        <v>215.88000000000002</v>
      </c>
      <c r="AG18" s="63">
        <f t="shared" si="19"/>
        <v>424.05</v>
      </c>
      <c r="AH18" s="66">
        <v>2056</v>
      </c>
      <c r="AI18" s="66">
        <v>4.12</v>
      </c>
      <c r="AJ18" s="66">
        <v>8.1300000000000008</v>
      </c>
      <c r="AK18" s="62">
        <f t="shared" si="20"/>
        <v>84.7072</v>
      </c>
      <c r="AL18" s="72">
        <f t="shared" si="21"/>
        <v>167.15280000000001</v>
      </c>
      <c r="AM18" s="73">
        <f t="shared" si="22"/>
        <v>-9.6908000000003085</v>
      </c>
      <c r="AN18" s="74">
        <f t="shared" si="8"/>
        <v>-4.1484574000000123</v>
      </c>
      <c r="AO18" s="74">
        <f t="shared" si="8"/>
        <v>-6.9429002000000537</v>
      </c>
      <c r="AP18" s="75">
        <f t="shared" si="23"/>
        <v>-6.2587492981861226E-2</v>
      </c>
      <c r="AQ18" s="76">
        <f t="shared" si="9"/>
        <v>-4072.805598814638</v>
      </c>
      <c r="AR18" s="90">
        <f t="shared" si="24"/>
        <v>0.3091999999996915</v>
      </c>
    </row>
    <row r="19" spans="1:49" x14ac:dyDescent="0.25">
      <c r="A19" t="str">
        <f t="shared" si="10"/>
        <v>46211E</v>
      </c>
      <c r="B19" s="51">
        <f t="shared" si="25"/>
        <v>46211</v>
      </c>
      <c r="C19" s="52" t="s">
        <v>88</v>
      </c>
      <c r="D19" s="91">
        <v>2056</v>
      </c>
      <c r="E19" s="62">
        <v>4.12</v>
      </c>
      <c r="F19" s="62">
        <v>8.1300000000000008</v>
      </c>
      <c r="G19" s="62">
        <f t="shared" si="11"/>
        <v>84.7072</v>
      </c>
      <c r="H19" s="63">
        <f t="shared" si="12"/>
        <v>167.15280000000001</v>
      </c>
      <c r="I19" s="202">
        <v>1886.3400000000001</v>
      </c>
      <c r="J19" s="202">
        <v>1942.9302000000002</v>
      </c>
      <c r="K19" s="202">
        <v>4.0544811645832661</v>
      </c>
      <c r="L19" s="202">
        <v>8.1742453640382955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1942.9302000000002</v>
      </c>
      <c r="S19" s="62">
        <f t="shared" si="14"/>
        <v>78.775738999999987</v>
      </c>
      <c r="T19" s="63">
        <f t="shared" si="15"/>
        <v>158.81988180000002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3999</v>
      </c>
      <c r="AI19" s="66">
        <v>4.08</v>
      </c>
      <c r="AJ19" s="66">
        <v>8.14</v>
      </c>
      <c r="AK19" s="62">
        <f t="shared" si="20"/>
        <v>163.1592</v>
      </c>
      <c r="AL19" s="72">
        <f t="shared" si="21"/>
        <v>325.51859999999999</v>
      </c>
      <c r="AM19" s="73">
        <f t="shared" si="22"/>
        <v>-6.9799999999759166E-2</v>
      </c>
      <c r="AN19" s="74">
        <f t="shared" si="8"/>
        <v>0.32373899999998912</v>
      </c>
      <c r="AO19" s="74">
        <f t="shared" si="8"/>
        <v>0.45408180000003995</v>
      </c>
      <c r="AP19" s="75">
        <f t="shared" si="23"/>
        <v>3.2737169034557771E-3</v>
      </c>
      <c r="AQ19" s="76">
        <f t="shared" si="9"/>
        <v>291.56058267906019</v>
      </c>
      <c r="AR19" s="90">
        <f t="shared" si="24"/>
        <v>-6.9799999999759166E-2</v>
      </c>
    </row>
    <row r="20" spans="1:49" x14ac:dyDescent="0.25">
      <c r="A20" t="str">
        <f t="shared" si="10"/>
        <v>46212M</v>
      </c>
      <c r="B20" s="51">
        <f t="shared" si="25"/>
        <v>46212</v>
      </c>
      <c r="C20" s="52" t="s">
        <v>87</v>
      </c>
      <c r="D20" s="91">
        <v>3999</v>
      </c>
      <c r="E20" s="62">
        <v>4.08</v>
      </c>
      <c r="F20" s="62">
        <v>8.14</v>
      </c>
      <c r="G20" s="62">
        <f t="shared" si="11"/>
        <v>163.1592</v>
      </c>
      <c r="H20" s="63">
        <f t="shared" si="12"/>
        <v>325.51859999999999</v>
      </c>
      <c r="I20" s="202">
        <v>1770.08</v>
      </c>
      <c r="J20" s="202">
        <v>1823.1823999999999</v>
      </c>
      <c r="K20" s="202">
        <v>4.3685630028021327</v>
      </c>
      <c r="L20" s="202">
        <v>8.3024145801319698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1823.1823999999999</v>
      </c>
      <c r="S20" s="62">
        <f t="shared" si="14"/>
        <v>79.646871799999985</v>
      </c>
      <c r="T20" s="63">
        <f t="shared" si="15"/>
        <v>151.36816139999996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66">
        <v>5822</v>
      </c>
      <c r="AI20" s="66">
        <v>4.17</v>
      </c>
      <c r="AJ20" s="66">
        <v>8.19</v>
      </c>
      <c r="AK20" s="62">
        <f t="shared" si="20"/>
        <v>242.7774</v>
      </c>
      <c r="AL20" s="72">
        <f t="shared" si="21"/>
        <v>476.8218</v>
      </c>
      <c r="AM20" s="73">
        <f t="shared" si="22"/>
        <v>0.18239999999968859</v>
      </c>
      <c r="AN20" s="74">
        <f t="shared" ref="AN20:AO65" si="26">+G20+S20-AF20-AK20</f>
        <v>2.8671799999983705E-2</v>
      </c>
      <c r="AO20" s="74">
        <f t="shared" si="26"/>
        <v>6.4961399999958758E-2</v>
      </c>
      <c r="AP20" s="75">
        <f t="shared" si="23"/>
        <v>4.0531215091478507E-4</v>
      </c>
      <c r="AQ20" s="76">
        <f t="shared" si="9"/>
        <v>33.233094045005814</v>
      </c>
      <c r="AR20" s="90">
        <f t="shared" si="24"/>
        <v>0.18239999999968859</v>
      </c>
    </row>
    <row r="21" spans="1:49" x14ac:dyDescent="0.25">
      <c r="A21" t="str">
        <f t="shared" si="10"/>
        <v>46212E</v>
      </c>
      <c r="B21" s="51">
        <f t="shared" si="25"/>
        <v>46212</v>
      </c>
      <c r="C21" s="52" t="s">
        <v>88</v>
      </c>
      <c r="D21" s="91">
        <v>5822</v>
      </c>
      <c r="E21" s="62">
        <v>4.17</v>
      </c>
      <c r="F21" s="62">
        <v>8.19</v>
      </c>
      <c r="G21" s="62">
        <f t="shared" si="11"/>
        <v>242.7774</v>
      </c>
      <c r="H21" s="63">
        <f t="shared" si="12"/>
        <v>476.8218</v>
      </c>
      <c r="I21" s="202">
        <v>2238.1999999999994</v>
      </c>
      <c r="J21" s="202">
        <v>2305.3459999999995</v>
      </c>
      <c r="K21" s="202">
        <v>4.1223438477347853</v>
      </c>
      <c r="L21" s="202">
        <v>8.2364283799481708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2305.3459999999995</v>
      </c>
      <c r="S21" s="62">
        <f t="shared" si="14"/>
        <v>95.034288999999958</v>
      </c>
      <c r="T21" s="63">
        <f t="shared" si="15"/>
        <v>189.87817219999994</v>
      </c>
      <c r="U21" s="64" t="s">
        <v>179</v>
      </c>
      <c r="V21" s="65" t="s">
        <v>366</v>
      </c>
      <c r="W21" s="66" t="s">
        <v>178</v>
      </c>
      <c r="X21" s="67">
        <v>5130</v>
      </c>
      <c r="Y21" s="68">
        <v>4.4000000000000004</v>
      </c>
      <c r="Z21" s="68">
        <v>8.41</v>
      </c>
      <c r="AA21" s="62">
        <f t="shared" si="16"/>
        <v>225.72000000000003</v>
      </c>
      <c r="AB21" s="63">
        <f t="shared" si="17"/>
        <v>431.43300000000005</v>
      </c>
      <c r="AC21" s="69">
        <v>5130</v>
      </c>
      <c r="AD21" s="70">
        <v>4.3499999999999996</v>
      </c>
      <c r="AE21" s="70">
        <v>8.4</v>
      </c>
      <c r="AF21" s="62">
        <f t="shared" si="18"/>
        <v>223.15499999999997</v>
      </c>
      <c r="AG21" s="63">
        <f t="shared" si="19"/>
        <v>430.92</v>
      </c>
      <c r="AH21" s="66">
        <v>2260</v>
      </c>
      <c r="AI21" s="66">
        <v>4.1500000000000004</v>
      </c>
      <c r="AJ21" s="66">
        <v>8.1999999999999993</v>
      </c>
      <c r="AK21" s="62">
        <f t="shared" si="20"/>
        <v>93.79</v>
      </c>
      <c r="AL21" s="72">
        <f t="shared" si="21"/>
        <v>185.31999999999996</v>
      </c>
      <c r="AM21" s="73">
        <f t="shared" si="22"/>
        <v>737.34599999999955</v>
      </c>
      <c r="AN21" s="74">
        <f t="shared" si="26"/>
        <v>20.866688999999965</v>
      </c>
      <c r="AO21" s="74">
        <f t="shared" si="26"/>
        <v>50.459972199999953</v>
      </c>
      <c r="AP21" s="75">
        <f t="shared" si="23"/>
        <v>0.25034588132644281</v>
      </c>
      <c r="AQ21" s="76">
        <f t="shared" si="9"/>
        <v>25139.43565408227</v>
      </c>
      <c r="AR21" s="90">
        <f t="shared" si="24"/>
        <v>737.34599999999955</v>
      </c>
      <c r="AS21" s="90">
        <f>SUM(J8:J21)</f>
        <v>23742.468200000003</v>
      </c>
      <c r="AT21" s="83">
        <f>SUM(AM8:AM21)</f>
        <v>732.46819999999707</v>
      </c>
      <c r="AU21" s="83">
        <f>SUM(AN8:AN21)</f>
        <v>-11.590130800000011</v>
      </c>
      <c r="AV21" s="83">
        <f>SUM(AO8:AO21)</f>
        <v>16.018124399999891</v>
      </c>
      <c r="AW21" s="83">
        <f>-SUM(AQ8:AQ21)</f>
        <v>772.14941045968953</v>
      </c>
    </row>
    <row r="22" spans="1:49" x14ac:dyDescent="0.25">
      <c r="A22" t="str">
        <f t="shared" si="10"/>
        <v>46213M</v>
      </c>
      <c r="B22" s="51">
        <f t="shared" si="25"/>
        <v>46213</v>
      </c>
      <c r="C22" s="52" t="s">
        <v>87</v>
      </c>
      <c r="D22" s="91">
        <v>2260</v>
      </c>
      <c r="E22" s="62">
        <v>4.1500000000000004</v>
      </c>
      <c r="F22" s="62">
        <v>8.1999999999999993</v>
      </c>
      <c r="G22" s="62">
        <f t="shared" si="11"/>
        <v>93.79</v>
      </c>
      <c r="H22" s="63">
        <f t="shared" si="12"/>
        <v>185.31999999999996</v>
      </c>
      <c r="I22" s="202">
        <v>1219.8</v>
      </c>
      <c r="J22" s="202">
        <v>1256.394</v>
      </c>
      <c r="K22" s="202">
        <v>4.5153123462862776</v>
      </c>
      <c r="L22" s="202">
        <v>8.4304771273979373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1256.394</v>
      </c>
      <c r="S22" s="62">
        <f t="shared" si="14"/>
        <v>56.730113400000022</v>
      </c>
      <c r="T22" s="63">
        <f t="shared" si="15"/>
        <v>105.92000880000003</v>
      </c>
      <c r="U22" s="64" t="s">
        <v>180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>
        <v>3516</v>
      </c>
      <c r="AI22" s="66">
        <v>4.2699999999999996</v>
      </c>
      <c r="AJ22" s="66">
        <v>8.2799999999999994</v>
      </c>
      <c r="AK22" s="62">
        <f t="shared" si="20"/>
        <v>150.13319999999999</v>
      </c>
      <c r="AL22" s="72">
        <f t="shared" si="21"/>
        <v>291.12479999999999</v>
      </c>
      <c r="AM22" s="73">
        <f t="shared" si="22"/>
        <v>0.39400000000023283</v>
      </c>
      <c r="AN22" s="74">
        <f t="shared" si="26"/>
        <v>0.38691340000002583</v>
      </c>
      <c r="AO22" s="74">
        <f t="shared" si="26"/>
        <v>0.11520880000000489</v>
      </c>
      <c r="AP22" s="75">
        <f t="shared" si="23"/>
        <v>3.0871307885192018E-3</v>
      </c>
      <c r="AQ22" s="76">
        <f t="shared" si="9"/>
        <v>220.42849130060398</v>
      </c>
      <c r="AR22" s="90">
        <f t="shared" si="24"/>
        <v>0.39400000000023283</v>
      </c>
    </row>
    <row r="23" spans="1:49" x14ac:dyDescent="0.25">
      <c r="A23" t="str">
        <f t="shared" si="10"/>
        <v>46213E</v>
      </c>
      <c r="B23" s="51">
        <f t="shared" si="25"/>
        <v>46213</v>
      </c>
      <c r="C23" s="52" t="s">
        <v>88</v>
      </c>
      <c r="D23" s="91">
        <v>3516</v>
      </c>
      <c r="E23" s="62">
        <v>4.2699999999999996</v>
      </c>
      <c r="F23" s="62">
        <v>8.2799999999999994</v>
      </c>
      <c r="G23" s="62">
        <f t="shared" si="11"/>
        <v>150.13319999999999</v>
      </c>
      <c r="H23" s="63">
        <f t="shared" si="12"/>
        <v>291.12479999999999</v>
      </c>
      <c r="I23" s="202">
        <v>1579.3999999999994</v>
      </c>
      <c r="J23" s="202">
        <v>1626.7819999999995</v>
      </c>
      <c r="K23" s="202">
        <v>4.111110548309485</v>
      </c>
      <c r="L23" s="202">
        <v>8.183473470938333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1626.7819999999995</v>
      </c>
      <c r="S23" s="62">
        <f t="shared" si="14"/>
        <v>66.878806399999988</v>
      </c>
      <c r="T23" s="63">
        <f t="shared" si="15"/>
        <v>133.12727340000001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5142</v>
      </c>
      <c r="AI23" s="66">
        <v>4.22</v>
      </c>
      <c r="AJ23" s="66">
        <v>8.2200000000000006</v>
      </c>
      <c r="AK23" s="62">
        <f t="shared" si="20"/>
        <v>216.99239999999998</v>
      </c>
      <c r="AL23" s="72">
        <f t="shared" si="21"/>
        <v>422.67240000000004</v>
      </c>
      <c r="AM23" s="73">
        <f t="shared" si="22"/>
        <v>0.7819999999992433</v>
      </c>
      <c r="AN23" s="74">
        <f t="shared" si="26"/>
        <v>1.9606399999986479E-2</v>
      </c>
      <c r="AO23" s="74">
        <f t="shared" si="26"/>
        <v>1.5796733999999333</v>
      </c>
      <c r="AP23" s="75">
        <f t="shared" si="23"/>
        <v>7.9961559248556396E-3</v>
      </c>
      <c r="AQ23" s="76">
        <f t="shared" si="9"/>
        <v>482.51963355832669</v>
      </c>
      <c r="AR23" s="90">
        <f t="shared" si="24"/>
        <v>0.7819999999992433</v>
      </c>
    </row>
    <row r="24" spans="1:49" x14ac:dyDescent="0.25">
      <c r="A24" t="str">
        <f t="shared" si="10"/>
        <v>46214M</v>
      </c>
      <c r="B24" s="51">
        <f t="shared" si="25"/>
        <v>46214</v>
      </c>
      <c r="C24" s="52" t="s">
        <v>87</v>
      </c>
      <c r="D24" s="91">
        <v>5142</v>
      </c>
      <c r="E24" s="62">
        <v>4.22</v>
      </c>
      <c r="F24" s="62">
        <v>8.2200000000000006</v>
      </c>
      <c r="G24" s="62">
        <f t="shared" si="11"/>
        <v>216.99239999999998</v>
      </c>
      <c r="H24" s="63">
        <f t="shared" si="12"/>
        <v>422.67240000000004</v>
      </c>
      <c r="I24" s="202">
        <v>1253.06</v>
      </c>
      <c r="J24" s="202">
        <v>1290.6517999999999</v>
      </c>
      <c r="K24" s="202">
        <v>4.247577929229247</v>
      </c>
      <c r="L24" s="202">
        <v>8.2441926164748693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1290.6517999999999</v>
      </c>
      <c r="S24" s="62">
        <f t="shared" si="14"/>
        <v>54.821441</v>
      </c>
      <c r="T24" s="63">
        <f t="shared" si="15"/>
        <v>106.4038204</v>
      </c>
      <c r="U24" s="64" t="s">
        <v>180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>
        <v>6432</v>
      </c>
      <c r="AI24" s="66">
        <v>4.22</v>
      </c>
      <c r="AJ24" s="66">
        <v>8.2200000000000006</v>
      </c>
      <c r="AK24" s="62">
        <f t="shared" si="20"/>
        <v>271.43039999999996</v>
      </c>
      <c r="AL24" s="72">
        <f t="shared" si="21"/>
        <v>528.71040000000005</v>
      </c>
      <c r="AM24" s="73">
        <f t="shared" si="22"/>
        <v>0.65179999999963911</v>
      </c>
      <c r="AN24" s="74">
        <f t="shared" si="26"/>
        <v>0.38344100000000481</v>
      </c>
      <c r="AO24" s="74">
        <f t="shared" si="26"/>
        <v>0.36582039999996141</v>
      </c>
      <c r="AP24" s="75">
        <f t="shared" si="23"/>
        <v>4.6472953028188812E-3</v>
      </c>
      <c r="AQ24" s="76">
        <f t="shared" si="9"/>
        <v>293.81583321383619</v>
      </c>
      <c r="AR24" s="90">
        <f t="shared" si="24"/>
        <v>0.65179999999963911</v>
      </c>
    </row>
    <row r="25" spans="1:49" x14ac:dyDescent="0.25">
      <c r="A25" t="str">
        <f t="shared" si="10"/>
        <v>46214E</v>
      </c>
      <c r="B25" s="51">
        <f t="shared" si="25"/>
        <v>46214</v>
      </c>
      <c r="C25" s="52" t="s">
        <v>88</v>
      </c>
      <c r="D25" s="91">
        <v>6432</v>
      </c>
      <c r="E25" s="62">
        <v>4.22</v>
      </c>
      <c r="F25" s="62">
        <v>8.2200000000000006</v>
      </c>
      <c r="G25" s="62">
        <f t="shared" si="11"/>
        <v>271.43039999999996</v>
      </c>
      <c r="H25" s="63">
        <f t="shared" si="12"/>
        <v>528.71040000000005</v>
      </c>
      <c r="I25" s="202">
        <v>1582.9000000000003</v>
      </c>
      <c r="J25" s="202">
        <v>1630.3870000000004</v>
      </c>
      <c r="K25" s="202">
        <v>4.273379240634279</v>
      </c>
      <c r="L25" s="202">
        <v>8.2354918188135713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1630.3870000000004</v>
      </c>
      <c r="S25" s="62">
        <f t="shared" si="14"/>
        <v>69.672619600000019</v>
      </c>
      <c r="T25" s="63">
        <f t="shared" si="15"/>
        <v>134.27038800000005</v>
      </c>
      <c r="U25" s="64" t="s">
        <v>179</v>
      </c>
      <c r="V25" s="65" t="s">
        <v>463</v>
      </c>
      <c r="W25" s="66" t="s">
        <v>184</v>
      </c>
      <c r="X25" s="67">
        <v>5130</v>
      </c>
      <c r="Y25" s="68">
        <v>4.3499999999999996</v>
      </c>
      <c r="Z25" s="68">
        <v>8.4</v>
      </c>
      <c r="AA25" s="62">
        <f t="shared" si="16"/>
        <v>223.15499999999997</v>
      </c>
      <c r="AB25" s="63">
        <f t="shared" si="17"/>
        <v>430.92</v>
      </c>
      <c r="AC25" s="69">
        <v>5140</v>
      </c>
      <c r="AD25" s="70">
        <v>4.3</v>
      </c>
      <c r="AE25" s="70">
        <v>8.39</v>
      </c>
      <c r="AF25" s="62">
        <f t="shared" si="18"/>
        <v>221.01999999999998</v>
      </c>
      <c r="AG25" s="63">
        <f t="shared" si="19"/>
        <v>431.24600000000004</v>
      </c>
      <c r="AH25" s="66">
        <v>2932</v>
      </c>
      <c r="AI25" s="66">
        <v>4.2300000000000004</v>
      </c>
      <c r="AJ25" s="66">
        <v>8.2200000000000006</v>
      </c>
      <c r="AK25" s="62">
        <f t="shared" si="20"/>
        <v>124.02360000000002</v>
      </c>
      <c r="AL25" s="72">
        <f t="shared" si="21"/>
        <v>241.01040000000003</v>
      </c>
      <c r="AM25" s="73">
        <f t="shared" si="22"/>
        <v>-9.6129999999993743</v>
      </c>
      <c r="AN25" s="74">
        <f t="shared" si="26"/>
        <v>-3.940580400000016</v>
      </c>
      <c r="AO25" s="74">
        <f t="shared" si="26"/>
        <v>-9.2756119999999953</v>
      </c>
      <c r="AP25" s="75">
        <f t="shared" si="23"/>
        <v>-6.4803361270033596E-2</v>
      </c>
      <c r="AQ25" s="76">
        <f t="shared" si="9"/>
        <v>-4671.5403517687409</v>
      </c>
      <c r="AR25" s="90">
        <f t="shared" si="24"/>
        <v>0.38700000000062573</v>
      </c>
    </row>
    <row r="26" spans="1:49" x14ac:dyDescent="0.25">
      <c r="A26" t="str">
        <f t="shared" si="10"/>
        <v>46215M</v>
      </c>
      <c r="B26" s="51">
        <f t="shared" si="25"/>
        <v>46215</v>
      </c>
      <c r="C26" s="52" t="s">
        <v>87</v>
      </c>
      <c r="D26" s="91">
        <v>2932</v>
      </c>
      <c r="E26" s="62">
        <v>4.2300000000000004</v>
      </c>
      <c r="F26" s="62">
        <v>8.2200000000000006</v>
      </c>
      <c r="G26" s="62">
        <f t="shared" si="11"/>
        <v>124.02360000000002</v>
      </c>
      <c r="H26" s="63">
        <f t="shared" si="12"/>
        <v>241.01040000000003</v>
      </c>
      <c r="I26" s="202">
        <v>1421.9999999999998</v>
      </c>
      <c r="J26" s="202">
        <v>1464.6599999999999</v>
      </c>
      <c r="K26" s="202">
        <v>4.393828410689169</v>
      </c>
      <c r="L26" s="202">
        <v>8.2637791842475341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1464.6599999999999</v>
      </c>
      <c r="S26" s="62">
        <f t="shared" si="14"/>
        <v>64.354647199999974</v>
      </c>
      <c r="T26" s="63">
        <f t="shared" si="15"/>
        <v>121.03626819999992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4396</v>
      </c>
      <c r="AI26" s="66">
        <v>4.28</v>
      </c>
      <c r="AJ26" s="66">
        <v>8.23</v>
      </c>
      <c r="AK26" s="62">
        <f t="shared" si="20"/>
        <v>188.14880000000002</v>
      </c>
      <c r="AL26" s="72">
        <f t="shared" si="21"/>
        <v>361.79079999999999</v>
      </c>
      <c r="AM26" s="73">
        <f t="shared" si="22"/>
        <v>0.65999999999985448</v>
      </c>
      <c r="AN26" s="74">
        <f t="shared" si="26"/>
        <v>0.229447199999953</v>
      </c>
      <c r="AO26" s="74">
        <f t="shared" si="26"/>
        <v>0.25586819999995214</v>
      </c>
      <c r="AP26" s="75">
        <f t="shared" si="23"/>
        <v>2.6177949386181486E-3</v>
      </c>
      <c r="AQ26" s="76">
        <f t="shared" si="9"/>
        <v>186.88709531672157</v>
      </c>
      <c r="AR26" s="90">
        <f t="shared" si="24"/>
        <v>0.65999999999985448</v>
      </c>
    </row>
    <row r="27" spans="1:49" x14ac:dyDescent="0.25">
      <c r="A27" t="str">
        <f t="shared" si="10"/>
        <v>46215E</v>
      </c>
      <c r="B27" s="51">
        <f t="shared" si="25"/>
        <v>46215</v>
      </c>
      <c r="C27" s="52" t="s">
        <v>88</v>
      </c>
      <c r="D27" s="91">
        <v>4396</v>
      </c>
      <c r="E27" s="62">
        <v>4.28</v>
      </c>
      <c r="F27" s="62">
        <v>8.23</v>
      </c>
      <c r="G27" s="62">
        <f t="shared" si="11"/>
        <v>188.14880000000002</v>
      </c>
      <c r="H27" s="63">
        <f t="shared" si="12"/>
        <v>361.79079999999999</v>
      </c>
      <c r="I27" s="202">
        <v>1691.3000000000002</v>
      </c>
      <c r="J27" s="202">
        <v>1742.0390000000002</v>
      </c>
      <c r="K27" s="202">
        <v>4.0760373677053172</v>
      </c>
      <c r="L27" s="202">
        <v>8.1807307987938316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1742.0390000000002</v>
      </c>
      <c r="S27" s="62">
        <f t="shared" si="14"/>
        <v>71.006160600000044</v>
      </c>
      <c r="T27" s="63">
        <f t="shared" si="15"/>
        <v>142.51152100000007</v>
      </c>
      <c r="U27" s="64" t="s">
        <v>179</v>
      </c>
      <c r="V27" s="65" t="s">
        <v>464</v>
      </c>
      <c r="W27" s="66" t="s">
        <v>178</v>
      </c>
      <c r="X27" s="67">
        <v>3830</v>
      </c>
      <c r="Y27" s="68">
        <v>4.4000000000000004</v>
      </c>
      <c r="Z27" s="68">
        <v>8.41</v>
      </c>
      <c r="AA27" s="62">
        <f t="shared" si="16"/>
        <v>168.52</v>
      </c>
      <c r="AB27" s="63">
        <f t="shared" si="17"/>
        <v>322.10300000000001</v>
      </c>
      <c r="AC27" s="69">
        <v>3840</v>
      </c>
      <c r="AD27" s="70">
        <v>4.3499999999999996</v>
      </c>
      <c r="AE27" s="70">
        <v>8.2799999999999994</v>
      </c>
      <c r="AF27" s="62">
        <f t="shared" si="18"/>
        <v>167.04</v>
      </c>
      <c r="AG27" s="63">
        <f t="shared" si="19"/>
        <v>317.952</v>
      </c>
      <c r="AH27" s="66">
        <v>2308</v>
      </c>
      <c r="AI27" s="66">
        <v>4.22</v>
      </c>
      <c r="AJ27" s="66">
        <v>8.2100000000000009</v>
      </c>
      <c r="AK27" s="62">
        <f t="shared" si="20"/>
        <v>97.397599999999983</v>
      </c>
      <c r="AL27" s="72">
        <f t="shared" si="21"/>
        <v>189.48680000000002</v>
      </c>
      <c r="AM27" s="73">
        <f t="shared" si="22"/>
        <v>-9.9609999999993306</v>
      </c>
      <c r="AN27" s="74">
        <f t="shared" si="26"/>
        <v>-5.28263939999988</v>
      </c>
      <c r="AO27" s="74">
        <f t="shared" si="26"/>
        <v>-3.1364789999999516</v>
      </c>
      <c r="AP27" s="75">
        <f t="shared" si="23"/>
        <v>-3.9430544285189668E-2</v>
      </c>
      <c r="AQ27" s="76">
        <f t="shared" si="9"/>
        <v>-3477.82770069144</v>
      </c>
      <c r="AR27" s="90">
        <f t="shared" si="24"/>
        <v>3.9000000000669388E-2</v>
      </c>
    </row>
    <row r="28" spans="1:49" x14ac:dyDescent="0.25">
      <c r="A28" t="str">
        <f t="shared" si="10"/>
        <v>46216M</v>
      </c>
      <c r="B28" s="51">
        <f t="shared" si="25"/>
        <v>46216</v>
      </c>
      <c r="C28" s="52" t="s">
        <v>87</v>
      </c>
      <c r="D28" s="91">
        <v>2308</v>
      </c>
      <c r="E28" s="62">
        <v>4.22</v>
      </c>
      <c r="F28" s="62">
        <v>8.2100000000000009</v>
      </c>
      <c r="G28" s="62">
        <f t="shared" si="11"/>
        <v>97.397599999999983</v>
      </c>
      <c r="H28" s="63">
        <f t="shared" si="12"/>
        <v>189.48680000000002</v>
      </c>
      <c r="I28" s="202">
        <v>1429.2399999999998</v>
      </c>
      <c r="J28" s="202">
        <v>1472.1171999999999</v>
      </c>
      <c r="K28" s="202">
        <v>4.4750804623436231</v>
      </c>
      <c r="L28" s="202">
        <v>8.2543869469088467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1472.1171999999999</v>
      </c>
      <c r="S28" s="62">
        <f t="shared" si="14"/>
        <v>65.878429199999999</v>
      </c>
      <c r="T28" s="63">
        <f t="shared" si="15"/>
        <v>121.51424999999999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>
        <v>3780</v>
      </c>
      <c r="AI28" s="66">
        <v>4.3099999999999996</v>
      </c>
      <c r="AJ28" s="66">
        <v>8.2200000000000006</v>
      </c>
      <c r="AK28" s="62">
        <f t="shared" si="20"/>
        <v>162.91800000000001</v>
      </c>
      <c r="AL28" s="72">
        <f t="shared" si="21"/>
        <v>310.71600000000001</v>
      </c>
      <c r="AM28" s="73">
        <f t="shared" si="22"/>
        <v>0.11719999999968422</v>
      </c>
      <c r="AN28" s="74">
        <f t="shared" si="26"/>
        <v>0.35802919999997584</v>
      </c>
      <c r="AO28" s="74">
        <f t="shared" si="26"/>
        <v>0.28505000000001246</v>
      </c>
      <c r="AP28" s="75">
        <f t="shared" si="23"/>
        <v>3.4317199729752752E-3</v>
      </c>
      <c r="AQ28" s="76">
        <f t="shared" si="9"/>
        <v>257.41462050995619</v>
      </c>
      <c r="AR28" s="90">
        <f t="shared" si="24"/>
        <v>0.11719999999968422</v>
      </c>
    </row>
    <row r="29" spans="1:49" x14ac:dyDescent="0.25">
      <c r="A29" t="str">
        <f t="shared" si="10"/>
        <v>46216E</v>
      </c>
      <c r="B29" s="51">
        <f t="shared" si="25"/>
        <v>46216</v>
      </c>
      <c r="C29" s="52" t="s">
        <v>88</v>
      </c>
      <c r="D29" s="91">
        <v>3780</v>
      </c>
      <c r="E29" s="62">
        <v>4.3099999999999996</v>
      </c>
      <c r="F29" s="62">
        <v>8.2200000000000006</v>
      </c>
      <c r="G29" s="62">
        <f t="shared" si="11"/>
        <v>162.91800000000001</v>
      </c>
      <c r="H29" s="63">
        <f t="shared" si="12"/>
        <v>310.71600000000001</v>
      </c>
      <c r="I29" s="202">
        <v>1709.6399999999996</v>
      </c>
      <c r="J29" s="202">
        <v>1760.9291999999996</v>
      </c>
      <c r="K29" s="202">
        <v>4.1953335205072415</v>
      </c>
      <c r="L29" s="202">
        <v>8.2049916941578349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1760.9291999999996</v>
      </c>
      <c r="S29" s="62">
        <f t="shared" si="14"/>
        <v>73.876852999999983</v>
      </c>
      <c r="T29" s="63">
        <f t="shared" si="15"/>
        <v>144.48409459999996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5540</v>
      </c>
      <c r="AI29" s="66">
        <v>4.2699999999999996</v>
      </c>
      <c r="AJ29" s="66">
        <v>8.2100000000000009</v>
      </c>
      <c r="AK29" s="62">
        <f t="shared" si="20"/>
        <v>236.55799999999996</v>
      </c>
      <c r="AL29" s="72">
        <f t="shared" si="21"/>
        <v>454.83400000000006</v>
      </c>
      <c r="AM29" s="73">
        <f t="shared" si="22"/>
        <v>0.92919999999958236</v>
      </c>
      <c r="AN29" s="74">
        <f t="shared" si="26"/>
        <v>0.23685300000002485</v>
      </c>
      <c r="AO29" s="74">
        <f t="shared" si="26"/>
        <v>0.36609459999988303</v>
      </c>
      <c r="AP29" s="75">
        <f t="shared" si="23"/>
        <v>2.7612428258206919E-3</v>
      </c>
      <c r="AQ29" s="76">
        <f t="shared" si="9"/>
        <v>223.45764875731129</v>
      </c>
      <c r="AR29" s="90">
        <f t="shared" si="24"/>
        <v>0.92919999999958236</v>
      </c>
    </row>
    <row r="30" spans="1:49" x14ac:dyDescent="0.25">
      <c r="A30" t="str">
        <f t="shared" si="10"/>
        <v>46217M</v>
      </c>
      <c r="B30" s="51">
        <f t="shared" si="25"/>
        <v>46217</v>
      </c>
      <c r="C30" s="52" t="s">
        <v>87</v>
      </c>
      <c r="D30" s="79">
        <v>5540</v>
      </c>
      <c r="E30" s="62">
        <v>4.2699999999999996</v>
      </c>
      <c r="F30" s="62">
        <v>8.2100000000000009</v>
      </c>
      <c r="G30" s="62">
        <f t="shared" si="11"/>
        <v>236.55799999999996</v>
      </c>
      <c r="H30" s="63">
        <f t="shared" si="12"/>
        <v>454.83400000000006</v>
      </c>
      <c r="I30" s="202">
        <v>1613.6400000000003</v>
      </c>
      <c r="J30" s="202">
        <v>1662.0492000000004</v>
      </c>
      <c r="K30" s="202">
        <v>4.4678453682357908</v>
      </c>
      <c r="L30" s="202">
        <v>8.2454921791725564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1662.0492000000004</v>
      </c>
      <c r="S30" s="62">
        <f t="shared" si="14"/>
        <v>74.257788200000036</v>
      </c>
      <c r="T30" s="63">
        <f t="shared" si="15"/>
        <v>137.04413680000008</v>
      </c>
      <c r="U30" s="64" t="s">
        <v>179</v>
      </c>
      <c r="V30" s="65" t="s">
        <v>555</v>
      </c>
      <c r="W30" s="66" t="s">
        <v>178</v>
      </c>
      <c r="X30" s="67">
        <v>5130</v>
      </c>
      <c r="Y30" s="68">
        <v>4.3499999999999996</v>
      </c>
      <c r="Z30" s="68">
        <v>8.4</v>
      </c>
      <c r="AA30" s="62">
        <f t="shared" si="16"/>
        <v>223.15499999999997</v>
      </c>
      <c r="AB30" s="63">
        <f t="shared" si="17"/>
        <v>430.92</v>
      </c>
      <c r="AC30" s="69">
        <v>5150</v>
      </c>
      <c r="AD30" s="70">
        <v>4.3</v>
      </c>
      <c r="AE30" s="70">
        <v>8.1399999999999988</v>
      </c>
      <c r="AF30" s="62">
        <f t="shared" si="18"/>
        <v>221.45</v>
      </c>
      <c r="AG30" s="63">
        <f t="shared" si="19"/>
        <v>419.20999999999992</v>
      </c>
      <c r="AH30" s="66">
        <v>2072</v>
      </c>
      <c r="AI30" s="66">
        <v>4.3099999999999996</v>
      </c>
      <c r="AJ30" s="66">
        <v>8.24</v>
      </c>
      <c r="AK30" s="62">
        <f t="shared" si="20"/>
        <v>89.303200000000004</v>
      </c>
      <c r="AL30" s="72">
        <f t="shared" si="21"/>
        <v>170.7328</v>
      </c>
      <c r="AM30" s="73">
        <f t="shared" si="22"/>
        <v>-19.950799999999617</v>
      </c>
      <c r="AN30" s="74">
        <f t="shared" si="26"/>
        <v>6.2588199999993321E-2</v>
      </c>
      <c r="AO30" s="74">
        <f t="shared" si="26"/>
        <v>1.9353368000001865</v>
      </c>
      <c r="AP30" s="75">
        <f t="shared" si="23"/>
        <v>9.4553090323250908E-3</v>
      </c>
      <c r="AQ30" s="76">
        <f t="shared" si="9"/>
        <v>609.69180936501778</v>
      </c>
      <c r="AR30" s="90">
        <f t="shared" si="24"/>
        <v>4.9200000000382715E-2</v>
      </c>
    </row>
    <row r="31" spans="1:49" x14ac:dyDescent="0.25">
      <c r="A31" t="str">
        <f t="shared" si="10"/>
        <v>46217E</v>
      </c>
      <c r="B31" s="51">
        <f t="shared" si="25"/>
        <v>46217</v>
      </c>
      <c r="C31" s="52" t="s">
        <v>88</v>
      </c>
      <c r="D31" s="79">
        <v>2072</v>
      </c>
      <c r="E31" s="62">
        <v>4.3099999999999996</v>
      </c>
      <c r="F31" s="62">
        <v>8.24</v>
      </c>
      <c r="G31" s="62">
        <f t="shared" si="11"/>
        <v>89.303200000000004</v>
      </c>
      <c r="H31" s="63">
        <f t="shared" si="12"/>
        <v>170.7328</v>
      </c>
      <c r="I31" s="202">
        <v>1877.26</v>
      </c>
      <c r="J31" s="202">
        <v>1933.5778</v>
      </c>
      <c r="K31" s="202">
        <v>4.045801860157888</v>
      </c>
      <c r="L31" s="202">
        <v>8.1313978884118328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1933.5778</v>
      </c>
      <c r="S31" s="62">
        <f t="shared" si="14"/>
        <v>78.228726599999973</v>
      </c>
      <c r="T31" s="63">
        <f t="shared" si="15"/>
        <v>157.22690439999997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>
        <v>4005</v>
      </c>
      <c r="AI31" s="66">
        <v>4.18</v>
      </c>
      <c r="AJ31" s="66">
        <v>8.18</v>
      </c>
      <c r="AK31" s="62">
        <f t="shared" si="20"/>
        <v>167.40899999999999</v>
      </c>
      <c r="AL31" s="72">
        <f t="shared" si="21"/>
        <v>327.60899999999998</v>
      </c>
      <c r="AM31" s="73">
        <f t="shared" si="22"/>
        <v>0.57780000000002474</v>
      </c>
      <c r="AN31" s="74">
        <f t="shared" si="26"/>
        <v>0.12292659999997113</v>
      </c>
      <c r="AO31" s="74">
        <f t="shared" si="26"/>
        <v>0.35070439999998371</v>
      </c>
      <c r="AP31" s="75">
        <f t="shared" si="23"/>
        <v>2.0115509575557994E-3</v>
      </c>
      <c r="AQ31" s="76">
        <f t="shared" si="9"/>
        <v>164.10307777163442</v>
      </c>
      <c r="AR31" s="90">
        <f t="shared" si="24"/>
        <v>0.57780000000002474</v>
      </c>
    </row>
    <row r="32" spans="1:49" x14ac:dyDescent="0.25">
      <c r="A32" t="str">
        <f t="shared" si="10"/>
        <v>46218M</v>
      </c>
      <c r="B32" s="51">
        <f t="shared" si="25"/>
        <v>46218</v>
      </c>
      <c r="C32" s="52" t="s">
        <v>87</v>
      </c>
      <c r="D32" s="79">
        <v>4005</v>
      </c>
      <c r="E32" s="62">
        <v>4.18</v>
      </c>
      <c r="F32" s="62">
        <v>8.18</v>
      </c>
      <c r="G32" s="62">
        <f t="shared" si="11"/>
        <v>167.40899999999999</v>
      </c>
      <c r="H32" s="63">
        <f t="shared" si="12"/>
        <v>327.60899999999998</v>
      </c>
      <c r="I32" s="202">
        <v>1858.7800000000002</v>
      </c>
      <c r="J32" s="202">
        <v>1914.5434000000002</v>
      </c>
      <c r="K32" s="202">
        <v>4.3522428689785775</v>
      </c>
      <c r="L32" s="202">
        <v>8.2848943930965468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1914.5434000000002</v>
      </c>
      <c r="S32" s="62">
        <f t="shared" si="14"/>
        <v>83.325578600000014</v>
      </c>
      <c r="T32" s="63">
        <f t="shared" si="15"/>
        <v>158.61789880000001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>
        <v>5919</v>
      </c>
      <c r="AI32" s="66">
        <v>4.2300000000000004</v>
      </c>
      <c r="AJ32" s="66">
        <v>8.2100000000000009</v>
      </c>
      <c r="AK32" s="62">
        <f t="shared" si="20"/>
        <v>250.37370000000001</v>
      </c>
      <c r="AL32" s="72">
        <f t="shared" si="21"/>
        <v>485.94990000000001</v>
      </c>
      <c r="AM32" s="73">
        <f t="shared" si="22"/>
        <v>0.54340000000047439</v>
      </c>
      <c r="AN32" s="74">
        <f t="shared" si="26"/>
        <v>0.3608786000000066</v>
      </c>
      <c r="AO32" s="74">
        <f t="shared" si="26"/>
        <v>0.27699879999994437</v>
      </c>
      <c r="AP32" s="75">
        <f t="shared" si="23"/>
        <v>2.6364728111490346E-3</v>
      </c>
      <c r="AQ32" s="76">
        <f t="shared" si="9"/>
        <v>256.37258722363271</v>
      </c>
      <c r="AR32" s="90">
        <f t="shared" si="24"/>
        <v>0.54340000000047439</v>
      </c>
    </row>
    <row r="33" spans="1:49" x14ac:dyDescent="0.25">
      <c r="A33" t="str">
        <f t="shared" si="10"/>
        <v>46218E</v>
      </c>
      <c r="B33" s="51">
        <f t="shared" si="25"/>
        <v>46218</v>
      </c>
      <c r="C33" s="52" t="s">
        <v>88</v>
      </c>
      <c r="D33" s="79">
        <v>5919</v>
      </c>
      <c r="E33" s="62">
        <v>4.2300000000000004</v>
      </c>
      <c r="F33" s="62">
        <v>8.2100000000000009</v>
      </c>
      <c r="G33" s="62">
        <f t="shared" si="11"/>
        <v>250.37370000000001</v>
      </c>
      <c r="H33" s="63">
        <f t="shared" si="12"/>
        <v>485.94990000000001</v>
      </c>
      <c r="I33" s="202">
        <v>1671.6000000000001</v>
      </c>
      <c r="J33" s="202">
        <v>1721.7480000000003</v>
      </c>
      <c r="K33" s="202">
        <v>4.1015757358219673</v>
      </c>
      <c r="L33" s="202">
        <v>8.0999294089495084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1721.7480000000003</v>
      </c>
      <c r="S33" s="62">
        <f t="shared" si="14"/>
        <v>70.618798200000029</v>
      </c>
      <c r="T33" s="63">
        <f t="shared" si="15"/>
        <v>139.4603726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7640</v>
      </c>
      <c r="AI33" s="66">
        <v>4.2</v>
      </c>
      <c r="AJ33" s="66">
        <v>8.18</v>
      </c>
      <c r="AK33" s="62">
        <f t="shared" si="20"/>
        <v>320.88</v>
      </c>
      <c r="AL33" s="72">
        <f t="shared" si="21"/>
        <v>624.952</v>
      </c>
      <c r="AM33" s="73">
        <f t="shared" si="22"/>
        <v>0.74800000000050204</v>
      </c>
      <c r="AN33" s="74">
        <f t="shared" si="26"/>
        <v>0.11249820000006139</v>
      </c>
      <c r="AO33" s="74">
        <f t="shared" si="26"/>
        <v>0.4582725999999866</v>
      </c>
      <c r="AP33" s="75">
        <f t="shared" si="23"/>
        <v>2.7169318968011075E-3</v>
      </c>
      <c r="AQ33" s="76">
        <f t="shared" si="9"/>
        <v>191.30761043744519</v>
      </c>
      <c r="AR33" s="90">
        <f t="shared" si="24"/>
        <v>0.74800000000050204</v>
      </c>
    </row>
    <row r="34" spans="1:49" x14ac:dyDescent="0.25">
      <c r="A34" t="str">
        <f t="shared" si="10"/>
        <v>46219M</v>
      </c>
      <c r="B34" s="51">
        <f t="shared" si="25"/>
        <v>46219</v>
      </c>
      <c r="C34" s="52" t="s">
        <v>87</v>
      </c>
      <c r="D34" s="79">
        <v>7640</v>
      </c>
      <c r="E34" s="62">
        <v>4.2</v>
      </c>
      <c r="F34" s="62">
        <v>8.18</v>
      </c>
      <c r="G34" s="62">
        <f t="shared" si="11"/>
        <v>320.88</v>
      </c>
      <c r="H34" s="63">
        <f t="shared" si="12"/>
        <v>624.952</v>
      </c>
      <c r="I34" s="202">
        <v>1700.5800000000002</v>
      </c>
      <c r="J34" s="202">
        <v>1751.5974000000001</v>
      </c>
      <c r="K34" s="202">
        <v>4.4542297333850804</v>
      </c>
      <c r="L34" s="202">
        <v>8.1590280962965576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1751.5974000000001</v>
      </c>
      <c r="S34" s="62">
        <f t="shared" si="14"/>
        <v>78.020172200000005</v>
      </c>
      <c r="T34" s="63">
        <f t="shared" si="15"/>
        <v>142.91332399999999</v>
      </c>
      <c r="U34" s="64" t="s">
        <v>179</v>
      </c>
      <c r="V34" s="65" t="s">
        <v>556</v>
      </c>
      <c r="W34" s="66" t="s">
        <v>178</v>
      </c>
      <c r="X34" s="67">
        <v>5130</v>
      </c>
      <c r="Y34" s="68">
        <v>4.3499999999999996</v>
      </c>
      <c r="Z34" s="68">
        <v>8.4</v>
      </c>
      <c r="AA34" s="62">
        <f t="shared" si="16"/>
        <v>223.15499999999997</v>
      </c>
      <c r="AB34" s="63">
        <f t="shared" si="17"/>
        <v>430.92</v>
      </c>
      <c r="AC34" s="69">
        <v>5090</v>
      </c>
      <c r="AD34" s="70">
        <v>4.25</v>
      </c>
      <c r="AE34" s="70">
        <v>8.26</v>
      </c>
      <c r="AF34" s="62">
        <f t="shared" si="18"/>
        <v>216.32500000000002</v>
      </c>
      <c r="AG34" s="63">
        <f t="shared" si="19"/>
        <v>420.43399999999997</v>
      </c>
      <c r="AH34" s="66">
        <v>4261</v>
      </c>
      <c r="AI34" s="66">
        <v>4.24</v>
      </c>
      <c r="AJ34" s="66">
        <v>8.17</v>
      </c>
      <c r="AK34" s="62">
        <f t="shared" si="20"/>
        <v>180.66640000000001</v>
      </c>
      <c r="AL34" s="72">
        <f t="shared" si="21"/>
        <v>348.12369999999999</v>
      </c>
      <c r="AM34" s="73">
        <f t="shared" si="22"/>
        <v>40.597400000000562</v>
      </c>
      <c r="AN34" s="74">
        <f t="shared" si="26"/>
        <v>1.9087721999999587</v>
      </c>
      <c r="AO34" s="74">
        <f t="shared" si="26"/>
        <v>-0.69237599999996746</v>
      </c>
      <c r="AP34" s="75">
        <f t="shared" si="23"/>
        <v>5.5057119944313419E-3</v>
      </c>
      <c r="AQ34" s="76">
        <f t="shared" si="9"/>
        <v>709.86671769745635</v>
      </c>
      <c r="AR34" s="90">
        <f t="shared" si="24"/>
        <v>0.5974000000005617</v>
      </c>
    </row>
    <row r="35" spans="1:49" x14ac:dyDescent="0.25">
      <c r="A35" t="str">
        <f t="shared" si="10"/>
        <v>46219E</v>
      </c>
      <c r="B35" s="51">
        <f t="shared" si="25"/>
        <v>46219</v>
      </c>
      <c r="C35" s="52" t="s">
        <v>88</v>
      </c>
      <c r="D35" s="79">
        <v>4261</v>
      </c>
      <c r="E35" s="62">
        <v>4.24</v>
      </c>
      <c r="F35" s="62">
        <v>8.17</v>
      </c>
      <c r="G35" s="62">
        <f t="shared" si="11"/>
        <v>180.66640000000001</v>
      </c>
      <c r="H35" s="63">
        <f t="shared" si="12"/>
        <v>348.12369999999999</v>
      </c>
      <c r="I35" s="202">
        <v>2005.5200000000002</v>
      </c>
      <c r="J35" s="202">
        <v>2065.6856000000002</v>
      </c>
      <c r="K35" s="202">
        <v>4.1426004228329827</v>
      </c>
      <c r="L35" s="202">
        <v>8.1021739997606623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2065.6856000000002</v>
      </c>
      <c r="S35" s="62">
        <f t="shared" si="14"/>
        <v>85.573100400000058</v>
      </c>
      <c r="T35" s="63">
        <f t="shared" si="15"/>
        <v>167.36544160000005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6250</v>
      </c>
      <c r="AI35" s="66">
        <v>4.2</v>
      </c>
      <c r="AJ35" s="66">
        <v>8.14</v>
      </c>
      <c r="AK35" s="62">
        <f t="shared" si="20"/>
        <v>262.5</v>
      </c>
      <c r="AL35" s="72">
        <f t="shared" si="21"/>
        <v>508.75</v>
      </c>
      <c r="AM35" s="73">
        <f t="shared" si="22"/>
        <v>76.685600000000704</v>
      </c>
      <c r="AN35" s="74">
        <f t="shared" si="26"/>
        <v>3.739500400000054</v>
      </c>
      <c r="AO35" s="74">
        <f t="shared" si="26"/>
        <v>6.739141600000039</v>
      </c>
      <c r="AP35" s="75">
        <f t="shared" si="23"/>
        <v>4.1427620785447906E-2</v>
      </c>
      <c r="AQ35" s="76">
        <f t="shared" si="9"/>
        <v>3815.2645634892478</v>
      </c>
      <c r="AR35" s="90">
        <f t="shared" si="24"/>
        <v>76.685600000000704</v>
      </c>
      <c r="AS35" s="90">
        <f>SUM(J22:J35)</f>
        <v>23293.161599999999</v>
      </c>
      <c r="AT35" s="83">
        <f>SUM(AM22:AM35)</f>
        <v>83.161600000002181</v>
      </c>
      <c r="AU35" s="83">
        <f>SUM(AN22:AN35)</f>
        <v>-1.3017653999998799</v>
      </c>
      <c r="AV35" s="83">
        <f>SUM(AO22:AO35)</f>
        <v>-0.37629740000002698</v>
      </c>
      <c r="AW35" s="83">
        <f>-SUM(AQ22:AQ35)</f>
        <v>738.23836381899218</v>
      </c>
    </row>
    <row r="36" spans="1:49" x14ac:dyDescent="0.25">
      <c r="A36" t="str">
        <f t="shared" si="10"/>
        <v>46220M</v>
      </c>
      <c r="B36" s="51">
        <f t="shared" si="25"/>
        <v>46220</v>
      </c>
      <c r="C36" s="52" t="s">
        <v>87</v>
      </c>
      <c r="D36" s="79">
        <v>6250</v>
      </c>
      <c r="E36" s="62">
        <v>4.2</v>
      </c>
      <c r="F36" s="62">
        <v>8.14</v>
      </c>
      <c r="G36" s="62">
        <f t="shared" si="11"/>
        <v>262.5</v>
      </c>
      <c r="H36" s="63">
        <f t="shared" si="12"/>
        <v>508.75</v>
      </c>
      <c r="I36" s="202">
        <v>1359.0999999999997</v>
      </c>
      <c r="J36" s="202">
        <v>1399.8729999999998</v>
      </c>
      <c r="K36" s="202">
        <v>4.6175836950923417</v>
      </c>
      <c r="L36" s="202">
        <v>8.2201574571407559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1399.8729999999998</v>
      </c>
      <c r="S36" s="62">
        <f t="shared" si="14"/>
        <v>64.640307399999998</v>
      </c>
      <c r="T36" s="63">
        <f t="shared" si="15"/>
        <v>115.0717648</v>
      </c>
      <c r="U36" s="64" t="s">
        <v>179</v>
      </c>
      <c r="V36" s="65" t="s">
        <v>667</v>
      </c>
      <c r="W36" s="66" t="s">
        <v>178</v>
      </c>
      <c r="X36" s="67">
        <v>5130</v>
      </c>
      <c r="Y36" s="68">
        <v>4.45</v>
      </c>
      <c r="Z36" s="68">
        <v>8.3000000000000007</v>
      </c>
      <c r="AA36" s="62">
        <f t="shared" si="16"/>
        <v>228.28500000000003</v>
      </c>
      <c r="AB36" s="63">
        <f t="shared" si="17"/>
        <v>425.79</v>
      </c>
      <c r="AC36" s="69">
        <v>5100</v>
      </c>
      <c r="AD36" s="70">
        <v>4.4000000000000004</v>
      </c>
      <c r="AE36" s="70">
        <v>8.16</v>
      </c>
      <c r="AF36" s="62">
        <f t="shared" si="18"/>
        <v>224.40000000000003</v>
      </c>
      <c r="AG36" s="63">
        <f t="shared" si="19"/>
        <v>416.16</v>
      </c>
      <c r="AH36" s="66">
        <v>2519</v>
      </c>
      <c r="AI36" s="66">
        <v>4.2699999999999996</v>
      </c>
      <c r="AJ36" s="66">
        <v>8.15</v>
      </c>
      <c r="AK36" s="62">
        <f t="shared" si="20"/>
        <v>107.56129999999999</v>
      </c>
      <c r="AL36" s="72">
        <f t="shared" si="21"/>
        <v>205.29850000000002</v>
      </c>
      <c r="AM36" s="73">
        <f t="shared" si="22"/>
        <v>30.872999999999593</v>
      </c>
      <c r="AN36" s="74">
        <f t="shared" si="26"/>
        <v>-4.8209926000000394</v>
      </c>
      <c r="AO36" s="74">
        <f t="shared" si="26"/>
        <v>2.3632647999999392</v>
      </c>
      <c r="AP36" s="75">
        <f t="shared" si="23"/>
        <v>-1.3675919318680585E-2</v>
      </c>
      <c r="AQ36" s="76">
        <f t="shared" si="9"/>
        <v>-1608.8670817682073</v>
      </c>
      <c r="AR36" s="90">
        <f t="shared" si="24"/>
        <v>0.87299999999959255</v>
      </c>
    </row>
    <row r="37" spans="1:49" x14ac:dyDescent="0.25">
      <c r="A37" t="str">
        <f t="shared" si="10"/>
        <v>46220E</v>
      </c>
      <c r="B37" s="51">
        <f t="shared" si="25"/>
        <v>46220</v>
      </c>
      <c r="C37" s="52" t="s">
        <v>88</v>
      </c>
      <c r="D37" s="79">
        <v>2519</v>
      </c>
      <c r="E37" s="62">
        <v>4.2699999999999996</v>
      </c>
      <c r="F37" s="62">
        <v>8.15</v>
      </c>
      <c r="G37" s="62">
        <f t="shared" si="11"/>
        <v>107.56129999999999</v>
      </c>
      <c r="H37" s="63">
        <f t="shared" si="12"/>
        <v>205.29850000000002</v>
      </c>
      <c r="I37" s="202">
        <v>1787.7999999999995</v>
      </c>
      <c r="J37" s="202">
        <v>1841.4339999999995</v>
      </c>
      <c r="K37" s="202">
        <v>3.9913334824924491</v>
      </c>
      <c r="L37" s="202">
        <v>8.0304463586530943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1841.4339999999995</v>
      </c>
      <c r="S37" s="62">
        <f t="shared" si="14"/>
        <v>73.497771799999981</v>
      </c>
      <c r="T37" s="63">
        <f t="shared" si="15"/>
        <v>147.87536959999997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>
        <v>4360</v>
      </c>
      <c r="AI37" s="66">
        <v>4.1500000000000004</v>
      </c>
      <c r="AJ37" s="66">
        <v>8.09</v>
      </c>
      <c r="AK37" s="62">
        <f t="shared" si="20"/>
        <v>180.94</v>
      </c>
      <c r="AL37" s="72">
        <f t="shared" si="21"/>
        <v>352.72399999999999</v>
      </c>
      <c r="AM37" s="73">
        <f t="shared" si="22"/>
        <v>0.43399999999928696</v>
      </c>
      <c r="AN37" s="74">
        <f t="shared" si="26"/>
        <v>0.11907179999997197</v>
      </c>
      <c r="AO37" s="74">
        <f t="shared" si="26"/>
        <v>0.44986959999999954</v>
      </c>
      <c r="AP37" s="75">
        <f t="shared" si="23"/>
        <v>2.570056134189961E-3</v>
      </c>
      <c r="AQ37" s="76">
        <f t="shared" si="9"/>
        <v>191.94981549238997</v>
      </c>
      <c r="AR37" s="90">
        <f t="shared" si="24"/>
        <v>0.43399999999928696</v>
      </c>
    </row>
    <row r="38" spans="1:49" x14ac:dyDescent="0.25">
      <c r="A38" t="str">
        <f t="shared" si="10"/>
        <v>46221M</v>
      </c>
      <c r="B38" s="51">
        <f t="shared" si="25"/>
        <v>46221</v>
      </c>
      <c r="C38" s="52" t="s">
        <v>87</v>
      </c>
      <c r="D38" s="79">
        <v>4360</v>
      </c>
      <c r="E38" s="62">
        <v>4.1500000000000004</v>
      </c>
      <c r="F38" s="62">
        <v>8.09</v>
      </c>
      <c r="G38" s="62">
        <f t="shared" si="11"/>
        <v>180.94</v>
      </c>
      <c r="H38" s="63">
        <f t="shared" si="12"/>
        <v>352.72399999999999</v>
      </c>
      <c r="I38" s="202">
        <v>1517.2400000000002</v>
      </c>
      <c r="J38" s="202">
        <v>1562.7572000000002</v>
      </c>
      <c r="K38" s="202">
        <v>4.4864451240410235</v>
      </c>
      <c r="L38" s="202">
        <v>8.1881653528775935</v>
      </c>
      <c r="M38" s="58">
        <v>0</v>
      </c>
      <c r="N38" s="56">
        <v>0</v>
      </c>
      <c r="O38" s="59">
        <v>0</v>
      </c>
      <c r="P38" s="56">
        <v>0</v>
      </c>
      <c r="Q38" s="60">
        <v>0</v>
      </c>
      <c r="R38" s="61">
        <f t="shared" si="13"/>
        <v>1562.7572000000002</v>
      </c>
      <c r="S38" s="62">
        <f t="shared" si="14"/>
        <v>70.112244200000035</v>
      </c>
      <c r="T38" s="63">
        <f t="shared" si="15"/>
        <v>127.96114360000003</v>
      </c>
      <c r="U38" s="64" t="s">
        <v>176</v>
      </c>
      <c r="V38" s="65" t="s">
        <v>668</v>
      </c>
      <c r="W38" s="66" t="s">
        <v>184</v>
      </c>
      <c r="X38" s="67">
        <v>3020</v>
      </c>
      <c r="Y38" s="68">
        <v>4.4000000000000004</v>
      </c>
      <c r="Z38" s="68">
        <v>8.41</v>
      </c>
      <c r="AA38" s="62">
        <f t="shared" si="16"/>
        <v>132.88000000000002</v>
      </c>
      <c r="AB38" s="63">
        <f t="shared" si="17"/>
        <v>253.98200000000003</v>
      </c>
      <c r="AC38" s="69">
        <v>3020</v>
      </c>
      <c r="AD38" s="70">
        <v>4.3</v>
      </c>
      <c r="AE38" s="70">
        <v>8.14</v>
      </c>
      <c r="AF38" s="62">
        <f t="shared" si="18"/>
        <v>129.85999999999999</v>
      </c>
      <c r="AG38" s="63">
        <f t="shared" si="19"/>
        <v>245.828</v>
      </c>
      <c r="AH38" s="66">
        <v>2902</v>
      </c>
      <c r="AI38" s="66">
        <v>4.2300000000000004</v>
      </c>
      <c r="AJ38" s="66">
        <v>8.11</v>
      </c>
      <c r="AK38" s="62">
        <f t="shared" si="20"/>
        <v>122.75460000000001</v>
      </c>
      <c r="AL38" s="72">
        <f t="shared" si="21"/>
        <v>235.35219999999998</v>
      </c>
      <c r="AM38" s="73">
        <f t="shared" si="22"/>
        <v>0.75720000000001164</v>
      </c>
      <c r="AN38" s="74">
        <f t="shared" si="26"/>
        <v>-1.5623557999999775</v>
      </c>
      <c r="AO38" s="74">
        <f t="shared" si="26"/>
        <v>-0.49505639999998152</v>
      </c>
      <c r="AP38" s="75">
        <f t="shared" si="23"/>
        <v>-1.0387120767972033E-2</v>
      </c>
      <c r="AQ38" s="76">
        <f t="shared" si="9"/>
        <v>-899.02779555179234</v>
      </c>
      <c r="AR38" s="90">
        <f t="shared" si="24"/>
        <v>0.75720000000001164</v>
      </c>
    </row>
    <row r="39" spans="1:49" x14ac:dyDescent="0.25">
      <c r="A39" t="str">
        <f t="shared" si="10"/>
        <v>46221E</v>
      </c>
      <c r="B39" s="51">
        <f t="shared" si="25"/>
        <v>46221</v>
      </c>
      <c r="C39" s="52" t="s">
        <v>88</v>
      </c>
      <c r="D39" s="79">
        <v>2902</v>
      </c>
      <c r="E39" s="62">
        <v>4.2300000000000004</v>
      </c>
      <c r="F39" s="62">
        <v>8.11</v>
      </c>
      <c r="G39" s="62">
        <f t="shared" si="11"/>
        <v>122.75460000000001</v>
      </c>
      <c r="H39" s="63">
        <f t="shared" si="12"/>
        <v>235.35219999999998</v>
      </c>
      <c r="I39" s="202">
        <v>1944.2600000000002</v>
      </c>
      <c r="J39" s="202">
        <v>2002.5878000000002</v>
      </c>
      <c r="K39" s="202">
        <v>4.1703681606369507</v>
      </c>
      <c r="L39" s="202">
        <v>8.0924547128470472</v>
      </c>
      <c r="M39" s="58">
        <v>0</v>
      </c>
      <c r="N39" s="56">
        <v>0</v>
      </c>
      <c r="O39" s="59">
        <v>0</v>
      </c>
      <c r="P39" s="56">
        <v>0</v>
      </c>
      <c r="Q39" s="60">
        <v>0</v>
      </c>
      <c r="R39" s="61">
        <f t="shared" si="13"/>
        <v>2002.5878000000002</v>
      </c>
      <c r="S39" s="62">
        <f t="shared" si="14"/>
        <v>83.515283999999994</v>
      </c>
      <c r="T39" s="63">
        <f t="shared" si="15"/>
        <v>162.05851080000002</v>
      </c>
      <c r="U39" s="64" t="s">
        <v>207</v>
      </c>
      <c r="V39" s="65" t="s">
        <v>669</v>
      </c>
      <c r="W39" s="66" t="s">
        <v>184</v>
      </c>
      <c r="X39" s="67">
        <v>3620</v>
      </c>
      <c r="Y39" s="68">
        <v>4.25</v>
      </c>
      <c r="Z39" s="68">
        <v>8.3800000000000008</v>
      </c>
      <c r="AA39" s="62">
        <f t="shared" si="16"/>
        <v>153.85000000000002</v>
      </c>
      <c r="AB39" s="63">
        <f t="shared" si="17"/>
        <v>303.35600000000005</v>
      </c>
      <c r="AC39" s="69">
        <v>3630</v>
      </c>
      <c r="AD39" s="70">
        <v>4.25</v>
      </c>
      <c r="AE39" s="70">
        <v>8.26</v>
      </c>
      <c r="AF39" s="62">
        <f t="shared" si="18"/>
        <v>154.27500000000001</v>
      </c>
      <c r="AG39" s="63">
        <f t="shared" si="19"/>
        <v>299.83799999999997</v>
      </c>
      <c r="AH39" s="66">
        <v>1284</v>
      </c>
      <c r="AI39" s="66">
        <v>4.2</v>
      </c>
      <c r="AJ39" s="66">
        <v>8.1</v>
      </c>
      <c r="AK39" s="62">
        <f t="shared" si="20"/>
        <v>53.928000000000004</v>
      </c>
      <c r="AL39" s="72">
        <f t="shared" si="21"/>
        <v>104.004</v>
      </c>
      <c r="AM39" s="73">
        <f t="shared" si="22"/>
        <v>-9.412199999999757</v>
      </c>
      <c r="AN39" s="74">
        <f t="shared" si="26"/>
        <v>-1.9331160000000196</v>
      </c>
      <c r="AO39" s="74">
        <f t="shared" si="26"/>
        <v>-6.4312891999999664</v>
      </c>
      <c r="AP39" s="75">
        <f t="shared" si="23"/>
        <v>-3.4060658657867449E-2</v>
      </c>
      <c r="AQ39" s="76">
        <f t="shared" si="9"/>
        <v>-2855.0390147930384</v>
      </c>
      <c r="AR39" s="90">
        <f t="shared" si="24"/>
        <v>0.58780000000024302</v>
      </c>
    </row>
    <row r="40" spans="1:49" x14ac:dyDescent="0.25">
      <c r="A40" t="str">
        <f t="shared" si="10"/>
        <v>46222M</v>
      </c>
      <c r="B40" s="51">
        <f t="shared" si="25"/>
        <v>46222</v>
      </c>
      <c r="C40" s="52" t="s">
        <v>87</v>
      </c>
      <c r="D40" s="79">
        <v>1284</v>
      </c>
      <c r="E40" s="62">
        <v>4.2</v>
      </c>
      <c r="F40" s="62">
        <v>8.1</v>
      </c>
      <c r="G40" s="62">
        <f t="shared" si="11"/>
        <v>53.928000000000004</v>
      </c>
      <c r="H40" s="63">
        <f t="shared" si="12"/>
        <v>104.004</v>
      </c>
      <c r="I40" s="202">
        <v>1505.1199999999997</v>
      </c>
      <c r="J40" s="202">
        <v>1550.2735999999998</v>
      </c>
      <c r="K40" s="202">
        <v>4.2450236525991283</v>
      </c>
      <c r="L40" s="202">
        <v>8.186708036568513</v>
      </c>
      <c r="M40" s="58">
        <v>0</v>
      </c>
      <c r="N40" s="56">
        <v>0</v>
      </c>
      <c r="O40" s="59">
        <v>0</v>
      </c>
      <c r="P40" s="56">
        <v>0</v>
      </c>
      <c r="Q40" s="60">
        <v>0</v>
      </c>
      <c r="R40" s="61">
        <f t="shared" si="13"/>
        <v>1550.2735999999998</v>
      </c>
      <c r="S40" s="62">
        <f t="shared" si="14"/>
        <v>65.809480999999991</v>
      </c>
      <c r="T40" s="63">
        <f t="shared" si="15"/>
        <v>126.91637339999998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>
        <v>2834</v>
      </c>
      <c r="AI40" s="66">
        <v>4.22</v>
      </c>
      <c r="AJ40" s="66">
        <v>8.14</v>
      </c>
      <c r="AK40" s="62">
        <f t="shared" si="20"/>
        <v>119.59479999999998</v>
      </c>
      <c r="AL40" s="72">
        <f t="shared" si="21"/>
        <v>230.6876</v>
      </c>
      <c r="AM40" s="73">
        <f t="shared" si="22"/>
        <v>0.27359999999953288</v>
      </c>
      <c r="AN40" s="74">
        <f t="shared" si="26"/>
        <v>0.14268100000002448</v>
      </c>
      <c r="AO40" s="74">
        <f t="shared" si="26"/>
        <v>0.23277339999998503</v>
      </c>
      <c r="AP40" s="75">
        <f t="shared" si="23"/>
        <v>1.9481267895731251E-3</v>
      </c>
      <c r="AQ40" s="76">
        <f t="shared" si="9"/>
        <v>138.27642528880094</v>
      </c>
      <c r="AR40" s="90">
        <f t="shared" si="24"/>
        <v>0.27359999999953288</v>
      </c>
    </row>
    <row r="41" spans="1:49" x14ac:dyDescent="0.25">
      <c r="A41" t="str">
        <f t="shared" si="10"/>
        <v>46222E</v>
      </c>
      <c r="B41" s="51">
        <f t="shared" si="25"/>
        <v>46222</v>
      </c>
      <c r="C41" s="52" t="s">
        <v>88</v>
      </c>
      <c r="D41" s="79">
        <v>2834</v>
      </c>
      <c r="E41" s="62">
        <v>4.22</v>
      </c>
      <c r="F41" s="62">
        <v>8.14</v>
      </c>
      <c r="G41" s="62">
        <f t="shared" si="11"/>
        <v>119.59479999999998</v>
      </c>
      <c r="H41" s="63">
        <f t="shared" si="12"/>
        <v>230.6876</v>
      </c>
      <c r="I41" s="202">
        <v>1646.68</v>
      </c>
      <c r="J41" s="202">
        <v>1696.0804000000001</v>
      </c>
      <c r="K41" s="202">
        <v>4.0424709111667116</v>
      </c>
      <c r="L41" s="202">
        <v>8.1267119294580574</v>
      </c>
      <c r="M41" s="58">
        <v>0</v>
      </c>
      <c r="N41" s="56">
        <v>0</v>
      </c>
      <c r="O41" s="59">
        <v>0</v>
      </c>
      <c r="P41" s="56">
        <v>0</v>
      </c>
      <c r="Q41" s="60">
        <v>0</v>
      </c>
      <c r="R41" s="61">
        <f t="shared" si="13"/>
        <v>1696.0804000000001</v>
      </c>
      <c r="S41" s="62">
        <f t="shared" si="14"/>
        <v>68.563556800000015</v>
      </c>
      <c r="T41" s="63">
        <f t="shared" si="15"/>
        <v>137.83556819999995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>
        <v>4530</v>
      </c>
      <c r="AI41" s="66">
        <v>4.1500000000000004</v>
      </c>
      <c r="AJ41" s="66">
        <v>8.1300000000000008</v>
      </c>
      <c r="AK41" s="62">
        <f t="shared" si="20"/>
        <v>187.995</v>
      </c>
      <c r="AL41" s="72">
        <f t="shared" si="21"/>
        <v>368.28900000000004</v>
      </c>
      <c r="AM41" s="73">
        <f t="shared" si="22"/>
        <v>8.0399999999826832E-2</v>
      </c>
      <c r="AN41" s="74">
        <f t="shared" si="26"/>
        <v>0.1633567999999741</v>
      </c>
      <c r="AO41" s="74">
        <f t="shared" si="26"/>
        <v>0.23416819999994232</v>
      </c>
      <c r="AP41" s="75">
        <f t="shared" si="23"/>
        <v>1.9260013820306481E-3</v>
      </c>
      <c r="AQ41" s="76">
        <f t="shared" si="9"/>
        <v>148.62955029492889</v>
      </c>
      <c r="AR41" s="90">
        <f t="shared" si="24"/>
        <v>8.0399999999826832E-2</v>
      </c>
    </row>
    <row r="42" spans="1:49" x14ac:dyDescent="0.25">
      <c r="A42" t="str">
        <f t="shared" si="10"/>
        <v>46223M</v>
      </c>
      <c r="B42" s="51">
        <f t="shared" si="25"/>
        <v>46223</v>
      </c>
      <c r="C42" s="52" t="s">
        <v>87</v>
      </c>
      <c r="D42" s="79">
        <v>4530</v>
      </c>
      <c r="E42" s="62">
        <v>4.1500000000000004</v>
      </c>
      <c r="F42" s="62">
        <v>8.1300000000000008</v>
      </c>
      <c r="G42" s="62">
        <f t="shared" si="11"/>
        <v>187.995</v>
      </c>
      <c r="H42" s="63">
        <f t="shared" si="12"/>
        <v>368.28900000000004</v>
      </c>
      <c r="I42" s="202">
        <v>1389.28</v>
      </c>
      <c r="J42" s="202">
        <v>1430.9584</v>
      </c>
      <c r="K42" s="202">
        <v>4.3267707013704939</v>
      </c>
      <c r="L42" s="202">
        <v>8.1417712772083384</v>
      </c>
      <c r="M42" s="58">
        <v>0</v>
      </c>
      <c r="N42" s="56">
        <v>0</v>
      </c>
      <c r="O42" s="59">
        <v>0</v>
      </c>
      <c r="P42" s="56">
        <v>0</v>
      </c>
      <c r="Q42" s="60">
        <v>0</v>
      </c>
      <c r="R42" s="61">
        <f t="shared" si="13"/>
        <v>1430.9584</v>
      </c>
      <c r="S42" s="62">
        <f t="shared" si="14"/>
        <v>61.914288800000001</v>
      </c>
      <c r="T42" s="63">
        <f t="shared" si="15"/>
        <v>116.50536000000001</v>
      </c>
      <c r="U42" s="64" t="s">
        <v>179</v>
      </c>
      <c r="V42" s="65" t="s">
        <v>733</v>
      </c>
      <c r="W42" s="66" t="s">
        <v>734</v>
      </c>
      <c r="X42" s="67">
        <v>4900</v>
      </c>
      <c r="Y42" s="68">
        <v>4.3499999999999996</v>
      </c>
      <c r="Z42" s="68">
        <v>8.5299999999999994</v>
      </c>
      <c r="AA42" s="62">
        <f t="shared" si="16"/>
        <v>213.14999999999998</v>
      </c>
      <c r="AB42" s="63">
        <f t="shared" si="17"/>
        <v>417.96999999999991</v>
      </c>
      <c r="AC42" s="69">
        <v>4890</v>
      </c>
      <c r="AD42" s="70">
        <v>4.3</v>
      </c>
      <c r="AE42" s="70">
        <v>8.27</v>
      </c>
      <c r="AF42" s="62">
        <f t="shared" si="18"/>
        <v>210.26999999999998</v>
      </c>
      <c r="AG42" s="63">
        <f t="shared" si="19"/>
        <v>404.40299999999996</v>
      </c>
      <c r="AH42" s="66">
        <v>1060</v>
      </c>
      <c r="AI42" s="66">
        <v>4.1900000000000004</v>
      </c>
      <c r="AJ42" s="66">
        <v>8.1300000000000008</v>
      </c>
      <c r="AK42" s="62">
        <f t="shared" si="20"/>
        <v>44.414000000000009</v>
      </c>
      <c r="AL42" s="72">
        <f t="shared" si="21"/>
        <v>86.178000000000011</v>
      </c>
      <c r="AM42" s="73">
        <f t="shared" si="22"/>
        <v>10.958399999999529</v>
      </c>
      <c r="AN42" s="74">
        <f t="shared" si="26"/>
        <v>-4.7747111999999774</v>
      </c>
      <c r="AO42" s="74">
        <f t="shared" si="26"/>
        <v>-5.7866399999999345</v>
      </c>
      <c r="AP42" s="75">
        <f t="shared" si="23"/>
        <v>-5.9193879547642693E-2</v>
      </c>
      <c r="AQ42" s="76">
        <f t="shared" si="9"/>
        <v>-4027.4512957565207</v>
      </c>
      <c r="AR42" s="90">
        <f t="shared" si="24"/>
        <v>0.95839999999952852</v>
      </c>
    </row>
    <row r="43" spans="1:49" x14ac:dyDescent="0.25">
      <c r="A43" t="str">
        <f t="shared" si="10"/>
        <v>46223E</v>
      </c>
      <c r="B43" s="51">
        <f t="shared" si="25"/>
        <v>46223</v>
      </c>
      <c r="C43" s="52" t="s">
        <v>88</v>
      </c>
      <c r="D43" s="79">
        <v>1060</v>
      </c>
      <c r="E43" s="62">
        <v>4.1900000000000004</v>
      </c>
      <c r="F43" s="62">
        <v>8.1300000000000008</v>
      </c>
      <c r="G43" s="62">
        <f t="shared" si="11"/>
        <v>44.414000000000009</v>
      </c>
      <c r="H43" s="63">
        <f t="shared" si="12"/>
        <v>86.178000000000011</v>
      </c>
      <c r="I43" s="202">
        <v>1474.2</v>
      </c>
      <c r="J43" s="202">
        <v>1518.4260000000002</v>
      </c>
      <c r="K43" s="202">
        <v>4.1939858906525576</v>
      </c>
      <c r="L43" s="202">
        <v>8.014478361145029</v>
      </c>
      <c r="M43" s="58">
        <v>0</v>
      </c>
      <c r="N43" s="56">
        <v>0</v>
      </c>
      <c r="O43" s="59">
        <v>0</v>
      </c>
      <c r="P43" s="56">
        <v>0</v>
      </c>
      <c r="Q43" s="60">
        <v>0</v>
      </c>
      <c r="R43" s="61">
        <f t="shared" si="13"/>
        <v>1518.4260000000002</v>
      </c>
      <c r="S43" s="62">
        <f t="shared" si="14"/>
        <v>63.68257220000001</v>
      </c>
      <c r="T43" s="63">
        <f t="shared" si="15"/>
        <v>121.69392320000003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>
        <v>2578</v>
      </c>
      <c r="AI43" s="66">
        <v>4.1900000000000004</v>
      </c>
      <c r="AJ43" s="66">
        <v>8.06</v>
      </c>
      <c r="AK43" s="62">
        <f t="shared" si="20"/>
        <v>108.01820000000002</v>
      </c>
      <c r="AL43" s="72">
        <f t="shared" si="21"/>
        <v>207.7868</v>
      </c>
      <c r="AM43" s="73">
        <f t="shared" si="22"/>
        <v>0.42600000000038563</v>
      </c>
      <c r="AN43" s="74">
        <f t="shared" si="26"/>
        <v>7.8372200000004E-2</v>
      </c>
      <c r="AO43" s="74">
        <f t="shared" si="26"/>
        <v>8.51232000000266E-2</v>
      </c>
      <c r="AP43" s="75">
        <f t="shared" si="23"/>
        <v>8.8196402487405404E-4</v>
      </c>
      <c r="AQ43" s="76">
        <f t="shared" si="9"/>
        <v>63.154033424761906</v>
      </c>
      <c r="AR43" s="90">
        <f t="shared" si="24"/>
        <v>0.42600000000038563</v>
      </c>
    </row>
    <row r="44" spans="1:49" x14ac:dyDescent="0.25">
      <c r="A44" t="str">
        <f t="shared" si="10"/>
        <v>46224M</v>
      </c>
      <c r="B44" s="51">
        <f t="shared" si="25"/>
        <v>46224</v>
      </c>
      <c r="C44" s="52" t="s">
        <v>87</v>
      </c>
      <c r="D44" s="79">
        <v>2578</v>
      </c>
      <c r="E44" s="62">
        <v>4.1900000000000004</v>
      </c>
      <c r="F44" s="62">
        <v>8.06</v>
      </c>
      <c r="G44" s="62">
        <f t="shared" si="11"/>
        <v>108.01820000000002</v>
      </c>
      <c r="H44" s="63">
        <f t="shared" si="12"/>
        <v>207.7868</v>
      </c>
      <c r="I44" s="202">
        <v>1461.7000000000003</v>
      </c>
      <c r="J44" s="202">
        <v>1505.5510000000004</v>
      </c>
      <c r="K44" s="202">
        <v>4.2481863583498658</v>
      </c>
      <c r="L44" s="202">
        <v>8.0855702264486524</v>
      </c>
      <c r="M44" s="58">
        <v>0</v>
      </c>
      <c r="N44" s="56">
        <v>0</v>
      </c>
      <c r="O44" s="59">
        <v>0</v>
      </c>
      <c r="P44" s="56">
        <v>0</v>
      </c>
      <c r="Q44" s="60">
        <v>0</v>
      </c>
      <c r="R44" s="61">
        <f t="shared" si="13"/>
        <v>1505.5510000000004</v>
      </c>
      <c r="S44" s="62">
        <f t="shared" si="14"/>
        <v>63.958612200000012</v>
      </c>
      <c r="T44" s="63">
        <f t="shared" si="15"/>
        <v>121.73238339999997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>
        <v>4083</v>
      </c>
      <c r="AI44" s="66">
        <v>4.21</v>
      </c>
      <c r="AJ44" s="66">
        <v>8.07</v>
      </c>
      <c r="AK44" s="62">
        <f t="shared" si="20"/>
        <v>171.89429999999999</v>
      </c>
      <c r="AL44" s="72">
        <f t="shared" si="21"/>
        <v>329.49810000000002</v>
      </c>
      <c r="AM44" s="73">
        <f t="shared" si="22"/>
        <v>0.55100000000038563</v>
      </c>
      <c r="AN44" s="74">
        <f t="shared" si="26"/>
        <v>8.2512200000053326E-2</v>
      </c>
      <c r="AO44" s="74">
        <f t="shared" si="26"/>
        <v>2.1083399999952235E-2</v>
      </c>
      <c r="AP44" s="75">
        <f t="shared" si="23"/>
        <v>5.5789242588349594E-4</v>
      </c>
      <c r="AQ44" s="76">
        <f t="shared" si="9"/>
        <v>45.964088181992146</v>
      </c>
      <c r="AR44" s="90">
        <f t="shared" si="24"/>
        <v>0.55100000000038563</v>
      </c>
    </row>
    <row r="45" spans="1:49" x14ac:dyDescent="0.25">
      <c r="A45" t="str">
        <f t="shared" si="10"/>
        <v>46224E</v>
      </c>
      <c r="B45" s="51">
        <f t="shared" si="25"/>
        <v>46224</v>
      </c>
      <c r="C45" s="52" t="s">
        <v>88</v>
      </c>
      <c r="D45" s="79">
        <v>4083</v>
      </c>
      <c r="E45" s="62">
        <v>4.21</v>
      </c>
      <c r="F45" s="62">
        <v>8.07</v>
      </c>
      <c r="G45" s="62">
        <f t="shared" si="11"/>
        <v>171.89429999999999</v>
      </c>
      <c r="H45" s="63">
        <f t="shared" si="12"/>
        <v>329.49810000000002</v>
      </c>
      <c r="I45" s="202">
        <v>1583.3400000000001</v>
      </c>
      <c r="J45" s="202">
        <v>1630.8402000000001</v>
      </c>
      <c r="K45" s="202">
        <v>4.0023785163009844</v>
      </c>
      <c r="L45" s="202">
        <v>8.114023519900968</v>
      </c>
      <c r="M45" s="58">
        <v>0</v>
      </c>
      <c r="N45" s="56">
        <v>0</v>
      </c>
      <c r="O45" s="59">
        <v>0</v>
      </c>
      <c r="P45" s="56">
        <v>0</v>
      </c>
      <c r="Q45" s="60">
        <v>0</v>
      </c>
      <c r="R45" s="61">
        <f t="shared" si="13"/>
        <v>1630.8402000000001</v>
      </c>
      <c r="S45" s="62">
        <f t="shared" si="14"/>
        <v>65.272397800000007</v>
      </c>
      <c r="T45" s="63">
        <f t="shared" si="15"/>
        <v>132.32675739999999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>
        <v>5713</v>
      </c>
      <c r="AI45" s="66">
        <v>4.1500000000000004</v>
      </c>
      <c r="AJ45" s="66">
        <v>8.08</v>
      </c>
      <c r="AK45" s="62">
        <f t="shared" si="20"/>
        <v>237.08950000000002</v>
      </c>
      <c r="AL45" s="72">
        <f t="shared" si="21"/>
        <v>461.61039999999997</v>
      </c>
      <c r="AM45" s="73">
        <f t="shared" si="22"/>
        <v>0.84020000000055006</v>
      </c>
      <c r="AN45" s="74">
        <f t="shared" si="26"/>
        <v>7.7197799999993322E-2</v>
      </c>
      <c r="AO45" s="74">
        <f t="shared" si="26"/>
        <v>0.21445740000007163</v>
      </c>
      <c r="AP45" s="75">
        <f t="shared" si="23"/>
        <v>1.475994164574571E-3</v>
      </c>
      <c r="AQ45" s="76">
        <f t="shared" si="9"/>
        <v>101.32413750310434</v>
      </c>
      <c r="AR45" s="90">
        <f t="shared" si="24"/>
        <v>0.84020000000055006</v>
      </c>
    </row>
    <row r="46" spans="1:49" x14ac:dyDescent="0.25">
      <c r="A46" t="str">
        <f t="shared" si="10"/>
        <v>46225M</v>
      </c>
      <c r="B46" s="51">
        <f t="shared" si="25"/>
        <v>46225</v>
      </c>
      <c r="C46" s="52" t="s">
        <v>87</v>
      </c>
      <c r="D46" s="79">
        <v>5713</v>
      </c>
      <c r="E46" s="62">
        <v>4.1500000000000004</v>
      </c>
      <c r="F46" s="62">
        <v>8.08</v>
      </c>
      <c r="G46" s="62">
        <f t="shared" si="11"/>
        <v>237.08950000000002</v>
      </c>
      <c r="H46" s="63">
        <f t="shared" si="12"/>
        <v>461.61039999999997</v>
      </c>
      <c r="I46" s="202">
        <v>1613.0400000000002</v>
      </c>
      <c r="J46" s="202">
        <v>1661.4312000000002</v>
      </c>
      <c r="K46" s="202">
        <v>4.3414794425432728</v>
      </c>
      <c r="L46" s="202">
        <v>8.2035225412885016</v>
      </c>
      <c r="M46" s="58">
        <v>0</v>
      </c>
      <c r="N46" s="56">
        <v>0</v>
      </c>
      <c r="O46" s="59">
        <v>0</v>
      </c>
      <c r="P46" s="56">
        <v>0</v>
      </c>
      <c r="Q46" s="60">
        <v>0</v>
      </c>
      <c r="R46" s="61">
        <f t="shared" si="13"/>
        <v>1661.4312000000002</v>
      </c>
      <c r="S46" s="62">
        <f t="shared" si="14"/>
        <v>72.13069400000002</v>
      </c>
      <c r="T46" s="63">
        <f t="shared" si="15"/>
        <v>136.29588300000006</v>
      </c>
      <c r="U46" s="64" t="s">
        <v>179</v>
      </c>
      <c r="V46" s="65" t="s">
        <v>735</v>
      </c>
      <c r="W46" s="66" t="s">
        <v>184</v>
      </c>
      <c r="X46" s="67">
        <v>5130</v>
      </c>
      <c r="Y46" s="68">
        <v>4.3</v>
      </c>
      <c r="Z46" s="68">
        <v>8.39</v>
      </c>
      <c r="AA46" s="62">
        <f t="shared" si="16"/>
        <v>220.58999999999997</v>
      </c>
      <c r="AB46" s="63">
        <f t="shared" si="17"/>
        <v>430.40700000000004</v>
      </c>
      <c r="AC46" s="69">
        <v>5100</v>
      </c>
      <c r="AD46" s="70">
        <v>4.25</v>
      </c>
      <c r="AE46" s="70">
        <v>8.26</v>
      </c>
      <c r="AF46" s="62">
        <f t="shared" si="18"/>
        <v>216.75000000000003</v>
      </c>
      <c r="AG46" s="63">
        <f t="shared" si="19"/>
        <v>421.26</v>
      </c>
      <c r="AH46" s="66">
        <v>2244</v>
      </c>
      <c r="AI46" s="66">
        <v>4.1900000000000004</v>
      </c>
      <c r="AJ46" s="66">
        <v>8.1</v>
      </c>
      <c r="AK46" s="62">
        <f t="shared" si="20"/>
        <v>94.023600000000016</v>
      </c>
      <c r="AL46" s="72">
        <f t="shared" si="21"/>
        <v>181.76400000000001</v>
      </c>
      <c r="AM46" s="73">
        <f t="shared" si="22"/>
        <v>30.43119999999999</v>
      </c>
      <c r="AN46" s="74">
        <f t="shared" si="26"/>
        <v>-1.5534059999999954</v>
      </c>
      <c r="AO46" s="74">
        <f t="shared" si="26"/>
        <v>-5.1177169999999705</v>
      </c>
      <c r="AP46" s="75">
        <f t="shared" si="23"/>
        <v>-3.2007065010715804E-2</v>
      </c>
      <c r="AQ46" s="76">
        <f t="shared" si="9"/>
        <v>-2279.1728217807613</v>
      </c>
      <c r="AR46" s="90">
        <f>(D46+J46+O46)-(X46+AH46)</f>
        <v>0.43119999999998981</v>
      </c>
    </row>
    <row r="47" spans="1:49" x14ac:dyDescent="0.25">
      <c r="A47" t="str">
        <f t="shared" si="10"/>
        <v>46225E</v>
      </c>
      <c r="B47" s="51">
        <f t="shared" si="25"/>
        <v>46225</v>
      </c>
      <c r="C47" s="52" t="s">
        <v>88</v>
      </c>
      <c r="D47" s="79">
        <v>2244</v>
      </c>
      <c r="E47" s="62">
        <v>4.1900000000000004</v>
      </c>
      <c r="F47" s="62">
        <v>8.1</v>
      </c>
      <c r="G47" s="62">
        <f t="shared" si="11"/>
        <v>94.023600000000016</v>
      </c>
      <c r="H47" s="63">
        <f t="shared" si="12"/>
        <v>181.76400000000001</v>
      </c>
      <c r="I47" s="202">
        <v>1731.5399999999997</v>
      </c>
      <c r="J47" s="202">
        <v>1783.4861999999998</v>
      </c>
      <c r="K47" s="202">
        <v>4.0736708363653173</v>
      </c>
      <c r="L47" s="202">
        <v>8.1057105235801661</v>
      </c>
      <c r="M47" s="58">
        <v>0</v>
      </c>
      <c r="N47" s="56">
        <v>0</v>
      </c>
      <c r="O47" s="59">
        <v>0</v>
      </c>
      <c r="P47" s="56">
        <v>0</v>
      </c>
      <c r="Q47" s="60">
        <v>0</v>
      </c>
      <c r="R47" s="61">
        <f t="shared" si="13"/>
        <v>1783.4861999999998</v>
      </c>
      <c r="S47" s="62">
        <f t="shared" si="14"/>
        <v>72.653357200000016</v>
      </c>
      <c r="T47" s="63">
        <f t="shared" si="15"/>
        <v>144.56422860000001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>
        <v>4027</v>
      </c>
      <c r="AI47" s="66">
        <v>4.13</v>
      </c>
      <c r="AJ47" s="66">
        <v>8.1</v>
      </c>
      <c r="AK47" s="62">
        <f t="shared" si="20"/>
        <v>166.31509999999997</v>
      </c>
      <c r="AL47" s="72">
        <f t="shared" si="21"/>
        <v>326.18700000000001</v>
      </c>
      <c r="AM47" s="73">
        <f t="shared" si="22"/>
        <v>0.4861999999998261</v>
      </c>
      <c r="AN47" s="74">
        <f t="shared" si="26"/>
        <v>0.36185720000005972</v>
      </c>
      <c r="AO47" s="74">
        <f t="shared" si="26"/>
        <v>0.14122859999997672</v>
      </c>
      <c r="AP47" s="75">
        <f t="shared" si="23"/>
        <v>2.3160454442360183E-3</v>
      </c>
      <c r="AQ47" s="76">
        <f t="shared" si="9"/>
        <v>216.18087016930477</v>
      </c>
      <c r="AR47" s="90">
        <f t="shared" si="24"/>
        <v>0.4861999999998261</v>
      </c>
    </row>
    <row r="48" spans="1:49" x14ac:dyDescent="0.25">
      <c r="A48" t="str">
        <f t="shared" si="10"/>
        <v>46226M</v>
      </c>
      <c r="B48" s="51">
        <f t="shared" si="25"/>
        <v>46226</v>
      </c>
      <c r="C48" s="52" t="s">
        <v>87</v>
      </c>
      <c r="D48" s="79">
        <v>4027</v>
      </c>
      <c r="E48" s="62">
        <v>4.13</v>
      </c>
      <c r="F48" s="62">
        <v>8.1</v>
      </c>
      <c r="G48" s="62">
        <f t="shared" si="11"/>
        <v>166.31509999999997</v>
      </c>
      <c r="H48" s="63">
        <f t="shared" si="12"/>
        <v>326.18700000000001</v>
      </c>
      <c r="I48" s="202">
        <v>1438.2600000000002</v>
      </c>
      <c r="J48" s="202">
        <v>1481.4078000000002</v>
      </c>
      <c r="K48" s="202">
        <v>4.2577586806279806</v>
      </c>
      <c r="L48" s="202">
        <v>8.141938175295147</v>
      </c>
      <c r="M48" s="58">
        <v>0</v>
      </c>
      <c r="N48" s="56">
        <v>0</v>
      </c>
      <c r="O48" s="59">
        <v>0</v>
      </c>
      <c r="P48" s="56">
        <v>0</v>
      </c>
      <c r="Q48" s="60">
        <v>0</v>
      </c>
      <c r="R48" s="61">
        <f t="shared" si="13"/>
        <v>1481.4078000000002</v>
      </c>
      <c r="S48" s="62">
        <f t="shared" si="14"/>
        <v>63.074769200000006</v>
      </c>
      <c r="T48" s="63">
        <f t="shared" si="15"/>
        <v>120.61530719999999</v>
      </c>
      <c r="U48" s="64" t="s">
        <v>179</v>
      </c>
      <c r="V48" s="65" t="s">
        <v>741</v>
      </c>
      <c r="W48" s="66" t="s">
        <v>178</v>
      </c>
      <c r="X48" s="67">
        <v>5130</v>
      </c>
      <c r="Y48" s="68">
        <v>4.3</v>
      </c>
      <c r="Z48" s="68">
        <v>8.27</v>
      </c>
      <c r="AA48" s="62">
        <f t="shared" si="16"/>
        <v>220.58999999999997</v>
      </c>
      <c r="AB48" s="63">
        <f t="shared" si="17"/>
        <v>424.25099999999998</v>
      </c>
      <c r="AC48" s="69">
        <v>5130</v>
      </c>
      <c r="AD48" s="70">
        <v>4.25</v>
      </c>
      <c r="AE48" s="70">
        <v>8.1300000000000008</v>
      </c>
      <c r="AF48" s="62">
        <f t="shared" si="18"/>
        <v>218.02500000000001</v>
      </c>
      <c r="AG48" s="63">
        <f t="shared" si="19"/>
        <v>417.06900000000007</v>
      </c>
      <c r="AH48" s="66">
        <v>378</v>
      </c>
      <c r="AI48" s="66">
        <v>4.16</v>
      </c>
      <c r="AJ48" s="66">
        <v>8.11</v>
      </c>
      <c r="AK48" s="62">
        <f t="shared" si="20"/>
        <v>15.7248</v>
      </c>
      <c r="AL48" s="72">
        <f t="shared" si="21"/>
        <v>30.655799999999996</v>
      </c>
      <c r="AM48" s="73">
        <f t="shared" si="22"/>
        <v>0.40779999999995198</v>
      </c>
      <c r="AN48" s="74">
        <f t="shared" si="26"/>
        <v>-4.3599308000000416</v>
      </c>
      <c r="AO48" s="74">
        <f t="shared" si="26"/>
        <v>-0.92249280000009648</v>
      </c>
      <c r="AP48" s="75">
        <f t="shared" si="23"/>
        <v>-2.8757261706926579E-2</v>
      </c>
      <c r="AQ48" s="76">
        <f t="shared" si="9"/>
        <v>-2371.3670306613117</v>
      </c>
      <c r="AR48" s="90">
        <f t="shared" si="24"/>
        <v>0.40779999999995198</v>
      </c>
    </row>
    <row r="49" spans="1:49" x14ac:dyDescent="0.25">
      <c r="A49" t="str">
        <f t="shared" si="10"/>
        <v>46226E</v>
      </c>
      <c r="B49" s="51">
        <f t="shared" si="25"/>
        <v>46226</v>
      </c>
      <c r="C49" s="52" t="s">
        <v>88</v>
      </c>
      <c r="D49" s="79">
        <v>378</v>
      </c>
      <c r="E49" s="62">
        <v>4.16</v>
      </c>
      <c r="F49" s="62">
        <v>8.11</v>
      </c>
      <c r="G49" s="62">
        <f t="shared" si="11"/>
        <v>15.7248</v>
      </c>
      <c r="H49" s="63">
        <f t="shared" si="12"/>
        <v>30.655799999999996</v>
      </c>
      <c r="I49" s="202">
        <v>1791.5199999999995</v>
      </c>
      <c r="J49" s="202">
        <v>1845.2655999999995</v>
      </c>
      <c r="K49" s="202">
        <v>3.9588874252031783</v>
      </c>
      <c r="L49" s="202">
        <v>8.1253326783959956</v>
      </c>
      <c r="M49" s="58">
        <v>0</v>
      </c>
      <c r="N49" s="56">
        <v>0</v>
      </c>
      <c r="O49" s="59">
        <v>0</v>
      </c>
      <c r="P49" s="56">
        <v>0</v>
      </c>
      <c r="Q49" s="60">
        <v>0</v>
      </c>
      <c r="R49" s="61">
        <f t="shared" si="13"/>
        <v>1845.2655999999995</v>
      </c>
      <c r="S49" s="62">
        <f t="shared" si="14"/>
        <v>73.051987799999949</v>
      </c>
      <c r="T49" s="63">
        <f t="shared" si="15"/>
        <v>149.93396879999989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1905</v>
      </c>
      <c r="AI49" s="66">
        <v>3.99</v>
      </c>
      <c r="AJ49" s="66">
        <v>8.1199999999999992</v>
      </c>
      <c r="AK49" s="62">
        <f t="shared" si="20"/>
        <v>76.009500000000003</v>
      </c>
      <c r="AL49" s="72">
        <f t="shared" si="21"/>
        <v>154.68599999999998</v>
      </c>
      <c r="AM49" s="73">
        <f t="shared" si="22"/>
        <v>318.26559999999972</v>
      </c>
      <c r="AN49" s="74">
        <f t="shared" si="26"/>
        <v>12.767287799999949</v>
      </c>
      <c r="AO49" s="74">
        <f t="shared" si="26"/>
        <v>25.903768799999909</v>
      </c>
      <c r="AP49" s="75">
        <f t="shared" si="23"/>
        <v>0.17342373120550089</v>
      </c>
      <c r="AQ49" s="76">
        <f t="shared" si="9"/>
        <v>13893.045464495248</v>
      </c>
      <c r="AR49" s="90">
        <f t="shared" si="24"/>
        <v>318.26559999999972</v>
      </c>
      <c r="AS49" s="90">
        <f>SUM(J36:J49)</f>
        <v>22910.3724</v>
      </c>
      <c r="AT49" s="83">
        <f>SUM(AM36:AM49)</f>
        <v>385.37239999999883</v>
      </c>
      <c r="AU49" s="83">
        <f>SUM(AN36:AN49)</f>
        <v>-5.2121756000000232</v>
      </c>
      <c r="AV49" s="83">
        <f>SUM(AO36:AO49)</f>
        <v>10.892541999999853</v>
      </c>
      <c r="AW49" s="83">
        <f>-SUM(AQ36:AQ49)</f>
        <v>-757.59934453889946</v>
      </c>
    </row>
    <row r="50" spans="1:49" x14ac:dyDescent="0.25">
      <c r="A50" t="str">
        <f t="shared" si="10"/>
        <v>46227M</v>
      </c>
      <c r="B50" s="51">
        <f t="shared" si="25"/>
        <v>46227</v>
      </c>
      <c r="C50" s="52" t="s">
        <v>87</v>
      </c>
      <c r="D50" s="79">
        <v>1905</v>
      </c>
      <c r="E50" s="62">
        <v>3.99</v>
      </c>
      <c r="F50" s="62">
        <v>8.1199999999999992</v>
      </c>
      <c r="G50" s="62">
        <f t="shared" si="11"/>
        <v>76.009500000000003</v>
      </c>
      <c r="H50" s="63">
        <f t="shared" si="12"/>
        <v>154.68599999999998</v>
      </c>
      <c r="I50" s="202">
        <v>1234.76</v>
      </c>
      <c r="J50" s="202">
        <v>1271.8027999999999</v>
      </c>
      <c r="K50" s="202">
        <v>4.4225080177524383</v>
      </c>
      <c r="L50" s="202">
        <v>8.1158589523470148</v>
      </c>
      <c r="M50" s="58">
        <v>0</v>
      </c>
      <c r="N50" s="56">
        <v>0</v>
      </c>
      <c r="O50" s="59">
        <v>0</v>
      </c>
      <c r="P50" s="56">
        <v>0</v>
      </c>
      <c r="Q50" s="60">
        <v>0</v>
      </c>
      <c r="R50" s="61">
        <f t="shared" si="13"/>
        <v>1271.8027999999999</v>
      </c>
      <c r="S50" s="62">
        <f t="shared" si="14"/>
        <v>56.245580800000006</v>
      </c>
      <c r="T50" s="63">
        <f t="shared" si="15"/>
        <v>103.21772139999999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>
        <v>3176</v>
      </c>
      <c r="AI50" s="66">
        <v>4.16</v>
      </c>
      <c r="AJ50" s="66">
        <v>8.1199999999999992</v>
      </c>
      <c r="AK50" s="62">
        <f t="shared" si="20"/>
        <v>132.1216</v>
      </c>
      <c r="AL50" s="72">
        <f t="shared" si="21"/>
        <v>257.89119999999997</v>
      </c>
      <c r="AM50" s="73">
        <f t="shared" si="22"/>
        <v>0.80279999999993379</v>
      </c>
      <c r="AN50" s="74">
        <f t="shared" si="26"/>
        <v>0.13348080000000095</v>
      </c>
      <c r="AO50" s="74">
        <f t="shared" si="26"/>
        <v>1.2521400000025551E-2</v>
      </c>
      <c r="AP50" s="75">
        <f t="shared" si="23"/>
        <v>9.1558495268654054E-4</v>
      </c>
      <c r="AQ50" s="76">
        <f t="shared" si="9"/>
        <v>67.891916551038634</v>
      </c>
      <c r="AR50" s="90">
        <f t="shared" si="24"/>
        <v>0.80279999999993379</v>
      </c>
    </row>
    <row r="51" spans="1:49" x14ac:dyDescent="0.25">
      <c r="A51" t="str">
        <f t="shared" si="10"/>
        <v>46227E</v>
      </c>
      <c r="B51" s="51">
        <f t="shared" si="25"/>
        <v>46227</v>
      </c>
      <c r="C51" s="52" t="s">
        <v>88</v>
      </c>
      <c r="D51" s="79">
        <v>3176</v>
      </c>
      <c r="E51" s="62">
        <v>4.16</v>
      </c>
      <c r="F51" s="62">
        <v>8.1199999999999992</v>
      </c>
      <c r="G51" s="62">
        <f t="shared" si="11"/>
        <v>132.1216</v>
      </c>
      <c r="H51" s="63">
        <f t="shared" si="12"/>
        <v>257.89119999999997</v>
      </c>
      <c r="I51" s="202">
        <v>1590.2</v>
      </c>
      <c r="J51" s="202">
        <v>1637.9060000000002</v>
      </c>
      <c r="K51" s="202">
        <v>4.0647629229027791</v>
      </c>
      <c r="L51" s="202">
        <v>8.0225870959627734</v>
      </c>
      <c r="M51" s="58">
        <v>0</v>
      </c>
      <c r="N51" s="56">
        <v>0</v>
      </c>
      <c r="O51" s="59">
        <v>0</v>
      </c>
      <c r="P51" s="56">
        <v>0</v>
      </c>
      <c r="Q51" s="60">
        <v>0</v>
      </c>
      <c r="R51" s="61">
        <f t="shared" si="13"/>
        <v>1637.9060000000002</v>
      </c>
      <c r="S51" s="62">
        <f t="shared" si="14"/>
        <v>66.576995799999992</v>
      </c>
      <c r="T51" s="63">
        <f t="shared" si="15"/>
        <v>131.40243540000003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>
        <v>4813</v>
      </c>
      <c r="AI51" s="66">
        <v>4.12</v>
      </c>
      <c r="AJ51" s="66">
        <v>8.08</v>
      </c>
      <c r="AK51" s="62">
        <f t="shared" si="20"/>
        <v>198.29560000000001</v>
      </c>
      <c r="AL51" s="72">
        <f t="shared" si="21"/>
        <v>388.8904</v>
      </c>
      <c r="AM51" s="73">
        <f t="shared" si="22"/>
        <v>0.90599999999994907</v>
      </c>
      <c r="AN51" s="74">
        <f t="shared" si="26"/>
        <v>0.40299579999998514</v>
      </c>
      <c r="AO51" s="74">
        <f t="shared" si="26"/>
        <v>0.40323539999997138</v>
      </c>
      <c r="AP51" s="75">
        <f t="shared" si="23"/>
        <v>4.0722977892864885E-3</v>
      </c>
      <c r="AQ51" s="76">
        <f t="shared" si="9"/>
        <v>314.41801046522323</v>
      </c>
      <c r="AR51" s="90">
        <f t="shared" si="24"/>
        <v>0.90599999999994907</v>
      </c>
    </row>
    <row r="52" spans="1:49" x14ac:dyDescent="0.25">
      <c r="A52" t="str">
        <f t="shared" si="10"/>
        <v>46228M</v>
      </c>
      <c r="B52" s="51">
        <f t="shared" si="25"/>
        <v>46228</v>
      </c>
      <c r="C52" s="52" t="s">
        <v>87</v>
      </c>
      <c r="D52" s="79">
        <v>4813</v>
      </c>
      <c r="E52" s="62">
        <v>4.12</v>
      </c>
      <c r="F52" s="62">
        <v>8.08</v>
      </c>
      <c r="G52" s="62">
        <f t="shared" si="11"/>
        <v>198.29560000000001</v>
      </c>
      <c r="H52" s="63">
        <f t="shared" si="12"/>
        <v>388.8904</v>
      </c>
      <c r="I52" s="202">
        <v>1387.9199999999998</v>
      </c>
      <c r="J52" s="202">
        <v>1429.5575999999999</v>
      </c>
      <c r="K52" s="202">
        <v>4.4865222779410932</v>
      </c>
      <c r="L52" s="202">
        <v>8.2960257075335768</v>
      </c>
      <c r="M52" s="58">
        <v>0</v>
      </c>
      <c r="N52" s="56">
        <v>0</v>
      </c>
      <c r="O52" s="59">
        <v>0</v>
      </c>
      <c r="P52" s="56">
        <v>0</v>
      </c>
      <c r="Q52" s="60">
        <v>0</v>
      </c>
      <c r="R52" s="61">
        <f t="shared" si="13"/>
        <v>1429.5575999999999</v>
      </c>
      <c r="S52" s="62">
        <f t="shared" si="14"/>
        <v>64.137420200000022</v>
      </c>
      <c r="T52" s="63">
        <f t="shared" si="15"/>
        <v>118.59646600000002</v>
      </c>
      <c r="U52" s="64" t="s">
        <v>179</v>
      </c>
      <c r="V52" s="65" t="s">
        <v>830</v>
      </c>
      <c r="W52" s="66" t="s">
        <v>184</v>
      </c>
      <c r="X52" s="67">
        <v>5130</v>
      </c>
      <c r="Y52" s="68">
        <v>4.5</v>
      </c>
      <c r="Z52" s="68">
        <v>8.31</v>
      </c>
      <c r="AA52" s="62">
        <f t="shared" si="16"/>
        <v>230.85</v>
      </c>
      <c r="AB52" s="63">
        <f t="shared" si="17"/>
        <v>426.30300000000005</v>
      </c>
      <c r="AC52" s="69">
        <v>5130</v>
      </c>
      <c r="AD52" s="70">
        <v>4.3</v>
      </c>
      <c r="AE52" s="70">
        <v>8.27</v>
      </c>
      <c r="AF52" s="62">
        <f t="shared" si="18"/>
        <v>220.58999999999997</v>
      </c>
      <c r="AG52" s="63">
        <f t="shared" si="19"/>
        <v>424.25099999999998</v>
      </c>
      <c r="AH52" s="66">
        <v>1112</v>
      </c>
      <c r="AI52" s="66">
        <v>4.2</v>
      </c>
      <c r="AJ52" s="66">
        <v>8.1300000000000008</v>
      </c>
      <c r="AK52" s="62">
        <f t="shared" si="20"/>
        <v>46.704000000000001</v>
      </c>
      <c r="AL52" s="72">
        <f t="shared" si="21"/>
        <v>90.405600000000007</v>
      </c>
      <c r="AM52" s="73">
        <f t="shared" si="22"/>
        <v>0.55760000000009313</v>
      </c>
      <c r="AN52" s="74">
        <f t="shared" si="26"/>
        <v>-4.8609797999999316</v>
      </c>
      <c r="AO52" s="74">
        <f t="shared" si="26"/>
        <v>-7.1697339999999627</v>
      </c>
      <c r="AP52" s="75">
        <f t="shared" si="23"/>
        <v>-6.5837344403831169E-2</v>
      </c>
      <c r="AQ52" s="76">
        <f t="shared" si="9"/>
        <v>-4483.1305057814752</v>
      </c>
      <c r="AR52" s="90">
        <f t="shared" si="24"/>
        <v>0.55760000000009313</v>
      </c>
    </row>
    <row r="53" spans="1:49" x14ac:dyDescent="0.25">
      <c r="A53" t="str">
        <f t="shared" si="10"/>
        <v>46228E</v>
      </c>
      <c r="B53" s="51">
        <f t="shared" si="25"/>
        <v>46228</v>
      </c>
      <c r="C53" s="52" t="s">
        <v>88</v>
      </c>
      <c r="D53" s="79">
        <v>1112</v>
      </c>
      <c r="E53" s="62">
        <v>4.2</v>
      </c>
      <c r="F53" s="62">
        <v>8.1300000000000008</v>
      </c>
      <c r="G53" s="62">
        <f t="shared" si="11"/>
        <v>46.704000000000001</v>
      </c>
      <c r="H53" s="63">
        <f t="shared" si="12"/>
        <v>90.405600000000007</v>
      </c>
      <c r="I53" s="202">
        <v>1647.2600000000002</v>
      </c>
      <c r="J53" s="202">
        <v>1696.6778000000002</v>
      </c>
      <c r="K53" s="202">
        <v>4.1112914779694778</v>
      </c>
      <c r="L53" s="202">
        <v>8.18225780993893</v>
      </c>
      <c r="M53" s="58">
        <v>0</v>
      </c>
      <c r="N53" s="56">
        <v>0</v>
      </c>
      <c r="O53" s="59">
        <v>0</v>
      </c>
      <c r="P53" s="56">
        <v>0</v>
      </c>
      <c r="Q53" s="60">
        <v>0</v>
      </c>
      <c r="R53" s="61">
        <f t="shared" si="13"/>
        <v>1696.6778000000002</v>
      </c>
      <c r="S53" s="62">
        <f t="shared" si="14"/>
        <v>69.75536980000004</v>
      </c>
      <c r="T53" s="63">
        <f t="shared" si="15"/>
        <v>138.82655180000003</v>
      </c>
      <c r="U53" s="64" t="s">
        <v>167</v>
      </c>
      <c r="V53" s="8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>
        <v>2808</v>
      </c>
      <c r="AI53" s="66">
        <v>4.1399999999999997</v>
      </c>
      <c r="AJ53" s="66">
        <v>8.16</v>
      </c>
      <c r="AK53" s="62">
        <f t="shared" si="20"/>
        <v>116.2512</v>
      </c>
      <c r="AL53" s="72">
        <f t="shared" si="21"/>
        <v>229.1328</v>
      </c>
      <c r="AM53" s="73">
        <f t="shared" si="22"/>
        <v>0.67780000000038854</v>
      </c>
      <c r="AN53" s="74">
        <f t="shared" si="26"/>
        <v>0.20816980000005003</v>
      </c>
      <c r="AO53" s="74">
        <f t="shared" si="26"/>
        <v>9.9351800000050616E-2</v>
      </c>
      <c r="AP53" s="75">
        <f t="shared" si="23"/>
        <v>1.4743444572815774E-3</v>
      </c>
      <c r="AQ53" s="76">
        <f t="shared" si="9"/>
        <v>129.78734370245994</v>
      </c>
      <c r="AR53" s="90">
        <f t="shared" si="24"/>
        <v>0.67780000000038854</v>
      </c>
    </row>
    <row r="54" spans="1:49" x14ac:dyDescent="0.25">
      <c r="A54" t="str">
        <f t="shared" si="10"/>
        <v>46229M</v>
      </c>
      <c r="B54" s="51">
        <f t="shared" si="25"/>
        <v>46229</v>
      </c>
      <c r="C54" s="52" t="s">
        <v>87</v>
      </c>
      <c r="D54" s="79">
        <v>2808</v>
      </c>
      <c r="E54" s="62">
        <v>4.1399999999999997</v>
      </c>
      <c r="F54" s="62">
        <v>8.16</v>
      </c>
      <c r="G54" s="62">
        <f t="shared" si="11"/>
        <v>116.2512</v>
      </c>
      <c r="H54" s="63">
        <f t="shared" si="12"/>
        <v>229.1328</v>
      </c>
      <c r="I54" s="202">
        <v>1270.5999999999999</v>
      </c>
      <c r="J54" s="202">
        <v>1308.7179999999998</v>
      </c>
      <c r="K54" s="202">
        <v>4.4064284589957516</v>
      </c>
      <c r="L54" s="202">
        <v>8.2203714780418711</v>
      </c>
      <c r="M54" s="58">
        <v>0</v>
      </c>
      <c r="N54" s="56">
        <v>0</v>
      </c>
      <c r="O54" s="59">
        <v>0</v>
      </c>
      <c r="P54" s="56">
        <v>0</v>
      </c>
      <c r="Q54" s="60">
        <v>0</v>
      </c>
      <c r="R54" s="61">
        <f t="shared" si="13"/>
        <v>1308.7179999999998</v>
      </c>
      <c r="S54" s="62">
        <f t="shared" si="14"/>
        <v>57.667722400000017</v>
      </c>
      <c r="T54" s="63">
        <f t="shared" si="15"/>
        <v>107.5814812</v>
      </c>
      <c r="U54" s="64" t="s">
        <v>167</v>
      </c>
      <c r="V54" s="65" t="s">
        <v>167</v>
      </c>
      <c r="W54" s="66">
        <v>0</v>
      </c>
      <c r="X54" s="67">
        <v>0</v>
      </c>
      <c r="Y54" s="68">
        <v>0</v>
      </c>
      <c r="Z54" s="68">
        <v>0</v>
      </c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>
        <v>4116</v>
      </c>
      <c r="AI54" s="66">
        <v>4.22</v>
      </c>
      <c r="AJ54" s="66">
        <v>8.17</v>
      </c>
      <c r="AK54" s="62">
        <f t="shared" si="20"/>
        <v>173.69519999999997</v>
      </c>
      <c r="AL54" s="72">
        <f t="shared" si="21"/>
        <v>336.27719999999999</v>
      </c>
      <c r="AM54" s="73">
        <f t="shared" si="22"/>
        <v>0.7179999999998472</v>
      </c>
      <c r="AN54" s="74">
        <f t="shared" si="26"/>
        <v>0.2237224000000424</v>
      </c>
      <c r="AO54" s="74">
        <f t="shared" si="26"/>
        <v>0.43708120000002282</v>
      </c>
      <c r="AP54" s="75">
        <f t="shared" si="23"/>
        <v>3.9988307695545539E-3</v>
      </c>
      <c r="AQ54" s="76">
        <f t="shared" si="9"/>
        <v>238.40782284427465</v>
      </c>
      <c r="AR54" s="90">
        <f t="shared" si="24"/>
        <v>0.7179999999998472</v>
      </c>
    </row>
    <row r="55" spans="1:49" x14ac:dyDescent="0.25">
      <c r="A55" t="str">
        <f t="shared" si="10"/>
        <v>46229E</v>
      </c>
      <c r="B55" s="51">
        <f t="shared" si="25"/>
        <v>46229</v>
      </c>
      <c r="C55" s="52" t="s">
        <v>88</v>
      </c>
      <c r="D55" s="79">
        <v>4116</v>
      </c>
      <c r="E55" s="62">
        <v>4.22</v>
      </c>
      <c r="F55" s="62">
        <v>8.17</v>
      </c>
      <c r="G55" s="62">
        <f t="shared" si="11"/>
        <v>173.69519999999997</v>
      </c>
      <c r="H55" s="63">
        <f t="shared" si="12"/>
        <v>336.27719999999999</v>
      </c>
      <c r="I55" s="202">
        <v>1802.6399999999999</v>
      </c>
      <c r="J55" s="202">
        <v>1856.7192</v>
      </c>
      <c r="K55" s="202">
        <v>3.9960524563972846</v>
      </c>
      <c r="L55" s="202">
        <v>8.1468180002662773</v>
      </c>
      <c r="M55" s="58">
        <v>0</v>
      </c>
      <c r="N55" s="56">
        <v>0</v>
      </c>
      <c r="O55" s="59">
        <v>0</v>
      </c>
      <c r="P55" s="56">
        <v>0</v>
      </c>
      <c r="Q55" s="60">
        <v>0</v>
      </c>
      <c r="R55" s="61">
        <f t="shared" si="13"/>
        <v>1856.7192</v>
      </c>
      <c r="S55" s="62">
        <f t="shared" si="14"/>
        <v>74.195473200000009</v>
      </c>
      <c r="T55" s="63">
        <f t="shared" si="15"/>
        <v>151.26353400000002</v>
      </c>
      <c r="U55" s="64" t="s">
        <v>179</v>
      </c>
      <c r="V55" s="65" t="s">
        <v>831</v>
      </c>
      <c r="W55" s="66" t="s">
        <v>184</v>
      </c>
      <c r="X55" s="67">
        <v>3830</v>
      </c>
      <c r="Y55" s="68">
        <v>4.25</v>
      </c>
      <c r="Z55" s="68">
        <v>8.26</v>
      </c>
      <c r="AA55" s="62">
        <f t="shared" si="16"/>
        <v>162.77500000000001</v>
      </c>
      <c r="AB55" s="63">
        <f t="shared" si="17"/>
        <v>316.35799999999995</v>
      </c>
      <c r="AC55" s="69">
        <v>3850</v>
      </c>
      <c r="AD55" s="70">
        <v>4.2</v>
      </c>
      <c r="AE55" s="70">
        <v>8.25</v>
      </c>
      <c r="AF55" s="62">
        <f t="shared" si="18"/>
        <v>161.70000000000002</v>
      </c>
      <c r="AG55" s="63">
        <f t="shared" si="19"/>
        <v>317.625</v>
      </c>
      <c r="AH55" s="66">
        <v>2142</v>
      </c>
      <c r="AI55" s="66">
        <v>4.1500000000000004</v>
      </c>
      <c r="AJ55" s="66">
        <v>8.16</v>
      </c>
      <c r="AK55" s="62">
        <f t="shared" si="20"/>
        <v>88.893000000000001</v>
      </c>
      <c r="AL55" s="72">
        <f t="shared" si="21"/>
        <v>174.78720000000001</v>
      </c>
      <c r="AM55" s="73">
        <f t="shared" si="22"/>
        <v>-19.280800000000454</v>
      </c>
      <c r="AN55" s="74">
        <f t="shared" si="26"/>
        <v>-2.7023268000000371</v>
      </c>
      <c r="AO55" s="74">
        <f t="shared" si="26"/>
        <v>-4.8714659999999697</v>
      </c>
      <c r="AP55" s="75">
        <f t="shared" si="23"/>
        <v>-3.3592771005513437E-2</v>
      </c>
      <c r="AQ55" s="76">
        <f t="shared" si="9"/>
        <v>-2757.5166771984177</v>
      </c>
      <c r="AR55" s="90">
        <f t="shared" si="24"/>
        <v>0.71919999999954598</v>
      </c>
    </row>
    <row r="56" spans="1:49" x14ac:dyDescent="0.25">
      <c r="A56" t="str">
        <f t="shared" si="10"/>
        <v>46230M</v>
      </c>
      <c r="B56" s="51">
        <f t="shared" si="25"/>
        <v>46230</v>
      </c>
      <c r="C56" s="52" t="s">
        <v>87</v>
      </c>
      <c r="D56" s="91">
        <v>2142</v>
      </c>
      <c r="E56" s="62">
        <v>4.1500000000000004</v>
      </c>
      <c r="F56" s="62">
        <v>8.16</v>
      </c>
      <c r="G56" s="62">
        <f t="shared" si="11"/>
        <v>88.893000000000001</v>
      </c>
      <c r="H56" s="63">
        <f t="shared" si="12"/>
        <v>174.78720000000001</v>
      </c>
      <c r="I56" s="202">
        <v>1145.68</v>
      </c>
      <c r="J56" s="202">
        <v>1180.0504000000001</v>
      </c>
      <c r="K56" s="202">
        <v>4.550155366245372</v>
      </c>
      <c r="L56" s="202">
        <v>8.2433070316318648</v>
      </c>
      <c r="M56" s="58">
        <v>0</v>
      </c>
      <c r="N56" s="56">
        <v>0</v>
      </c>
      <c r="O56" s="59">
        <v>0</v>
      </c>
      <c r="P56" s="56">
        <v>0</v>
      </c>
      <c r="Q56" s="60">
        <v>0</v>
      </c>
      <c r="R56" s="61">
        <f t="shared" si="13"/>
        <v>1180.0504000000001</v>
      </c>
      <c r="S56" s="62">
        <f t="shared" si="14"/>
        <v>53.694126599999976</v>
      </c>
      <c r="T56" s="63">
        <f t="shared" si="15"/>
        <v>97.27517759999995</v>
      </c>
      <c r="U56" s="64" t="s">
        <v>167</v>
      </c>
      <c r="V56" s="65" t="s">
        <v>167</v>
      </c>
      <c r="W56" s="66">
        <v>0</v>
      </c>
      <c r="X56" s="67">
        <v>0</v>
      </c>
      <c r="Y56" s="68">
        <v>0</v>
      </c>
      <c r="Z56" s="68">
        <v>0</v>
      </c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>
        <v>3322</v>
      </c>
      <c r="AI56" s="66">
        <v>4.29</v>
      </c>
      <c r="AJ56" s="66">
        <v>8.18</v>
      </c>
      <c r="AK56" s="62">
        <f t="shared" si="20"/>
        <v>142.5138</v>
      </c>
      <c r="AL56" s="72">
        <f t="shared" si="21"/>
        <v>271.7396</v>
      </c>
      <c r="AM56" s="73">
        <f t="shared" si="22"/>
        <v>5.0400000000081491E-2</v>
      </c>
      <c r="AN56" s="74">
        <f t="shared" si="26"/>
        <v>7.3326599999973041E-2</v>
      </c>
      <c r="AO56" s="74">
        <f t="shared" si="26"/>
        <v>0.32277759999999489</v>
      </c>
      <c r="AP56" s="75">
        <f t="shared" si="23"/>
        <v>2.6237399854159766E-3</v>
      </c>
      <c r="AQ56" s="76">
        <f t="shared" si="9"/>
        <v>131.90483548757206</v>
      </c>
      <c r="AR56" s="90">
        <f t="shared" si="24"/>
        <v>5.0400000000081491E-2</v>
      </c>
    </row>
    <row r="57" spans="1:49" x14ac:dyDescent="0.25">
      <c r="A57" t="str">
        <f t="shared" si="10"/>
        <v>46230E</v>
      </c>
      <c r="B57" s="51">
        <f t="shared" si="25"/>
        <v>46230</v>
      </c>
      <c r="C57" s="52" t="s">
        <v>88</v>
      </c>
      <c r="D57" s="91">
        <v>3322</v>
      </c>
      <c r="E57" s="62">
        <v>4.29</v>
      </c>
      <c r="F57" s="62">
        <v>8.18</v>
      </c>
      <c r="G57" s="62">
        <f t="shared" si="11"/>
        <v>142.5138</v>
      </c>
      <c r="H57" s="63">
        <f t="shared" si="12"/>
        <v>271.7396</v>
      </c>
      <c r="I57" s="202">
        <v>1518.72</v>
      </c>
      <c r="J57" s="202">
        <v>1564.2816</v>
      </c>
      <c r="K57" s="202">
        <v>4.178867730720607</v>
      </c>
      <c r="L57" s="202">
        <v>8.1654538032026966</v>
      </c>
      <c r="M57" s="58">
        <v>0</v>
      </c>
      <c r="N57" s="56">
        <v>0</v>
      </c>
      <c r="O57" s="59">
        <v>0</v>
      </c>
      <c r="P57" s="56">
        <v>0</v>
      </c>
      <c r="Q57" s="60">
        <v>0</v>
      </c>
      <c r="R57" s="61">
        <f t="shared" si="13"/>
        <v>1564.2816</v>
      </c>
      <c r="S57" s="62">
        <f t="shared" si="14"/>
        <v>65.369259</v>
      </c>
      <c r="T57" s="63">
        <f t="shared" si="15"/>
        <v>127.7306914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>
        <v>4886</v>
      </c>
      <c r="AI57" s="66">
        <v>4.25</v>
      </c>
      <c r="AJ57" s="66">
        <v>8.17</v>
      </c>
      <c r="AK57" s="62">
        <f t="shared" si="20"/>
        <v>207.655</v>
      </c>
      <c r="AL57" s="72">
        <f t="shared" si="21"/>
        <v>399.18619999999999</v>
      </c>
      <c r="AM57" s="73">
        <f t="shared" si="22"/>
        <v>0.2816000000002532</v>
      </c>
      <c r="AN57" s="74">
        <f t="shared" si="26"/>
        <v>0.22805900000000179</v>
      </c>
      <c r="AO57" s="74">
        <f t="shared" si="26"/>
        <v>0.28409140000002253</v>
      </c>
      <c r="AP57" s="75">
        <f t="shared" si="23"/>
        <v>2.6522554715271655E-3</v>
      </c>
      <c r="AQ57" s="76">
        <f t="shared" si="9"/>
        <v>194.67261717846836</v>
      </c>
      <c r="AR57" s="90">
        <f t="shared" si="24"/>
        <v>0.2816000000002532</v>
      </c>
    </row>
    <row r="58" spans="1:49" x14ac:dyDescent="0.25">
      <c r="A58" t="str">
        <f t="shared" si="10"/>
        <v>46231M</v>
      </c>
      <c r="B58" s="51">
        <f t="shared" si="25"/>
        <v>46231</v>
      </c>
      <c r="C58" s="52" t="s">
        <v>87</v>
      </c>
      <c r="D58" s="91">
        <v>4886</v>
      </c>
      <c r="E58" s="62">
        <v>4.25</v>
      </c>
      <c r="F58" s="62">
        <v>8.17</v>
      </c>
      <c r="G58" s="62">
        <f t="shared" si="11"/>
        <v>207.655</v>
      </c>
      <c r="H58" s="63">
        <f t="shared" si="12"/>
        <v>399.18619999999999</v>
      </c>
      <c r="I58" s="202">
        <v>1244.5800000000002</v>
      </c>
      <c r="J58" s="202">
        <v>1281.9174000000003</v>
      </c>
      <c r="K58" s="202">
        <v>4.4391007408121625</v>
      </c>
      <c r="L58" s="202">
        <v>8.2427790901348263</v>
      </c>
      <c r="M58" s="58">
        <v>0</v>
      </c>
      <c r="N58" s="56">
        <v>0</v>
      </c>
      <c r="O58" s="59">
        <v>0</v>
      </c>
      <c r="P58" s="56">
        <v>0</v>
      </c>
      <c r="Q58" s="60">
        <v>0</v>
      </c>
      <c r="R58" s="61">
        <f t="shared" si="13"/>
        <v>1281.9174000000003</v>
      </c>
      <c r="S58" s="62">
        <f t="shared" si="14"/>
        <v>56.90560480000002</v>
      </c>
      <c r="T58" s="63">
        <f t="shared" si="15"/>
        <v>105.66561940000004</v>
      </c>
      <c r="U58" s="64" t="s">
        <v>176</v>
      </c>
      <c r="V58" s="65" t="s">
        <v>917</v>
      </c>
      <c r="W58" s="66" t="s">
        <v>184</v>
      </c>
      <c r="X58" s="67">
        <v>3020</v>
      </c>
      <c r="Y58" s="68">
        <v>4.2</v>
      </c>
      <c r="Z58" s="68">
        <v>8.25</v>
      </c>
      <c r="AA58" s="62">
        <f t="shared" si="16"/>
        <v>126.84</v>
      </c>
      <c r="AB58" s="63">
        <f t="shared" si="17"/>
        <v>249.15</v>
      </c>
      <c r="AC58" s="69">
        <v>3010</v>
      </c>
      <c r="AD58" s="70">
        <v>4.0999999999999996</v>
      </c>
      <c r="AE58" s="70">
        <v>7.98</v>
      </c>
      <c r="AF58" s="62">
        <f t="shared" si="18"/>
        <v>123.40999999999998</v>
      </c>
      <c r="AG58" s="63">
        <f t="shared" si="19"/>
        <v>240.19800000000004</v>
      </c>
      <c r="AH58" s="66">
        <v>3147</v>
      </c>
      <c r="AI58" s="66">
        <v>4.28</v>
      </c>
      <c r="AJ58" s="66">
        <v>8.18</v>
      </c>
      <c r="AK58" s="62">
        <f t="shared" si="20"/>
        <v>134.69160000000002</v>
      </c>
      <c r="AL58" s="72">
        <f t="shared" si="21"/>
        <v>257.4246</v>
      </c>
      <c r="AM58" s="73">
        <f t="shared" si="22"/>
        <v>10.917400000000271</v>
      </c>
      <c r="AN58" s="74">
        <f t="shared" si="26"/>
        <v>6.4590048000000309</v>
      </c>
      <c r="AO58" s="74">
        <f t="shared" si="26"/>
        <v>7.2292193999999768</v>
      </c>
      <c r="AP58" s="75">
        <f t="shared" si="23"/>
        <v>8.4198321488680783E-2</v>
      </c>
      <c r="AQ58" s="76">
        <f t="shared" si="9"/>
        <v>5268.8488760139389</v>
      </c>
      <c r="AR58" s="90">
        <f t="shared" si="24"/>
        <v>0.91740000000027067</v>
      </c>
    </row>
    <row r="59" spans="1:49" x14ac:dyDescent="0.25">
      <c r="A59" t="str">
        <f t="shared" si="10"/>
        <v>46231E</v>
      </c>
      <c r="B59" s="51">
        <f t="shared" si="25"/>
        <v>46231</v>
      </c>
      <c r="C59" s="52" t="s">
        <v>88</v>
      </c>
      <c r="D59" s="91">
        <v>3147</v>
      </c>
      <c r="E59" s="62">
        <v>4.28</v>
      </c>
      <c r="F59" s="62">
        <v>8.18</v>
      </c>
      <c r="G59" s="62">
        <f t="shared" si="11"/>
        <v>134.69160000000002</v>
      </c>
      <c r="H59" s="63">
        <f t="shared" si="12"/>
        <v>257.4246</v>
      </c>
      <c r="I59" s="202">
        <v>860.1</v>
      </c>
      <c r="J59" s="202">
        <v>885.90300000000002</v>
      </c>
      <c r="K59" s="202">
        <v>4.2070573189164051</v>
      </c>
      <c r="L59" s="202">
        <v>8.2720730147657235</v>
      </c>
      <c r="M59" s="58">
        <v>0</v>
      </c>
      <c r="N59" s="56">
        <v>0</v>
      </c>
      <c r="O59" s="59">
        <v>0</v>
      </c>
      <c r="P59" s="56">
        <v>0</v>
      </c>
      <c r="Q59" s="60">
        <v>0</v>
      </c>
      <c r="R59" s="61">
        <f t="shared" si="13"/>
        <v>885.90300000000002</v>
      </c>
      <c r="S59" s="62">
        <f t="shared" si="14"/>
        <v>37.270447000000004</v>
      </c>
      <c r="T59" s="63">
        <f t="shared" si="15"/>
        <v>73.28254299999999</v>
      </c>
      <c r="U59" s="64" t="s">
        <v>179</v>
      </c>
      <c r="V59" s="65" t="s">
        <v>918</v>
      </c>
      <c r="W59" s="66" t="s">
        <v>184</v>
      </c>
      <c r="X59" s="67">
        <v>3830</v>
      </c>
      <c r="Y59" s="68">
        <v>4.0999999999999996</v>
      </c>
      <c r="Z59" s="68">
        <v>8.23</v>
      </c>
      <c r="AA59" s="62">
        <f t="shared" si="16"/>
        <v>157.02999999999997</v>
      </c>
      <c r="AB59" s="63">
        <f t="shared" si="17"/>
        <v>315.209</v>
      </c>
      <c r="AC59" s="69">
        <v>3830</v>
      </c>
      <c r="AD59" s="70">
        <v>4.05</v>
      </c>
      <c r="AE59" s="70">
        <v>7.97</v>
      </c>
      <c r="AF59" s="62">
        <f t="shared" si="18"/>
        <v>155.11500000000001</v>
      </c>
      <c r="AG59" s="63">
        <f t="shared" si="19"/>
        <v>305.25099999999998</v>
      </c>
      <c r="AH59" s="66">
        <v>202</v>
      </c>
      <c r="AI59" s="66">
        <v>4.26</v>
      </c>
      <c r="AJ59" s="66">
        <v>8.19</v>
      </c>
      <c r="AK59" s="62">
        <f t="shared" si="20"/>
        <v>8.6052</v>
      </c>
      <c r="AL59" s="72">
        <f t="shared" si="21"/>
        <v>16.543800000000001</v>
      </c>
      <c r="AM59" s="73">
        <f t="shared" si="22"/>
        <v>0.90300000000024738</v>
      </c>
      <c r="AN59" s="74">
        <f t="shared" si="26"/>
        <v>8.2418470000000319</v>
      </c>
      <c r="AO59" s="74">
        <f t="shared" si="26"/>
        <v>8.9123429999999964</v>
      </c>
      <c r="AP59" s="75">
        <f t="shared" si="23"/>
        <v>0.15516712845125247</v>
      </c>
      <c r="AQ59" s="76">
        <f t="shared" si="9"/>
        <v>6629.64311242861</v>
      </c>
      <c r="AR59" s="90">
        <f t="shared" si="24"/>
        <v>0.90300000000024738</v>
      </c>
    </row>
    <row r="60" spans="1:49" x14ac:dyDescent="0.25">
      <c r="A60" t="str">
        <f t="shared" si="10"/>
        <v>46232M</v>
      </c>
      <c r="B60" s="51">
        <f t="shared" si="25"/>
        <v>46232</v>
      </c>
      <c r="C60" s="52" t="s">
        <v>87</v>
      </c>
      <c r="D60" s="91">
        <v>202</v>
      </c>
      <c r="E60" s="62">
        <v>4.26</v>
      </c>
      <c r="F60" s="62">
        <v>8.19</v>
      </c>
      <c r="G60" s="62">
        <f t="shared" si="11"/>
        <v>8.6052</v>
      </c>
      <c r="H60" s="63">
        <f t="shared" si="12"/>
        <v>16.543800000000001</v>
      </c>
      <c r="I60" s="202">
        <v>1104.56</v>
      </c>
      <c r="J60" s="202">
        <v>1137.6967999999999</v>
      </c>
      <c r="K60" s="202">
        <v>4.43147678713696</v>
      </c>
      <c r="L60" s="202">
        <v>8.2587419424929394</v>
      </c>
      <c r="M60" s="58">
        <v>0</v>
      </c>
      <c r="N60" s="56">
        <v>0</v>
      </c>
      <c r="O60" s="59">
        <v>0</v>
      </c>
      <c r="P60" s="56">
        <v>0</v>
      </c>
      <c r="Q60" s="60">
        <v>0</v>
      </c>
      <c r="R60" s="61">
        <f t="shared" si="13"/>
        <v>1137.6967999999999</v>
      </c>
      <c r="S60" s="62">
        <f t="shared" si="14"/>
        <v>50.416769600000002</v>
      </c>
      <c r="T60" s="63">
        <f t="shared" si="15"/>
        <v>93.959442800000005</v>
      </c>
      <c r="U60" s="64" t="s">
        <v>167</v>
      </c>
      <c r="V60" s="65" t="s">
        <v>167</v>
      </c>
      <c r="W60" s="66">
        <v>0</v>
      </c>
      <c r="X60" s="67">
        <v>0</v>
      </c>
      <c r="Y60" s="68">
        <v>0</v>
      </c>
      <c r="Z60" s="68">
        <v>0</v>
      </c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>
        <v>1339</v>
      </c>
      <c r="AI60" s="66">
        <v>4.4000000000000004</v>
      </c>
      <c r="AJ60" s="66">
        <v>8.25</v>
      </c>
      <c r="AK60" s="62">
        <f t="shared" si="20"/>
        <v>58.916000000000004</v>
      </c>
      <c r="AL60" s="72">
        <f t="shared" si="21"/>
        <v>110.4675</v>
      </c>
      <c r="AM60" s="73">
        <f t="shared" si="22"/>
        <v>0.69679999999993925</v>
      </c>
      <c r="AN60" s="74">
        <f t="shared" si="26"/>
        <v>0.10596960000000166</v>
      </c>
      <c r="AO60" s="74">
        <f t="shared" si="26"/>
        <v>3.5742800000008401E-2</v>
      </c>
      <c r="AP60" s="75">
        <f t="shared" si="23"/>
        <v>9.8154950628147981E-4</v>
      </c>
      <c r="AQ60" s="76">
        <f t="shared" si="9"/>
        <v>61.626492131038702</v>
      </c>
      <c r="AR60" s="90">
        <f>(D60+J60+O60)-(X60+AH60)</f>
        <v>0.69679999999993925</v>
      </c>
    </row>
    <row r="61" spans="1:49" x14ac:dyDescent="0.25">
      <c r="A61" t="str">
        <f t="shared" si="10"/>
        <v>46232E</v>
      </c>
      <c r="B61" s="51">
        <f t="shared" si="25"/>
        <v>46232</v>
      </c>
      <c r="C61" s="52" t="s">
        <v>88</v>
      </c>
      <c r="D61" s="91">
        <v>1339</v>
      </c>
      <c r="E61" s="62">
        <v>4.4000000000000004</v>
      </c>
      <c r="F61" s="62">
        <v>8.25</v>
      </c>
      <c r="G61" s="62">
        <f t="shared" si="11"/>
        <v>58.916000000000004</v>
      </c>
      <c r="H61" s="63">
        <f t="shared" si="12"/>
        <v>110.4675</v>
      </c>
      <c r="I61" s="202">
        <v>2707.44</v>
      </c>
      <c r="J61" s="202">
        <v>2788.6632</v>
      </c>
      <c r="K61" s="202">
        <v>4.2538264929232055</v>
      </c>
      <c r="L61" s="202">
        <v>8.2869936175870951</v>
      </c>
      <c r="M61" s="58">
        <v>0</v>
      </c>
      <c r="N61" s="56">
        <v>0</v>
      </c>
      <c r="O61" s="59">
        <v>0</v>
      </c>
      <c r="P61" s="56">
        <v>0</v>
      </c>
      <c r="Q61" s="60">
        <v>0</v>
      </c>
      <c r="R61" s="61">
        <f t="shared" si="13"/>
        <v>2788.6632</v>
      </c>
      <c r="S61" s="62">
        <f t="shared" si="14"/>
        <v>118.62489400000003</v>
      </c>
      <c r="T61" s="63">
        <f t="shared" si="15"/>
        <v>231.09634140000003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>
        <v>4127</v>
      </c>
      <c r="AI61" s="66">
        <v>4.29</v>
      </c>
      <c r="AJ61" s="66">
        <v>8.27</v>
      </c>
      <c r="AK61" s="62">
        <f t="shared" si="20"/>
        <v>177.04830000000001</v>
      </c>
      <c r="AL61" s="72">
        <f t="shared" si="21"/>
        <v>341.30289999999997</v>
      </c>
      <c r="AM61" s="73">
        <f t="shared" si="22"/>
        <v>0.66319999999996071</v>
      </c>
      <c r="AN61" s="74">
        <f t="shared" si="26"/>
        <v>0.49259400000002529</v>
      </c>
      <c r="AO61" s="74">
        <f t="shared" si="26"/>
        <v>0.26094140000003563</v>
      </c>
      <c r="AP61" s="75">
        <f t="shared" si="23"/>
        <v>2.1546744198652707E-3</v>
      </c>
      <c r="AQ61" s="76">
        <f t="shared" si="9"/>
        <v>314.85707544032232</v>
      </c>
      <c r="AR61" s="90">
        <f>(D61+J61+O61)-(X61+AH61)</f>
        <v>0.66319999999996071</v>
      </c>
    </row>
    <row r="62" spans="1:49" x14ac:dyDescent="0.25">
      <c r="A62" t="str">
        <f t="shared" si="10"/>
        <v>46233M</v>
      </c>
      <c r="B62" s="51">
        <f t="shared" si="25"/>
        <v>46233</v>
      </c>
      <c r="C62" s="52" t="s">
        <v>87</v>
      </c>
      <c r="D62" s="91">
        <v>4127</v>
      </c>
      <c r="E62" s="62">
        <v>4.29</v>
      </c>
      <c r="F62" s="62">
        <v>8.27</v>
      </c>
      <c r="G62" s="62">
        <f t="shared" si="11"/>
        <v>177.04830000000001</v>
      </c>
      <c r="H62" s="63">
        <f t="shared" si="12"/>
        <v>341.30289999999997</v>
      </c>
      <c r="I62" s="202">
        <v>2833.64</v>
      </c>
      <c r="J62" s="202">
        <v>2918.6491999999998</v>
      </c>
      <c r="K62" s="202">
        <v>4.2914731581993459</v>
      </c>
      <c r="L62" s="202">
        <v>8.1274163267034591</v>
      </c>
      <c r="M62" s="58">
        <v>0</v>
      </c>
      <c r="N62" s="56">
        <v>0</v>
      </c>
      <c r="O62" s="59">
        <v>0</v>
      </c>
      <c r="P62" s="56">
        <v>0</v>
      </c>
      <c r="Q62" s="60">
        <v>0</v>
      </c>
      <c r="R62" s="61">
        <f t="shared" si="13"/>
        <v>2918.6491999999998</v>
      </c>
      <c r="S62" s="62">
        <f t="shared" si="14"/>
        <v>125.25304699999994</v>
      </c>
      <c r="T62" s="63">
        <f t="shared" si="15"/>
        <v>237.21077159999987</v>
      </c>
      <c r="U62" s="64" t="s">
        <v>207</v>
      </c>
      <c r="V62" s="65" t="s">
        <v>957</v>
      </c>
      <c r="W62" s="66" t="s">
        <v>184</v>
      </c>
      <c r="X62" s="67">
        <v>4200</v>
      </c>
      <c r="Y62" s="68">
        <v>4.2</v>
      </c>
      <c r="Z62" s="68">
        <v>8.1199999999999992</v>
      </c>
      <c r="AA62" s="62">
        <f t="shared" si="16"/>
        <v>176.4</v>
      </c>
      <c r="AB62" s="63">
        <f t="shared" si="17"/>
        <v>341.03999999999996</v>
      </c>
      <c r="AC62" s="221">
        <v>4200</v>
      </c>
      <c r="AD62" s="222">
        <v>4.2</v>
      </c>
      <c r="AE62" s="222">
        <v>8.1199999999999992</v>
      </c>
      <c r="AF62" s="62">
        <f t="shared" si="18"/>
        <v>176.4</v>
      </c>
      <c r="AG62" s="63">
        <f t="shared" si="19"/>
        <v>341.03999999999996</v>
      </c>
      <c r="AH62" s="66">
        <v>2845</v>
      </c>
      <c r="AI62" s="66">
        <v>4.29</v>
      </c>
      <c r="AJ62" s="66">
        <v>8.2100000000000009</v>
      </c>
      <c r="AK62" s="62">
        <f t="shared" si="20"/>
        <v>122.0505</v>
      </c>
      <c r="AL62" s="72">
        <f t="shared" si="21"/>
        <v>233.57450000000003</v>
      </c>
      <c r="AM62" s="73">
        <f t="shared" si="22"/>
        <v>0.64919999999983702</v>
      </c>
      <c r="AN62" s="74">
        <f t="shared" si="26"/>
        <v>3.8508469999999591</v>
      </c>
      <c r="AO62" s="74">
        <f t="shared" si="26"/>
        <v>3.8991715999998462</v>
      </c>
      <c r="AP62" s="75">
        <f t="shared" si="23"/>
        <v>2.1381495758483988E-2</v>
      </c>
      <c r="AQ62" s="76">
        <f t="shared" si="9"/>
        <v>3018.2244965872669</v>
      </c>
      <c r="AR62" s="90">
        <f>(D62+J62+O62)-(X62+AH62)</f>
        <v>0.64919999999983702</v>
      </c>
    </row>
    <row r="63" spans="1:49" x14ac:dyDescent="0.25">
      <c r="A63" t="str">
        <f t="shared" si="10"/>
        <v>46233E</v>
      </c>
      <c r="B63" s="51">
        <f t="shared" si="25"/>
        <v>46233</v>
      </c>
      <c r="C63" s="52" t="s">
        <v>88</v>
      </c>
      <c r="D63" s="91">
        <v>2845</v>
      </c>
      <c r="E63" s="62">
        <v>4.29</v>
      </c>
      <c r="F63" s="62">
        <v>8.2100000000000009</v>
      </c>
      <c r="G63" s="62">
        <f t="shared" si="11"/>
        <v>122.0505</v>
      </c>
      <c r="H63" s="63">
        <f t="shared" si="12"/>
        <v>233.57450000000003</v>
      </c>
      <c r="I63" s="202">
        <v>2144.6999999999994</v>
      </c>
      <c r="J63" s="202">
        <v>2209.0409999999993</v>
      </c>
      <c r="K63" s="202">
        <v>4.1137455121928461</v>
      </c>
      <c r="L63" s="202">
        <v>8.1709264699025486</v>
      </c>
      <c r="M63" s="58">
        <v>0</v>
      </c>
      <c r="N63" s="56">
        <v>0</v>
      </c>
      <c r="O63" s="59">
        <v>0</v>
      </c>
      <c r="P63" s="56">
        <v>0</v>
      </c>
      <c r="Q63" s="60">
        <v>0</v>
      </c>
      <c r="R63" s="61">
        <f t="shared" si="13"/>
        <v>2209.0409999999993</v>
      </c>
      <c r="S63" s="62">
        <f t="shared" si="14"/>
        <v>90.874324999999942</v>
      </c>
      <c r="T63" s="63">
        <f t="shared" si="15"/>
        <v>180.49911579999988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>
        <v>5290</v>
      </c>
      <c r="AI63" s="66">
        <v>4.21</v>
      </c>
      <c r="AJ63" s="66">
        <v>8.19</v>
      </c>
      <c r="AK63" s="62">
        <f t="shared" si="20"/>
        <v>222.709</v>
      </c>
      <c r="AL63" s="72">
        <f t="shared" si="21"/>
        <v>433.25099999999998</v>
      </c>
      <c r="AM63" s="73">
        <f t="shared" si="22"/>
        <v>-235.95900000000074</v>
      </c>
      <c r="AN63" s="74">
        <f t="shared" si="26"/>
        <v>-9.7841750000000616</v>
      </c>
      <c r="AO63" s="74">
        <f t="shared" si="26"/>
        <v>-19.177384200000063</v>
      </c>
      <c r="AP63" s="75">
        <f t="shared" si="23"/>
        <v>-0.10672215790396591</v>
      </c>
      <c r="AQ63" s="76">
        <f t="shared" si="9"/>
        <v>-10445.070368449586</v>
      </c>
      <c r="AR63" s="90">
        <f>(D63+J63+O63)-(X63+AH63)</f>
        <v>-235.95900000000074</v>
      </c>
      <c r="AS63" s="90">
        <f>SUM(J50:J63)</f>
        <v>23167.584000000003</v>
      </c>
      <c r="AT63" s="83">
        <f>SUM(AM50:AM63)</f>
        <v>-237.41600000000039</v>
      </c>
      <c r="AU63" s="83">
        <f>SUM(AN50:AN63)</f>
        <v>3.0725352000000719</v>
      </c>
      <c r="AV63" s="83">
        <f>SUM(AO50:AO63)</f>
        <v>-9.322107200000044</v>
      </c>
      <c r="AW63" s="83">
        <f>-SUM(AQ50:AQ63)</f>
        <v>1315.4349525992657</v>
      </c>
    </row>
    <row r="64" spans="1:49" x14ac:dyDescent="0.25">
      <c r="A64" t="str">
        <f t="shared" si="10"/>
        <v>46234M</v>
      </c>
      <c r="B64" s="51">
        <f t="shared" si="25"/>
        <v>46234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18"/>
      <c r="J64" s="119"/>
      <c r="K64" s="120"/>
      <c r="L64" s="121"/>
      <c r="M64" s="58"/>
      <c r="N64" s="56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6"/>
        <v>0</v>
      </c>
      <c r="AO64" s="74">
        <f t="shared" si="26"/>
        <v>0</v>
      </c>
      <c r="AP64" s="75" t="e">
        <f t="shared" si="23"/>
        <v>#DIV/0!</v>
      </c>
      <c r="AQ64" s="76">
        <f t="shared" si="9"/>
        <v>0</v>
      </c>
      <c r="AR64" s="90">
        <f t="shared" si="24"/>
        <v>0</v>
      </c>
    </row>
    <row r="65" spans="1:44" x14ac:dyDescent="0.25">
      <c r="A65" t="str">
        <f t="shared" si="10"/>
        <v>46234E</v>
      </c>
      <c r="B65" s="51">
        <f t="shared" si="25"/>
        <v>46234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18"/>
      <c r="J65" s="119"/>
      <c r="K65" s="120"/>
      <c r="L65" s="121"/>
      <c r="M65" s="58"/>
      <c r="N65" s="56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6"/>
        <v>0</v>
      </c>
      <c r="AO65" s="74">
        <f t="shared" si="26"/>
        <v>0</v>
      </c>
      <c r="AP65" s="75" t="e">
        <f t="shared" si="23"/>
        <v>#DIV/0!</v>
      </c>
      <c r="AQ65" s="76">
        <f t="shared" si="9"/>
        <v>0</v>
      </c>
      <c r="AR65" s="90">
        <f t="shared" si="24"/>
        <v>0</v>
      </c>
    </row>
    <row r="66" spans="1:44" x14ac:dyDescent="0.25">
      <c r="J66" s="83">
        <f>SUM(J4:J65)</f>
        <v>100568.41720000005</v>
      </c>
      <c r="AM66" s="126">
        <f>-SUM(AM4:AM65)</f>
        <v>-1071.4171999999996</v>
      </c>
      <c r="AN66" s="126">
        <f>-SUM(AN4:AN65)</f>
        <v>19.057673599999919</v>
      </c>
      <c r="AO66" s="126">
        <f>-SUM(AO4:AO65)</f>
        <v>-22.788876799999755</v>
      </c>
      <c r="AP66" s="126"/>
      <c r="AQ66" s="126">
        <f>-SUM(AQ4:AQ65)</f>
        <v>2332.7667005841777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2" operator="lessThan">
      <formula>0.1</formula>
    </cfRule>
    <cfRule type="cellIs" dxfId="13" priority="3" operator="greaterThan">
      <formula>0.1</formula>
    </cfRule>
  </conditionalFormatting>
  <conditionalFormatting sqref="AP1:AQ1">
    <cfRule type="cellIs" dxfId="12" priority="1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AW69"/>
  <sheetViews>
    <sheetView topLeftCell="B1" zoomScale="80" zoomScaleNormal="80" workbookViewId="0">
      <pane xSplit="2" ySplit="3" topLeftCell="D34" activePane="bottomRight" state="frozen"/>
      <selection activeCell="B1" sqref="B1"/>
      <selection pane="topRight" activeCell="D1" sqref="D1"/>
      <selection pane="bottomLeft" activeCell="B4" sqref="B4"/>
      <selection pane="bottomRight" activeCell="A64" sqref="A64"/>
    </sheetView>
  </sheetViews>
  <sheetFormatPr defaultRowHeight="15" x14ac:dyDescent="0.25"/>
  <cols>
    <col min="1" max="1" width="8.42578125" bestFit="1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bestFit="1" customWidth="1"/>
    <col min="10" max="10" width="8.140625" bestFit="1" customWidth="1"/>
    <col min="11" max="11" width="6" bestFit="1" customWidth="1"/>
    <col min="12" max="12" width="5.85546875" bestFit="1" customWidth="1"/>
    <col min="13" max="13" width="6" bestFit="1" customWidth="1"/>
    <col min="14" max="14" width="10.28515625" customWidth="1"/>
    <col min="15" max="15" width="8.85546875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9" customWidth="1"/>
    <col min="22" max="22" width="8.28515625" customWidth="1"/>
    <col min="23" max="23" width="11.285156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5" width="5.85546875" bestFit="1" customWidth="1"/>
    <col min="36" max="36" width="6.570312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" bestFit="1" customWidth="1"/>
    <col min="46" max="46" width="7.28515625" bestFit="1" customWidth="1"/>
    <col min="47" max="48" width="6.28515625" bestFit="1" customWidth="1"/>
    <col min="49" max="49" width="9.28515625" bestFit="1" customWidth="1"/>
  </cols>
  <sheetData>
    <row r="1" spans="1:44" ht="15.75" thickBot="1" x14ac:dyDescent="0.3">
      <c r="B1" s="43" t="s">
        <v>101</v>
      </c>
      <c r="C1" s="44"/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87">
        <v>1890</v>
      </c>
      <c r="E4" s="88">
        <v>4.01</v>
      </c>
      <c r="F4" s="88">
        <v>8.01</v>
      </c>
      <c r="G4" s="62">
        <f t="shared" ref="G4:G15" si="0">+D4*E4%</f>
        <v>75.788999999999987</v>
      </c>
      <c r="H4" s="63">
        <f t="shared" ref="H4:H15" si="1">+D4*F4%</f>
        <v>151.38900000000001</v>
      </c>
      <c r="I4" s="118">
        <v>1620.1999999999998</v>
      </c>
      <c r="J4" s="119">
        <v>1668.8059999999998</v>
      </c>
      <c r="K4" s="120">
        <v>4.0775552400938153</v>
      </c>
      <c r="L4" s="121">
        <v>7.9694142698432264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1668.8059999999998</v>
      </c>
      <c r="S4" s="62">
        <f t="shared" ref="S4" si="2">+J4*K4%+O4*P4%</f>
        <v>68.046486499999986</v>
      </c>
      <c r="T4" s="63">
        <f t="shared" ref="T4" si="3">+J4*L4%+O4*Q4%</f>
        <v>132.99406349999995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+X4*Y4%</f>
        <v>0</v>
      </c>
      <c r="AB4" s="63">
        <f>+X4*Z4%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89">
        <v>3557</v>
      </c>
      <c r="AI4" s="66">
        <v>4.03</v>
      </c>
      <c r="AJ4" s="66">
        <v>7.98</v>
      </c>
      <c r="AK4" s="62">
        <f t="shared" ref="AK4" si="6">AH4*AI4%</f>
        <v>143.34710000000001</v>
      </c>
      <c r="AL4" s="72">
        <f t="shared" ref="AL4" si="7">AH4*AJ4%</f>
        <v>283.84860000000003</v>
      </c>
      <c r="AM4" s="73">
        <f>+D4+R4-AC4-AH4</f>
        <v>1.8059999999995853</v>
      </c>
      <c r="AN4" s="74">
        <f t="shared" ref="AN4:AO4" si="8">+G4+S4-AF4-AK4</f>
        <v>0.48838649999996164</v>
      </c>
      <c r="AO4" s="74">
        <f t="shared" si="8"/>
        <v>0.53446349999990161</v>
      </c>
      <c r="AP4" s="75">
        <f>(AN4+AO4)/(S4+T4)</f>
        <v>5.0877795549199578E-3</v>
      </c>
      <c r="AQ4" s="76">
        <f t="shared" ref="AQ4:AQ65" si="9">($AP$1*AN4+$AQ$1*AO4)</f>
        <v>394.75266866765014</v>
      </c>
      <c r="AR4" s="90">
        <f t="shared" ref="AR4:AR48" si="10">(D4+J4+O4)-(X4+AH4)</f>
        <v>1.8059999999995853</v>
      </c>
    </row>
    <row r="5" spans="1:44" x14ac:dyDescent="0.25">
      <c r="A5" t="str">
        <f t="shared" ref="A5:A65" si="11">CONCATENATE(B5,C5)</f>
        <v>46204E</v>
      </c>
      <c r="B5" s="51">
        <f>+B4</f>
        <v>46204</v>
      </c>
      <c r="C5" s="52" t="s">
        <v>88</v>
      </c>
      <c r="D5" s="91">
        <v>3557</v>
      </c>
      <c r="E5" s="62">
        <v>4.03</v>
      </c>
      <c r="F5" s="62">
        <v>7.98</v>
      </c>
      <c r="G5" s="62">
        <f t="shared" si="0"/>
        <v>143.34710000000001</v>
      </c>
      <c r="H5" s="63">
        <f t="shared" si="1"/>
        <v>283.84860000000003</v>
      </c>
      <c r="I5" s="118">
        <v>1602.75</v>
      </c>
      <c r="J5" s="119">
        <v>1650.8325</v>
      </c>
      <c r="K5" s="120">
        <v>3.7698393386367184</v>
      </c>
      <c r="L5" s="121">
        <v>7.9921385119326169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5" si="12">+J5+O5</f>
        <v>1650.8325</v>
      </c>
      <c r="S5" s="62">
        <f t="shared" ref="S5:S35" si="13">+J5*K5%+O5*P5%</f>
        <v>62.233733000000008</v>
      </c>
      <c r="T5" s="63">
        <f t="shared" ref="T5:T35" si="14">+J5*L5%+O5*Q5%</f>
        <v>131.93682000000001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5">+X5*Y5%</f>
        <v>0</v>
      </c>
      <c r="AB5" s="63">
        <f t="shared" ref="AB5:AB65" si="16">+X5*Z5%</f>
        <v>0</v>
      </c>
      <c r="AC5" s="69"/>
      <c r="AD5" s="70"/>
      <c r="AE5" s="70"/>
      <c r="AF5" s="62">
        <f t="shared" ref="AF5" si="17">AC5*AD5%</f>
        <v>0</v>
      </c>
      <c r="AG5" s="63">
        <f t="shared" ref="AG5" si="18">AC5*AE5%</f>
        <v>0</v>
      </c>
      <c r="AH5" s="89">
        <v>5220</v>
      </c>
      <c r="AI5" s="66">
        <v>3.94</v>
      </c>
      <c r="AJ5" s="66">
        <v>7.98</v>
      </c>
      <c r="AK5" s="62">
        <f t="shared" ref="AK5:AK65" si="19">AH5*AI5%</f>
        <v>205.66799999999998</v>
      </c>
      <c r="AL5" s="72">
        <f t="shared" ref="AL5:AL65" si="20">AH5*AJ5%</f>
        <v>416.55600000000004</v>
      </c>
      <c r="AM5" s="73">
        <f t="shared" ref="AM5:AM21" si="21">+D5+R5-AC5-AH5</f>
        <v>-12.167499999999563</v>
      </c>
      <c r="AN5" s="74">
        <f t="shared" ref="AN5:AN21" si="22">+G5+S5-AF5-AK5</f>
        <v>-8.7166999999965356E-2</v>
      </c>
      <c r="AO5" s="74">
        <f t="shared" ref="AO5:AO21" si="23">+H5+T5-AG5-AL5</f>
        <v>-0.77057999999999538</v>
      </c>
      <c r="AP5" s="75">
        <f t="shared" ref="AP5:AP65" si="24">(AN5+AO5)/(S5+T5)</f>
        <v>-4.417492697772564E-3</v>
      </c>
      <c r="AQ5" s="76">
        <f t="shared" si="9"/>
        <v>-272.66843037730729</v>
      </c>
      <c r="AR5" s="90">
        <f t="shared" si="10"/>
        <v>-12.167499999999563</v>
      </c>
    </row>
    <row r="6" spans="1:44" x14ac:dyDescent="0.25">
      <c r="A6" t="str">
        <f t="shared" si="11"/>
        <v>46205M</v>
      </c>
      <c r="B6" s="51">
        <f>+B4+1</f>
        <v>46205</v>
      </c>
      <c r="C6" s="52" t="s">
        <v>87</v>
      </c>
      <c r="D6" s="91">
        <v>5220</v>
      </c>
      <c r="E6" s="62">
        <v>3.94</v>
      </c>
      <c r="F6" s="62">
        <v>7.98</v>
      </c>
      <c r="G6" s="62">
        <f t="shared" si="0"/>
        <v>205.66799999999998</v>
      </c>
      <c r="H6" s="63">
        <f t="shared" si="1"/>
        <v>416.55600000000004</v>
      </c>
      <c r="I6" s="118">
        <v>4494.6500000000005</v>
      </c>
      <c r="J6" s="119">
        <v>4629.4895000000006</v>
      </c>
      <c r="K6" s="120">
        <v>4.047476444217013</v>
      </c>
      <c r="L6" s="121">
        <v>7.9952309968518165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4629.4895000000006</v>
      </c>
      <c r="S6" s="62">
        <f t="shared" si="13"/>
        <v>187.37749700000001</v>
      </c>
      <c r="T6" s="63">
        <f t="shared" si="14"/>
        <v>370.13837950000021</v>
      </c>
      <c r="U6" s="64" t="s">
        <v>174</v>
      </c>
      <c r="V6" s="65" t="s">
        <v>217</v>
      </c>
      <c r="W6" s="66" t="s">
        <v>149</v>
      </c>
      <c r="X6" s="67">
        <v>3480</v>
      </c>
      <c r="Y6" s="68">
        <v>4.05</v>
      </c>
      <c r="Z6" s="68">
        <v>8.09</v>
      </c>
      <c r="AA6" s="62">
        <v>8.1</v>
      </c>
      <c r="AB6" s="63">
        <f t="shared" si="16"/>
        <v>281.53199999999998</v>
      </c>
      <c r="AC6" s="69">
        <v>3480</v>
      </c>
      <c r="AD6" s="70">
        <v>4</v>
      </c>
      <c r="AE6" s="70">
        <v>8.02</v>
      </c>
      <c r="AF6" s="62">
        <f t="shared" ref="AF6:AF65" si="25">AC6*AD6%</f>
        <v>139.20000000000002</v>
      </c>
      <c r="AG6" s="63">
        <f t="shared" ref="AG6:AG65" si="26">AC6*AE6%</f>
        <v>279.096</v>
      </c>
      <c r="AH6" s="89">
        <v>6368</v>
      </c>
      <c r="AI6" s="66">
        <v>3.9</v>
      </c>
      <c r="AJ6" s="66">
        <v>7.9</v>
      </c>
      <c r="AK6" s="62">
        <f t="shared" si="19"/>
        <v>248.352</v>
      </c>
      <c r="AL6" s="72">
        <f t="shared" si="20"/>
        <v>503.072</v>
      </c>
      <c r="AM6" s="73">
        <f t="shared" si="21"/>
        <v>1.4894999999996799</v>
      </c>
      <c r="AN6" s="74">
        <f t="shared" si="22"/>
        <v>5.4934969999999339</v>
      </c>
      <c r="AO6" s="74">
        <f t="shared" si="23"/>
        <v>4.5263795000001892</v>
      </c>
      <c r="AP6" s="75">
        <f t="shared" si="24"/>
        <v>1.7972360828364894E-2</v>
      </c>
      <c r="AQ6" s="76">
        <f t="shared" si="9"/>
        <v>3995.414466298188</v>
      </c>
      <c r="AR6" s="90">
        <f t="shared" si="10"/>
        <v>1.4894999999996799</v>
      </c>
    </row>
    <row r="7" spans="1:44" x14ac:dyDescent="0.25">
      <c r="A7" t="str">
        <f t="shared" si="11"/>
        <v>46205E</v>
      </c>
      <c r="B7" s="51">
        <f>+B5+1</f>
        <v>46205</v>
      </c>
      <c r="C7" s="52" t="s">
        <v>88</v>
      </c>
      <c r="D7" s="91">
        <v>6368</v>
      </c>
      <c r="E7" s="62">
        <v>3.9</v>
      </c>
      <c r="F7" s="62">
        <v>7.9</v>
      </c>
      <c r="G7" s="62">
        <f t="shared" si="0"/>
        <v>248.352</v>
      </c>
      <c r="H7" s="63">
        <f t="shared" si="1"/>
        <v>503.072</v>
      </c>
      <c r="I7" s="118">
        <v>3177.2000000000003</v>
      </c>
      <c r="J7" s="119">
        <v>3272.5160000000005</v>
      </c>
      <c r="K7" s="120">
        <v>4.1828654160896397</v>
      </c>
      <c r="L7" s="121">
        <v>8.1911620294598997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3272.5160000000005</v>
      </c>
      <c r="S7" s="62">
        <f t="shared" si="13"/>
        <v>136.88494000000006</v>
      </c>
      <c r="T7" s="63">
        <f t="shared" si="14"/>
        <v>268.05708799999996</v>
      </c>
      <c r="U7" s="64" t="s">
        <v>169</v>
      </c>
      <c r="V7" s="65" t="s">
        <v>218</v>
      </c>
      <c r="W7" s="66" t="s">
        <v>181</v>
      </c>
      <c r="X7" s="67">
        <v>5920</v>
      </c>
      <c r="Y7" s="68">
        <v>4.05</v>
      </c>
      <c r="Z7" s="68">
        <v>8.1</v>
      </c>
      <c r="AA7" s="62">
        <v>8.07</v>
      </c>
      <c r="AB7" s="63">
        <f t="shared" si="16"/>
        <v>479.52000000000004</v>
      </c>
      <c r="AC7" s="69">
        <v>5920</v>
      </c>
      <c r="AD7" s="70">
        <v>4</v>
      </c>
      <c r="AE7" s="70">
        <v>8.0199999999999978</v>
      </c>
      <c r="AF7" s="62">
        <f t="shared" si="25"/>
        <v>236.8</v>
      </c>
      <c r="AG7" s="63">
        <f t="shared" si="26"/>
        <v>474.78399999999988</v>
      </c>
      <c r="AH7" s="89">
        <v>3762</v>
      </c>
      <c r="AI7" s="66">
        <v>4.0999999999999996</v>
      </c>
      <c r="AJ7" s="66">
        <v>8.11</v>
      </c>
      <c r="AK7" s="62">
        <f t="shared" si="19"/>
        <v>154.24199999999999</v>
      </c>
      <c r="AL7" s="72">
        <f t="shared" si="20"/>
        <v>305.09819999999996</v>
      </c>
      <c r="AM7" s="73">
        <f t="shared" si="21"/>
        <v>-41.484000000000378</v>
      </c>
      <c r="AN7" s="74">
        <f t="shared" si="22"/>
        <v>-5.8050599999999406</v>
      </c>
      <c r="AO7" s="74">
        <f t="shared" si="23"/>
        <v>-8.7531119999999305</v>
      </c>
      <c r="AP7" s="75">
        <f t="shared" si="24"/>
        <v>-3.5951249792229197E-2</v>
      </c>
      <c r="AQ7" s="76">
        <f t="shared" si="9"/>
        <v>-5410.9993832773735</v>
      </c>
      <c r="AR7" s="90">
        <f t="shared" si="10"/>
        <v>-41.484000000000378</v>
      </c>
    </row>
    <row r="8" spans="1:44" x14ac:dyDescent="0.25">
      <c r="A8" t="str">
        <f t="shared" si="11"/>
        <v>46206M</v>
      </c>
      <c r="B8" s="51">
        <f>+B6+1</f>
        <v>46206</v>
      </c>
      <c r="C8" s="52" t="s">
        <v>87</v>
      </c>
      <c r="D8" s="91">
        <v>3762</v>
      </c>
      <c r="E8" s="62">
        <v>4.0999999999999996</v>
      </c>
      <c r="F8" s="62">
        <v>8.11</v>
      </c>
      <c r="G8" s="62">
        <f t="shared" si="0"/>
        <v>154.24199999999999</v>
      </c>
      <c r="H8" s="63">
        <f t="shared" si="1"/>
        <v>305.09819999999996</v>
      </c>
      <c r="I8" s="118">
        <v>2672.4499999999994</v>
      </c>
      <c r="J8" s="119">
        <v>2752.6234999999992</v>
      </c>
      <c r="K8" s="120">
        <v>4.1086437538588187</v>
      </c>
      <c r="L8" s="121">
        <v>8.0917659825253985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2752.6234999999992</v>
      </c>
      <c r="S8" s="62">
        <f t="shared" si="13"/>
        <v>113.09549349999996</v>
      </c>
      <c r="T8" s="63">
        <f t="shared" si="14"/>
        <v>222.73585199999994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v>0</v>
      </c>
      <c r="AB8" s="63">
        <f t="shared" si="16"/>
        <v>0</v>
      </c>
      <c r="AC8" s="69"/>
      <c r="AD8" s="70"/>
      <c r="AE8" s="70"/>
      <c r="AF8" s="62">
        <f t="shared" si="25"/>
        <v>0</v>
      </c>
      <c r="AG8" s="63">
        <f t="shared" si="26"/>
        <v>0</v>
      </c>
      <c r="AH8" s="89">
        <v>6513</v>
      </c>
      <c r="AI8" s="66">
        <v>4.0999999999999996</v>
      </c>
      <c r="AJ8" s="66">
        <v>8.09</v>
      </c>
      <c r="AK8" s="62">
        <f t="shared" si="19"/>
        <v>267.03299999999996</v>
      </c>
      <c r="AL8" s="72">
        <f t="shared" si="20"/>
        <v>526.90170000000001</v>
      </c>
      <c r="AM8" s="73">
        <f t="shared" si="21"/>
        <v>1.6234999999996944</v>
      </c>
      <c r="AN8" s="74">
        <f t="shared" si="22"/>
        <v>0.30449349999997821</v>
      </c>
      <c r="AO8" s="74">
        <f t="shared" si="23"/>
        <v>0.93235199999992346</v>
      </c>
      <c r="AP8" s="75">
        <f t="shared" si="24"/>
        <v>3.6829364398919756E-3</v>
      </c>
      <c r="AQ8" s="76">
        <f t="shared" si="9"/>
        <v>425.5501606510486</v>
      </c>
      <c r="AR8" s="90">
        <f t="shared" si="10"/>
        <v>1.6234999999996944</v>
      </c>
    </row>
    <row r="9" spans="1:44" x14ac:dyDescent="0.25">
      <c r="A9" t="str">
        <f t="shared" si="11"/>
        <v>46206E</v>
      </c>
      <c r="B9" s="51">
        <f t="shared" ref="B9:B65" si="27">+B7+1</f>
        <v>46206</v>
      </c>
      <c r="C9" s="52" t="s">
        <v>88</v>
      </c>
      <c r="D9" s="91">
        <v>6513</v>
      </c>
      <c r="E9" s="62">
        <v>4.0999999999999996</v>
      </c>
      <c r="F9" s="62">
        <v>8.09</v>
      </c>
      <c r="G9" s="62">
        <f t="shared" si="0"/>
        <v>267.03299999999996</v>
      </c>
      <c r="H9" s="63">
        <f t="shared" si="1"/>
        <v>526.90170000000001</v>
      </c>
      <c r="I9" s="118">
        <v>2361.0499999999997</v>
      </c>
      <c r="J9" s="119">
        <v>2431.8815</v>
      </c>
      <c r="K9" s="120">
        <v>3.7718832722729281</v>
      </c>
      <c r="L9" s="121">
        <v>8.0526185383621645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2431.8815</v>
      </c>
      <c r="S9" s="62">
        <f t="shared" si="13"/>
        <v>91.727731499999962</v>
      </c>
      <c r="T9" s="63">
        <f t="shared" si="14"/>
        <v>195.83014049999989</v>
      </c>
      <c r="U9" s="64" t="s">
        <v>174</v>
      </c>
      <c r="V9" s="65" t="s">
        <v>367</v>
      </c>
      <c r="W9" s="66" t="s">
        <v>182</v>
      </c>
      <c r="X9" s="67">
        <v>7130</v>
      </c>
      <c r="Y9" s="68">
        <v>4.25</v>
      </c>
      <c r="Z9" s="68">
        <v>8.26</v>
      </c>
      <c r="AA9" s="62">
        <v>0</v>
      </c>
      <c r="AB9" s="63">
        <f t="shared" si="16"/>
        <v>588.93799999999999</v>
      </c>
      <c r="AC9" s="69">
        <v>7130</v>
      </c>
      <c r="AD9" s="70">
        <v>4.0999999999999988</v>
      </c>
      <c r="AE9" s="70">
        <v>8.1</v>
      </c>
      <c r="AF9" s="62">
        <f t="shared" si="25"/>
        <v>292.32999999999993</v>
      </c>
      <c r="AG9" s="63">
        <f t="shared" si="26"/>
        <v>577.53</v>
      </c>
      <c r="AH9" s="89">
        <v>1813</v>
      </c>
      <c r="AI9" s="66">
        <v>3.8</v>
      </c>
      <c r="AJ9" s="66">
        <v>8</v>
      </c>
      <c r="AK9" s="62">
        <f t="shared" si="19"/>
        <v>68.893999999999991</v>
      </c>
      <c r="AL9" s="72">
        <f t="shared" si="20"/>
        <v>145.04</v>
      </c>
      <c r="AM9" s="73">
        <f t="shared" si="21"/>
        <v>1.8814999999995052</v>
      </c>
      <c r="AN9" s="74">
        <f t="shared" si="22"/>
        <v>-2.4632685000000123</v>
      </c>
      <c r="AO9" s="74">
        <f t="shared" si="23"/>
        <v>0.16184049999989725</v>
      </c>
      <c r="AP9" s="75">
        <f t="shared" si="24"/>
        <v>-8.0033559296895755E-3</v>
      </c>
      <c r="AQ9" s="76">
        <f t="shared" si="9"/>
        <v>-1135.2108958719548</v>
      </c>
      <c r="AR9" s="90">
        <f t="shared" si="10"/>
        <v>1.8814999999995052</v>
      </c>
    </row>
    <row r="10" spans="1:44" x14ac:dyDescent="0.25">
      <c r="A10" t="str">
        <f t="shared" si="11"/>
        <v>46207M</v>
      </c>
      <c r="B10" s="51">
        <f t="shared" si="27"/>
        <v>46207</v>
      </c>
      <c r="C10" s="52" t="s">
        <v>87</v>
      </c>
      <c r="D10" s="91">
        <v>1813</v>
      </c>
      <c r="E10" s="62">
        <v>3.8</v>
      </c>
      <c r="F10" s="62">
        <v>8</v>
      </c>
      <c r="G10" s="62">
        <f t="shared" si="0"/>
        <v>68.893999999999991</v>
      </c>
      <c r="H10" s="63">
        <f t="shared" si="1"/>
        <v>145.04</v>
      </c>
      <c r="I10" s="118">
        <v>1814.4499999999998</v>
      </c>
      <c r="J10" s="119">
        <v>1868.8834999999999</v>
      </c>
      <c r="K10" s="120">
        <v>4.1455895725977578</v>
      </c>
      <c r="L10" s="121">
        <v>8.0331202292705761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1868.8834999999999</v>
      </c>
      <c r="S10" s="62">
        <f t="shared" si="13"/>
        <v>77.476239500000005</v>
      </c>
      <c r="T10" s="63">
        <f t="shared" si="14"/>
        <v>150.12965849999998</v>
      </c>
      <c r="U10" s="64" t="s">
        <v>169</v>
      </c>
      <c r="V10" s="65" t="s">
        <v>368</v>
      </c>
      <c r="W10" s="66" t="s">
        <v>369</v>
      </c>
      <c r="X10" s="67">
        <v>2950</v>
      </c>
      <c r="Y10" s="68">
        <v>4.05</v>
      </c>
      <c r="Z10" s="68">
        <v>8.2200000000000006</v>
      </c>
      <c r="AA10" s="62">
        <v>7.94</v>
      </c>
      <c r="AB10" s="63">
        <f t="shared" si="16"/>
        <v>242.49000000000004</v>
      </c>
      <c r="AC10" s="69">
        <v>2970</v>
      </c>
      <c r="AD10" s="70">
        <v>4</v>
      </c>
      <c r="AE10" s="70">
        <v>8.2100000000000009</v>
      </c>
      <c r="AF10" s="62">
        <f t="shared" si="25"/>
        <v>118.8</v>
      </c>
      <c r="AG10" s="63">
        <f t="shared" si="26"/>
        <v>243.83700000000002</v>
      </c>
      <c r="AH10" s="89">
        <v>731</v>
      </c>
      <c r="AI10" s="66">
        <v>3.8</v>
      </c>
      <c r="AJ10" s="66">
        <v>8</v>
      </c>
      <c r="AK10" s="62">
        <f t="shared" si="19"/>
        <v>27.777999999999999</v>
      </c>
      <c r="AL10" s="72">
        <f t="shared" si="20"/>
        <v>58.480000000000004</v>
      </c>
      <c r="AM10" s="73">
        <f t="shared" si="21"/>
        <v>-19.116500000000087</v>
      </c>
      <c r="AN10" s="74">
        <f t="shared" si="22"/>
        <v>-0.20776049999999913</v>
      </c>
      <c r="AO10" s="74">
        <f t="shared" si="23"/>
        <v>-7.1473415000000529</v>
      </c>
      <c r="AP10" s="75">
        <f t="shared" si="24"/>
        <v>-3.2315076474863813E-2</v>
      </c>
      <c r="AQ10" s="76">
        <f t="shared" si="9"/>
        <v>-2240.4008320750545</v>
      </c>
      <c r="AR10" s="90">
        <f t="shared" si="10"/>
        <v>0.88349999999991269</v>
      </c>
    </row>
    <row r="11" spans="1:44" x14ac:dyDescent="0.25">
      <c r="A11" t="str">
        <f t="shared" si="11"/>
        <v>46207E</v>
      </c>
      <c r="B11" s="51">
        <f t="shared" si="27"/>
        <v>46207</v>
      </c>
      <c r="C11" s="52" t="s">
        <v>88</v>
      </c>
      <c r="D11" s="91">
        <v>731</v>
      </c>
      <c r="E11" s="62">
        <v>3.8</v>
      </c>
      <c r="F11" s="62">
        <v>8</v>
      </c>
      <c r="G11" s="62">
        <f t="shared" si="0"/>
        <v>27.777999999999999</v>
      </c>
      <c r="H11" s="63">
        <f t="shared" si="1"/>
        <v>58.480000000000004</v>
      </c>
      <c r="I11" s="118">
        <v>2066.1000000000004</v>
      </c>
      <c r="J11" s="119">
        <v>2128.0830000000005</v>
      </c>
      <c r="K11" s="120">
        <v>3.6418832583127636</v>
      </c>
      <c r="L11" s="121">
        <v>8.0142829485504059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2128.0830000000005</v>
      </c>
      <c r="S11" s="62">
        <f t="shared" si="13"/>
        <v>77.502298500000023</v>
      </c>
      <c r="T11" s="63">
        <f t="shared" si="14"/>
        <v>170.55059299999996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v>0</v>
      </c>
      <c r="AB11" s="63">
        <f t="shared" si="16"/>
        <v>0</v>
      </c>
      <c r="AC11" s="69"/>
      <c r="AD11" s="70"/>
      <c r="AE11" s="70"/>
      <c r="AF11" s="62">
        <f t="shared" si="25"/>
        <v>0</v>
      </c>
      <c r="AG11" s="63">
        <f t="shared" si="26"/>
        <v>0</v>
      </c>
      <c r="AH11" s="89">
        <v>2857</v>
      </c>
      <c r="AI11" s="66">
        <v>3.67</v>
      </c>
      <c r="AJ11" s="66">
        <v>8</v>
      </c>
      <c r="AK11" s="62">
        <f t="shared" si="19"/>
        <v>104.85189999999999</v>
      </c>
      <c r="AL11" s="72">
        <f t="shared" si="20"/>
        <v>228.56</v>
      </c>
      <c r="AM11" s="73">
        <f t="shared" si="21"/>
        <v>2.0830000000005384</v>
      </c>
      <c r="AN11" s="74">
        <f t="shared" si="22"/>
        <v>0.42839850000002855</v>
      </c>
      <c r="AO11" s="74">
        <f t="shared" si="23"/>
        <v>0.47059299999995119</v>
      </c>
      <c r="AP11" s="75">
        <f t="shared" si="24"/>
        <v>3.6241927863194441E-3</v>
      </c>
      <c r="AQ11" s="76">
        <f t="shared" si="9"/>
        <v>346.79783613054701</v>
      </c>
      <c r="AR11" s="90">
        <f t="shared" si="10"/>
        <v>2.0830000000005384</v>
      </c>
    </row>
    <row r="12" spans="1:44" x14ac:dyDescent="0.25">
      <c r="A12" t="str">
        <f t="shared" si="11"/>
        <v>46208M</v>
      </c>
      <c r="B12" s="51">
        <f t="shared" si="27"/>
        <v>46208</v>
      </c>
      <c r="C12" s="52" t="s">
        <v>87</v>
      </c>
      <c r="D12" s="91">
        <v>2857</v>
      </c>
      <c r="E12" s="62">
        <v>3.67</v>
      </c>
      <c r="F12" s="62">
        <v>8</v>
      </c>
      <c r="G12" s="62">
        <f t="shared" si="0"/>
        <v>104.85189999999999</v>
      </c>
      <c r="H12" s="63">
        <f t="shared" si="1"/>
        <v>228.56</v>
      </c>
      <c r="I12" s="118">
        <v>3369.4500000000003</v>
      </c>
      <c r="J12" s="119">
        <v>3470.5335000000005</v>
      </c>
      <c r="K12" s="120">
        <v>3.4361067830061285</v>
      </c>
      <c r="L12" s="121">
        <v>8.0040451705768003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3470.5335000000005</v>
      </c>
      <c r="S12" s="62">
        <f t="shared" si="13"/>
        <v>119.25123700000002</v>
      </c>
      <c r="T12" s="63">
        <f t="shared" si="14"/>
        <v>277.78306900000001</v>
      </c>
      <c r="U12" s="64" t="s">
        <v>169</v>
      </c>
      <c r="V12" s="65" t="s">
        <v>370</v>
      </c>
      <c r="W12" s="66" t="s">
        <v>182</v>
      </c>
      <c r="X12" s="67">
        <v>5920</v>
      </c>
      <c r="Y12" s="68">
        <v>3.7</v>
      </c>
      <c r="Z12" s="68">
        <v>8.15</v>
      </c>
      <c r="AA12" s="62">
        <v>8.16</v>
      </c>
      <c r="AB12" s="63">
        <f t="shared" si="16"/>
        <v>482.48</v>
      </c>
      <c r="AC12" s="69">
        <v>5930</v>
      </c>
      <c r="AD12" s="70">
        <v>3.6000000000000005</v>
      </c>
      <c r="AE12" s="70">
        <v>8.1300000000000008</v>
      </c>
      <c r="AF12" s="62">
        <f t="shared" si="25"/>
        <v>213.48000000000002</v>
      </c>
      <c r="AG12" s="63">
        <f t="shared" si="26"/>
        <v>482.10900000000009</v>
      </c>
      <c r="AH12" s="89">
        <v>406</v>
      </c>
      <c r="AI12" s="66">
        <v>3</v>
      </c>
      <c r="AJ12" s="66">
        <v>8</v>
      </c>
      <c r="AK12" s="62">
        <f t="shared" si="19"/>
        <v>12.18</v>
      </c>
      <c r="AL12" s="72">
        <f t="shared" si="20"/>
        <v>32.480000000000004</v>
      </c>
      <c r="AM12" s="73">
        <f t="shared" si="21"/>
        <v>-8.4664999999995416</v>
      </c>
      <c r="AN12" s="74">
        <f t="shared" si="22"/>
        <v>-1.5568630000000141</v>
      </c>
      <c r="AO12" s="74">
        <f t="shared" si="23"/>
        <v>-8.2459310000000841</v>
      </c>
      <c r="AP12" s="75">
        <f t="shared" si="24"/>
        <v>-2.4690042779326224E-2</v>
      </c>
      <c r="AQ12" s="76">
        <f t="shared" si="9"/>
        <v>-3217.7062668341205</v>
      </c>
      <c r="AR12" s="90">
        <f t="shared" si="10"/>
        <v>1.5335000000004584</v>
      </c>
    </row>
    <row r="13" spans="1:44" x14ac:dyDescent="0.25">
      <c r="A13" t="str">
        <f t="shared" si="11"/>
        <v>46208E</v>
      </c>
      <c r="B13" s="51">
        <f t="shared" si="27"/>
        <v>46208</v>
      </c>
      <c r="C13" s="52" t="s">
        <v>88</v>
      </c>
      <c r="D13" s="91">
        <v>406</v>
      </c>
      <c r="E13" s="62">
        <v>3</v>
      </c>
      <c r="F13" s="62">
        <v>8</v>
      </c>
      <c r="G13" s="62">
        <f t="shared" si="0"/>
        <v>12.18</v>
      </c>
      <c r="H13" s="63">
        <f t="shared" si="1"/>
        <v>32.480000000000004</v>
      </c>
      <c r="I13" s="118">
        <v>1557.55</v>
      </c>
      <c r="J13" s="119">
        <v>1604.2764999999999</v>
      </c>
      <c r="K13" s="120">
        <v>3.7134987640846218</v>
      </c>
      <c r="L13" s="121">
        <v>7.9661680202882765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1604.2764999999999</v>
      </c>
      <c r="S13" s="62">
        <f t="shared" si="13"/>
        <v>59.574788000000026</v>
      </c>
      <c r="T13" s="63">
        <f t="shared" si="14"/>
        <v>127.79936150000005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v>8.26</v>
      </c>
      <c r="AB13" s="63">
        <f t="shared" si="16"/>
        <v>0</v>
      </c>
      <c r="AC13" s="69"/>
      <c r="AD13" s="70"/>
      <c r="AE13" s="70"/>
      <c r="AF13" s="62">
        <f t="shared" si="25"/>
        <v>0</v>
      </c>
      <c r="AG13" s="63">
        <f t="shared" si="26"/>
        <v>0</v>
      </c>
      <c r="AH13" s="89">
        <v>2009</v>
      </c>
      <c r="AI13" s="66">
        <v>3.55</v>
      </c>
      <c r="AJ13" s="66">
        <v>7.96</v>
      </c>
      <c r="AK13" s="62">
        <f t="shared" si="19"/>
        <v>71.319499999999991</v>
      </c>
      <c r="AL13" s="72">
        <f t="shared" si="20"/>
        <v>159.91640000000001</v>
      </c>
      <c r="AM13" s="73">
        <f t="shared" si="21"/>
        <v>1.2764999999999418</v>
      </c>
      <c r="AN13" s="74">
        <f t="shared" si="22"/>
        <v>0.43528800000002832</v>
      </c>
      <c r="AO13" s="74">
        <f t="shared" si="23"/>
        <v>0.3629615000000399</v>
      </c>
      <c r="AP13" s="75">
        <f t="shared" si="24"/>
        <v>4.2601901176344921E-3</v>
      </c>
      <c r="AQ13" s="76">
        <f t="shared" si="9"/>
        <v>317.87378904979016</v>
      </c>
      <c r="AR13" s="90">
        <f t="shared" si="10"/>
        <v>1.2764999999999418</v>
      </c>
    </row>
    <row r="14" spans="1:44" x14ac:dyDescent="0.25">
      <c r="A14" t="str">
        <f t="shared" si="11"/>
        <v>46209M</v>
      </c>
      <c r="B14" s="51">
        <f t="shared" si="27"/>
        <v>46209</v>
      </c>
      <c r="C14" s="52" t="s">
        <v>87</v>
      </c>
      <c r="D14" s="91">
        <v>2009</v>
      </c>
      <c r="E14" s="62">
        <v>3.55</v>
      </c>
      <c r="F14" s="62">
        <v>7.96</v>
      </c>
      <c r="G14" s="62">
        <f t="shared" si="0"/>
        <v>71.319499999999991</v>
      </c>
      <c r="H14" s="63">
        <f t="shared" si="1"/>
        <v>159.91640000000001</v>
      </c>
      <c r="I14" s="118">
        <v>2846.9</v>
      </c>
      <c r="J14" s="119">
        <v>2932.3070000000002</v>
      </c>
      <c r="K14" s="120">
        <v>4.0095208823632751</v>
      </c>
      <c r="L14" s="121">
        <v>7.9214215462432849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2932.3070000000002</v>
      </c>
      <c r="S14" s="62">
        <f t="shared" si="13"/>
        <v>117.5714615000001</v>
      </c>
      <c r="T14" s="63">
        <f t="shared" si="14"/>
        <v>232.2803985000001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v>0</v>
      </c>
      <c r="AB14" s="63">
        <f t="shared" si="16"/>
        <v>0</v>
      </c>
      <c r="AC14" s="69"/>
      <c r="AD14" s="70"/>
      <c r="AE14" s="70"/>
      <c r="AF14" s="62">
        <f t="shared" si="25"/>
        <v>0</v>
      </c>
      <c r="AG14" s="63">
        <f t="shared" si="26"/>
        <v>0</v>
      </c>
      <c r="AH14" s="89">
        <v>4940</v>
      </c>
      <c r="AI14" s="66">
        <v>3.81</v>
      </c>
      <c r="AJ14" s="66">
        <v>7.93</v>
      </c>
      <c r="AK14" s="62">
        <f t="shared" si="19"/>
        <v>188.214</v>
      </c>
      <c r="AL14" s="72">
        <f t="shared" si="20"/>
        <v>391.74199999999996</v>
      </c>
      <c r="AM14" s="73">
        <f t="shared" si="21"/>
        <v>1.3070000000006985</v>
      </c>
      <c r="AN14" s="74">
        <f t="shared" si="22"/>
        <v>0.6769615000000897</v>
      </c>
      <c r="AO14" s="74">
        <f t="shared" si="23"/>
        <v>0.45479850000015176</v>
      </c>
      <c r="AP14" s="75">
        <f t="shared" si="24"/>
        <v>3.2349692238315977E-3</v>
      </c>
      <c r="AQ14" s="76">
        <f t="shared" si="9"/>
        <v>461.51013532854483</v>
      </c>
      <c r="AR14" s="90">
        <f t="shared" si="10"/>
        <v>1.3070000000006985</v>
      </c>
    </row>
    <row r="15" spans="1:44" x14ac:dyDescent="0.25">
      <c r="A15" t="str">
        <f t="shared" si="11"/>
        <v>46209E</v>
      </c>
      <c r="B15" s="51">
        <f t="shared" si="27"/>
        <v>46209</v>
      </c>
      <c r="C15" s="52" t="s">
        <v>88</v>
      </c>
      <c r="D15" s="91">
        <v>4940</v>
      </c>
      <c r="E15" s="62">
        <v>3.81</v>
      </c>
      <c r="F15" s="62">
        <v>7.93</v>
      </c>
      <c r="G15" s="62">
        <f t="shared" si="0"/>
        <v>188.214</v>
      </c>
      <c r="H15" s="63">
        <f t="shared" si="1"/>
        <v>391.74199999999996</v>
      </c>
      <c r="I15" s="118">
        <v>1570.7499999999998</v>
      </c>
      <c r="J15" s="119">
        <v>1617.8724999999997</v>
      </c>
      <c r="K15" s="120">
        <v>3.8146331370364468</v>
      </c>
      <c r="L15" s="121">
        <v>7.9903612923762539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1617.8724999999997</v>
      </c>
      <c r="S15" s="62">
        <f t="shared" si="13"/>
        <v>61.715900499999975</v>
      </c>
      <c r="T15" s="63">
        <f t="shared" si="14"/>
        <v>129.27385799999999</v>
      </c>
      <c r="U15" s="64" t="s">
        <v>169</v>
      </c>
      <c r="V15" s="65" t="s">
        <v>371</v>
      </c>
      <c r="W15" s="66" t="s">
        <v>182</v>
      </c>
      <c r="X15" s="67">
        <v>5920</v>
      </c>
      <c r="Y15" s="68">
        <v>4.0999999999999996</v>
      </c>
      <c r="Z15" s="68">
        <v>8.11</v>
      </c>
      <c r="AA15" s="62">
        <v>0</v>
      </c>
      <c r="AB15" s="63">
        <f t="shared" si="16"/>
        <v>480.11199999999997</v>
      </c>
      <c r="AC15" s="69">
        <v>5510</v>
      </c>
      <c r="AD15" s="70">
        <v>4</v>
      </c>
      <c r="AE15" s="70">
        <v>8.08</v>
      </c>
      <c r="AF15" s="62">
        <f t="shared" si="25"/>
        <v>220.4</v>
      </c>
      <c r="AG15" s="63">
        <f t="shared" si="26"/>
        <v>445.20799999999997</v>
      </c>
      <c r="AH15" s="89">
        <v>636</v>
      </c>
      <c r="AI15" s="66">
        <v>3.8</v>
      </c>
      <c r="AJ15" s="66">
        <v>8</v>
      </c>
      <c r="AK15" s="62">
        <f t="shared" si="19"/>
        <v>24.167999999999999</v>
      </c>
      <c r="AL15" s="72">
        <f t="shared" si="20"/>
        <v>50.88</v>
      </c>
      <c r="AM15" s="73">
        <f t="shared" si="21"/>
        <v>411.87249999999949</v>
      </c>
      <c r="AN15" s="74">
        <f t="shared" si="22"/>
        <v>5.3619004999999689</v>
      </c>
      <c r="AO15" s="74">
        <f t="shared" si="23"/>
        <v>24.927858000000008</v>
      </c>
      <c r="AP15" s="75">
        <f t="shared" si="24"/>
        <v>0.1585936268933498</v>
      </c>
      <c r="AQ15" s="76">
        <f t="shared" si="9"/>
        <v>10042.239251414825</v>
      </c>
      <c r="AR15" s="90">
        <f t="shared" si="10"/>
        <v>1.8724999999994907</v>
      </c>
    </row>
    <row r="16" spans="1:44" x14ac:dyDescent="0.25">
      <c r="A16" t="str">
        <f t="shared" si="11"/>
        <v>46210M</v>
      </c>
      <c r="B16" s="51">
        <f t="shared" si="27"/>
        <v>46210</v>
      </c>
      <c r="C16" s="52" t="s">
        <v>87</v>
      </c>
      <c r="D16" s="91">
        <v>636</v>
      </c>
      <c r="E16" s="62">
        <v>3.8</v>
      </c>
      <c r="F16" s="62">
        <v>8</v>
      </c>
      <c r="G16" s="62">
        <f t="shared" ref="G16:G43" si="28">+D16*E16%</f>
        <v>24.167999999999999</v>
      </c>
      <c r="H16" s="63">
        <f t="shared" ref="H16:H43" si="29">+D16*F16%</f>
        <v>50.88</v>
      </c>
      <c r="I16" s="118">
        <v>1910.2499999999998</v>
      </c>
      <c r="J16" s="119">
        <v>1967.5574999999999</v>
      </c>
      <c r="K16" s="120">
        <v>3.7739798455699534</v>
      </c>
      <c r="L16" s="121">
        <v>7.9959664965318655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1967.5574999999999</v>
      </c>
      <c r="S16" s="62">
        <f t="shared" si="13"/>
        <v>74.255223500000028</v>
      </c>
      <c r="T16" s="63">
        <f t="shared" si="14"/>
        <v>157.32523849999995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v>8.3800000000000008</v>
      </c>
      <c r="AB16" s="63">
        <f t="shared" si="16"/>
        <v>0</v>
      </c>
      <c r="AC16" s="69"/>
      <c r="AD16" s="70"/>
      <c r="AE16" s="70"/>
      <c r="AF16" s="62">
        <f t="shared" si="25"/>
        <v>0</v>
      </c>
      <c r="AG16" s="63">
        <f t="shared" si="26"/>
        <v>0</v>
      </c>
      <c r="AH16" s="89">
        <v>2602</v>
      </c>
      <c r="AI16" s="66">
        <v>3.77</v>
      </c>
      <c r="AJ16" s="66">
        <v>7.99</v>
      </c>
      <c r="AK16" s="62">
        <f t="shared" si="19"/>
        <v>98.095399999999998</v>
      </c>
      <c r="AL16" s="72">
        <f t="shared" si="20"/>
        <v>207.8998</v>
      </c>
      <c r="AM16" s="73">
        <f t="shared" si="21"/>
        <v>1.5574999999998909</v>
      </c>
      <c r="AN16" s="74">
        <f t="shared" si="22"/>
        <v>0.32782350000003646</v>
      </c>
      <c r="AO16" s="74">
        <f t="shared" si="23"/>
        <v>0.30543849999995132</v>
      </c>
      <c r="AP16" s="75">
        <f t="shared" si="24"/>
        <v>2.7345225695248323E-3</v>
      </c>
      <c r="AQ16" s="76">
        <f t="shared" si="9"/>
        <v>249.00597281355149</v>
      </c>
      <c r="AR16" s="90">
        <f t="shared" si="10"/>
        <v>1.5574999999998909</v>
      </c>
    </row>
    <row r="17" spans="1:49" x14ac:dyDescent="0.25">
      <c r="A17" t="str">
        <f t="shared" si="11"/>
        <v>46210E</v>
      </c>
      <c r="B17" s="51">
        <f t="shared" si="27"/>
        <v>46210</v>
      </c>
      <c r="C17" s="52" t="s">
        <v>88</v>
      </c>
      <c r="D17" s="91">
        <v>2602</v>
      </c>
      <c r="E17" s="62">
        <v>3.77</v>
      </c>
      <c r="F17" s="62">
        <v>7.99</v>
      </c>
      <c r="G17" s="62">
        <f>+D17*E17%</f>
        <v>98.095399999999998</v>
      </c>
      <c r="H17" s="63">
        <f>+D17*F17%</f>
        <v>207.8998</v>
      </c>
      <c r="I17" s="118">
        <v>2139.65</v>
      </c>
      <c r="J17" s="119">
        <v>2203.8395</v>
      </c>
      <c r="K17" s="120">
        <v>3.8696211997289267</v>
      </c>
      <c r="L17" s="121">
        <v>8.0665459304091751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2203.8395</v>
      </c>
      <c r="S17" s="62">
        <f t="shared" si="13"/>
        <v>85.280240499999977</v>
      </c>
      <c r="T17" s="63">
        <f t="shared" si="14"/>
        <v>177.7737254999999</v>
      </c>
      <c r="U17" s="64" t="s">
        <v>169</v>
      </c>
      <c r="V17" s="65" t="s">
        <v>372</v>
      </c>
      <c r="W17" s="66" t="s">
        <v>181</v>
      </c>
      <c r="X17" s="67">
        <v>2950</v>
      </c>
      <c r="Y17" s="68">
        <v>4.0999999999999996</v>
      </c>
      <c r="Z17" s="68">
        <v>8.23</v>
      </c>
      <c r="AA17" s="62">
        <v>0</v>
      </c>
      <c r="AB17" s="63">
        <f t="shared" si="16"/>
        <v>242.785</v>
      </c>
      <c r="AC17" s="69">
        <v>2970</v>
      </c>
      <c r="AD17" s="70">
        <v>3.85</v>
      </c>
      <c r="AE17" s="70">
        <v>7.93</v>
      </c>
      <c r="AF17" s="62">
        <f t="shared" si="25"/>
        <v>114.345</v>
      </c>
      <c r="AG17" s="63">
        <f t="shared" si="26"/>
        <v>235.52099999999999</v>
      </c>
      <c r="AH17" s="89">
        <v>1854</v>
      </c>
      <c r="AI17" s="66">
        <v>3.8</v>
      </c>
      <c r="AJ17" s="66">
        <v>8</v>
      </c>
      <c r="AK17" s="62">
        <f t="shared" si="19"/>
        <v>70.451999999999998</v>
      </c>
      <c r="AL17" s="72">
        <f t="shared" si="20"/>
        <v>148.32</v>
      </c>
      <c r="AM17" s="73">
        <f t="shared" si="21"/>
        <v>-18.160499999999956</v>
      </c>
      <c r="AN17" s="74">
        <f t="shared" si="22"/>
        <v>-1.4213595000000225</v>
      </c>
      <c r="AO17" s="74">
        <f t="shared" si="23"/>
        <v>1.832525499999889</v>
      </c>
      <c r="AP17" s="75">
        <f t="shared" si="24"/>
        <v>1.5630480933325546E-3</v>
      </c>
      <c r="AQ17" s="76">
        <f t="shared" si="9"/>
        <v>-134.18442674982487</v>
      </c>
      <c r="AR17" s="90">
        <f t="shared" si="10"/>
        <v>1.8395000000000437</v>
      </c>
    </row>
    <row r="18" spans="1:49" x14ac:dyDescent="0.25">
      <c r="A18" t="str">
        <f t="shared" si="11"/>
        <v>46211M</v>
      </c>
      <c r="B18" s="51">
        <f t="shared" si="27"/>
        <v>46211</v>
      </c>
      <c r="C18" s="52" t="s">
        <v>87</v>
      </c>
      <c r="D18" s="91">
        <v>1854</v>
      </c>
      <c r="E18" s="62">
        <v>3.8</v>
      </c>
      <c r="F18" s="62">
        <v>8</v>
      </c>
      <c r="G18" s="62">
        <f t="shared" si="28"/>
        <v>70.451999999999998</v>
      </c>
      <c r="H18" s="63">
        <f t="shared" si="29"/>
        <v>148.32</v>
      </c>
      <c r="I18" s="118">
        <v>3153.4</v>
      </c>
      <c r="J18" s="119">
        <v>3248.002</v>
      </c>
      <c r="K18" s="120">
        <v>3.9360801040147142</v>
      </c>
      <c r="L18" s="121">
        <v>8.0239550960867678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3248.002</v>
      </c>
      <c r="S18" s="62">
        <f t="shared" si="13"/>
        <v>127.84396049999999</v>
      </c>
      <c r="T18" s="63">
        <f t="shared" si="14"/>
        <v>260.61822200000017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v>8.3000000000000007</v>
      </c>
      <c r="AB18" s="63">
        <f t="shared" si="16"/>
        <v>0</v>
      </c>
      <c r="AC18" s="69"/>
      <c r="AD18" s="70"/>
      <c r="AE18" s="70"/>
      <c r="AF18" s="62">
        <f t="shared" si="25"/>
        <v>0</v>
      </c>
      <c r="AG18" s="63">
        <f t="shared" si="26"/>
        <v>0</v>
      </c>
      <c r="AH18" s="89">
        <v>5100</v>
      </c>
      <c r="AI18" s="66">
        <v>3.87</v>
      </c>
      <c r="AJ18" s="66">
        <v>8</v>
      </c>
      <c r="AK18" s="62">
        <f t="shared" si="19"/>
        <v>197.37</v>
      </c>
      <c r="AL18" s="72">
        <f t="shared" si="20"/>
        <v>408</v>
      </c>
      <c r="AM18" s="73">
        <f t="shared" si="21"/>
        <v>2.0020000000004075</v>
      </c>
      <c r="AN18" s="74">
        <f t="shared" si="22"/>
        <v>0.92596049999997376</v>
      </c>
      <c r="AO18" s="74">
        <f t="shared" si="23"/>
        <v>0.93822200000016664</v>
      </c>
      <c r="AP18" s="75">
        <f t="shared" si="24"/>
        <v>4.7988776874056194E-3</v>
      </c>
      <c r="AQ18" s="76">
        <f t="shared" si="9"/>
        <v>725.94329342288597</v>
      </c>
      <c r="AR18" s="90">
        <f t="shared" si="10"/>
        <v>2.0020000000004075</v>
      </c>
    </row>
    <row r="19" spans="1:49" x14ac:dyDescent="0.25">
      <c r="A19" t="str">
        <f t="shared" si="11"/>
        <v>46211E</v>
      </c>
      <c r="B19" s="51">
        <f t="shared" si="27"/>
        <v>46211</v>
      </c>
      <c r="C19" s="52" t="s">
        <v>88</v>
      </c>
      <c r="D19" s="91">
        <v>5100</v>
      </c>
      <c r="E19" s="62">
        <v>3.87</v>
      </c>
      <c r="F19" s="62">
        <v>8</v>
      </c>
      <c r="G19" s="62">
        <f t="shared" si="28"/>
        <v>197.37</v>
      </c>
      <c r="H19" s="63">
        <f t="shared" si="29"/>
        <v>408</v>
      </c>
      <c r="I19" s="118">
        <v>1610.8500000000004</v>
      </c>
      <c r="J19" s="119">
        <v>1659.1755000000005</v>
      </c>
      <c r="K19" s="120">
        <v>3.7958313933637515</v>
      </c>
      <c r="L19" s="121">
        <v>8.0316509917124481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1659.1755000000005</v>
      </c>
      <c r="S19" s="62">
        <f t="shared" si="13"/>
        <v>62.979504500000012</v>
      </c>
      <c r="T19" s="63">
        <f t="shared" si="14"/>
        <v>133.2591855</v>
      </c>
      <c r="U19" s="64" t="s">
        <v>169</v>
      </c>
      <c r="V19" s="65" t="s">
        <v>373</v>
      </c>
      <c r="W19" s="66" t="s">
        <v>182</v>
      </c>
      <c r="X19" s="67">
        <v>5920</v>
      </c>
      <c r="Y19" s="68">
        <v>3.5</v>
      </c>
      <c r="Z19" s="68">
        <v>8.24</v>
      </c>
      <c r="AA19" s="62">
        <v>0</v>
      </c>
      <c r="AB19" s="63">
        <f t="shared" si="16"/>
        <v>487.80799999999999</v>
      </c>
      <c r="AC19" s="69">
        <v>5920</v>
      </c>
      <c r="AD19" s="70">
        <v>3.5</v>
      </c>
      <c r="AE19" s="70">
        <v>8.23</v>
      </c>
      <c r="AF19" s="62">
        <f t="shared" si="25"/>
        <v>207.20000000000002</v>
      </c>
      <c r="AG19" s="63">
        <f t="shared" si="26"/>
        <v>487.21600000000001</v>
      </c>
      <c r="AH19" s="89">
        <v>837</v>
      </c>
      <c r="AI19" s="66">
        <v>3.95</v>
      </c>
      <c r="AJ19" s="66">
        <v>8</v>
      </c>
      <c r="AK19" s="62">
        <f t="shared" si="19"/>
        <v>33.061500000000002</v>
      </c>
      <c r="AL19" s="72">
        <f t="shared" si="20"/>
        <v>66.960000000000008</v>
      </c>
      <c r="AM19" s="73">
        <f t="shared" si="21"/>
        <v>2.1755000000002838</v>
      </c>
      <c r="AN19" s="74">
        <f t="shared" si="22"/>
        <v>20.088004500000004</v>
      </c>
      <c r="AO19" s="74">
        <f t="shared" si="23"/>
        <v>-12.916814499999958</v>
      </c>
      <c r="AP19" s="75">
        <f t="shared" si="24"/>
        <v>3.6543201547054989E-2</v>
      </c>
      <c r="AQ19" s="76">
        <f t="shared" si="9"/>
        <v>5784.4690043285518</v>
      </c>
      <c r="AR19" s="90">
        <f t="shared" si="10"/>
        <v>2.1755000000002838</v>
      </c>
    </row>
    <row r="20" spans="1:49" x14ac:dyDescent="0.25">
      <c r="A20" t="str">
        <f t="shared" si="11"/>
        <v>46212M</v>
      </c>
      <c r="B20" s="51">
        <f t="shared" si="27"/>
        <v>46212</v>
      </c>
      <c r="C20" s="52" t="s">
        <v>87</v>
      </c>
      <c r="D20" s="91">
        <v>837</v>
      </c>
      <c r="E20" s="62">
        <v>3.95</v>
      </c>
      <c r="F20" s="62">
        <v>8</v>
      </c>
      <c r="G20" s="62">
        <f t="shared" si="28"/>
        <v>33.061500000000002</v>
      </c>
      <c r="H20" s="63">
        <f t="shared" si="29"/>
        <v>66.960000000000008</v>
      </c>
      <c r="I20" s="118">
        <v>1931.4500000000003</v>
      </c>
      <c r="J20" s="119">
        <v>1989.3935000000004</v>
      </c>
      <c r="K20" s="120">
        <v>4.1250097077325316</v>
      </c>
      <c r="L20" s="121">
        <v>8.0874187786378116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1989.3935000000004</v>
      </c>
      <c r="S20" s="62">
        <f t="shared" si="13"/>
        <v>82.062674999999999</v>
      </c>
      <c r="T20" s="63">
        <f t="shared" si="14"/>
        <v>160.89058350000005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25"/>
        <v>0</v>
      </c>
      <c r="AG20" s="63">
        <f t="shared" si="26"/>
        <v>0</v>
      </c>
      <c r="AH20" s="89">
        <v>2825</v>
      </c>
      <c r="AI20" s="66">
        <v>4.07</v>
      </c>
      <c r="AJ20" s="66">
        <v>8.0500000000000007</v>
      </c>
      <c r="AK20" s="62">
        <f t="shared" si="19"/>
        <v>114.97750000000001</v>
      </c>
      <c r="AL20" s="72">
        <f t="shared" si="20"/>
        <v>227.41249999999999</v>
      </c>
      <c r="AM20" s="73">
        <f t="shared" si="21"/>
        <v>1.393500000000131</v>
      </c>
      <c r="AN20" s="74">
        <f t="shared" si="22"/>
        <v>0.14667500000000189</v>
      </c>
      <c r="AO20" s="74">
        <f t="shared" si="23"/>
        <v>0.43808350000006158</v>
      </c>
      <c r="AP20" s="75">
        <f t="shared" si="24"/>
        <v>2.4068765474082468E-3</v>
      </c>
      <c r="AQ20" s="76">
        <f t="shared" si="9"/>
        <v>201.6842194538047</v>
      </c>
      <c r="AR20" s="90">
        <f t="shared" si="10"/>
        <v>1.393500000000131</v>
      </c>
    </row>
    <row r="21" spans="1:49" x14ac:dyDescent="0.25">
      <c r="A21" t="str">
        <f t="shared" si="11"/>
        <v>46212E</v>
      </c>
      <c r="B21" s="51">
        <f t="shared" si="27"/>
        <v>46212</v>
      </c>
      <c r="C21" s="52" t="s">
        <v>88</v>
      </c>
      <c r="D21" s="91">
        <v>2825</v>
      </c>
      <c r="E21" s="62">
        <v>4.07</v>
      </c>
      <c r="F21" s="62">
        <v>8.0500000000000007</v>
      </c>
      <c r="G21" s="62">
        <f t="shared" si="28"/>
        <v>114.97750000000001</v>
      </c>
      <c r="H21" s="63">
        <f t="shared" si="29"/>
        <v>227.41249999999999</v>
      </c>
      <c r="I21" s="118">
        <v>1649.6000000000001</v>
      </c>
      <c r="J21" s="119">
        <v>1699.0880000000002</v>
      </c>
      <c r="K21" s="120">
        <v>3.852349054316198</v>
      </c>
      <c r="L21" s="121">
        <v>8.0165009699321068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1699.0880000000002</v>
      </c>
      <c r="S21" s="62">
        <f t="shared" si="13"/>
        <v>65.454800500000005</v>
      </c>
      <c r="T21" s="63">
        <f t="shared" si="14"/>
        <v>136.20740600000005</v>
      </c>
      <c r="U21" s="64" t="s">
        <v>169</v>
      </c>
      <c r="V21" s="65" t="s">
        <v>374</v>
      </c>
      <c r="W21" s="66" t="s">
        <v>159</v>
      </c>
      <c r="X21" s="67">
        <v>2950</v>
      </c>
      <c r="Y21" s="68">
        <v>4.0999999999999996</v>
      </c>
      <c r="Z21" s="68">
        <v>8.23</v>
      </c>
      <c r="AA21" s="62">
        <f t="shared" si="15"/>
        <v>120.94999999999999</v>
      </c>
      <c r="AB21" s="63">
        <f t="shared" si="16"/>
        <v>242.785</v>
      </c>
      <c r="AC21" s="69">
        <v>2960</v>
      </c>
      <c r="AD21" s="70">
        <v>4</v>
      </c>
      <c r="AE21" s="70">
        <v>8.2100000000000009</v>
      </c>
      <c r="AF21" s="62">
        <f t="shared" si="25"/>
        <v>118.4</v>
      </c>
      <c r="AG21" s="63">
        <f t="shared" si="26"/>
        <v>243.01600000000002</v>
      </c>
      <c r="AH21" s="89">
        <v>1835</v>
      </c>
      <c r="AI21" s="66">
        <v>3.8</v>
      </c>
      <c r="AJ21" s="66">
        <v>8</v>
      </c>
      <c r="AK21" s="62">
        <f t="shared" si="19"/>
        <v>69.73</v>
      </c>
      <c r="AL21" s="72">
        <f t="shared" si="20"/>
        <v>146.80000000000001</v>
      </c>
      <c r="AM21" s="73">
        <f t="shared" si="21"/>
        <v>-270.91200000000026</v>
      </c>
      <c r="AN21" s="74">
        <f t="shared" si="22"/>
        <v>-7.697699500000013</v>
      </c>
      <c r="AO21" s="74">
        <f t="shared" si="23"/>
        <v>-26.196094000000016</v>
      </c>
      <c r="AP21" s="75">
        <f t="shared" si="24"/>
        <v>-0.16807211469244746</v>
      </c>
      <c r="AQ21" s="76">
        <f t="shared" si="9"/>
        <v>-11544.49208433833</v>
      </c>
      <c r="AR21" s="90">
        <f t="shared" si="10"/>
        <v>-260.91200000000026</v>
      </c>
      <c r="AS21" s="90">
        <f>SUM(J8:J21)</f>
        <v>31573.517000000003</v>
      </c>
      <c r="AT21" s="83">
        <f>SUM(AM8:AM21)</f>
        <v>110.51700000000073</v>
      </c>
      <c r="AU21" s="83">
        <f>SUM(AN8:AN21)</f>
        <v>15.348554500000049</v>
      </c>
      <c r="AV21" s="83">
        <f>SUM(AO8:AO21)</f>
        <v>-23.681508000000072</v>
      </c>
      <c r="AW21" s="83">
        <f>-SUM(AQ8:AQ21)</f>
        <v>-283.07915672426498</v>
      </c>
    </row>
    <row r="22" spans="1:49" x14ac:dyDescent="0.25">
      <c r="A22" t="str">
        <f t="shared" si="11"/>
        <v>46213M</v>
      </c>
      <c r="B22" s="51">
        <f t="shared" si="27"/>
        <v>46213</v>
      </c>
      <c r="C22" s="52" t="s">
        <v>87</v>
      </c>
      <c r="D22" s="91">
        <v>1835</v>
      </c>
      <c r="E22" s="62">
        <v>3.8</v>
      </c>
      <c r="F22" s="62">
        <v>8</v>
      </c>
      <c r="G22" s="62">
        <f t="shared" si="28"/>
        <v>69.73</v>
      </c>
      <c r="H22" s="63">
        <f t="shared" si="29"/>
        <v>146.80000000000001</v>
      </c>
      <c r="I22" s="118">
        <v>3017.6999999999989</v>
      </c>
      <c r="J22" s="119">
        <v>3108.2309999999989</v>
      </c>
      <c r="K22" s="120">
        <v>3.6334542863770416</v>
      </c>
      <c r="L22" s="121">
        <v>7.9861036551015676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3108.2309999999989</v>
      </c>
      <c r="S22" s="62">
        <f t="shared" si="13"/>
        <v>112.93615249999993</v>
      </c>
      <c r="T22" s="63">
        <f t="shared" si="14"/>
        <v>248.22654949999992</v>
      </c>
      <c r="U22" s="64" t="s">
        <v>167</v>
      </c>
      <c r="V22" s="65" t="s">
        <v>180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25"/>
        <v>0</v>
      </c>
      <c r="AG22" s="63">
        <f t="shared" si="26"/>
        <v>0</v>
      </c>
      <c r="AH22" s="89">
        <v>4942</v>
      </c>
      <c r="AI22" s="66">
        <v>3.68</v>
      </c>
      <c r="AJ22" s="66">
        <v>7.98</v>
      </c>
      <c r="AK22" s="62">
        <f t="shared" si="19"/>
        <v>181.8656</v>
      </c>
      <c r="AL22" s="72">
        <f t="shared" si="20"/>
        <v>394.37160000000006</v>
      </c>
      <c r="AM22" s="73">
        <f t="shared" ref="AM22:AM35" si="30">+D22+R22-AC22-AH22</f>
        <v>1.2309999999988577</v>
      </c>
      <c r="AN22" s="80">
        <f t="shared" ref="AN22:AN35" si="31">+G22+S22-AF22-AK22</f>
        <v>0.80055249999995226</v>
      </c>
      <c r="AO22" s="80">
        <f t="shared" ref="AO22:AO35" si="32">+H22+T22-AG22-AL22</f>
        <v>0.65494949999987284</v>
      </c>
      <c r="AP22" s="75">
        <f t="shared" si="24"/>
        <v>4.0300451623042337E-3</v>
      </c>
      <c r="AQ22" s="76">
        <f t="shared" si="9"/>
        <v>580.84307592719949</v>
      </c>
      <c r="AR22" s="90">
        <f t="shared" si="10"/>
        <v>1.2309999999988577</v>
      </c>
    </row>
    <row r="23" spans="1:49" x14ac:dyDescent="0.25">
      <c r="A23" t="str">
        <f t="shared" si="11"/>
        <v>46213E</v>
      </c>
      <c r="B23" s="51">
        <f t="shared" si="27"/>
        <v>46213</v>
      </c>
      <c r="C23" s="52" t="s">
        <v>88</v>
      </c>
      <c r="D23" s="91">
        <v>4942</v>
      </c>
      <c r="E23" s="62">
        <v>3.68</v>
      </c>
      <c r="F23" s="62">
        <v>7.98</v>
      </c>
      <c r="G23" s="62">
        <f t="shared" si="28"/>
        <v>181.8656</v>
      </c>
      <c r="H23" s="63">
        <f t="shared" si="29"/>
        <v>394.37160000000006</v>
      </c>
      <c r="I23" s="118">
        <v>1324.2499999999998</v>
      </c>
      <c r="J23" s="119">
        <v>1363.9774999999997</v>
      </c>
      <c r="K23" s="120">
        <v>3.9131621672644896</v>
      </c>
      <c r="L23" s="121">
        <v>8.0109382669435547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1363.9774999999997</v>
      </c>
      <c r="S23" s="62">
        <f t="shared" si="13"/>
        <v>53.374651499999992</v>
      </c>
      <c r="T23" s="63">
        <f t="shared" si="14"/>
        <v>109.26739549999999</v>
      </c>
      <c r="U23" s="64" t="s">
        <v>169</v>
      </c>
      <c r="V23" s="65" t="s">
        <v>507</v>
      </c>
      <c r="W23" s="66" t="s">
        <v>187</v>
      </c>
      <c r="X23" s="67">
        <v>5920</v>
      </c>
      <c r="Y23" s="68">
        <v>3.6</v>
      </c>
      <c r="Z23" s="68">
        <v>8.1300000000000008</v>
      </c>
      <c r="AA23" s="62">
        <f t="shared" si="15"/>
        <v>213.12000000000003</v>
      </c>
      <c r="AB23" s="63">
        <f t="shared" si="16"/>
        <v>481.29600000000005</v>
      </c>
      <c r="AC23" s="69">
        <v>5920</v>
      </c>
      <c r="AD23" s="70">
        <v>3.5</v>
      </c>
      <c r="AE23" s="70">
        <v>8.0499999999999989</v>
      </c>
      <c r="AF23" s="62">
        <f t="shared" si="25"/>
        <v>207.20000000000002</v>
      </c>
      <c r="AG23" s="63">
        <f t="shared" si="26"/>
        <v>476.55999999999995</v>
      </c>
      <c r="AH23" s="89">
        <v>384</v>
      </c>
      <c r="AI23" s="66">
        <v>3.8</v>
      </c>
      <c r="AJ23" s="84">
        <v>8</v>
      </c>
      <c r="AK23" s="62">
        <f t="shared" si="19"/>
        <v>14.591999999999999</v>
      </c>
      <c r="AL23" s="72">
        <f t="shared" si="20"/>
        <v>30.72</v>
      </c>
      <c r="AM23" s="73">
        <f t="shared" si="30"/>
        <v>1.9774999999999636</v>
      </c>
      <c r="AN23" s="80">
        <f t="shared" si="31"/>
        <v>13.448251499999984</v>
      </c>
      <c r="AO23" s="80">
        <f t="shared" si="32"/>
        <v>-3.6410044999998661</v>
      </c>
      <c r="AP23" s="75">
        <f t="shared" si="24"/>
        <v>6.0299579234883327E-2</v>
      </c>
      <c r="AQ23" s="76">
        <f t="shared" si="9"/>
        <v>5371.8741046003024</v>
      </c>
      <c r="AR23" s="90">
        <f t="shared" si="10"/>
        <v>1.9774999999999636</v>
      </c>
      <c r="AS23" s="90"/>
      <c r="AT23" s="83"/>
      <c r="AU23" s="83"/>
      <c r="AV23" s="83"/>
      <c r="AW23" s="83"/>
    </row>
    <row r="24" spans="1:49" x14ac:dyDescent="0.25">
      <c r="A24" t="str">
        <f t="shared" si="11"/>
        <v>46214M</v>
      </c>
      <c r="B24" s="51">
        <f t="shared" si="27"/>
        <v>46214</v>
      </c>
      <c r="C24" s="52" t="s">
        <v>87</v>
      </c>
      <c r="D24" s="91">
        <v>384</v>
      </c>
      <c r="E24" s="62">
        <v>3.8</v>
      </c>
      <c r="F24" s="62">
        <v>8</v>
      </c>
      <c r="G24" s="62">
        <f t="shared" si="28"/>
        <v>14.591999999999999</v>
      </c>
      <c r="H24" s="63">
        <f t="shared" si="29"/>
        <v>30.72</v>
      </c>
      <c r="I24" s="118">
        <v>1183.3999999999999</v>
      </c>
      <c r="J24" s="119">
        <v>1218.9019999999998</v>
      </c>
      <c r="K24" s="120">
        <v>4.0594896062193691</v>
      </c>
      <c r="L24" s="121">
        <v>8.0465692073685968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1218.9019999999998</v>
      </c>
      <c r="S24" s="62">
        <f t="shared" si="13"/>
        <v>49.481200000000008</v>
      </c>
      <c r="T24" s="63">
        <f t="shared" si="14"/>
        <v>98.079792999999952</v>
      </c>
      <c r="U24" s="64" t="s">
        <v>167</v>
      </c>
      <c r="V24" s="65" t="s">
        <v>180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25"/>
        <v>0</v>
      </c>
      <c r="AG24" s="63">
        <f t="shared" si="26"/>
        <v>0</v>
      </c>
      <c r="AH24" s="89">
        <v>1601</v>
      </c>
      <c r="AI24" s="66">
        <v>3.99</v>
      </c>
      <c r="AJ24" s="66">
        <v>8.02</v>
      </c>
      <c r="AK24" s="62">
        <f t="shared" si="19"/>
        <v>63.879900000000006</v>
      </c>
      <c r="AL24" s="72">
        <f t="shared" si="20"/>
        <v>128.40019999999998</v>
      </c>
      <c r="AM24" s="73">
        <f t="shared" si="30"/>
        <v>1.9019999999998163</v>
      </c>
      <c r="AN24" s="80">
        <f t="shared" si="31"/>
        <v>0.1933000000000078</v>
      </c>
      <c r="AO24" s="80">
        <f t="shared" si="32"/>
        <v>0.39959299999998166</v>
      </c>
      <c r="AP24" s="75">
        <f t="shared" si="24"/>
        <v>4.0179520884627657E-3</v>
      </c>
      <c r="AQ24" s="76">
        <f t="shared" si="9"/>
        <v>212.5614873429806</v>
      </c>
      <c r="AR24" s="90">
        <f t="shared" si="10"/>
        <v>1.9019999999998163</v>
      </c>
    </row>
    <row r="25" spans="1:49" x14ac:dyDescent="0.25">
      <c r="A25" t="str">
        <f t="shared" si="11"/>
        <v>46214E</v>
      </c>
      <c r="B25" s="51">
        <f t="shared" si="27"/>
        <v>46214</v>
      </c>
      <c r="C25" s="52" t="s">
        <v>88</v>
      </c>
      <c r="D25" s="91">
        <v>1601</v>
      </c>
      <c r="E25" s="62">
        <v>3.99</v>
      </c>
      <c r="F25" s="62">
        <v>8.02</v>
      </c>
      <c r="G25" s="62">
        <f t="shared" si="28"/>
        <v>63.879900000000006</v>
      </c>
      <c r="H25" s="63">
        <f t="shared" si="29"/>
        <v>128.40019999999998</v>
      </c>
      <c r="I25" s="118">
        <v>2550.5</v>
      </c>
      <c r="J25" s="119">
        <v>2627.0149999999999</v>
      </c>
      <c r="K25" s="120">
        <v>4.0455185257792587</v>
      </c>
      <c r="L25" s="121">
        <v>8.0449696138012126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2627.0149999999999</v>
      </c>
      <c r="S25" s="62">
        <f t="shared" si="13"/>
        <v>106.27637849999999</v>
      </c>
      <c r="T25" s="63">
        <f t="shared" si="14"/>
        <v>211.34255849999994</v>
      </c>
      <c r="U25" s="64" t="s">
        <v>174</v>
      </c>
      <c r="V25" s="65" t="s">
        <v>508</v>
      </c>
      <c r="W25" s="66" t="s">
        <v>159</v>
      </c>
      <c r="X25" s="67">
        <v>3180</v>
      </c>
      <c r="Y25" s="68">
        <v>4</v>
      </c>
      <c r="Z25" s="68">
        <v>8.08</v>
      </c>
      <c r="AA25" s="62">
        <f t="shared" si="15"/>
        <v>127.2</v>
      </c>
      <c r="AB25" s="63">
        <f t="shared" si="16"/>
        <v>256.94400000000002</v>
      </c>
      <c r="AC25" s="69">
        <v>3180</v>
      </c>
      <c r="AD25" s="70">
        <v>3.95</v>
      </c>
      <c r="AE25" s="70">
        <v>8.01</v>
      </c>
      <c r="AF25" s="62">
        <f t="shared" si="25"/>
        <v>125.61</v>
      </c>
      <c r="AG25" s="63">
        <f t="shared" si="26"/>
        <v>254.71800000000002</v>
      </c>
      <c r="AH25" s="89">
        <v>1047</v>
      </c>
      <c r="AI25" s="66">
        <v>4</v>
      </c>
      <c r="AJ25" s="66">
        <v>8.08</v>
      </c>
      <c r="AK25" s="62">
        <f t="shared" si="19"/>
        <v>41.88</v>
      </c>
      <c r="AL25" s="72">
        <f t="shared" si="20"/>
        <v>84.5976</v>
      </c>
      <c r="AM25" s="73">
        <f t="shared" si="30"/>
        <v>1.0149999999994179</v>
      </c>
      <c r="AN25" s="80">
        <f t="shared" si="31"/>
        <v>2.6662784999999829</v>
      </c>
      <c r="AO25" s="80">
        <f t="shared" si="32"/>
        <v>0.42715849999990496</v>
      </c>
      <c r="AP25" s="75">
        <f t="shared" si="24"/>
        <v>9.7394602136077549E-3</v>
      </c>
      <c r="AQ25" s="76">
        <f t="shared" si="9"/>
        <v>1409.1637650516502</v>
      </c>
      <c r="AR25" s="90">
        <f t="shared" si="10"/>
        <v>1.0149999999994179</v>
      </c>
    </row>
    <row r="26" spans="1:49" x14ac:dyDescent="0.25">
      <c r="A26" t="str">
        <f t="shared" si="11"/>
        <v>46215M</v>
      </c>
      <c r="B26" s="51">
        <f t="shared" si="27"/>
        <v>46215</v>
      </c>
      <c r="C26" s="52" t="s">
        <v>87</v>
      </c>
      <c r="D26" s="91">
        <v>1047</v>
      </c>
      <c r="E26" s="62">
        <v>4</v>
      </c>
      <c r="F26" s="62">
        <v>8.08</v>
      </c>
      <c r="G26" s="62">
        <f t="shared" si="28"/>
        <v>41.88</v>
      </c>
      <c r="H26" s="63">
        <f t="shared" si="29"/>
        <v>84.5976</v>
      </c>
      <c r="I26" s="118">
        <v>1236.3500000000001</v>
      </c>
      <c r="J26" s="119">
        <v>1273.4405000000002</v>
      </c>
      <c r="K26" s="120">
        <v>4.1176406357423074</v>
      </c>
      <c r="L26" s="121">
        <v>8.0561531928660983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1273.4405000000002</v>
      </c>
      <c r="S26" s="62">
        <f t="shared" si="13"/>
        <v>52.435703500000024</v>
      </c>
      <c r="T26" s="63">
        <f t="shared" si="14"/>
        <v>102.59031750000003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25"/>
        <v>0</v>
      </c>
      <c r="AG26" s="63">
        <f t="shared" si="26"/>
        <v>0</v>
      </c>
      <c r="AH26" s="89">
        <v>2320</v>
      </c>
      <c r="AI26" s="66">
        <v>4.0599999999999996</v>
      </c>
      <c r="AJ26" s="66">
        <v>8.06</v>
      </c>
      <c r="AK26" s="62">
        <f t="shared" si="19"/>
        <v>94.191999999999993</v>
      </c>
      <c r="AL26" s="72">
        <f t="shared" si="20"/>
        <v>186.99200000000002</v>
      </c>
      <c r="AM26" s="73">
        <f t="shared" si="30"/>
        <v>0.44050000000015643</v>
      </c>
      <c r="AN26" s="80">
        <f t="shared" si="31"/>
        <v>0.12370350000003327</v>
      </c>
      <c r="AO26" s="80">
        <f t="shared" si="32"/>
        <v>0.19591750000000729</v>
      </c>
      <c r="AP26" s="75">
        <f t="shared" si="24"/>
        <v>2.0617248506948423E-3</v>
      </c>
      <c r="AQ26" s="76">
        <f t="shared" si="9"/>
        <v>118.11910494907588</v>
      </c>
      <c r="AR26" s="90">
        <f t="shared" si="10"/>
        <v>0.44050000000015643</v>
      </c>
    </row>
    <row r="27" spans="1:49" x14ac:dyDescent="0.25">
      <c r="A27" t="str">
        <f t="shared" si="11"/>
        <v>46215E</v>
      </c>
      <c r="B27" s="51">
        <f t="shared" si="27"/>
        <v>46215</v>
      </c>
      <c r="C27" s="52" t="s">
        <v>88</v>
      </c>
      <c r="D27" s="91">
        <v>2320</v>
      </c>
      <c r="E27" s="62">
        <v>4.0599999999999996</v>
      </c>
      <c r="F27" s="62">
        <v>8.06</v>
      </c>
      <c r="G27" s="62">
        <f t="shared" si="28"/>
        <v>94.191999999999993</v>
      </c>
      <c r="H27" s="63">
        <f t="shared" si="29"/>
        <v>186.99200000000002</v>
      </c>
      <c r="I27" s="118">
        <v>2229.2499999999995</v>
      </c>
      <c r="J27" s="119">
        <v>2296.1274999999996</v>
      </c>
      <c r="K27" s="120">
        <v>3.9431423124369189</v>
      </c>
      <c r="L27" s="121">
        <v>8.0512907928675599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2296.1274999999996</v>
      </c>
      <c r="S27" s="62">
        <f t="shared" si="13"/>
        <v>90.539574999999999</v>
      </c>
      <c r="T27" s="63">
        <f t="shared" si="14"/>
        <v>184.86790200000007</v>
      </c>
      <c r="U27" s="64" t="s">
        <v>174</v>
      </c>
      <c r="V27" s="65" t="s">
        <v>509</v>
      </c>
      <c r="W27" s="66" t="s">
        <v>181</v>
      </c>
      <c r="X27" s="67">
        <v>3480</v>
      </c>
      <c r="Y27" s="68">
        <v>3.7</v>
      </c>
      <c r="Z27" s="68">
        <v>8.2799999999999994</v>
      </c>
      <c r="AA27" s="62">
        <f t="shared" si="15"/>
        <v>128.76000000000002</v>
      </c>
      <c r="AB27" s="63">
        <f t="shared" si="16"/>
        <v>288.14400000000001</v>
      </c>
      <c r="AC27" s="69">
        <v>3480</v>
      </c>
      <c r="AD27" s="70">
        <v>3.65</v>
      </c>
      <c r="AE27" s="70">
        <v>8.14</v>
      </c>
      <c r="AF27" s="62">
        <f t="shared" si="25"/>
        <v>127.02</v>
      </c>
      <c r="AG27" s="63">
        <f t="shared" si="26"/>
        <v>283.27199999999999</v>
      </c>
      <c r="AH27" s="89">
        <v>1135</v>
      </c>
      <c r="AI27" s="66">
        <v>4.0999999999999996</v>
      </c>
      <c r="AJ27" s="66">
        <v>8</v>
      </c>
      <c r="AK27" s="62">
        <f t="shared" si="19"/>
        <v>46.534999999999997</v>
      </c>
      <c r="AL27" s="72">
        <f t="shared" si="20"/>
        <v>90.8</v>
      </c>
      <c r="AM27" s="73">
        <f t="shared" si="30"/>
        <v>1.1274999999995998</v>
      </c>
      <c r="AN27" s="80">
        <f t="shared" si="31"/>
        <v>11.176575</v>
      </c>
      <c r="AO27" s="80">
        <f t="shared" si="32"/>
        <v>-2.212097999999898</v>
      </c>
      <c r="AP27" s="75">
        <f t="shared" si="24"/>
        <v>3.2549867918074349E-2</v>
      </c>
      <c r="AQ27" s="76">
        <f t="shared" si="9"/>
        <v>4708.2043872941085</v>
      </c>
      <c r="AR27" s="90">
        <f t="shared" si="10"/>
        <v>1.1274999999995998</v>
      </c>
    </row>
    <row r="28" spans="1:49" x14ac:dyDescent="0.25">
      <c r="A28" t="str">
        <f t="shared" si="11"/>
        <v>46216M</v>
      </c>
      <c r="B28" s="51">
        <f t="shared" si="27"/>
        <v>46216</v>
      </c>
      <c r="C28" s="52" t="s">
        <v>87</v>
      </c>
      <c r="D28" s="91">
        <v>1135</v>
      </c>
      <c r="E28" s="62">
        <v>4.0999999999999996</v>
      </c>
      <c r="F28" s="62">
        <v>8</v>
      </c>
      <c r="G28" s="62">
        <f t="shared" si="28"/>
        <v>46.534999999999997</v>
      </c>
      <c r="H28" s="63">
        <f t="shared" si="29"/>
        <v>90.8</v>
      </c>
      <c r="I28" s="118">
        <v>2771.9999999999995</v>
      </c>
      <c r="J28" s="119">
        <v>2855.1599999999994</v>
      </c>
      <c r="K28" s="120">
        <v>3.6687788600288602</v>
      </c>
      <c r="L28" s="121">
        <v>8.1416251803751809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2855.1599999999994</v>
      </c>
      <c r="S28" s="62">
        <f t="shared" si="13"/>
        <v>104.74950649999998</v>
      </c>
      <c r="T28" s="63">
        <f t="shared" si="14"/>
        <v>232.45642549999997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25"/>
        <v>0</v>
      </c>
      <c r="AG28" s="63">
        <f t="shared" si="26"/>
        <v>0</v>
      </c>
      <c r="AH28" s="89">
        <v>3989</v>
      </c>
      <c r="AI28" s="66">
        <v>3.78</v>
      </c>
      <c r="AJ28" s="66">
        <v>8.09</v>
      </c>
      <c r="AK28" s="62">
        <f t="shared" si="19"/>
        <v>150.7842</v>
      </c>
      <c r="AL28" s="72">
        <f t="shared" si="20"/>
        <v>322.71010000000001</v>
      </c>
      <c r="AM28" s="73">
        <f t="shared" si="30"/>
        <v>1.1599999999993997</v>
      </c>
      <c r="AN28" s="74">
        <f t="shared" si="31"/>
        <v>0.50030649999996513</v>
      </c>
      <c r="AO28" s="74">
        <f t="shared" si="32"/>
        <v>0.54632549999996627</v>
      </c>
      <c r="AP28" s="75">
        <f t="shared" si="24"/>
        <v>3.103836263473359E-3</v>
      </c>
      <c r="AQ28" s="76">
        <f t="shared" si="9"/>
        <v>404.03318001947889</v>
      </c>
      <c r="AR28" s="90">
        <f t="shared" si="10"/>
        <v>1.1599999999993997</v>
      </c>
    </row>
    <row r="29" spans="1:49" x14ac:dyDescent="0.25">
      <c r="A29" t="str">
        <f t="shared" si="11"/>
        <v>46216E</v>
      </c>
      <c r="B29" s="51">
        <f t="shared" si="27"/>
        <v>46216</v>
      </c>
      <c r="C29" s="52" t="s">
        <v>88</v>
      </c>
      <c r="D29" s="91">
        <v>3989</v>
      </c>
      <c r="E29" s="62">
        <v>3.78</v>
      </c>
      <c r="F29" s="62">
        <v>8.09</v>
      </c>
      <c r="G29" s="62">
        <f t="shared" si="28"/>
        <v>150.7842</v>
      </c>
      <c r="H29" s="63">
        <f t="shared" si="29"/>
        <v>322.71010000000001</v>
      </c>
      <c r="I29" s="118">
        <v>2476.75</v>
      </c>
      <c r="J29" s="119">
        <v>2551.0525000000002</v>
      </c>
      <c r="K29" s="120">
        <v>3.9830261431311209</v>
      </c>
      <c r="L29" s="121">
        <v>8.0416755829211706</v>
      </c>
      <c r="M29" s="58">
        <v>0</v>
      </c>
      <c r="N29" s="191">
        <v>0</v>
      </c>
      <c r="O29" s="59">
        <v>0</v>
      </c>
      <c r="P29" s="56">
        <v>0</v>
      </c>
      <c r="Q29" s="60">
        <v>0</v>
      </c>
      <c r="R29" s="61">
        <f>+J29+O29</f>
        <v>2551.0525000000002</v>
      </c>
      <c r="S29" s="62">
        <f t="shared" si="13"/>
        <v>101.60908800000004</v>
      </c>
      <c r="T29" s="63">
        <f>+J29*L29%+O29*Q29%</f>
        <v>205.14736600000012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>+X29*Z29%</f>
        <v>0</v>
      </c>
      <c r="AC29" s="69"/>
      <c r="AD29" s="70"/>
      <c r="AE29" s="70"/>
      <c r="AF29" s="62">
        <f t="shared" si="25"/>
        <v>0</v>
      </c>
      <c r="AG29" s="63">
        <f>AC29*AE29%</f>
        <v>0</v>
      </c>
      <c r="AH29" s="89">
        <v>6539</v>
      </c>
      <c r="AI29" s="66">
        <v>3.85</v>
      </c>
      <c r="AJ29" s="66">
        <v>8.06</v>
      </c>
      <c r="AK29" s="62">
        <f t="shared" si="19"/>
        <v>251.75149999999999</v>
      </c>
      <c r="AL29" s="72">
        <f t="shared" si="20"/>
        <v>527.04340000000002</v>
      </c>
      <c r="AM29" s="73">
        <f t="shared" si="30"/>
        <v>1.0524999999997817</v>
      </c>
      <c r="AN29" s="74">
        <f t="shared" si="31"/>
        <v>0.64178800000004799</v>
      </c>
      <c r="AO29" s="74">
        <f t="shared" si="32"/>
        <v>0.81406600000013896</v>
      </c>
      <c r="AP29" s="75">
        <f t="shared" si="24"/>
        <v>4.7459604550005195E-3</v>
      </c>
      <c r="AQ29" s="76">
        <f t="shared" si="9"/>
        <v>552.20554167393266</v>
      </c>
      <c r="AR29" s="90">
        <f t="shared" si="10"/>
        <v>1.0524999999997817</v>
      </c>
    </row>
    <row r="30" spans="1:49" x14ac:dyDescent="0.25">
      <c r="A30" t="str">
        <f t="shared" si="11"/>
        <v>46217M</v>
      </c>
      <c r="B30" s="51">
        <f t="shared" si="27"/>
        <v>46217</v>
      </c>
      <c r="C30" s="52" t="s">
        <v>87</v>
      </c>
      <c r="D30" s="91">
        <v>6539</v>
      </c>
      <c r="E30" s="62">
        <v>3.85</v>
      </c>
      <c r="F30" s="62">
        <v>8.06</v>
      </c>
      <c r="G30" s="62">
        <f t="shared" si="28"/>
        <v>251.75149999999999</v>
      </c>
      <c r="H30" s="63">
        <f t="shared" si="29"/>
        <v>527.04340000000002</v>
      </c>
      <c r="I30" s="118">
        <v>2336.5499999999997</v>
      </c>
      <c r="J30" s="119">
        <v>2406.6464999999998</v>
      </c>
      <c r="K30" s="120">
        <v>3.7410455586227549</v>
      </c>
      <c r="L30" s="121">
        <v>8.0684299501401657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2406.6464999999998</v>
      </c>
      <c r="S30" s="62">
        <f t="shared" si="13"/>
        <v>90.033741999999975</v>
      </c>
      <c r="T30" s="63">
        <f t="shared" si="14"/>
        <v>194.17858700000002</v>
      </c>
      <c r="U30" s="64" t="s">
        <v>174</v>
      </c>
      <c r="V30" s="65" t="s">
        <v>510</v>
      </c>
      <c r="W30" s="66" t="s">
        <v>187</v>
      </c>
      <c r="X30" s="67">
        <v>7120</v>
      </c>
      <c r="Y30" s="68">
        <v>4.1500000000000004</v>
      </c>
      <c r="Z30" s="68">
        <v>8.2100000000000009</v>
      </c>
      <c r="AA30" s="62">
        <f t="shared" si="15"/>
        <v>295.48</v>
      </c>
      <c r="AB30" s="63">
        <f t="shared" si="16"/>
        <v>584.55200000000002</v>
      </c>
      <c r="AC30" s="69">
        <v>7120</v>
      </c>
      <c r="AD30" s="70">
        <v>4.0988764044943826</v>
      </c>
      <c r="AE30" s="70">
        <v>8.1697752808988753</v>
      </c>
      <c r="AF30" s="62">
        <f t="shared" si="25"/>
        <v>291.84000000000003</v>
      </c>
      <c r="AG30" s="63">
        <f t="shared" si="26"/>
        <v>581.68799999999987</v>
      </c>
      <c r="AH30" s="89">
        <v>1824</v>
      </c>
      <c r="AI30" s="66">
        <v>3.8</v>
      </c>
      <c r="AJ30" s="66">
        <v>8</v>
      </c>
      <c r="AK30" s="62">
        <f t="shared" si="19"/>
        <v>69.311999999999998</v>
      </c>
      <c r="AL30" s="72">
        <f t="shared" si="20"/>
        <v>145.92000000000002</v>
      </c>
      <c r="AM30" s="73">
        <f t="shared" si="30"/>
        <v>1.6464999999989232</v>
      </c>
      <c r="AN30" s="80">
        <f t="shared" si="31"/>
        <v>-19.366758000000047</v>
      </c>
      <c r="AO30" s="80">
        <f t="shared" si="32"/>
        <v>-6.3860129999998776</v>
      </c>
      <c r="AP30" s="75">
        <f t="shared" si="24"/>
        <v>-9.0611026941058298E-2</v>
      </c>
      <c r="AQ30" s="76">
        <f t="shared" si="9"/>
        <v>-11218.911579697975</v>
      </c>
      <c r="AR30" s="90">
        <f t="shared" si="10"/>
        <v>1.6464999999989232</v>
      </c>
    </row>
    <row r="31" spans="1:49" x14ac:dyDescent="0.25">
      <c r="A31" t="str">
        <f t="shared" si="11"/>
        <v>46217E</v>
      </c>
      <c r="B31" s="51">
        <f t="shared" si="27"/>
        <v>46217</v>
      </c>
      <c r="C31" s="52" t="s">
        <v>88</v>
      </c>
      <c r="D31" s="91">
        <v>1824</v>
      </c>
      <c r="E31" s="62">
        <v>3.8</v>
      </c>
      <c r="F31" s="62">
        <v>8</v>
      </c>
      <c r="G31" s="62">
        <f t="shared" si="28"/>
        <v>69.311999999999998</v>
      </c>
      <c r="H31" s="63">
        <f t="shared" si="29"/>
        <v>145.92000000000002</v>
      </c>
      <c r="I31" s="118">
        <v>2348.5499999999997</v>
      </c>
      <c r="J31" s="119">
        <v>2419.0065</v>
      </c>
      <c r="K31" s="120">
        <v>3.8300398117987711</v>
      </c>
      <c r="L31" s="121">
        <v>8.0334440399395355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2419.0065</v>
      </c>
      <c r="S31" s="62">
        <f t="shared" si="13"/>
        <v>92.648912000000038</v>
      </c>
      <c r="T31" s="63">
        <f t="shared" si="14"/>
        <v>194.32953349999997</v>
      </c>
      <c r="U31" s="64" t="s">
        <v>180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25"/>
        <v>0</v>
      </c>
      <c r="AG31" s="63">
        <f t="shared" si="26"/>
        <v>0</v>
      </c>
      <c r="AH31" s="89">
        <v>4196</v>
      </c>
      <c r="AI31" s="66">
        <v>3.8</v>
      </c>
      <c r="AJ31" s="66">
        <v>8.01</v>
      </c>
      <c r="AK31" s="62">
        <f t="shared" si="19"/>
        <v>159.44800000000001</v>
      </c>
      <c r="AL31" s="72">
        <f t="shared" si="20"/>
        <v>336.09960000000001</v>
      </c>
      <c r="AM31" s="73">
        <f t="shared" ref="AM31" si="33">+D31+R31-AC31-AH31</f>
        <v>47.006499999999505</v>
      </c>
      <c r="AN31" s="80">
        <f t="shared" ref="AN31" si="34">+G31+S31-AF31-AK31</f>
        <v>2.5129120000000285</v>
      </c>
      <c r="AO31" s="80">
        <f t="shared" ref="AO31" si="35">+H31+T31-AG31-AL31</f>
        <v>4.1499334999999746</v>
      </c>
      <c r="AP31" s="75">
        <f t="shared" si="24"/>
        <v>2.3217233225970635E-2</v>
      </c>
      <c r="AQ31" s="76">
        <f t="shared" si="9"/>
        <v>2450.4041407247591</v>
      </c>
      <c r="AR31" s="90">
        <f t="shared" si="10"/>
        <v>47.006499999999505</v>
      </c>
    </row>
    <row r="32" spans="1:49" x14ac:dyDescent="0.25">
      <c r="A32" t="str">
        <f t="shared" si="11"/>
        <v>46218M</v>
      </c>
      <c r="B32" s="51">
        <f t="shared" si="27"/>
        <v>46218</v>
      </c>
      <c r="C32" s="52" t="s">
        <v>87</v>
      </c>
      <c r="D32" s="91">
        <v>4196</v>
      </c>
      <c r="E32" s="62">
        <v>3.8</v>
      </c>
      <c r="F32" s="62">
        <v>8.01</v>
      </c>
      <c r="G32" s="62">
        <f t="shared" si="28"/>
        <v>159.44800000000001</v>
      </c>
      <c r="H32" s="63">
        <f t="shared" si="29"/>
        <v>336.09960000000001</v>
      </c>
      <c r="I32" s="118">
        <v>1071.45</v>
      </c>
      <c r="J32" s="119">
        <v>1103.5935000000002</v>
      </c>
      <c r="K32" s="120">
        <v>4.0610994446777733</v>
      </c>
      <c r="L32" s="121">
        <v>7.994428111437772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2"/>
        <v>1103.5935000000002</v>
      </c>
      <c r="S32" s="62">
        <f t="shared" si="13"/>
        <v>44.818029500000009</v>
      </c>
      <c r="T32" s="63">
        <f t="shared" si="14"/>
        <v>88.225989000000027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25"/>
        <v>0</v>
      </c>
      <c r="AG32" s="63">
        <f t="shared" si="26"/>
        <v>0</v>
      </c>
      <c r="AH32" s="89">
        <v>5298</v>
      </c>
      <c r="AI32" s="66">
        <v>3.85</v>
      </c>
      <c r="AJ32" s="66">
        <v>8</v>
      </c>
      <c r="AK32" s="62">
        <f t="shared" si="19"/>
        <v>203.97299999999998</v>
      </c>
      <c r="AL32" s="72">
        <f t="shared" si="20"/>
        <v>423.84000000000003</v>
      </c>
      <c r="AM32" s="73">
        <f t="shared" si="30"/>
        <v>1.5934999999999491</v>
      </c>
      <c r="AN32" s="80">
        <f t="shared" si="31"/>
        <v>0.29302950000001715</v>
      </c>
      <c r="AO32" s="80">
        <f t="shared" si="32"/>
        <v>0.48558900000000449</v>
      </c>
      <c r="AP32" s="75">
        <f t="shared" si="24"/>
        <v>5.8523375103858681E-3</v>
      </c>
      <c r="AQ32" s="76">
        <f t="shared" si="9"/>
        <v>286.23979435140876</v>
      </c>
      <c r="AR32" s="90">
        <f t="shared" si="10"/>
        <v>1.5934999999999491</v>
      </c>
    </row>
    <row r="33" spans="1:49" x14ac:dyDescent="0.25">
      <c r="A33" t="str">
        <f t="shared" si="11"/>
        <v>46218E</v>
      </c>
      <c r="B33" s="51">
        <f t="shared" si="27"/>
        <v>46218</v>
      </c>
      <c r="C33" s="52" t="s">
        <v>88</v>
      </c>
      <c r="D33" s="91">
        <v>5298</v>
      </c>
      <c r="E33" s="62">
        <v>3.85</v>
      </c>
      <c r="F33" s="62">
        <v>8</v>
      </c>
      <c r="G33" s="62">
        <f t="shared" si="28"/>
        <v>203.97299999999998</v>
      </c>
      <c r="H33" s="63">
        <f t="shared" si="29"/>
        <v>423.84000000000003</v>
      </c>
      <c r="I33" s="118">
        <v>2026.8999999999999</v>
      </c>
      <c r="J33" s="119">
        <v>2087.7069999999999</v>
      </c>
      <c r="K33" s="120">
        <v>3.7564408702945382</v>
      </c>
      <c r="L33" s="121">
        <v>7.9571907839557934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2087.7069999999999</v>
      </c>
      <c r="S33" s="62">
        <f t="shared" si="13"/>
        <v>78.423478999999986</v>
      </c>
      <c r="T33" s="63">
        <f t="shared" si="14"/>
        <v>166.12282899999997</v>
      </c>
      <c r="U33" s="64" t="s">
        <v>174</v>
      </c>
      <c r="V33" s="65" t="s">
        <v>563</v>
      </c>
      <c r="W33" s="66" t="s">
        <v>187</v>
      </c>
      <c r="X33" s="67">
        <v>7130</v>
      </c>
      <c r="Y33" s="68">
        <v>3.65</v>
      </c>
      <c r="Z33" s="68">
        <v>8.1300000000000008</v>
      </c>
      <c r="AA33" s="62">
        <f t="shared" si="15"/>
        <v>260.245</v>
      </c>
      <c r="AB33" s="63">
        <f t="shared" si="16"/>
        <v>579.6690000000001</v>
      </c>
      <c r="AC33" s="69">
        <v>7100</v>
      </c>
      <c r="AD33" s="70">
        <v>3.6000000000000005</v>
      </c>
      <c r="AE33" s="70">
        <v>8.01</v>
      </c>
      <c r="AF33" s="62">
        <f t="shared" si="25"/>
        <v>255.60000000000002</v>
      </c>
      <c r="AG33" s="63">
        <f t="shared" si="26"/>
        <v>568.71</v>
      </c>
      <c r="AH33" s="89">
        <v>254</v>
      </c>
      <c r="AI33" s="66">
        <v>4</v>
      </c>
      <c r="AJ33" s="66">
        <v>8</v>
      </c>
      <c r="AK33" s="62">
        <f t="shared" si="19"/>
        <v>10.16</v>
      </c>
      <c r="AL33" s="72">
        <f t="shared" si="20"/>
        <v>20.32</v>
      </c>
      <c r="AM33" s="73">
        <f t="shared" si="30"/>
        <v>31.707000000000335</v>
      </c>
      <c r="AN33" s="80">
        <f t="shared" si="31"/>
        <v>16.636478999999976</v>
      </c>
      <c r="AO33" s="80">
        <f t="shared" si="32"/>
        <v>0.93282900000001945</v>
      </c>
      <c r="AP33" s="75">
        <f t="shared" si="24"/>
        <v>7.184450316870046E-2</v>
      </c>
      <c r="AQ33" s="76">
        <f t="shared" si="9"/>
        <v>8273.743598406294</v>
      </c>
      <c r="AR33" s="90">
        <f t="shared" si="10"/>
        <v>1.7070000000003347</v>
      </c>
    </row>
    <row r="34" spans="1:49" x14ac:dyDescent="0.25">
      <c r="A34" t="str">
        <f t="shared" si="11"/>
        <v>46219M</v>
      </c>
      <c r="B34" s="51">
        <f t="shared" si="27"/>
        <v>46219</v>
      </c>
      <c r="C34" s="52" t="s">
        <v>87</v>
      </c>
      <c r="D34" s="91">
        <v>254</v>
      </c>
      <c r="E34" s="62">
        <v>4</v>
      </c>
      <c r="F34" s="62">
        <v>8</v>
      </c>
      <c r="G34" s="62">
        <f t="shared" si="28"/>
        <v>10.16</v>
      </c>
      <c r="H34" s="63">
        <f t="shared" si="29"/>
        <v>20.32</v>
      </c>
      <c r="I34" s="118">
        <v>2503.3999999999996</v>
      </c>
      <c r="J34" s="119">
        <v>2578.5019999999995</v>
      </c>
      <c r="K34" s="120">
        <v>4.2976232324039305</v>
      </c>
      <c r="L34" s="121">
        <v>8.080466565470962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2578.5019999999995</v>
      </c>
      <c r="S34" s="62">
        <f t="shared" si="13"/>
        <v>110.81430099999997</v>
      </c>
      <c r="T34" s="63">
        <f t="shared" si="14"/>
        <v>208.35499200000001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25"/>
        <v>0</v>
      </c>
      <c r="AG34" s="63">
        <f t="shared" si="26"/>
        <v>0</v>
      </c>
      <c r="AH34" s="89">
        <v>2831</v>
      </c>
      <c r="AI34" s="66">
        <v>4.25</v>
      </c>
      <c r="AJ34" s="66">
        <v>8.06</v>
      </c>
      <c r="AK34" s="62">
        <f t="shared" si="19"/>
        <v>120.31750000000001</v>
      </c>
      <c r="AL34" s="72">
        <f t="shared" si="20"/>
        <v>228.17860000000002</v>
      </c>
      <c r="AM34" s="73">
        <f t="shared" si="30"/>
        <v>1.501999999999498</v>
      </c>
      <c r="AN34" s="80">
        <f t="shared" si="31"/>
        <v>0.65680099999995889</v>
      </c>
      <c r="AO34" s="80">
        <f t="shared" si="32"/>
        <v>0.49639199999998596</v>
      </c>
      <c r="AP34" s="75">
        <f t="shared" si="24"/>
        <v>3.6131076055613688E-3</v>
      </c>
      <c r="AQ34" s="76">
        <f t="shared" si="9"/>
        <v>464.27924188962504</v>
      </c>
      <c r="AR34" s="90">
        <f t="shared" si="10"/>
        <v>1.501999999999498</v>
      </c>
    </row>
    <row r="35" spans="1:49" x14ac:dyDescent="0.25">
      <c r="A35" t="str">
        <f t="shared" si="11"/>
        <v>46219E</v>
      </c>
      <c r="B35" s="51">
        <f t="shared" si="27"/>
        <v>46219</v>
      </c>
      <c r="C35" s="52" t="s">
        <v>88</v>
      </c>
      <c r="D35" s="91">
        <v>2831</v>
      </c>
      <c r="E35" s="62">
        <v>4.25</v>
      </c>
      <c r="F35" s="62">
        <v>8.06</v>
      </c>
      <c r="G35" s="62">
        <f t="shared" si="28"/>
        <v>120.31750000000001</v>
      </c>
      <c r="H35" s="63">
        <f t="shared" si="29"/>
        <v>228.17860000000002</v>
      </c>
      <c r="I35" s="118">
        <v>5711.0499999999984</v>
      </c>
      <c r="J35" s="119">
        <v>5882.3814999999986</v>
      </c>
      <c r="K35" s="120">
        <v>4.1138871135780626</v>
      </c>
      <c r="L35" s="121">
        <v>8.0424790537641968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5882.3814999999986</v>
      </c>
      <c r="S35" s="62">
        <f t="shared" si="13"/>
        <v>241.99453449999987</v>
      </c>
      <c r="T35" s="63">
        <f t="shared" si="14"/>
        <v>473.08930000000004</v>
      </c>
      <c r="U35" s="64" t="s">
        <v>174</v>
      </c>
      <c r="V35" s="65" t="s">
        <v>564</v>
      </c>
      <c r="W35" s="66" t="s">
        <v>181</v>
      </c>
      <c r="X35" s="67">
        <v>3680</v>
      </c>
      <c r="Y35" s="68">
        <v>4.2</v>
      </c>
      <c r="Z35" s="68">
        <v>8.26</v>
      </c>
      <c r="AA35" s="62">
        <f t="shared" si="15"/>
        <v>154.56</v>
      </c>
      <c r="AB35" s="63">
        <f t="shared" si="16"/>
        <v>303.96799999999996</v>
      </c>
      <c r="AC35" s="69">
        <v>3640</v>
      </c>
      <c r="AD35" s="70">
        <v>4.1500000000000004</v>
      </c>
      <c r="AE35" s="70">
        <v>8.17</v>
      </c>
      <c r="AF35" s="62">
        <f t="shared" si="25"/>
        <v>151.06</v>
      </c>
      <c r="AG35" s="63">
        <f t="shared" si="26"/>
        <v>297.38799999999998</v>
      </c>
      <c r="AH35" s="89">
        <v>5340</v>
      </c>
      <c r="AI35" s="66">
        <v>4.2</v>
      </c>
      <c r="AJ35" s="66">
        <v>8</v>
      </c>
      <c r="AK35" s="62">
        <f t="shared" si="19"/>
        <v>224.28</v>
      </c>
      <c r="AL35" s="72">
        <f t="shared" si="20"/>
        <v>427.2</v>
      </c>
      <c r="AM35" s="73">
        <f t="shared" si="30"/>
        <v>-266.61850000000049</v>
      </c>
      <c r="AN35" s="80">
        <f t="shared" si="31"/>
        <v>-13.027965500000136</v>
      </c>
      <c r="AO35" s="80">
        <f t="shared" si="32"/>
        <v>-23.320099999999911</v>
      </c>
      <c r="AP35" s="75">
        <f t="shared" si="24"/>
        <v>-5.0830495315860827E-2</v>
      </c>
      <c r="AQ35" s="76">
        <f t="shared" si="9"/>
        <v>-13244.523779012739</v>
      </c>
      <c r="AR35" s="90">
        <f t="shared" si="10"/>
        <v>-306.61850000000049</v>
      </c>
      <c r="AS35" s="90">
        <f>SUM(J22:J35)</f>
        <v>33771.742999999995</v>
      </c>
      <c r="AT35" s="83">
        <f>SUM(AM22:AM35)</f>
        <v>-173.25700000000529</v>
      </c>
      <c r="AU35" s="83">
        <f>SUM(AN22:AN35)</f>
        <v>17.255253499999771</v>
      </c>
      <c r="AV35" s="83">
        <f>SUM(AO22:AO35)</f>
        <v>-26.456461999999696</v>
      </c>
      <c r="AW35" s="83">
        <f>-SUM(AQ22:AQ35)</f>
        <v>-368.23606352010029</v>
      </c>
    </row>
    <row r="36" spans="1:49" x14ac:dyDescent="0.25">
      <c r="A36" t="str">
        <f t="shared" si="11"/>
        <v>46220M</v>
      </c>
      <c r="B36" s="51">
        <f t="shared" si="27"/>
        <v>46220</v>
      </c>
      <c r="C36" s="52" t="s">
        <v>87</v>
      </c>
      <c r="D36" s="91">
        <v>5340</v>
      </c>
      <c r="E36" s="62">
        <v>4.2</v>
      </c>
      <c r="F36" s="62">
        <v>8</v>
      </c>
      <c r="G36" s="62">
        <f t="shared" si="28"/>
        <v>224.28</v>
      </c>
      <c r="H36" s="63">
        <f t="shared" si="29"/>
        <v>427.2</v>
      </c>
      <c r="I36" s="118">
        <v>2173.75</v>
      </c>
      <c r="J36" s="119">
        <v>2238.9625000000001</v>
      </c>
      <c r="K36" s="120">
        <v>4.2469005175388164</v>
      </c>
      <c r="L36" s="121">
        <v>8.0715606670500293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ref="R36:R48" si="36">+J36+O36</f>
        <v>2238.9625000000001</v>
      </c>
      <c r="S36" s="62">
        <f t="shared" ref="S36:S48" si="37">+J36*K36%+O36*P36%</f>
        <v>95.086510000000033</v>
      </c>
      <c r="T36" s="63">
        <f t="shared" ref="T36:T48" si="38">+J36*L36%+O36*Q36%</f>
        <v>180.71921650000002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25"/>
        <v>0</v>
      </c>
      <c r="AG36" s="63">
        <f t="shared" si="26"/>
        <v>0</v>
      </c>
      <c r="AH36" s="89">
        <v>7577</v>
      </c>
      <c r="AI36" s="66">
        <v>4.21</v>
      </c>
      <c r="AJ36" s="66">
        <v>8.01</v>
      </c>
      <c r="AK36" s="62">
        <f t="shared" si="19"/>
        <v>318.99169999999998</v>
      </c>
      <c r="AL36" s="72">
        <f t="shared" si="20"/>
        <v>606.91770000000008</v>
      </c>
      <c r="AM36" s="73">
        <f t="shared" ref="AM36:AM49" si="39">+D36+R36-AC36-AH36</f>
        <v>1.9624999999996362</v>
      </c>
      <c r="AN36" s="80">
        <f t="shared" ref="AN36:AN49" si="40">+G36+S36-AF36-AK36</f>
        <v>0.3748100000000818</v>
      </c>
      <c r="AO36" s="80">
        <f t="shared" ref="AO36:AO49" si="41">+H36+T36-AG36-AL36</f>
        <v>1.001516499999866</v>
      </c>
      <c r="AP36" s="75">
        <f t="shared" si="24"/>
        <v>4.9902027686867028E-3</v>
      </c>
      <c r="AQ36" s="76">
        <f t="shared" si="9"/>
        <v>480.05367946409513</v>
      </c>
      <c r="AR36">
        <f t="shared" si="10"/>
        <v>1.9624999999996362</v>
      </c>
    </row>
    <row r="37" spans="1:49" x14ac:dyDescent="0.25">
      <c r="A37" t="str">
        <f t="shared" si="11"/>
        <v>46220E</v>
      </c>
      <c r="B37" s="51">
        <f t="shared" si="27"/>
        <v>46220</v>
      </c>
      <c r="C37" s="52" t="s">
        <v>88</v>
      </c>
      <c r="D37" s="91">
        <v>7577</v>
      </c>
      <c r="E37" s="62">
        <v>4.21</v>
      </c>
      <c r="F37" s="62">
        <v>8.01</v>
      </c>
      <c r="G37" s="62">
        <f t="shared" si="28"/>
        <v>318.99169999999998</v>
      </c>
      <c r="H37" s="63">
        <f t="shared" si="29"/>
        <v>606.91770000000008</v>
      </c>
      <c r="I37" s="118">
        <v>2309.4499999999994</v>
      </c>
      <c r="J37" s="119">
        <v>2378.7334999999994</v>
      </c>
      <c r="K37" s="120">
        <v>3.8112515967005129</v>
      </c>
      <c r="L37" s="121">
        <v>7.9869471086189341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36"/>
        <v>2378.7334999999994</v>
      </c>
      <c r="S37" s="62">
        <f t="shared" si="37"/>
        <v>90.659518499999976</v>
      </c>
      <c r="T37" s="63">
        <f t="shared" si="38"/>
        <v>189.98818649999993</v>
      </c>
      <c r="U37" s="64" t="s">
        <v>169</v>
      </c>
      <c r="V37" s="65" t="s">
        <v>670</v>
      </c>
      <c r="W37" s="66" t="s">
        <v>181</v>
      </c>
      <c r="X37" s="67">
        <v>5920</v>
      </c>
      <c r="Y37" s="68">
        <v>4</v>
      </c>
      <c r="Z37" s="68">
        <v>8.2100000000000009</v>
      </c>
      <c r="AA37" s="62">
        <f t="shared" si="15"/>
        <v>236.8</v>
      </c>
      <c r="AB37" s="63">
        <f t="shared" si="16"/>
        <v>486.03200000000004</v>
      </c>
      <c r="AC37" s="69">
        <v>5930</v>
      </c>
      <c r="AD37" s="70">
        <v>3.9000000000000004</v>
      </c>
      <c r="AE37" s="70">
        <v>8.06</v>
      </c>
      <c r="AF37" s="62">
        <f t="shared" si="25"/>
        <v>231.27000000000004</v>
      </c>
      <c r="AG37" s="63">
        <f t="shared" si="26"/>
        <v>477.95800000000003</v>
      </c>
      <c r="AH37" s="89">
        <v>4034</v>
      </c>
      <c r="AI37" s="66">
        <v>4.0999999999999996</v>
      </c>
      <c r="AJ37" s="66">
        <v>7.8</v>
      </c>
      <c r="AK37" s="62">
        <f t="shared" si="19"/>
        <v>165.39399999999998</v>
      </c>
      <c r="AL37" s="72">
        <f t="shared" si="20"/>
        <v>314.65199999999999</v>
      </c>
      <c r="AM37" s="73">
        <f t="shared" si="39"/>
        <v>-8.2665000000015425</v>
      </c>
      <c r="AN37" s="80">
        <f t="shared" si="40"/>
        <v>12.987218499999955</v>
      </c>
      <c r="AO37" s="80">
        <f t="shared" si="41"/>
        <v>4.2958864999999378</v>
      </c>
      <c r="AP37" s="75">
        <f t="shared" si="24"/>
        <v>6.1582919411366281E-2</v>
      </c>
      <c r="AQ37" s="76">
        <f t="shared" si="9"/>
        <v>7527.3609393642073</v>
      </c>
      <c r="AR37">
        <f t="shared" si="10"/>
        <v>1.7334999999984575</v>
      </c>
    </row>
    <row r="38" spans="1:49" x14ac:dyDescent="0.25">
      <c r="A38" t="str">
        <f t="shared" si="11"/>
        <v>46221M</v>
      </c>
      <c r="B38" s="51">
        <f t="shared" si="27"/>
        <v>46221</v>
      </c>
      <c r="C38" s="52" t="s">
        <v>87</v>
      </c>
      <c r="D38" s="91">
        <v>4034</v>
      </c>
      <c r="E38" s="62">
        <v>4.0999999999999996</v>
      </c>
      <c r="F38" s="62">
        <v>7.8</v>
      </c>
      <c r="G38" s="62">
        <f t="shared" si="28"/>
        <v>165.39399999999998</v>
      </c>
      <c r="H38" s="63">
        <f t="shared" si="29"/>
        <v>314.65199999999999</v>
      </c>
      <c r="I38" s="118">
        <v>2333.1999999999994</v>
      </c>
      <c r="J38" s="119">
        <v>2403.1959999999995</v>
      </c>
      <c r="K38" s="120">
        <v>4.4252228698782776</v>
      </c>
      <c r="L38" s="121">
        <v>8.0533987656437507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6"/>
        <v>2403.1959999999995</v>
      </c>
      <c r="S38" s="62">
        <f t="shared" si="37"/>
        <v>106.34677899999996</v>
      </c>
      <c r="T38" s="63">
        <f t="shared" si="38"/>
        <v>193.53895699999993</v>
      </c>
      <c r="U38" s="64" t="s">
        <v>169</v>
      </c>
      <c r="V38" s="65" t="s">
        <v>671</v>
      </c>
      <c r="W38" s="66" t="s">
        <v>181</v>
      </c>
      <c r="X38" s="67">
        <v>5920</v>
      </c>
      <c r="Y38" s="68">
        <v>4.05</v>
      </c>
      <c r="Z38" s="68">
        <v>8.1</v>
      </c>
      <c r="AA38" s="62">
        <f t="shared" si="15"/>
        <v>239.76000000000002</v>
      </c>
      <c r="AB38" s="63">
        <f t="shared" si="16"/>
        <v>479.52000000000004</v>
      </c>
      <c r="AC38" s="69">
        <v>5920</v>
      </c>
      <c r="AD38" s="70">
        <v>4</v>
      </c>
      <c r="AE38" s="70">
        <v>7.96</v>
      </c>
      <c r="AF38" s="62">
        <f t="shared" si="25"/>
        <v>236.8</v>
      </c>
      <c r="AG38" s="63">
        <f t="shared" si="26"/>
        <v>471.23200000000003</v>
      </c>
      <c r="AH38" s="89">
        <v>515</v>
      </c>
      <c r="AI38" s="66">
        <v>4</v>
      </c>
      <c r="AJ38" s="66">
        <v>8</v>
      </c>
      <c r="AK38" s="62">
        <f t="shared" si="19"/>
        <v>20.6</v>
      </c>
      <c r="AL38" s="72">
        <f t="shared" si="20"/>
        <v>41.2</v>
      </c>
      <c r="AM38" s="73">
        <f t="shared" si="39"/>
        <v>2.1959999999999127</v>
      </c>
      <c r="AN38" s="80">
        <f t="shared" si="40"/>
        <v>14.340778999999905</v>
      </c>
      <c r="AO38" s="80">
        <f t="shared" si="41"/>
        <v>-4.2410430000001185</v>
      </c>
      <c r="AP38" s="75">
        <f t="shared" si="24"/>
        <v>3.3678614177233793E-2</v>
      </c>
      <c r="AQ38" s="76">
        <f t="shared" si="9"/>
        <v>5621.0564280294766</v>
      </c>
      <c r="AR38">
        <f t="shared" si="10"/>
        <v>2.1959999999999127</v>
      </c>
    </row>
    <row r="39" spans="1:49" x14ac:dyDescent="0.25">
      <c r="A39" t="str">
        <f t="shared" si="11"/>
        <v>46221E</v>
      </c>
      <c r="B39" s="51">
        <f t="shared" si="27"/>
        <v>46221</v>
      </c>
      <c r="C39" s="52" t="s">
        <v>88</v>
      </c>
      <c r="D39" s="91">
        <v>515</v>
      </c>
      <c r="E39" s="62">
        <v>4</v>
      </c>
      <c r="F39" s="62">
        <v>8</v>
      </c>
      <c r="G39" s="62">
        <f t="shared" si="28"/>
        <v>20.6</v>
      </c>
      <c r="H39" s="63">
        <f t="shared" si="29"/>
        <v>41.2</v>
      </c>
      <c r="I39" s="118">
        <v>3074.1499999999992</v>
      </c>
      <c r="J39" s="119">
        <v>3166.3744999999994</v>
      </c>
      <c r="K39" s="120">
        <v>4.0563602947156134</v>
      </c>
      <c r="L39" s="121">
        <v>8.079173104760665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6"/>
        <v>3166.3744999999994</v>
      </c>
      <c r="S39" s="62">
        <f t="shared" si="37"/>
        <v>128.43955800000001</v>
      </c>
      <c r="T39" s="63">
        <f t="shared" si="38"/>
        <v>255.81687699999992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25"/>
        <v>0</v>
      </c>
      <c r="AG39" s="63">
        <f t="shared" si="26"/>
        <v>0</v>
      </c>
      <c r="AH39" s="89">
        <v>3680</v>
      </c>
      <c r="AI39" s="66">
        <v>4.04</v>
      </c>
      <c r="AJ39" s="66">
        <v>8.06</v>
      </c>
      <c r="AK39" s="62">
        <f t="shared" si="19"/>
        <v>148.672</v>
      </c>
      <c r="AL39" s="72">
        <f t="shared" si="20"/>
        <v>296.608</v>
      </c>
      <c r="AM39" s="73">
        <f t="shared" si="39"/>
        <v>1.3744999999994434</v>
      </c>
      <c r="AN39" s="80">
        <f t="shared" si="40"/>
        <v>0.36755800000000249</v>
      </c>
      <c r="AO39" s="80">
        <f t="shared" si="41"/>
        <v>0.40887699999990446</v>
      </c>
      <c r="AP39" s="75">
        <f t="shared" si="24"/>
        <v>2.0206167790004798E-3</v>
      </c>
      <c r="AQ39" s="76">
        <f t="shared" si="9"/>
        <v>299.07860316708252</v>
      </c>
      <c r="AR39" s="90">
        <f t="shared" si="10"/>
        <v>1.3744999999994434</v>
      </c>
      <c r="AS39" s="90">
        <f>SUM(J26:J39)</f>
        <v>35640.883999999998</v>
      </c>
      <c r="AT39" s="83">
        <f>SUM(AM26:AM39)</f>
        <v>-182.1160000000059</v>
      </c>
      <c r="AU39" s="83">
        <f>SUM(AN26:AN39)</f>
        <v>28.217236499999789</v>
      </c>
      <c r="AV39" s="83">
        <f>SUM(AO26:AO39)</f>
        <v>-22.8319215</v>
      </c>
      <c r="AW39" s="83">
        <f>-SUM(AQ26:AQ39)</f>
        <v>-6721.3432806228311</v>
      </c>
    </row>
    <row r="40" spans="1:49" x14ac:dyDescent="0.25">
      <c r="A40" t="str">
        <f t="shared" si="11"/>
        <v>46222M</v>
      </c>
      <c r="B40" s="51">
        <f t="shared" si="27"/>
        <v>46222</v>
      </c>
      <c r="C40" s="52" t="s">
        <v>87</v>
      </c>
      <c r="D40" s="91">
        <v>3680</v>
      </c>
      <c r="E40" s="62">
        <v>4.04</v>
      </c>
      <c r="F40" s="62">
        <v>8.06</v>
      </c>
      <c r="G40" s="62">
        <f t="shared" si="28"/>
        <v>148.672</v>
      </c>
      <c r="H40" s="63">
        <f t="shared" si="29"/>
        <v>296.608</v>
      </c>
      <c r="I40" s="118">
        <v>2534.4</v>
      </c>
      <c r="J40" s="119">
        <v>2610.4320000000002</v>
      </c>
      <c r="K40" s="120">
        <v>4.1691465435606059</v>
      </c>
      <c r="L40" s="121">
        <v>7.9997099905303015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36"/>
        <v>2610.4320000000002</v>
      </c>
      <c r="S40" s="62">
        <f t="shared" si="37"/>
        <v>108.83273550000001</v>
      </c>
      <c r="T40" s="63">
        <f t="shared" si="38"/>
        <v>208.82698949999997</v>
      </c>
      <c r="U40" s="64" t="s">
        <v>169</v>
      </c>
      <c r="V40" s="65" t="s">
        <v>672</v>
      </c>
      <c r="W40" s="66" t="s">
        <v>181</v>
      </c>
      <c r="X40" s="67">
        <v>5920</v>
      </c>
      <c r="Y40" s="68">
        <v>4.1500000000000004</v>
      </c>
      <c r="Z40" s="68">
        <v>8.1199999999999992</v>
      </c>
      <c r="AA40" s="62">
        <f t="shared" si="15"/>
        <v>245.68</v>
      </c>
      <c r="AB40" s="63">
        <f t="shared" si="16"/>
        <v>480.70399999999995</v>
      </c>
      <c r="AC40" s="69">
        <v>5920</v>
      </c>
      <c r="AD40" s="70">
        <v>4.0999999999999996</v>
      </c>
      <c r="AE40" s="70">
        <v>7.98</v>
      </c>
      <c r="AF40" s="62">
        <f t="shared" si="25"/>
        <v>242.71999999999997</v>
      </c>
      <c r="AG40" s="63">
        <f t="shared" si="26"/>
        <v>472.41600000000005</v>
      </c>
      <c r="AH40" s="89">
        <v>369</v>
      </c>
      <c r="AI40" s="66">
        <v>4</v>
      </c>
      <c r="AJ40" s="66">
        <v>8</v>
      </c>
      <c r="AK40" s="62">
        <f t="shared" si="19"/>
        <v>14.76</v>
      </c>
      <c r="AL40" s="72">
        <f t="shared" si="20"/>
        <v>29.52</v>
      </c>
      <c r="AM40" s="73">
        <f t="shared" si="39"/>
        <v>1.4320000000006985</v>
      </c>
      <c r="AN40" s="80">
        <f t="shared" si="40"/>
        <v>2.4735500000067745E-2</v>
      </c>
      <c r="AO40" s="80">
        <f t="shared" si="41"/>
        <v>3.4989894999999187</v>
      </c>
      <c r="AP40" s="75">
        <f t="shared" si="24"/>
        <v>1.1092766009288671E-2</v>
      </c>
      <c r="AQ40" s="76">
        <f t="shared" si="9"/>
        <v>1059.8024182594595</v>
      </c>
      <c r="AR40" s="90">
        <f t="shared" si="10"/>
        <v>1.4320000000006985</v>
      </c>
    </row>
    <row r="41" spans="1:49" x14ac:dyDescent="0.25">
      <c r="A41" t="str">
        <f t="shared" si="11"/>
        <v>46222E</v>
      </c>
      <c r="B41" s="51">
        <f t="shared" si="27"/>
        <v>46222</v>
      </c>
      <c r="C41" s="52" t="s">
        <v>88</v>
      </c>
      <c r="D41" s="91">
        <v>369</v>
      </c>
      <c r="E41" s="62">
        <v>4</v>
      </c>
      <c r="F41" s="62">
        <v>8</v>
      </c>
      <c r="G41" s="62">
        <f t="shared" si="28"/>
        <v>14.76</v>
      </c>
      <c r="H41" s="63">
        <f t="shared" si="29"/>
        <v>29.52</v>
      </c>
      <c r="I41" s="118">
        <v>3227.1500000000005</v>
      </c>
      <c r="J41" s="119">
        <v>3323.9645000000005</v>
      </c>
      <c r="K41" s="120">
        <v>4.0326402553336536</v>
      </c>
      <c r="L41" s="121">
        <v>8.0465348682273827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36"/>
        <v>3323.9645000000005</v>
      </c>
      <c r="S41" s="62">
        <f t="shared" si="37"/>
        <v>134.0435305</v>
      </c>
      <c r="T41" s="63">
        <f t="shared" si="38"/>
        <v>267.46396250000004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25"/>
        <v>0</v>
      </c>
      <c r="AG41" s="63">
        <f t="shared" si="26"/>
        <v>0</v>
      </c>
      <c r="AH41" s="89">
        <v>3691</v>
      </c>
      <c r="AI41" s="66">
        <v>4.12</v>
      </c>
      <c r="AJ41" s="66">
        <v>8.0299999999999994</v>
      </c>
      <c r="AK41" s="62">
        <f t="shared" si="19"/>
        <v>152.0692</v>
      </c>
      <c r="AL41" s="72">
        <f t="shared" si="20"/>
        <v>296.38729999999998</v>
      </c>
      <c r="AM41" s="73">
        <f t="shared" si="39"/>
        <v>1.9645000000004984</v>
      </c>
      <c r="AN41" s="80">
        <f t="shared" si="40"/>
        <v>-3.2656695000000013</v>
      </c>
      <c r="AO41" s="80">
        <f t="shared" si="41"/>
        <v>0.59666250000003629</v>
      </c>
      <c r="AP41" s="75">
        <f t="shared" si="24"/>
        <v>-6.6474649826770843E-3</v>
      </c>
      <c r="AQ41" s="76">
        <f t="shared" si="9"/>
        <v>-1390.5653736640484</v>
      </c>
      <c r="AR41" s="90">
        <f t="shared" si="10"/>
        <v>1.9645000000004984</v>
      </c>
    </row>
    <row r="42" spans="1:49" x14ac:dyDescent="0.25">
      <c r="A42" t="str">
        <f t="shared" si="11"/>
        <v>46223M</v>
      </c>
      <c r="B42" s="51">
        <f t="shared" si="27"/>
        <v>46223</v>
      </c>
      <c r="C42" s="52" t="s">
        <v>87</v>
      </c>
      <c r="D42" s="91">
        <v>3691</v>
      </c>
      <c r="E42" s="62">
        <v>4.12</v>
      </c>
      <c r="F42" s="62">
        <v>8.0299999999999994</v>
      </c>
      <c r="G42" s="62">
        <f t="shared" si="28"/>
        <v>152.0692</v>
      </c>
      <c r="H42" s="63">
        <f t="shared" si="29"/>
        <v>296.38729999999998</v>
      </c>
      <c r="I42" s="118">
        <v>1782.0999999999997</v>
      </c>
      <c r="J42" s="119">
        <v>1835.5629999999996</v>
      </c>
      <c r="K42" s="120">
        <v>4.107665114191124</v>
      </c>
      <c r="L42" s="121">
        <v>8.0707227428314923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36"/>
        <v>1835.5629999999996</v>
      </c>
      <c r="S42" s="62">
        <f t="shared" si="37"/>
        <v>75.398781</v>
      </c>
      <c r="T42" s="63">
        <f t="shared" si="38"/>
        <v>148.14320049999998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25"/>
        <v>0</v>
      </c>
      <c r="AG42" s="63">
        <f t="shared" si="26"/>
        <v>0</v>
      </c>
      <c r="AH42" s="89">
        <v>5525</v>
      </c>
      <c r="AI42" s="66">
        <v>4.1100000000000003</v>
      </c>
      <c r="AJ42" s="66">
        <v>8.0399999999999991</v>
      </c>
      <c r="AK42" s="62">
        <f t="shared" si="19"/>
        <v>227.07750000000001</v>
      </c>
      <c r="AL42" s="72">
        <f t="shared" si="20"/>
        <v>444.20999999999992</v>
      </c>
      <c r="AM42" s="73">
        <f t="shared" si="39"/>
        <v>1.5630000000001019</v>
      </c>
      <c r="AN42" s="80">
        <f t="shared" si="40"/>
        <v>0.39048099999999408</v>
      </c>
      <c r="AO42" s="80">
        <f t="shared" si="41"/>
        <v>0.32050050000003694</v>
      </c>
      <c r="AP42" s="75">
        <f t="shared" si="24"/>
        <v>3.1805278598196159E-3</v>
      </c>
      <c r="AQ42" s="76">
        <f t="shared" si="9"/>
        <v>283.62587575160035</v>
      </c>
      <c r="AR42" s="90">
        <f>(D42+J42+O42)-(X42+AH42)</f>
        <v>1.5630000000001019</v>
      </c>
    </row>
    <row r="43" spans="1:49" x14ac:dyDescent="0.25">
      <c r="A43" t="str">
        <f t="shared" si="11"/>
        <v>46223E</v>
      </c>
      <c r="B43" s="51">
        <f t="shared" si="27"/>
        <v>46223</v>
      </c>
      <c r="C43" s="52" t="s">
        <v>88</v>
      </c>
      <c r="D43" s="91">
        <v>5525</v>
      </c>
      <c r="E43" s="62">
        <v>4.1100000000000003</v>
      </c>
      <c r="F43" s="62">
        <v>8.0399999999999991</v>
      </c>
      <c r="G43" s="62">
        <f t="shared" si="28"/>
        <v>227.07750000000001</v>
      </c>
      <c r="H43" s="63">
        <f t="shared" si="29"/>
        <v>444.20999999999992</v>
      </c>
      <c r="I43" s="118">
        <v>2999.9500000000003</v>
      </c>
      <c r="J43" s="119">
        <v>3089.9485000000004</v>
      </c>
      <c r="K43" s="120">
        <v>4.1749945832430537</v>
      </c>
      <c r="L43" s="121">
        <v>8.1171769529492135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36"/>
        <v>3089.9485000000004</v>
      </c>
      <c r="S43" s="62">
        <f t="shared" si="37"/>
        <v>129.00518250000002</v>
      </c>
      <c r="T43" s="63">
        <f t="shared" si="38"/>
        <v>250.81658749999997</v>
      </c>
      <c r="U43" s="64" t="s">
        <v>174</v>
      </c>
      <c r="V43" s="65" t="s">
        <v>736</v>
      </c>
      <c r="W43" s="66" t="s">
        <v>181</v>
      </c>
      <c r="X43" s="67">
        <v>7160</v>
      </c>
      <c r="Y43" s="68">
        <v>4.1500000000000004</v>
      </c>
      <c r="Z43" s="68">
        <v>8.11</v>
      </c>
      <c r="AA43" s="62">
        <f t="shared" si="15"/>
        <v>297.14000000000004</v>
      </c>
      <c r="AB43" s="63">
        <f t="shared" si="16"/>
        <v>580.67599999999993</v>
      </c>
      <c r="AC43" s="69">
        <v>7130</v>
      </c>
      <c r="AD43" s="70">
        <v>4.0999999999999988</v>
      </c>
      <c r="AE43" s="70">
        <v>7.9800000000000013</v>
      </c>
      <c r="AF43" s="62">
        <f t="shared" si="25"/>
        <v>292.32999999999993</v>
      </c>
      <c r="AG43" s="63">
        <f t="shared" si="26"/>
        <v>568.97400000000005</v>
      </c>
      <c r="AH43" s="89">
        <v>1453</v>
      </c>
      <c r="AI43" s="66">
        <v>4.1500000000000004</v>
      </c>
      <c r="AJ43" s="66">
        <v>8.1</v>
      </c>
      <c r="AK43" s="62">
        <f t="shared" si="19"/>
        <v>60.299500000000002</v>
      </c>
      <c r="AL43" s="72">
        <f t="shared" si="20"/>
        <v>117.693</v>
      </c>
      <c r="AM43" s="73">
        <f t="shared" si="39"/>
        <v>31.948500000000422</v>
      </c>
      <c r="AN43" s="80">
        <f t="shared" si="40"/>
        <v>3.4531825000001035</v>
      </c>
      <c r="AO43" s="80">
        <f t="shared" si="41"/>
        <v>8.3595874999998472</v>
      </c>
      <c r="AP43" s="75">
        <f t="shared" si="24"/>
        <v>3.1100823946979002E-2</v>
      </c>
      <c r="AQ43" s="76">
        <f t="shared" si="9"/>
        <v>4162.9886149274535</v>
      </c>
      <c r="AR43" s="90">
        <f t="shared" si="10"/>
        <v>1.948500000000422</v>
      </c>
    </row>
    <row r="44" spans="1:49" x14ac:dyDescent="0.25">
      <c r="A44" t="str">
        <f t="shared" si="11"/>
        <v>46224M</v>
      </c>
      <c r="B44" s="51">
        <f t="shared" si="27"/>
        <v>46224</v>
      </c>
      <c r="C44" s="52" t="s">
        <v>87</v>
      </c>
      <c r="D44" s="91">
        <v>1453</v>
      </c>
      <c r="E44" s="62">
        <v>4.1500000000000004</v>
      </c>
      <c r="F44" s="62">
        <v>8.1</v>
      </c>
      <c r="G44" s="62">
        <f t="shared" ref="G44:G65" si="42">+D44*E44%</f>
        <v>60.299500000000002</v>
      </c>
      <c r="H44" s="63">
        <f t="shared" ref="H44:H65" si="43">+D44*F44%</f>
        <v>117.693</v>
      </c>
      <c r="I44" s="118">
        <v>2570.0999999999995</v>
      </c>
      <c r="J44" s="119">
        <v>2647.2029999999995</v>
      </c>
      <c r="K44" s="120">
        <v>4.3124022411579332</v>
      </c>
      <c r="L44" s="121">
        <v>8.0585716509085241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36"/>
        <v>2647.2029999999995</v>
      </c>
      <c r="S44" s="62">
        <f t="shared" si="37"/>
        <v>114.15804150000002</v>
      </c>
      <c r="T44" s="63">
        <f t="shared" si="38"/>
        <v>213.32675049999995</v>
      </c>
      <c r="U44" s="64" t="s">
        <v>169</v>
      </c>
      <c r="V44" s="65" t="s">
        <v>737</v>
      </c>
      <c r="W44" s="66" t="s">
        <v>182</v>
      </c>
      <c r="X44" s="67">
        <v>2960</v>
      </c>
      <c r="Y44" s="68">
        <v>4.05</v>
      </c>
      <c r="Z44" s="68">
        <v>8.2200000000000006</v>
      </c>
      <c r="AA44" s="62">
        <f t="shared" si="15"/>
        <v>119.88000000000001</v>
      </c>
      <c r="AB44" s="63">
        <f t="shared" si="16"/>
        <v>243.31200000000004</v>
      </c>
      <c r="AC44" s="69">
        <v>2970</v>
      </c>
      <c r="AD44" s="70">
        <v>4</v>
      </c>
      <c r="AE44" s="70">
        <v>8.2100000000000009</v>
      </c>
      <c r="AF44" s="62">
        <f t="shared" si="25"/>
        <v>118.8</v>
      </c>
      <c r="AG44" s="63">
        <f t="shared" si="26"/>
        <v>243.83700000000002</v>
      </c>
      <c r="AH44" s="89">
        <v>1139</v>
      </c>
      <c r="AI44" s="66">
        <v>4.2</v>
      </c>
      <c r="AJ44" s="66">
        <v>8.1</v>
      </c>
      <c r="AK44" s="62">
        <f t="shared" si="19"/>
        <v>47.838000000000001</v>
      </c>
      <c r="AL44" s="72">
        <f t="shared" si="20"/>
        <v>92.259</v>
      </c>
      <c r="AM44" s="73">
        <f t="shared" si="39"/>
        <v>-8.7970000000004802</v>
      </c>
      <c r="AN44" s="80">
        <f t="shared" si="40"/>
        <v>7.819541500000021</v>
      </c>
      <c r="AO44" s="80">
        <f t="shared" si="41"/>
        <v>-5.0762495000000882</v>
      </c>
      <c r="AP44" s="75">
        <f t="shared" si="24"/>
        <v>8.376853115059868E-3</v>
      </c>
      <c r="AQ44" s="76">
        <f t="shared" si="9"/>
        <v>2237.2526549932204</v>
      </c>
      <c r="AR44" s="90">
        <f t="shared" si="10"/>
        <v>1.2029999999995198</v>
      </c>
    </row>
    <row r="45" spans="1:49" x14ac:dyDescent="0.25">
      <c r="A45" t="str">
        <f t="shared" si="11"/>
        <v>46224E</v>
      </c>
      <c r="B45" s="51">
        <f t="shared" si="27"/>
        <v>46224</v>
      </c>
      <c r="C45" s="52" t="s">
        <v>88</v>
      </c>
      <c r="D45" s="91">
        <v>1139</v>
      </c>
      <c r="E45" s="62">
        <v>4.2</v>
      </c>
      <c r="F45" s="62">
        <v>8.1</v>
      </c>
      <c r="G45" s="62">
        <f t="shared" si="42"/>
        <v>47.838000000000001</v>
      </c>
      <c r="H45" s="63">
        <f t="shared" si="43"/>
        <v>92.259</v>
      </c>
      <c r="I45" s="118">
        <v>3428.1499999999992</v>
      </c>
      <c r="J45" s="119">
        <v>3530.9944999999993</v>
      </c>
      <c r="K45" s="120">
        <v>4.0063649490249844</v>
      </c>
      <c r="L45" s="121">
        <v>8.112139200443389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36"/>
        <v>3530.9944999999993</v>
      </c>
      <c r="S45" s="62">
        <f t="shared" si="37"/>
        <v>141.46452599999998</v>
      </c>
      <c r="T45" s="63">
        <f t="shared" si="38"/>
        <v>286.43918899999994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25"/>
        <v>0</v>
      </c>
      <c r="AG45" s="63">
        <f t="shared" si="26"/>
        <v>0</v>
      </c>
      <c r="AH45" s="89">
        <v>4668</v>
      </c>
      <c r="AI45" s="66">
        <v>4.04</v>
      </c>
      <c r="AJ45" s="66">
        <v>8.1</v>
      </c>
      <c r="AK45" s="62">
        <f t="shared" si="19"/>
        <v>188.5872</v>
      </c>
      <c r="AL45" s="72">
        <f t="shared" si="20"/>
        <v>378.108</v>
      </c>
      <c r="AM45" s="73">
        <f t="shared" si="39"/>
        <v>1.9944999999988795</v>
      </c>
      <c r="AN45" s="80">
        <f t="shared" si="40"/>
        <v>0.71532599999997615</v>
      </c>
      <c r="AO45" s="80">
        <f t="shared" si="41"/>
        <v>0.59018899999995256</v>
      </c>
      <c r="AP45" s="75">
        <f t="shared" si="24"/>
        <v>3.0509550495487728E-3</v>
      </c>
      <c r="AQ45" s="76">
        <f t="shared" si="9"/>
        <v>520.49377564035603</v>
      </c>
      <c r="AR45" s="90">
        <f t="shared" si="10"/>
        <v>1.9944999999988795</v>
      </c>
    </row>
    <row r="46" spans="1:49" ht="14.25" customHeight="1" x14ac:dyDescent="0.25">
      <c r="A46" t="str">
        <f t="shared" si="11"/>
        <v>46225M</v>
      </c>
      <c r="B46" s="51">
        <f t="shared" si="27"/>
        <v>46225</v>
      </c>
      <c r="C46" s="52" t="s">
        <v>87</v>
      </c>
      <c r="D46" s="91">
        <v>4668</v>
      </c>
      <c r="E46" s="62">
        <v>4.04</v>
      </c>
      <c r="F46" s="62">
        <v>8.1</v>
      </c>
      <c r="G46" s="62">
        <f t="shared" si="42"/>
        <v>188.5872</v>
      </c>
      <c r="H46" s="63">
        <f t="shared" si="43"/>
        <v>378.108</v>
      </c>
      <c r="I46" s="118">
        <v>2004.2000000000012</v>
      </c>
      <c r="J46" s="119">
        <v>2064.3260000000014</v>
      </c>
      <c r="K46" s="120">
        <v>4.2402903901806219</v>
      </c>
      <c r="L46" s="121">
        <v>8.0673909789442195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36"/>
        <v>2064.3260000000014</v>
      </c>
      <c r="S46" s="62">
        <f t="shared" si="37"/>
        <v>87.533417000000085</v>
      </c>
      <c r="T46" s="63">
        <f t="shared" si="38"/>
        <v>166.53724950000017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25"/>
        <v>0</v>
      </c>
      <c r="AG46" s="63">
        <f t="shared" si="26"/>
        <v>0</v>
      </c>
      <c r="AH46" s="89">
        <v>6751</v>
      </c>
      <c r="AI46" s="66">
        <v>4.09</v>
      </c>
      <c r="AJ46" s="66">
        <v>8.08</v>
      </c>
      <c r="AK46" s="62">
        <f t="shared" si="19"/>
        <v>276.11590000000001</v>
      </c>
      <c r="AL46" s="72">
        <f t="shared" si="20"/>
        <v>545.48079999999993</v>
      </c>
      <c r="AM46" s="73">
        <f t="shared" si="39"/>
        <v>-18.673999999999069</v>
      </c>
      <c r="AN46" s="80">
        <f t="shared" si="40"/>
        <v>4.7170000000846812E-3</v>
      </c>
      <c r="AO46" s="80">
        <f t="shared" si="41"/>
        <v>-0.83555049999972653</v>
      </c>
      <c r="AP46" s="75">
        <f t="shared" si="24"/>
        <v>-3.270088245309661E-3</v>
      </c>
      <c r="AQ46" s="76">
        <f t="shared" si="9"/>
        <v>-247.97326423083504</v>
      </c>
      <c r="AR46" s="90">
        <f t="shared" si="10"/>
        <v>-18.673999999999069</v>
      </c>
    </row>
    <row r="47" spans="1:49" x14ac:dyDescent="0.25">
      <c r="A47" t="str">
        <f t="shared" si="11"/>
        <v>46225E</v>
      </c>
      <c r="B47" s="51">
        <f t="shared" si="27"/>
        <v>46225</v>
      </c>
      <c r="C47" s="52" t="s">
        <v>88</v>
      </c>
      <c r="D47" s="91">
        <v>6751</v>
      </c>
      <c r="E47" s="62">
        <v>4.09</v>
      </c>
      <c r="F47" s="62">
        <v>8.08</v>
      </c>
      <c r="G47" s="62">
        <f t="shared" si="42"/>
        <v>276.11590000000001</v>
      </c>
      <c r="H47" s="63">
        <f t="shared" si="43"/>
        <v>545.48079999999993</v>
      </c>
      <c r="I47" s="118">
        <v>3539.8000000000006</v>
      </c>
      <c r="J47" s="119">
        <v>3645.9940000000006</v>
      </c>
      <c r="K47" s="120">
        <v>4.033226453471948</v>
      </c>
      <c r="L47" s="121">
        <v>8.1740281936832613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36"/>
        <v>3645.9940000000006</v>
      </c>
      <c r="S47" s="62">
        <f t="shared" si="37"/>
        <v>147.05119450000004</v>
      </c>
      <c r="T47" s="63">
        <f t="shared" si="38"/>
        <v>298.02457750000013</v>
      </c>
      <c r="U47" s="64" t="s">
        <v>174</v>
      </c>
      <c r="V47" s="65" t="s">
        <v>742</v>
      </c>
      <c r="W47" s="66" t="s">
        <v>182</v>
      </c>
      <c r="X47" s="67">
        <v>7160</v>
      </c>
      <c r="Y47" s="68">
        <v>4.2000000000000011</v>
      </c>
      <c r="Z47" s="68">
        <v>8.1199999999999992</v>
      </c>
      <c r="AA47" s="62">
        <f t="shared" si="15"/>
        <v>300.72000000000008</v>
      </c>
      <c r="AB47" s="63">
        <f t="shared" si="16"/>
        <v>581.39199999999994</v>
      </c>
      <c r="AC47" s="69">
        <v>7140</v>
      </c>
      <c r="AD47" s="70">
        <v>4.102521008403361</v>
      </c>
      <c r="AE47" s="70">
        <v>8.1005042016806712</v>
      </c>
      <c r="AF47" s="62">
        <f t="shared" si="25"/>
        <v>292.92</v>
      </c>
      <c r="AG47" s="63">
        <f t="shared" si="26"/>
        <v>578.37599999999986</v>
      </c>
      <c r="AH47" s="89">
        <v>3235</v>
      </c>
      <c r="AI47" s="66">
        <v>4</v>
      </c>
      <c r="AJ47" s="66">
        <v>8.11</v>
      </c>
      <c r="AK47" s="62">
        <f t="shared" si="19"/>
        <v>129.4</v>
      </c>
      <c r="AL47" s="72">
        <f t="shared" si="20"/>
        <v>262.35849999999999</v>
      </c>
      <c r="AM47" s="73">
        <f t="shared" si="39"/>
        <v>21.994000000000597</v>
      </c>
      <c r="AN47" s="80">
        <f t="shared" si="40"/>
        <v>0.84709450000005404</v>
      </c>
      <c r="AO47" s="80">
        <f t="shared" si="41"/>
        <v>2.7708775000002674</v>
      </c>
      <c r="AP47" s="75">
        <f t="shared" si="24"/>
        <v>8.1288900174065655E-3</v>
      </c>
      <c r="AQ47" s="76">
        <f t="shared" si="9"/>
        <v>1236.9096206307245</v>
      </c>
      <c r="AR47" s="90">
        <f t="shared" si="10"/>
        <v>1.9940000000005966</v>
      </c>
    </row>
    <row r="48" spans="1:49" x14ac:dyDescent="0.25">
      <c r="A48" t="str">
        <f t="shared" si="11"/>
        <v>46226M</v>
      </c>
      <c r="B48" s="51">
        <f t="shared" si="27"/>
        <v>46226</v>
      </c>
      <c r="C48" s="52" t="s">
        <v>87</v>
      </c>
      <c r="D48" s="91">
        <v>3235</v>
      </c>
      <c r="E48" s="62">
        <v>4</v>
      </c>
      <c r="F48" s="62">
        <v>8.11</v>
      </c>
      <c r="G48" s="62">
        <f t="shared" si="42"/>
        <v>129.4</v>
      </c>
      <c r="H48" s="63">
        <f t="shared" si="43"/>
        <v>262.35849999999999</v>
      </c>
      <c r="I48" s="118">
        <v>1456.3000000000002</v>
      </c>
      <c r="J48" s="119">
        <v>1499.9890000000003</v>
      </c>
      <c r="K48" s="120">
        <v>4.1344091190002077</v>
      </c>
      <c r="L48" s="121">
        <v>8.0657282153402452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36"/>
        <v>1499.9890000000003</v>
      </c>
      <c r="S48" s="62">
        <f t="shared" si="37"/>
        <v>62.015682000000034</v>
      </c>
      <c r="T48" s="63">
        <f t="shared" si="38"/>
        <v>120.98503600000001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25"/>
        <v>0</v>
      </c>
      <c r="AG48" s="63">
        <f t="shared" si="26"/>
        <v>0</v>
      </c>
      <c r="AH48" s="89">
        <v>4733</v>
      </c>
      <c r="AI48" s="66">
        <v>4.03</v>
      </c>
      <c r="AJ48" s="66">
        <v>8.09</v>
      </c>
      <c r="AK48" s="62">
        <f t="shared" si="19"/>
        <v>190.73990000000001</v>
      </c>
      <c r="AL48" s="72">
        <f t="shared" si="20"/>
        <v>382.8997</v>
      </c>
      <c r="AM48" s="73">
        <f t="shared" si="39"/>
        <v>1.9890000000004875</v>
      </c>
      <c r="AN48" s="80">
        <f t="shared" si="40"/>
        <v>0.67578200000002653</v>
      </c>
      <c r="AO48" s="80">
        <f t="shared" si="41"/>
        <v>0.44383599999997614</v>
      </c>
      <c r="AP48" s="75">
        <f t="shared" si="24"/>
        <v>6.1181071431643374E-3</v>
      </c>
      <c r="AQ48" s="76">
        <f t="shared" si="9"/>
        <v>457.66017603373007</v>
      </c>
      <c r="AR48" s="90">
        <f t="shared" si="10"/>
        <v>1.9890000000004875</v>
      </c>
    </row>
    <row r="49" spans="1:49" x14ac:dyDescent="0.25">
      <c r="A49" t="str">
        <f t="shared" si="11"/>
        <v>46226E</v>
      </c>
      <c r="B49" s="51">
        <f t="shared" si="27"/>
        <v>46226</v>
      </c>
      <c r="C49" s="52" t="s">
        <v>88</v>
      </c>
      <c r="D49" s="91">
        <v>4733</v>
      </c>
      <c r="E49" s="62">
        <v>4.03</v>
      </c>
      <c r="F49" s="62">
        <v>8.09</v>
      </c>
      <c r="G49" s="62">
        <f t="shared" si="42"/>
        <v>190.73990000000001</v>
      </c>
      <c r="H49" s="63">
        <f t="shared" si="43"/>
        <v>382.8997</v>
      </c>
      <c r="I49" s="118">
        <v>2676.150000000001</v>
      </c>
      <c r="J49" s="119">
        <v>2756.4345000000012</v>
      </c>
      <c r="K49" s="120">
        <v>4.2730134708443082</v>
      </c>
      <c r="L49" s="121">
        <v>8.4822693047848556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ref="R49:R63" si="44">+J49+O49</f>
        <v>2756.4345000000012</v>
      </c>
      <c r="S49" s="62">
        <f t="shared" ref="S49:S63" si="45">+J49*K49%+O49*P49%</f>
        <v>117.78281750000001</v>
      </c>
      <c r="T49" s="63">
        <f t="shared" ref="T49:T63" si="46">+J49*L49%+O49*Q49%</f>
        <v>233.80819750000003</v>
      </c>
      <c r="U49" s="64" t="s">
        <v>174</v>
      </c>
      <c r="V49" s="65" t="s">
        <v>743</v>
      </c>
      <c r="W49" s="66" t="s">
        <v>181</v>
      </c>
      <c r="X49" s="67">
        <v>7160</v>
      </c>
      <c r="Y49" s="68">
        <v>3.85</v>
      </c>
      <c r="Z49" s="68">
        <v>8.18</v>
      </c>
      <c r="AA49" s="62">
        <f t="shared" si="15"/>
        <v>275.65999999999997</v>
      </c>
      <c r="AB49" s="63">
        <f t="shared" si="16"/>
        <v>585.68799999999999</v>
      </c>
      <c r="AC49" s="69">
        <v>7130</v>
      </c>
      <c r="AD49" s="70">
        <v>3.8000000000000003</v>
      </c>
      <c r="AE49" s="70">
        <v>8.1</v>
      </c>
      <c r="AF49" s="62">
        <f t="shared" si="25"/>
        <v>270.94000000000005</v>
      </c>
      <c r="AG49" s="63">
        <f t="shared" si="26"/>
        <v>577.53</v>
      </c>
      <c r="AH49" s="89">
        <v>1150</v>
      </c>
      <c r="AI49" s="66">
        <v>4.3</v>
      </c>
      <c r="AJ49" s="66">
        <v>8.3000000000000007</v>
      </c>
      <c r="AK49" s="62">
        <f t="shared" si="19"/>
        <v>49.449999999999996</v>
      </c>
      <c r="AL49" s="72">
        <f t="shared" si="20"/>
        <v>95.45</v>
      </c>
      <c r="AM49" s="73">
        <f t="shared" si="39"/>
        <v>-790.56549999999879</v>
      </c>
      <c r="AN49" s="80">
        <f t="shared" si="40"/>
        <v>-11.867282500000051</v>
      </c>
      <c r="AO49" s="80">
        <f t="shared" si="41"/>
        <v>-56.272102499999917</v>
      </c>
      <c r="AP49" s="75">
        <f t="shared" si="24"/>
        <v>-0.19380297588093931</v>
      </c>
      <c r="AQ49" s="76">
        <f t="shared" si="9"/>
        <v>-22555.609214613625</v>
      </c>
      <c r="AR49" s="90">
        <f t="shared" ref="AR49:AR63" si="47">(D49+J49+O49)-(X49+AH49)</f>
        <v>-820.56549999999879</v>
      </c>
      <c r="AS49" s="90">
        <f>SUM(J36:J49)</f>
        <v>37192.115500000007</v>
      </c>
      <c r="AT49" s="83">
        <f>SUM(AM36:AM49)</f>
        <v>-757.88449999999921</v>
      </c>
      <c r="AU49" s="83">
        <f>SUM(AN36:AN49)</f>
        <v>26.868273500000221</v>
      </c>
      <c r="AV49" s="83">
        <f>SUM(AO36:AO49)</f>
        <v>-44.138023000000103</v>
      </c>
      <c r="AW49" s="83">
        <f>-SUM(AQ36:AQ49)</f>
        <v>307.86506624710091</v>
      </c>
    </row>
    <row r="50" spans="1:49" x14ac:dyDescent="0.25">
      <c r="A50" t="str">
        <f t="shared" si="11"/>
        <v>46227M</v>
      </c>
      <c r="B50" s="51">
        <f t="shared" si="27"/>
        <v>46227</v>
      </c>
      <c r="C50" s="52" t="s">
        <v>87</v>
      </c>
      <c r="D50" s="91">
        <v>1150</v>
      </c>
      <c r="E50" s="62">
        <v>4.3</v>
      </c>
      <c r="F50" s="62">
        <v>8.3000000000000007</v>
      </c>
      <c r="G50" s="62">
        <f t="shared" si="42"/>
        <v>49.449999999999996</v>
      </c>
      <c r="H50" s="63">
        <f t="shared" si="43"/>
        <v>95.45</v>
      </c>
      <c r="I50" s="118">
        <v>2775.0000000000014</v>
      </c>
      <c r="J50" s="119">
        <v>2858.2500000000014</v>
      </c>
      <c r="K50" s="120">
        <v>3.991362162162162</v>
      </c>
      <c r="L50" s="121">
        <v>8.0352270270270232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44"/>
        <v>2858.2500000000014</v>
      </c>
      <c r="S50" s="62">
        <f t="shared" si="45"/>
        <v>114.08310900000005</v>
      </c>
      <c r="T50" s="63">
        <f t="shared" si="46"/>
        <v>229.66687649999997</v>
      </c>
      <c r="U50" s="64" t="s">
        <v>169</v>
      </c>
      <c r="V50" s="65" t="s">
        <v>893</v>
      </c>
      <c r="W50" s="66" t="s">
        <v>181</v>
      </c>
      <c r="X50" s="67">
        <v>2950</v>
      </c>
      <c r="Y50" s="68">
        <v>3.9</v>
      </c>
      <c r="Z50" s="68">
        <v>8.19</v>
      </c>
      <c r="AA50" s="62">
        <f t="shared" si="15"/>
        <v>115.05</v>
      </c>
      <c r="AB50" s="63">
        <f t="shared" si="16"/>
        <v>241.60499999999999</v>
      </c>
      <c r="AC50" s="69">
        <v>2960</v>
      </c>
      <c r="AD50" s="70">
        <v>3.9</v>
      </c>
      <c r="AE50" s="70">
        <v>8.06</v>
      </c>
      <c r="AF50" s="62">
        <f t="shared" si="25"/>
        <v>115.44</v>
      </c>
      <c r="AG50" s="63">
        <f t="shared" si="26"/>
        <v>238.57600000000002</v>
      </c>
      <c r="AH50" s="89">
        <v>1056</v>
      </c>
      <c r="AI50" s="66">
        <v>4.0999999999999996</v>
      </c>
      <c r="AJ50" s="66">
        <v>8</v>
      </c>
      <c r="AK50" s="62">
        <f t="shared" si="19"/>
        <v>43.295999999999992</v>
      </c>
      <c r="AL50" s="72">
        <f t="shared" si="20"/>
        <v>84.48</v>
      </c>
      <c r="AM50" s="73">
        <f t="shared" ref="AM50:AM63" si="48">+D50+R50-AC50-AH50</f>
        <v>-7.7499999999986358</v>
      </c>
      <c r="AN50" s="80">
        <f t="shared" ref="AN50:AN63" si="49">+G50+S50-AF50-AK50</f>
        <v>4.7971090000000629</v>
      </c>
      <c r="AO50" s="80">
        <f t="shared" ref="AO50:AO63" si="50">+H50+T50-AG50-AL50</f>
        <v>2.0608764999999636</v>
      </c>
      <c r="AP50" s="75">
        <f t="shared" si="24"/>
        <v>1.9950504114275885E-2</v>
      </c>
      <c r="AQ50" s="76">
        <f t="shared" si="9"/>
        <v>2922.3811680256022</v>
      </c>
      <c r="AR50" s="90">
        <f t="shared" si="47"/>
        <v>2.2500000000013642</v>
      </c>
    </row>
    <row r="51" spans="1:49" x14ac:dyDescent="0.25">
      <c r="A51" t="str">
        <f t="shared" si="11"/>
        <v>46227E</v>
      </c>
      <c r="B51" s="51">
        <f t="shared" si="27"/>
        <v>46227</v>
      </c>
      <c r="C51" s="52" t="s">
        <v>88</v>
      </c>
      <c r="D51" s="91">
        <v>1056</v>
      </c>
      <c r="E51" s="62">
        <v>4.0999999999999996</v>
      </c>
      <c r="F51" s="62">
        <v>8</v>
      </c>
      <c r="G51" s="62">
        <f t="shared" si="42"/>
        <v>43.295999999999992</v>
      </c>
      <c r="H51" s="63">
        <f t="shared" si="43"/>
        <v>84.48</v>
      </c>
      <c r="I51" s="118">
        <v>3981.5</v>
      </c>
      <c r="J51" s="119">
        <v>4100.9449999999997</v>
      </c>
      <c r="K51" s="120">
        <v>4.208278287077734</v>
      </c>
      <c r="L51" s="121">
        <v>8.1132990079115874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44"/>
        <v>4100.9449999999997</v>
      </c>
      <c r="S51" s="62">
        <f t="shared" si="45"/>
        <v>172.57917799999996</v>
      </c>
      <c r="T51" s="63">
        <f t="shared" si="46"/>
        <v>332.72192999999982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25"/>
        <v>0</v>
      </c>
      <c r="AG51" s="63">
        <f t="shared" si="26"/>
        <v>0</v>
      </c>
      <c r="AH51" s="89">
        <v>5155</v>
      </c>
      <c r="AI51" s="66">
        <v>4.18</v>
      </c>
      <c r="AJ51" s="66">
        <v>8.08</v>
      </c>
      <c r="AK51" s="62">
        <f t="shared" si="19"/>
        <v>215.47899999999998</v>
      </c>
      <c r="AL51" s="72">
        <f t="shared" si="20"/>
        <v>416.524</v>
      </c>
      <c r="AM51" s="73">
        <f t="shared" si="48"/>
        <v>1.944999999999709</v>
      </c>
      <c r="AN51" s="80">
        <f t="shared" si="49"/>
        <v>0.3961779999999635</v>
      </c>
      <c r="AO51" s="80">
        <f t="shared" si="50"/>
        <v>0.67792999999983294</v>
      </c>
      <c r="AP51" s="75">
        <f t="shared" si="24"/>
        <v>2.1256790911287631E-3</v>
      </c>
      <c r="AQ51" s="76">
        <f t="shared" si="9"/>
        <v>393.41042289844086</v>
      </c>
      <c r="AR51" s="90">
        <f t="shared" si="47"/>
        <v>1.944999999999709</v>
      </c>
    </row>
    <row r="52" spans="1:49" x14ac:dyDescent="0.25">
      <c r="A52" t="str">
        <f t="shared" si="11"/>
        <v>46228M</v>
      </c>
      <c r="B52" s="51">
        <f t="shared" si="27"/>
        <v>46228</v>
      </c>
      <c r="C52" s="52" t="s">
        <v>87</v>
      </c>
      <c r="D52" s="91">
        <v>5155</v>
      </c>
      <c r="E52" s="62">
        <v>4.18</v>
      </c>
      <c r="F52" s="62">
        <v>8.08</v>
      </c>
      <c r="G52" s="62">
        <f t="shared" si="42"/>
        <v>215.47899999999998</v>
      </c>
      <c r="H52" s="63">
        <f t="shared" si="43"/>
        <v>416.524</v>
      </c>
      <c r="I52" s="118">
        <v>1333</v>
      </c>
      <c r="J52" s="119">
        <v>1372.99</v>
      </c>
      <c r="K52" s="120">
        <v>4.1977494373593407</v>
      </c>
      <c r="L52" s="121">
        <v>8.065315078769693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44"/>
        <v>1372.99</v>
      </c>
      <c r="S52" s="62">
        <f t="shared" si="45"/>
        <v>57.634680000000017</v>
      </c>
      <c r="T52" s="63">
        <f t="shared" si="46"/>
        <v>110.73596950000001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25"/>
        <v>0</v>
      </c>
      <c r="AG52" s="63">
        <f t="shared" si="26"/>
        <v>0</v>
      </c>
      <c r="AH52" s="89">
        <v>6526</v>
      </c>
      <c r="AI52" s="66">
        <v>4.18</v>
      </c>
      <c r="AJ52" s="66">
        <v>8.06</v>
      </c>
      <c r="AK52" s="62">
        <f t="shared" si="19"/>
        <v>272.78679999999997</v>
      </c>
      <c r="AL52" s="72">
        <f t="shared" si="20"/>
        <v>525.99560000000008</v>
      </c>
      <c r="AM52" s="73">
        <f t="shared" si="48"/>
        <v>1.9899999999997817</v>
      </c>
      <c r="AN52" s="80">
        <f t="shared" si="49"/>
        <v>0.32688000000001693</v>
      </c>
      <c r="AO52" s="80">
        <f t="shared" si="50"/>
        <v>1.2643694999999298</v>
      </c>
      <c r="AP52" s="75">
        <f t="shared" si="24"/>
        <v>9.4508722554992961E-3</v>
      </c>
      <c r="AQ52" s="76">
        <f t="shared" si="9"/>
        <v>535.74388796216692</v>
      </c>
      <c r="AR52" s="90">
        <f t="shared" si="47"/>
        <v>1.9899999999997817</v>
      </c>
    </row>
    <row r="53" spans="1:49" x14ac:dyDescent="0.25">
      <c r="A53" t="str">
        <f t="shared" si="11"/>
        <v>46228E</v>
      </c>
      <c r="B53" s="51">
        <f t="shared" si="27"/>
        <v>46228</v>
      </c>
      <c r="C53" s="52" t="s">
        <v>88</v>
      </c>
      <c r="D53" s="91">
        <v>6526</v>
      </c>
      <c r="E53" s="62">
        <v>4.18</v>
      </c>
      <c r="F53" s="62">
        <v>8.06</v>
      </c>
      <c r="G53" s="62">
        <f t="shared" si="42"/>
        <v>272.78679999999997</v>
      </c>
      <c r="H53" s="63">
        <f t="shared" si="43"/>
        <v>525.99560000000008</v>
      </c>
      <c r="I53" s="118">
        <v>6095.3</v>
      </c>
      <c r="J53" s="119">
        <v>6278.1590000000006</v>
      </c>
      <c r="K53" s="120">
        <v>3.972519810345676</v>
      </c>
      <c r="L53" s="121">
        <v>8.0860966646432519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44"/>
        <v>6278.1590000000006</v>
      </c>
      <c r="S53" s="62">
        <f t="shared" si="45"/>
        <v>249.40111000000002</v>
      </c>
      <c r="T53" s="63">
        <f t="shared" si="46"/>
        <v>507.65800550000023</v>
      </c>
      <c r="U53" s="64" t="s">
        <v>174</v>
      </c>
      <c r="V53" s="65" t="s">
        <v>894</v>
      </c>
      <c r="W53" s="66" t="s">
        <v>182</v>
      </c>
      <c r="X53" s="67">
        <v>6770</v>
      </c>
      <c r="Y53" s="68">
        <v>4.05</v>
      </c>
      <c r="Z53" s="68">
        <v>8.2200000000000006</v>
      </c>
      <c r="AA53" s="62">
        <f t="shared" si="15"/>
        <v>274.185</v>
      </c>
      <c r="AB53" s="63">
        <f t="shared" si="16"/>
        <v>556.49400000000003</v>
      </c>
      <c r="AC53" s="69">
        <v>6770</v>
      </c>
      <c r="AD53" s="70">
        <v>4.0240768094534713</v>
      </c>
      <c r="AE53" s="70">
        <v>8.2148153618906949</v>
      </c>
      <c r="AF53" s="62">
        <f t="shared" si="25"/>
        <v>272.43</v>
      </c>
      <c r="AG53" s="63">
        <f t="shared" si="26"/>
        <v>556.14300000000003</v>
      </c>
      <c r="AH53" s="89">
        <v>6032</v>
      </c>
      <c r="AI53" s="66">
        <v>4.0999999999999996</v>
      </c>
      <c r="AJ53" s="66">
        <v>8</v>
      </c>
      <c r="AK53" s="62">
        <f t="shared" si="19"/>
        <v>247.31199999999995</v>
      </c>
      <c r="AL53" s="72">
        <f t="shared" si="20"/>
        <v>482.56</v>
      </c>
      <c r="AM53" s="73">
        <f t="shared" si="48"/>
        <v>2.1589999999996508</v>
      </c>
      <c r="AN53" s="80">
        <f t="shared" si="49"/>
        <v>2.4459100000000262</v>
      </c>
      <c r="AO53" s="80">
        <f t="shared" si="50"/>
        <v>-5.0493944999996643</v>
      </c>
      <c r="AP53" s="75">
        <f t="shared" si="24"/>
        <v>-3.4389447887172788E-3</v>
      </c>
      <c r="AQ53" s="76">
        <f t="shared" si="9"/>
        <v>-336.90933983164405</v>
      </c>
      <c r="AR53" s="90">
        <f t="shared" si="47"/>
        <v>2.1589999999996508</v>
      </c>
    </row>
    <row r="54" spans="1:49" x14ac:dyDescent="0.25">
      <c r="A54" t="str">
        <f t="shared" si="11"/>
        <v>46229M</v>
      </c>
      <c r="B54" s="51">
        <f t="shared" si="27"/>
        <v>46229</v>
      </c>
      <c r="C54" s="52" t="s">
        <v>87</v>
      </c>
      <c r="D54" s="91">
        <v>6032</v>
      </c>
      <c r="E54" s="62">
        <v>4.0999999999999996</v>
      </c>
      <c r="F54" s="62">
        <v>8</v>
      </c>
      <c r="G54" s="62">
        <f t="shared" si="42"/>
        <v>247.31199999999995</v>
      </c>
      <c r="H54" s="63">
        <f t="shared" si="43"/>
        <v>482.56</v>
      </c>
      <c r="I54" s="118">
        <v>1551.35</v>
      </c>
      <c r="J54" s="119">
        <v>1597.8905</v>
      </c>
      <c r="K54" s="120">
        <v>4.2859735069455622</v>
      </c>
      <c r="L54" s="121">
        <v>8.0583685177426094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44"/>
        <v>1597.8905</v>
      </c>
      <c r="S54" s="62">
        <f t="shared" si="45"/>
        <v>68.485163499999985</v>
      </c>
      <c r="T54" s="63">
        <f t="shared" si="46"/>
        <v>128.76390499999997</v>
      </c>
      <c r="U54" s="64" t="s">
        <v>174</v>
      </c>
      <c r="V54" s="65" t="s">
        <v>895</v>
      </c>
      <c r="W54" s="66" t="s">
        <v>181</v>
      </c>
      <c r="X54" s="67">
        <v>7140</v>
      </c>
      <c r="Y54" s="68">
        <v>4</v>
      </c>
      <c r="Z54" s="68">
        <v>8.1300000000000008</v>
      </c>
      <c r="AA54" s="62">
        <f t="shared" si="15"/>
        <v>285.60000000000002</v>
      </c>
      <c r="AB54" s="63">
        <f t="shared" si="16"/>
        <v>580.48200000000008</v>
      </c>
      <c r="AC54" s="69">
        <v>7140</v>
      </c>
      <c r="AD54" s="70">
        <v>3.95</v>
      </c>
      <c r="AE54" s="70">
        <v>8.1300000000000008</v>
      </c>
      <c r="AF54" s="62">
        <f t="shared" si="25"/>
        <v>282.03000000000003</v>
      </c>
      <c r="AG54" s="63">
        <f t="shared" si="26"/>
        <v>580.48200000000008</v>
      </c>
      <c r="AH54" s="89">
        <v>488</v>
      </c>
      <c r="AI54" s="66">
        <v>4</v>
      </c>
      <c r="AJ54" s="66">
        <v>8</v>
      </c>
      <c r="AK54" s="62">
        <f t="shared" si="19"/>
        <v>19.52</v>
      </c>
      <c r="AL54" s="72">
        <f t="shared" si="20"/>
        <v>39.04</v>
      </c>
      <c r="AM54" s="73">
        <f t="shared" si="48"/>
        <v>1.8904999999995198</v>
      </c>
      <c r="AN54" s="80">
        <f t="shared" si="49"/>
        <v>14.247163499999925</v>
      </c>
      <c r="AO54" s="80">
        <f t="shared" si="50"/>
        <v>-8.1980950000001158</v>
      </c>
      <c r="AP54" s="75">
        <f t="shared" si="24"/>
        <v>3.0667158765314066E-2</v>
      </c>
      <c r="AQ54" s="76">
        <f t="shared" si="9"/>
        <v>4390.9692871287007</v>
      </c>
      <c r="AR54" s="90">
        <f t="shared" si="47"/>
        <v>1.8904999999995198</v>
      </c>
    </row>
    <row r="55" spans="1:49" x14ac:dyDescent="0.25">
      <c r="A55" t="str">
        <f t="shared" si="11"/>
        <v>46229E</v>
      </c>
      <c r="B55" s="51">
        <f t="shared" si="27"/>
        <v>46229</v>
      </c>
      <c r="C55" s="52" t="s">
        <v>88</v>
      </c>
      <c r="D55" s="91">
        <v>488</v>
      </c>
      <c r="E55" s="62">
        <v>4</v>
      </c>
      <c r="F55" s="62">
        <v>8</v>
      </c>
      <c r="G55" s="62">
        <f t="shared" si="42"/>
        <v>19.52</v>
      </c>
      <c r="H55" s="63">
        <f t="shared" si="43"/>
        <v>39.04</v>
      </c>
      <c r="I55" s="118">
        <v>2950.3000000000006</v>
      </c>
      <c r="J55" s="119">
        <v>3038.8090000000007</v>
      </c>
      <c r="K55" s="120">
        <v>3.7927736162424166</v>
      </c>
      <c r="L55" s="121">
        <v>8.0146205470630072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44"/>
        <v>3038.8090000000007</v>
      </c>
      <c r="S55" s="62">
        <f t="shared" si="45"/>
        <v>115.25514600000005</v>
      </c>
      <c r="T55" s="63">
        <f t="shared" si="46"/>
        <v>243.54901049999995</v>
      </c>
      <c r="U55" s="64" t="s">
        <v>167</v>
      </c>
      <c r="V55" s="65" t="s">
        <v>167</v>
      </c>
      <c r="W55" s="66">
        <v>0</v>
      </c>
      <c r="X55" s="67">
        <v>0</v>
      </c>
      <c r="Y55" s="68">
        <v>0</v>
      </c>
      <c r="Z55" s="68">
        <v>0</v>
      </c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25"/>
        <v>0</v>
      </c>
      <c r="AG55" s="63">
        <f t="shared" si="26"/>
        <v>0</v>
      </c>
      <c r="AH55" s="89">
        <v>3543</v>
      </c>
      <c r="AI55" s="66">
        <v>3.79</v>
      </c>
      <c r="AJ55" s="66">
        <v>7.96</v>
      </c>
      <c r="AK55" s="62">
        <f t="shared" si="19"/>
        <v>134.27970000000002</v>
      </c>
      <c r="AL55" s="72">
        <f t="shared" si="20"/>
        <v>282.02280000000002</v>
      </c>
      <c r="AM55" s="73">
        <f t="shared" si="48"/>
        <v>-16.190999999999349</v>
      </c>
      <c r="AN55" s="80">
        <f t="shared" si="49"/>
        <v>0.4954460000000438</v>
      </c>
      <c r="AO55" s="80">
        <f t="shared" si="50"/>
        <v>0.56621049999995421</v>
      </c>
      <c r="AP55" s="75">
        <f t="shared" si="24"/>
        <v>2.9588745859469943E-3</v>
      </c>
      <c r="AQ55" s="76">
        <f t="shared" si="9"/>
        <v>407.65293205117916</v>
      </c>
      <c r="AR55" s="90">
        <f t="shared" si="47"/>
        <v>-16.190999999999349</v>
      </c>
    </row>
    <row r="56" spans="1:49" x14ac:dyDescent="0.25">
      <c r="A56" t="str">
        <f t="shared" si="11"/>
        <v>46230M</v>
      </c>
      <c r="B56" s="51">
        <f t="shared" si="27"/>
        <v>46230</v>
      </c>
      <c r="C56" s="52" t="s">
        <v>87</v>
      </c>
      <c r="D56" s="91">
        <v>3543</v>
      </c>
      <c r="E56" s="62">
        <v>3.79</v>
      </c>
      <c r="F56" s="62">
        <v>7.96</v>
      </c>
      <c r="G56" s="62">
        <f t="shared" si="42"/>
        <v>134.27970000000002</v>
      </c>
      <c r="H56" s="63">
        <f t="shared" si="43"/>
        <v>282.02280000000002</v>
      </c>
      <c r="I56" s="118">
        <v>2391.3000000000002</v>
      </c>
      <c r="J56" s="119">
        <v>2463.0390000000002</v>
      </c>
      <c r="K56" s="120">
        <v>4.2695123991134531</v>
      </c>
      <c r="L56" s="121">
        <v>7.9797620541128254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44"/>
        <v>2463.0390000000002</v>
      </c>
      <c r="S56" s="62">
        <f t="shared" si="45"/>
        <v>105.15975550000002</v>
      </c>
      <c r="T56" s="63">
        <f t="shared" si="46"/>
        <v>196.54465150000001</v>
      </c>
      <c r="U56" s="64" t="s">
        <v>174</v>
      </c>
      <c r="V56" s="65" t="s">
        <v>958</v>
      </c>
      <c r="W56" s="66" t="s">
        <v>181</v>
      </c>
      <c r="X56" s="67">
        <v>5630</v>
      </c>
      <c r="Y56" s="68">
        <v>4.0999999999999996</v>
      </c>
      <c r="Z56" s="68">
        <v>8.23</v>
      </c>
      <c r="AA56" s="62">
        <f t="shared" si="15"/>
        <v>230.82999999999998</v>
      </c>
      <c r="AB56" s="63">
        <f t="shared" si="16"/>
        <v>463.34899999999999</v>
      </c>
      <c r="AC56" s="69">
        <v>5630</v>
      </c>
      <c r="AD56" s="70">
        <v>4.0500000000000007</v>
      </c>
      <c r="AE56" s="70">
        <v>8.15</v>
      </c>
      <c r="AF56" s="62">
        <f t="shared" si="25"/>
        <v>228.01500000000004</v>
      </c>
      <c r="AG56" s="63">
        <f t="shared" si="26"/>
        <v>458.84500000000003</v>
      </c>
      <c r="AH56" s="89">
        <v>374</v>
      </c>
      <c r="AI56" s="66">
        <v>4</v>
      </c>
      <c r="AJ56" s="66">
        <v>8</v>
      </c>
      <c r="AK56" s="62">
        <f t="shared" si="19"/>
        <v>14.96</v>
      </c>
      <c r="AL56" s="72">
        <f t="shared" si="20"/>
        <v>29.92</v>
      </c>
      <c r="AM56" s="73">
        <f t="shared" si="48"/>
        <v>2.0390000000006694</v>
      </c>
      <c r="AN56" s="80">
        <f t="shared" si="49"/>
        <v>-3.5355445000000074</v>
      </c>
      <c r="AO56" s="80">
        <f t="shared" si="50"/>
        <v>-10.197548499999968</v>
      </c>
      <c r="AP56" s="75">
        <f t="shared" si="24"/>
        <v>-4.5518370568580963E-2</v>
      </c>
      <c r="AQ56" s="76">
        <f t="shared" si="9"/>
        <v>-4753.0191935480543</v>
      </c>
      <c r="AR56" s="90">
        <f t="shared" si="47"/>
        <v>2.0390000000006694</v>
      </c>
    </row>
    <row r="57" spans="1:49" x14ac:dyDescent="0.25">
      <c r="A57" t="str">
        <f t="shared" si="11"/>
        <v>46230E</v>
      </c>
      <c r="B57" s="51">
        <f t="shared" si="27"/>
        <v>46230</v>
      </c>
      <c r="C57" s="52" t="s">
        <v>88</v>
      </c>
      <c r="D57" s="91">
        <v>374</v>
      </c>
      <c r="E57" s="62">
        <v>4</v>
      </c>
      <c r="F57" s="62">
        <v>8</v>
      </c>
      <c r="G57" s="62">
        <f t="shared" si="42"/>
        <v>14.96</v>
      </c>
      <c r="H57" s="63">
        <f t="shared" si="43"/>
        <v>29.92</v>
      </c>
      <c r="I57" s="118">
        <v>2655.3500000000004</v>
      </c>
      <c r="J57" s="119">
        <v>2735.0105000000003</v>
      </c>
      <c r="K57" s="120">
        <v>4.0509782137947887</v>
      </c>
      <c r="L57" s="121">
        <v>8.0567043892518857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44"/>
        <v>2735.0105000000003</v>
      </c>
      <c r="S57" s="62">
        <f t="shared" si="45"/>
        <v>110.79467949999994</v>
      </c>
      <c r="T57" s="63">
        <f t="shared" si="46"/>
        <v>220.35171099999997</v>
      </c>
      <c r="U57" s="64" t="s">
        <v>167</v>
      </c>
      <c r="V57" s="65" t="s">
        <v>167</v>
      </c>
      <c r="W57" s="66">
        <v>0</v>
      </c>
      <c r="X57" s="67">
        <v>0</v>
      </c>
      <c r="Y57" s="68">
        <v>0</v>
      </c>
      <c r="Z57" s="68">
        <v>0</v>
      </c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25"/>
        <v>0</v>
      </c>
      <c r="AG57" s="63">
        <f t="shared" si="26"/>
        <v>0</v>
      </c>
      <c r="AH57" s="89">
        <v>3108</v>
      </c>
      <c r="AI57" s="66">
        <v>4.03</v>
      </c>
      <c r="AJ57" s="66">
        <v>8.0399999999999991</v>
      </c>
      <c r="AK57" s="62">
        <f t="shared" si="19"/>
        <v>125.25240000000001</v>
      </c>
      <c r="AL57" s="72">
        <f t="shared" si="20"/>
        <v>249.88319999999996</v>
      </c>
      <c r="AM57" s="73">
        <f t="shared" si="48"/>
        <v>1.0105000000003201</v>
      </c>
      <c r="AN57" s="80">
        <f t="shared" si="49"/>
        <v>0.50227949999994337</v>
      </c>
      <c r="AO57" s="80">
        <f t="shared" si="50"/>
        <v>0.38851100000002248</v>
      </c>
      <c r="AP57" s="75">
        <f t="shared" si="24"/>
        <v>2.690020261597766E-3</v>
      </c>
      <c r="AQ57" s="76">
        <f t="shared" si="9"/>
        <v>357.71723292891193</v>
      </c>
      <c r="AR57" s="90">
        <f t="shared" si="47"/>
        <v>1.0105000000003201</v>
      </c>
    </row>
    <row r="58" spans="1:49" x14ac:dyDescent="0.25">
      <c r="A58" t="str">
        <f t="shared" si="11"/>
        <v>46231M</v>
      </c>
      <c r="B58" s="51">
        <f t="shared" si="27"/>
        <v>46231</v>
      </c>
      <c r="C58" s="52" t="s">
        <v>87</v>
      </c>
      <c r="D58" s="91">
        <v>3108</v>
      </c>
      <c r="E58" s="62">
        <v>4.03</v>
      </c>
      <c r="F58" s="62">
        <v>8.0399999999999991</v>
      </c>
      <c r="G58" s="62">
        <f t="shared" si="42"/>
        <v>125.25240000000001</v>
      </c>
      <c r="H58" s="63">
        <f t="shared" si="43"/>
        <v>249.88319999999996</v>
      </c>
      <c r="I58" s="118">
        <v>2289.9</v>
      </c>
      <c r="J58" s="119">
        <v>2358.5970000000002</v>
      </c>
      <c r="K58" s="120">
        <v>4.1597100310057202</v>
      </c>
      <c r="L58" s="121">
        <v>8.0379427049216154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44"/>
        <v>2358.5970000000002</v>
      </c>
      <c r="S58" s="62">
        <f t="shared" si="45"/>
        <v>98.110795999999993</v>
      </c>
      <c r="T58" s="63">
        <f t="shared" si="46"/>
        <v>189.58267550000008</v>
      </c>
      <c r="U58" s="64" t="s">
        <v>169</v>
      </c>
      <c r="V58" s="65" t="s">
        <v>959</v>
      </c>
      <c r="W58" s="66" t="s">
        <v>181</v>
      </c>
      <c r="X58" s="67">
        <v>5270</v>
      </c>
      <c r="Y58" s="68">
        <v>4.0999999999999996</v>
      </c>
      <c r="Z58" s="68">
        <v>8.23</v>
      </c>
      <c r="AA58" s="62">
        <f t="shared" si="15"/>
        <v>216.06999999999996</v>
      </c>
      <c r="AB58" s="63">
        <f t="shared" si="16"/>
        <v>433.721</v>
      </c>
      <c r="AC58" s="69">
        <v>5270</v>
      </c>
      <c r="AD58" s="70">
        <v>4.0999999999999996</v>
      </c>
      <c r="AE58" s="70">
        <v>8.1</v>
      </c>
      <c r="AF58" s="62">
        <f t="shared" si="25"/>
        <v>216.06999999999996</v>
      </c>
      <c r="AG58" s="63">
        <f t="shared" si="26"/>
        <v>426.87</v>
      </c>
      <c r="AH58" s="89">
        <v>201</v>
      </c>
      <c r="AI58" s="66">
        <v>4</v>
      </c>
      <c r="AJ58" s="66">
        <v>8.0299999999999994</v>
      </c>
      <c r="AK58" s="62">
        <f t="shared" si="19"/>
        <v>8.0400000000000009</v>
      </c>
      <c r="AL58" s="72">
        <f t="shared" si="20"/>
        <v>16.1403</v>
      </c>
      <c r="AM58" s="73">
        <f t="shared" si="48"/>
        <v>-4.4030000000002474</v>
      </c>
      <c r="AN58" s="80">
        <f t="shared" si="49"/>
        <v>-0.7468039999999494</v>
      </c>
      <c r="AO58" s="80">
        <f t="shared" si="50"/>
        <v>-3.5444244999999661</v>
      </c>
      <c r="AP58" s="75">
        <f t="shared" si="24"/>
        <v>-1.4915974553144888E-2</v>
      </c>
      <c r="AQ58" s="76">
        <f t="shared" si="9"/>
        <v>-1420.3872112725735</v>
      </c>
      <c r="AR58" s="90">
        <f t="shared" si="47"/>
        <v>-4.4030000000002474</v>
      </c>
    </row>
    <row r="59" spans="1:49" x14ac:dyDescent="0.25">
      <c r="A59" t="str">
        <f t="shared" si="11"/>
        <v>46231E</v>
      </c>
      <c r="B59" s="51">
        <f t="shared" si="27"/>
        <v>46231</v>
      </c>
      <c r="C59" s="52" t="s">
        <v>88</v>
      </c>
      <c r="D59" s="91">
        <v>201</v>
      </c>
      <c r="E59" s="62">
        <v>4</v>
      </c>
      <c r="F59" s="62">
        <v>8.0299999999999994</v>
      </c>
      <c r="G59" s="62">
        <f t="shared" si="42"/>
        <v>8.0400000000000009</v>
      </c>
      <c r="H59" s="63">
        <f t="shared" si="43"/>
        <v>16.1403</v>
      </c>
      <c r="I59" s="118">
        <v>2835.4000000000005</v>
      </c>
      <c r="J59" s="119">
        <v>2920.4620000000004</v>
      </c>
      <c r="K59" s="120">
        <v>3.9599897721661859</v>
      </c>
      <c r="L59" s="121">
        <v>8.0287613740565753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44"/>
        <v>2920.4620000000004</v>
      </c>
      <c r="S59" s="62">
        <f t="shared" si="45"/>
        <v>115.64999650000004</v>
      </c>
      <c r="T59" s="63">
        <f t="shared" si="46"/>
        <v>234.47692500000019</v>
      </c>
      <c r="U59" s="64" t="s">
        <v>167</v>
      </c>
      <c r="V59" s="65" t="s">
        <v>167</v>
      </c>
      <c r="W59" s="66">
        <v>0</v>
      </c>
      <c r="X59" s="67">
        <v>0</v>
      </c>
      <c r="Y59" s="68">
        <v>0</v>
      </c>
      <c r="Z59" s="68">
        <v>0</v>
      </c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25"/>
        <v>0</v>
      </c>
      <c r="AG59" s="63">
        <f t="shared" si="26"/>
        <v>0</v>
      </c>
      <c r="AH59" s="89">
        <v>3127</v>
      </c>
      <c r="AI59" s="66">
        <v>3.95</v>
      </c>
      <c r="AJ59" s="66">
        <v>8.02</v>
      </c>
      <c r="AK59" s="62">
        <f t="shared" si="19"/>
        <v>123.51650000000001</v>
      </c>
      <c r="AL59" s="72">
        <f t="shared" si="20"/>
        <v>250.78539999999998</v>
      </c>
      <c r="AM59" s="73">
        <f t="shared" si="48"/>
        <v>-5.5379999999995562</v>
      </c>
      <c r="AN59" s="80">
        <f t="shared" si="49"/>
        <v>0.17349650000004146</v>
      </c>
      <c r="AO59" s="80">
        <f t="shared" si="50"/>
        <v>-0.16817499999979191</v>
      </c>
      <c r="AP59" s="75">
        <f t="shared" si="24"/>
        <v>1.519877414010723E-5</v>
      </c>
      <c r="AQ59" s="76">
        <f t="shared" si="9"/>
        <v>33.003799620813744</v>
      </c>
      <c r="AR59" s="90">
        <f t="shared" si="47"/>
        <v>-5.5379999999995562</v>
      </c>
    </row>
    <row r="60" spans="1:49" x14ac:dyDescent="0.25">
      <c r="A60" t="str">
        <f t="shared" si="11"/>
        <v>46232M</v>
      </c>
      <c r="B60" s="51">
        <f t="shared" si="27"/>
        <v>46232</v>
      </c>
      <c r="C60" s="52" t="s">
        <v>87</v>
      </c>
      <c r="D60" s="91">
        <v>3127</v>
      </c>
      <c r="E60" s="62">
        <v>3.95</v>
      </c>
      <c r="F60" s="62">
        <v>8.02</v>
      </c>
      <c r="G60" s="62">
        <f t="shared" si="42"/>
        <v>123.51650000000001</v>
      </c>
      <c r="H60" s="63">
        <f t="shared" si="43"/>
        <v>250.78539999999998</v>
      </c>
      <c r="I60" s="118">
        <v>2473.4499999999994</v>
      </c>
      <c r="J60" s="119">
        <v>2547.6534999999994</v>
      </c>
      <c r="K60" s="120">
        <v>4.3339828983808042</v>
      </c>
      <c r="L60" s="121">
        <v>8.1036932220178297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si="44"/>
        <v>2547.6534999999994</v>
      </c>
      <c r="S60" s="62">
        <f t="shared" si="45"/>
        <v>110.41486699999997</v>
      </c>
      <c r="T60" s="63">
        <f t="shared" si="46"/>
        <v>206.45402399999998</v>
      </c>
      <c r="U60" s="64" t="s">
        <v>174</v>
      </c>
      <c r="V60" s="65" t="s">
        <v>960</v>
      </c>
      <c r="W60" s="66" t="s">
        <v>181</v>
      </c>
      <c r="X60" s="67">
        <v>3680</v>
      </c>
      <c r="Y60" s="68">
        <v>4.0999999999999996</v>
      </c>
      <c r="Z60" s="68">
        <v>8.23</v>
      </c>
      <c r="AA60" s="62">
        <f t="shared" si="15"/>
        <v>150.87999999999997</v>
      </c>
      <c r="AB60" s="63">
        <f t="shared" si="16"/>
        <v>302.86399999999998</v>
      </c>
      <c r="AC60" s="69">
        <v>3660</v>
      </c>
      <c r="AD60" s="70">
        <v>4.0999999999999996</v>
      </c>
      <c r="AE60" s="70">
        <v>8.1</v>
      </c>
      <c r="AF60" s="62">
        <f t="shared" si="25"/>
        <v>150.05999999999997</v>
      </c>
      <c r="AG60" s="63">
        <f t="shared" si="26"/>
        <v>296.46000000000004</v>
      </c>
      <c r="AH60" s="89">
        <v>1998</v>
      </c>
      <c r="AI60" s="66">
        <v>4.0999999999999996</v>
      </c>
      <c r="AJ60" s="66">
        <v>8.11</v>
      </c>
      <c r="AK60" s="62">
        <f t="shared" si="19"/>
        <v>81.917999999999992</v>
      </c>
      <c r="AL60" s="72">
        <f t="shared" si="20"/>
        <v>162.03779999999998</v>
      </c>
      <c r="AM60" s="73">
        <f t="shared" si="48"/>
        <v>16.65349999999944</v>
      </c>
      <c r="AN60" s="80">
        <f t="shared" si="49"/>
        <v>1.9533670000000001</v>
      </c>
      <c r="AO60" s="80">
        <f t="shared" si="50"/>
        <v>-1.2583760000000268</v>
      </c>
      <c r="AP60" s="75">
        <f t="shared" si="24"/>
        <v>2.1933077677858044E-3</v>
      </c>
      <c r="AQ60" s="76">
        <f t="shared" si="9"/>
        <v>561.78400932005081</v>
      </c>
      <c r="AR60" s="90">
        <f t="shared" si="47"/>
        <v>-3.3465000000005602</v>
      </c>
    </row>
    <row r="61" spans="1:49" x14ac:dyDescent="0.25">
      <c r="A61" t="str">
        <f t="shared" si="11"/>
        <v>46232E</v>
      </c>
      <c r="B61" s="51">
        <f t="shared" si="27"/>
        <v>46232</v>
      </c>
      <c r="C61" s="52" t="s">
        <v>88</v>
      </c>
      <c r="D61" s="91">
        <v>1998</v>
      </c>
      <c r="E61" s="62">
        <v>4.0999999999999996</v>
      </c>
      <c r="F61" s="62">
        <v>8.11</v>
      </c>
      <c r="G61" s="62">
        <f t="shared" si="42"/>
        <v>81.917999999999992</v>
      </c>
      <c r="H61" s="63">
        <f t="shared" si="43"/>
        <v>162.03779999999998</v>
      </c>
      <c r="I61" s="118">
        <v>3498.7499999999995</v>
      </c>
      <c r="J61" s="119">
        <v>3603.7124999999996</v>
      </c>
      <c r="K61" s="120">
        <v>4.1643915684172921</v>
      </c>
      <c r="L61" s="121">
        <v>8.0608460164344429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44"/>
        <v>3603.7124999999996</v>
      </c>
      <c r="S61" s="62">
        <f t="shared" si="45"/>
        <v>150.0726995</v>
      </c>
      <c r="T61" s="63">
        <f t="shared" si="46"/>
        <v>290.48971550000005</v>
      </c>
      <c r="U61" s="64" t="s">
        <v>167</v>
      </c>
      <c r="V61" s="65" t="s">
        <v>167</v>
      </c>
      <c r="W61" s="66">
        <v>0</v>
      </c>
      <c r="X61" s="67">
        <v>0</v>
      </c>
      <c r="Y61" s="68">
        <v>0</v>
      </c>
      <c r="Z61" s="68">
        <v>0</v>
      </c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25"/>
        <v>0</v>
      </c>
      <c r="AG61" s="63">
        <f t="shared" si="26"/>
        <v>0</v>
      </c>
      <c r="AH61" s="89">
        <v>5600</v>
      </c>
      <c r="AI61" s="66">
        <v>4.13</v>
      </c>
      <c r="AJ61" s="66">
        <v>8.07</v>
      </c>
      <c r="AK61" s="62">
        <f t="shared" si="19"/>
        <v>231.27999999999997</v>
      </c>
      <c r="AL61" s="72">
        <f t="shared" si="20"/>
        <v>451.92</v>
      </c>
      <c r="AM61" s="73">
        <f t="shared" si="48"/>
        <v>1.7124999999996362</v>
      </c>
      <c r="AN61" s="80">
        <f t="shared" si="49"/>
        <v>0.71069950000003246</v>
      </c>
      <c r="AO61" s="80">
        <f t="shared" si="50"/>
        <v>0.60751550000003363</v>
      </c>
      <c r="AP61" s="75">
        <f t="shared" si="24"/>
        <v>2.9921186082114289E-3</v>
      </c>
      <c r="AQ61" s="76">
        <f t="shared" si="9"/>
        <v>523.4597243150115</v>
      </c>
      <c r="AR61" s="90">
        <f t="shared" si="47"/>
        <v>1.7124999999996362</v>
      </c>
    </row>
    <row r="62" spans="1:49" x14ac:dyDescent="0.25">
      <c r="A62" t="str">
        <f t="shared" si="11"/>
        <v>46233M</v>
      </c>
      <c r="B62" s="51">
        <f t="shared" si="27"/>
        <v>46233</v>
      </c>
      <c r="C62" s="52" t="s">
        <v>87</v>
      </c>
      <c r="D62" s="91">
        <v>5600</v>
      </c>
      <c r="E62" s="62">
        <v>4.13</v>
      </c>
      <c r="F62" s="62">
        <v>8.07</v>
      </c>
      <c r="G62" s="62">
        <f t="shared" si="42"/>
        <v>231.27999999999997</v>
      </c>
      <c r="H62" s="63">
        <f t="shared" si="43"/>
        <v>451.92</v>
      </c>
      <c r="I62" s="118">
        <v>1577.4999999999995</v>
      </c>
      <c r="J62" s="119">
        <v>1624.8249999999996</v>
      </c>
      <c r="K62" s="120">
        <v>4.2139714738510294</v>
      </c>
      <c r="L62" s="121">
        <v>8.1023898573692517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44"/>
        <v>1624.8249999999996</v>
      </c>
      <c r="S62" s="62">
        <f t="shared" si="45"/>
        <v>68.469661999999971</v>
      </c>
      <c r="T62" s="63">
        <f t="shared" si="46"/>
        <v>131.64965599999991</v>
      </c>
      <c r="U62" s="64" t="s">
        <v>174</v>
      </c>
      <c r="V62" s="65" t="s">
        <v>961</v>
      </c>
      <c r="W62" s="66" t="s">
        <v>181</v>
      </c>
      <c r="X62" s="67">
        <v>6080</v>
      </c>
      <c r="Y62" s="68">
        <v>4.0999999999999996</v>
      </c>
      <c r="Z62" s="68">
        <v>7.98</v>
      </c>
      <c r="AA62" s="62">
        <f t="shared" si="15"/>
        <v>249.27999999999997</v>
      </c>
      <c r="AB62" s="63">
        <f t="shared" si="16"/>
        <v>485.18400000000008</v>
      </c>
      <c r="AC62" s="69">
        <v>6290</v>
      </c>
      <c r="AD62" s="70">
        <v>4.0999999999999996</v>
      </c>
      <c r="AE62" s="70">
        <v>7.9821303656597768</v>
      </c>
      <c r="AF62" s="62">
        <f t="shared" si="25"/>
        <v>257.89</v>
      </c>
      <c r="AG62" s="63">
        <f t="shared" si="26"/>
        <v>502.07599999999996</v>
      </c>
      <c r="AH62" s="89">
        <v>1133</v>
      </c>
      <c r="AI62" s="66">
        <v>4</v>
      </c>
      <c r="AJ62" s="66">
        <v>8</v>
      </c>
      <c r="AK62" s="62">
        <f t="shared" si="19"/>
        <v>45.32</v>
      </c>
      <c r="AL62" s="72">
        <f t="shared" si="20"/>
        <v>90.64</v>
      </c>
      <c r="AM62" s="73">
        <f t="shared" si="48"/>
        <v>-198.17500000000018</v>
      </c>
      <c r="AN62" s="80">
        <f t="shared" si="49"/>
        <v>-3.4603380000000428</v>
      </c>
      <c r="AO62" s="80">
        <f t="shared" si="50"/>
        <v>-9.1463440000000702</v>
      </c>
      <c r="AP62" s="75">
        <f t="shared" si="24"/>
        <v>-6.2995827319380138E-2</v>
      </c>
      <c r="AQ62" s="76">
        <f t="shared" si="9"/>
        <v>-4402.0536332050106</v>
      </c>
      <c r="AR62" s="90">
        <f t="shared" si="47"/>
        <v>11.824999999999818</v>
      </c>
    </row>
    <row r="63" spans="1:49" x14ac:dyDescent="0.25">
      <c r="A63" t="str">
        <f t="shared" si="11"/>
        <v>46233E</v>
      </c>
      <c r="B63" s="51">
        <f t="shared" si="27"/>
        <v>46233</v>
      </c>
      <c r="C63" s="52" t="s">
        <v>88</v>
      </c>
      <c r="D63" s="91">
        <v>1133</v>
      </c>
      <c r="E63" s="62">
        <v>4</v>
      </c>
      <c r="F63" s="62">
        <v>8</v>
      </c>
      <c r="G63" s="62">
        <f t="shared" si="42"/>
        <v>45.32</v>
      </c>
      <c r="H63" s="63">
        <f t="shared" si="43"/>
        <v>90.64</v>
      </c>
      <c r="I63" s="118">
        <v>2392.75</v>
      </c>
      <c r="J63" s="119">
        <v>2464.5325000000003</v>
      </c>
      <c r="K63" s="120">
        <v>4.0242733256712997</v>
      </c>
      <c r="L63" s="121">
        <v>8.0433476125796695</v>
      </c>
      <c r="M63" s="58">
        <v>0</v>
      </c>
      <c r="N63" s="58">
        <v>0</v>
      </c>
      <c r="O63" s="59">
        <v>0</v>
      </c>
      <c r="P63" s="56">
        <v>0</v>
      </c>
      <c r="Q63" s="60">
        <v>0</v>
      </c>
      <c r="R63" s="61">
        <f t="shared" si="44"/>
        <v>2464.5325000000003</v>
      </c>
      <c r="S63" s="62">
        <f t="shared" si="45"/>
        <v>99.179524000000029</v>
      </c>
      <c r="T63" s="63">
        <f t="shared" si="46"/>
        <v>198.23091600000006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25"/>
        <v>0</v>
      </c>
      <c r="AG63" s="63">
        <f t="shared" si="26"/>
        <v>0</v>
      </c>
      <c r="AH63" s="89">
        <v>3596</v>
      </c>
      <c r="AI63" s="66">
        <v>4</v>
      </c>
      <c r="AJ63" s="66">
        <v>8.02</v>
      </c>
      <c r="AK63" s="62">
        <f t="shared" si="19"/>
        <v>143.84</v>
      </c>
      <c r="AL63" s="72">
        <f t="shared" si="20"/>
        <v>288.39919999999995</v>
      </c>
      <c r="AM63" s="73">
        <f t="shared" si="48"/>
        <v>1.5325000000002547</v>
      </c>
      <c r="AN63" s="80">
        <f t="shared" si="49"/>
        <v>0.65952400000003308</v>
      </c>
      <c r="AO63" s="80">
        <f t="shared" si="50"/>
        <v>0.47171600000012859</v>
      </c>
      <c r="AP63" s="75">
        <f t="shared" si="24"/>
        <v>3.8036324481419055E-3</v>
      </c>
      <c r="AQ63" s="76">
        <f t="shared" si="9"/>
        <v>458.19748969198292</v>
      </c>
      <c r="AR63" s="90">
        <f t="shared" si="47"/>
        <v>1.5325000000002547</v>
      </c>
      <c r="AS63" s="90">
        <f>SUM(J50:J63)</f>
        <v>39964.875500000002</v>
      </c>
      <c r="AT63" s="83">
        <f>SUM(AM50:AM63)</f>
        <v>-201.12449999999899</v>
      </c>
      <c r="AU63" s="83">
        <f>SUM(AN50:AN63)</f>
        <v>18.965366500000087</v>
      </c>
      <c r="AV63" s="83">
        <f>SUM(AO50:AO63)</f>
        <v>-31.525228499999738</v>
      </c>
      <c r="AW63" s="83">
        <f>-SUM(AQ50:AQ63)</f>
        <v>328.0494239144208</v>
      </c>
    </row>
    <row r="64" spans="1:49" x14ac:dyDescent="0.25">
      <c r="A64" t="str">
        <f t="shared" si="11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42"/>
        <v>0</v>
      </c>
      <c r="H64" s="63">
        <f t="shared" si="43"/>
        <v>0</v>
      </c>
      <c r="I64" s="118"/>
      <c r="J64" s="119"/>
      <c r="K64" s="120"/>
      <c r="L64" s="121"/>
      <c r="M64" s="58"/>
      <c r="N64" s="58"/>
      <c r="O64" s="59"/>
      <c r="P64" s="56"/>
      <c r="Q64" s="60"/>
      <c r="R64" s="61">
        <f>I64*1.03</f>
        <v>0</v>
      </c>
      <c r="S64" s="62">
        <f>R64*K64%</f>
        <v>0</v>
      </c>
      <c r="T64" s="63">
        <f>R64*L64%</f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25"/>
        <v>0</v>
      </c>
      <c r="AG64" s="63">
        <f t="shared" si="26"/>
        <v>0</v>
      </c>
      <c r="AH64" s="89"/>
      <c r="AI64" s="66"/>
      <c r="AJ64" s="66"/>
      <c r="AK64" s="123">
        <f t="shared" si="19"/>
        <v>0</v>
      </c>
      <c r="AL64" s="124">
        <f t="shared" si="20"/>
        <v>0</v>
      </c>
      <c r="AM64" s="73">
        <f t="shared" ref="AM64:AM65" si="51">+D64+R64-AC64-AH64</f>
        <v>0</v>
      </c>
      <c r="AN64" s="80">
        <f t="shared" ref="AN64:AN65" si="52">+G64+S64-AF64-AK64</f>
        <v>0</v>
      </c>
      <c r="AO64" s="80">
        <f t="shared" ref="AO64:AO65" si="53">+H64+T64-AG64-AL64</f>
        <v>0</v>
      </c>
      <c r="AP64" s="75" t="e">
        <f t="shared" si="24"/>
        <v>#DIV/0!</v>
      </c>
      <c r="AQ64" s="76">
        <f t="shared" si="9"/>
        <v>0</v>
      </c>
      <c r="AR64" s="90">
        <f>(D64+J64+O64)-(X64+AH64)</f>
        <v>0</v>
      </c>
    </row>
    <row r="65" spans="1:44" x14ac:dyDescent="0.25">
      <c r="A65" t="str">
        <f t="shared" si="11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42"/>
        <v>0</v>
      </c>
      <c r="H65" s="63">
        <f t="shared" si="43"/>
        <v>0</v>
      </c>
      <c r="I65" s="118"/>
      <c r="J65" s="119"/>
      <c r="K65" s="120"/>
      <c r="L65" s="121"/>
      <c r="M65" s="58"/>
      <c r="N65" s="58"/>
      <c r="O65" s="59"/>
      <c r="P65" s="56"/>
      <c r="Q65" s="60"/>
      <c r="R65" s="61">
        <f>I65*1.03</f>
        <v>0</v>
      </c>
      <c r="S65" s="62">
        <f>R65*K65%</f>
        <v>0</v>
      </c>
      <c r="T65" s="63">
        <f>R65*L65%</f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25"/>
        <v>0</v>
      </c>
      <c r="AG65" s="63">
        <f t="shared" si="26"/>
        <v>0</v>
      </c>
      <c r="AH65" s="89"/>
      <c r="AI65" s="66"/>
      <c r="AJ65" s="66"/>
      <c r="AK65" s="123">
        <f t="shared" si="19"/>
        <v>0</v>
      </c>
      <c r="AL65" s="124">
        <f t="shared" si="20"/>
        <v>0</v>
      </c>
      <c r="AM65" s="73">
        <f t="shared" si="51"/>
        <v>0</v>
      </c>
      <c r="AN65" s="80">
        <f t="shared" si="52"/>
        <v>0</v>
      </c>
      <c r="AO65" s="80">
        <f t="shared" si="53"/>
        <v>0</v>
      </c>
      <c r="AP65" s="75" t="e">
        <f t="shared" si="24"/>
        <v>#DIV/0!</v>
      </c>
      <c r="AQ65" s="76">
        <f t="shared" si="9"/>
        <v>0</v>
      </c>
      <c r="AR65" s="90">
        <f>(D65+J65+O65)-(X65+AH65)</f>
        <v>0</v>
      </c>
    </row>
    <row r="66" spans="1:44" x14ac:dyDescent="0.25">
      <c r="J66" s="83">
        <f>SUM(J4:J65)</f>
        <v>153723.89499999999</v>
      </c>
      <c r="AM66" s="97">
        <f>-SUM(AM4:AM65)</f>
        <v>1072.1050000000034</v>
      </c>
      <c r="AN66" s="97">
        <f t="shared" ref="AN66:AO66" si="54">-SUM(AN4:AN65)</f>
        <v>-78.527104500000121</v>
      </c>
      <c r="AO66" s="97">
        <f t="shared" si="54"/>
        <v>130.26407049999943</v>
      </c>
      <c r="AQ66" s="97">
        <f>-SUM(AQ4:AQ65)</f>
        <v>1278.099948606</v>
      </c>
    </row>
    <row r="67" spans="1:44" x14ac:dyDescent="0.25">
      <c r="I67">
        <f>I65*1.03</f>
        <v>0</v>
      </c>
    </row>
    <row r="68" spans="1:44" x14ac:dyDescent="0.25">
      <c r="K68" s="83">
        <v>500</v>
      </c>
      <c r="L68" s="208">
        <v>5.6</v>
      </c>
      <c r="M68" s="209">
        <v>8.6</v>
      </c>
      <c r="N68">
        <v>44.881135200000003</v>
      </c>
      <c r="O68">
        <f>N68*K68</f>
        <v>22440.567600000002</v>
      </c>
    </row>
    <row r="69" spans="1:44" x14ac:dyDescent="0.25">
      <c r="I69">
        <v>3930.6500000000005</v>
      </c>
      <c r="J69" s="83">
        <f>I65+K68</f>
        <v>500</v>
      </c>
      <c r="AH69" s="89">
        <v>9580</v>
      </c>
      <c r="AI69" s="66">
        <v>3.93</v>
      </c>
      <c r="AJ69" s="66">
        <v>8.24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2" operator="lessThan">
      <formula>0.1</formula>
    </cfRule>
    <cfRule type="cellIs" dxfId="8" priority="3" operator="greaterThan">
      <formula>0.1</formula>
    </cfRule>
  </conditionalFormatting>
  <conditionalFormatting sqref="AP1:AQ1">
    <cfRule type="cellIs" dxfId="7" priority="1" operator="lessThan">
      <formula>1</formula>
    </cfRule>
  </conditionalFormatting>
  <conditionalFormatting sqref="AQ4:AQ65">
    <cfRule type="cellIs" dxfId="6" priority="14" operator="lessThan">
      <formula>0</formula>
    </cfRule>
    <cfRule type="cellIs" dxfId="5" priority="15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AW66"/>
  <sheetViews>
    <sheetView zoomScale="80" zoomScaleNormal="80" workbookViewId="0">
      <pane xSplit="2" ySplit="3" topLeftCell="C33" activePane="bottomRight" state="frozen"/>
      <selection pane="topRight" activeCell="C1" sqref="C1"/>
      <selection pane="bottomLeft" activeCell="A4" sqref="A4"/>
      <selection pane="bottomRight" activeCell="V61" sqref="V61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85546875" bestFit="1" customWidth="1"/>
  </cols>
  <sheetData>
    <row r="1" spans="1:44" ht="15.75" thickBot="1" x14ac:dyDescent="0.3">
      <c r="B1" s="43" t="s">
        <v>93</v>
      </c>
      <c r="C1" s="44"/>
      <c r="X1" t="s">
        <v>94</v>
      </c>
      <c r="AG1">
        <v>392</v>
      </c>
      <c r="AP1" s="125">
        <f>Sumarry!$K$4</f>
        <v>480.53254642564531</v>
      </c>
      <c r="AQ1" s="125">
        <f>Sumarry!$L$4</f>
        <v>299.49109748895779</v>
      </c>
    </row>
    <row r="2" spans="1:44" x14ac:dyDescent="0.25">
      <c r="B2" s="254" t="s">
        <v>64</v>
      </c>
      <c r="C2" s="256" t="s">
        <v>65</v>
      </c>
      <c r="D2" s="258" t="s">
        <v>66</v>
      </c>
      <c r="E2" s="258"/>
      <c r="F2" s="258"/>
      <c r="G2" s="258"/>
      <c r="H2" s="259"/>
      <c r="I2" s="250" t="s">
        <v>67</v>
      </c>
      <c r="J2" s="251"/>
      <c r="K2" s="251"/>
      <c r="L2" s="252"/>
      <c r="M2" s="250" t="s">
        <v>68</v>
      </c>
      <c r="N2" s="260"/>
      <c r="O2" s="251"/>
      <c r="P2" s="251"/>
      <c r="Q2" s="252"/>
      <c r="R2" s="260" t="s">
        <v>69</v>
      </c>
      <c r="S2" s="251"/>
      <c r="T2" s="252"/>
      <c r="U2" s="247" t="s">
        <v>70</v>
      </c>
      <c r="V2" s="248"/>
      <c r="W2" s="248"/>
      <c r="X2" s="248"/>
      <c r="Y2" s="248"/>
      <c r="Z2" s="248"/>
      <c r="AA2" s="248"/>
      <c r="AB2" s="249"/>
      <c r="AC2" s="250" t="s">
        <v>71</v>
      </c>
      <c r="AD2" s="251"/>
      <c r="AE2" s="251"/>
      <c r="AF2" s="251"/>
      <c r="AG2" s="252"/>
      <c r="AH2" s="250" t="s">
        <v>72</v>
      </c>
      <c r="AI2" s="251"/>
      <c r="AJ2" s="251"/>
      <c r="AK2" s="251"/>
      <c r="AL2" s="253"/>
      <c r="AM2" s="247" t="s">
        <v>73</v>
      </c>
      <c r="AN2" s="248"/>
      <c r="AO2" s="248"/>
      <c r="AP2" s="248"/>
      <c r="AQ2" s="249"/>
    </row>
    <row r="3" spans="1:44" x14ac:dyDescent="0.25">
      <c r="B3" s="255"/>
      <c r="C3" s="257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46204M</v>
      </c>
      <c r="B4" s="51">
        <v>46204</v>
      </c>
      <c r="C4" s="52" t="s">
        <v>87</v>
      </c>
      <c r="D4" s="107">
        <v>9130</v>
      </c>
      <c r="E4" s="108">
        <v>5.9</v>
      </c>
      <c r="F4" s="108">
        <v>8.6999999999999993</v>
      </c>
      <c r="G4" s="62">
        <f t="shared" ref="G4:G11" si="0">+D4*E4%</f>
        <v>538.67000000000007</v>
      </c>
      <c r="H4" s="72">
        <f t="shared" ref="H4:H11" si="1">+D4*F4%</f>
        <v>794.31</v>
      </c>
      <c r="I4" s="147">
        <v>7261.8</v>
      </c>
      <c r="J4" s="144">
        <v>7479.6540000000005</v>
      </c>
      <c r="K4" s="145">
        <v>4.5080062794348512</v>
      </c>
      <c r="L4" s="146">
        <v>8.1728359359938345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7479.6540000000005</v>
      </c>
      <c r="S4" s="62">
        <f t="shared" ref="S4" si="2">+J4*K4%+O4*P4%</f>
        <v>337.18327200000004</v>
      </c>
      <c r="T4" s="63">
        <f t="shared" ref="T4" si="3">+J4*L4%+O4*Q4%</f>
        <v>611.29985000000033</v>
      </c>
      <c r="U4" s="64" t="s">
        <v>209</v>
      </c>
      <c r="V4" s="65" t="s">
        <v>256</v>
      </c>
      <c r="W4" s="66" t="s">
        <v>177</v>
      </c>
      <c r="X4" s="67">
        <v>6550</v>
      </c>
      <c r="Y4" s="68">
        <v>4.66</v>
      </c>
      <c r="Z4" s="68">
        <v>8.2100000000000009</v>
      </c>
      <c r="AA4" s="62">
        <f t="shared" ref="AA4" si="4">X4*Y4%</f>
        <v>305.23</v>
      </c>
      <c r="AB4" s="63">
        <f t="shared" ref="AB4" si="5">X4*Z4%</f>
        <v>537.755</v>
      </c>
      <c r="AC4" s="69">
        <v>6560</v>
      </c>
      <c r="AD4" s="70">
        <v>4.4641768292682933</v>
      </c>
      <c r="AE4" s="70">
        <v>8.0932621951219517</v>
      </c>
      <c r="AF4" s="62">
        <f t="shared" ref="AF4" si="6">AC4*AD4%</f>
        <v>292.85000000000002</v>
      </c>
      <c r="AG4" s="63">
        <f t="shared" ref="AG4" si="7">AC4*AE4%</f>
        <v>530.91800000000001</v>
      </c>
      <c r="AH4" s="89">
        <v>10060</v>
      </c>
      <c r="AI4" s="66">
        <v>5.7</v>
      </c>
      <c r="AJ4" s="66">
        <v>8.6</v>
      </c>
      <c r="AK4" s="62">
        <f t="shared" ref="AK4" si="8">AH4*AI4%</f>
        <v>573.42000000000007</v>
      </c>
      <c r="AL4" s="72">
        <f t="shared" ref="AL4" si="9">AH4*AJ4%</f>
        <v>865.16</v>
      </c>
      <c r="AM4" s="73">
        <f>+D4+R4-AC4-AH4</f>
        <v>-10.34599999999773</v>
      </c>
      <c r="AN4" s="74">
        <f t="shared" ref="AN4:AN11" si="10">+G4+S4-AF4-AK4</f>
        <v>9.5832719999999654</v>
      </c>
      <c r="AO4" s="74">
        <f t="shared" ref="AO4:AO11" si="11">+H4+T4-AG4-AL4</f>
        <v>9.5318500000003041</v>
      </c>
      <c r="AP4" s="75">
        <f>(AN4+AO4)/(S4+T4)</f>
        <v>2.0153360198643853E-2</v>
      </c>
      <c r="AQ4" s="76">
        <f t="shared" ref="AQ4" si="12">($AP$1*AN4+$AQ$1*AO4)</f>
        <v>7459.7783148497838</v>
      </c>
      <c r="AR4" s="90">
        <f>(D4+J4+O4)-(X4+AH4)</f>
        <v>-0.3459999999977299</v>
      </c>
    </row>
    <row r="5" spans="1:44" x14ac:dyDescent="0.25">
      <c r="A5" t="str">
        <f t="shared" ref="A5:A65" si="13">CONCATENATE(B5,C5)</f>
        <v>46204E</v>
      </c>
      <c r="B5" s="51">
        <f>+B4</f>
        <v>46204</v>
      </c>
      <c r="C5" s="52" t="s">
        <v>88</v>
      </c>
      <c r="D5" s="91">
        <v>10060</v>
      </c>
      <c r="E5" s="62">
        <v>5.7</v>
      </c>
      <c r="F5" s="62">
        <v>8.6</v>
      </c>
      <c r="G5" s="62">
        <f t="shared" si="0"/>
        <v>573.42000000000007</v>
      </c>
      <c r="H5" s="72">
        <f t="shared" si="1"/>
        <v>865.16</v>
      </c>
      <c r="I5" s="122">
        <v>7158.0999999999995</v>
      </c>
      <c r="J5" s="119">
        <v>7372.8429999999998</v>
      </c>
      <c r="K5" s="120">
        <v>4.3925203615484545</v>
      </c>
      <c r="L5" s="121">
        <v>8.1769002947709577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59" si="14">+J5+O5</f>
        <v>7372.8429999999998</v>
      </c>
      <c r="S5" s="62">
        <f t="shared" ref="S5:S59" si="15">+J5*K5%+O5*P5%</f>
        <v>323.85362999999995</v>
      </c>
      <c r="T5" s="63">
        <f t="shared" ref="T5:T59" si="16">+J5*L5%+O5*Q5%</f>
        <v>602.87002099999984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59" si="17">X5*Y5%</f>
        <v>0</v>
      </c>
      <c r="AB5" s="63">
        <f t="shared" ref="AB5:AB59" si="18">X5*Z5%</f>
        <v>0</v>
      </c>
      <c r="AC5" s="69"/>
      <c r="AD5" s="70"/>
      <c r="AE5" s="70"/>
      <c r="AF5" s="62">
        <f t="shared" ref="AF5:AF57" si="19">AC5*AD5%</f>
        <v>0</v>
      </c>
      <c r="AG5" s="63">
        <f t="shared" ref="AG5:AG65" si="20">AC5*AE5%</f>
        <v>0</v>
      </c>
      <c r="AH5" s="89">
        <v>17433</v>
      </c>
      <c r="AI5" s="66">
        <v>5.6</v>
      </c>
      <c r="AJ5" s="66">
        <v>8.5</v>
      </c>
      <c r="AK5" s="62">
        <f t="shared" ref="AK5:AK21" si="21">AH5*AI5%</f>
        <v>976.24799999999993</v>
      </c>
      <c r="AL5" s="72">
        <f t="shared" ref="AL5:AL21" si="22">AH5*AJ5%</f>
        <v>1481.8050000000001</v>
      </c>
      <c r="AM5" s="73">
        <f t="shared" ref="AM5:AM35" si="23">+D5+R5-AC5-AH5</f>
        <v>-0.1569999999992433</v>
      </c>
      <c r="AN5" s="74">
        <f t="shared" si="10"/>
        <v>-78.974369999999908</v>
      </c>
      <c r="AO5" s="74">
        <f t="shared" si="11"/>
        <v>-13.774979000000258</v>
      </c>
      <c r="AP5" s="75">
        <f t="shared" ref="AP5:AP59" si="24">(AN5+AO5)/(S5+T5)</f>
        <v>-0.1000830710427182</v>
      </c>
      <c r="AQ5" s="76">
        <f t="shared" ref="AQ5:AQ59" si="25">($AP$1*AN5+$AQ$1*AO5)</f>
        <v>-42075.23869705847</v>
      </c>
      <c r="AR5" s="90">
        <f t="shared" ref="AR5:AR13" si="26">(D5+J5+O5)-(X5+AH5)</f>
        <v>-0.1569999999992433</v>
      </c>
    </row>
    <row r="6" spans="1:44" x14ac:dyDescent="0.25">
      <c r="A6" t="str">
        <f t="shared" si="13"/>
        <v>46205M</v>
      </c>
      <c r="B6" s="51">
        <f>+B4+1</f>
        <v>46205</v>
      </c>
      <c r="C6" s="52" t="s">
        <v>87</v>
      </c>
      <c r="D6" s="91">
        <v>17433</v>
      </c>
      <c r="E6" s="62">
        <v>5.6</v>
      </c>
      <c r="F6" s="62">
        <v>8.5</v>
      </c>
      <c r="G6" s="62">
        <f t="shared" si="0"/>
        <v>976.24799999999993</v>
      </c>
      <c r="H6" s="72">
        <f t="shared" si="1"/>
        <v>1481.8050000000001</v>
      </c>
      <c r="I6" s="122">
        <v>8842</v>
      </c>
      <c r="J6" s="119">
        <v>9107.26</v>
      </c>
      <c r="K6" s="120">
        <v>4.5259997738068307</v>
      </c>
      <c r="L6" s="121">
        <v>8.2160857272110395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9107.26</v>
      </c>
      <c r="S6" s="62">
        <f t="shared" si="15"/>
        <v>412.19456699999995</v>
      </c>
      <c r="T6" s="63">
        <f t="shared" si="16"/>
        <v>748.26028900000017</v>
      </c>
      <c r="U6" s="64" t="s">
        <v>208</v>
      </c>
      <c r="V6" s="65" t="s">
        <v>257</v>
      </c>
      <c r="W6" s="66" t="s">
        <v>181</v>
      </c>
      <c r="X6" s="67">
        <v>6500</v>
      </c>
      <c r="Y6" s="68">
        <v>4.54</v>
      </c>
      <c r="Z6" s="68">
        <v>8.3699999999999992</v>
      </c>
      <c r="AA6" s="62">
        <f t="shared" si="17"/>
        <v>295.10000000000002</v>
      </c>
      <c r="AB6" s="63">
        <f t="shared" si="18"/>
        <v>544.04999999999995</v>
      </c>
      <c r="AC6" s="69">
        <v>6490</v>
      </c>
      <c r="AD6" s="70">
        <v>4.4690292758089365</v>
      </c>
      <c r="AE6" s="70">
        <v>8.0909707241910631</v>
      </c>
      <c r="AF6" s="62">
        <f t="shared" si="19"/>
        <v>290.03999999999996</v>
      </c>
      <c r="AG6" s="63">
        <f t="shared" si="20"/>
        <v>525.10399999999993</v>
      </c>
      <c r="AH6" s="89">
        <v>20030</v>
      </c>
      <c r="AI6" s="66">
        <v>5.5</v>
      </c>
      <c r="AJ6" s="66">
        <v>8.4</v>
      </c>
      <c r="AK6" s="62">
        <f t="shared" si="21"/>
        <v>1101.6500000000001</v>
      </c>
      <c r="AL6" s="72">
        <f t="shared" si="22"/>
        <v>1682.5200000000002</v>
      </c>
      <c r="AM6" s="73">
        <f t="shared" si="23"/>
        <v>20.260000000002037</v>
      </c>
      <c r="AN6" s="74">
        <f t="shared" si="10"/>
        <v>-3.2474330000002283</v>
      </c>
      <c r="AO6" s="74">
        <f t="shared" si="11"/>
        <v>22.441289000000097</v>
      </c>
      <c r="AP6" s="75">
        <f t="shared" si="24"/>
        <v>1.6539941989781176E-2</v>
      </c>
      <c r="AQ6" s="76">
        <f t="shared" si="25"/>
        <v>5160.4690228401232</v>
      </c>
      <c r="AR6" s="90">
        <f t="shared" si="26"/>
        <v>10.260000000002037</v>
      </c>
    </row>
    <row r="7" spans="1:44" x14ac:dyDescent="0.25">
      <c r="A7" t="str">
        <f t="shared" si="13"/>
        <v>46205E</v>
      </c>
      <c r="B7" s="51">
        <f>+B5+1</f>
        <v>46205</v>
      </c>
      <c r="C7" s="52" t="s">
        <v>88</v>
      </c>
      <c r="D7" s="91">
        <v>20030</v>
      </c>
      <c r="E7" s="62">
        <v>5.5</v>
      </c>
      <c r="F7" s="62">
        <v>8.4</v>
      </c>
      <c r="G7" s="62">
        <f t="shared" si="0"/>
        <v>1101.6500000000001</v>
      </c>
      <c r="H7" s="72">
        <f t="shared" si="1"/>
        <v>1682.5200000000002</v>
      </c>
      <c r="I7" s="122">
        <v>9955.8000000000011</v>
      </c>
      <c r="J7" s="119">
        <v>10254.474000000002</v>
      </c>
      <c r="K7" s="120">
        <v>4.4472458265533694</v>
      </c>
      <c r="L7" s="121">
        <v>8.2198778601418301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10254.474000000002</v>
      </c>
      <c r="S7" s="62">
        <f t="shared" si="15"/>
        <v>456.04166700000042</v>
      </c>
      <c r="T7" s="63">
        <f t="shared" si="16"/>
        <v>842.90523800000051</v>
      </c>
      <c r="U7" s="64" t="s">
        <v>209</v>
      </c>
      <c r="V7" s="65" t="s">
        <v>258</v>
      </c>
      <c r="W7" s="66" t="s">
        <v>177</v>
      </c>
      <c r="X7" s="67">
        <v>6550</v>
      </c>
      <c r="Y7" s="68">
        <v>4.8099999999999996</v>
      </c>
      <c r="Z7" s="68">
        <v>8.3000000000000007</v>
      </c>
      <c r="AA7" s="62">
        <f t="shared" si="17"/>
        <v>315.05500000000001</v>
      </c>
      <c r="AB7" s="63">
        <f t="shared" si="18"/>
        <v>543.65</v>
      </c>
      <c r="AC7" s="221">
        <v>6580</v>
      </c>
      <c r="AD7" s="223">
        <v>4.7941489361702132</v>
      </c>
      <c r="AE7" s="223">
        <v>8.2917173252279639</v>
      </c>
      <c r="AF7" s="62">
        <f t="shared" si="19"/>
        <v>315.45500000000004</v>
      </c>
      <c r="AG7" s="63">
        <f t="shared" si="20"/>
        <v>545.59500000000003</v>
      </c>
      <c r="AH7" s="89">
        <v>22740</v>
      </c>
      <c r="AI7" s="66">
        <v>5.4</v>
      </c>
      <c r="AJ7" s="66">
        <v>8.4</v>
      </c>
      <c r="AK7" s="62">
        <f t="shared" si="21"/>
        <v>1227.96</v>
      </c>
      <c r="AL7" s="72">
        <f t="shared" si="22"/>
        <v>1910.16</v>
      </c>
      <c r="AM7" s="73">
        <f t="shared" si="23"/>
        <v>964.47400000000198</v>
      </c>
      <c r="AN7" s="74">
        <f t="shared" si="10"/>
        <v>14.276667000000543</v>
      </c>
      <c r="AO7" s="74">
        <f t="shared" si="11"/>
        <v>69.670238000000609</v>
      </c>
      <c r="AP7" s="75">
        <f t="shared" si="24"/>
        <v>6.4626894815228098E-2</v>
      </c>
      <c r="AQ7" s="76">
        <f t="shared" si="25"/>
        <v>27726.019188918315</v>
      </c>
      <c r="AR7" s="116">
        <f t="shared" si="26"/>
        <v>994.47400000000198</v>
      </c>
    </row>
    <row r="8" spans="1:44" x14ac:dyDescent="0.25">
      <c r="A8" t="str">
        <f t="shared" si="13"/>
        <v>46206M</v>
      </c>
      <c r="B8" s="51">
        <f>+B6+1</f>
        <v>46206</v>
      </c>
      <c r="C8" s="52" t="s">
        <v>87</v>
      </c>
      <c r="D8" s="91">
        <v>22740</v>
      </c>
      <c r="E8" s="62">
        <v>5.4</v>
      </c>
      <c r="F8" s="62">
        <v>8.4</v>
      </c>
      <c r="G8" s="62">
        <f t="shared" si="0"/>
        <v>1227.96</v>
      </c>
      <c r="H8" s="72">
        <f t="shared" si="1"/>
        <v>1910.16</v>
      </c>
      <c r="I8" s="122">
        <v>2382.2000000000003</v>
      </c>
      <c r="J8" s="119">
        <v>2453.6660000000002</v>
      </c>
      <c r="K8" s="120">
        <v>4.9748173956846617</v>
      </c>
      <c r="L8" s="121">
        <v>8.1489967257157279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2453.6660000000002</v>
      </c>
      <c r="S8" s="62">
        <f t="shared" si="15"/>
        <v>122.06540300000002</v>
      </c>
      <c r="T8" s="63">
        <f t="shared" si="16"/>
        <v>199.94916200000009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7"/>
        <v>0</v>
      </c>
      <c r="AB8" s="63">
        <f t="shared" si="18"/>
        <v>0</v>
      </c>
      <c r="AC8" s="69"/>
      <c r="AD8" s="70"/>
      <c r="AE8" s="70"/>
      <c r="AF8" s="62">
        <f t="shared" si="19"/>
        <v>0</v>
      </c>
      <c r="AG8" s="63">
        <f t="shared" si="20"/>
        <v>0</v>
      </c>
      <c r="AH8" s="89">
        <v>25193</v>
      </c>
      <c r="AI8" s="66">
        <v>5.4</v>
      </c>
      <c r="AJ8" s="66">
        <v>8.4</v>
      </c>
      <c r="AK8" s="62">
        <f t="shared" si="21"/>
        <v>1360.4220000000003</v>
      </c>
      <c r="AL8" s="72">
        <f t="shared" si="22"/>
        <v>2116.212</v>
      </c>
      <c r="AM8" s="73">
        <f t="shared" si="23"/>
        <v>0.66600000000107684</v>
      </c>
      <c r="AN8" s="74">
        <f t="shared" si="10"/>
        <v>-10.396597000000156</v>
      </c>
      <c r="AO8" s="74">
        <f t="shared" si="11"/>
        <v>-6.1028379999997924</v>
      </c>
      <c r="AP8" s="75">
        <f t="shared" si="24"/>
        <v>-5.1238163714737384E-2</v>
      </c>
      <c r="AQ8" s="76">
        <f t="shared" si="25"/>
        <v>-6823.6488809885541</v>
      </c>
      <c r="AR8" s="90">
        <f t="shared" si="26"/>
        <v>0.66600000000107684</v>
      </c>
    </row>
    <row r="9" spans="1:44" x14ac:dyDescent="0.25">
      <c r="A9" t="str">
        <f t="shared" si="13"/>
        <v>46206E</v>
      </c>
      <c r="B9" s="51">
        <f t="shared" ref="B9:B65" si="27">+B7+1</f>
        <v>46206</v>
      </c>
      <c r="C9" s="52" t="s">
        <v>88</v>
      </c>
      <c r="D9" s="91">
        <v>25193</v>
      </c>
      <c r="E9" s="62">
        <v>5.4</v>
      </c>
      <c r="F9" s="62">
        <v>8.4</v>
      </c>
      <c r="G9" s="62">
        <f t="shared" si="0"/>
        <v>1360.4220000000003</v>
      </c>
      <c r="H9" s="72">
        <f t="shared" si="1"/>
        <v>2116.212</v>
      </c>
      <c r="I9" s="122">
        <v>2391.8000000000002</v>
      </c>
      <c r="J9" s="119">
        <v>2463.5540000000001</v>
      </c>
      <c r="K9" s="120">
        <v>4.2343297934609891</v>
      </c>
      <c r="L9" s="121">
        <v>8.1302868132787012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2463.5540000000001</v>
      </c>
      <c r="S9" s="62">
        <f t="shared" si="15"/>
        <v>104.31500099999994</v>
      </c>
      <c r="T9" s="63">
        <f t="shared" si="16"/>
        <v>200.294006</v>
      </c>
      <c r="U9" s="64" t="s">
        <v>208</v>
      </c>
      <c r="V9" s="65" t="s">
        <v>360</v>
      </c>
      <c r="W9" s="66" t="s">
        <v>181</v>
      </c>
      <c r="X9" s="67">
        <v>6500</v>
      </c>
      <c r="Y9" s="68">
        <v>4.54</v>
      </c>
      <c r="Z9" s="68">
        <v>8.39</v>
      </c>
      <c r="AA9" s="62">
        <f t="shared" si="17"/>
        <v>295.10000000000002</v>
      </c>
      <c r="AB9" s="63">
        <f t="shared" si="18"/>
        <v>545.35</v>
      </c>
      <c r="AC9" s="69">
        <v>6540</v>
      </c>
      <c r="AD9" s="70">
        <v>4.4731651376146777</v>
      </c>
      <c r="AE9" s="70">
        <v>8.3046330275229341</v>
      </c>
      <c r="AF9" s="62">
        <f t="shared" si="19"/>
        <v>292.5449999999999</v>
      </c>
      <c r="AG9" s="63">
        <f t="shared" si="20"/>
        <v>543.12299999999993</v>
      </c>
      <c r="AH9" s="89">
        <v>21157</v>
      </c>
      <c r="AI9" s="66">
        <v>5.4</v>
      </c>
      <c r="AJ9" s="66">
        <v>8.4</v>
      </c>
      <c r="AK9" s="62">
        <f t="shared" si="21"/>
        <v>1142.4780000000001</v>
      </c>
      <c r="AL9" s="72">
        <f t="shared" si="22"/>
        <v>1777.1880000000001</v>
      </c>
      <c r="AM9" s="73">
        <f t="shared" si="23"/>
        <v>-40.445999999999913</v>
      </c>
      <c r="AN9" s="74">
        <f t="shared" si="10"/>
        <v>29.71400100000028</v>
      </c>
      <c r="AO9" s="74">
        <f t="shared" si="11"/>
        <v>-3.8049940000000788</v>
      </c>
      <c r="AP9" s="75">
        <f t="shared" si="24"/>
        <v>8.5056601757019651E-2</v>
      </c>
      <c r="AQ9" s="76">
        <f t="shared" si="25"/>
        <v>13138.982736025382</v>
      </c>
      <c r="AR9" s="90">
        <f t="shared" si="26"/>
        <v>-0.44599999999991269</v>
      </c>
    </row>
    <row r="10" spans="1:44" x14ac:dyDescent="0.25">
      <c r="A10" t="str">
        <f t="shared" si="13"/>
        <v>46207M</v>
      </c>
      <c r="B10" s="51">
        <f t="shared" si="27"/>
        <v>46207</v>
      </c>
      <c r="C10" s="52" t="s">
        <v>87</v>
      </c>
      <c r="D10" s="91">
        <v>21157</v>
      </c>
      <c r="E10" s="62">
        <v>5.4</v>
      </c>
      <c r="F10" s="62">
        <v>8.4</v>
      </c>
      <c r="G10" s="62">
        <f t="shared" si="0"/>
        <v>1142.4780000000001</v>
      </c>
      <c r="H10" s="72">
        <f t="shared" si="1"/>
        <v>1777.1880000000001</v>
      </c>
      <c r="I10" s="122">
        <v>4252.3</v>
      </c>
      <c r="J10" s="119">
        <v>4379.8690000000006</v>
      </c>
      <c r="K10" s="120">
        <v>4.8574841850292803</v>
      </c>
      <c r="L10" s="121">
        <v>8.3019542365308219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4379.8690000000006</v>
      </c>
      <c r="S10" s="62">
        <f t="shared" si="15"/>
        <v>212.75144400000011</v>
      </c>
      <c r="T10" s="63">
        <f t="shared" si="16"/>
        <v>363.6147200000002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7"/>
        <v>0</v>
      </c>
      <c r="AB10" s="63">
        <f t="shared" si="18"/>
        <v>0</v>
      </c>
      <c r="AC10" s="69"/>
      <c r="AD10" s="70"/>
      <c r="AE10" s="70"/>
      <c r="AF10" s="62">
        <f t="shared" si="19"/>
        <v>0</v>
      </c>
      <c r="AG10" s="63">
        <f t="shared" si="20"/>
        <v>0</v>
      </c>
      <c r="AH10" s="89">
        <v>25537</v>
      </c>
      <c r="AI10" s="66">
        <v>5.4</v>
      </c>
      <c r="AJ10" s="66">
        <v>8.4</v>
      </c>
      <c r="AK10" s="62">
        <f t="shared" si="21"/>
        <v>1378.9980000000003</v>
      </c>
      <c r="AL10" s="72">
        <f t="shared" si="22"/>
        <v>2145.1080000000002</v>
      </c>
      <c r="AM10" s="73">
        <f t="shared" si="23"/>
        <v>-0.13100000000122236</v>
      </c>
      <c r="AN10" s="74">
        <f t="shared" si="10"/>
        <v>-23.768556000000217</v>
      </c>
      <c r="AO10" s="74">
        <f t="shared" si="11"/>
        <v>-4.3052800000000389</v>
      </c>
      <c r="AP10" s="75">
        <f t="shared" si="24"/>
        <v>-4.8708334655120811E-2</v>
      </c>
      <c r="AQ10" s="76">
        <f t="shared" si="25"/>
        <v>-12710.957771737925</v>
      </c>
      <c r="AR10" s="90">
        <f t="shared" si="26"/>
        <v>-0.13100000000122236</v>
      </c>
    </row>
    <row r="11" spans="1:44" x14ac:dyDescent="0.25">
      <c r="A11" t="str">
        <f t="shared" si="13"/>
        <v>46207E</v>
      </c>
      <c r="B11" s="51">
        <f t="shared" si="27"/>
        <v>46207</v>
      </c>
      <c r="C11" s="52" t="s">
        <v>88</v>
      </c>
      <c r="D11" s="91">
        <v>25537</v>
      </c>
      <c r="E11" s="62">
        <v>5.4</v>
      </c>
      <c r="F11" s="62">
        <v>8.4</v>
      </c>
      <c r="G11" s="62">
        <f t="shared" si="0"/>
        <v>1378.9980000000003</v>
      </c>
      <c r="H11" s="72">
        <f t="shared" si="1"/>
        <v>2145.1080000000002</v>
      </c>
      <c r="I11" s="122">
        <v>4300.1999999999989</v>
      </c>
      <c r="J11" s="119">
        <v>4429.2059999999992</v>
      </c>
      <c r="K11" s="120">
        <v>4.325282544997906</v>
      </c>
      <c r="L11" s="121">
        <v>8.1885865773684881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4429.2059999999992</v>
      </c>
      <c r="S11" s="62">
        <f t="shared" si="15"/>
        <v>191.57567399999994</v>
      </c>
      <c r="T11" s="63">
        <f t="shared" si="16"/>
        <v>362.68936799999966</v>
      </c>
      <c r="U11" s="64" t="s">
        <v>210</v>
      </c>
      <c r="V11" s="65" t="s">
        <v>361</v>
      </c>
      <c r="W11" s="66" t="s">
        <v>201</v>
      </c>
      <c r="X11" s="67">
        <v>10080</v>
      </c>
      <c r="Y11" s="68">
        <v>5.0199999999999996</v>
      </c>
      <c r="Z11" s="68">
        <v>8.31</v>
      </c>
      <c r="AA11" s="62">
        <f t="shared" si="17"/>
        <v>506.01599999999996</v>
      </c>
      <c r="AB11" s="63">
        <f t="shared" si="18"/>
        <v>837.64800000000002</v>
      </c>
      <c r="AC11" s="69">
        <v>10030</v>
      </c>
      <c r="AD11" s="70">
        <v>4.9757726819541386</v>
      </c>
      <c r="AE11" s="70">
        <v>8.3112362911266207</v>
      </c>
      <c r="AF11" s="62">
        <f t="shared" si="19"/>
        <v>499.07000000000011</v>
      </c>
      <c r="AG11" s="63">
        <f t="shared" si="20"/>
        <v>833.61700000000008</v>
      </c>
      <c r="AH11" s="89">
        <v>19886</v>
      </c>
      <c r="AI11" s="66">
        <v>5.4</v>
      </c>
      <c r="AJ11" s="66">
        <v>8.4</v>
      </c>
      <c r="AK11" s="62">
        <f t="shared" si="21"/>
        <v>1073.8440000000001</v>
      </c>
      <c r="AL11" s="72">
        <f t="shared" si="22"/>
        <v>1670.4240000000002</v>
      </c>
      <c r="AM11" s="73">
        <f t="shared" si="23"/>
        <v>50.205999999998312</v>
      </c>
      <c r="AN11" s="74">
        <f t="shared" si="10"/>
        <v>-2.3403260000000046</v>
      </c>
      <c r="AO11" s="74">
        <f t="shared" si="11"/>
        <v>3.7563679999996111</v>
      </c>
      <c r="AP11" s="75">
        <f t="shared" si="24"/>
        <v>2.5548102310223053E-3</v>
      </c>
      <c r="AQ11" s="76">
        <f t="shared" si="25"/>
        <v>0.39596264613805943</v>
      </c>
      <c r="AR11" s="90">
        <f t="shared" si="26"/>
        <v>0.20599999999831198</v>
      </c>
    </row>
    <row r="12" spans="1:44" x14ac:dyDescent="0.25">
      <c r="A12" t="str">
        <f t="shared" si="13"/>
        <v>46208M</v>
      </c>
      <c r="B12" s="51">
        <f t="shared" si="27"/>
        <v>46208</v>
      </c>
      <c r="C12" s="52" t="s">
        <v>87</v>
      </c>
      <c r="D12" s="91">
        <v>19886</v>
      </c>
      <c r="E12" s="62">
        <v>5.4</v>
      </c>
      <c r="F12" s="62">
        <v>8.4</v>
      </c>
      <c r="G12" s="62">
        <f t="shared" ref="G12:G51" si="28">+D12*E12%</f>
        <v>1073.8440000000001</v>
      </c>
      <c r="H12" s="72">
        <f t="shared" ref="H12:H51" si="29">+D12*F12%</f>
        <v>1670.4240000000002</v>
      </c>
      <c r="I12" s="122">
        <v>4306.3999999999996</v>
      </c>
      <c r="J12" s="119">
        <v>4435.5919999999996</v>
      </c>
      <c r="K12" s="120">
        <v>4.9140279583875159</v>
      </c>
      <c r="L12" s="121">
        <v>8.2845509009845806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4435.5919999999996</v>
      </c>
      <c r="S12" s="62">
        <f t="shared" si="15"/>
        <v>217.96623099999996</v>
      </c>
      <c r="T12" s="63">
        <f t="shared" si="16"/>
        <v>367.46887699999991</v>
      </c>
      <c r="U12" s="64" t="s">
        <v>209</v>
      </c>
      <c r="V12" s="65" t="s">
        <v>419</v>
      </c>
      <c r="W12" s="66" t="s">
        <v>177</v>
      </c>
      <c r="X12" s="67">
        <v>6550</v>
      </c>
      <c r="Y12" s="68">
        <v>4.75</v>
      </c>
      <c r="Z12" s="68">
        <v>8.25</v>
      </c>
      <c r="AA12" s="62">
        <f t="shared" si="17"/>
        <v>311.125</v>
      </c>
      <c r="AB12" s="63">
        <f t="shared" si="18"/>
        <v>540.375</v>
      </c>
      <c r="AC12" s="69">
        <v>6550</v>
      </c>
      <c r="AD12" s="70">
        <v>4.6148854961832058</v>
      </c>
      <c r="AE12" s="70">
        <v>8.2029770992366409</v>
      </c>
      <c r="AF12" s="62">
        <f t="shared" si="19"/>
        <v>302.27499999999998</v>
      </c>
      <c r="AG12" s="63">
        <f t="shared" si="20"/>
        <v>537.29499999999996</v>
      </c>
      <c r="AH12" s="89">
        <v>17721</v>
      </c>
      <c r="AI12" s="66">
        <v>5.4</v>
      </c>
      <c r="AJ12" s="66">
        <v>8.4</v>
      </c>
      <c r="AK12" s="62">
        <f t="shared" si="21"/>
        <v>956.93400000000008</v>
      </c>
      <c r="AL12" s="72">
        <f t="shared" si="22"/>
        <v>1488.5640000000001</v>
      </c>
      <c r="AM12" s="73">
        <f t="shared" si="23"/>
        <v>50.592000000000553</v>
      </c>
      <c r="AN12" s="74">
        <f t="shared" ref="AN12:AN35" si="30">+G12+S12-AF12-AK12</f>
        <v>32.601230999999871</v>
      </c>
      <c r="AO12" s="74">
        <f t="shared" ref="AO12:AO35" si="31">+H12+T12-AG12-AL12</f>
        <v>12.033877000000075</v>
      </c>
      <c r="AP12" s="75">
        <f t="shared" si="24"/>
        <v>7.624262260677396E-2</v>
      </c>
      <c r="AQ12" s="76">
        <f t="shared" si="25"/>
        <v>19269.991578817775</v>
      </c>
      <c r="AR12" s="90">
        <f t="shared" si="26"/>
        <v>50.592000000000553</v>
      </c>
    </row>
    <row r="13" spans="1:44" x14ac:dyDescent="0.25">
      <c r="A13" t="str">
        <f t="shared" si="13"/>
        <v>46208E</v>
      </c>
      <c r="B13" s="51">
        <f t="shared" si="27"/>
        <v>46208</v>
      </c>
      <c r="C13" s="52" t="s">
        <v>88</v>
      </c>
      <c r="D13" s="91">
        <v>17721</v>
      </c>
      <c r="E13" s="62">
        <v>5.4</v>
      </c>
      <c r="F13" s="62">
        <v>8.4</v>
      </c>
      <c r="G13" s="62">
        <f t="shared" si="28"/>
        <v>956.93400000000008</v>
      </c>
      <c r="H13" s="72">
        <f t="shared" si="29"/>
        <v>1488.5640000000001</v>
      </c>
      <c r="I13" s="122">
        <v>4240.7999999999993</v>
      </c>
      <c r="J13" s="119">
        <v>4368.0239999999994</v>
      </c>
      <c r="K13" s="120">
        <v>4.3084535936615724</v>
      </c>
      <c r="L13" s="121">
        <v>8.1738775702697595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4368.0239999999994</v>
      </c>
      <c r="S13" s="62">
        <f t="shared" si="15"/>
        <v>188.19428699999992</v>
      </c>
      <c r="T13" s="63">
        <f t="shared" si="16"/>
        <v>357.03693399999992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7"/>
        <v>0</v>
      </c>
      <c r="AB13" s="63">
        <f t="shared" si="18"/>
        <v>0</v>
      </c>
      <c r="AC13" s="69"/>
      <c r="AD13" s="70"/>
      <c r="AE13" s="70"/>
      <c r="AF13" s="62">
        <f t="shared" si="19"/>
        <v>0</v>
      </c>
      <c r="AG13" s="63">
        <f t="shared" si="20"/>
        <v>0</v>
      </c>
      <c r="AH13" s="89">
        <v>22088</v>
      </c>
      <c r="AI13" s="66">
        <v>5.4</v>
      </c>
      <c r="AJ13" s="66">
        <v>8.4</v>
      </c>
      <c r="AK13" s="62">
        <f t="shared" si="21"/>
        <v>1192.7520000000002</v>
      </c>
      <c r="AL13" s="72">
        <f t="shared" si="22"/>
        <v>1855.3920000000001</v>
      </c>
      <c r="AM13" s="73">
        <f t="shared" si="23"/>
        <v>1.0239999999976135</v>
      </c>
      <c r="AN13" s="74">
        <f t="shared" si="30"/>
        <v>-47.62371300000018</v>
      </c>
      <c r="AO13" s="74">
        <f t="shared" si="31"/>
        <v>-9.7910660000000007</v>
      </c>
      <c r="AP13" s="75">
        <f t="shared" si="24"/>
        <v>-0.1053035424029766</v>
      </c>
      <c r="AQ13" s="76">
        <f t="shared" si="25"/>
        <v>-25817.081180061014</v>
      </c>
      <c r="AR13" s="90">
        <f t="shared" si="26"/>
        <v>1.0239999999976135</v>
      </c>
    </row>
    <row r="14" spans="1:44" x14ac:dyDescent="0.25">
      <c r="A14" t="str">
        <f t="shared" si="13"/>
        <v>46209M</v>
      </c>
      <c r="B14" s="51">
        <f t="shared" si="27"/>
        <v>46209</v>
      </c>
      <c r="C14" s="52" t="s">
        <v>87</v>
      </c>
      <c r="D14" s="91">
        <v>22088</v>
      </c>
      <c r="E14" s="62">
        <v>5.4</v>
      </c>
      <c r="F14" s="62">
        <v>8.4</v>
      </c>
      <c r="G14" s="62">
        <f t="shared" si="28"/>
        <v>1192.7520000000002</v>
      </c>
      <c r="H14" s="72">
        <f t="shared" si="29"/>
        <v>1855.3920000000001</v>
      </c>
      <c r="I14" s="122">
        <v>4323.6000000000013</v>
      </c>
      <c r="J14" s="119">
        <v>4453.3080000000018</v>
      </c>
      <c r="K14" s="120">
        <v>4.9703811638449409</v>
      </c>
      <c r="L14" s="121">
        <v>8.3075700804884836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4453.3080000000018</v>
      </c>
      <c r="S14" s="62">
        <f t="shared" si="15"/>
        <v>221.34638199999998</v>
      </c>
      <c r="T14" s="63">
        <f t="shared" si="16"/>
        <v>369.96168300000028</v>
      </c>
      <c r="U14" s="64" t="s">
        <v>208</v>
      </c>
      <c r="V14" s="65" t="s">
        <v>420</v>
      </c>
      <c r="W14" s="66" t="s">
        <v>181</v>
      </c>
      <c r="X14" s="67">
        <v>6500</v>
      </c>
      <c r="Y14" s="68">
        <v>4.47</v>
      </c>
      <c r="Z14" s="68">
        <v>8.3800000000000008</v>
      </c>
      <c r="AA14" s="62">
        <f t="shared" si="17"/>
        <v>290.54999999999995</v>
      </c>
      <c r="AB14" s="63">
        <f t="shared" si="18"/>
        <v>544.70000000000005</v>
      </c>
      <c r="AC14" s="69">
        <v>6520</v>
      </c>
      <c r="AD14" s="70">
        <v>4.4000000000000004</v>
      </c>
      <c r="AE14" s="70">
        <v>8.3084049079754596</v>
      </c>
      <c r="AF14" s="62">
        <f t="shared" si="19"/>
        <v>286.88000000000005</v>
      </c>
      <c r="AG14" s="63">
        <f t="shared" si="20"/>
        <v>541.70799999999997</v>
      </c>
      <c r="AH14" s="89">
        <v>20036</v>
      </c>
      <c r="AI14" s="66">
        <v>5.4</v>
      </c>
      <c r="AJ14" s="66">
        <v>8.4</v>
      </c>
      <c r="AK14" s="62">
        <f t="shared" si="21"/>
        <v>1081.9440000000002</v>
      </c>
      <c r="AL14" s="72">
        <f t="shared" si="22"/>
        <v>1683.0240000000001</v>
      </c>
      <c r="AM14" s="73">
        <f t="shared" si="23"/>
        <v>-14.691999999999098</v>
      </c>
      <c r="AN14" s="74">
        <f t="shared" si="30"/>
        <v>45.274381999999832</v>
      </c>
      <c r="AO14" s="74">
        <f t="shared" si="31"/>
        <v>0.62168300000007548</v>
      </c>
      <c r="AP14" s="75">
        <f t="shared" si="24"/>
        <v>7.7617857283918304E-2</v>
      </c>
      <c r="AQ14" s="76">
        <f t="shared" si="25"/>
        <v>21942.002594267567</v>
      </c>
      <c r="AR14" s="90">
        <f t="shared" ref="AR14:AR65" si="32">(D14+J14+O14)-(X14+AH14)</f>
        <v>5.3080000000009022</v>
      </c>
    </row>
    <row r="15" spans="1:44" x14ac:dyDescent="0.25">
      <c r="A15" t="str">
        <f t="shared" si="13"/>
        <v>46209E</v>
      </c>
      <c r="B15" s="51">
        <f t="shared" si="27"/>
        <v>46209</v>
      </c>
      <c r="C15" s="52" t="s">
        <v>88</v>
      </c>
      <c r="D15" s="91">
        <v>20036</v>
      </c>
      <c r="E15" s="62">
        <v>5.4</v>
      </c>
      <c r="F15" s="62">
        <v>8.4</v>
      </c>
      <c r="G15" s="62">
        <f t="shared" si="28"/>
        <v>1081.9440000000002</v>
      </c>
      <c r="H15" s="72">
        <f t="shared" si="29"/>
        <v>1683.0240000000001</v>
      </c>
      <c r="I15" s="122">
        <v>2214.8999999999996</v>
      </c>
      <c r="J15" s="119">
        <v>2281.3469999999998</v>
      </c>
      <c r="K15" s="120">
        <v>4.5193733351392833</v>
      </c>
      <c r="L15" s="121">
        <v>8.1593029030655995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2281.3469999999998</v>
      </c>
      <c r="S15" s="62">
        <f t="shared" si="15"/>
        <v>103.10258799999997</v>
      </c>
      <c r="T15" s="63">
        <f t="shared" si="16"/>
        <v>186.14201199999994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7"/>
        <v>0</v>
      </c>
      <c r="AB15" s="63">
        <f t="shared" si="18"/>
        <v>0</v>
      </c>
      <c r="AC15" s="69"/>
      <c r="AD15" s="70"/>
      <c r="AE15" s="70"/>
      <c r="AF15" s="62">
        <f t="shared" si="19"/>
        <v>0</v>
      </c>
      <c r="AG15" s="63">
        <f t="shared" si="20"/>
        <v>0</v>
      </c>
      <c r="AH15" s="89">
        <v>22319</v>
      </c>
      <c r="AI15" s="66">
        <v>5.4</v>
      </c>
      <c r="AJ15" s="66">
        <v>8.4</v>
      </c>
      <c r="AK15" s="62">
        <f t="shared" si="21"/>
        <v>1205.2260000000001</v>
      </c>
      <c r="AL15" s="72">
        <f t="shared" si="22"/>
        <v>1874.796</v>
      </c>
      <c r="AM15" s="73">
        <f t="shared" si="23"/>
        <v>-1.6529999999984284</v>
      </c>
      <c r="AN15" s="74">
        <f t="shared" si="30"/>
        <v>-20.179411999999957</v>
      </c>
      <c r="AO15" s="74">
        <f t="shared" si="31"/>
        <v>-5.6299879999999121</v>
      </c>
      <c r="AP15" s="75">
        <f t="shared" si="24"/>
        <v>-8.9230360739664213E-2</v>
      </c>
      <c r="AQ15" s="76">
        <f t="shared" si="25"/>
        <v>-11382.99551870184</v>
      </c>
      <c r="AR15" s="90">
        <f t="shared" si="32"/>
        <v>-1.6529999999984284</v>
      </c>
    </row>
    <row r="16" spans="1:44" x14ac:dyDescent="0.25">
      <c r="A16" t="str">
        <f t="shared" si="13"/>
        <v>46210M</v>
      </c>
      <c r="B16" s="51">
        <f t="shared" si="27"/>
        <v>46210</v>
      </c>
      <c r="C16" s="52" t="s">
        <v>87</v>
      </c>
      <c r="D16" s="91">
        <v>22319</v>
      </c>
      <c r="E16" s="62">
        <v>5.4</v>
      </c>
      <c r="F16" s="62">
        <v>8.4</v>
      </c>
      <c r="G16" s="62">
        <f t="shared" si="28"/>
        <v>1205.2260000000001</v>
      </c>
      <c r="H16" s="72">
        <f t="shared" si="29"/>
        <v>1874.796</v>
      </c>
      <c r="I16" s="122">
        <v>2111.4000000000005</v>
      </c>
      <c r="J16" s="119">
        <v>2174.7420000000006</v>
      </c>
      <c r="K16" s="120">
        <v>5.2353604243629812</v>
      </c>
      <c r="L16" s="121">
        <v>8.3027990906507565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2174.7420000000006</v>
      </c>
      <c r="S16" s="62">
        <f t="shared" si="15"/>
        <v>113.85558200000001</v>
      </c>
      <c r="T16" s="63">
        <f t="shared" si="16"/>
        <v>180.56445900000011</v>
      </c>
      <c r="U16" s="64" t="s">
        <v>209</v>
      </c>
      <c r="V16" s="65" t="s">
        <v>421</v>
      </c>
      <c r="W16" s="66" t="s">
        <v>177</v>
      </c>
      <c r="X16" s="67">
        <v>6550</v>
      </c>
      <c r="Y16" s="68">
        <v>4.75</v>
      </c>
      <c r="Z16" s="68">
        <v>8.25</v>
      </c>
      <c r="AA16" s="62">
        <f t="shared" si="17"/>
        <v>311.125</v>
      </c>
      <c r="AB16" s="63">
        <f t="shared" si="18"/>
        <v>540.375</v>
      </c>
      <c r="AC16" s="69">
        <v>6530</v>
      </c>
      <c r="AD16" s="70">
        <v>4.6652373660030628</v>
      </c>
      <c r="AE16" s="70">
        <v>8.2130474732006107</v>
      </c>
      <c r="AF16" s="62">
        <f t="shared" si="19"/>
        <v>304.64000000000004</v>
      </c>
      <c r="AG16" s="63">
        <f t="shared" si="20"/>
        <v>536.3119999999999</v>
      </c>
      <c r="AH16" s="89">
        <v>17944</v>
      </c>
      <c r="AI16" s="66">
        <v>5.4</v>
      </c>
      <c r="AJ16" s="66">
        <v>8.4</v>
      </c>
      <c r="AK16" s="62">
        <f t="shared" si="21"/>
        <v>968.97600000000011</v>
      </c>
      <c r="AL16" s="72">
        <f t="shared" si="22"/>
        <v>1507.296</v>
      </c>
      <c r="AM16" s="73">
        <f t="shared" si="23"/>
        <v>19.742000000002008</v>
      </c>
      <c r="AN16" s="74">
        <f t="shared" si="30"/>
        <v>45.465581999999813</v>
      </c>
      <c r="AO16" s="74">
        <f t="shared" si="31"/>
        <v>11.752459000000044</v>
      </c>
      <c r="AP16" s="75">
        <f t="shared" si="24"/>
        <v>0.19434152921675543</v>
      </c>
      <c r="AQ16" s="76">
        <f t="shared" si="25"/>
        <v>25367.448737287887</v>
      </c>
      <c r="AR16" s="90">
        <f t="shared" si="32"/>
        <v>-0.25799999999799184</v>
      </c>
    </row>
    <row r="17" spans="1:49" x14ac:dyDescent="0.25">
      <c r="A17" t="str">
        <f t="shared" si="13"/>
        <v>46210E</v>
      </c>
      <c r="B17" s="51">
        <f t="shared" si="27"/>
        <v>46210</v>
      </c>
      <c r="C17" s="52" t="s">
        <v>88</v>
      </c>
      <c r="D17" s="91">
        <v>17944</v>
      </c>
      <c r="E17" s="62">
        <v>5.4</v>
      </c>
      <c r="F17" s="62">
        <v>8.4</v>
      </c>
      <c r="G17" s="62">
        <f t="shared" si="28"/>
        <v>968.97600000000011</v>
      </c>
      <c r="H17" s="72">
        <f t="shared" si="29"/>
        <v>1507.296</v>
      </c>
      <c r="I17" s="122">
        <v>2562.6</v>
      </c>
      <c r="J17" s="119">
        <v>2639.4780000000001</v>
      </c>
      <c r="K17" s="120">
        <v>4.3164871614766236</v>
      </c>
      <c r="L17" s="121">
        <v>8.1012175134628901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2639.4780000000001</v>
      </c>
      <c r="S17" s="62">
        <f t="shared" si="15"/>
        <v>113.93272899999997</v>
      </c>
      <c r="T17" s="63">
        <f t="shared" si="16"/>
        <v>213.82985400000001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7"/>
        <v>0</v>
      </c>
      <c r="AB17" s="63">
        <f t="shared" si="18"/>
        <v>0</v>
      </c>
      <c r="AC17" s="69"/>
      <c r="AD17" s="70"/>
      <c r="AE17" s="70"/>
      <c r="AF17" s="62">
        <f t="shared" si="19"/>
        <v>0</v>
      </c>
      <c r="AG17" s="63">
        <f t="shared" si="20"/>
        <v>0</v>
      </c>
      <c r="AH17" s="89">
        <v>20583</v>
      </c>
      <c r="AI17" s="66">
        <v>5.4</v>
      </c>
      <c r="AJ17" s="66">
        <v>8.4</v>
      </c>
      <c r="AK17" s="62">
        <f t="shared" si="21"/>
        <v>1111.4820000000002</v>
      </c>
      <c r="AL17" s="72">
        <f t="shared" si="22"/>
        <v>1728.9720000000002</v>
      </c>
      <c r="AM17" s="73">
        <f t="shared" si="23"/>
        <v>0.47799999999915599</v>
      </c>
      <c r="AN17" s="74">
        <f t="shared" si="30"/>
        <v>-28.573271000000204</v>
      </c>
      <c r="AO17" s="74">
        <f t="shared" si="31"/>
        <v>-7.8461460000000898</v>
      </c>
      <c r="AP17" s="75">
        <f t="shared" si="24"/>
        <v>-0.11111523672609176</v>
      </c>
      <c r="AQ17" s="76">
        <f t="shared" si="25"/>
        <v>-16080.237549938765</v>
      </c>
      <c r="AR17" s="90">
        <f t="shared" si="32"/>
        <v>0.47799999999915599</v>
      </c>
      <c r="AS17" s="90">
        <f>SUM(J4:J17)</f>
        <v>68293.017000000007</v>
      </c>
      <c r="AT17" s="83">
        <f>SUM(AM4:AM17)</f>
        <v>1040.0170000000071</v>
      </c>
      <c r="AU17" s="83">
        <f>SUM(AN4:AN17)</f>
        <v>-38.18854300000055</v>
      </c>
      <c r="AV17" s="83">
        <f>SUM(AO4:AO17)</f>
        <v>78.552473000000646</v>
      </c>
      <c r="AW17" s="83">
        <f>-SUM(AQ4:AQ17)</f>
        <v>-5174.9285371664027</v>
      </c>
    </row>
    <row r="18" spans="1:49" x14ac:dyDescent="0.25">
      <c r="A18" t="str">
        <f t="shared" si="13"/>
        <v>46211M</v>
      </c>
      <c r="B18" s="51">
        <f t="shared" si="27"/>
        <v>46211</v>
      </c>
      <c r="C18" s="52" t="s">
        <v>87</v>
      </c>
      <c r="D18" s="91">
        <v>20583</v>
      </c>
      <c r="E18" s="62">
        <v>5.4</v>
      </c>
      <c r="F18" s="62">
        <v>8.4</v>
      </c>
      <c r="G18" s="62">
        <f t="shared" si="28"/>
        <v>1111.4820000000002</v>
      </c>
      <c r="H18" s="72">
        <f t="shared" si="29"/>
        <v>1728.9720000000002</v>
      </c>
      <c r="I18" s="122">
        <v>5126.1999999999989</v>
      </c>
      <c r="J18" s="119">
        <v>5279.985999999999</v>
      </c>
      <c r="K18" s="120">
        <v>4.6918087472201648</v>
      </c>
      <c r="L18" s="121">
        <v>8.1911454878857661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5279.985999999999</v>
      </c>
      <c r="S18" s="62">
        <f t="shared" si="15"/>
        <v>247.72684500000005</v>
      </c>
      <c r="T18" s="63">
        <f t="shared" si="16"/>
        <v>432.49133500000005</v>
      </c>
      <c r="U18" s="64" t="s">
        <v>208</v>
      </c>
      <c r="V18" s="65" t="s">
        <v>422</v>
      </c>
      <c r="W18" s="66" t="s">
        <v>181</v>
      </c>
      <c r="X18" s="67">
        <v>6500</v>
      </c>
      <c r="Y18" s="68">
        <v>4.3899999999999997</v>
      </c>
      <c r="Z18" s="68">
        <v>8.26</v>
      </c>
      <c r="AA18" s="62">
        <f t="shared" si="17"/>
        <v>285.34999999999997</v>
      </c>
      <c r="AB18" s="63">
        <f t="shared" si="18"/>
        <v>536.9</v>
      </c>
      <c r="AC18" s="69">
        <v>6500</v>
      </c>
      <c r="AD18" s="70">
        <v>4.3576923076923073</v>
      </c>
      <c r="AE18" s="70">
        <v>8.1915384615384621</v>
      </c>
      <c r="AF18" s="62">
        <f t="shared" si="19"/>
        <v>283.25</v>
      </c>
      <c r="AG18" s="63">
        <f t="shared" si="20"/>
        <v>532.45000000000005</v>
      </c>
      <c r="AH18" s="89">
        <v>19363</v>
      </c>
      <c r="AI18" s="66">
        <v>5.4</v>
      </c>
      <c r="AJ18" s="66">
        <v>8.4</v>
      </c>
      <c r="AK18" s="62">
        <f t="shared" si="21"/>
        <v>1045.6020000000001</v>
      </c>
      <c r="AL18" s="72">
        <f t="shared" si="22"/>
        <v>1626.4920000000002</v>
      </c>
      <c r="AM18" s="73">
        <f t="shared" si="23"/>
        <v>-1.4000000002852175E-2</v>
      </c>
      <c r="AN18" s="74">
        <f t="shared" si="30"/>
        <v>30.356845000000249</v>
      </c>
      <c r="AO18" s="74">
        <f t="shared" si="31"/>
        <v>2.5213350000001356</v>
      </c>
      <c r="AP18" s="75">
        <f t="shared" si="24"/>
        <v>4.8334756357144674E-2</v>
      </c>
      <c r="AQ18" s="76">
        <f t="shared" si="25"/>
        <v>15342.5694155861</v>
      </c>
      <c r="AR18" s="90">
        <f t="shared" si="32"/>
        <v>-1.4000000002852175E-2</v>
      </c>
    </row>
    <row r="19" spans="1:49" x14ac:dyDescent="0.25">
      <c r="A19" t="str">
        <f t="shared" si="13"/>
        <v>46211E</v>
      </c>
      <c r="B19" s="51">
        <f t="shared" si="27"/>
        <v>46211</v>
      </c>
      <c r="C19" s="52" t="s">
        <v>88</v>
      </c>
      <c r="D19" s="91">
        <v>19363</v>
      </c>
      <c r="E19" s="62">
        <v>5.4</v>
      </c>
      <c r="F19" s="62">
        <v>8.4</v>
      </c>
      <c r="G19" s="62">
        <f t="shared" si="28"/>
        <v>1045.6020000000001</v>
      </c>
      <c r="H19" s="72">
        <f t="shared" si="29"/>
        <v>1626.4920000000002</v>
      </c>
      <c r="I19" s="122">
        <v>4972.5000000000009</v>
      </c>
      <c r="J19" s="119">
        <v>5121.6750000000011</v>
      </c>
      <c r="K19" s="120">
        <v>4.4147149321266985</v>
      </c>
      <c r="L19" s="121">
        <v>8.2769150326797405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5121.6750000000011</v>
      </c>
      <c r="S19" s="62">
        <f t="shared" si="15"/>
        <v>226.10735100000011</v>
      </c>
      <c r="T19" s="63">
        <f t="shared" si="16"/>
        <v>423.91668800000019</v>
      </c>
      <c r="U19" s="64" t="s">
        <v>209</v>
      </c>
      <c r="V19" s="65" t="s">
        <v>423</v>
      </c>
      <c r="W19" s="66" t="s">
        <v>177</v>
      </c>
      <c r="X19" s="67">
        <v>6550</v>
      </c>
      <c r="Y19" s="68">
        <v>5.05</v>
      </c>
      <c r="Z19" s="68">
        <v>8.31</v>
      </c>
      <c r="AA19" s="62">
        <f t="shared" si="17"/>
        <v>330.77499999999998</v>
      </c>
      <c r="AB19" s="63">
        <f t="shared" si="18"/>
        <v>544.30500000000006</v>
      </c>
      <c r="AC19" s="69">
        <v>6550</v>
      </c>
      <c r="AD19" s="70">
        <v>4.8987786259541988</v>
      </c>
      <c r="AE19" s="70">
        <v>8.2597557251908391</v>
      </c>
      <c r="AF19" s="62">
        <f t="shared" si="19"/>
        <v>320.87000000000006</v>
      </c>
      <c r="AG19" s="63">
        <f t="shared" si="20"/>
        <v>541.0139999999999</v>
      </c>
      <c r="AH19" s="89">
        <v>17935</v>
      </c>
      <c r="AI19" s="66">
        <v>5.4</v>
      </c>
      <c r="AJ19" s="66">
        <v>8.4</v>
      </c>
      <c r="AK19" s="62">
        <f t="shared" si="21"/>
        <v>968.49000000000012</v>
      </c>
      <c r="AL19" s="72">
        <f t="shared" si="22"/>
        <v>1506.5400000000002</v>
      </c>
      <c r="AM19" s="73">
        <f t="shared" si="23"/>
        <v>-0.32499999999708962</v>
      </c>
      <c r="AN19" s="74">
        <f t="shared" si="30"/>
        <v>-17.650649000000044</v>
      </c>
      <c r="AO19" s="74">
        <f t="shared" si="31"/>
        <v>2.8546880000003512</v>
      </c>
      <c r="AP19" s="75">
        <f t="shared" si="24"/>
        <v>-2.2762175107803491E-2</v>
      </c>
      <c r="AQ19" s="76">
        <f t="shared" si="25"/>
        <v>-7626.7576679266276</v>
      </c>
      <c r="AR19" s="90">
        <f t="shared" si="32"/>
        <v>-0.32499999999708962</v>
      </c>
    </row>
    <row r="20" spans="1:49" x14ac:dyDescent="0.25">
      <c r="A20" t="str">
        <f t="shared" si="13"/>
        <v>46212M</v>
      </c>
      <c r="B20" s="51">
        <f t="shared" si="27"/>
        <v>46212</v>
      </c>
      <c r="C20" s="52" t="s">
        <v>87</v>
      </c>
      <c r="D20" s="91">
        <v>17935</v>
      </c>
      <c r="E20" s="62">
        <v>5.4</v>
      </c>
      <c r="F20" s="62">
        <v>8.4</v>
      </c>
      <c r="G20" s="62">
        <f t="shared" si="28"/>
        <v>968.49000000000012</v>
      </c>
      <c r="H20" s="72">
        <f t="shared" si="29"/>
        <v>1506.5400000000002</v>
      </c>
      <c r="I20" s="122">
        <v>5551.7000000000007</v>
      </c>
      <c r="J20" s="119">
        <v>5718.2510000000011</v>
      </c>
      <c r="K20" s="120">
        <v>4.6826449555991854</v>
      </c>
      <c r="L20" s="121">
        <v>8.2488462993317349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5718.2510000000011</v>
      </c>
      <c r="S20" s="62">
        <f t="shared" si="15"/>
        <v>267.76539200000002</v>
      </c>
      <c r="T20" s="63">
        <f t="shared" si="16"/>
        <v>471.68973599999998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7"/>
        <v>0</v>
      </c>
      <c r="AB20" s="63">
        <f t="shared" si="18"/>
        <v>0</v>
      </c>
      <c r="AC20" s="69"/>
      <c r="AD20" s="70"/>
      <c r="AE20" s="70"/>
      <c r="AF20" s="62">
        <f t="shared" si="19"/>
        <v>0</v>
      </c>
      <c r="AG20" s="63">
        <f t="shared" si="20"/>
        <v>0</v>
      </c>
      <c r="AH20" s="89">
        <v>23653</v>
      </c>
      <c r="AI20" s="66">
        <v>5.4</v>
      </c>
      <c r="AJ20" s="66">
        <v>8.4</v>
      </c>
      <c r="AK20" s="62">
        <f t="shared" si="21"/>
        <v>1277.2620000000002</v>
      </c>
      <c r="AL20" s="72">
        <f t="shared" si="22"/>
        <v>1986.8520000000001</v>
      </c>
      <c r="AM20" s="73">
        <f t="shared" si="23"/>
        <v>0.25100000000020373</v>
      </c>
      <c r="AN20" s="74">
        <f t="shared" si="30"/>
        <v>-41.006608000000142</v>
      </c>
      <c r="AO20" s="74">
        <f t="shared" si="31"/>
        <v>-8.6222639999998592</v>
      </c>
      <c r="AP20" s="75">
        <f t="shared" si="24"/>
        <v>-6.7115461264337858E-2</v>
      </c>
      <c r="AQ20" s="76">
        <f t="shared" si="25"/>
        <v>-22287.301070717796</v>
      </c>
      <c r="AR20" s="90">
        <f t="shared" si="32"/>
        <v>0.25100000000020373</v>
      </c>
    </row>
    <row r="21" spans="1:49" x14ac:dyDescent="0.25">
      <c r="A21" t="str">
        <f t="shared" si="13"/>
        <v>46212E</v>
      </c>
      <c r="B21" s="51">
        <f t="shared" si="27"/>
        <v>46212</v>
      </c>
      <c r="C21" s="52" t="s">
        <v>88</v>
      </c>
      <c r="D21" s="91">
        <v>23653</v>
      </c>
      <c r="E21" s="62">
        <v>5.4</v>
      </c>
      <c r="F21" s="62">
        <v>8.4</v>
      </c>
      <c r="G21" s="62">
        <f t="shared" si="28"/>
        <v>1277.2620000000002</v>
      </c>
      <c r="H21" s="72">
        <f t="shared" si="29"/>
        <v>1986.8520000000001</v>
      </c>
      <c r="I21" s="122">
        <v>5374.6000000000022</v>
      </c>
      <c r="J21" s="119">
        <v>5535.8380000000025</v>
      </c>
      <c r="K21" s="120">
        <v>4.4194358649946022</v>
      </c>
      <c r="L21" s="121">
        <v>8.2100044654485913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5535.8380000000025</v>
      </c>
      <c r="S21" s="62">
        <f t="shared" si="15"/>
        <v>244.65281000000002</v>
      </c>
      <c r="T21" s="63">
        <f t="shared" si="16"/>
        <v>454.49254700000017</v>
      </c>
      <c r="U21" s="64" t="s">
        <v>208</v>
      </c>
      <c r="V21" s="65" t="s">
        <v>424</v>
      </c>
      <c r="W21" s="66" t="s">
        <v>181</v>
      </c>
      <c r="X21" s="67">
        <v>6500</v>
      </c>
      <c r="Y21" s="68">
        <v>4.54</v>
      </c>
      <c r="Z21" s="68">
        <v>8.3800000000000008</v>
      </c>
      <c r="AA21" s="62">
        <f t="shared" si="17"/>
        <v>295.10000000000002</v>
      </c>
      <c r="AB21" s="63">
        <f t="shared" si="18"/>
        <v>544.70000000000005</v>
      </c>
      <c r="AC21" s="69">
        <v>6520</v>
      </c>
      <c r="AD21" s="70">
        <v>4.4883435582822084</v>
      </c>
      <c r="AE21" s="70">
        <v>8.3076687116564401</v>
      </c>
      <c r="AF21" s="62">
        <f t="shared" si="19"/>
        <v>292.64</v>
      </c>
      <c r="AG21" s="63">
        <f t="shared" si="20"/>
        <v>541.66</v>
      </c>
      <c r="AH21" s="89">
        <v>22500</v>
      </c>
      <c r="AI21" s="66">
        <v>5.4</v>
      </c>
      <c r="AJ21" s="66">
        <v>8.4</v>
      </c>
      <c r="AK21" s="62">
        <f t="shared" si="21"/>
        <v>1215.0000000000002</v>
      </c>
      <c r="AL21" s="72">
        <f t="shared" si="22"/>
        <v>1890.0000000000002</v>
      </c>
      <c r="AM21" s="73">
        <f t="shared" si="23"/>
        <v>168.83800000000338</v>
      </c>
      <c r="AN21" s="74">
        <f t="shared" si="30"/>
        <v>14.274810000000116</v>
      </c>
      <c r="AO21" s="74">
        <f t="shared" si="31"/>
        <v>9.684547000000066</v>
      </c>
      <c r="AP21" s="75">
        <f t="shared" si="24"/>
        <v>3.4269493117723981E-2</v>
      </c>
      <c r="AQ21" s="76">
        <f t="shared" si="25"/>
        <v>9759.9464087557353</v>
      </c>
      <c r="AR21" s="90">
        <f t="shared" si="32"/>
        <v>188.83800000000338</v>
      </c>
    </row>
    <row r="22" spans="1:49" x14ac:dyDescent="0.25">
      <c r="A22" t="str">
        <f t="shared" si="13"/>
        <v>46213M</v>
      </c>
      <c r="B22" s="51">
        <f t="shared" si="27"/>
        <v>46213</v>
      </c>
      <c r="C22" s="52" t="s">
        <v>87</v>
      </c>
      <c r="D22" s="91">
        <v>22500</v>
      </c>
      <c r="E22" s="62">
        <v>5.4</v>
      </c>
      <c r="F22" s="62">
        <v>8.4</v>
      </c>
      <c r="G22" s="62">
        <f t="shared" si="28"/>
        <v>1215.0000000000002</v>
      </c>
      <c r="H22" s="72">
        <f t="shared" si="29"/>
        <v>1890.0000000000002</v>
      </c>
      <c r="I22" s="122">
        <v>2552.2999999999997</v>
      </c>
      <c r="J22" s="119">
        <v>2628.8689999999997</v>
      </c>
      <c r="K22" s="120">
        <v>5.1286721780354947</v>
      </c>
      <c r="L22" s="121">
        <v>8.2800728754456738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2628.8689999999997</v>
      </c>
      <c r="S22" s="62">
        <f t="shared" si="15"/>
        <v>134.82607299999992</v>
      </c>
      <c r="T22" s="63">
        <f t="shared" si="16"/>
        <v>217.67226899999991</v>
      </c>
      <c r="U22" s="64" t="s">
        <v>209</v>
      </c>
      <c r="V22" s="65" t="s">
        <v>465</v>
      </c>
      <c r="W22" s="66" t="s">
        <v>177</v>
      </c>
      <c r="X22" s="67">
        <v>6550</v>
      </c>
      <c r="Y22" s="68">
        <v>4.78</v>
      </c>
      <c r="Z22" s="68">
        <v>8.3699999999999992</v>
      </c>
      <c r="AA22" s="62">
        <f t="shared" si="17"/>
        <v>313.09000000000003</v>
      </c>
      <c r="AB22" s="63">
        <f t="shared" si="18"/>
        <v>548.23500000000001</v>
      </c>
      <c r="AC22" s="69">
        <v>6550</v>
      </c>
      <c r="AD22" s="70">
        <v>4.6977099236641218</v>
      </c>
      <c r="AE22" s="70">
        <v>8.3058778625954215</v>
      </c>
      <c r="AF22" s="62">
        <f t="shared" si="19"/>
        <v>307.69999999999993</v>
      </c>
      <c r="AG22" s="63">
        <f t="shared" si="20"/>
        <v>544.03500000000008</v>
      </c>
      <c r="AH22" s="89">
        <v>18579</v>
      </c>
      <c r="AI22" s="66">
        <v>5.4</v>
      </c>
      <c r="AJ22" s="66">
        <v>8.4</v>
      </c>
      <c r="AK22" s="62">
        <f t="shared" ref="AK22:AK50" si="33">AH22*AI22%</f>
        <v>1003.2660000000001</v>
      </c>
      <c r="AL22" s="72">
        <f t="shared" ref="AL22:AL65" si="34">AH22*AJ22%</f>
        <v>1560.6360000000002</v>
      </c>
      <c r="AM22" s="73">
        <f t="shared" si="23"/>
        <v>-0.13100000000122236</v>
      </c>
      <c r="AN22" s="74">
        <f t="shared" si="30"/>
        <v>38.860073000000284</v>
      </c>
      <c r="AO22" s="74">
        <f t="shared" si="31"/>
        <v>3.0012689999998656</v>
      </c>
      <c r="AP22" s="75">
        <f t="shared" si="24"/>
        <v>0.11875613871681746</v>
      </c>
      <c r="AQ22" s="76">
        <f t="shared" si="25"/>
        <v>19572.383179646149</v>
      </c>
      <c r="AR22" s="90">
        <f>(D22+J22+O22)-(X22+AH22)</f>
        <v>-0.13100000000122236</v>
      </c>
    </row>
    <row r="23" spans="1:49" x14ac:dyDescent="0.25">
      <c r="A23" t="str">
        <f t="shared" si="13"/>
        <v>46213E</v>
      </c>
      <c r="B23" s="51">
        <f t="shared" si="27"/>
        <v>46213</v>
      </c>
      <c r="C23" s="52" t="s">
        <v>88</v>
      </c>
      <c r="D23" s="91">
        <v>18579</v>
      </c>
      <c r="E23" s="62">
        <v>5.4</v>
      </c>
      <c r="F23" s="62">
        <v>8.4</v>
      </c>
      <c r="G23" s="62">
        <f t="shared" si="28"/>
        <v>1003.2660000000001</v>
      </c>
      <c r="H23" s="72">
        <f t="shared" si="29"/>
        <v>1560.6360000000002</v>
      </c>
      <c r="I23" s="122">
        <v>2334.5</v>
      </c>
      <c r="J23" s="119">
        <v>2404.5349999999999</v>
      </c>
      <c r="K23" s="120">
        <v>4.4457871064467769</v>
      </c>
      <c r="L23" s="121">
        <v>8.1645705718569292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2404.5349999999999</v>
      </c>
      <c r="S23" s="62">
        <f t="shared" si="15"/>
        <v>106.90050699999999</v>
      </c>
      <c r="T23" s="63">
        <f t="shared" si="16"/>
        <v>196.31995699999999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7"/>
        <v>0</v>
      </c>
      <c r="AB23" s="63">
        <f t="shared" si="18"/>
        <v>0</v>
      </c>
      <c r="AC23" s="69"/>
      <c r="AD23" s="70"/>
      <c r="AE23" s="70"/>
      <c r="AF23" s="62">
        <f t="shared" si="19"/>
        <v>0</v>
      </c>
      <c r="AG23" s="63">
        <f t="shared" si="20"/>
        <v>0</v>
      </c>
      <c r="AH23" s="89">
        <v>20984</v>
      </c>
      <c r="AI23" s="66">
        <v>5.4</v>
      </c>
      <c r="AJ23" s="66">
        <v>8.4</v>
      </c>
      <c r="AK23" s="62">
        <f t="shared" si="33"/>
        <v>1133.1360000000002</v>
      </c>
      <c r="AL23" s="72">
        <f t="shared" si="34"/>
        <v>1762.6560000000002</v>
      </c>
      <c r="AM23" s="73">
        <f t="shared" si="23"/>
        <v>-0.46500000000014552</v>
      </c>
      <c r="AN23" s="74">
        <f t="shared" si="30"/>
        <v>-22.969493000000057</v>
      </c>
      <c r="AO23" s="74">
        <f t="shared" si="31"/>
        <v>-5.7000430000000506</v>
      </c>
      <c r="AP23" s="75">
        <f t="shared" si="24"/>
        <v>-9.4550135639922067E-2</v>
      </c>
      <c r="AQ23" s="76">
        <f t="shared" si="25"/>
        <v>-12744.701095200329</v>
      </c>
      <c r="AR23" s="90">
        <f t="shared" si="32"/>
        <v>-0.46500000000014552</v>
      </c>
    </row>
    <row r="24" spans="1:49" x14ac:dyDescent="0.25">
      <c r="A24" t="str">
        <f t="shared" si="13"/>
        <v>46214M</v>
      </c>
      <c r="B24" s="51">
        <f t="shared" si="27"/>
        <v>46214</v>
      </c>
      <c r="C24" s="52" t="s">
        <v>87</v>
      </c>
      <c r="D24" s="91">
        <v>20984</v>
      </c>
      <c r="E24" s="62">
        <v>5.4</v>
      </c>
      <c r="F24" s="62">
        <v>8.4</v>
      </c>
      <c r="G24" s="62">
        <f t="shared" si="28"/>
        <v>1133.1360000000002</v>
      </c>
      <c r="H24" s="72">
        <f t="shared" si="29"/>
        <v>1762.6560000000002</v>
      </c>
      <c r="I24" s="122">
        <v>4678.6999999999989</v>
      </c>
      <c r="J24" s="119">
        <v>4819.0609999999988</v>
      </c>
      <c r="K24" s="120">
        <v>4.790007908179625</v>
      </c>
      <c r="L24" s="121">
        <v>8.3038814200525835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4819.0609999999988</v>
      </c>
      <c r="S24" s="62">
        <f t="shared" si="15"/>
        <v>230.83340300000006</v>
      </c>
      <c r="T24" s="63">
        <f t="shared" si="16"/>
        <v>400.1691110000001</v>
      </c>
      <c r="U24" s="64" t="s">
        <v>209</v>
      </c>
      <c r="V24" s="65" t="s">
        <v>466</v>
      </c>
      <c r="W24" s="66" t="s">
        <v>177</v>
      </c>
      <c r="X24" s="67">
        <v>6550</v>
      </c>
      <c r="Y24" s="68">
        <v>4.75</v>
      </c>
      <c r="Z24" s="68">
        <v>8.25</v>
      </c>
      <c r="AA24" s="62">
        <f t="shared" si="17"/>
        <v>311.125</v>
      </c>
      <c r="AB24" s="63">
        <f t="shared" si="18"/>
        <v>540.375</v>
      </c>
      <c r="AC24" s="69">
        <v>6540</v>
      </c>
      <c r="AD24" s="70">
        <v>4.614067278287461</v>
      </c>
      <c r="AE24" s="70">
        <v>8.2028134556574912</v>
      </c>
      <c r="AF24" s="62">
        <f t="shared" si="19"/>
        <v>301.76</v>
      </c>
      <c r="AG24" s="63">
        <f t="shared" si="20"/>
        <v>536.46399999999994</v>
      </c>
      <c r="AH24" s="89">
        <v>19254</v>
      </c>
      <c r="AI24" s="66">
        <v>5.4</v>
      </c>
      <c r="AJ24" s="66">
        <v>8.4</v>
      </c>
      <c r="AK24" s="62">
        <f t="shared" si="33"/>
        <v>1039.7160000000001</v>
      </c>
      <c r="AL24" s="72">
        <f t="shared" si="34"/>
        <v>1617.336</v>
      </c>
      <c r="AM24" s="73">
        <f t="shared" si="23"/>
        <v>9.0609999999978754</v>
      </c>
      <c r="AN24" s="74">
        <f t="shared" si="30"/>
        <v>22.493403000000171</v>
      </c>
      <c r="AO24" s="74">
        <f t="shared" si="31"/>
        <v>9.0251110000001518</v>
      </c>
      <c r="AP24" s="75">
        <f t="shared" si="24"/>
        <v>4.9949902418297366E-2</v>
      </c>
      <c r="AQ24" s="76">
        <f t="shared" si="25"/>
        <v>13511.752619718041</v>
      </c>
      <c r="AR24" s="90">
        <f t="shared" ref="AR24:AR30" si="35">(D24+J24+O24)-(X24+AH24)</f>
        <v>-0.93900000000212458</v>
      </c>
    </row>
    <row r="25" spans="1:49" x14ac:dyDescent="0.25">
      <c r="A25" t="str">
        <f t="shared" si="13"/>
        <v>46214E</v>
      </c>
      <c r="B25" s="51">
        <f t="shared" si="27"/>
        <v>46214</v>
      </c>
      <c r="C25" s="52" t="s">
        <v>88</v>
      </c>
      <c r="D25" s="91">
        <v>19254</v>
      </c>
      <c r="E25" s="62">
        <v>5.4</v>
      </c>
      <c r="F25" s="62">
        <v>8.4</v>
      </c>
      <c r="G25" s="62">
        <f t="shared" si="28"/>
        <v>1039.7160000000001</v>
      </c>
      <c r="H25" s="72">
        <f t="shared" si="29"/>
        <v>1617.336</v>
      </c>
      <c r="I25" s="122">
        <v>4262.2</v>
      </c>
      <c r="J25" s="119">
        <v>4390.0659999999998</v>
      </c>
      <c r="K25" s="120">
        <v>4.3884895124583556</v>
      </c>
      <c r="L25" s="121">
        <v>8.2346675425836438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4390.0659999999998</v>
      </c>
      <c r="S25" s="62">
        <f t="shared" si="15"/>
        <v>192.65758600000004</v>
      </c>
      <c r="T25" s="63">
        <f t="shared" si="16"/>
        <v>361.50734000000006</v>
      </c>
      <c r="U25" s="64" t="s">
        <v>208</v>
      </c>
      <c r="V25" s="65" t="s">
        <v>467</v>
      </c>
      <c r="W25" s="66" t="s">
        <v>181</v>
      </c>
      <c r="X25" s="67">
        <v>6500</v>
      </c>
      <c r="Y25" s="68">
        <v>4.51</v>
      </c>
      <c r="Z25" s="68">
        <v>8.4600000000000009</v>
      </c>
      <c r="AA25" s="62">
        <f t="shared" si="17"/>
        <v>293.15000000000003</v>
      </c>
      <c r="AB25" s="63">
        <f t="shared" si="18"/>
        <v>549.90000000000009</v>
      </c>
      <c r="AC25" s="69">
        <v>6500</v>
      </c>
      <c r="AD25" s="70">
        <v>4.4586153846153849</v>
      </c>
      <c r="AE25" s="70">
        <v>8.3455692307692306</v>
      </c>
      <c r="AF25" s="62">
        <f t="shared" si="19"/>
        <v>289.81000000000006</v>
      </c>
      <c r="AG25" s="63">
        <f t="shared" si="20"/>
        <v>542.46199999999999</v>
      </c>
      <c r="AH25" s="89">
        <v>17144</v>
      </c>
      <c r="AI25" s="66">
        <v>5.4</v>
      </c>
      <c r="AJ25" s="66">
        <v>8.4</v>
      </c>
      <c r="AK25" s="62">
        <f t="shared" si="33"/>
        <v>925.77600000000007</v>
      </c>
      <c r="AL25" s="72">
        <f t="shared" si="34"/>
        <v>1440.096</v>
      </c>
      <c r="AM25" s="73">
        <f t="shared" si="23"/>
        <v>6.5999999998894054E-2</v>
      </c>
      <c r="AN25" s="74">
        <f t="shared" si="30"/>
        <v>16.787586000000033</v>
      </c>
      <c r="AO25" s="74">
        <f t="shared" si="31"/>
        <v>-3.7146599999998671</v>
      </c>
      <c r="AP25" s="75">
        <f t="shared" si="24"/>
        <v>2.3590316504441065E-2</v>
      </c>
      <c r="AQ25" s="76">
        <f t="shared" si="25"/>
        <v>6954.4738487212362</v>
      </c>
      <c r="AR25" s="90">
        <f t="shared" si="35"/>
        <v>6.5999999998894054E-2</v>
      </c>
    </row>
    <row r="26" spans="1:49" x14ac:dyDescent="0.25">
      <c r="A26" t="str">
        <f t="shared" si="13"/>
        <v>46215M</v>
      </c>
      <c r="B26" s="51">
        <f t="shared" si="27"/>
        <v>46215</v>
      </c>
      <c r="C26" s="52" t="s">
        <v>87</v>
      </c>
      <c r="D26" s="91">
        <v>17144</v>
      </c>
      <c r="E26" s="62">
        <v>5.4</v>
      </c>
      <c r="F26" s="62">
        <v>8.4</v>
      </c>
      <c r="G26" s="62">
        <f t="shared" si="28"/>
        <v>925.77600000000007</v>
      </c>
      <c r="H26" s="72">
        <f t="shared" si="29"/>
        <v>1440.096</v>
      </c>
      <c r="I26" s="122">
        <v>4461.7999999999993</v>
      </c>
      <c r="J26" s="119">
        <v>4595.6539999999995</v>
      </c>
      <c r="K26" s="120">
        <v>4.7842104083553725</v>
      </c>
      <c r="L26" s="121">
        <v>8.260141646868977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4595.6539999999995</v>
      </c>
      <c r="S26" s="62">
        <f t="shared" si="15"/>
        <v>219.86575699999997</v>
      </c>
      <c r="T26" s="63">
        <f t="shared" si="16"/>
        <v>379.60752999999994</v>
      </c>
      <c r="U26" s="64" t="s">
        <v>180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7"/>
        <v>0</v>
      </c>
      <c r="AB26" s="63">
        <f t="shared" si="18"/>
        <v>0</v>
      </c>
      <c r="AC26" s="69"/>
      <c r="AD26" s="70"/>
      <c r="AE26" s="70"/>
      <c r="AF26" s="62">
        <f t="shared" si="19"/>
        <v>0</v>
      </c>
      <c r="AG26" s="63">
        <f t="shared" si="20"/>
        <v>0</v>
      </c>
      <c r="AH26" s="89">
        <v>21740</v>
      </c>
      <c r="AI26" s="66">
        <v>5.4</v>
      </c>
      <c r="AJ26" s="66">
        <v>8.4</v>
      </c>
      <c r="AK26" s="62">
        <f t="shared" si="33"/>
        <v>1173.96</v>
      </c>
      <c r="AL26" s="72">
        <f t="shared" si="34"/>
        <v>1826.16</v>
      </c>
      <c r="AM26" s="73">
        <f t="shared" si="23"/>
        <v>-0.34600000000136788</v>
      </c>
      <c r="AN26" s="74">
        <f t="shared" si="30"/>
        <v>-28.318242999999939</v>
      </c>
      <c r="AO26" s="74">
        <f t="shared" si="31"/>
        <v>-6.4564700000000812</v>
      </c>
      <c r="AP26" s="75">
        <f t="shared" si="24"/>
        <v>-5.8008778296071137E-2</v>
      </c>
      <c r="AQ26" s="76">
        <f t="shared" si="25"/>
        <v>-15541.492705294731</v>
      </c>
      <c r="AR26" s="90">
        <f t="shared" si="35"/>
        <v>-0.34600000000136788</v>
      </c>
    </row>
    <row r="27" spans="1:49" x14ac:dyDescent="0.25">
      <c r="A27" t="str">
        <f t="shared" si="13"/>
        <v>46215E</v>
      </c>
      <c r="B27" s="51">
        <f t="shared" si="27"/>
        <v>46215</v>
      </c>
      <c r="C27" s="52" t="s">
        <v>88</v>
      </c>
      <c r="D27" s="91">
        <v>21740</v>
      </c>
      <c r="E27" s="62">
        <v>5.4</v>
      </c>
      <c r="F27" s="62">
        <v>8.4</v>
      </c>
      <c r="G27" s="62">
        <f t="shared" si="28"/>
        <v>1173.96</v>
      </c>
      <c r="H27" s="72">
        <f t="shared" si="29"/>
        <v>1826.16</v>
      </c>
      <c r="I27" s="122">
        <v>4451.5000000000009</v>
      </c>
      <c r="J27" s="119">
        <v>4585.045000000001</v>
      </c>
      <c r="K27" s="120">
        <v>4.3816803324721993</v>
      </c>
      <c r="L27" s="121">
        <v>8.2243131528698168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4585.045000000001</v>
      </c>
      <c r="S27" s="62">
        <f t="shared" si="15"/>
        <v>200.90201500000001</v>
      </c>
      <c r="T27" s="63">
        <f t="shared" si="16"/>
        <v>377.08845899999994</v>
      </c>
      <c r="U27" s="64" t="s">
        <v>209</v>
      </c>
      <c r="V27" s="65" t="s">
        <v>468</v>
      </c>
      <c r="W27" s="66" t="s">
        <v>177</v>
      </c>
      <c r="X27" s="67">
        <v>6550</v>
      </c>
      <c r="Y27" s="68">
        <v>4.88</v>
      </c>
      <c r="Z27" s="68">
        <v>8.2899999999999991</v>
      </c>
      <c r="AA27" s="62">
        <f t="shared" si="17"/>
        <v>319.64</v>
      </c>
      <c r="AB27" s="63">
        <f t="shared" si="18"/>
        <v>542.99499999999989</v>
      </c>
      <c r="AC27" s="69">
        <v>6540</v>
      </c>
      <c r="AD27" s="70">
        <v>4.8153669724770642</v>
      </c>
      <c r="AE27" s="70">
        <v>8.2430733944954113</v>
      </c>
      <c r="AF27" s="62">
        <f t="shared" si="19"/>
        <v>314.92500000000001</v>
      </c>
      <c r="AG27" s="63">
        <f t="shared" si="20"/>
        <v>539.09699999999987</v>
      </c>
      <c r="AH27" s="89">
        <v>19774</v>
      </c>
      <c r="AI27" s="66">
        <v>5.4</v>
      </c>
      <c r="AJ27" s="66">
        <v>8.4</v>
      </c>
      <c r="AK27" s="62">
        <f t="shared" si="33"/>
        <v>1067.796</v>
      </c>
      <c r="AL27" s="72">
        <f t="shared" si="34"/>
        <v>1661.0160000000001</v>
      </c>
      <c r="AM27" s="73">
        <f t="shared" si="23"/>
        <v>11.045000000001892</v>
      </c>
      <c r="AN27" s="74">
        <f t="shared" si="30"/>
        <v>-7.8589849999998478</v>
      </c>
      <c r="AO27" s="74">
        <f t="shared" si="31"/>
        <v>3.1354590000000826</v>
      </c>
      <c r="AP27" s="75">
        <f t="shared" si="24"/>
        <v>-8.1723249992520907E-3</v>
      </c>
      <c r="AQ27" s="76">
        <f t="shared" si="25"/>
        <v>-2837.456017329222</v>
      </c>
      <c r="AR27" s="90">
        <f t="shared" si="35"/>
        <v>1.0450000000018917</v>
      </c>
      <c r="AS27" s="90">
        <f>SUM(J14:J27)</f>
        <v>56627.85500000001</v>
      </c>
      <c r="AT27" s="83">
        <f>SUM(AM14:AM27)</f>
        <v>191.8550000000032</v>
      </c>
      <c r="AU27" s="83">
        <f>SUM(AN14:AN27)</f>
        <v>46.956020000000308</v>
      </c>
      <c r="AV27" s="83">
        <f>SUM(AO14:AO27)</f>
        <v>4.6269800000009127</v>
      </c>
      <c r="AW27" s="83">
        <f>-SUM(AQ14:AQ27)</f>
        <v>-23949.635178873399</v>
      </c>
    </row>
    <row r="28" spans="1:49" x14ac:dyDescent="0.25">
      <c r="A28" t="str">
        <f t="shared" si="13"/>
        <v>46216M</v>
      </c>
      <c r="B28" s="51">
        <f t="shared" si="27"/>
        <v>46216</v>
      </c>
      <c r="C28" s="52" t="s">
        <v>87</v>
      </c>
      <c r="D28" s="91">
        <v>19774</v>
      </c>
      <c r="E28" s="62">
        <v>5.4</v>
      </c>
      <c r="F28" s="62">
        <v>8.4</v>
      </c>
      <c r="G28" s="62">
        <f t="shared" si="28"/>
        <v>1067.796</v>
      </c>
      <c r="H28" s="72">
        <f t="shared" si="29"/>
        <v>1661.0160000000001</v>
      </c>
      <c r="I28" s="122">
        <v>4636.0000000000009</v>
      </c>
      <c r="J28" s="119">
        <v>4775.0800000000008</v>
      </c>
      <c r="K28" s="120">
        <v>4.7878688524590158</v>
      </c>
      <c r="L28" s="121">
        <v>8.2690163934426231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4775.0800000000008</v>
      </c>
      <c r="S28" s="62">
        <f t="shared" si="15"/>
        <v>228.62456800000001</v>
      </c>
      <c r="T28" s="63">
        <f t="shared" si="16"/>
        <v>394.85214800000006</v>
      </c>
      <c r="U28" s="64" t="s">
        <v>208</v>
      </c>
      <c r="V28" s="65" t="s">
        <v>599</v>
      </c>
      <c r="W28" s="66" t="s">
        <v>181</v>
      </c>
      <c r="X28" s="67">
        <v>6500</v>
      </c>
      <c r="Y28" s="68">
        <v>4.47</v>
      </c>
      <c r="Z28" s="68">
        <v>8.31</v>
      </c>
      <c r="AA28" s="62">
        <f t="shared" si="17"/>
        <v>290.54999999999995</v>
      </c>
      <c r="AB28" s="63">
        <f t="shared" si="18"/>
        <v>540.15000000000009</v>
      </c>
      <c r="AC28" s="69">
        <v>6500</v>
      </c>
      <c r="AD28" s="70">
        <v>4.3695384615384611</v>
      </c>
      <c r="AE28" s="70">
        <v>8.117353846153847</v>
      </c>
      <c r="AF28" s="62">
        <f t="shared" si="19"/>
        <v>284.01999999999992</v>
      </c>
      <c r="AG28" s="63">
        <f t="shared" si="20"/>
        <v>527.62800000000004</v>
      </c>
      <c r="AH28" s="89">
        <v>18050</v>
      </c>
      <c r="AI28" s="66">
        <v>5.4</v>
      </c>
      <c r="AJ28" s="66">
        <v>8.4</v>
      </c>
      <c r="AK28" s="62">
        <f t="shared" si="33"/>
        <v>974.70000000000016</v>
      </c>
      <c r="AL28" s="72">
        <f t="shared" si="34"/>
        <v>1516.2</v>
      </c>
      <c r="AM28" s="73">
        <f t="shared" si="23"/>
        <v>-0.91999999999825377</v>
      </c>
      <c r="AN28" s="74">
        <f t="shared" si="30"/>
        <v>37.700567999999862</v>
      </c>
      <c r="AO28" s="74">
        <f t="shared" si="31"/>
        <v>12.040147999999817</v>
      </c>
      <c r="AP28" s="75">
        <f t="shared" si="24"/>
        <v>7.9779588753719669E-2</v>
      </c>
      <c r="AQ28" s="76">
        <f t="shared" si="25"/>
        <v>21722.267081182556</v>
      </c>
      <c r="AR28" s="90">
        <f t="shared" si="35"/>
        <v>-0.91999999999825377</v>
      </c>
    </row>
    <row r="29" spans="1:49" x14ac:dyDescent="0.25">
      <c r="A29" t="str">
        <f t="shared" si="13"/>
        <v>46216E</v>
      </c>
      <c r="B29" s="51">
        <f t="shared" si="27"/>
        <v>46216</v>
      </c>
      <c r="C29" s="52" t="s">
        <v>88</v>
      </c>
      <c r="D29" s="91">
        <v>18050</v>
      </c>
      <c r="E29" s="62">
        <v>5.4</v>
      </c>
      <c r="F29" s="62">
        <v>8.4</v>
      </c>
      <c r="G29" s="62">
        <f t="shared" si="28"/>
        <v>974.70000000000016</v>
      </c>
      <c r="H29" s="72">
        <f t="shared" si="29"/>
        <v>1516.2</v>
      </c>
      <c r="I29" s="122">
        <v>4307.0000000000009</v>
      </c>
      <c r="J29" s="119">
        <v>4436.2100000000009</v>
      </c>
      <c r="K29" s="120">
        <v>4.2993382865103333</v>
      </c>
      <c r="L29" s="121">
        <v>8.171140004643604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4436.2100000000009</v>
      </c>
      <c r="S29" s="62">
        <f t="shared" si="15"/>
        <v>190.72767500000009</v>
      </c>
      <c r="T29" s="63">
        <f t="shared" si="16"/>
        <v>362.4889300000001</v>
      </c>
      <c r="U29" s="64" t="s">
        <v>209</v>
      </c>
      <c r="V29" s="65" t="s">
        <v>600</v>
      </c>
      <c r="W29" s="66" t="s">
        <v>177</v>
      </c>
      <c r="X29" s="67">
        <v>6550</v>
      </c>
      <c r="Y29" s="68">
        <v>5.0599999999999996</v>
      </c>
      <c r="Z29" s="68">
        <v>8.4499999999999993</v>
      </c>
      <c r="AA29" s="62">
        <f t="shared" si="17"/>
        <v>331.43</v>
      </c>
      <c r="AB29" s="63">
        <f t="shared" si="18"/>
        <v>553.47499999999991</v>
      </c>
      <c r="AC29" s="69">
        <v>6560</v>
      </c>
      <c r="AD29" s="70">
        <v>4.9957317073170744</v>
      </c>
      <c r="AE29" s="70">
        <v>8.3653506097560992</v>
      </c>
      <c r="AF29" s="62">
        <f t="shared" si="19"/>
        <v>327.72000000000008</v>
      </c>
      <c r="AG29" s="63">
        <f t="shared" si="20"/>
        <v>548.76700000000005</v>
      </c>
      <c r="AH29" s="89">
        <v>15938</v>
      </c>
      <c r="AI29" s="66">
        <v>5.4</v>
      </c>
      <c r="AJ29" s="66">
        <v>8.4</v>
      </c>
      <c r="AK29" s="62">
        <f t="shared" si="33"/>
        <v>860.65200000000016</v>
      </c>
      <c r="AL29" s="72">
        <f t="shared" si="34"/>
        <v>1338.7920000000001</v>
      </c>
      <c r="AM29" s="73">
        <f t="shared" ref="AM29" si="36">+D29+R29-AC29-AH29</f>
        <v>-11.790000000000873</v>
      </c>
      <c r="AN29" s="74">
        <f t="shared" ref="AN29" si="37">+G29+S29-AF29-AK29</f>
        <v>-22.944324999999822</v>
      </c>
      <c r="AO29" s="74">
        <f t="shared" ref="AO29" si="38">+H29+T29-AG29-AL29</f>
        <v>-8.8700699999999415</v>
      </c>
      <c r="AP29" s="75">
        <f t="shared" ref="AP29" si="39">(AN29+AO29)/(S29+T29)</f>
        <v>-5.7508026173581236E-2</v>
      </c>
      <c r="AQ29" s="76">
        <f t="shared" ref="AQ29" si="40">($AP$1*AN29+$AQ$1*AO29)</f>
        <v>-13682.00191737137</v>
      </c>
      <c r="AR29" s="90">
        <f t="shared" si="35"/>
        <v>-1.7900000000008731</v>
      </c>
    </row>
    <row r="30" spans="1:49" x14ac:dyDescent="0.25">
      <c r="A30" t="str">
        <f t="shared" si="13"/>
        <v>46217M</v>
      </c>
      <c r="B30" s="51">
        <f t="shared" si="27"/>
        <v>46217</v>
      </c>
      <c r="C30" s="52" t="s">
        <v>87</v>
      </c>
      <c r="D30" s="91">
        <v>15938</v>
      </c>
      <c r="E30" s="62">
        <v>5.4</v>
      </c>
      <c r="F30" s="62">
        <v>8.4</v>
      </c>
      <c r="G30" s="62">
        <f t="shared" si="28"/>
        <v>860.65200000000016</v>
      </c>
      <c r="H30" s="72">
        <f t="shared" si="29"/>
        <v>1338.7920000000001</v>
      </c>
      <c r="I30" s="122">
        <v>4498.8999999999996</v>
      </c>
      <c r="J30" s="119">
        <v>4633.8670000000002</v>
      </c>
      <c r="K30" s="120">
        <v>4.8340394318611244</v>
      </c>
      <c r="L30" s="121">
        <v>8.2597346017915552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4633.8670000000002</v>
      </c>
      <c r="S30" s="62">
        <f t="shared" si="15"/>
        <v>224.00295800000015</v>
      </c>
      <c r="T30" s="63">
        <f t="shared" si="16"/>
        <v>382.74511600000028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7"/>
        <v>0</v>
      </c>
      <c r="AB30" s="63">
        <f t="shared" si="18"/>
        <v>0</v>
      </c>
      <c r="AC30" s="69"/>
      <c r="AD30" s="70"/>
      <c r="AE30" s="70"/>
      <c r="AF30" s="62">
        <f t="shared" si="19"/>
        <v>0</v>
      </c>
      <c r="AG30" s="63">
        <f t="shared" si="20"/>
        <v>0</v>
      </c>
      <c r="AH30" s="89">
        <v>20572</v>
      </c>
      <c r="AI30" s="66">
        <v>5.4</v>
      </c>
      <c r="AJ30" s="66">
        <v>8.4</v>
      </c>
      <c r="AK30" s="62">
        <f t="shared" si="33"/>
        <v>1110.8880000000001</v>
      </c>
      <c r="AL30" s="72">
        <f t="shared" si="34"/>
        <v>1728.048</v>
      </c>
      <c r="AM30" s="73">
        <f t="shared" si="23"/>
        <v>-0.13300000000162981</v>
      </c>
      <c r="AN30" s="74">
        <f t="shared" si="30"/>
        <v>-26.233041999999841</v>
      </c>
      <c r="AO30" s="74">
        <f t="shared" si="31"/>
        <v>-6.510883999999578</v>
      </c>
      <c r="AP30" s="75">
        <f t="shared" si="24"/>
        <v>-5.396626277547837E-2</v>
      </c>
      <c r="AQ30" s="76">
        <f t="shared" si="25"/>
        <v>-14555.782267533996</v>
      </c>
      <c r="AR30" s="90">
        <f t="shared" si="35"/>
        <v>-0.13300000000162981</v>
      </c>
    </row>
    <row r="31" spans="1:49" x14ac:dyDescent="0.25">
      <c r="A31" t="str">
        <f t="shared" si="13"/>
        <v>46217E</v>
      </c>
      <c r="B31" s="51">
        <f t="shared" si="27"/>
        <v>46217</v>
      </c>
      <c r="C31" s="52" t="s">
        <v>88</v>
      </c>
      <c r="D31" s="91">
        <v>20572</v>
      </c>
      <c r="E31" s="62">
        <v>5.4</v>
      </c>
      <c r="F31" s="62">
        <v>8.4</v>
      </c>
      <c r="G31" s="62">
        <f t="shared" si="28"/>
        <v>1110.8880000000001</v>
      </c>
      <c r="H31" s="72">
        <f t="shared" si="29"/>
        <v>1728.048</v>
      </c>
      <c r="I31" s="122">
        <v>2392.7000000000003</v>
      </c>
      <c r="J31" s="119">
        <v>2464.4810000000002</v>
      </c>
      <c r="K31" s="120">
        <v>4.3595310736824526</v>
      </c>
      <c r="L31" s="121">
        <v>8.2254064446023332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2464.4810000000002</v>
      </c>
      <c r="S31" s="62">
        <f t="shared" si="15"/>
        <v>107.43981500000005</v>
      </c>
      <c r="T31" s="63">
        <f t="shared" si="16"/>
        <v>202.71357900000004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7"/>
        <v>0</v>
      </c>
      <c r="AB31" s="63">
        <f t="shared" si="18"/>
        <v>0</v>
      </c>
      <c r="AC31" s="69"/>
      <c r="AD31" s="70"/>
      <c r="AE31" s="70"/>
      <c r="AF31" s="62">
        <f t="shared" si="19"/>
        <v>0</v>
      </c>
      <c r="AG31" s="63">
        <f t="shared" si="20"/>
        <v>0</v>
      </c>
      <c r="AH31" s="89">
        <v>23037</v>
      </c>
      <c r="AI31" s="66">
        <v>5.4</v>
      </c>
      <c r="AJ31" s="66">
        <v>8.4</v>
      </c>
      <c r="AK31" s="62">
        <f t="shared" si="33"/>
        <v>1243.998</v>
      </c>
      <c r="AL31" s="72">
        <f t="shared" si="34"/>
        <v>1935.1080000000002</v>
      </c>
      <c r="AM31" s="73">
        <f t="shared" si="23"/>
        <v>-0.51900000000023283</v>
      </c>
      <c r="AN31" s="74">
        <f t="shared" si="30"/>
        <v>-25.670184999999947</v>
      </c>
      <c r="AO31" s="74">
        <f t="shared" si="31"/>
        <v>-4.3464210000001913</v>
      </c>
      <c r="AP31" s="75">
        <f t="shared" si="24"/>
        <v>-9.6779872736134323E-2</v>
      </c>
      <c r="AQ31" s="76">
        <f t="shared" si="25"/>
        <v>-13637.073760706489</v>
      </c>
      <c r="AR31" s="90">
        <f>(D31+J31+O31)-(X31+AH31)</f>
        <v>-0.51900000000023283</v>
      </c>
    </row>
    <row r="32" spans="1:49" x14ac:dyDescent="0.25">
      <c r="A32" t="str">
        <f t="shared" si="13"/>
        <v>46218M</v>
      </c>
      <c r="B32" s="51">
        <f t="shared" si="27"/>
        <v>46218</v>
      </c>
      <c r="C32" s="52" t="s">
        <v>87</v>
      </c>
      <c r="D32" s="91">
        <v>23037</v>
      </c>
      <c r="E32" s="62">
        <v>5.4</v>
      </c>
      <c r="F32" s="62">
        <v>8.4</v>
      </c>
      <c r="G32" s="62">
        <f t="shared" si="28"/>
        <v>1243.998</v>
      </c>
      <c r="H32" s="72">
        <f t="shared" si="29"/>
        <v>1935.1080000000002</v>
      </c>
      <c r="I32" s="122">
        <v>2645.2999999999997</v>
      </c>
      <c r="J32" s="119">
        <v>2724.6589999999997</v>
      </c>
      <c r="K32" s="120">
        <v>5.3238914300835418</v>
      </c>
      <c r="L32" s="121">
        <v>8.3228064869768996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2724.6589999999997</v>
      </c>
      <c r="S32" s="62">
        <f t="shared" si="15"/>
        <v>145.05788699999991</v>
      </c>
      <c r="T32" s="63">
        <f t="shared" si="16"/>
        <v>226.7680959999999</v>
      </c>
      <c r="U32" s="64" t="s">
        <v>208</v>
      </c>
      <c r="V32" s="65" t="s">
        <v>601</v>
      </c>
      <c r="W32" s="66" t="s">
        <v>181</v>
      </c>
      <c r="X32" s="67">
        <v>6500</v>
      </c>
      <c r="Y32" s="68">
        <v>4.54</v>
      </c>
      <c r="Z32" s="68">
        <v>8.36</v>
      </c>
      <c r="AA32" s="62">
        <f t="shared" si="17"/>
        <v>295.10000000000002</v>
      </c>
      <c r="AB32" s="63">
        <f t="shared" si="18"/>
        <v>543.4</v>
      </c>
      <c r="AC32" s="69">
        <v>6540</v>
      </c>
      <c r="AD32" s="70">
        <v>4.4876146788990825</v>
      </c>
      <c r="AE32" s="70">
        <v>8.2375229357798165</v>
      </c>
      <c r="AF32" s="62">
        <f t="shared" si="19"/>
        <v>293.49</v>
      </c>
      <c r="AG32" s="63">
        <f t="shared" si="20"/>
        <v>538.73399999999992</v>
      </c>
      <c r="AH32" s="89">
        <v>19262</v>
      </c>
      <c r="AI32" s="66">
        <v>5.4</v>
      </c>
      <c r="AJ32" s="66">
        <v>8.4</v>
      </c>
      <c r="AK32" s="62">
        <f t="shared" si="33"/>
        <v>1040.1480000000001</v>
      </c>
      <c r="AL32" s="72">
        <f t="shared" si="34"/>
        <v>1618.008</v>
      </c>
      <c r="AM32" s="73">
        <f t="shared" si="23"/>
        <v>-40.341000000000349</v>
      </c>
      <c r="AN32" s="74">
        <f t="shared" si="30"/>
        <v>55.417886999999837</v>
      </c>
      <c r="AO32" s="74">
        <f t="shared" si="31"/>
        <v>5.1340959999999995</v>
      </c>
      <c r="AP32" s="75">
        <f t="shared" si="24"/>
        <v>0.16285032721879433</v>
      </c>
      <c r="AQ32" s="76">
        <f t="shared" si="25"/>
        <v>28167.714403292255</v>
      </c>
      <c r="AR32" s="90">
        <f t="shared" si="32"/>
        <v>-0.34100000000034925</v>
      </c>
    </row>
    <row r="33" spans="1:49" x14ac:dyDescent="0.25">
      <c r="A33" t="str">
        <f t="shared" si="13"/>
        <v>46218E</v>
      </c>
      <c r="B33" s="51">
        <f t="shared" si="27"/>
        <v>46218</v>
      </c>
      <c r="C33" s="52" t="s">
        <v>88</v>
      </c>
      <c r="D33" s="91">
        <v>19262</v>
      </c>
      <c r="E33" s="62">
        <v>5.4</v>
      </c>
      <c r="F33" s="62">
        <v>8.4</v>
      </c>
      <c r="G33" s="62">
        <f t="shared" si="28"/>
        <v>1040.1480000000001</v>
      </c>
      <c r="H33" s="72">
        <f t="shared" si="29"/>
        <v>1618.008</v>
      </c>
      <c r="I33" s="122">
        <v>4457.6000000000004</v>
      </c>
      <c r="J33" s="119">
        <v>4591.3280000000004</v>
      </c>
      <c r="K33" s="120">
        <v>4.3772231694185217</v>
      </c>
      <c r="L33" s="121">
        <v>8.1939294687724313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4591.3280000000004</v>
      </c>
      <c r="S33" s="62">
        <f t="shared" si="15"/>
        <v>200.97267300000004</v>
      </c>
      <c r="T33" s="63">
        <f t="shared" si="16"/>
        <v>376.21017799999993</v>
      </c>
      <c r="U33" s="64" t="s">
        <v>209</v>
      </c>
      <c r="V33" s="65" t="s">
        <v>602</v>
      </c>
      <c r="W33" s="66" t="s">
        <v>177</v>
      </c>
      <c r="X33" s="67">
        <v>6550</v>
      </c>
      <c r="Y33" s="68">
        <v>4.96</v>
      </c>
      <c r="Z33" s="68">
        <v>8.35</v>
      </c>
      <c r="AA33" s="62">
        <f t="shared" si="17"/>
        <v>324.88</v>
      </c>
      <c r="AB33" s="63">
        <f t="shared" si="18"/>
        <v>546.92499999999995</v>
      </c>
      <c r="AC33" s="69">
        <v>6550</v>
      </c>
      <c r="AD33" s="70">
        <v>4.8641221374045802</v>
      </c>
      <c r="AE33" s="70">
        <v>8.2561832061068703</v>
      </c>
      <c r="AF33" s="62">
        <f t="shared" si="19"/>
        <v>318.59999999999997</v>
      </c>
      <c r="AG33" s="63">
        <f t="shared" si="20"/>
        <v>540.78000000000009</v>
      </c>
      <c r="AH33" s="89">
        <v>17303</v>
      </c>
      <c r="AI33" s="66">
        <v>5.4</v>
      </c>
      <c r="AJ33" s="66">
        <v>8.4</v>
      </c>
      <c r="AK33" s="62">
        <f t="shared" si="33"/>
        <v>934.36200000000008</v>
      </c>
      <c r="AL33" s="72">
        <f t="shared" si="34"/>
        <v>1453.452</v>
      </c>
      <c r="AM33" s="73">
        <f t="shared" si="23"/>
        <v>0.32800000000133878</v>
      </c>
      <c r="AN33" s="74">
        <f t="shared" si="30"/>
        <v>-11.841326999999865</v>
      </c>
      <c r="AO33" s="74">
        <f t="shared" si="31"/>
        <v>-1.3822000000118351E-2</v>
      </c>
      <c r="AP33" s="75">
        <f t="shared" si="24"/>
        <v>-2.053967642915985E-2</v>
      </c>
      <c r="AQ33" s="76">
        <f t="shared" si="25"/>
        <v>-5694.2825823182093</v>
      </c>
      <c r="AR33" s="90">
        <f t="shared" si="32"/>
        <v>0.32800000000133878</v>
      </c>
    </row>
    <row r="34" spans="1:49" x14ac:dyDescent="0.25">
      <c r="A34" t="str">
        <f t="shared" si="13"/>
        <v>46219M</v>
      </c>
      <c r="B34" s="51">
        <f t="shared" si="27"/>
        <v>46219</v>
      </c>
      <c r="C34" s="52" t="s">
        <v>87</v>
      </c>
      <c r="D34" s="91">
        <v>17303</v>
      </c>
      <c r="E34" s="62">
        <v>5.4</v>
      </c>
      <c r="F34" s="62">
        <v>8.4</v>
      </c>
      <c r="G34" s="62">
        <f t="shared" si="28"/>
        <v>934.36200000000008</v>
      </c>
      <c r="H34" s="72">
        <f t="shared" si="29"/>
        <v>1453.452</v>
      </c>
      <c r="I34" s="122">
        <v>2701.7999999999997</v>
      </c>
      <c r="J34" s="119">
        <v>2782.8539999999998</v>
      </c>
      <c r="K34" s="120">
        <v>5.1601524909319689</v>
      </c>
      <c r="L34" s="121">
        <v>8.3293878155303851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2782.8539999999998</v>
      </c>
      <c r="S34" s="62">
        <f t="shared" si="15"/>
        <v>143.59950999999992</v>
      </c>
      <c r="T34" s="63">
        <f t="shared" si="16"/>
        <v>231.79470199999994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7"/>
        <v>0</v>
      </c>
      <c r="AB34" s="63">
        <f t="shared" si="18"/>
        <v>0</v>
      </c>
      <c r="AC34" s="69"/>
      <c r="AD34" s="70"/>
      <c r="AE34" s="70"/>
      <c r="AF34" s="62">
        <f t="shared" si="19"/>
        <v>0</v>
      </c>
      <c r="AG34" s="63">
        <f t="shared" si="20"/>
        <v>0</v>
      </c>
      <c r="AH34" s="89">
        <v>20087</v>
      </c>
      <c r="AI34" s="66">
        <v>5.4</v>
      </c>
      <c r="AJ34" s="66">
        <v>8.4</v>
      </c>
      <c r="AK34" s="62">
        <f t="shared" si="33"/>
        <v>1084.6980000000001</v>
      </c>
      <c r="AL34" s="72">
        <f t="shared" si="34"/>
        <v>1687.308</v>
      </c>
      <c r="AM34" s="73">
        <f t="shared" si="23"/>
        <v>-1.1460000000006403</v>
      </c>
      <c r="AN34" s="74">
        <f t="shared" si="30"/>
        <v>-6.7364900000000034</v>
      </c>
      <c r="AO34" s="74">
        <f t="shared" si="31"/>
        <v>-2.0612980000000789</v>
      </c>
      <c r="AP34" s="75">
        <f t="shared" si="24"/>
        <v>-2.3436131188938218E-2</v>
      </c>
      <c r="AQ34" s="76">
        <f t="shared" si="25"/>
        <v>-3854.4430939427148</v>
      </c>
      <c r="AR34" s="90">
        <f t="shared" si="32"/>
        <v>-1.1460000000006403</v>
      </c>
    </row>
    <row r="35" spans="1:49" x14ac:dyDescent="0.25">
      <c r="A35" t="str">
        <f t="shared" si="13"/>
        <v>46219E</v>
      </c>
      <c r="B35" s="51">
        <f t="shared" si="27"/>
        <v>46219</v>
      </c>
      <c r="C35" s="52" t="s">
        <v>88</v>
      </c>
      <c r="D35" s="91">
        <v>20087</v>
      </c>
      <c r="E35" s="62">
        <v>5.4</v>
      </c>
      <c r="F35" s="62">
        <v>8.4</v>
      </c>
      <c r="G35" s="62">
        <f t="shared" si="28"/>
        <v>1084.6980000000001</v>
      </c>
      <c r="H35" s="72">
        <f t="shared" si="29"/>
        <v>1687.308</v>
      </c>
      <c r="I35" s="122">
        <v>2542.8000000000002</v>
      </c>
      <c r="J35" s="119">
        <v>2619.0840000000003</v>
      </c>
      <c r="K35" s="120">
        <v>4.3497325782601859</v>
      </c>
      <c r="L35" s="121">
        <v>8.2172722982538939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2619.0840000000003</v>
      </c>
      <c r="S35" s="62">
        <f t="shared" si="15"/>
        <v>113.92315000000002</v>
      </c>
      <c r="T35" s="63">
        <f t="shared" si="16"/>
        <v>215.21726400000006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7"/>
        <v>0</v>
      </c>
      <c r="AB35" s="63">
        <f t="shared" si="18"/>
        <v>0</v>
      </c>
      <c r="AC35" s="69"/>
      <c r="AD35" s="70"/>
      <c r="AE35" s="70"/>
      <c r="AF35" s="62">
        <f t="shared" si="19"/>
        <v>0</v>
      </c>
      <c r="AG35" s="63">
        <f t="shared" si="20"/>
        <v>0</v>
      </c>
      <c r="AH35" s="89">
        <v>22520</v>
      </c>
      <c r="AI35" s="66">
        <v>5.4</v>
      </c>
      <c r="AJ35" s="66">
        <v>8.4</v>
      </c>
      <c r="AK35" s="62">
        <f t="shared" si="33"/>
        <v>1216.0800000000002</v>
      </c>
      <c r="AL35" s="72">
        <f t="shared" si="34"/>
        <v>1891.68</v>
      </c>
      <c r="AM35" s="73">
        <f t="shared" si="23"/>
        <v>186.08399999999892</v>
      </c>
      <c r="AN35" s="74">
        <f t="shared" si="30"/>
        <v>-17.458849999999984</v>
      </c>
      <c r="AO35" s="74">
        <f t="shared" si="31"/>
        <v>10.845264000000043</v>
      </c>
      <c r="AP35" s="75">
        <f t="shared" si="24"/>
        <v>-2.0093509392012675E-2</v>
      </c>
      <c r="AQ35" s="76">
        <f t="shared" si="25"/>
        <v>-5141.4856302458729</v>
      </c>
      <c r="AR35" s="90">
        <f t="shared" ref="AR35" si="41">(D35+J35+O35)-(X35+AH35)</f>
        <v>186.08399999999892</v>
      </c>
    </row>
    <row r="36" spans="1:49" x14ac:dyDescent="0.25">
      <c r="A36" t="str">
        <f t="shared" si="13"/>
        <v>46220M</v>
      </c>
      <c r="B36" s="51">
        <f t="shared" si="27"/>
        <v>46220</v>
      </c>
      <c r="C36" s="52" t="s">
        <v>87</v>
      </c>
      <c r="D36" s="91">
        <v>22520</v>
      </c>
      <c r="E36" s="62">
        <v>5.4</v>
      </c>
      <c r="F36" s="62">
        <v>8.4</v>
      </c>
      <c r="G36" s="62">
        <f t="shared" si="28"/>
        <v>1216.0800000000002</v>
      </c>
      <c r="H36" s="72">
        <f t="shared" si="29"/>
        <v>1891.68</v>
      </c>
      <c r="I36" s="122">
        <v>2650.2000000000007</v>
      </c>
      <c r="J36" s="119">
        <v>2729.706000000001</v>
      </c>
      <c r="K36" s="120">
        <v>5.1623801977209238</v>
      </c>
      <c r="L36" s="121">
        <v>8.3119575881065551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2729.706000000001</v>
      </c>
      <c r="S36" s="62">
        <f t="shared" si="15"/>
        <v>140.91780199999999</v>
      </c>
      <c r="T36" s="63">
        <f t="shared" si="16"/>
        <v>226.89200500000001</v>
      </c>
      <c r="U36" s="64" t="s">
        <v>208</v>
      </c>
      <c r="V36" s="85" t="s">
        <v>673</v>
      </c>
      <c r="W36" s="66" t="s">
        <v>181</v>
      </c>
      <c r="X36" s="67">
        <v>6500</v>
      </c>
      <c r="Y36" s="68">
        <v>4.53</v>
      </c>
      <c r="Z36" s="68">
        <v>8.42</v>
      </c>
      <c r="AA36" s="62">
        <f t="shared" si="17"/>
        <v>294.45</v>
      </c>
      <c r="AB36" s="63">
        <f t="shared" si="18"/>
        <v>547.29999999999995</v>
      </c>
      <c r="AC36" s="69">
        <v>6500</v>
      </c>
      <c r="AD36" s="70">
        <v>4.4806153846153851</v>
      </c>
      <c r="AE36" s="70">
        <v>8.3263230769230763</v>
      </c>
      <c r="AF36" s="62">
        <f t="shared" si="19"/>
        <v>291.24</v>
      </c>
      <c r="AG36" s="63">
        <f t="shared" si="20"/>
        <v>541.2109999999999</v>
      </c>
      <c r="AH36" s="89">
        <v>18751</v>
      </c>
      <c r="AI36" s="66">
        <v>5.4</v>
      </c>
      <c r="AJ36" s="66">
        <v>8.4</v>
      </c>
      <c r="AK36" s="62">
        <f t="shared" si="33"/>
        <v>1012.5540000000001</v>
      </c>
      <c r="AL36" s="72">
        <f t="shared" si="34"/>
        <v>1575.0840000000001</v>
      </c>
      <c r="AM36" s="73">
        <f t="shared" ref="AM36:AM49" si="42">+D36+R36-AC36-AH36</f>
        <v>-1.29399999999805</v>
      </c>
      <c r="AN36" s="80">
        <f t="shared" ref="AN36:AN49" si="43">+G36+S36-AF36-AK36</f>
        <v>53.203801999999996</v>
      </c>
      <c r="AO36" s="80">
        <f t="shared" ref="AO36:AO49" si="44">+H36+T36-AG36-AL36</f>
        <v>2.2770050000001447</v>
      </c>
      <c r="AP36" s="75">
        <f t="shared" si="24"/>
        <v>0.15084102148478098</v>
      </c>
      <c r="AQ36" s="76">
        <f t="shared" si="25"/>
        <v>26248.101181023725</v>
      </c>
      <c r="AR36" s="90">
        <f t="shared" ref="AR36:AR49" si="45">(D36+J36+O36)-(X36+AH36)</f>
        <v>-1.29399999999805</v>
      </c>
    </row>
    <row r="37" spans="1:49" x14ac:dyDescent="0.25">
      <c r="A37" t="str">
        <f t="shared" si="13"/>
        <v>46220E</v>
      </c>
      <c r="B37" s="51">
        <f t="shared" si="27"/>
        <v>46220</v>
      </c>
      <c r="C37" s="52" t="s">
        <v>88</v>
      </c>
      <c r="D37" s="91">
        <v>18751</v>
      </c>
      <c r="E37" s="62">
        <v>5.4</v>
      </c>
      <c r="F37" s="62">
        <v>8.4</v>
      </c>
      <c r="G37" s="62">
        <f t="shared" si="28"/>
        <v>1012.5540000000001</v>
      </c>
      <c r="H37" s="72">
        <f t="shared" si="29"/>
        <v>1575.0840000000001</v>
      </c>
      <c r="I37" s="122">
        <v>2568.6000000000004</v>
      </c>
      <c r="J37" s="119">
        <v>2645.6580000000004</v>
      </c>
      <c r="K37" s="120">
        <v>4.3671104882036902</v>
      </c>
      <c r="L37" s="121">
        <v>8.1454449894884355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2645.6580000000004</v>
      </c>
      <c r="S37" s="62">
        <f t="shared" si="15"/>
        <v>115.538808</v>
      </c>
      <c r="T37" s="63">
        <f t="shared" si="16"/>
        <v>215.50061700000001</v>
      </c>
      <c r="U37" s="64" t="s">
        <v>209</v>
      </c>
      <c r="V37" s="65" t="s">
        <v>674</v>
      </c>
      <c r="W37" s="66" t="s">
        <v>177</v>
      </c>
      <c r="X37" s="67">
        <v>6550</v>
      </c>
      <c r="Y37" s="68">
        <v>4.8600000000000003</v>
      </c>
      <c r="Z37" s="68">
        <v>8.26</v>
      </c>
      <c r="AA37" s="62">
        <f t="shared" si="17"/>
        <v>318.33000000000004</v>
      </c>
      <c r="AB37" s="63">
        <f t="shared" si="18"/>
        <v>541.03</v>
      </c>
      <c r="AC37" s="69">
        <v>6550</v>
      </c>
      <c r="AD37" s="70">
        <v>4.598091603053434</v>
      </c>
      <c r="AE37" s="70">
        <v>8.2561832061068703</v>
      </c>
      <c r="AF37" s="62">
        <f t="shared" si="19"/>
        <v>301.17499999999995</v>
      </c>
      <c r="AG37" s="63">
        <f t="shared" si="20"/>
        <v>540.78000000000009</v>
      </c>
      <c r="AH37" s="89">
        <v>14846</v>
      </c>
      <c r="AI37" s="66">
        <v>5.4</v>
      </c>
      <c r="AJ37" s="66">
        <v>8.4</v>
      </c>
      <c r="AK37" s="62">
        <f t="shared" si="33"/>
        <v>801.68400000000008</v>
      </c>
      <c r="AL37" s="72">
        <f t="shared" si="34"/>
        <v>1247.0640000000001</v>
      </c>
      <c r="AM37" s="73">
        <f t="shared" si="42"/>
        <v>0.65799999999944703</v>
      </c>
      <c r="AN37" s="80">
        <f t="shared" si="43"/>
        <v>25.233808000000067</v>
      </c>
      <c r="AO37" s="80">
        <f t="shared" si="44"/>
        <v>2.7406169999997019</v>
      </c>
      <c r="AP37" s="75">
        <f t="shared" si="24"/>
        <v>8.4504813890369013E-2</v>
      </c>
      <c r="AQ37" s="76">
        <f t="shared" si="25"/>
        <v>12946.456407382659</v>
      </c>
      <c r="AR37" s="90">
        <f t="shared" si="45"/>
        <v>0.65799999999944703</v>
      </c>
    </row>
    <row r="38" spans="1:49" x14ac:dyDescent="0.25">
      <c r="A38" t="str">
        <f t="shared" si="13"/>
        <v>46221M</v>
      </c>
      <c r="B38" s="51">
        <f t="shared" si="27"/>
        <v>46221</v>
      </c>
      <c r="C38" s="52" t="s">
        <v>87</v>
      </c>
      <c r="D38" s="91">
        <v>14846</v>
      </c>
      <c r="E38" s="62">
        <v>5.4</v>
      </c>
      <c r="F38" s="62">
        <v>8.4</v>
      </c>
      <c r="G38" s="62">
        <f t="shared" si="28"/>
        <v>801.68400000000008</v>
      </c>
      <c r="H38" s="72">
        <f t="shared" si="29"/>
        <v>1247.0640000000001</v>
      </c>
      <c r="I38" s="122">
        <v>2669.7999999999997</v>
      </c>
      <c r="J38" s="119">
        <v>2749.8939999999998</v>
      </c>
      <c r="K38" s="120">
        <v>5.3004082702824196</v>
      </c>
      <c r="L38" s="121">
        <v>8.3856019177466479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2749.8939999999998</v>
      </c>
      <c r="S38" s="62">
        <f t="shared" si="15"/>
        <v>145.75560900000002</v>
      </c>
      <c r="T38" s="63">
        <f t="shared" si="16"/>
        <v>230.59516399999998</v>
      </c>
      <c r="U38" s="64" t="s">
        <v>167</v>
      </c>
      <c r="V38" s="65" t="s">
        <v>180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7"/>
        <v>0</v>
      </c>
      <c r="AB38" s="63">
        <f t="shared" si="18"/>
        <v>0</v>
      </c>
      <c r="AC38" s="69"/>
      <c r="AD38" s="70"/>
      <c r="AE38" s="70"/>
      <c r="AF38" s="62">
        <f t="shared" si="19"/>
        <v>0</v>
      </c>
      <c r="AG38" s="63">
        <f t="shared" si="20"/>
        <v>0</v>
      </c>
      <c r="AH38" s="89">
        <v>17595</v>
      </c>
      <c r="AI38" s="66">
        <v>5.4</v>
      </c>
      <c r="AJ38" s="66">
        <v>8.4</v>
      </c>
      <c r="AK38" s="62">
        <f t="shared" si="33"/>
        <v>950.13000000000011</v>
      </c>
      <c r="AL38" s="72">
        <f t="shared" si="34"/>
        <v>1477.98</v>
      </c>
      <c r="AM38" s="73">
        <f t="shared" si="42"/>
        <v>0.89400000000023283</v>
      </c>
      <c r="AN38" s="80">
        <f t="shared" si="43"/>
        <v>-2.6903909999999769</v>
      </c>
      <c r="AO38" s="80">
        <f t="shared" si="44"/>
        <v>-0.320835999999872</v>
      </c>
      <c r="AP38" s="75">
        <f t="shared" si="24"/>
        <v>-8.0011181483606222E-3</v>
      </c>
      <c r="AQ38" s="76">
        <f t="shared" si="25"/>
        <v>-1388.9079638645562</v>
      </c>
      <c r="AR38" s="90">
        <f t="shared" si="45"/>
        <v>0.89400000000023283</v>
      </c>
    </row>
    <row r="39" spans="1:49" x14ac:dyDescent="0.25">
      <c r="A39" t="str">
        <f t="shared" si="13"/>
        <v>46221E</v>
      </c>
      <c r="B39" s="51">
        <f t="shared" si="27"/>
        <v>46221</v>
      </c>
      <c r="C39" s="52" t="s">
        <v>88</v>
      </c>
      <c r="D39" s="91">
        <v>17595</v>
      </c>
      <c r="E39" s="62">
        <v>5.4</v>
      </c>
      <c r="F39" s="62">
        <v>8.4</v>
      </c>
      <c r="G39" s="62">
        <f t="shared" si="28"/>
        <v>950.13000000000011</v>
      </c>
      <c r="H39" s="72">
        <f t="shared" si="29"/>
        <v>1477.98</v>
      </c>
      <c r="I39" s="122">
        <v>4416.4999999999991</v>
      </c>
      <c r="J39" s="119">
        <v>4548.994999999999</v>
      </c>
      <c r="K39" s="120">
        <v>4.481578172761238</v>
      </c>
      <c r="L39" s="121">
        <v>8.1826265142080832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4548.994999999999</v>
      </c>
      <c r="S39" s="62">
        <f t="shared" si="15"/>
        <v>203.86676700000004</v>
      </c>
      <c r="T39" s="63">
        <f t="shared" si="16"/>
        <v>372.22727099999992</v>
      </c>
      <c r="U39" s="64" t="s">
        <v>208</v>
      </c>
      <c r="V39" s="65" t="s">
        <v>675</v>
      </c>
      <c r="W39" s="66" t="s">
        <v>181</v>
      </c>
      <c r="X39" s="67">
        <v>6500</v>
      </c>
      <c r="Y39" s="68">
        <v>4.6399999999999997</v>
      </c>
      <c r="Z39" s="68">
        <v>8.3000000000000007</v>
      </c>
      <c r="AA39" s="62">
        <f t="shared" si="17"/>
        <v>301.59999999999997</v>
      </c>
      <c r="AB39" s="63">
        <f t="shared" si="18"/>
        <v>539.5</v>
      </c>
      <c r="AC39" s="69">
        <v>6500</v>
      </c>
      <c r="AD39" s="70">
        <v>4.5076923076923077</v>
      </c>
      <c r="AE39" s="70">
        <v>8.0815384615384609</v>
      </c>
      <c r="AF39" s="62">
        <f t="shared" si="19"/>
        <v>293</v>
      </c>
      <c r="AG39" s="63">
        <f t="shared" si="20"/>
        <v>525.29999999999995</v>
      </c>
      <c r="AH39" s="89">
        <v>15645</v>
      </c>
      <c r="AI39" s="66">
        <v>5.4</v>
      </c>
      <c r="AJ39" s="66">
        <v>8.4</v>
      </c>
      <c r="AK39" s="62">
        <f t="shared" si="33"/>
        <v>844.83000000000015</v>
      </c>
      <c r="AL39" s="72">
        <f t="shared" si="34"/>
        <v>1314.18</v>
      </c>
      <c r="AM39" s="73">
        <f t="shared" si="42"/>
        <v>-1.0050000000010186</v>
      </c>
      <c r="AN39" s="80">
        <f t="shared" si="43"/>
        <v>16.166766999999936</v>
      </c>
      <c r="AO39" s="80">
        <f t="shared" si="44"/>
        <v>10.727270999999973</v>
      </c>
      <c r="AP39" s="75">
        <f t="shared" si="24"/>
        <v>4.6683416640392154E-2</v>
      </c>
      <c r="AQ39" s="76">
        <f t="shared" si="25"/>
        <v>10981.379878831522</v>
      </c>
      <c r="AR39" s="90">
        <f t="shared" si="45"/>
        <v>-1.0050000000010186</v>
      </c>
      <c r="AS39" s="90">
        <f>SUM(J26:J39)</f>
        <v>50882.514999999999</v>
      </c>
      <c r="AT39" s="83">
        <f>SUM(AM26:AM39)</f>
        <v>141.51499999999942</v>
      </c>
      <c r="AU39" s="83">
        <f>SUM(AN26:AN39)</f>
        <v>37.970994000000474</v>
      </c>
      <c r="AV39" s="83">
        <f>SUM(AO26:AO39)</f>
        <v>18.320058999999901</v>
      </c>
      <c r="AW39" s="83">
        <f>-SUM(AQ26:AQ39)</f>
        <v>-23732.993013105555</v>
      </c>
    </row>
    <row r="40" spans="1:49" x14ac:dyDescent="0.25">
      <c r="A40" t="str">
        <f t="shared" si="13"/>
        <v>46222M</v>
      </c>
      <c r="B40" s="51">
        <f t="shared" si="27"/>
        <v>46222</v>
      </c>
      <c r="C40" s="52" t="s">
        <v>87</v>
      </c>
      <c r="D40" s="91">
        <v>15645</v>
      </c>
      <c r="E40" s="62">
        <v>5.4</v>
      </c>
      <c r="F40" s="62">
        <v>8.4</v>
      </c>
      <c r="G40" s="62">
        <f t="shared" si="28"/>
        <v>844.83000000000015</v>
      </c>
      <c r="H40" s="72">
        <f t="shared" si="29"/>
        <v>1314.18</v>
      </c>
      <c r="I40" s="122">
        <v>4318.8999999999996</v>
      </c>
      <c r="J40" s="119">
        <v>4448.4669999999996</v>
      </c>
      <c r="K40" s="120">
        <v>4.7818263909791838</v>
      </c>
      <c r="L40" s="121">
        <v>8.2663710667067996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4448.4669999999996</v>
      </c>
      <c r="S40" s="62">
        <f t="shared" si="15"/>
        <v>212.71796899999995</v>
      </c>
      <c r="T40" s="63">
        <f t="shared" si="16"/>
        <v>367.72678899999994</v>
      </c>
      <c r="U40" s="64" t="s">
        <v>209</v>
      </c>
      <c r="V40" s="65" t="s">
        <v>676</v>
      </c>
      <c r="W40" s="66" t="s">
        <v>177</v>
      </c>
      <c r="X40" s="67">
        <v>6550</v>
      </c>
      <c r="Y40" s="68">
        <v>4.75</v>
      </c>
      <c r="Z40" s="68">
        <v>8.3000000000000007</v>
      </c>
      <c r="AA40" s="62">
        <f t="shared" si="17"/>
        <v>311.125</v>
      </c>
      <c r="AB40" s="63">
        <f t="shared" si="18"/>
        <v>543.65</v>
      </c>
      <c r="AC40" s="69">
        <v>6540</v>
      </c>
      <c r="AD40" s="70">
        <v>4.7136085626911308</v>
      </c>
      <c r="AE40" s="70">
        <v>8.2227217125382257</v>
      </c>
      <c r="AF40" s="62">
        <f t="shared" si="19"/>
        <v>308.27</v>
      </c>
      <c r="AG40" s="63">
        <f t="shared" si="20"/>
        <v>537.76599999999996</v>
      </c>
      <c r="AH40" s="89">
        <v>13543</v>
      </c>
      <c r="AI40" s="66">
        <v>5.4</v>
      </c>
      <c r="AJ40" s="66">
        <v>8.4</v>
      </c>
      <c r="AK40" s="62">
        <f t="shared" si="33"/>
        <v>731.32200000000012</v>
      </c>
      <c r="AL40" s="72">
        <f t="shared" si="34"/>
        <v>1137.6120000000001</v>
      </c>
      <c r="AM40" s="73">
        <f t="shared" si="42"/>
        <v>10.467000000000553</v>
      </c>
      <c r="AN40" s="80">
        <f t="shared" si="43"/>
        <v>17.955969000000096</v>
      </c>
      <c r="AO40" s="80">
        <f t="shared" si="44"/>
        <v>6.5287889999999607</v>
      </c>
      <c r="AP40" s="75">
        <f t="shared" si="24"/>
        <v>4.2182753246606218E-2</v>
      </c>
      <c r="AQ40" s="76">
        <f t="shared" si="25"/>
        <v>10583.741689993818</v>
      </c>
      <c r="AR40" s="90">
        <f t="shared" si="45"/>
        <v>0.46700000000055297</v>
      </c>
    </row>
    <row r="41" spans="1:49" x14ac:dyDescent="0.25">
      <c r="A41" t="str">
        <f t="shared" si="13"/>
        <v>46222E</v>
      </c>
      <c r="B41" s="51">
        <f t="shared" si="27"/>
        <v>46222</v>
      </c>
      <c r="C41" s="52" t="s">
        <v>88</v>
      </c>
      <c r="D41" s="91">
        <v>13543</v>
      </c>
      <c r="E41" s="62">
        <v>5.4</v>
      </c>
      <c r="F41" s="62">
        <v>8.4</v>
      </c>
      <c r="G41" s="62">
        <f t="shared" si="28"/>
        <v>731.32200000000012</v>
      </c>
      <c r="H41" s="72">
        <f t="shared" si="29"/>
        <v>1137.6120000000001</v>
      </c>
      <c r="I41" s="122">
        <v>2065.2999999999997</v>
      </c>
      <c r="J41" s="119">
        <v>2127.2589999999996</v>
      </c>
      <c r="K41" s="120">
        <v>4.5416307558223981</v>
      </c>
      <c r="L41" s="121">
        <v>8.1343291531496646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2127.2589999999996</v>
      </c>
      <c r="S41" s="62">
        <f t="shared" si="15"/>
        <v>96.612248999999977</v>
      </c>
      <c r="T41" s="63">
        <f t="shared" si="16"/>
        <v>173.03824900000001</v>
      </c>
      <c r="U41" s="64" t="s">
        <v>167</v>
      </c>
      <c r="V41" s="65" t="s">
        <v>180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7"/>
        <v>0</v>
      </c>
      <c r="AB41" s="63">
        <f t="shared" si="18"/>
        <v>0</v>
      </c>
      <c r="AC41" s="69"/>
      <c r="AD41" s="70"/>
      <c r="AE41" s="70"/>
      <c r="AF41" s="62">
        <f t="shared" si="19"/>
        <v>0</v>
      </c>
      <c r="AG41" s="63">
        <f t="shared" si="20"/>
        <v>0</v>
      </c>
      <c r="AH41" s="89">
        <v>15624</v>
      </c>
      <c r="AI41" s="66">
        <v>5.4</v>
      </c>
      <c r="AJ41" s="66">
        <v>8.4</v>
      </c>
      <c r="AK41" s="62">
        <f t="shared" si="33"/>
        <v>843.69600000000014</v>
      </c>
      <c r="AL41" s="72">
        <f t="shared" si="34"/>
        <v>1312.4160000000002</v>
      </c>
      <c r="AM41" s="73">
        <f t="shared" si="42"/>
        <v>46.259000000000015</v>
      </c>
      <c r="AN41" s="80">
        <f t="shared" si="43"/>
        <v>-15.761751000000004</v>
      </c>
      <c r="AO41" s="80">
        <f t="shared" si="44"/>
        <v>-1.7657510000001366</v>
      </c>
      <c r="AP41" s="75">
        <f t="shared" si="24"/>
        <v>-6.5000814498774415E-2</v>
      </c>
      <c r="AQ41" s="76">
        <f t="shared" si="25"/>
        <v>-8102.8610490392284</v>
      </c>
      <c r="AR41" s="90">
        <f t="shared" si="45"/>
        <v>46.259000000000015</v>
      </c>
    </row>
    <row r="42" spans="1:49" x14ac:dyDescent="0.25">
      <c r="A42" t="str">
        <f t="shared" si="13"/>
        <v>46223M</v>
      </c>
      <c r="B42" s="51">
        <f t="shared" si="27"/>
        <v>46223</v>
      </c>
      <c r="C42" s="52" t="s">
        <v>87</v>
      </c>
      <c r="D42" s="91">
        <v>15624</v>
      </c>
      <c r="E42" s="62">
        <v>5.4</v>
      </c>
      <c r="F42" s="62">
        <v>8.4</v>
      </c>
      <c r="G42" s="62">
        <f t="shared" si="28"/>
        <v>843.69600000000014</v>
      </c>
      <c r="H42" s="72">
        <f t="shared" si="29"/>
        <v>1312.4160000000002</v>
      </c>
      <c r="I42" s="122">
        <v>5609.1</v>
      </c>
      <c r="J42" s="119">
        <v>5777.3730000000005</v>
      </c>
      <c r="K42" s="120">
        <v>4.724037724412117</v>
      </c>
      <c r="L42" s="121">
        <v>8.3228378884312999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5777.3730000000005</v>
      </c>
      <c r="S42" s="62">
        <f t="shared" si="15"/>
        <v>272.92528000000004</v>
      </c>
      <c r="T42" s="63">
        <f t="shared" si="16"/>
        <v>480.84138900000011</v>
      </c>
      <c r="U42" s="64" t="s">
        <v>208</v>
      </c>
      <c r="V42" s="65" t="s">
        <v>738</v>
      </c>
      <c r="W42" s="66" t="s">
        <v>181</v>
      </c>
      <c r="X42" s="67">
        <v>6500</v>
      </c>
      <c r="Y42" s="68">
        <v>4.53</v>
      </c>
      <c r="Z42" s="68">
        <v>8.32</v>
      </c>
      <c r="AA42" s="62">
        <f t="shared" si="17"/>
        <v>294.45</v>
      </c>
      <c r="AB42" s="63">
        <f t="shared" si="18"/>
        <v>540.79999999999995</v>
      </c>
      <c r="AC42" s="69">
        <v>6510</v>
      </c>
      <c r="AD42" s="70">
        <v>4.5148233486943159</v>
      </c>
      <c r="AE42" s="70">
        <v>8.2007526881720434</v>
      </c>
      <c r="AF42" s="62">
        <f t="shared" si="19"/>
        <v>293.91499999999996</v>
      </c>
      <c r="AG42" s="63">
        <f t="shared" si="20"/>
        <v>533.86900000000003</v>
      </c>
      <c r="AH42" s="89">
        <v>14901</v>
      </c>
      <c r="AI42" s="66">
        <v>5.4</v>
      </c>
      <c r="AJ42" s="66">
        <v>8.4</v>
      </c>
      <c r="AK42" s="62">
        <f t="shared" si="33"/>
        <v>804.65400000000011</v>
      </c>
      <c r="AL42" s="72">
        <f t="shared" si="34"/>
        <v>1251.684</v>
      </c>
      <c r="AM42" s="73">
        <f t="shared" si="42"/>
        <v>-9.6270000000004075</v>
      </c>
      <c r="AN42" s="80">
        <f t="shared" si="43"/>
        <v>18.052280000000223</v>
      </c>
      <c r="AO42" s="80">
        <f t="shared" si="44"/>
        <v>7.7043890000002193</v>
      </c>
      <c r="AP42" s="75">
        <f t="shared" si="24"/>
        <v>3.4170612815993907E-2</v>
      </c>
      <c r="AQ42" s="76">
        <f t="shared" si="25"/>
        <v>10982.103994280777</v>
      </c>
      <c r="AR42" s="90">
        <f t="shared" si="45"/>
        <v>0.37299999999959255</v>
      </c>
      <c r="AS42" s="90"/>
      <c r="AT42" s="83"/>
      <c r="AU42" s="83"/>
      <c r="AV42" s="83"/>
      <c r="AW42" s="83"/>
    </row>
    <row r="43" spans="1:49" x14ac:dyDescent="0.25">
      <c r="A43" t="str">
        <f t="shared" si="13"/>
        <v>46223E</v>
      </c>
      <c r="B43" s="51">
        <f t="shared" si="27"/>
        <v>46223</v>
      </c>
      <c r="C43" s="52" t="s">
        <v>88</v>
      </c>
      <c r="D43" s="91">
        <v>14901</v>
      </c>
      <c r="E43" s="62">
        <v>5.4</v>
      </c>
      <c r="F43" s="62">
        <v>8.4</v>
      </c>
      <c r="G43" s="62">
        <f t="shared" si="28"/>
        <v>804.65400000000011</v>
      </c>
      <c r="H43" s="72">
        <f t="shared" si="29"/>
        <v>1251.684</v>
      </c>
      <c r="I43" s="122">
        <v>5094.3</v>
      </c>
      <c r="J43" s="119">
        <v>5247.1289999999999</v>
      </c>
      <c r="K43" s="120">
        <v>4.469206760497026</v>
      </c>
      <c r="L43" s="121">
        <v>8.0963115639047558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5247.1289999999999</v>
      </c>
      <c r="S43" s="62">
        <f t="shared" si="15"/>
        <v>234.505044</v>
      </c>
      <c r="T43" s="63">
        <f t="shared" si="16"/>
        <v>424.82391199999995</v>
      </c>
      <c r="U43" s="64" t="s">
        <v>209</v>
      </c>
      <c r="V43" s="65" t="s">
        <v>739</v>
      </c>
      <c r="W43" s="66" t="s">
        <v>177</v>
      </c>
      <c r="X43" s="67">
        <v>6550</v>
      </c>
      <c r="Y43" s="68">
        <v>4.8600000000000003</v>
      </c>
      <c r="Z43" s="68">
        <v>8.2899999999999991</v>
      </c>
      <c r="AA43" s="62">
        <f t="shared" si="17"/>
        <v>318.33000000000004</v>
      </c>
      <c r="AB43" s="63">
        <f t="shared" si="18"/>
        <v>542.99499999999989</v>
      </c>
      <c r="AC43" s="69">
        <v>6530</v>
      </c>
      <c r="AD43" s="70">
        <v>4.8149310872894331</v>
      </c>
      <c r="AE43" s="70">
        <v>8.2429862174578883</v>
      </c>
      <c r="AF43" s="62">
        <f t="shared" si="19"/>
        <v>314.41500000000002</v>
      </c>
      <c r="AG43" s="63">
        <f t="shared" si="20"/>
        <v>538.26700000000017</v>
      </c>
      <c r="AH43" s="89">
        <v>13601</v>
      </c>
      <c r="AI43" s="66">
        <v>5.4</v>
      </c>
      <c r="AJ43" s="66">
        <v>8.4</v>
      </c>
      <c r="AK43" s="62">
        <f t="shared" si="33"/>
        <v>734.45400000000006</v>
      </c>
      <c r="AL43" s="72">
        <f t="shared" si="34"/>
        <v>1142.4840000000002</v>
      </c>
      <c r="AM43" s="73">
        <f t="shared" si="42"/>
        <v>17.129000000000815</v>
      </c>
      <c r="AN43" s="80">
        <f t="shared" si="43"/>
        <v>-9.7099560000000338</v>
      </c>
      <c r="AO43" s="80">
        <f t="shared" si="44"/>
        <v>-4.2430880000003981</v>
      </c>
      <c r="AP43" s="75">
        <f t="shared" si="24"/>
        <v>-2.1162492368984372E-2</v>
      </c>
      <c r="AQ43" s="76">
        <f t="shared" si="25"/>
        <v>-5936.7169642233357</v>
      </c>
      <c r="AR43" s="90">
        <f t="shared" si="45"/>
        <v>-2.8709999999991851</v>
      </c>
      <c r="AS43" s="90"/>
      <c r="AT43" s="83"/>
      <c r="AU43" s="83"/>
      <c r="AV43" s="83"/>
      <c r="AW43" s="83"/>
    </row>
    <row r="44" spans="1:49" x14ac:dyDescent="0.25">
      <c r="A44" t="str">
        <f t="shared" si="13"/>
        <v>46224M</v>
      </c>
      <c r="B44" s="51">
        <f t="shared" si="27"/>
        <v>46224</v>
      </c>
      <c r="C44" s="52" t="s">
        <v>87</v>
      </c>
      <c r="D44" s="91">
        <v>13601</v>
      </c>
      <c r="E44" s="62">
        <v>5.4</v>
      </c>
      <c r="F44" s="62">
        <v>8.4</v>
      </c>
      <c r="G44" s="62">
        <f t="shared" si="28"/>
        <v>734.45400000000006</v>
      </c>
      <c r="H44" s="72">
        <f t="shared" si="29"/>
        <v>1142.4840000000002</v>
      </c>
      <c r="I44" s="122">
        <v>4235.5</v>
      </c>
      <c r="J44" s="119">
        <v>4362.5650000000005</v>
      </c>
      <c r="K44" s="120">
        <v>4.7065942627788928</v>
      </c>
      <c r="L44" s="121">
        <v>8.2697839688348491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4362.5650000000005</v>
      </c>
      <c r="S44" s="62">
        <f t="shared" si="15"/>
        <v>205.32823400000004</v>
      </c>
      <c r="T44" s="63">
        <f t="shared" si="16"/>
        <v>360.77470100000005</v>
      </c>
      <c r="U44" s="64" t="s">
        <v>167</v>
      </c>
      <c r="V44" s="65" t="s">
        <v>180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7"/>
        <v>0</v>
      </c>
      <c r="AB44" s="63">
        <f t="shared" si="18"/>
        <v>0</v>
      </c>
      <c r="AC44" s="69"/>
      <c r="AD44" s="70"/>
      <c r="AE44" s="70"/>
      <c r="AF44" s="62">
        <f t="shared" si="19"/>
        <v>0</v>
      </c>
      <c r="AG44" s="63">
        <f t="shared" si="20"/>
        <v>0</v>
      </c>
      <c r="AH44" s="89">
        <v>17963</v>
      </c>
      <c r="AI44" s="66">
        <v>5.4</v>
      </c>
      <c r="AJ44" s="66">
        <v>8.4</v>
      </c>
      <c r="AK44" s="62">
        <f t="shared" si="33"/>
        <v>970.00200000000007</v>
      </c>
      <c r="AL44" s="72">
        <f t="shared" si="34"/>
        <v>1508.8920000000001</v>
      </c>
      <c r="AM44" s="73">
        <f t="shared" si="42"/>
        <v>0.56500000000232831</v>
      </c>
      <c r="AN44" s="80">
        <f t="shared" si="43"/>
        <v>-30.219765999999936</v>
      </c>
      <c r="AO44" s="80">
        <f t="shared" si="44"/>
        <v>-5.6332989999998517</v>
      </c>
      <c r="AP44" s="75">
        <f t="shared" si="24"/>
        <v>-6.3333119797373563E-2</v>
      </c>
      <c r="AQ44" s="76">
        <f t="shared" si="25"/>
        <v>-16208.704008360512</v>
      </c>
      <c r="AR44" s="90">
        <f t="shared" si="45"/>
        <v>0.56500000000232831</v>
      </c>
    </row>
    <row r="45" spans="1:49" x14ac:dyDescent="0.25">
      <c r="A45" t="str">
        <f t="shared" si="13"/>
        <v>46224E</v>
      </c>
      <c r="B45" s="51">
        <f t="shared" si="27"/>
        <v>46224</v>
      </c>
      <c r="C45" s="52" t="s">
        <v>88</v>
      </c>
      <c r="D45" s="91">
        <v>17963</v>
      </c>
      <c r="E45" s="62">
        <v>5.4</v>
      </c>
      <c r="F45" s="62">
        <v>8.4</v>
      </c>
      <c r="G45" s="62">
        <f t="shared" si="28"/>
        <v>970.00200000000007</v>
      </c>
      <c r="H45" s="72">
        <f t="shared" si="29"/>
        <v>1508.8920000000001</v>
      </c>
      <c r="I45" s="122">
        <v>4110.5</v>
      </c>
      <c r="J45" s="119">
        <v>4233.8150000000005</v>
      </c>
      <c r="K45" s="120">
        <v>4.4722442525240238</v>
      </c>
      <c r="L45" s="121">
        <v>8.2414402140858876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4233.8150000000005</v>
      </c>
      <c r="S45" s="62">
        <f t="shared" si="15"/>
        <v>189.34654800000004</v>
      </c>
      <c r="T45" s="63">
        <f t="shared" si="16"/>
        <v>348.92733200000049</v>
      </c>
      <c r="U45" s="64" t="s">
        <v>209</v>
      </c>
      <c r="V45" s="65" t="s">
        <v>740</v>
      </c>
      <c r="W45" s="66" t="s">
        <v>177</v>
      </c>
      <c r="X45" s="67">
        <v>6550</v>
      </c>
      <c r="Y45" s="68">
        <v>4.8600000000000003</v>
      </c>
      <c r="Z45" s="68">
        <v>8.2899999999999991</v>
      </c>
      <c r="AA45" s="62">
        <f t="shared" si="17"/>
        <v>318.33000000000004</v>
      </c>
      <c r="AB45" s="63">
        <f t="shared" si="18"/>
        <v>542.99499999999989</v>
      </c>
      <c r="AC45" s="69">
        <v>6560</v>
      </c>
      <c r="AD45" s="70">
        <v>4.7981707317073177</v>
      </c>
      <c r="AE45" s="70">
        <v>8.239634146341464</v>
      </c>
      <c r="AF45" s="62">
        <f t="shared" si="19"/>
        <v>314.76000000000005</v>
      </c>
      <c r="AG45" s="63">
        <f t="shared" si="20"/>
        <v>540.52</v>
      </c>
      <c r="AH45" s="89">
        <v>15647</v>
      </c>
      <c r="AI45" s="66">
        <v>5.4</v>
      </c>
      <c r="AJ45" s="66">
        <v>8.4</v>
      </c>
      <c r="AK45" s="62">
        <f t="shared" si="33"/>
        <v>844.9380000000001</v>
      </c>
      <c r="AL45" s="72">
        <f t="shared" si="34"/>
        <v>1314.3480000000002</v>
      </c>
      <c r="AM45" s="73">
        <f t="shared" si="42"/>
        <v>-10.184999999997672</v>
      </c>
      <c r="AN45" s="80">
        <f t="shared" si="43"/>
        <v>-0.34945199999992838</v>
      </c>
      <c r="AO45" s="80">
        <f t="shared" si="44"/>
        <v>2.9513320000003205</v>
      </c>
      <c r="AP45" s="75">
        <f t="shared" si="24"/>
        <v>4.8337474595653599E-3</v>
      </c>
      <c r="AQ45" s="76">
        <f t="shared" si="25"/>
        <v>715.97460032087656</v>
      </c>
      <c r="AR45" s="90">
        <f t="shared" si="45"/>
        <v>-0.18499999999767169</v>
      </c>
    </row>
    <row r="46" spans="1:49" x14ac:dyDescent="0.25">
      <c r="A46" t="str">
        <f t="shared" si="13"/>
        <v>46225M</v>
      </c>
      <c r="B46" s="51">
        <f t="shared" si="27"/>
        <v>46225</v>
      </c>
      <c r="C46" s="52" t="s">
        <v>87</v>
      </c>
      <c r="D46" s="91">
        <v>15647</v>
      </c>
      <c r="E46" s="62">
        <v>5.4</v>
      </c>
      <c r="F46" s="62">
        <v>8.4</v>
      </c>
      <c r="G46" s="62">
        <f t="shared" si="28"/>
        <v>844.9380000000001</v>
      </c>
      <c r="H46" s="72">
        <f t="shared" si="29"/>
        <v>1314.3480000000002</v>
      </c>
      <c r="I46" s="122">
        <v>4614.3</v>
      </c>
      <c r="J46" s="119">
        <v>4752.7290000000003</v>
      </c>
      <c r="K46" s="120">
        <v>4.7459419630279776</v>
      </c>
      <c r="L46" s="121">
        <v>8.2691740892443057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4752.7290000000003</v>
      </c>
      <c r="S46" s="62">
        <f t="shared" si="15"/>
        <v>225.56175999999999</v>
      </c>
      <c r="T46" s="63">
        <f t="shared" si="16"/>
        <v>393.01143500000006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7"/>
        <v>0</v>
      </c>
      <c r="AB46" s="63">
        <f t="shared" si="18"/>
        <v>0</v>
      </c>
      <c r="AC46" s="69"/>
      <c r="AD46" s="70"/>
      <c r="AE46" s="70"/>
      <c r="AF46" s="62">
        <f t="shared" si="19"/>
        <v>0</v>
      </c>
      <c r="AG46" s="63">
        <f t="shared" si="20"/>
        <v>0</v>
      </c>
      <c r="AH46" s="89">
        <v>20412</v>
      </c>
      <c r="AI46" s="66">
        <v>5.4</v>
      </c>
      <c r="AJ46" s="66">
        <v>8.4</v>
      </c>
      <c r="AK46" s="62">
        <f t="shared" si="33"/>
        <v>1102.248</v>
      </c>
      <c r="AL46" s="72">
        <f t="shared" si="34"/>
        <v>1714.6080000000002</v>
      </c>
      <c r="AM46" s="73">
        <f t="shared" si="42"/>
        <v>-12.27100000000064</v>
      </c>
      <c r="AN46" s="80">
        <f t="shared" si="43"/>
        <v>-31.748239999999896</v>
      </c>
      <c r="AO46" s="80">
        <f t="shared" si="44"/>
        <v>-7.2485649999998714</v>
      </c>
      <c r="AP46" s="75">
        <f t="shared" si="24"/>
        <v>-6.3043153688545725E-2</v>
      </c>
      <c r="AQ46" s="76">
        <f t="shared" si="25"/>
        <v>-17426.943298802489</v>
      </c>
      <c r="AR46" s="90">
        <f t="shared" si="45"/>
        <v>-12.27100000000064</v>
      </c>
    </row>
    <row r="47" spans="1:49" x14ac:dyDescent="0.25">
      <c r="A47" t="str">
        <f t="shared" si="13"/>
        <v>46225E</v>
      </c>
      <c r="B47" s="51">
        <f t="shared" si="27"/>
        <v>46225</v>
      </c>
      <c r="C47" s="52" t="s">
        <v>88</v>
      </c>
      <c r="D47" s="91">
        <v>20412</v>
      </c>
      <c r="E47" s="62">
        <v>5.4</v>
      </c>
      <c r="F47" s="62">
        <v>8.4</v>
      </c>
      <c r="G47" s="62">
        <f t="shared" si="28"/>
        <v>1102.248</v>
      </c>
      <c r="H47" s="72">
        <f t="shared" si="29"/>
        <v>1714.6080000000002</v>
      </c>
      <c r="I47" s="122">
        <v>4271.5</v>
      </c>
      <c r="J47" s="119">
        <v>4399.6450000000004</v>
      </c>
      <c r="K47" s="120">
        <v>4.4621116703734049</v>
      </c>
      <c r="L47" s="121">
        <v>8.2759077607397877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4399.6450000000004</v>
      </c>
      <c r="S47" s="62">
        <f t="shared" si="15"/>
        <v>196.31707300000002</v>
      </c>
      <c r="T47" s="63">
        <f t="shared" si="16"/>
        <v>364.11056200000007</v>
      </c>
      <c r="U47" s="64" t="s">
        <v>208</v>
      </c>
      <c r="V47" s="65" t="s">
        <v>791</v>
      </c>
      <c r="W47" s="66" t="s">
        <v>181</v>
      </c>
      <c r="X47" s="67">
        <v>6500</v>
      </c>
      <c r="Y47" s="68">
        <v>4.4000000000000004</v>
      </c>
      <c r="Z47" s="68">
        <v>8.24</v>
      </c>
      <c r="AA47" s="62">
        <f t="shared" si="17"/>
        <v>286.00000000000006</v>
      </c>
      <c r="AB47" s="63">
        <f t="shared" si="18"/>
        <v>535.6</v>
      </c>
      <c r="AC47" s="69">
        <v>6520</v>
      </c>
      <c r="AD47" s="70">
        <v>4.3499999999999988</v>
      </c>
      <c r="AE47" s="70">
        <v>8.1315030674846618</v>
      </c>
      <c r="AF47" s="62">
        <f t="shared" si="19"/>
        <v>283.61999999999995</v>
      </c>
      <c r="AG47" s="63">
        <f t="shared" si="20"/>
        <v>530.17399999999998</v>
      </c>
      <c r="AH47" s="89">
        <v>18312</v>
      </c>
      <c r="AI47" s="66">
        <v>5.4</v>
      </c>
      <c r="AJ47" s="66">
        <v>8.4</v>
      </c>
      <c r="AK47" s="62">
        <f t="shared" si="33"/>
        <v>988.84800000000007</v>
      </c>
      <c r="AL47" s="72">
        <f t="shared" si="34"/>
        <v>1538.2080000000001</v>
      </c>
      <c r="AM47" s="73">
        <f t="shared" si="42"/>
        <v>-20.354999999999563</v>
      </c>
      <c r="AN47" s="80">
        <f t="shared" si="43"/>
        <v>26.097073000000023</v>
      </c>
      <c r="AO47" s="80">
        <f t="shared" si="44"/>
        <v>10.336561999999958</v>
      </c>
      <c r="AP47" s="75">
        <f t="shared" si="24"/>
        <v>6.5010418338845785E-2</v>
      </c>
      <c r="AQ47" s="76">
        <f t="shared" si="25"/>
        <v>15636.201240588611</v>
      </c>
      <c r="AR47" s="90">
        <f t="shared" si="45"/>
        <v>-0.35499999999956344</v>
      </c>
    </row>
    <row r="48" spans="1:49" x14ac:dyDescent="0.25">
      <c r="A48" t="str">
        <f t="shared" si="13"/>
        <v>46226M</v>
      </c>
      <c r="B48" s="51">
        <f t="shared" si="27"/>
        <v>46226</v>
      </c>
      <c r="C48" s="52" t="s">
        <v>87</v>
      </c>
      <c r="D48" s="91">
        <v>18312</v>
      </c>
      <c r="E48" s="62">
        <v>5.4</v>
      </c>
      <c r="F48" s="62">
        <v>8.4</v>
      </c>
      <c r="G48" s="62">
        <f t="shared" si="28"/>
        <v>988.84800000000007</v>
      </c>
      <c r="H48" s="72">
        <f t="shared" si="29"/>
        <v>1538.2080000000001</v>
      </c>
      <c r="I48" s="122">
        <v>6079.2999999999975</v>
      </c>
      <c r="J48" s="119">
        <v>6261.6789999999974</v>
      </c>
      <c r="K48" s="120">
        <v>4.6291398680769165</v>
      </c>
      <c r="L48" s="121">
        <v>8.283642853618014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6261.6789999999974</v>
      </c>
      <c r="S48" s="62">
        <f t="shared" si="15"/>
        <v>289.86187899999987</v>
      </c>
      <c r="T48" s="63">
        <f t="shared" si="16"/>
        <v>518.69512499999973</v>
      </c>
      <c r="U48" s="64" t="s">
        <v>209</v>
      </c>
      <c r="V48" s="65" t="s">
        <v>792</v>
      </c>
      <c r="W48" s="66" t="s">
        <v>177</v>
      </c>
      <c r="X48" s="67">
        <v>6550</v>
      </c>
      <c r="Y48" s="68">
        <v>4.9800000000000004</v>
      </c>
      <c r="Z48" s="68">
        <v>8.32</v>
      </c>
      <c r="AA48" s="62">
        <f t="shared" si="17"/>
        <v>326.19</v>
      </c>
      <c r="AB48" s="63">
        <f t="shared" si="18"/>
        <v>544.95999999999992</v>
      </c>
      <c r="AC48" s="69">
        <v>6560</v>
      </c>
      <c r="AD48" s="70">
        <v>4.9327743902439023</v>
      </c>
      <c r="AE48" s="70">
        <v>8.2665548780487814</v>
      </c>
      <c r="AF48" s="62">
        <f t="shared" si="19"/>
        <v>323.58999999999997</v>
      </c>
      <c r="AG48" s="63">
        <f t="shared" si="20"/>
        <v>542.28600000000006</v>
      </c>
      <c r="AH48" s="89">
        <v>18025</v>
      </c>
      <c r="AI48" s="66">
        <v>5.4</v>
      </c>
      <c r="AJ48" s="66">
        <v>8.4</v>
      </c>
      <c r="AK48" s="62">
        <f t="shared" si="33"/>
        <v>973.35000000000014</v>
      </c>
      <c r="AL48" s="72">
        <f t="shared" si="34"/>
        <v>1514.1000000000001</v>
      </c>
      <c r="AM48" s="73">
        <f t="shared" si="42"/>
        <v>-11.321000000003551</v>
      </c>
      <c r="AN48" s="80">
        <f t="shared" si="43"/>
        <v>-18.230121000000054</v>
      </c>
      <c r="AO48" s="80">
        <f t="shared" si="44"/>
        <v>0.51712499999962347</v>
      </c>
      <c r="AP48" s="75">
        <f t="shared" si="24"/>
        <v>-2.1906922965694131E-2</v>
      </c>
      <c r="AQ48" s="76">
        <f t="shared" si="25"/>
        <v>-8605.2921319887919</v>
      </c>
      <c r="AR48" s="90">
        <f t="shared" si="45"/>
        <v>-1.3210000000035507</v>
      </c>
    </row>
    <row r="49" spans="1:49" x14ac:dyDescent="0.25">
      <c r="A49" t="str">
        <f t="shared" si="13"/>
        <v>46226E</v>
      </c>
      <c r="B49" s="51">
        <f t="shared" si="27"/>
        <v>46226</v>
      </c>
      <c r="C49" s="52" t="s">
        <v>88</v>
      </c>
      <c r="D49" s="91">
        <v>18025</v>
      </c>
      <c r="E49" s="62">
        <v>5.4</v>
      </c>
      <c r="F49" s="62">
        <v>8.4</v>
      </c>
      <c r="G49" s="62">
        <f t="shared" si="28"/>
        <v>973.35000000000014</v>
      </c>
      <c r="H49" s="72">
        <f t="shared" si="29"/>
        <v>1514.1000000000001</v>
      </c>
      <c r="I49" s="122">
        <v>5819.6999999999989</v>
      </c>
      <c r="J49" s="119">
        <v>5994.2909999999993</v>
      </c>
      <c r="K49" s="120">
        <v>4.2921903190886121</v>
      </c>
      <c r="L49" s="121">
        <v>8.2231231850439048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5994.2909999999993</v>
      </c>
      <c r="S49" s="62">
        <f t="shared" si="15"/>
        <v>257.28637799999996</v>
      </c>
      <c r="T49" s="63">
        <f t="shared" si="16"/>
        <v>492.91793300000012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7"/>
        <v>0</v>
      </c>
      <c r="AB49" s="63">
        <f t="shared" si="18"/>
        <v>0</v>
      </c>
      <c r="AC49" s="69"/>
      <c r="AD49" s="70"/>
      <c r="AE49" s="70"/>
      <c r="AF49" s="62">
        <f t="shared" si="19"/>
        <v>0</v>
      </c>
      <c r="AG49" s="63">
        <f t="shared" si="20"/>
        <v>0</v>
      </c>
      <c r="AH49" s="89">
        <v>23890</v>
      </c>
      <c r="AI49" s="66">
        <v>5.4</v>
      </c>
      <c r="AJ49" s="66">
        <v>8.4</v>
      </c>
      <c r="AK49" s="62">
        <f t="shared" si="33"/>
        <v>1290.0600000000002</v>
      </c>
      <c r="AL49" s="72">
        <f t="shared" si="34"/>
        <v>2006.7600000000002</v>
      </c>
      <c r="AM49" s="73">
        <f t="shared" si="42"/>
        <v>129.29099999999744</v>
      </c>
      <c r="AN49" s="80">
        <f t="shared" si="43"/>
        <v>-59.423622000000023</v>
      </c>
      <c r="AO49" s="80">
        <f t="shared" si="44"/>
        <v>0.25793300000009367</v>
      </c>
      <c r="AP49" s="75">
        <f t="shared" si="24"/>
        <v>-7.8866101050704199E-2</v>
      </c>
      <c r="AQ49" s="76">
        <f t="shared" si="25"/>
        <v>-28477.73576024636</v>
      </c>
      <c r="AR49" s="90">
        <f t="shared" si="45"/>
        <v>129.29099999999744</v>
      </c>
    </row>
    <row r="50" spans="1:49" x14ac:dyDescent="0.25">
      <c r="A50" t="str">
        <f t="shared" si="13"/>
        <v>46227M</v>
      </c>
      <c r="B50" s="51">
        <f t="shared" si="27"/>
        <v>46227</v>
      </c>
      <c r="C50" s="52" t="s">
        <v>87</v>
      </c>
      <c r="D50" s="91">
        <v>23890</v>
      </c>
      <c r="E50" s="62">
        <v>5.4</v>
      </c>
      <c r="F50" s="62">
        <v>8.4</v>
      </c>
      <c r="G50" s="62">
        <f t="shared" si="28"/>
        <v>1290.0600000000002</v>
      </c>
      <c r="H50" s="72">
        <f t="shared" si="29"/>
        <v>2006.7600000000002</v>
      </c>
      <c r="I50" s="122">
        <v>2525.2000000000003</v>
      </c>
      <c r="J50" s="119">
        <v>2600.9560000000001</v>
      </c>
      <c r="K50" s="120">
        <v>4.8672817994614297</v>
      </c>
      <c r="L50" s="121">
        <v>8.2186995089497881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2600.9560000000001</v>
      </c>
      <c r="S50" s="62">
        <f t="shared" si="15"/>
        <v>126.59585800000002</v>
      </c>
      <c r="T50" s="63">
        <f t="shared" si="16"/>
        <v>213.76475800000006</v>
      </c>
      <c r="U50" s="64" t="s">
        <v>209</v>
      </c>
      <c r="V50" s="65" t="s">
        <v>832</v>
      </c>
      <c r="W50" s="66" t="s">
        <v>177</v>
      </c>
      <c r="X50" s="67">
        <v>6550</v>
      </c>
      <c r="Y50" s="68">
        <v>4.88</v>
      </c>
      <c r="Z50" s="68">
        <v>8.2799999999999994</v>
      </c>
      <c r="AA50" s="62">
        <f t="shared" si="17"/>
        <v>319.64</v>
      </c>
      <c r="AB50" s="63">
        <f t="shared" si="18"/>
        <v>542.34</v>
      </c>
      <c r="AC50" s="69">
        <v>6540</v>
      </c>
      <c r="AD50" s="70">
        <v>4.7972477064220183</v>
      </c>
      <c r="AE50" s="70">
        <v>8.1990825688073397</v>
      </c>
      <c r="AF50" s="62">
        <f t="shared" si="19"/>
        <v>313.74</v>
      </c>
      <c r="AG50" s="63">
        <f t="shared" si="20"/>
        <v>536.22</v>
      </c>
      <c r="AH50" s="89">
        <v>19991</v>
      </c>
      <c r="AI50" s="66">
        <v>5.4</v>
      </c>
      <c r="AJ50" s="66">
        <v>8.4</v>
      </c>
      <c r="AK50" s="62">
        <f t="shared" si="33"/>
        <v>1079.5140000000001</v>
      </c>
      <c r="AL50" s="72">
        <f t="shared" si="34"/>
        <v>1679.2440000000001</v>
      </c>
      <c r="AM50" s="73">
        <f t="shared" ref="AM50" si="46">+D50+R50-AC50-AH50</f>
        <v>-40.044000000001688</v>
      </c>
      <c r="AN50" s="80">
        <f t="shared" ref="AN50:AO50" si="47">+G50+S50-AF50-AK50</f>
        <v>23.401857999999947</v>
      </c>
      <c r="AO50" s="80">
        <f t="shared" si="47"/>
        <v>5.0607580000003054</v>
      </c>
      <c r="AP50" s="75">
        <f t="shared" si="24"/>
        <v>8.3624880970365412E-2</v>
      </c>
      <c r="AQ50" s="76">
        <f t="shared" si="25"/>
        <v>12761.006383377449</v>
      </c>
      <c r="AR50" s="90">
        <f t="shared" ref="AR50:AR57" si="48">(D50+J50+O50)-(X50+AH50)</f>
        <v>-50.044000000001688</v>
      </c>
    </row>
    <row r="51" spans="1:49" x14ac:dyDescent="0.25">
      <c r="A51" t="str">
        <f t="shared" si="13"/>
        <v>46227E</v>
      </c>
      <c r="B51" s="51">
        <f t="shared" si="27"/>
        <v>46227</v>
      </c>
      <c r="C51" s="52" t="s">
        <v>88</v>
      </c>
      <c r="D51" s="91">
        <v>19991</v>
      </c>
      <c r="E51" s="62">
        <v>5.4</v>
      </c>
      <c r="F51" s="62">
        <v>8.4</v>
      </c>
      <c r="G51" s="62">
        <f t="shared" si="28"/>
        <v>1079.5140000000001</v>
      </c>
      <c r="H51" s="72">
        <f t="shared" si="29"/>
        <v>1679.2440000000001</v>
      </c>
      <c r="I51" s="122">
        <v>2199.5</v>
      </c>
      <c r="J51" s="119">
        <v>2265.4850000000001</v>
      </c>
      <c r="K51" s="120">
        <v>4.2813230279609007</v>
      </c>
      <c r="L51" s="121">
        <v>8.1880654694248722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2265.4850000000001</v>
      </c>
      <c r="S51" s="62">
        <f t="shared" si="15"/>
        <v>96.99273100000002</v>
      </c>
      <c r="T51" s="63">
        <f t="shared" si="16"/>
        <v>185.49939500000008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7"/>
        <v>0</v>
      </c>
      <c r="AB51" s="63">
        <f t="shared" si="18"/>
        <v>0</v>
      </c>
      <c r="AC51" s="69"/>
      <c r="AD51" s="70"/>
      <c r="AE51" s="70"/>
      <c r="AF51" s="62">
        <f t="shared" si="19"/>
        <v>0</v>
      </c>
      <c r="AG51" s="63">
        <f t="shared" si="20"/>
        <v>0</v>
      </c>
      <c r="AH51" s="89">
        <v>22255</v>
      </c>
      <c r="AI51" s="66">
        <v>5.4</v>
      </c>
      <c r="AJ51" s="66">
        <v>8.4</v>
      </c>
      <c r="AK51" s="62">
        <f t="shared" ref="AK51:AK59" si="49">AH51*AI51%</f>
        <v>1201.7700000000002</v>
      </c>
      <c r="AL51" s="72">
        <f t="shared" si="34"/>
        <v>1869.42</v>
      </c>
      <c r="AM51" s="73">
        <f t="shared" ref="AM51:AM59" si="50">+D51+R51-AC51-AH51</f>
        <v>1.4850000000005821</v>
      </c>
      <c r="AN51" s="80">
        <f t="shared" ref="AN51:AN59" si="51">+G51+S51-AF51-AK51</f>
        <v>-25.263269000000037</v>
      </c>
      <c r="AO51" s="80">
        <f t="shared" ref="AO51:AO59" si="52">+H51+T51-AG51-AL51</f>
        <v>-4.6766049999998813</v>
      </c>
      <c r="AP51" s="75">
        <f t="shared" si="24"/>
        <v>-0.10598480893587776</v>
      </c>
      <c r="AQ51" s="76">
        <f t="shared" si="25"/>
        <v>-13540.424547578396</v>
      </c>
      <c r="AR51" s="90">
        <f t="shared" si="48"/>
        <v>1.4850000000005821</v>
      </c>
    </row>
    <row r="52" spans="1:49" x14ac:dyDescent="0.25">
      <c r="A52" t="str">
        <f t="shared" si="13"/>
        <v>46228M</v>
      </c>
      <c r="B52" s="51">
        <f t="shared" si="27"/>
        <v>46228</v>
      </c>
      <c r="C52" s="52" t="s">
        <v>87</v>
      </c>
      <c r="D52" s="91">
        <v>22255</v>
      </c>
      <c r="E52" s="62">
        <v>5.4</v>
      </c>
      <c r="F52" s="62">
        <v>8.4</v>
      </c>
      <c r="G52" s="62">
        <f t="shared" ref="G52:G57" si="53">+D52*E52%</f>
        <v>1201.7700000000002</v>
      </c>
      <c r="H52" s="72">
        <f t="shared" ref="H52:H57" si="54">+D52*F52%</f>
        <v>1869.42</v>
      </c>
      <c r="I52" s="122">
        <v>2199.7999999999997</v>
      </c>
      <c r="J52" s="119">
        <v>2265.7939999999999</v>
      </c>
      <c r="K52" s="120">
        <v>4.9135648695335945</v>
      </c>
      <c r="L52" s="121">
        <v>8.2816937903445762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2265.7939999999999</v>
      </c>
      <c r="S52" s="62">
        <f t="shared" si="15"/>
        <v>111.33125800000001</v>
      </c>
      <c r="T52" s="63">
        <f t="shared" si="16"/>
        <v>187.64612099999997</v>
      </c>
      <c r="U52" s="64" t="s">
        <v>208</v>
      </c>
      <c r="V52" s="65" t="s">
        <v>833</v>
      </c>
      <c r="W52" s="66" t="s">
        <v>181</v>
      </c>
      <c r="X52" s="67">
        <v>6500</v>
      </c>
      <c r="Y52" s="68">
        <v>4.6999999999999993</v>
      </c>
      <c r="Z52" s="68">
        <v>8.39</v>
      </c>
      <c r="AA52" s="62">
        <f t="shared" si="17"/>
        <v>305.49999999999994</v>
      </c>
      <c r="AB52" s="63">
        <f t="shared" si="18"/>
        <v>545.35</v>
      </c>
      <c r="AC52" s="69">
        <v>6330</v>
      </c>
      <c r="AD52" s="70">
        <v>4.6500000000000004</v>
      </c>
      <c r="AE52" s="70">
        <v>8.3570616113744087</v>
      </c>
      <c r="AF52" s="62">
        <f t="shared" si="19"/>
        <v>294.34500000000003</v>
      </c>
      <c r="AG52" s="63">
        <f t="shared" si="20"/>
        <v>529.00200000000007</v>
      </c>
      <c r="AH52" s="89">
        <v>18021</v>
      </c>
      <c r="AI52" s="66">
        <v>5.4</v>
      </c>
      <c r="AJ52" s="66">
        <v>8.4</v>
      </c>
      <c r="AK52" s="62">
        <f t="shared" si="49"/>
        <v>973.13400000000013</v>
      </c>
      <c r="AL52" s="72">
        <f t="shared" si="34"/>
        <v>1513.7640000000001</v>
      </c>
      <c r="AM52" s="73">
        <f t="shared" si="50"/>
        <v>169.79400000000169</v>
      </c>
      <c r="AN52" s="80">
        <f t="shared" si="51"/>
        <v>45.622257999999988</v>
      </c>
      <c r="AO52" s="80">
        <f t="shared" si="52"/>
        <v>14.300120999999763</v>
      </c>
      <c r="AP52" s="75">
        <f t="shared" si="24"/>
        <v>0.20042445753061389</v>
      </c>
      <c r="AQ52" s="76">
        <f t="shared" si="25"/>
        <v>26205.738742942583</v>
      </c>
      <c r="AR52" s="90">
        <f t="shared" si="48"/>
        <v>-0.20599999999831198</v>
      </c>
    </row>
    <row r="53" spans="1:49" x14ac:dyDescent="0.25">
      <c r="A53" t="str">
        <f t="shared" si="13"/>
        <v>46228E</v>
      </c>
      <c r="B53" s="51">
        <f t="shared" si="27"/>
        <v>46228</v>
      </c>
      <c r="C53" s="52" t="s">
        <v>88</v>
      </c>
      <c r="D53" s="91">
        <v>18021</v>
      </c>
      <c r="E53" s="62">
        <v>5.4</v>
      </c>
      <c r="F53" s="62">
        <v>8.4</v>
      </c>
      <c r="G53" s="62">
        <f t="shared" si="53"/>
        <v>973.13400000000013</v>
      </c>
      <c r="H53" s="72">
        <f t="shared" si="54"/>
        <v>1513.7640000000001</v>
      </c>
      <c r="I53" s="122">
        <v>4191.8</v>
      </c>
      <c r="J53" s="119">
        <v>4317.5540000000001</v>
      </c>
      <c r="K53" s="120">
        <v>4.2888305739777648</v>
      </c>
      <c r="L53" s="121">
        <v>8.2409155971181853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4317.5540000000001</v>
      </c>
      <c r="S53" s="62">
        <f t="shared" si="15"/>
        <v>185.17257599999996</v>
      </c>
      <c r="T53" s="63">
        <f t="shared" si="16"/>
        <v>355.80598100000009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7"/>
        <v>0</v>
      </c>
      <c r="AB53" s="63">
        <f t="shared" si="18"/>
        <v>0</v>
      </c>
      <c r="AC53" s="69"/>
      <c r="AD53" s="70"/>
      <c r="AE53" s="70"/>
      <c r="AF53" s="62">
        <f t="shared" si="19"/>
        <v>0</v>
      </c>
      <c r="AG53" s="63">
        <f t="shared" si="20"/>
        <v>0</v>
      </c>
      <c r="AH53" s="89">
        <v>22337</v>
      </c>
      <c r="AI53" s="66">
        <v>5.4</v>
      </c>
      <c r="AJ53" s="66">
        <v>8.4</v>
      </c>
      <c r="AK53" s="62">
        <f t="shared" si="49"/>
        <v>1206.1980000000001</v>
      </c>
      <c r="AL53" s="72">
        <f t="shared" si="34"/>
        <v>1876.3080000000002</v>
      </c>
      <c r="AM53" s="73">
        <f t="shared" si="50"/>
        <v>1.5540000000000873</v>
      </c>
      <c r="AN53" s="80">
        <f t="shared" si="51"/>
        <v>-47.891423999999915</v>
      </c>
      <c r="AO53" s="80">
        <f t="shared" si="52"/>
        <v>-6.7380190000001221</v>
      </c>
      <c r="AP53" s="75">
        <f t="shared" si="24"/>
        <v>-0.10098264024169083</v>
      </c>
      <c r="AQ53" s="76">
        <f t="shared" si="25"/>
        <v>-25031.364631881712</v>
      </c>
      <c r="AR53" s="90">
        <f t="shared" si="48"/>
        <v>1.5540000000000873</v>
      </c>
    </row>
    <row r="54" spans="1:49" x14ac:dyDescent="0.25">
      <c r="A54" t="str">
        <f t="shared" si="13"/>
        <v>46229M</v>
      </c>
      <c r="B54" s="51">
        <f t="shared" si="27"/>
        <v>46229</v>
      </c>
      <c r="C54" s="52" t="s">
        <v>87</v>
      </c>
      <c r="D54" s="91">
        <v>22337</v>
      </c>
      <c r="E54" s="62">
        <v>5.4</v>
      </c>
      <c r="F54" s="62">
        <v>8.4</v>
      </c>
      <c r="G54" s="62">
        <f t="shared" si="53"/>
        <v>1206.1980000000001</v>
      </c>
      <c r="H54" s="72">
        <f t="shared" si="54"/>
        <v>1876.3080000000002</v>
      </c>
      <c r="I54" s="122">
        <v>3957.1000000000004</v>
      </c>
      <c r="J54" s="119">
        <v>4075.8130000000006</v>
      </c>
      <c r="K54" s="120">
        <v>4.657562356271006</v>
      </c>
      <c r="L54" s="121">
        <v>8.2347047079932274</v>
      </c>
      <c r="M54" s="58">
        <v>0</v>
      </c>
      <c r="N54" s="58">
        <v>0</v>
      </c>
      <c r="O54" s="59">
        <v>0</v>
      </c>
      <c r="P54" s="56">
        <v>0</v>
      </c>
      <c r="Q54" s="60">
        <v>0</v>
      </c>
      <c r="R54" s="61">
        <f t="shared" si="14"/>
        <v>4075.8130000000006</v>
      </c>
      <c r="S54" s="62">
        <f t="shared" si="15"/>
        <v>189.83353200000002</v>
      </c>
      <c r="T54" s="63">
        <f t="shared" si="16"/>
        <v>335.63116500000007</v>
      </c>
      <c r="U54" s="64" t="s">
        <v>209</v>
      </c>
      <c r="V54" s="65" t="s">
        <v>896</v>
      </c>
      <c r="W54" s="66" t="s">
        <v>177</v>
      </c>
      <c r="X54" s="67">
        <v>6550</v>
      </c>
      <c r="Y54" s="68">
        <v>4.7</v>
      </c>
      <c r="Z54" s="68">
        <v>8.26</v>
      </c>
      <c r="AA54" s="62">
        <f t="shared" si="17"/>
        <v>307.85000000000002</v>
      </c>
      <c r="AB54" s="63">
        <f t="shared" si="18"/>
        <v>541.03</v>
      </c>
      <c r="AC54" s="69">
        <v>6550</v>
      </c>
      <c r="AD54" s="70">
        <v>4.6652671755725184</v>
      </c>
      <c r="AE54" s="70">
        <v>8.2567175572519087</v>
      </c>
      <c r="AF54" s="62">
        <f t="shared" si="19"/>
        <v>305.57499999999993</v>
      </c>
      <c r="AG54" s="63">
        <f t="shared" si="20"/>
        <v>540.81499999999994</v>
      </c>
      <c r="AH54" s="89">
        <v>19863</v>
      </c>
      <c r="AI54" s="66">
        <v>5.4</v>
      </c>
      <c r="AJ54" s="66">
        <v>8.4</v>
      </c>
      <c r="AK54" s="62">
        <f t="shared" si="49"/>
        <v>1072.6020000000001</v>
      </c>
      <c r="AL54" s="72">
        <f t="shared" si="34"/>
        <v>1668.4920000000002</v>
      </c>
      <c r="AM54" s="73">
        <f t="shared" si="50"/>
        <v>-0.18699999999807915</v>
      </c>
      <c r="AN54" s="80">
        <f t="shared" si="51"/>
        <v>17.854532000000063</v>
      </c>
      <c r="AO54" s="80">
        <f t="shared" si="52"/>
        <v>2.6321649999999863</v>
      </c>
      <c r="AP54" s="75">
        <f t="shared" si="24"/>
        <v>3.8987770476234383E-2</v>
      </c>
      <c r="AQ54" s="76">
        <f t="shared" si="25"/>
        <v>9367.9937118202197</v>
      </c>
      <c r="AR54" s="90">
        <f t="shared" si="48"/>
        <v>-0.18699999999807915</v>
      </c>
    </row>
    <row r="55" spans="1:49" x14ac:dyDescent="0.25">
      <c r="A55" t="str">
        <f t="shared" si="13"/>
        <v>46229E</v>
      </c>
      <c r="B55" s="51">
        <f t="shared" si="27"/>
        <v>46229</v>
      </c>
      <c r="C55" s="52" t="s">
        <v>88</v>
      </c>
      <c r="D55" s="91">
        <v>19863</v>
      </c>
      <c r="E55" s="62">
        <v>5.4</v>
      </c>
      <c r="F55" s="62">
        <v>8.4</v>
      </c>
      <c r="G55" s="62">
        <f t="shared" si="53"/>
        <v>1072.6020000000001</v>
      </c>
      <c r="H55" s="72">
        <f t="shared" si="54"/>
        <v>1668.4920000000002</v>
      </c>
      <c r="I55" s="122">
        <v>5295.0000000000009</v>
      </c>
      <c r="J55" s="119">
        <v>5453.8500000000013</v>
      </c>
      <c r="K55" s="120">
        <v>4.3371803588290856</v>
      </c>
      <c r="L55" s="121">
        <v>8.2315391879131248</v>
      </c>
      <c r="M55" s="58">
        <v>0</v>
      </c>
      <c r="N55" s="58">
        <v>0</v>
      </c>
      <c r="O55" s="59">
        <v>0</v>
      </c>
      <c r="P55" s="56">
        <v>0</v>
      </c>
      <c r="Q55" s="60">
        <v>0</v>
      </c>
      <c r="R55" s="61">
        <f t="shared" si="14"/>
        <v>5453.8500000000013</v>
      </c>
      <c r="S55" s="62">
        <f t="shared" si="15"/>
        <v>236.54331100000013</v>
      </c>
      <c r="T55" s="63">
        <f t="shared" si="16"/>
        <v>448.93580000000003</v>
      </c>
      <c r="U55" s="64" t="s">
        <v>208</v>
      </c>
      <c r="V55" s="65" t="s">
        <v>897</v>
      </c>
      <c r="W55" s="66" t="s">
        <v>181</v>
      </c>
      <c r="X55" s="67">
        <v>6500</v>
      </c>
      <c r="Y55" s="68">
        <v>4.7699999999999996</v>
      </c>
      <c r="Z55" s="68">
        <v>8.5</v>
      </c>
      <c r="AA55" s="62">
        <f t="shared" si="17"/>
        <v>310.04999999999995</v>
      </c>
      <c r="AB55" s="63">
        <f t="shared" si="18"/>
        <v>552.5</v>
      </c>
      <c r="AC55" s="69">
        <v>6520</v>
      </c>
      <c r="AD55" s="70">
        <v>4.7</v>
      </c>
      <c r="AE55" s="70">
        <v>8.4100000000000019</v>
      </c>
      <c r="AF55" s="62">
        <f t="shared" si="19"/>
        <v>306.44</v>
      </c>
      <c r="AG55" s="63">
        <f t="shared" si="20"/>
        <v>548.33200000000011</v>
      </c>
      <c r="AH55" s="89">
        <v>18796</v>
      </c>
      <c r="AI55" s="66">
        <v>5.4</v>
      </c>
      <c r="AJ55" s="66">
        <v>8.4</v>
      </c>
      <c r="AK55" s="62">
        <f t="shared" si="49"/>
        <v>1014.9840000000002</v>
      </c>
      <c r="AL55" s="72">
        <f t="shared" si="34"/>
        <v>1578.864</v>
      </c>
      <c r="AM55" s="73">
        <f t="shared" si="50"/>
        <v>0.85000000000218279</v>
      </c>
      <c r="AN55" s="80">
        <f t="shared" si="51"/>
        <v>-12.278688999999986</v>
      </c>
      <c r="AO55" s="80">
        <f t="shared" si="52"/>
        <v>-9.7681999999997515</v>
      </c>
      <c r="AP55" s="75">
        <f t="shared" si="24"/>
        <v>-3.2162743760108151E-2</v>
      </c>
      <c r="AQ55" s="76">
        <f t="shared" si="25"/>
        <v>-8825.7986304301157</v>
      </c>
      <c r="AR55" s="90">
        <f t="shared" si="48"/>
        <v>20.850000000002183</v>
      </c>
      <c r="AS55" s="90">
        <f>SUM(J42:J55)</f>
        <v>62008.678</v>
      </c>
      <c r="AT55" s="83">
        <f>SUM(AM42:AM55)</f>
        <v>216.67800000000352</v>
      </c>
      <c r="AU55" s="83">
        <f>SUM(AN42:AN55)</f>
        <v>-104.08653799999956</v>
      </c>
      <c r="AV55" s="83">
        <f>SUM(AO42:AO55)</f>
        <v>5.4526090000003933</v>
      </c>
      <c r="AW55" s="83">
        <f>-SUM(AQ42:AQ55)</f>
        <v>48383.961300181196</v>
      </c>
    </row>
    <row r="56" spans="1:49" x14ac:dyDescent="0.25">
      <c r="A56" t="str">
        <f t="shared" si="13"/>
        <v>46230M</v>
      </c>
      <c r="B56" s="51">
        <f t="shared" si="27"/>
        <v>46230</v>
      </c>
      <c r="C56" s="52" t="s">
        <v>87</v>
      </c>
      <c r="D56" s="91">
        <v>18796</v>
      </c>
      <c r="E56" s="62">
        <v>5.4</v>
      </c>
      <c r="F56" s="62">
        <v>8.4</v>
      </c>
      <c r="G56" s="62">
        <f t="shared" si="53"/>
        <v>1014.9840000000002</v>
      </c>
      <c r="H56" s="72">
        <f t="shared" si="54"/>
        <v>1578.864</v>
      </c>
      <c r="I56" s="122">
        <v>5470.9</v>
      </c>
      <c r="J56" s="119">
        <v>5635.027</v>
      </c>
      <c r="K56" s="120">
        <v>4.7355736716079617</v>
      </c>
      <c r="L56" s="121">
        <v>8.2839441408177823</v>
      </c>
      <c r="M56" s="58">
        <v>0</v>
      </c>
      <c r="N56" s="58">
        <v>0</v>
      </c>
      <c r="O56" s="59">
        <v>0</v>
      </c>
      <c r="P56" s="56">
        <v>0</v>
      </c>
      <c r="Q56" s="60">
        <v>0</v>
      </c>
      <c r="R56" s="61">
        <f t="shared" si="14"/>
        <v>5635.027</v>
      </c>
      <c r="S56" s="62">
        <f t="shared" si="15"/>
        <v>266.85085499999997</v>
      </c>
      <c r="T56" s="63">
        <f t="shared" si="16"/>
        <v>466.80248900000009</v>
      </c>
      <c r="U56" s="64" t="s">
        <v>209</v>
      </c>
      <c r="V56" s="65" t="s">
        <v>898</v>
      </c>
      <c r="W56" s="66" t="s">
        <v>177</v>
      </c>
      <c r="X56" s="67">
        <v>6550</v>
      </c>
      <c r="Y56" s="68">
        <v>4.96</v>
      </c>
      <c r="Z56" s="68">
        <v>8.2899999999999991</v>
      </c>
      <c r="AA56" s="62">
        <f t="shared" si="17"/>
        <v>324.88</v>
      </c>
      <c r="AB56" s="63">
        <f t="shared" si="18"/>
        <v>542.99499999999989</v>
      </c>
      <c r="AC56" s="69">
        <v>6560</v>
      </c>
      <c r="AD56" s="70">
        <v>4.8954268292682928</v>
      </c>
      <c r="AE56" s="70">
        <v>8.1796951219512195</v>
      </c>
      <c r="AF56" s="62">
        <f t="shared" si="19"/>
        <v>321.14</v>
      </c>
      <c r="AG56" s="63">
        <f t="shared" si="20"/>
        <v>536.58799999999997</v>
      </c>
      <c r="AH56" s="89">
        <v>17878</v>
      </c>
      <c r="AI56" s="66">
        <v>5.4</v>
      </c>
      <c r="AJ56" s="66">
        <v>8.4</v>
      </c>
      <c r="AK56" s="62">
        <f t="shared" si="49"/>
        <v>965.41200000000015</v>
      </c>
      <c r="AL56" s="72">
        <f t="shared" si="34"/>
        <v>1501.7520000000002</v>
      </c>
      <c r="AM56" s="73">
        <f t="shared" si="50"/>
        <v>-6.9729999999981374</v>
      </c>
      <c r="AN56" s="80">
        <f t="shared" si="51"/>
        <v>-4.7171450000000732</v>
      </c>
      <c r="AO56" s="80">
        <f t="shared" si="52"/>
        <v>7.3264890000000378</v>
      </c>
      <c r="AP56" s="75">
        <f t="shared" si="24"/>
        <v>3.5566443216538579E-3</v>
      </c>
      <c r="AQ56" s="76">
        <f t="shared" si="25"/>
        <v>-72.523467358247672</v>
      </c>
      <c r="AR56" s="90">
        <f t="shared" si="48"/>
        <v>3.0270000000018626</v>
      </c>
    </row>
    <row r="57" spans="1:49" x14ac:dyDescent="0.25">
      <c r="A57" t="str">
        <f t="shared" si="13"/>
        <v>46230E</v>
      </c>
      <c r="B57" s="51">
        <f t="shared" si="27"/>
        <v>46230</v>
      </c>
      <c r="C57" s="52" t="s">
        <v>88</v>
      </c>
      <c r="D57" s="91">
        <v>17878</v>
      </c>
      <c r="E57" s="62">
        <v>5.4</v>
      </c>
      <c r="F57" s="62">
        <v>8.4</v>
      </c>
      <c r="G57" s="62">
        <f t="shared" si="53"/>
        <v>965.41200000000015</v>
      </c>
      <c r="H57" s="72">
        <f t="shared" si="54"/>
        <v>1501.7520000000002</v>
      </c>
      <c r="I57" s="122">
        <v>5021.5000000000027</v>
      </c>
      <c r="J57" s="119">
        <v>5172.1450000000032</v>
      </c>
      <c r="K57" s="120">
        <v>4.3870895150851377</v>
      </c>
      <c r="L57" s="121">
        <v>8.2526954097381289</v>
      </c>
      <c r="M57" s="58">
        <v>0</v>
      </c>
      <c r="N57" s="58">
        <v>0</v>
      </c>
      <c r="O57" s="59">
        <v>0</v>
      </c>
      <c r="P57" s="56">
        <v>0</v>
      </c>
      <c r="Q57" s="60">
        <v>0</v>
      </c>
      <c r="R57" s="61">
        <f t="shared" si="14"/>
        <v>5172.1450000000032</v>
      </c>
      <c r="S57" s="62">
        <f t="shared" si="15"/>
        <v>226.90663100000035</v>
      </c>
      <c r="T57" s="63">
        <f t="shared" si="16"/>
        <v>426.84137300000037</v>
      </c>
      <c r="U57" s="64" t="s">
        <v>208</v>
      </c>
      <c r="V57" s="65" t="s">
        <v>899</v>
      </c>
      <c r="W57" s="66" t="s">
        <v>181</v>
      </c>
      <c r="X57" s="67">
        <v>6500</v>
      </c>
      <c r="Y57" s="68">
        <v>4.54</v>
      </c>
      <c r="Z57" s="68">
        <v>8.31</v>
      </c>
      <c r="AA57" s="62">
        <f t="shared" si="17"/>
        <v>295.10000000000002</v>
      </c>
      <c r="AB57" s="63">
        <f t="shared" si="18"/>
        <v>540.15000000000009</v>
      </c>
      <c r="AC57" s="69">
        <v>6450</v>
      </c>
      <c r="AD57" s="70">
        <v>4.4898449612403093</v>
      </c>
      <c r="AE57" s="70">
        <v>8.1331627906976749</v>
      </c>
      <c r="AF57" s="62">
        <f t="shared" si="19"/>
        <v>289.59499999999997</v>
      </c>
      <c r="AG57" s="63">
        <f t="shared" si="20"/>
        <v>524.58900000000006</v>
      </c>
      <c r="AH57" s="89">
        <v>16552</v>
      </c>
      <c r="AI57" s="66">
        <v>5.4</v>
      </c>
      <c r="AJ57" s="66">
        <v>8.4</v>
      </c>
      <c r="AK57" s="62">
        <f t="shared" si="49"/>
        <v>893.80800000000011</v>
      </c>
      <c r="AL57" s="72">
        <f t="shared" si="34"/>
        <v>1390.3680000000002</v>
      </c>
      <c r="AM57" s="73">
        <f t="shared" si="50"/>
        <v>48.145000000004075</v>
      </c>
      <c r="AN57" s="80">
        <f t="shared" si="51"/>
        <v>8.9156310000004169</v>
      </c>
      <c r="AO57" s="80">
        <f t="shared" si="52"/>
        <v>13.636373000000503</v>
      </c>
      <c r="AP57" s="75">
        <f t="shared" si="24"/>
        <v>3.4496478554450614E-2</v>
      </c>
      <c r="AQ57" s="76">
        <f t="shared" si="25"/>
        <v>8368.2231829605644</v>
      </c>
      <c r="AR57" s="90">
        <f t="shared" si="48"/>
        <v>-1.8549999999959255</v>
      </c>
    </row>
    <row r="58" spans="1:49" x14ac:dyDescent="0.25">
      <c r="A58" t="str">
        <f t="shared" si="13"/>
        <v>46231M</v>
      </c>
      <c r="B58" s="51">
        <f t="shared" si="27"/>
        <v>46231</v>
      </c>
      <c r="C58" s="52" t="s">
        <v>87</v>
      </c>
      <c r="D58" s="91">
        <v>16552</v>
      </c>
      <c r="E58" s="62">
        <v>5.4</v>
      </c>
      <c r="F58" s="62">
        <v>8.4</v>
      </c>
      <c r="G58" s="62">
        <f t="shared" ref="G58:G65" si="55">+D58*E58%</f>
        <v>893.80800000000011</v>
      </c>
      <c r="H58" s="72">
        <f t="shared" ref="H58:H65" si="56">+D58*F58%</f>
        <v>1390.3680000000002</v>
      </c>
      <c r="I58" s="122">
        <v>5179.8</v>
      </c>
      <c r="J58" s="119">
        <v>5335.1940000000004</v>
      </c>
      <c r="K58" s="120">
        <v>4.6289972585814132</v>
      </c>
      <c r="L58" s="121">
        <v>8.2316131896984466</v>
      </c>
      <c r="M58" s="58">
        <v>0</v>
      </c>
      <c r="N58" s="58">
        <v>0</v>
      </c>
      <c r="O58" s="59">
        <v>0</v>
      </c>
      <c r="P58" s="56">
        <v>0</v>
      </c>
      <c r="Q58" s="60">
        <v>0</v>
      </c>
      <c r="R58" s="61">
        <f t="shared" si="14"/>
        <v>5335.1940000000004</v>
      </c>
      <c r="S58" s="62">
        <f t="shared" si="15"/>
        <v>246.96598400000005</v>
      </c>
      <c r="T58" s="63">
        <f t="shared" si="16"/>
        <v>439.17253300000016</v>
      </c>
      <c r="U58" s="64" t="s">
        <v>209</v>
      </c>
      <c r="V58" s="65" t="s">
        <v>919</v>
      </c>
      <c r="W58" s="66" t="s">
        <v>201</v>
      </c>
      <c r="X58" s="67">
        <v>6550</v>
      </c>
      <c r="Y58" s="68">
        <v>4.78</v>
      </c>
      <c r="Z58" s="68">
        <v>8.25</v>
      </c>
      <c r="AA58" s="62">
        <f t="shared" si="17"/>
        <v>313.09000000000003</v>
      </c>
      <c r="AB58" s="63">
        <f t="shared" si="18"/>
        <v>540.375</v>
      </c>
      <c r="AC58" s="69">
        <v>6540</v>
      </c>
      <c r="AD58" s="70">
        <v>4.6499999999999995</v>
      </c>
      <c r="AE58" s="70">
        <v>8.2099999999999991</v>
      </c>
      <c r="AF58" s="62">
        <f t="shared" ref="AF58:AF59" si="57">AC58*AD58%</f>
        <v>304.10999999999996</v>
      </c>
      <c r="AG58" s="63">
        <f t="shared" si="20"/>
        <v>536.93399999999997</v>
      </c>
      <c r="AH58" s="89">
        <v>15336</v>
      </c>
      <c r="AI58" s="66">
        <v>5.4</v>
      </c>
      <c r="AJ58" s="66">
        <v>8.4</v>
      </c>
      <c r="AK58" s="62">
        <f t="shared" si="49"/>
        <v>828.14400000000012</v>
      </c>
      <c r="AL58" s="72">
        <f t="shared" si="34"/>
        <v>1288.2240000000002</v>
      </c>
      <c r="AM58" s="73">
        <f t="shared" si="50"/>
        <v>11.193999999999505</v>
      </c>
      <c r="AN58" s="80">
        <f t="shared" si="51"/>
        <v>8.5199840000001359</v>
      </c>
      <c r="AO58" s="80">
        <f t="shared" si="52"/>
        <v>4.3825330000001941</v>
      </c>
      <c r="AP58" s="75">
        <f t="shared" si="24"/>
        <v>1.8804536810459113E-2</v>
      </c>
      <c r="AQ58" s="76">
        <f t="shared" si="25"/>
        <v>5406.6592249774531</v>
      </c>
      <c r="AR58" s="90">
        <f t="shared" si="32"/>
        <v>1.1939999999995052</v>
      </c>
    </row>
    <row r="59" spans="1:49" x14ac:dyDescent="0.25">
      <c r="A59" t="str">
        <f t="shared" si="13"/>
        <v>46231E</v>
      </c>
      <c r="B59" s="51">
        <f>+B57+1</f>
        <v>46231</v>
      </c>
      <c r="C59" s="52" t="s">
        <v>88</v>
      </c>
      <c r="D59" s="91">
        <v>15336</v>
      </c>
      <c r="E59" s="62">
        <v>5.4</v>
      </c>
      <c r="F59" s="62">
        <v>8.4</v>
      </c>
      <c r="G59" s="62">
        <f t="shared" si="55"/>
        <v>828.14400000000012</v>
      </c>
      <c r="H59" s="72">
        <f t="shared" si="56"/>
        <v>1288.2240000000002</v>
      </c>
      <c r="I59" s="122">
        <v>5032.8</v>
      </c>
      <c r="J59" s="119">
        <v>5183.7840000000006</v>
      </c>
      <c r="K59" s="120">
        <v>4.4684887140359253</v>
      </c>
      <c r="L59" s="121">
        <v>8.2815450643776831</v>
      </c>
      <c r="M59" s="58">
        <v>0</v>
      </c>
      <c r="N59" s="58">
        <v>0</v>
      </c>
      <c r="O59" s="59">
        <v>0</v>
      </c>
      <c r="P59" s="56">
        <v>0</v>
      </c>
      <c r="Q59" s="60">
        <v>0</v>
      </c>
      <c r="R59" s="61">
        <f t="shared" si="14"/>
        <v>5183.7840000000006</v>
      </c>
      <c r="S59" s="62">
        <f t="shared" si="15"/>
        <v>231.63680300000007</v>
      </c>
      <c r="T59" s="63">
        <f t="shared" si="16"/>
        <v>429.29740800000013</v>
      </c>
      <c r="U59" s="64" t="s">
        <v>208</v>
      </c>
      <c r="V59" s="65" t="s">
        <v>920</v>
      </c>
      <c r="W59" s="66" t="s">
        <v>181</v>
      </c>
      <c r="X59" s="67">
        <v>6500</v>
      </c>
      <c r="Y59" s="68">
        <v>4.6100000000000003</v>
      </c>
      <c r="Z59" s="68">
        <v>8.2899999999999991</v>
      </c>
      <c r="AA59" s="62">
        <f t="shared" si="17"/>
        <v>299.65000000000003</v>
      </c>
      <c r="AB59" s="63">
        <f t="shared" si="18"/>
        <v>538.84999999999991</v>
      </c>
      <c r="AC59" s="69">
        <v>6500</v>
      </c>
      <c r="AD59" s="70">
        <v>4.5384615384615383</v>
      </c>
      <c r="AE59" s="70">
        <v>8.2292307692307691</v>
      </c>
      <c r="AF59" s="62">
        <f t="shared" si="57"/>
        <v>295</v>
      </c>
      <c r="AG59" s="63">
        <f t="shared" si="20"/>
        <v>534.9</v>
      </c>
      <c r="AH59" s="89">
        <v>14019</v>
      </c>
      <c r="AI59" s="66">
        <v>5.4</v>
      </c>
      <c r="AJ59" s="66">
        <v>8.4</v>
      </c>
      <c r="AK59" s="62">
        <f t="shared" si="49"/>
        <v>757.02600000000007</v>
      </c>
      <c r="AL59" s="72">
        <f t="shared" si="34"/>
        <v>1177.596</v>
      </c>
      <c r="AM59" s="73">
        <f t="shared" si="50"/>
        <v>0.78399999999965075</v>
      </c>
      <c r="AN59" s="80">
        <f t="shared" si="51"/>
        <v>7.7548030000000381</v>
      </c>
      <c r="AO59" s="80">
        <f t="shared" si="52"/>
        <v>5.0254080000004251</v>
      </c>
      <c r="AP59" s="75">
        <f t="shared" si="24"/>
        <v>1.9336585680235666E-2</v>
      </c>
      <c r="AQ59" s="76">
        <f t="shared" si="25"/>
        <v>5231.500189869168</v>
      </c>
      <c r="AR59" s="90">
        <f t="shared" si="32"/>
        <v>0.78399999999965075</v>
      </c>
    </row>
    <row r="60" spans="1:49" x14ac:dyDescent="0.25">
      <c r="A60" t="str">
        <f t="shared" si="13"/>
        <v>46232M</v>
      </c>
      <c r="B60" s="51">
        <f>+B58+1</f>
        <v>46232</v>
      </c>
      <c r="C60" s="52" t="s">
        <v>87</v>
      </c>
      <c r="D60" s="89">
        <v>14019</v>
      </c>
      <c r="E60" s="66">
        <v>5.4</v>
      </c>
      <c r="F60" s="66">
        <v>8.4</v>
      </c>
      <c r="G60" s="62">
        <f t="shared" si="55"/>
        <v>757.02600000000007</v>
      </c>
      <c r="H60" s="72">
        <f t="shared" si="56"/>
        <v>1177.596</v>
      </c>
      <c r="I60" s="122">
        <v>4893.5000000000009</v>
      </c>
      <c r="J60" s="119">
        <v>5040.3050000000012</v>
      </c>
      <c r="K60" s="120">
        <v>4.6857463982834382</v>
      </c>
      <c r="L60" s="121">
        <v>8.2656667007254541</v>
      </c>
      <c r="M60" s="58">
        <v>0</v>
      </c>
      <c r="N60" s="58">
        <v>0</v>
      </c>
      <c r="O60" s="59">
        <v>0</v>
      </c>
      <c r="P60" s="56">
        <v>0</v>
      </c>
      <c r="Q60" s="60">
        <v>0</v>
      </c>
      <c r="R60" s="61">
        <f t="shared" ref="R60:R65" si="58">+J60+O60</f>
        <v>5040.3050000000012</v>
      </c>
      <c r="S60" s="62">
        <f t="shared" ref="S60:S65" si="59">+J60*K60%+O60*P60%</f>
        <v>236.17591000000013</v>
      </c>
      <c r="T60" s="63">
        <f t="shared" ref="T60:T65" si="60">+J60*L60%+O60*Q60%</f>
        <v>416.61481200000026</v>
      </c>
      <c r="U60" s="64" t="s">
        <v>209</v>
      </c>
      <c r="V60" s="65" t="s">
        <v>963</v>
      </c>
      <c r="W60" s="66" t="s">
        <v>177</v>
      </c>
      <c r="X60" s="67">
        <v>6550</v>
      </c>
      <c r="Y60" s="68">
        <v>4.7300000000000004</v>
      </c>
      <c r="Z60" s="68">
        <v>8.1999999999999993</v>
      </c>
      <c r="AA60" s="62">
        <f t="shared" ref="AA60:AA65" si="61">X60*Y60%</f>
        <v>309.815</v>
      </c>
      <c r="AB60" s="63">
        <f t="shared" ref="AB60:AB65" si="62">X60*Z60%</f>
        <v>537.09999999999991</v>
      </c>
      <c r="AC60" s="221">
        <v>6550</v>
      </c>
      <c r="AD60" s="222">
        <v>4.7300000000000004</v>
      </c>
      <c r="AE60" s="222">
        <v>8.1999999999999993</v>
      </c>
      <c r="AF60" s="62">
        <f t="shared" ref="AF60:AF65" si="63">AC60*AD60%</f>
        <v>309.815</v>
      </c>
      <c r="AG60" s="63">
        <f t="shared" si="20"/>
        <v>537.09999999999991</v>
      </c>
      <c r="AH60" s="89">
        <v>12508</v>
      </c>
      <c r="AI60" s="66">
        <v>5.4</v>
      </c>
      <c r="AJ60" s="66">
        <v>8.4</v>
      </c>
      <c r="AK60" s="62">
        <f t="shared" ref="AK60:AK65" si="64">AH60*AI60%</f>
        <v>675.43200000000013</v>
      </c>
      <c r="AL60" s="72">
        <f t="shared" si="34"/>
        <v>1050.672</v>
      </c>
      <c r="AM60" s="73">
        <f t="shared" ref="AM60:AM65" si="65">+D60+R60-AC60-AH60</f>
        <v>1.305000000000291</v>
      </c>
      <c r="AN60" s="80">
        <f t="shared" ref="AN60:AN65" si="66">+G60+S60-AF60-AK60</f>
        <v>7.9549100000000408</v>
      </c>
      <c r="AO60" s="80">
        <f t="shared" ref="AO60:AO65" si="67">+H60+T60-AG60-AL60</f>
        <v>6.4388120000003255</v>
      </c>
      <c r="AP60" s="75">
        <f t="shared" ref="AP60:AP65" si="68">(AN60+AO60)/(S60+T60)</f>
        <v>2.2049519876601979E-2</v>
      </c>
      <c r="AQ60" s="76">
        <f t="shared" ref="AQ60:AQ65" si="69">($AP$1*AN60+$AQ$1*AO60)</f>
        <v>5750.9600312920184</v>
      </c>
      <c r="AR60" s="90">
        <f t="shared" si="32"/>
        <v>1.305000000000291</v>
      </c>
    </row>
    <row r="61" spans="1:49" x14ac:dyDescent="0.25">
      <c r="A61" t="str">
        <f t="shared" si="13"/>
        <v>46232E</v>
      </c>
      <c r="B61" s="51">
        <f t="shared" si="27"/>
        <v>46232</v>
      </c>
      <c r="C61" s="52" t="s">
        <v>88</v>
      </c>
      <c r="D61" s="91">
        <v>12508</v>
      </c>
      <c r="E61" s="62">
        <v>5.4</v>
      </c>
      <c r="F61" s="62">
        <v>8.4</v>
      </c>
      <c r="G61" s="62">
        <f t="shared" si="55"/>
        <v>675.43200000000013</v>
      </c>
      <c r="H61" s="72">
        <f t="shared" si="56"/>
        <v>1050.672</v>
      </c>
      <c r="I61" s="122">
        <v>2214.1999999999998</v>
      </c>
      <c r="J61" s="119">
        <v>2280.6259999999997</v>
      </c>
      <c r="K61" s="120">
        <v>4.3797217956824133</v>
      </c>
      <c r="L61" s="121">
        <v>8.2039382169632358</v>
      </c>
      <c r="M61" s="58">
        <v>0</v>
      </c>
      <c r="N61" s="58">
        <v>0</v>
      </c>
      <c r="O61" s="59">
        <v>0</v>
      </c>
      <c r="P61" s="56">
        <v>0</v>
      </c>
      <c r="Q61" s="60">
        <v>0</v>
      </c>
      <c r="R61" s="61">
        <f t="shared" si="58"/>
        <v>2280.6259999999997</v>
      </c>
      <c r="S61" s="62">
        <f t="shared" si="59"/>
        <v>99.885073999999989</v>
      </c>
      <c r="T61" s="63">
        <f t="shared" si="60"/>
        <v>187.10114799999994</v>
      </c>
      <c r="U61" s="64" t="s">
        <v>208</v>
      </c>
      <c r="V61" s="65" t="s">
        <v>964</v>
      </c>
      <c r="W61" s="66" t="s">
        <v>181</v>
      </c>
      <c r="X61" s="67">
        <v>6500</v>
      </c>
      <c r="Y61" s="68">
        <v>4.63</v>
      </c>
      <c r="Z61" s="68">
        <v>8.52</v>
      </c>
      <c r="AA61" s="62">
        <f t="shared" si="61"/>
        <v>300.95</v>
      </c>
      <c r="AB61" s="63">
        <f t="shared" si="62"/>
        <v>553.79999999999995</v>
      </c>
      <c r="AC61" s="221">
        <v>6500</v>
      </c>
      <c r="AD61" s="222">
        <v>4.63</v>
      </c>
      <c r="AE61" s="222">
        <v>8.52</v>
      </c>
      <c r="AF61" s="62">
        <f t="shared" si="63"/>
        <v>300.95</v>
      </c>
      <c r="AG61" s="63">
        <f t="shared" si="20"/>
        <v>553.79999999999995</v>
      </c>
      <c r="AH61" s="89">
        <v>8289</v>
      </c>
      <c r="AI61" s="66">
        <v>5.4</v>
      </c>
      <c r="AJ61" s="66">
        <v>8.4</v>
      </c>
      <c r="AK61" s="62">
        <f t="shared" si="64"/>
        <v>447.60600000000005</v>
      </c>
      <c r="AL61" s="72">
        <f t="shared" si="34"/>
        <v>696.27600000000007</v>
      </c>
      <c r="AM61" s="73">
        <f t="shared" si="65"/>
        <v>-0.37399999999979627</v>
      </c>
      <c r="AN61" s="80">
        <f t="shared" si="66"/>
        <v>26.761074000000121</v>
      </c>
      <c r="AO61" s="80">
        <f t="shared" si="67"/>
        <v>-12.30285200000003</v>
      </c>
      <c r="AP61" s="75">
        <f t="shared" si="68"/>
        <v>5.0379498706387707E-2</v>
      </c>
      <c r="AQ61" s="76">
        <f t="shared" si="69"/>
        <v>9174.9723865809592</v>
      </c>
      <c r="AR61" s="90">
        <f t="shared" si="32"/>
        <v>-0.37399999999979627</v>
      </c>
      <c r="AS61" s="90">
        <f>SUM(J48:J61)</f>
        <v>61882.503000000004</v>
      </c>
      <c r="AT61" s="83">
        <f>SUM(AM48:AM61)</f>
        <v>305.50300000000425</v>
      </c>
      <c r="AU61" s="83">
        <f>SUM(AN48:AN61)</f>
        <v>-21.019219999999336</v>
      </c>
      <c r="AV61" s="83">
        <f>SUM(AO48:AO61)</f>
        <v>26.092041000001473</v>
      </c>
      <c r="AW61" s="83">
        <f>-SUM(AQ48:AQ61)</f>
        <v>2286.0853156631947</v>
      </c>
    </row>
    <row r="62" spans="1:49" x14ac:dyDescent="0.25">
      <c r="A62" t="str">
        <f t="shared" si="13"/>
        <v>46233M</v>
      </c>
      <c r="B62" s="51">
        <f t="shared" si="27"/>
        <v>46233</v>
      </c>
      <c r="C62" s="52" t="s">
        <v>87</v>
      </c>
      <c r="D62" s="91">
        <v>8289</v>
      </c>
      <c r="E62" s="62">
        <v>5.4</v>
      </c>
      <c r="F62" s="62">
        <v>8.4</v>
      </c>
      <c r="G62" s="62">
        <f t="shared" si="55"/>
        <v>447.60600000000005</v>
      </c>
      <c r="H62" s="72">
        <f t="shared" si="56"/>
        <v>696.27600000000007</v>
      </c>
      <c r="I62" s="122">
        <v>3154.3</v>
      </c>
      <c r="J62" s="119">
        <v>3248.9290000000001</v>
      </c>
      <c r="K62" s="120">
        <v>4.8702913483181707</v>
      </c>
      <c r="L62" s="121">
        <v>8.2802745458580329</v>
      </c>
      <c r="M62" s="58">
        <v>0</v>
      </c>
      <c r="N62" s="58">
        <v>0</v>
      </c>
      <c r="O62" s="59">
        <v>0</v>
      </c>
      <c r="P62" s="56">
        <v>0</v>
      </c>
      <c r="Q62" s="60">
        <v>0</v>
      </c>
      <c r="R62" s="61">
        <f t="shared" si="58"/>
        <v>3248.9290000000001</v>
      </c>
      <c r="S62" s="62">
        <f t="shared" si="59"/>
        <v>158.23230800000005</v>
      </c>
      <c r="T62" s="63">
        <f t="shared" si="60"/>
        <v>269.02024099999994</v>
      </c>
      <c r="U62" s="64" t="s">
        <v>180</v>
      </c>
      <c r="V62" s="65" t="s">
        <v>167</v>
      </c>
      <c r="W62" s="66">
        <v>0</v>
      </c>
      <c r="X62" s="67">
        <v>0</v>
      </c>
      <c r="Y62" s="68">
        <v>0</v>
      </c>
      <c r="Z62" s="68">
        <v>0</v>
      </c>
      <c r="AA62" s="62">
        <f t="shared" si="61"/>
        <v>0</v>
      </c>
      <c r="AB62" s="63">
        <f t="shared" si="62"/>
        <v>0</v>
      </c>
      <c r="AC62" s="69"/>
      <c r="AD62" s="70"/>
      <c r="AE62" s="70"/>
      <c r="AF62" s="62">
        <f t="shared" si="63"/>
        <v>0</v>
      </c>
      <c r="AG62" s="63">
        <f t="shared" si="20"/>
        <v>0</v>
      </c>
      <c r="AH62" s="89">
        <v>11538</v>
      </c>
      <c r="AI62" s="66">
        <v>5.4</v>
      </c>
      <c r="AJ62" s="66">
        <v>8.4</v>
      </c>
      <c r="AK62" s="62">
        <f t="shared" si="64"/>
        <v>623.05200000000002</v>
      </c>
      <c r="AL62" s="72">
        <f t="shared" si="34"/>
        <v>969.19200000000001</v>
      </c>
      <c r="AM62" s="73">
        <f t="shared" si="65"/>
        <v>-7.0999999999912689E-2</v>
      </c>
      <c r="AN62" s="80">
        <f t="shared" si="66"/>
        <v>-17.213691999999924</v>
      </c>
      <c r="AO62" s="80">
        <f t="shared" si="67"/>
        <v>-3.8957589999999982</v>
      </c>
      <c r="AP62" s="75">
        <f t="shared" si="68"/>
        <v>-4.9407431387846264E-2</v>
      </c>
      <c r="AQ62" s="76">
        <f t="shared" si="69"/>
        <v>-9438.4843886092058</v>
      </c>
      <c r="AR62" s="90">
        <f t="shared" si="32"/>
        <v>-7.0999999999912689E-2</v>
      </c>
    </row>
    <row r="63" spans="1:49" x14ac:dyDescent="0.25">
      <c r="A63" t="str">
        <f t="shared" si="13"/>
        <v>46233E</v>
      </c>
      <c r="B63" s="51">
        <f t="shared" si="27"/>
        <v>46233</v>
      </c>
      <c r="C63" s="52" t="s">
        <v>88</v>
      </c>
      <c r="D63" s="91">
        <v>11538</v>
      </c>
      <c r="E63" s="62">
        <v>5.4</v>
      </c>
      <c r="F63" s="62">
        <v>8.4</v>
      </c>
      <c r="G63" s="62">
        <f t="shared" si="55"/>
        <v>623.05200000000002</v>
      </c>
      <c r="H63" s="72">
        <f t="shared" si="56"/>
        <v>969.19200000000001</v>
      </c>
      <c r="I63" s="122">
        <v>4541.9000000000005</v>
      </c>
      <c r="J63" s="119">
        <v>4678.1570000000011</v>
      </c>
      <c r="K63" s="120">
        <v>4.378603668068429</v>
      </c>
      <c r="L63" s="121">
        <v>8.2674695611968545</v>
      </c>
      <c r="M63" s="58" t="s">
        <v>962</v>
      </c>
      <c r="N63" s="58">
        <v>62048</v>
      </c>
      <c r="O63" s="59">
        <v>4350</v>
      </c>
      <c r="P63" s="56">
        <v>5.15</v>
      </c>
      <c r="Q63" s="60">
        <v>8.39</v>
      </c>
      <c r="R63" s="61">
        <f t="shared" si="58"/>
        <v>9028.1570000000011</v>
      </c>
      <c r="S63" s="62">
        <f t="shared" si="59"/>
        <v>428.862954</v>
      </c>
      <c r="T63" s="63">
        <f t="shared" si="60"/>
        <v>751.73020600000007</v>
      </c>
      <c r="U63" s="64" t="s">
        <v>167</v>
      </c>
      <c r="V63" s="65" t="s">
        <v>167</v>
      </c>
      <c r="W63" s="66">
        <v>0</v>
      </c>
      <c r="X63" s="67">
        <v>0</v>
      </c>
      <c r="Y63" s="68">
        <v>0</v>
      </c>
      <c r="Z63" s="68">
        <v>0</v>
      </c>
      <c r="AA63" s="62">
        <f t="shared" si="61"/>
        <v>0</v>
      </c>
      <c r="AB63" s="63">
        <f t="shared" si="62"/>
        <v>0</v>
      </c>
      <c r="AC63" s="69"/>
      <c r="AD63" s="70"/>
      <c r="AE63" s="70"/>
      <c r="AF63" s="62">
        <f t="shared" si="63"/>
        <v>0</v>
      </c>
      <c r="AG63" s="63">
        <f t="shared" si="20"/>
        <v>0</v>
      </c>
      <c r="AH63" s="89">
        <v>20566</v>
      </c>
      <c r="AI63" s="66">
        <v>5.4</v>
      </c>
      <c r="AJ63" s="66">
        <v>8.4</v>
      </c>
      <c r="AK63" s="62">
        <f t="shared" si="64"/>
        <v>1110.5640000000001</v>
      </c>
      <c r="AL63" s="72">
        <f t="shared" si="34"/>
        <v>1727.5440000000001</v>
      </c>
      <c r="AM63" s="73">
        <f t="shared" si="65"/>
        <v>0.1569999999992433</v>
      </c>
      <c r="AN63" s="80">
        <f t="shared" si="66"/>
        <v>-58.649045999999998</v>
      </c>
      <c r="AO63" s="80">
        <f t="shared" si="67"/>
        <v>-6.6217939999999089</v>
      </c>
      <c r="AP63" s="75">
        <f t="shared" si="68"/>
        <v>-5.5286479891175973E-2</v>
      </c>
      <c r="AQ63" s="76">
        <f t="shared" si="69"/>
        <v>-30165.943772220577</v>
      </c>
      <c r="AR63" s="90">
        <f t="shared" si="32"/>
        <v>0.1569999999992433</v>
      </c>
    </row>
    <row r="64" spans="1:49" x14ac:dyDescent="0.25">
      <c r="A64" t="str">
        <f t="shared" si="13"/>
        <v>46234M</v>
      </c>
      <c r="B64" s="51">
        <f t="shared" si="27"/>
        <v>46234</v>
      </c>
      <c r="C64" s="52" t="s">
        <v>87</v>
      </c>
      <c r="D64" s="91"/>
      <c r="E64" s="62"/>
      <c r="F64" s="62"/>
      <c r="G64" s="62">
        <f t="shared" si="55"/>
        <v>0</v>
      </c>
      <c r="H64" s="72">
        <f t="shared" si="56"/>
        <v>0</v>
      </c>
      <c r="I64" s="122"/>
      <c r="J64" s="119"/>
      <c r="K64" s="120"/>
      <c r="L64" s="120"/>
      <c r="M64" s="58"/>
      <c r="N64" s="58"/>
      <c r="O64" s="59"/>
      <c r="P64" s="56"/>
      <c r="Q64" s="60"/>
      <c r="R64" s="61">
        <f t="shared" si="58"/>
        <v>0</v>
      </c>
      <c r="S64" s="62">
        <f t="shared" si="59"/>
        <v>0</v>
      </c>
      <c r="T64" s="63">
        <f t="shared" si="60"/>
        <v>0</v>
      </c>
      <c r="U64" s="64"/>
      <c r="V64" s="65"/>
      <c r="W64" s="66"/>
      <c r="X64" s="67"/>
      <c r="Y64" s="68"/>
      <c r="Z64" s="68"/>
      <c r="AA64" s="62">
        <f t="shared" si="61"/>
        <v>0</v>
      </c>
      <c r="AB64" s="63">
        <f t="shared" si="62"/>
        <v>0</v>
      </c>
      <c r="AC64" s="69"/>
      <c r="AD64" s="70"/>
      <c r="AE64" s="70"/>
      <c r="AF64" s="62">
        <f t="shared" si="63"/>
        <v>0</v>
      </c>
      <c r="AG64" s="63">
        <f t="shared" si="20"/>
        <v>0</v>
      </c>
      <c r="AH64" s="89"/>
      <c r="AI64" s="66"/>
      <c r="AJ64" s="66"/>
      <c r="AK64" s="62">
        <f t="shared" si="64"/>
        <v>0</v>
      </c>
      <c r="AL64" s="72">
        <f t="shared" si="34"/>
        <v>0</v>
      </c>
      <c r="AM64" s="73">
        <f t="shared" si="65"/>
        <v>0</v>
      </c>
      <c r="AN64" s="80">
        <f t="shared" si="66"/>
        <v>0</v>
      </c>
      <c r="AO64" s="80">
        <f t="shared" si="67"/>
        <v>0</v>
      </c>
      <c r="AP64" s="75" t="e">
        <f t="shared" si="68"/>
        <v>#DIV/0!</v>
      </c>
      <c r="AQ64" s="76">
        <f t="shared" si="69"/>
        <v>0</v>
      </c>
      <c r="AR64" s="90">
        <f t="shared" si="32"/>
        <v>0</v>
      </c>
    </row>
    <row r="65" spans="1:49" x14ac:dyDescent="0.25">
      <c r="A65" t="str">
        <f t="shared" si="13"/>
        <v>46234E</v>
      </c>
      <c r="B65" s="51">
        <f t="shared" si="27"/>
        <v>46234</v>
      </c>
      <c r="C65" s="52" t="s">
        <v>88</v>
      </c>
      <c r="D65" s="91"/>
      <c r="E65" s="62"/>
      <c r="F65" s="62"/>
      <c r="G65" s="62">
        <f t="shared" si="55"/>
        <v>0</v>
      </c>
      <c r="H65" s="72">
        <f t="shared" si="56"/>
        <v>0</v>
      </c>
      <c r="I65" s="122"/>
      <c r="J65" s="119"/>
      <c r="K65" s="120"/>
      <c r="L65" s="120"/>
      <c r="M65" s="58"/>
      <c r="N65" s="58"/>
      <c r="O65" s="59"/>
      <c r="P65" s="56"/>
      <c r="Q65" s="60"/>
      <c r="R65" s="61">
        <f t="shared" si="58"/>
        <v>0</v>
      </c>
      <c r="S65" s="62">
        <f t="shared" si="59"/>
        <v>0</v>
      </c>
      <c r="T65" s="63">
        <f t="shared" si="60"/>
        <v>0</v>
      </c>
      <c r="U65" s="64"/>
      <c r="V65" s="65"/>
      <c r="W65" s="66"/>
      <c r="X65" s="67"/>
      <c r="Y65" s="68"/>
      <c r="Z65" s="68"/>
      <c r="AA65" s="62">
        <f t="shared" si="61"/>
        <v>0</v>
      </c>
      <c r="AB65" s="63">
        <f t="shared" si="62"/>
        <v>0</v>
      </c>
      <c r="AC65" s="69"/>
      <c r="AD65" s="70"/>
      <c r="AE65" s="70"/>
      <c r="AF65" s="62">
        <f t="shared" si="63"/>
        <v>0</v>
      </c>
      <c r="AG65" s="63">
        <f t="shared" si="20"/>
        <v>0</v>
      </c>
      <c r="AH65" s="89"/>
      <c r="AI65" s="66"/>
      <c r="AJ65" s="66"/>
      <c r="AK65" s="62">
        <f t="shared" si="64"/>
        <v>0</v>
      </c>
      <c r="AL65" s="72">
        <f t="shared" si="34"/>
        <v>0</v>
      </c>
      <c r="AM65" s="73">
        <f t="shared" si="65"/>
        <v>0</v>
      </c>
      <c r="AN65" s="80">
        <f t="shared" si="66"/>
        <v>0</v>
      </c>
      <c r="AO65" s="80">
        <f t="shared" si="67"/>
        <v>0</v>
      </c>
      <c r="AP65" s="75" t="e">
        <f t="shared" si="68"/>
        <v>#DIV/0!</v>
      </c>
      <c r="AQ65" s="76">
        <f t="shared" si="69"/>
        <v>0</v>
      </c>
      <c r="AR65" s="90">
        <f t="shared" si="32"/>
        <v>0</v>
      </c>
      <c r="AS65" s="90">
        <f>SUM(J52:J65)</f>
        <v>52687.178000000007</v>
      </c>
      <c r="AT65" s="83">
        <f>SUM(AM52:AM65)</f>
        <v>226.1780000000108</v>
      </c>
      <c r="AU65" s="83">
        <f>SUM(AN52:AN65)</f>
        <v>-17.366803999999092</v>
      </c>
      <c r="AV65" s="83">
        <f>SUM(AO52:AO65)</f>
        <v>14.415277000001424</v>
      </c>
      <c r="AW65" s="83">
        <f>-SUM(AQ52:AQ65)</f>
        <v>4028.0674200568901</v>
      </c>
    </row>
    <row r="66" spans="1:49" x14ac:dyDescent="0.25">
      <c r="J66" s="83">
        <f>SUM(J4:J65)</f>
        <v>260232.38399999999</v>
      </c>
      <c r="AM66" s="83">
        <f>-SUM(AM4:AM65)</f>
        <v>-1686.3840000000146</v>
      </c>
      <c r="AN66" s="83">
        <f t="shared" ref="AN66:AO66" si="70">-SUM(AN4:AN65)</f>
        <v>81.637382999998181</v>
      </c>
      <c r="AO66" s="83">
        <f t="shared" si="70"/>
        <v>-130.12737200000311</v>
      </c>
      <c r="AQ66" s="83">
        <f>-SUM(AQ4:AQ65)</f>
        <v>257.43008288000419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2" operator="lessThan">
      <formula>0.1</formula>
    </cfRule>
    <cfRule type="cellIs" dxfId="3" priority="3" operator="greaterThan">
      <formula>0.1</formula>
    </cfRule>
  </conditionalFormatting>
  <conditionalFormatting sqref="AP1:AQ1">
    <cfRule type="cellIs" dxfId="2" priority="1" operator="lessThan">
      <formula>1</formula>
    </cfRule>
  </conditionalFormatting>
  <conditionalFormatting sqref="AQ4:AQ65">
    <cfRule type="cellIs" dxfId="1" priority="12" operator="less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Sumarry</vt:lpstr>
      <vt:lpstr>Manjhaul</vt:lpstr>
      <vt:lpstr>Hasanpur</vt:lpstr>
      <vt:lpstr>Singhia </vt:lpstr>
      <vt:lpstr>Sahibpur Kamal</vt:lpstr>
      <vt:lpstr>Matihani</vt:lpstr>
      <vt:lpstr>Bachhwara</vt:lpstr>
      <vt:lpstr>Alauli</vt:lpstr>
      <vt:lpstr>Dalsingsarai</vt:lpstr>
      <vt:lpstr>Musrigharari</vt:lpstr>
      <vt:lpstr>Mahua</vt:lpstr>
      <vt:lpstr>Warisnagar</vt:lpstr>
      <vt:lpstr>Rosera</vt:lpstr>
      <vt:lpstr>Kalyanpur</vt:lpstr>
      <vt:lpstr>Gaighat</vt:lpstr>
      <vt:lpstr>Buxar</vt:lpstr>
      <vt:lpstr>Asarganj</vt:lpstr>
      <vt:lpstr>Laldiyara</vt:lpstr>
      <vt:lpstr>Parbatta</vt:lpstr>
      <vt:lpstr>Gopalpur</vt:lpstr>
      <vt:lpstr>Sonvarsha</vt:lpstr>
      <vt:lpstr>Madhatpur</vt:lpstr>
      <vt:lpstr>Araiya</vt:lpstr>
      <vt:lpstr>Chautham</vt:lpstr>
      <vt:lpstr>Teghra</vt:lpstr>
      <vt:lpstr>Halsi</vt:lpstr>
      <vt:lpstr>Sumarry!Print_Area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dcterms:created xsi:type="dcterms:W3CDTF">2015-06-05T18:17:20Z</dcterms:created>
  <dcterms:modified xsi:type="dcterms:W3CDTF">2026-08-02T14:07:44Z</dcterms:modified>
</cp:coreProperties>
</file>