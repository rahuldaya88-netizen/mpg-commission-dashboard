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Sheet1!$B$2:$K$2092</definedName>
  </definedNames>
  <calcPr calcId="162913"/>
  <pivotCaches>
    <pivotCache cacheId="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113" i="1" l="1"/>
  <c r="AB2097" i="1"/>
  <c r="AB2109" i="1"/>
  <c r="AB2117" i="1"/>
  <c r="AB2101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2" i="1"/>
  <c r="K2091" i="1"/>
  <c r="I2092" i="1"/>
  <c r="AB2124" i="1"/>
  <c r="AB2123" i="1"/>
  <c r="AB2122" i="1"/>
  <c r="AB2121" i="1"/>
  <c r="AB2120" i="1"/>
  <c r="AB2119" i="1"/>
  <c r="AB2118" i="1"/>
  <c r="AB2116" i="1"/>
  <c r="AB2115" i="1"/>
  <c r="AB2114" i="1"/>
  <c r="AB2112" i="1"/>
  <c r="AB2111" i="1"/>
  <c r="AB2110" i="1"/>
  <c r="AB2108" i="1"/>
  <c r="AB2107" i="1"/>
  <c r="AB2106" i="1"/>
  <c r="AB2105" i="1"/>
  <c r="AB2104" i="1"/>
  <c r="AB2103" i="1"/>
  <c r="AB2102" i="1"/>
  <c r="AB2100" i="1"/>
  <c r="AB2099" i="1"/>
  <c r="AB2098" i="1"/>
  <c r="AB2096" i="1"/>
  <c r="AB2095" i="1"/>
  <c r="AB2091" i="1" l="1"/>
  <c r="AB2092" i="1"/>
  <c r="AB2126" i="1" s="1"/>
  <c r="AB2125" i="1"/>
  <c r="AA2109" i="1"/>
  <c r="AA2116" i="1"/>
  <c r="AA2117" i="1"/>
  <c r="AA2118" i="1"/>
  <c r="AA2108" i="1"/>
  <c r="AA2106" i="1"/>
  <c r="AA2114" i="1"/>
  <c r="AA2098" i="1"/>
  <c r="AA2101" i="1"/>
  <c r="AA2112" i="1"/>
  <c r="AA2110" i="1"/>
  <c r="AA2124" i="1"/>
  <c r="AA2123" i="1"/>
  <c r="AA2122" i="1"/>
  <c r="AA2121" i="1"/>
  <c r="AA2120" i="1"/>
  <c r="AA2119" i="1"/>
  <c r="AA2115" i="1"/>
  <c r="AA2113" i="1"/>
  <c r="AA2111" i="1"/>
  <c r="AA2107" i="1"/>
  <c r="AA2105" i="1"/>
  <c r="AA2104" i="1"/>
  <c r="AA2103" i="1"/>
  <c r="AA2102" i="1"/>
  <c r="AA2100" i="1"/>
  <c r="AA2099" i="1"/>
  <c r="AA2097" i="1"/>
  <c r="AA2096" i="1"/>
  <c r="AA2095" i="1"/>
  <c r="AB2127" i="1" l="1"/>
  <c r="AA2126" i="1"/>
  <c r="AA2125" i="1"/>
  <c r="Z2113" i="1"/>
  <c r="Z2097" i="1"/>
  <c r="Z2111" i="1"/>
  <c r="Z2109" i="1"/>
  <c r="Z2116" i="1"/>
  <c r="Z2103" i="1"/>
  <c r="Z2117" i="1"/>
  <c r="Z2108" i="1"/>
  <c r="Z2101" i="1"/>
  <c r="Z2112" i="1"/>
  <c r="Z2126" i="1"/>
  <c r="Z2124" i="1"/>
  <c r="Z2123" i="1"/>
  <c r="Z2122" i="1"/>
  <c r="Z2121" i="1"/>
  <c r="Z2120" i="1"/>
  <c r="Z2119" i="1"/>
  <c r="Z2118" i="1"/>
  <c r="Z2115" i="1"/>
  <c r="Z2114" i="1"/>
  <c r="Z2110" i="1"/>
  <c r="Z2107" i="1"/>
  <c r="Z2106" i="1"/>
  <c r="Z2105" i="1"/>
  <c r="Z2104" i="1"/>
  <c r="Z2102" i="1"/>
  <c r="Z2100" i="1"/>
  <c r="Z2099" i="1"/>
  <c r="Z2098" i="1"/>
  <c r="Z2096" i="1"/>
  <c r="Z2095" i="1"/>
  <c r="AA2127" i="1" l="1"/>
  <c r="Z2125" i="1"/>
  <c r="Y2108" i="1"/>
  <c r="Y2106" i="1"/>
  <c r="Y2114" i="1"/>
  <c r="Y2098" i="1"/>
  <c r="Y2112" i="1"/>
  <c r="Y2110" i="1"/>
  <c r="Y2124" i="1"/>
  <c r="Y2123" i="1"/>
  <c r="Y2122" i="1"/>
  <c r="Y2121" i="1"/>
  <c r="Y2120" i="1"/>
  <c r="Y2119" i="1"/>
  <c r="Y2118" i="1"/>
  <c r="Y2117" i="1"/>
  <c r="Y2116" i="1"/>
  <c r="Y2115" i="1"/>
  <c r="Y2113" i="1"/>
  <c r="Y2111" i="1"/>
  <c r="Y2109" i="1"/>
  <c r="Y2107" i="1"/>
  <c r="Y2105" i="1"/>
  <c r="Y2104" i="1"/>
  <c r="Y2103" i="1"/>
  <c r="Y2102" i="1"/>
  <c r="Y2101" i="1"/>
  <c r="Y2100" i="1"/>
  <c r="Y2099" i="1"/>
  <c r="Y2097" i="1"/>
  <c r="Y2096" i="1"/>
  <c r="Y2095" i="1"/>
  <c r="Z2127" i="1" l="1"/>
  <c r="Y2126" i="1"/>
  <c r="Y2125" i="1"/>
  <c r="Y2127" i="1" s="1"/>
  <c r="X2096" i="1" l="1"/>
  <c r="X2124" i="1" l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5" i="1"/>
  <c r="X2126" i="1"/>
  <c r="X2125" i="1" l="1"/>
  <c r="X2127" i="1" s="1"/>
  <c r="W2124" i="1" l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126" i="1"/>
  <c r="W2125" i="1" l="1"/>
  <c r="W2127" i="1" s="1"/>
  <c r="L2096" i="1" l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2" i="1"/>
  <c r="K2123" i="1"/>
  <c r="V2121" i="1"/>
  <c r="V2124" i="1"/>
  <c r="V2123" i="1"/>
  <c r="V2122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126" i="1"/>
  <c r="V2125" i="1" l="1"/>
  <c r="V2127" i="1" s="1"/>
  <c r="U2118" i="1"/>
  <c r="T2118" i="1"/>
  <c r="S2118" i="1"/>
  <c r="R2118" i="1"/>
  <c r="Q2118" i="1"/>
  <c r="P2118" i="1"/>
  <c r="O2118" i="1"/>
  <c r="U2124" i="1" l="1"/>
  <c r="U2123" i="1"/>
  <c r="U2122" i="1"/>
  <c r="U2120" i="1"/>
  <c r="U2119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126" i="1"/>
  <c r="U2125" i="1" l="1"/>
  <c r="U2127" i="1" s="1"/>
  <c r="T2120" i="1"/>
  <c r="T2104" i="1"/>
  <c r="T2107" i="1"/>
  <c r="T2096" i="1"/>
  <c r="T2111" i="1"/>
  <c r="T2116" i="1"/>
  <c r="T2103" i="1"/>
  <c r="T2108" i="1"/>
  <c r="T2106" i="1"/>
  <c r="T2114" i="1"/>
  <c r="T2098" i="1"/>
  <c r="T2112" i="1"/>
  <c r="T2110" i="1"/>
  <c r="T2124" i="1"/>
  <c r="T2123" i="1"/>
  <c r="T2122" i="1"/>
  <c r="T2119" i="1"/>
  <c r="T2117" i="1"/>
  <c r="T2115" i="1"/>
  <c r="T2113" i="1"/>
  <c r="T2109" i="1"/>
  <c r="T2105" i="1"/>
  <c r="T2102" i="1"/>
  <c r="T2101" i="1"/>
  <c r="T2100" i="1"/>
  <c r="T2099" i="1"/>
  <c r="T2097" i="1"/>
  <c r="T2095" i="1"/>
  <c r="T2126" i="1" l="1"/>
  <c r="T2125" i="1"/>
  <c r="S2126" i="1"/>
  <c r="S2105" i="1"/>
  <c r="S2113" i="1"/>
  <c r="S2096" i="1"/>
  <c r="S2097" i="1"/>
  <c r="S2109" i="1"/>
  <c r="S2116" i="1"/>
  <c r="S2117" i="1"/>
  <c r="S2108" i="1"/>
  <c r="S2106" i="1"/>
  <c r="S2114" i="1"/>
  <c r="S2098" i="1"/>
  <c r="S2101" i="1"/>
  <c r="S2112" i="1"/>
  <c r="S2110" i="1"/>
  <c r="S2124" i="1"/>
  <c r="S2123" i="1"/>
  <c r="S2122" i="1"/>
  <c r="S2120" i="1"/>
  <c r="S2119" i="1"/>
  <c r="S2115" i="1"/>
  <c r="S2111" i="1"/>
  <c r="S2107" i="1"/>
  <c r="S2104" i="1"/>
  <c r="S2103" i="1"/>
  <c r="S2102" i="1"/>
  <c r="S2100" i="1"/>
  <c r="S2099" i="1"/>
  <c r="S2095" i="1"/>
  <c r="T2127" i="1" l="1"/>
  <c r="S2125" i="1"/>
  <c r="R2116" i="1"/>
  <c r="R2103" i="1"/>
  <c r="R2098" i="1"/>
  <c r="R2101" i="1"/>
  <c r="R2112" i="1"/>
  <c r="R2124" i="1"/>
  <c r="R2123" i="1"/>
  <c r="R2122" i="1"/>
  <c r="R2120" i="1"/>
  <c r="R2119" i="1"/>
  <c r="R2117" i="1"/>
  <c r="R2115" i="1"/>
  <c r="R2114" i="1"/>
  <c r="R2113" i="1"/>
  <c r="R2111" i="1"/>
  <c r="R2109" i="1"/>
  <c r="R2108" i="1"/>
  <c r="R2107" i="1"/>
  <c r="R2106" i="1"/>
  <c r="R2105" i="1"/>
  <c r="R2104" i="1"/>
  <c r="R2102" i="1"/>
  <c r="R2100" i="1"/>
  <c r="R2099" i="1"/>
  <c r="R2097" i="1"/>
  <c r="R2096" i="1"/>
  <c r="R2095" i="1"/>
  <c r="S2127" i="1" l="1"/>
  <c r="R2126" i="1"/>
  <c r="R2110" i="1"/>
  <c r="R2125" i="1" s="1"/>
  <c r="R2127" i="1" s="1"/>
  <c r="Q2126" i="1"/>
  <c r="Q2103" i="1"/>
  <c r="Q2106" i="1"/>
  <c r="Q2114" i="1"/>
  <c r="Q2098" i="1"/>
  <c r="Q2110" i="1"/>
  <c r="K2126" i="1"/>
  <c r="Q2124" i="1"/>
  <c r="Q2123" i="1"/>
  <c r="Q2122" i="1"/>
  <c r="Q2120" i="1"/>
  <c r="Q2119" i="1"/>
  <c r="Q2117" i="1"/>
  <c r="Q2116" i="1"/>
  <c r="Q2115" i="1"/>
  <c r="Q2113" i="1"/>
  <c r="Q2112" i="1"/>
  <c r="Q2111" i="1"/>
  <c r="Q2109" i="1"/>
  <c r="Q2108" i="1"/>
  <c r="Q2107" i="1"/>
  <c r="Q2105" i="1"/>
  <c r="Q2104" i="1"/>
  <c r="Q2102" i="1"/>
  <c r="Q2101" i="1"/>
  <c r="Q2100" i="1"/>
  <c r="Q2099" i="1"/>
  <c r="Q2097" i="1"/>
  <c r="Q2096" i="1"/>
  <c r="Q2095" i="1"/>
  <c r="Q2125" i="1" l="1"/>
  <c r="P2100" i="1"/>
  <c r="P2105" i="1"/>
  <c r="P2120" i="1"/>
  <c r="P2104" i="1"/>
  <c r="P2113" i="1"/>
  <c r="P2096" i="1"/>
  <c r="P2097" i="1"/>
  <c r="P2109" i="1"/>
  <c r="P2116" i="1"/>
  <c r="P2117" i="1"/>
  <c r="P2108" i="1"/>
  <c r="P2106" i="1"/>
  <c r="P2114" i="1"/>
  <c r="P2098" i="1"/>
  <c r="P2101" i="1"/>
  <c r="P2112" i="1"/>
  <c r="P2110" i="1"/>
  <c r="P2126" i="1"/>
  <c r="O2126" i="1"/>
  <c r="N2126" i="1"/>
  <c r="M2126" i="1"/>
  <c r="L2126" i="1"/>
  <c r="P2123" i="1"/>
  <c r="P2122" i="1"/>
  <c r="P2119" i="1"/>
  <c r="P2115" i="1"/>
  <c r="P2111" i="1"/>
  <c r="P2107" i="1"/>
  <c r="P2103" i="1"/>
  <c r="P2102" i="1"/>
  <c r="P2099" i="1"/>
  <c r="P2095" i="1"/>
  <c r="Q2127" i="1" l="1"/>
  <c r="P2125" i="1"/>
  <c r="O2107" i="1"/>
  <c r="O2111" i="1"/>
  <c r="O2109" i="1"/>
  <c r="O2103" i="1"/>
  <c r="O2117" i="1"/>
  <c r="O2106" i="1"/>
  <c r="O2114" i="1"/>
  <c r="O2098" i="1"/>
  <c r="O2101" i="1"/>
  <c r="O2110" i="1"/>
  <c r="O2123" i="1"/>
  <c r="O2122" i="1"/>
  <c r="O2120" i="1"/>
  <c r="O2119" i="1"/>
  <c r="O2116" i="1"/>
  <c r="O2115" i="1"/>
  <c r="O2113" i="1"/>
  <c r="O2112" i="1"/>
  <c r="O2108" i="1"/>
  <c r="O2105" i="1"/>
  <c r="O2104" i="1"/>
  <c r="O2102" i="1"/>
  <c r="O2100" i="1"/>
  <c r="O2099" i="1"/>
  <c r="O2097" i="1"/>
  <c r="O2096" i="1"/>
  <c r="O2095" i="1"/>
  <c r="O2125" i="1" l="1"/>
  <c r="O2127" i="1" s="1"/>
  <c r="P2127" i="1"/>
  <c r="N2107" i="1"/>
  <c r="N2113" i="1"/>
  <c r="N2096" i="1"/>
  <c r="N2097" i="1"/>
  <c r="N2111" i="1"/>
  <c r="N2109" i="1"/>
  <c r="N2103" i="1"/>
  <c r="N2117" i="1"/>
  <c r="N2106" i="1"/>
  <c r="N2114" i="1"/>
  <c r="N2098" i="1"/>
  <c r="N2101" i="1"/>
  <c r="N2110" i="1"/>
  <c r="N2123" i="1"/>
  <c r="N2122" i="1"/>
  <c r="N2120" i="1"/>
  <c r="N2119" i="1"/>
  <c r="N2118" i="1"/>
  <c r="N2116" i="1"/>
  <c r="N2115" i="1"/>
  <c r="N2112" i="1"/>
  <c r="N2108" i="1"/>
  <c r="N2105" i="1"/>
  <c r="N2104" i="1"/>
  <c r="N2102" i="1"/>
  <c r="N2100" i="1"/>
  <c r="N2099" i="1"/>
  <c r="N2095" i="1"/>
  <c r="N2125" i="1" l="1"/>
  <c r="M2100" i="1"/>
  <c r="M2105" i="1"/>
  <c r="M2120" i="1"/>
  <c r="M2104" i="1"/>
  <c r="M2113" i="1"/>
  <c r="M2096" i="1"/>
  <c r="M2097" i="1"/>
  <c r="M2111" i="1"/>
  <c r="M2109" i="1"/>
  <c r="M2116" i="1"/>
  <c r="M2103" i="1"/>
  <c r="M2117" i="1"/>
  <c r="M2108" i="1"/>
  <c r="M2101" i="1"/>
  <c r="M2112" i="1"/>
  <c r="M2123" i="1"/>
  <c r="M2122" i="1"/>
  <c r="M2119" i="1"/>
  <c r="M2118" i="1"/>
  <c r="M2115" i="1"/>
  <c r="M2114" i="1"/>
  <c r="M2110" i="1"/>
  <c r="M2107" i="1"/>
  <c r="M2106" i="1"/>
  <c r="M2102" i="1"/>
  <c r="M2099" i="1"/>
  <c r="M2098" i="1"/>
  <c r="M2095" i="1"/>
  <c r="M2125" i="1" l="1"/>
  <c r="N2127" i="1"/>
  <c r="M2127" i="1" l="1"/>
  <c r="L2123" i="1"/>
  <c r="L2122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5" i="1"/>
  <c r="L2125" i="1" l="1"/>
  <c r="L2127" i="1" s="1"/>
  <c r="K2095" i="1" l="1"/>
  <c r="K2125" i="1" l="1"/>
  <c r="K2127" i="1" s="1"/>
</calcChain>
</file>

<file path=xl/sharedStrings.xml><?xml version="1.0" encoding="utf-8"?>
<sst xmlns="http://schemas.openxmlformats.org/spreadsheetml/2006/main" count="10946" uniqueCount="2281">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</sst>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127"/>
  <sheetViews>
    <sheetView showGridLines="0" tabSelected="1" zoomScale="90" zoomScaleNormal="90" workbookViewId="0">
      <pane xSplit="8" ySplit="2" topLeftCell="Q2069" activePane="bottomRight" state="frozen"/>
      <selection pane="topRight" activeCell="D1" sqref="D1"/>
      <selection pane="bottomLeft" activeCell="A3" sqref="A3"/>
      <selection pane="bottomRight" activeCell="AB3" sqref="AB3:AB2090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16384" width="9.140625" style="2"/>
  </cols>
  <sheetData>
    <row r="1" spans="2:28" x14ac:dyDescent="0.2">
      <c r="F1" s="39"/>
      <c r="G1" s="39"/>
    </row>
    <row r="2" spans="2:28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</row>
    <row r="3" spans="2:28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2:28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</row>
    <row r="5" spans="2:28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</row>
    <row r="6" spans="2:28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</row>
    <row r="7" spans="2:28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</row>
    <row r="8" spans="2:28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</row>
    <row r="9" spans="2:28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</row>
    <row r="10" spans="2:28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</row>
    <row r="11" spans="2:28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  <c r="W11" s="7">
        <v>146.1</v>
      </c>
      <c r="X11" s="7">
        <v>132.5</v>
      </c>
      <c r="Y11" s="7">
        <v>121.3</v>
      </c>
      <c r="Z11" s="7">
        <v>124.5</v>
      </c>
      <c r="AA11" s="7">
        <v>137.1</v>
      </c>
      <c r="AB11" s="7">
        <v>127.2</v>
      </c>
    </row>
    <row r="12" spans="2:28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  <c r="W12" s="7">
        <v>35.299999999999997</v>
      </c>
      <c r="X12" s="7">
        <v>38.1</v>
      </c>
      <c r="Y12" s="7">
        <v>34.5</v>
      </c>
      <c r="Z12" s="7">
        <v>25.6</v>
      </c>
      <c r="AA12" s="7">
        <v>27.8</v>
      </c>
      <c r="AB12" s="7">
        <v>23.4</v>
      </c>
    </row>
    <row r="13" spans="2:28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  <c r="W13" s="7">
        <v>109.9</v>
      </c>
      <c r="X13" s="7">
        <v>105.5</v>
      </c>
      <c r="Y13" s="7">
        <v>112.2</v>
      </c>
      <c r="Z13" s="7">
        <v>104.3</v>
      </c>
      <c r="AA13" s="7">
        <v>95.8</v>
      </c>
      <c r="AB13" s="7">
        <v>105.5</v>
      </c>
    </row>
    <row r="14" spans="2:28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</row>
    <row r="15" spans="2:28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  <c r="W15" s="7">
        <v>143.1</v>
      </c>
      <c r="X15" s="7">
        <v>121.3</v>
      </c>
      <c r="Y15" s="7">
        <v>109.3</v>
      </c>
      <c r="Z15" s="7">
        <v>108.5</v>
      </c>
      <c r="AA15" s="7">
        <v>96.1</v>
      </c>
      <c r="AB15" s="7">
        <v>110.6</v>
      </c>
    </row>
    <row r="16" spans="2:28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  <c r="W16" s="7">
        <v>360.9</v>
      </c>
      <c r="X16" s="7">
        <v>357.7</v>
      </c>
      <c r="Y16" s="7">
        <v>376.7</v>
      </c>
      <c r="Z16" s="7">
        <v>412</v>
      </c>
      <c r="AA16" s="7">
        <v>383.1</v>
      </c>
      <c r="AB16" s="7">
        <v>512.6</v>
      </c>
    </row>
    <row r="17" spans="2:28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  <c r="W17" s="7">
        <v>512.4</v>
      </c>
      <c r="X17" s="7">
        <v>493.2</v>
      </c>
      <c r="Y17" s="7">
        <v>473.2</v>
      </c>
      <c r="Z17" s="7">
        <v>480.8</v>
      </c>
      <c r="AA17" s="7">
        <v>541.70000000000005</v>
      </c>
      <c r="AB17" s="7">
        <v>579.29999999999995</v>
      </c>
    </row>
    <row r="18" spans="2:28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</row>
    <row r="19" spans="2:28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</row>
    <row r="20" spans="2:28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  <c r="W20" s="7">
        <v>43.3</v>
      </c>
      <c r="X20" s="7">
        <v>50.7</v>
      </c>
      <c r="Y20" s="7">
        <v>55.2</v>
      </c>
      <c r="Z20" s="7">
        <v>59.7</v>
      </c>
      <c r="AA20" s="7">
        <v>68.400000000000006</v>
      </c>
      <c r="AB20" s="7">
        <v>63.3</v>
      </c>
    </row>
    <row r="21" spans="2:28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5.4</v>
      </c>
      <c r="AA21" s="7">
        <v>78.3</v>
      </c>
      <c r="AB21" s="7">
        <v>76.8</v>
      </c>
    </row>
    <row r="22" spans="2:28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  <c r="W22" s="7">
        <v>19</v>
      </c>
      <c r="X22" s="7">
        <v>21.9</v>
      </c>
      <c r="Y22" s="7">
        <v>22.4</v>
      </c>
      <c r="Z22" s="7">
        <v>37.1</v>
      </c>
      <c r="AA22" s="7">
        <v>37.799999999999997</v>
      </c>
      <c r="AB22" s="7">
        <v>48.3</v>
      </c>
    </row>
    <row r="23" spans="2:28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</row>
    <row r="24" spans="2:28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  <c r="W24" s="7">
        <v>289.3</v>
      </c>
      <c r="X24" s="7">
        <v>381.9</v>
      </c>
      <c r="Y24" s="7">
        <v>364.7</v>
      </c>
      <c r="Z24" s="7">
        <v>341.9</v>
      </c>
      <c r="AA24" s="7">
        <v>379</v>
      </c>
      <c r="AB24" s="7">
        <v>289.7</v>
      </c>
    </row>
    <row r="25" spans="2:28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  <c r="W25" s="7">
        <v>175</v>
      </c>
      <c r="X25" s="7">
        <v>151.4</v>
      </c>
      <c r="Y25" s="7">
        <v>195.2</v>
      </c>
      <c r="Z25" s="7">
        <v>212.9</v>
      </c>
      <c r="AA25" s="7">
        <v>216.9</v>
      </c>
      <c r="AB25" s="7">
        <v>214.9</v>
      </c>
    </row>
    <row r="26" spans="2:28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  <c r="W26" s="7">
        <v>42</v>
      </c>
      <c r="X26" s="7">
        <v>31.6</v>
      </c>
      <c r="Y26" s="7">
        <v>19.2</v>
      </c>
      <c r="Z26" s="7">
        <v>16</v>
      </c>
      <c r="AA26" s="7">
        <v>16.5</v>
      </c>
      <c r="AB26" s="7">
        <v>16.100000000000001</v>
      </c>
    </row>
    <row r="27" spans="2:28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  <c r="W27" s="7">
        <v>14.2</v>
      </c>
      <c r="X27" s="7">
        <v>14.7</v>
      </c>
      <c r="Y27" s="7">
        <v>13.9</v>
      </c>
      <c r="Z27" s="7">
        <v>15.4</v>
      </c>
      <c r="AA27" s="7">
        <v>12.9</v>
      </c>
      <c r="AB27" s="7">
        <v>13.7</v>
      </c>
    </row>
    <row r="28" spans="2:28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</row>
    <row r="29" spans="2:28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</row>
    <row r="30" spans="2:28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  <c r="W30" s="7">
        <v>653.5</v>
      </c>
      <c r="X30" s="7">
        <v>589</v>
      </c>
      <c r="Y30" s="7">
        <v>615</v>
      </c>
      <c r="Z30" s="7">
        <v>587.70000000000005</v>
      </c>
      <c r="AA30" s="7">
        <v>545.1</v>
      </c>
      <c r="AB30" s="7">
        <v>884.8</v>
      </c>
    </row>
    <row r="31" spans="2:28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  <c r="W31" s="7">
        <v>30.3</v>
      </c>
      <c r="X31" s="7">
        <v>26.9</v>
      </c>
      <c r="Y31" s="7">
        <v>23.4</v>
      </c>
      <c r="Z31" s="7">
        <v>21.8</v>
      </c>
      <c r="AA31" s="7">
        <v>23</v>
      </c>
      <c r="AB31" s="7">
        <v>20.2</v>
      </c>
    </row>
    <row r="32" spans="2:28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  <c r="W32" s="7">
        <v>38.700000000000003</v>
      </c>
      <c r="X32" s="7">
        <v>37.200000000000003</v>
      </c>
      <c r="Y32" s="7">
        <v>43.4</v>
      </c>
      <c r="Z32" s="7">
        <v>52.3</v>
      </c>
      <c r="AA32" s="7">
        <v>53.2</v>
      </c>
      <c r="AB32" s="7">
        <v>62.6</v>
      </c>
    </row>
    <row r="33" spans="2:28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</row>
    <row r="34" spans="2:28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  <c r="W34" s="7">
        <v>41.6</v>
      </c>
      <c r="X34" s="7">
        <v>46.3</v>
      </c>
      <c r="Y34" s="7">
        <v>90.2</v>
      </c>
      <c r="Z34" s="7">
        <v>112</v>
      </c>
      <c r="AA34" s="7">
        <v>111.2</v>
      </c>
      <c r="AB34" s="7">
        <v>102.9</v>
      </c>
    </row>
    <row r="35" spans="2:28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  <c r="W35" s="7">
        <v>46.2</v>
      </c>
      <c r="X35" s="7">
        <v>52.2</v>
      </c>
      <c r="Y35" s="7">
        <v>53.4</v>
      </c>
      <c r="Z35" s="7">
        <v>43.2</v>
      </c>
      <c r="AA35" s="7">
        <v>49.4</v>
      </c>
      <c r="AB35" s="7">
        <v>60.5</v>
      </c>
    </row>
    <row r="36" spans="2:28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</row>
    <row r="37" spans="2:28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  <c r="W37" s="7">
        <v>117.5</v>
      </c>
      <c r="X37" s="7">
        <v>113.4</v>
      </c>
      <c r="Y37" s="7">
        <v>95.8</v>
      </c>
      <c r="Z37" s="7">
        <v>103.2</v>
      </c>
      <c r="AA37" s="7">
        <v>116.2</v>
      </c>
      <c r="AB37" s="7">
        <v>108</v>
      </c>
    </row>
    <row r="38" spans="2:28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  <c r="W38" s="7">
        <v>73.3</v>
      </c>
      <c r="X38" s="7">
        <v>68.900000000000006</v>
      </c>
      <c r="Y38" s="7">
        <v>76.400000000000006</v>
      </c>
      <c r="Z38" s="7">
        <v>72.7</v>
      </c>
      <c r="AA38" s="7">
        <v>79.5</v>
      </c>
      <c r="AB38" s="7">
        <v>91.8</v>
      </c>
    </row>
    <row r="39" spans="2:28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  <c r="W39" s="7">
        <v>63.5</v>
      </c>
      <c r="X39" s="7">
        <v>61.3</v>
      </c>
      <c r="Y39" s="7">
        <v>56.5</v>
      </c>
      <c r="Z39" s="7">
        <v>53</v>
      </c>
      <c r="AA39" s="7">
        <v>56</v>
      </c>
      <c r="AB39" s="7">
        <v>58.7</v>
      </c>
    </row>
    <row r="40" spans="2:28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  <c r="W40" s="7">
        <v>61.3</v>
      </c>
      <c r="X40" s="7">
        <v>53.8</v>
      </c>
      <c r="Y40" s="7">
        <v>57.7</v>
      </c>
      <c r="Z40" s="7">
        <v>50.8</v>
      </c>
      <c r="AA40" s="7">
        <v>50.8</v>
      </c>
      <c r="AB40" s="7">
        <v>50.7</v>
      </c>
    </row>
    <row r="41" spans="2:28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  <c r="W41" s="7">
        <v>108.8</v>
      </c>
      <c r="X41" s="7">
        <v>98.3</v>
      </c>
      <c r="Y41" s="7">
        <v>99.4</v>
      </c>
      <c r="Z41" s="7">
        <v>90.6</v>
      </c>
      <c r="AA41" s="7">
        <v>97.1</v>
      </c>
      <c r="AB41" s="7">
        <v>114.5</v>
      </c>
    </row>
    <row r="42" spans="2:28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  <c r="W42" s="7">
        <v>39.799999999999997</v>
      </c>
      <c r="X42" s="7">
        <v>43.7</v>
      </c>
      <c r="Y42" s="7">
        <v>57.2</v>
      </c>
      <c r="Z42" s="7">
        <v>51.5</v>
      </c>
      <c r="AA42" s="7">
        <v>44.1</v>
      </c>
      <c r="AB42" s="7">
        <v>44.5</v>
      </c>
    </row>
    <row r="43" spans="2:28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  <c r="W43" s="7">
        <v>69.2</v>
      </c>
      <c r="X43" s="7">
        <v>67</v>
      </c>
      <c r="Y43" s="7">
        <v>67.900000000000006</v>
      </c>
      <c r="Z43" s="7">
        <v>55.6</v>
      </c>
      <c r="AA43" s="7">
        <v>49.6</v>
      </c>
      <c r="AB43" s="7">
        <v>47.7</v>
      </c>
    </row>
    <row r="44" spans="2:28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10.5</v>
      </c>
      <c r="AB44" s="7">
        <v>64.5</v>
      </c>
    </row>
    <row r="45" spans="2:28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  <c r="W45" s="7">
        <v>62.9</v>
      </c>
      <c r="X45" s="7">
        <v>81.5</v>
      </c>
      <c r="Y45" s="7">
        <v>95.2</v>
      </c>
      <c r="Z45" s="7">
        <v>106</v>
      </c>
      <c r="AA45" s="7">
        <v>85.9</v>
      </c>
      <c r="AB45" s="7">
        <v>89.2</v>
      </c>
    </row>
    <row r="46" spans="2:28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  <c r="W46" s="7">
        <v>9.1999999999999993</v>
      </c>
      <c r="X46" s="7">
        <v>9.3000000000000007</v>
      </c>
      <c r="Y46" s="7">
        <v>0</v>
      </c>
      <c r="Z46" s="7">
        <v>8.6</v>
      </c>
      <c r="AA46" s="7">
        <v>27.5</v>
      </c>
      <c r="AB46" s="7">
        <v>30.2</v>
      </c>
    </row>
    <row r="47" spans="2:28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  <c r="W47" s="7">
        <v>260.39999999999998</v>
      </c>
      <c r="X47" s="7">
        <v>273.10000000000002</v>
      </c>
      <c r="Y47" s="7">
        <v>255.8</v>
      </c>
      <c r="Z47" s="7">
        <v>206.1</v>
      </c>
      <c r="AA47" s="7">
        <v>191.6</v>
      </c>
      <c r="AB47" s="7">
        <v>220.4</v>
      </c>
    </row>
    <row r="48" spans="2:28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  <c r="W48" s="7">
        <v>95.3</v>
      </c>
      <c r="X48" s="7">
        <v>117.4</v>
      </c>
      <c r="Y48" s="7">
        <v>124.2</v>
      </c>
      <c r="Z48" s="7">
        <v>117.5</v>
      </c>
      <c r="AA48" s="7">
        <v>103.3</v>
      </c>
      <c r="AB48" s="7">
        <v>90.2</v>
      </c>
    </row>
    <row r="49" spans="2:28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</row>
    <row r="50" spans="2:28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</row>
    <row r="51" spans="2:28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</row>
    <row r="52" spans="2:28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  <c r="W52" s="7">
        <v>116.8</v>
      </c>
      <c r="X52" s="7">
        <v>120.4</v>
      </c>
      <c r="Y52" s="7">
        <v>115</v>
      </c>
      <c r="Z52" s="7">
        <v>114.1</v>
      </c>
      <c r="AA52" s="7">
        <v>116.3</v>
      </c>
      <c r="AB52" s="7">
        <v>103.1</v>
      </c>
    </row>
    <row r="53" spans="2:28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  <c r="W53" s="7">
        <v>68.8</v>
      </c>
      <c r="X53" s="7">
        <v>61.5</v>
      </c>
      <c r="Y53" s="7">
        <v>65.3</v>
      </c>
      <c r="Z53" s="7">
        <v>63.9</v>
      </c>
      <c r="AA53" s="7">
        <v>71.900000000000006</v>
      </c>
      <c r="AB53" s="7">
        <v>77.400000000000006</v>
      </c>
    </row>
    <row r="54" spans="2:28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  <c r="W54" s="7">
        <v>134.4</v>
      </c>
      <c r="X54" s="7">
        <v>112.6</v>
      </c>
      <c r="Y54" s="7">
        <v>110.6</v>
      </c>
      <c r="Z54" s="7">
        <v>117</v>
      </c>
      <c r="AA54" s="7">
        <v>98.1</v>
      </c>
      <c r="AB54" s="7">
        <v>119.3</v>
      </c>
    </row>
    <row r="55" spans="2:28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  <c r="W55" s="7">
        <v>19.5</v>
      </c>
      <c r="X55" s="7">
        <v>13.6</v>
      </c>
      <c r="Y55" s="7">
        <v>14.6</v>
      </c>
      <c r="Z55" s="7">
        <v>16.5</v>
      </c>
      <c r="AA55" s="7">
        <v>22.5</v>
      </c>
      <c r="AB55" s="7">
        <v>18.600000000000001</v>
      </c>
    </row>
    <row r="56" spans="2:28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  <c r="W56" s="7">
        <v>16.8</v>
      </c>
      <c r="X56" s="7">
        <v>13.6</v>
      </c>
      <c r="Y56" s="7">
        <v>11.7</v>
      </c>
      <c r="Z56" s="7">
        <v>9.9</v>
      </c>
      <c r="AA56" s="7">
        <v>14.8</v>
      </c>
      <c r="AB56" s="7">
        <v>18.2</v>
      </c>
    </row>
    <row r="57" spans="2:28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  <c r="W57" s="7">
        <v>91.6</v>
      </c>
      <c r="X57" s="7">
        <v>80.8</v>
      </c>
      <c r="Y57" s="7">
        <v>102.2</v>
      </c>
      <c r="Z57" s="7">
        <v>96.3</v>
      </c>
      <c r="AA57" s="7">
        <v>105.5</v>
      </c>
      <c r="AB57" s="7">
        <v>95.2</v>
      </c>
    </row>
    <row r="58" spans="2:28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</row>
    <row r="59" spans="2:28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</row>
    <row r="60" spans="2:28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</row>
    <row r="61" spans="2:28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  <c r="W61" s="7">
        <v>38.200000000000003</v>
      </c>
      <c r="X61" s="7">
        <v>32.4</v>
      </c>
      <c r="Y61" s="7">
        <v>0</v>
      </c>
      <c r="Z61" s="7">
        <v>0</v>
      </c>
      <c r="AA61" s="7">
        <v>12.6</v>
      </c>
      <c r="AB61" s="7">
        <v>0</v>
      </c>
    </row>
    <row r="62" spans="2:28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</row>
    <row r="63" spans="2:28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  <c r="W63" s="7">
        <v>25.4</v>
      </c>
      <c r="X63" s="7">
        <v>28.2</v>
      </c>
      <c r="Y63" s="7">
        <v>30.7</v>
      </c>
      <c r="Z63" s="7">
        <v>26.6</v>
      </c>
      <c r="AA63" s="7">
        <v>27</v>
      </c>
      <c r="AB63" s="7">
        <v>29.8</v>
      </c>
    </row>
    <row r="64" spans="2:28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</row>
    <row r="65" spans="2:28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  <c r="W65" s="7">
        <v>81.3</v>
      </c>
      <c r="X65" s="7">
        <v>71</v>
      </c>
      <c r="Y65" s="7">
        <v>83</v>
      </c>
      <c r="Z65" s="7">
        <v>81.3</v>
      </c>
      <c r="AA65" s="7">
        <v>76.7</v>
      </c>
      <c r="AB65" s="7">
        <v>71.599999999999994</v>
      </c>
    </row>
    <row r="66" spans="2:28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</row>
    <row r="67" spans="2:28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  <c r="W67" s="7">
        <v>99.6</v>
      </c>
      <c r="X67" s="7">
        <v>116</v>
      </c>
      <c r="Y67" s="7">
        <v>139.80000000000001</v>
      </c>
      <c r="Z67" s="7">
        <v>145.1</v>
      </c>
      <c r="AA67" s="7">
        <v>101.9</v>
      </c>
      <c r="AB67" s="7">
        <v>119.3</v>
      </c>
    </row>
    <row r="68" spans="2:28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  <c r="W68" s="7">
        <v>59.6</v>
      </c>
      <c r="X68" s="7">
        <v>52.4</v>
      </c>
      <c r="Y68" s="7">
        <v>52.1</v>
      </c>
      <c r="Z68" s="7">
        <v>61.2</v>
      </c>
      <c r="AA68" s="7">
        <v>72</v>
      </c>
      <c r="AB68" s="7">
        <v>61.1</v>
      </c>
    </row>
    <row r="69" spans="2:28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  <c r="W69" s="7">
        <v>86.9</v>
      </c>
      <c r="X69" s="7">
        <v>85.3</v>
      </c>
      <c r="Y69" s="7">
        <v>89.8</v>
      </c>
      <c r="Z69" s="7">
        <v>128</v>
      </c>
      <c r="AA69" s="7">
        <v>59.3</v>
      </c>
      <c r="AB69" s="7">
        <v>0</v>
      </c>
    </row>
    <row r="70" spans="2:28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</row>
    <row r="71" spans="2:28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  <c r="W71" s="7">
        <v>25.6</v>
      </c>
      <c r="X71" s="7">
        <v>14.3</v>
      </c>
      <c r="Y71" s="7">
        <v>14.4</v>
      </c>
      <c r="Z71" s="7">
        <v>14</v>
      </c>
      <c r="AA71" s="7">
        <v>10.199999999999999</v>
      </c>
      <c r="AB71" s="7">
        <v>15.8</v>
      </c>
    </row>
    <row r="72" spans="2:28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  <c r="W72" s="7">
        <v>371.1</v>
      </c>
      <c r="X72" s="7">
        <v>354.6</v>
      </c>
      <c r="Y72" s="7">
        <v>359.2</v>
      </c>
      <c r="Z72" s="7">
        <v>369.2</v>
      </c>
      <c r="AA72" s="7">
        <v>381.3</v>
      </c>
      <c r="AB72" s="7">
        <v>444.1</v>
      </c>
    </row>
    <row r="73" spans="2:28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  <c r="W73" s="7">
        <v>45.8</v>
      </c>
      <c r="X73" s="7">
        <v>42.2</v>
      </c>
      <c r="Y73" s="7">
        <v>41.2</v>
      </c>
      <c r="Z73" s="7">
        <v>35.200000000000003</v>
      </c>
      <c r="AA73" s="7">
        <v>32.1</v>
      </c>
      <c r="AB73" s="7">
        <v>29.9</v>
      </c>
    </row>
    <row r="74" spans="2:28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</row>
    <row r="75" spans="2:28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  <c r="W75" s="7">
        <v>595.29999999999995</v>
      </c>
      <c r="X75" s="7">
        <v>686.7</v>
      </c>
      <c r="Y75" s="7">
        <v>626.20000000000005</v>
      </c>
      <c r="Z75" s="7">
        <v>694.2</v>
      </c>
      <c r="AA75" s="7">
        <v>727.8</v>
      </c>
      <c r="AB75" s="7">
        <v>716.6</v>
      </c>
    </row>
    <row r="76" spans="2:28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  <c r="W76" s="7">
        <v>111.5</v>
      </c>
      <c r="X76" s="7">
        <v>109.2</v>
      </c>
      <c r="Y76" s="7">
        <v>139.6</v>
      </c>
      <c r="Z76" s="7">
        <v>125.8</v>
      </c>
      <c r="AA76" s="7">
        <v>106.8</v>
      </c>
      <c r="AB76" s="7">
        <v>96.1</v>
      </c>
    </row>
    <row r="77" spans="2:28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</row>
    <row r="78" spans="2:28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</row>
    <row r="79" spans="2:28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</row>
    <row r="80" spans="2:28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</row>
    <row r="81" spans="2:28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</row>
    <row r="82" spans="2:28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</row>
    <row r="83" spans="2:28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</row>
    <row r="84" spans="2:28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  <c r="W84" s="7">
        <v>37.5</v>
      </c>
      <c r="X84" s="7">
        <v>36.200000000000003</v>
      </c>
      <c r="Y84" s="7">
        <v>35.5</v>
      </c>
      <c r="Z84" s="7">
        <v>32.4</v>
      </c>
      <c r="AA84" s="7">
        <v>29.6</v>
      </c>
      <c r="AB84" s="7">
        <v>35.9</v>
      </c>
    </row>
    <row r="85" spans="2:28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</row>
    <row r="86" spans="2:28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</row>
    <row r="87" spans="2:28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  <c r="W87" s="7">
        <v>52.4</v>
      </c>
      <c r="X87" s="7">
        <v>41.8</v>
      </c>
      <c r="Y87" s="7">
        <v>33.1</v>
      </c>
      <c r="Z87" s="7">
        <v>28.6</v>
      </c>
      <c r="AA87" s="7">
        <v>29.2</v>
      </c>
      <c r="AB87" s="7">
        <v>42.3</v>
      </c>
    </row>
    <row r="88" spans="2:28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</row>
    <row r="89" spans="2:28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  <c r="W89" s="7">
        <v>2179.5</v>
      </c>
      <c r="X89" s="7">
        <v>1690.6</v>
      </c>
      <c r="Y89" s="7">
        <v>1786.4</v>
      </c>
      <c r="Z89" s="7">
        <v>1802.2</v>
      </c>
      <c r="AA89" s="7">
        <v>1626.7</v>
      </c>
      <c r="AB89" s="7">
        <v>1776.5</v>
      </c>
    </row>
    <row r="90" spans="2:28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  <c r="W90" s="7">
        <v>1275.2</v>
      </c>
      <c r="X90" s="7">
        <v>981.3</v>
      </c>
      <c r="Y90" s="7">
        <v>1096.0999999999999</v>
      </c>
      <c r="Z90" s="7">
        <v>998.9</v>
      </c>
      <c r="AA90" s="7">
        <v>1012.5</v>
      </c>
      <c r="AB90" s="7">
        <v>1023</v>
      </c>
    </row>
    <row r="91" spans="2:28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  <c r="W91" s="7">
        <v>709.6</v>
      </c>
      <c r="X91" s="7">
        <v>803.4</v>
      </c>
      <c r="Y91" s="7">
        <v>729.1</v>
      </c>
      <c r="Z91" s="7">
        <v>809.7</v>
      </c>
      <c r="AA91" s="7">
        <v>764.1</v>
      </c>
      <c r="AB91" s="7">
        <v>866.1</v>
      </c>
    </row>
    <row r="92" spans="2:28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</row>
    <row r="93" spans="2:28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</row>
    <row r="94" spans="2:28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</row>
    <row r="95" spans="2:28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  <c r="W95" s="7">
        <v>90.3</v>
      </c>
      <c r="X95" s="7">
        <v>107.5</v>
      </c>
      <c r="Y95" s="7">
        <v>109.2</v>
      </c>
      <c r="Z95" s="7">
        <v>112.5</v>
      </c>
      <c r="AA95" s="7">
        <v>95.2</v>
      </c>
      <c r="AB95" s="7">
        <v>84</v>
      </c>
    </row>
    <row r="96" spans="2:28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</row>
    <row r="97" spans="2:28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  <c r="W97" s="7">
        <v>667</v>
      </c>
      <c r="X97" s="7">
        <v>666.6</v>
      </c>
      <c r="Y97" s="7">
        <v>598</v>
      </c>
      <c r="Z97" s="7">
        <v>581.6</v>
      </c>
      <c r="AA97" s="7">
        <v>563.79999999999995</v>
      </c>
      <c r="AB97" s="7">
        <v>699.5</v>
      </c>
    </row>
    <row r="98" spans="2:28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</row>
    <row r="99" spans="2:28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</row>
    <row r="100" spans="2:28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</row>
    <row r="101" spans="2:28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</row>
    <row r="102" spans="2:28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</row>
    <row r="103" spans="2:28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</row>
    <row r="104" spans="2:28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  <c r="W104" s="7">
        <v>132.4</v>
      </c>
      <c r="X104" s="7">
        <v>113.5</v>
      </c>
      <c r="Y104" s="7">
        <v>105.6</v>
      </c>
      <c r="Z104" s="7">
        <v>113.3</v>
      </c>
      <c r="AA104" s="7">
        <v>100.1</v>
      </c>
      <c r="AB104" s="7">
        <v>85.1</v>
      </c>
    </row>
    <row r="105" spans="2:28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</row>
    <row r="106" spans="2:28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4.5</v>
      </c>
      <c r="AA106" s="7">
        <v>0</v>
      </c>
      <c r="AB106" s="7">
        <v>0</v>
      </c>
    </row>
    <row r="107" spans="2:28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</row>
    <row r="108" spans="2:28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</row>
    <row r="109" spans="2:28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  <c r="W109" s="7">
        <v>41</v>
      </c>
      <c r="X109" s="7">
        <v>40.799999999999997</v>
      </c>
      <c r="Y109" s="7">
        <v>38.9</v>
      </c>
      <c r="Z109" s="7">
        <v>29.9</v>
      </c>
      <c r="AA109" s="7">
        <v>31.5</v>
      </c>
      <c r="AB109" s="7">
        <v>30.9</v>
      </c>
    </row>
    <row r="110" spans="2:28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</row>
    <row r="111" spans="2:28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  <c r="W111" s="7">
        <v>2420.3000000000002</v>
      </c>
      <c r="X111" s="7">
        <v>1990.4</v>
      </c>
      <c r="Y111" s="7">
        <v>2408.9</v>
      </c>
      <c r="Z111" s="7">
        <v>2157.6999999999998</v>
      </c>
      <c r="AA111" s="7">
        <v>1516.7</v>
      </c>
      <c r="AB111" s="7">
        <v>2199.6999999999998</v>
      </c>
    </row>
    <row r="112" spans="2:28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  <c r="W112" s="7">
        <v>23.8</v>
      </c>
      <c r="X112" s="7">
        <v>8.6999999999999993</v>
      </c>
      <c r="Y112" s="7">
        <v>1.4</v>
      </c>
      <c r="Z112" s="7">
        <v>4.0999999999999996</v>
      </c>
      <c r="AA112" s="7">
        <v>17.100000000000001</v>
      </c>
      <c r="AB112" s="7">
        <v>14.1</v>
      </c>
    </row>
    <row r="113" spans="2:28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</row>
    <row r="114" spans="2:28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  <c r="W114" s="7">
        <v>270.89999999999998</v>
      </c>
      <c r="X114" s="7">
        <v>274.39999999999998</v>
      </c>
      <c r="Y114" s="7">
        <v>266.7</v>
      </c>
      <c r="Z114" s="7">
        <v>251.2</v>
      </c>
      <c r="AA114" s="7">
        <v>243.4</v>
      </c>
      <c r="AB114" s="7">
        <v>220.7</v>
      </c>
    </row>
    <row r="115" spans="2:28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</row>
    <row r="116" spans="2:28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</row>
    <row r="117" spans="2:28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  <c r="W117" s="7">
        <v>46.1</v>
      </c>
      <c r="X117" s="7">
        <v>39.5</v>
      </c>
      <c r="Y117" s="7">
        <v>33.4</v>
      </c>
      <c r="Z117" s="7">
        <v>34.200000000000003</v>
      </c>
      <c r="AA117" s="7">
        <v>43.8</v>
      </c>
      <c r="AB117" s="7">
        <v>40.4</v>
      </c>
    </row>
    <row r="118" spans="2:28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  <c r="W118" s="7">
        <v>15.9</v>
      </c>
      <c r="X118" s="7">
        <v>18.5</v>
      </c>
      <c r="Y118" s="7">
        <v>16.8</v>
      </c>
      <c r="Z118" s="7">
        <v>19.3</v>
      </c>
      <c r="AA118" s="7">
        <v>4.5</v>
      </c>
      <c r="AB118" s="7">
        <v>4.3</v>
      </c>
    </row>
    <row r="119" spans="2:28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</row>
    <row r="120" spans="2:28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</row>
    <row r="121" spans="2:28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</row>
    <row r="122" spans="2:28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</row>
    <row r="123" spans="2:28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  <c r="W123" s="7">
        <v>33</v>
      </c>
      <c r="X123" s="7">
        <v>37.700000000000003</v>
      </c>
      <c r="Y123" s="7">
        <v>39.1</v>
      </c>
      <c r="Z123" s="7">
        <v>46.1</v>
      </c>
      <c r="AA123" s="7">
        <v>34.5</v>
      </c>
      <c r="AB123" s="7">
        <v>34.200000000000003</v>
      </c>
    </row>
    <row r="124" spans="2:28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</row>
    <row r="125" spans="2:28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</row>
    <row r="126" spans="2:28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  <c r="W126" s="7">
        <v>4.4000000000000004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</row>
    <row r="127" spans="2:28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  <c r="W127" s="7">
        <v>41</v>
      </c>
      <c r="X127" s="7">
        <v>32.5</v>
      </c>
      <c r="Y127" s="7">
        <v>36.200000000000003</v>
      </c>
      <c r="Z127" s="7">
        <v>53</v>
      </c>
      <c r="AA127" s="7">
        <v>44.5</v>
      </c>
      <c r="AB127" s="7">
        <v>47.2</v>
      </c>
    </row>
    <row r="128" spans="2:28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</row>
    <row r="129" spans="2:28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  <c r="W129" s="7">
        <v>30.6</v>
      </c>
      <c r="X129" s="7">
        <v>209</v>
      </c>
      <c r="Y129" s="7">
        <v>208.5</v>
      </c>
      <c r="Z129" s="7">
        <v>229.5</v>
      </c>
      <c r="AA129" s="7">
        <v>200.3</v>
      </c>
      <c r="AB129" s="7">
        <v>246.8</v>
      </c>
    </row>
    <row r="130" spans="2:28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</row>
    <row r="131" spans="2:28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39.9</v>
      </c>
    </row>
    <row r="132" spans="2:28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  <c r="W132" s="7">
        <v>52.5</v>
      </c>
      <c r="X132" s="7">
        <v>63.5</v>
      </c>
      <c r="Y132" s="7">
        <v>53.5</v>
      </c>
      <c r="Z132" s="7">
        <v>46.9</v>
      </c>
      <c r="AA132" s="7">
        <v>34.9</v>
      </c>
      <c r="AB132" s="7">
        <v>53.8</v>
      </c>
    </row>
    <row r="133" spans="2:28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</row>
    <row r="134" spans="2:28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</row>
    <row r="135" spans="2:28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  <c r="W135" s="7">
        <v>138.30000000000001</v>
      </c>
      <c r="X135" s="7">
        <v>131</v>
      </c>
      <c r="Y135" s="7">
        <v>122.3</v>
      </c>
      <c r="Z135" s="7">
        <v>120.9</v>
      </c>
      <c r="AA135" s="7">
        <v>116.2</v>
      </c>
      <c r="AB135" s="7">
        <v>109.1</v>
      </c>
    </row>
    <row r="136" spans="2:28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  <c r="W136" s="7">
        <v>47</v>
      </c>
      <c r="X136" s="7">
        <v>41</v>
      </c>
      <c r="Y136" s="7">
        <v>37.700000000000003</v>
      </c>
      <c r="Z136" s="7">
        <v>45.7</v>
      </c>
      <c r="AA136" s="7">
        <v>50.2</v>
      </c>
      <c r="AB136" s="7">
        <v>70.900000000000006</v>
      </c>
    </row>
    <row r="137" spans="2:28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</row>
    <row r="138" spans="2:28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  <c r="W138" s="7">
        <v>87.4</v>
      </c>
      <c r="X138" s="7">
        <v>85.1</v>
      </c>
      <c r="Y138" s="7">
        <v>95.4</v>
      </c>
      <c r="Z138" s="7">
        <v>88.4</v>
      </c>
      <c r="AA138" s="7">
        <v>94.8</v>
      </c>
      <c r="AB138" s="7">
        <v>91.2</v>
      </c>
    </row>
    <row r="139" spans="2:28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  <c r="W139" s="7">
        <v>363.2</v>
      </c>
      <c r="X139" s="7">
        <v>347.5</v>
      </c>
      <c r="Y139" s="7">
        <v>368.4</v>
      </c>
      <c r="Z139" s="7">
        <v>374.4</v>
      </c>
      <c r="AA139" s="7">
        <v>359.2</v>
      </c>
      <c r="AB139" s="7">
        <v>363.8</v>
      </c>
    </row>
    <row r="140" spans="2:28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</row>
    <row r="141" spans="2:28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</row>
    <row r="142" spans="2:28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</row>
    <row r="143" spans="2:28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  <c r="W143" s="7">
        <v>101.9</v>
      </c>
      <c r="X143" s="7">
        <v>108.1</v>
      </c>
      <c r="Y143" s="7">
        <v>100.2</v>
      </c>
      <c r="Z143" s="7">
        <v>90.4</v>
      </c>
      <c r="AA143" s="7">
        <v>75.599999999999994</v>
      </c>
      <c r="AB143" s="7">
        <v>84.7</v>
      </c>
    </row>
    <row r="144" spans="2:28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</row>
    <row r="145" spans="2:28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  <c r="W145" s="7">
        <v>1327.2</v>
      </c>
      <c r="X145" s="7">
        <v>1124.3</v>
      </c>
      <c r="Y145" s="7">
        <v>1149.3</v>
      </c>
      <c r="Z145" s="7">
        <v>2738.3</v>
      </c>
      <c r="AA145" s="7">
        <v>1652.5</v>
      </c>
      <c r="AB145" s="7">
        <v>1881.3</v>
      </c>
    </row>
    <row r="146" spans="2:28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  <c r="W146" s="7">
        <v>38.6</v>
      </c>
      <c r="X146" s="7">
        <v>34.5</v>
      </c>
      <c r="Y146" s="7">
        <v>37.799999999999997</v>
      </c>
      <c r="Z146" s="7">
        <v>31.5</v>
      </c>
      <c r="AA146" s="7">
        <v>40</v>
      </c>
      <c r="AB146" s="7">
        <v>31</v>
      </c>
    </row>
    <row r="147" spans="2:28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  <c r="W147" s="7">
        <v>262.2</v>
      </c>
      <c r="X147" s="7">
        <v>262.5</v>
      </c>
      <c r="Y147" s="7">
        <v>263.60000000000002</v>
      </c>
      <c r="Z147" s="7">
        <v>258</v>
      </c>
      <c r="AA147" s="7">
        <v>259.8</v>
      </c>
      <c r="AB147" s="7">
        <v>248.4</v>
      </c>
    </row>
    <row r="148" spans="2:28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  <c r="W148" s="7">
        <v>38.5</v>
      </c>
      <c r="X148" s="7">
        <v>54.7</v>
      </c>
      <c r="Y148" s="7">
        <v>128.4</v>
      </c>
      <c r="Z148" s="7">
        <v>29.9</v>
      </c>
      <c r="AA148" s="7">
        <v>65.7</v>
      </c>
      <c r="AB148" s="7">
        <v>56.7</v>
      </c>
    </row>
    <row r="149" spans="2:28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  <c r="W149" s="7">
        <v>168.5</v>
      </c>
      <c r="X149" s="7">
        <v>154.30000000000001</v>
      </c>
      <c r="Y149" s="7">
        <v>166.8</v>
      </c>
      <c r="Z149" s="7">
        <v>168.9</v>
      </c>
      <c r="AA149" s="7">
        <v>158.9</v>
      </c>
      <c r="AB149" s="7">
        <v>185.1</v>
      </c>
    </row>
    <row r="150" spans="2:28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</row>
    <row r="151" spans="2:28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  <c r="W151" s="7">
        <v>25.7</v>
      </c>
      <c r="X151" s="7">
        <v>42.2</v>
      </c>
      <c r="Y151" s="7">
        <v>40.5</v>
      </c>
      <c r="Z151" s="7">
        <v>30.4</v>
      </c>
      <c r="AA151" s="7">
        <v>0</v>
      </c>
      <c r="AB151" s="7">
        <v>0</v>
      </c>
    </row>
    <row r="152" spans="2:28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  <c r="W152" s="7">
        <v>197.8</v>
      </c>
      <c r="X152" s="7">
        <v>209.5</v>
      </c>
      <c r="Y152" s="7">
        <v>208.5</v>
      </c>
      <c r="Z152" s="7">
        <v>233.8</v>
      </c>
      <c r="AA152" s="7">
        <v>219.7</v>
      </c>
      <c r="AB152" s="7">
        <v>206.7</v>
      </c>
    </row>
    <row r="153" spans="2:28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  <c r="W153" s="7">
        <v>322.7</v>
      </c>
      <c r="X153" s="7">
        <v>315.60000000000002</v>
      </c>
      <c r="Y153" s="7">
        <v>305.3</v>
      </c>
      <c r="Z153" s="7">
        <v>328.4</v>
      </c>
      <c r="AA153" s="7">
        <v>300.60000000000002</v>
      </c>
      <c r="AB153" s="7">
        <v>308.3</v>
      </c>
    </row>
    <row r="154" spans="2:28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  <c r="W154" s="7">
        <v>132.5</v>
      </c>
      <c r="X154" s="7">
        <v>116.5</v>
      </c>
      <c r="Y154" s="7">
        <v>102</v>
      </c>
      <c r="Z154" s="7">
        <v>120.1</v>
      </c>
      <c r="AA154" s="7">
        <v>140.9</v>
      </c>
      <c r="AB154" s="7">
        <v>136.30000000000001</v>
      </c>
    </row>
    <row r="155" spans="2:28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  <c r="W155" s="7">
        <v>78.2</v>
      </c>
      <c r="X155" s="7">
        <v>70.599999999999994</v>
      </c>
      <c r="Y155" s="7">
        <v>72.2</v>
      </c>
      <c r="Z155" s="7">
        <v>74.7</v>
      </c>
      <c r="AA155" s="7">
        <v>66</v>
      </c>
      <c r="AB155" s="7">
        <v>53.6</v>
      </c>
    </row>
    <row r="156" spans="2:28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</row>
    <row r="157" spans="2:28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  <c r="W157" s="7">
        <v>118.1</v>
      </c>
      <c r="X157" s="7">
        <v>101.3</v>
      </c>
      <c r="Y157" s="7">
        <v>101.7</v>
      </c>
      <c r="Z157" s="7">
        <v>92.9</v>
      </c>
      <c r="AA157" s="7">
        <v>81.2</v>
      </c>
      <c r="AB157" s="7">
        <v>73.900000000000006</v>
      </c>
    </row>
    <row r="158" spans="2:28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  <c r="W158" s="7">
        <v>265</v>
      </c>
      <c r="X158" s="7">
        <v>261.39999999999998</v>
      </c>
      <c r="Y158" s="7">
        <v>262.7</v>
      </c>
      <c r="Z158" s="7">
        <v>263.8</v>
      </c>
      <c r="AA158" s="7">
        <v>212.5</v>
      </c>
      <c r="AB158" s="7">
        <v>221.8</v>
      </c>
    </row>
    <row r="159" spans="2:28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  <c r="W159" s="7">
        <v>52.3</v>
      </c>
      <c r="X159" s="7">
        <v>53.1</v>
      </c>
      <c r="Y159" s="7">
        <v>63.4</v>
      </c>
      <c r="Z159" s="7">
        <v>72.8</v>
      </c>
      <c r="AA159" s="7">
        <v>65.8</v>
      </c>
      <c r="AB159" s="7">
        <v>62</v>
      </c>
    </row>
    <row r="160" spans="2:28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</row>
    <row r="161" spans="2:28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  <c r="W161" s="7">
        <v>114.5</v>
      </c>
      <c r="X161" s="7">
        <v>116.5</v>
      </c>
      <c r="Y161" s="7">
        <v>121.7</v>
      </c>
      <c r="Z161" s="7">
        <v>123.8</v>
      </c>
      <c r="AA161" s="7">
        <v>117.2</v>
      </c>
      <c r="AB161" s="7">
        <v>103.4</v>
      </c>
    </row>
    <row r="162" spans="2:28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  <c r="W162" s="7">
        <v>249.9</v>
      </c>
      <c r="X162" s="7">
        <v>228.5</v>
      </c>
      <c r="Y162" s="7">
        <v>223.8</v>
      </c>
      <c r="Z162" s="7">
        <v>227.7</v>
      </c>
      <c r="AA162" s="7">
        <v>200.9</v>
      </c>
      <c r="AB162" s="7">
        <v>130</v>
      </c>
    </row>
    <row r="163" spans="2:28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  <c r="W163" s="7">
        <v>163.4</v>
      </c>
      <c r="X163" s="7">
        <v>159.19999999999999</v>
      </c>
      <c r="Y163" s="7">
        <v>160.6</v>
      </c>
      <c r="Z163" s="7">
        <v>152.30000000000001</v>
      </c>
      <c r="AA163" s="7">
        <v>148.69999999999999</v>
      </c>
      <c r="AB163" s="7">
        <v>125.1</v>
      </c>
    </row>
    <row r="164" spans="2:28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  <c r="W164" s="7">
        <v>181.1</v>
      </c>
      <c r="X164" s="7">
        <v>212.4</v>
      </c>
      <c r="Y164" s="7">
        <v>198.7</v>
      </c>
      <c r="Z164" s="7">
        <v>203.5</v>
      </c>
      <c r="AA164" s="7">
        <v>196.3</v>
      </c>
      <c r="AB164" s="7">
        <v>168.2</v>
      </c>
    </row>
    <row r="165" spans="2:28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</row>
    <row r="166" spans="2:28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34.1</v>
      </c>
      <c r="AA166" s="7">
        <v>25.4</v>
      </c>
      <c r="AB166" s="7">
        <v>19.899999999999999</v>
      </c>
    </row>
    <row r="167" spans="2:28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  <c r="W167" s="7">
        <v>130.1</v>
      </c>
      <c r="X167" s="7">
        <v>127.3</v>
      </c>
      <c r="Y167" s="7">
        <v>122.8</v>
      </c>
      <c r="Z167" s="7">
        <v>117.9</v>
      </c>
      <c r="AA167" s="7">
        <v>111.7</v>
      </c>
      <c r="AB167" s="7">
        <v>95.8</v>
      </c>
    </row>
    <row r="168" spans="2:28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  <c r="W168" s="7">
        <v>200.3</v>
      </c>
      <c r="X168" s="7">
        <v>223</v>
      </c>
      <c r="Y168" s="7">
        <v>184.8</v>
      </c>
      <c r="Z168" s="7">
        <v>191.9</v>
      </c>
      <c r="AA168" s="7">
        <v>173.4</v>
      </c>
      <c r="AB168" s="7">
        <v>149.5</v>
      </c>
    </row>
    <row r="169" spans="2:28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</row>
    <row r="170" spans="2:28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  <c r="W170" s="7">
        <v>219.5</v>
      </c>
      <c r="X170" s="7">
        <v>217.4</v>
      </c>
      <c r="Y170" s="7">
        <v>215.3</v>
      </c>
      <c r="Z170" s="7">
        <v>218.8</v>
      </c>
      <c r="AA170" s="7">
        <v>214.5</v>
      </c>
      <c r="AB170" s="7">
        <v>211.9</v>
      </c>
    </row>
    <row r="171" spans="2:28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  <c r="W171" s="7">
        <v>123.1</v>
      </c>
      <c r="X171" s="7">
        <v>117.5</v>
      </c>
      <c r="Y171" s="7">
        <v>108.7</v>
      </c>
      <c r="Z171" s="7">
        <v>119</v>
      </c>
      <c r="AA171" s="7">
        <v>120.7</v>
      </c>
      <c r="AB171" s="7">
        <v>106.2</v>
      </c>
    </row>
    <row r="172" spans="2:28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</row>
    <row r="173" spans="2:28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  <c r="W173" s="7">
        <v>184.4</v>
      </c>
      <c r="X173" s="7">
        <v>197.3</v>
      </c>
      <c r="Y173" s="7">
        <v>179.6</v>
      </c>
      <c r="Z173" s="7">
        <v>211.8</v>
      </c>
      <c r="AA173" s="7">
        <v>211.7</v>
      </c>
      <c r="AB173" s="7">
        <v>209.1</v>
      </c>
    </row>
    <row r="174" spans="2:28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  <c r="W174" s="7">
        <v>136.1</v>
      </c>
      <c r="X174" s="7">
        <v>120.2</v>
      </c>
      <c r="Y174" s="7">
        <v>100.2</v>
      </c>
      <c r="Z174" s="7">
        <v>98.2</v>
      </c>
      <c r="AA174" s="7">
        <v>127.7</v>
      </c>
      <c r="AB174" s="7">
        <v>120.3</v>
      </c>
    </row>
    <row r="175" spans="2:28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</row>
    <row r="176" spans="2:28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  <c r="W176" s="7">
        <v>97.6</v>
      </c>
      <c r="X176" s="7">
        <v>68.5</v>
      </c>
      <c r="Y176" s="7">
        <v>69.400000000000006</v>
      </c>
      <c r="Z176" s="7">
        <v>69.5</v>
      </c>
      <c r="AA176" s="7">
        <v>65.7</v>
      </c>
      <c r="AB176" s="7">
        <v>70.2</v>
      </c>
    </row>
    <row r="177" spans="2:28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  <c r="W177" s="7">
        <v>170.7</v>
      </c>
      <c r="X177" s="7">
        <v>174.7</v>
      </c>
      <c r="Y177" s="7">
        <v>167.9</v>
      </c>
      <c r="Z177" s="7">
        <v>171.6</v>
      </c>
      <c r="AA177" s="7">
        <v>181.7</v>
      </c>
      <c r="AB177" s="7">
        <v>176.4</v>
      </c>
    </row>
    <row r="178" spans="2:28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  <c r="W178" s="7">
        <v>30.5</v>
      </c>
      <c r="X178" s="7">
        <v>33.1</v>
      </c>
      <c r="Y178" s="7">
        <v>0</v>
      </c>
      <c r="Z178" s="7">
        <v>84.9</v>
      </c>
      <c r="AA178" s="7">
        <v>124.2</v>
      </c>
      <c r="AB178" s="7">
        <v>110.8</v>
      </c>
    </row>
    <row r="179" spans="2:28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  <c r="W179" s="7">
        <v>1344.5</v>
      </c>
      <c r="X179" s="7">
        <v>1252.0999999999999</v>
      </c>
      <c r="Y179" s="7">
        <v>1149.3</v>
      </c>
      <c r="Z179" s="7">
        <v>2604.1999999999998</v>
      </c>
      <c r="AA179" s="7">
        <v>1607.6</v>
      </c>
      <c r="AB179" s="7">
        <v>1550.7</v>
      </c>
    </row>
    <row r="180" spans="2:28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  <c r="W180" s="7">
        <v>1345.9</v>
      </c>
      <c r="X180" s="7">
        <v>1083.9000000000001</v>
      </c>
      <c r="Y180" s="7">
        <v>1069.8</v>
      </c>
      <c r="Z180" s="7">
        <v>2604.1999999999998</v>
      </c>
      <c r="AA180" s="7">
        <v>1607.6</v>
      </c>
      <c r="AB180" s="7">
        <v>1530.1</v>
      </c>
    </row>
    <row r="181" spans="2:28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  <c r="W181" s="7">
        <v>45.3</v>
      </c>
      <c r="X181" s="7">
        <v>117.3</v>
      </c>
      <c r="Y181" s="7">
        <v>33.6</v>
      </c>
      <c r="Z181" s="7">
        <v>116.9</v>
      </c>
      <c r="AA181" s="7">
        <v>171.3</v>
      </c>
      <c r="AB181" s="7">
        <v>125.2</v>
      </c>
    </row>
    <row r="182" spans="2:28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  <c r="W182" s="7">
        <v>30.5</v>
      </c>
      <c r="X182" s="7">
        <v>49.9</v>
      </c>
      <c r="Y182" s="7">
        <v>18.2</v>
      </c>
      <c r="Z182" s="7">
        <v>84.9</v>
      </c>
      <c r="AA182" s="7">
        <v>138.1</v>
      </c>
      <c r="AB182" s="7">
        <v>110.8</v>
      </c>
    </row>
    <row r="183" spans="2:28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  <c r="W183" s="7">
        <v>30.5</v>
      </c>
      <c r="X183" s="7">
        <v>33.1</v>
      </c>
      <c r="Y183" s="7">
        <v>0</v>
      </c>
      <c r="Z183" s="7">
        <v>84.9</v>
      </c>
      <c r="AA183" s="7">
        <v>124.2</v>
      </c>
      <c r="AB183" s="7">
        <v>110.8</v>
      </c>
    </row>
    <row r="184" spans="2:28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  <c r="W184" s="7">
        <v>30.5</v>
      </c>
      <c r="X184" s="7">
        <v>33.1</v>
      </c>
      <c r="Y184" s="7">
        <v>0</v>
      </c>
      <c r="Z184" s="7">
        <v>84.9</v>
      </c>
      <c r="AA184" s="7">
        <v>124.2</v>
      </c>
      <c r="AB184" s="7">
        <v>110.8</v>
      </c>
    </row>
    <row r="185" spans="2:28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  <c r="W185" s="7">
        <v>4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</row>
    <row r="186" spans="2:28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  <c r="W186" s="7">
        <v>107.3</v>
      </c>
      <c r="X186" s="7">
        <v>84.9</v>
      </c>
      <c r="Y186" s="7">
        <v>79.2</v>
      </c>
      <c r="Z186" s="7">
        <v>77.599999999999994</v>
      </c>
      <c r="AA186" s="7">
        <v>66.5</v>
      </c>
      <c r="AB186" s="7">
        <v>86.6</v>
      </c>
    </row>
    <row r="187" spans="2:28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  <c r="W187" s="7">
        <v>450.3</v>
      </c>
      <c r="X187" s="7">
        <v>457.6</v>
      </c>
      <c r="Y187" s="7">
        <v>453.8</v>
      </c>
      <c r="Z187" s="7">
        <v>477</v>
      </c>
      <c r="AA187" s="7">
        <v>478.4</v>
      </c>
      <c r="AB187" s="7">
        <v>501.7</v>
      </c>
    </row>
    <row r="188" spans="2:28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</row>
    <row r="189" spans="2:28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  <c r="W189" s="7">
        <v>65.3</v>
      </c>
      <c r="X189" s="7">
        <v>53.5</v>
      </c>
      <c r="Y189" s="7">
        <v>41.1</v>
      </c>
      <c r="Z189" s="7">
        <v>32.5</v>
      </c>
      <c r="AA189" s="7">
        <v>43.4</v>
      </c>
      <c r="AB189" s="7">
        <v>47.5</v>
      </c>
    </row>
    <row r="190" spans="2:28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</row>
    <row r="191" spans="2:28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  <c r="W191" s="7">
        <v>49.1</v>
      </c>
      <c r="X191" s="7">
        <v>45</v>
      </c>
      <c r="Y191" s="7">
        <v>38</v>
      </c>
      <c r="Z191" s="7">
        <v>41.3</v>
      </c>
      <c r="AA191" s="7">
        <v>35.9</v>
      </c>
      <c r="AB191" s="7">
        <v>32.6</v>
      </c>
    </row>
    <row r="192" spans="2:28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  <c r="W192" s="7">
        <v>18.399999999999999</v>
      </c>
      <c r="X192" s="7">
        <v>21.8</v>
      </c>
      <c r="Y192" s="7">
        <v>21.7</v>
      </c>
      <c r="Z192" s="7">
        <v>38.700000000000003</v>
      </c>
      <c r="AA192" s="7">
        <v>23.6</v>
      </c>
      <c r="AB192" s="7">
        <v>28.5</v>
      </c>
    </row>
    <row r="193" spans="2:28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</row>
    <row r="194" spans="2:28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</row>
    <row r="195" spans="2:28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  <c r="W195" s="7">
        <v>112.7</v>
      </c>
      <c r="X195" s="7">
        <v>102.7</v>
      </c>
      <c r="Y195" s="7">
        <v>120.6</v>
      </c>
      <c r="Z195" s="7">
        <v>124.8</v>
      </c>
      <c r="AA195" s="7">
        <v>129</v>
      </c>
      <c r="AB195" s="7">
        <v>114.9</v>
      </c>
    </row>
    <row r="196" spans="2:28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  <c r="W196" s="7">
        <v>80.900000000000006</v>
      </c>
      <c r="X196" s="7">
        <v>82.8</v>
      </c>
      <c r="Y196" s="7">
        <v>84.5</v>
      </c>
      <c r="Z196" s="7">
        <v>80.599999999999994</v>
      </c>
      <c r="AA196" s="7">
        <v>0</v>
      </c>
      <c r="AB196" s="7">
        <v>0</v>
      </c>
    </row>
    <row r="197" spans="2:28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  <c r="W197" s="7">
        <v>61.6</v>
      </c>
      <c r="X197" s="7">
        <v>47.5</v>
      </c>
      <c r="Y197" s="7">
        <v>54.8</v>
      </c>
      <c r="Z197" s="7">
        <v>60.8</v>
      </c>
      <c r="AA197" s="7">
        <v>74.099999999999994</v>
      </c>
      <c r="AB197" s="7">
        <v>67.3</v>
      </c>
    </row>
    <row r="198" spans="2:28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</row>
    <row r="199" spans="2:28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</row>
    <row r="200" spans="2:28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  <c r="W200" s="7">
        <v>289.60000000000002</v>
      </c>
      <c r="X200" s="7">
        <v>296.8</v>
      </c>
      <c r="Y200" s="7">
        <v>310.60000000000002</v>
      </c>
      <c r="Z200" s="7">
        <v>321.60000000000002</v>
      </c>
      <c r="AA200" s="7">
        <v>309.8</v>
      </c>
      <c r="AB200" s="7">
        <v>288.39999999999998</v>
      </c>
    </row>
    <row r="201" spans="2:28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  <c r="W201" s="7">
        <v>181.9</v>
      </c>
      <c r="X201" s="7">
        <v>371.5</v>
      </c>
      <c r="Y201" s="7">
        <v>355.9</v>
      </c>
      <c r="Z201" s="7">
        <v>221.3</v>
      </c>
      <c r="AA201" s="7">
        <v>367.8</v>
      </c>
      <c r="AB201" s="7">
        <v>376.6</v>
      </c>
    </row>
    <row r="202" spans="2:28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  <c r="W202" s="7">
        <v>199.8</v>
      </c>
      <c r="X202" s="7">
        <v>200</v>
      </c>
      <c r="Y202" s="7">
        <v>217.9</v>
      </c>
      <c r="Z202" s="7">
        <v>218.2</v>
      </c>
      <c r="AA202" s="7">
        <v>200.5</v>
      </c>
      <c r="AB202" s="7">
        <v>200.5</v>
      </c>
    </row>
    <row r="203" spans="2:28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</row>
    <row r="204" spans="2:28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  <c r="W204" s="7">
        <v>72.400000000000006</v>
      </c>
      <c r="X204" s="7">
        <v>69.2</v>
      </c>
      <c r="Y204" s="7">
        <v>59.5</v>
      </c>
      <c r="Z204" s="7">
        <v>71.400000000000006</v>
      </c>
      <c r="AA204" s="7">
        <v>71.8</v>
      </c>
      <c r="AB204" s="7">
        <v>68.599999999999994</v>
      </c>
    </row>
    <row r="205" spans="2:28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  <c r="W205" s="7">
        <v>88.8</v>
      </c>
      <c r="X205" s="7">
        <v>95</v>
      </c>
      <c r="Y205" s="7">
        <v>87.3</v>
      </c>
      <c r="Z205" s="7">
        <v>90.2</v>
      </c>
      <c r="AA205" s="7">
        <v>83.9</v>
      </c>
      <c r="AB205" s="7">
        <v>76.099999999999994</v>
      </c>
    </row>
    <row r="206" spans="2:28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</row>
    <row r="207" spans="2:28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  <c r="W207" s="7">
        <v>84.8</v>
      </c>
      <c r="X207" s="7">
        <v>121.5</v>
      </c>
      <c r="Y207" s="7">
        <v>132.4</v>
      </c>
      <c r="Z207" s="7">
        <v>106.6</v>
      </c>
      <c r="AA207" s="7">
        <v>139.1</v>
      </c>
      <c r="AB207" s="7">
        <v>123.5</v>
      </c>
    </row>
    <row r="208" spans="2:28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</row>
    <row r="209" spans="2:28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  <c r="W209" s="7">
        <v>194.4</v>
      </c>
      <c r="X209" s="7">
        <v>151.9</v>
      </c>
      <c r="Y209" s="7">
        <v>166.6</v>
      </c>
      <c r="Z209" s="7">
        <v>204.2</v>
      </c>
      <c r="AA209" s="7">
        <v>208.3</v>
      </c>
      <c r="AB209" s="7">
        <v>201</v>
      </c>
    </row>
    <row r="210" spans="2:28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</row>
    <row r="211" spans="2:28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  <c r="W211" s="7">
        <v>226.9</v>
      </c>
      <c r="X211" s="7">
        <v>231.9</v>
      </c>
      <c r="Y211" s="7">
        <v>279.5</v>
      </c>
      <c r="Z211" s="7">
        <v>291.10000000000002</v>
      </c>
      <c r="AA211" s="7">
        <v>286.60000000000002</v>
      </c>
      <c r="AB211" s="7">
        <v>256.3</v>
      </c>
    </row>
    <row r="212" spans="2:28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  <c r="W212" s="7">
        <v>55.7</v>
      </c>
      <c r="X212" s="7">
        <v>47.1</v>
      </c>
      <c r="Y212" s="7">
        <v>37.1</v>
      </c>
      <c r="Z212" s="7">
        <v>50</v>
      </c>
      <c r="AA212" s="7">
        <v>37.9</v>
      </c>
      <c r="AB212" s="7">
        <v>45.8</v>
      </c>
    </row>
    <row r="213" spans="2:28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</row>
    <row r="214" spans="2:28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  <c r="W214" s="7">
        <v>358.8</v>
      </c>
      <c r="X214" s="7">
        <v>377.8</v>
      </c>
      <c r="Y214" s="7">
        <v>499.8</v>
      </c>
      <c r="Z214" s="7">
        <v>611.4</v>
      </c>
      <c r="AA214" s="7">
        <v>671.3</v>
      </c>
      <c r="AB214" s="7">
        <v>694.8</v>
      </c>
    </row>
    <row r="215" spans="2:28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  <c r="W215" s="7">
        <v>149.1</v>
      </c>
      <c r="X215" s="7">
        <v>160.6</v>
      </c>
      <c r="Y215" s="7">
        <v>157.19999999999999</v>
      </c>
      <c r="Z215" s="7">
        <v>161.80000000000001</v>
      </c>
      <c r="AA215" s="7">
        <v>135.6</v>
      </c>
      <c r="AB215" s="7">
        <v>101.5</v>
      </c>
    </row>
    <row r="216" spans="2:28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  <c r="W216" s="7">
        <v>117.2</v>
      </c>
      <c r="X216" s="7">
        <v>114.6</v>
      </c>
      <c r="Y216" s="7">
        <v>122.4</v>
      </c>
      <c r="Z216" s="7">
        <v>134.80000000000001</v>
      </c>
      <c r="AA216" s="7">
        <v>124.2</v>
      </c>
      <c r="AB216" s="7">
        <v>123</v>
      </c>
    </row>
    <row r="217" spans="2:28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  <c r="W217" s="7">
        <v>45.6</v>
      </c>
      <c r="X217" s="7">
        <v>43.7</v>
      </c>
      <c r="Y217" s="7">
        <v>42.6</v>
      </c>
      <c r="Z217" s="7">
        <v>38.700000000000003</v>
      </c>
      <c r="AA217" s="7">
        <v>42.8</v>
      </c>
      <c r="AB217" s="7">
        <v>45</v>
      </c>
    </row>
    <row r="218" spans="2:28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  <c r="W218" s="7">
        <v>139</v>
      </c>
      <c r="X218" s="7">
        <v>147.30000000000001</v>
      </c>
      <c r="Y218" s="7">
        <v>135.1</v>
      </c>
      <c r="Z218" s="7">
        <v>116.1</v>
      </c>
      <c r="AA218" s="7">
        <v>117.8</v>
      </c>
      <c r="AB218" s="7">
        <v>119.4</v>
      </c>
    </row>
    <row r="219" spans="2:28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  <c r="W219" s="7">
        <v>173.5</v>
      </c>
      <c r="X219" s="7">
        <v>168.1</v>
      </c>
      <c r="Y219" s="7">
        <v>180.4</v>
      </c>
      <c r="Z219" s="7">
        <v>203</v>
      </c>
      <c r="AA219" s="7">
        <v>199.5</v>
      </c>
      <c r="AB219" s="7">
        <v>211.7</v>
      </c>
    </row>
    <row r="220" spans="2:28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</row>
    <row r="221" spans="2:28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  <c r="W221" s="7">
        <v>101</v>
      </c>
      <c r="X221" s="7">
        <v>93.3</v>
      </c>
      <c r="Y221" s="7">
        <v>84.3</v>
      </c>
      <c r="Z221" s="7">
        <v>92.4</v>
      </c>
      <c r="AA221" s="7">
        <v>104.6</v>
      </c>
      <c r="AB221" s="7">
        <v>100.9</v>
      </c>
    </row>
    <row r="222" spans="2:28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  <c r="W222" s="7">
        <v>153.69999999999999</v>
      </c>
      <c r="X222" s="7">
        <v>161.19999999999999</v>
      </c>
      <c r="Y222" s="7">
        <v>286.8</v>
      </c>
      <c r="Z222" s="7">
        <v>316.39999999999998</v>
      </c>
      <c r="AA222" s="7">
        <v>302.60000000000002</v>
      </c>
      <c r="AB222" s="7">
        <v>260.8</v>
      </c>
    </row>
    <row r="223" spans="2:28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</row>
    <row r="224" spans="2:28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  <c r="W224" s="7">
        <v>25.1</v>
      </c>
      <c r="X224" s="7">
        <v>24.3</v>
      </c>
      <c r="Y224" s="7">
        <v>20.100000000000001</v>
      </c>
      <c r="Z224" s="7">
        <v>20.3</v>
      </c>
      <c r="AA224" s="7">
        <v>19</v>
      </c>
      <c r="AB224" s="7">
        <v>22.6</v>
      </c>
    </row>
    <row r="225" spans="2:28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  <c r="W225" s="7">
        <v>111.4</v>
      </c>
      <c r="X225" s="7">
        <v>112.7</v>
      </c>
      <c r="Y225" s="7">
        <v>132.19999999999999</v>
      </c>
      <c r="Z225" s="7">
        <v>151.30000000000001</v>
      </c>
      <c r="AA225" s="7">
        <v>173.7</v>
      </c>
      <c r="AB225" s="7">
        <v>192.5</v>
      </c>
    </row>
    <row r="226" spans="2:28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  <c r="W226" s="7">
        <v>11.2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</row>
    <row r="227" spans="2:28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</row>
    <row r="228" spans="2:28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  <c r="W228" s="7">
        <v>160.80000000000001</v>
      </c>
      <c r="X228" s="7">
        <v>146.30000000000001</v>
      </c>
      <c r="Y228" s="7">
        <v>153.1</v>
      </c>
      <c r="Z228" s="7">
        <v>147.30000000000001</v>
      </c>
      <c r="AA228" s="7">
        <v>147.80000000000001</v>
      </c>
      <c r="AB228" s="7">
        <v>146</v>
      </c>
    </row>
    <row r="229" spans="2:28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</row>
    <row r="230" spans="2:28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  <c r="W230" s="7">
        <v>75.400000000000006</v>
      </c>
      <c r="X230" s="7">
        <v>94.2</v>
      </c>
      <c r="Y230" s="7">
        <v>117.9</v>
      </c>
      <c r="Z230" s="7">
        <v>98.2</v>
      </c>
      <c r="AA230" s="7">
        <v>110.3</v>
      </c>
      <c r="AB230" s="7">
        <v>113</v>
      </c>
    </row>
    <row r="231" spans="2:28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  <c r="W231" s="7">
        <v>27.5</v>
      </c>
      <c r="X231" s="7">
        <v>20.6</v>
      </c>
      <c r="Y231" s="7">
        <v>40.6</v>
      </c>
      <c r="Z231" s="7">
        <v>58.4</v>
      </c>
      <c r="AA231" s="7">
        <v>67.2</v>
      </c>
      <c r="AB231" s="7">
        <v>69.2</v>
      </c>
    </row>
    <row r="232" spans="2:28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  <c r="W232" s="7">
        <v>154.9</v>
      </c>
      <c r="X232" s="7">
        <v>179.1</v>
      </c>
      <c r="Y232" s="7">
        <v>219.1</v>
      </c>
      <c r="Z232" s="7">
        <v>230.2</v>
      </c>
      <c r="AA232" s="7">
        <v>196.2</v>
      </c>
      <c r="AB232" s="7">
        <v>194.9</v>
      </c>
    </row>
    <row r="233" spans="2:28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  <c r="W233" s="7">
        <v>35.799999999999997</v>
      </c>
      <c r="X233" s="7">
        <v>17.5</v>
      </c>
      <c r="Y233" s="7">
        <v>19.899999999999999</v>
      </c>
      <c r="Z233" s="7">
        <v>22</v>
      </c>
      <c r="AA233" s="7">
        <v>9</v>
      </c>
      <c r="AB233" s="7">
        <v>0</v>
      </c>
    </row>
    <row r="234" spans="2:28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  <c r="W234" s="7">
        <v>72</v>
      </c>
      <c r="X234" s="7">
        <v>52.7</v>
      </c>
      <c r="Y234" s="7">
        <v>84.2</v>
      </c>
      <c r="Z234" s="7">
        <v>35.9</v>
      </c>
      <c r="AA234" s="7">
        <v>47.9</v>
      </c>
      <c r="AB234" s="7">
        <v>43.2</v>
      </c>
    </row>
    <row r="235" spans="2:28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  <c r="W235" s="7">
        <v>35.1</v>
      </c>
      <c r="X235" s="7">
        <v>40.799999999999997</v>
      </c>
      <c r="Y235" s="7">
        <v>25.3</v>
      </c>
      <c r="Z235" s="7">
        <v>18.100000000000001</v>
      </c>
      <c r="AA235" s="7">
        <v>17.3</v>
      </c>
      <c r="AB235" s="7">
        <v>15.5</v>
      </c>
    </row>
    <row r="236" spans="2:28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  <c r="W236" s="7">
        <v>347.9</v>
      </c>
      <c r="X236" s="7">
        <v>311.3</v>
      </c>
      <c r="Y236" s="7">
        <v>274.5</v>
      </c>
      <c r="Z236" s="7">
        <v>252.2</v>
      </c>
      <c r="AA236" s="7">
        <v>201.7</v>
      </c>
      <c r="AB236" s="7">
        <v>208.5</v>
      </c>
    </row>
    <row r="237" spans="2:28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  <c r="W237" s="7">
        <v>46.6</v>
      </c>
      <c r="X237" s="7">
        <v>46.6</v>
      </c>
      <c r="Y237" s="7">
        <v>54.1</v>
      </c>
      <c r="Z237" s="7">
        <v>31</v>
      </c>
      <c r="AA237" s="7">
        <v>29.3</v>
      </c>
      <c r="AB237" s="7">
        <v>24</v>
      </c>
    </row>
    <row r="238" spans="2:28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  <c r="W238" s="7">
        <v>144.69999999999999</v>
      </c>
      <c r="X238" s="7">
        <v>63.8</v>
      </c>
      <c r="Y238" s="7">
        <v>113.3</v>
      </c>
      <c r="Z238" s="7">
        <v>71.400000000000006</v>
      </c>
      <c r="AA238" s="7">
        <v>114.4</v>
      </c>
      <c r="AB238" s="7">
        <v>100.3</v>
      </c>
    </row>
    <row r="239" spans="2:28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  <c r="W239" s="7">
        <v>32.5</v>
      </c>
      <c r="X239" s="7">
        <v>16.100000000000001</v>
      </c>
      <c r="Y239" s="7">
        <v>30.7</v>
      </c>
      <c r="Z239" s="7">
        <v>23.4</v>
      </c>
      <c r="AA239" s="7">
        <v>9.6999999999999993</v>
      </c>
      <c r="AB239" s="7">
        <v>7.7</v>
      </c>
    </row>
    <row r="240" spans="2:28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  <c r="W240" s="7">
        <v>171.4</v>
      </c>
      <c r="X240" s="7">
        <v>133.69999999999999</v>
      </c>
      <c r="Y240" s="7">
        <v>139</v>
      </c>
      <c r="Z240" s="7">
        <v>113</v>
      </c>
      <c r="AA240" s="7">
        <v>124.2</v>
      </c>
      <c r="AB240" s="7">
        <v>118.1</v>
      </c>
    </row>
    <row r="241" spans="2:28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  <c r="W241" s="7">
        <v>70.3</v>
      </c>
      <c r="X241" s="7">
        <v>97.3</v>
      </c>
      <c r="Y241" s="7">
        <v>89.7</v>
      </c>
      <c r="Z241" s="7">
        <v>194.2</v>
      </c>
      <c r="AA241" s="7">
        <v>217.6</v>
      </c>
      <c r="AB241" s="7">
        <v>403.1</v>
      </c>
    </row>
    <row r="242" spans="2:28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  <c r="W242" s="7">
        <v>121</v>
      </c>
      <c r="X242" s="7">
        <v>110</v>
      </c>
      <c r="Y242" s="7">
        <v>38.299999999999997</v>
      </c>
      <c r="Z242" s="7">
        <v>87.9</v>
      </c>
      <c r="AA242" s="7">
        <v>51.6</v>
      </c>
      <c r="AB242" s="7">
        <v>43.8</v>
      </c>
    </row>
    <row r="243" spans="2:28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</row>
    <row r="244" spans="2:28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  <c r="W244" s="7">
        <v>379</v>
      </c>
      <c r="X244" s="7">
        <v>341</v>
      </c>
      <c r="Y244" s="7">
        <v>305.2</v>
      </c>
      <c r="Z244" s="7">
        <v>304.5</v>
      </c>
      <c r="AA244" s="7">
        <v>279.60000000000002</v>
      </c>
      <c r="AB244" s="7">
        <v>264.60000000000002</v>
      </c>
    </row>
    <row r="245" spans="2:28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</row>
    <row r="246" spans="2:28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  <c r="W246" s="7">
        <v>105.3</v>
      </c>
      <c r="X246" s="7">
        <v>111.8</v>
      </c>
      <c r="Y246" s="7">
        <v>113</v>
      </c>
      <c r="Z246" s="7">
        <v>118.5</v>
      </c>
      <c r="AA246" s="7">
        <v>127</v>
      </c>
      <c r="AB246" s="7">
        <v>130.1</v>
      </c>
    </row>
    <row r="247" spans="2:28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  <c r="W247" s="7">
        <v>53.7</v>
      </c>
      <c r="X247" s="7">
        <v>42.2</v>
      </c>
      <c r="Y247" s="7">
        <v>32.4</v>
      </c>
      <c r="Z247" s="7">
        <v>29.8</v>
      </c>
      <c r="AA247" s="7">
        <v>39.700000000000003</v>
      </c>
      <c r="AB247" s="7">
        <v>38.299999999999997</v>
      </c>
    </row>
    <row r="248" spans="2:28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</row>
    <row r="249" spans="2:28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</row>
    <row r="250" spans="2:28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  <c r="W250" s="7">
        <v>168.4</v>
      </c>
      <c r="X250" s="7">
        <v>48.3</v>
      </c>
      <c r="Y250" s="7">
        <v>77.099999999999994</v>
      </c>
      <c r="Z250" s="7">
        <v>66.900000000000006</v>
      </c>
      <c r="AA250" s="7">
        <v>62.4</v>
      </c>
      <c r="AB250" s="7">
        <v>22.7</v>
      </c>
    </row>
    <row r="251" spans="2:28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</row>
    <row r="252" spans="2:28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</row>
    <row r="253" spans="2:28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  <c r="W253" s="7">
        <v>216.5</v>
      </c>
      <c r="X253" s="7">
        <v>198.9</v>
      </c>
      <c r="Y253" s="7">
        <v>204.9</v>
      </c>
      <c r="Z253" s="7">
        <v>202</v>
      </c>
      <c r="AA253" s="7">
        <v>200.9</v>
      </c>
      <c r="AB253" s="7">
        <v>154.6</v>
      </c>
    </row>
    <row r="254" spans="2:28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  <c r="W254" s="7">
        <v>115.9</v>
      </c>
      <c r="X254" s="7">
        <v>124.4</v>
      </c>
      <c r="Y254" s="7">
        <v>142.5</v>
      </c>
      <c r="Z254" s="7">
        <v>128.80000000000001</v>
      </c>
      <c r="AA254" s="7">
        <v>113.3</v>
      </c>
      <c r="AB254" s="7">
        <v>114.9</v>
      </c>
    </row>
    <row r="255" spans="2:28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</row>
    <row r="256" spans="2:28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  <c r="W256" s="7">
        <v>271.2</v>
      </c>
      <c r="X256" s="7">
        <v>283.60000000000002</v>
      </c>
      <c r="Y256" s="7">
        <v>292.7</v>
      </c>
      <c r="Z256" s="7">
        <v>318.10000000000002</v>
      </c>
      <c r="AA256" s="7">
        <v>307</v>
      </c>
      <c r="AB256" s="7">
        <v>322.5</v>
      </c>
    </row>
    <row r="257" spans="2:28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  <c r="W257" s="7">
        <v>174.3</v>
      </c>
      <c r="X257" s="7">
        <v>207.3</v>
      </c>
      <c r="Y257" s="7">
        <v>228</v>
      </c>
      <c r="Z257" s="7">
        <v>216.1</v>
      </c>
      <c r="AA257" s="7">
        <v>214.4</v>
      </c>
      <c r="AB257" s="7">
        <v>222</v>
      </c>
    </row>
    <row r="258" spans="2:28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</row>
    <row r="259" spans="2:28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  <c r="W259" s="7">
        <v>91.9</v>
      </c>
      <c r="X259" s="7">
        <v>119.9</v>
      </c>
      <c r="Y259" s="7">
        <v>129.80000000000001</v>
      </c>
      <c r="Z259" s="7">
        <v>140.19999999999999</v>
      </c>
      <c r="AA259" s="7">
        <v>141.69999999999999</v>
      </c>
      <c r="AB259" s="7">
        <v>137.80000000000001</v>
      </c>
    </row>
    <row r="260" spans="2:28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  <c r="W260" s="7">
        <v>15.6</v>
      </c>
      <c r="X260" s="7">
        <v>15.8</v>
      </c>
      <c r="Y260" s="7">
        <v>13.2</v>
      </c>
      <c r="Z260" s="7">
        <v>12.5</v>
      </c>
      <c r="AA260" s="7">
        <v>13.6</v>
      </c>
      <c r="AB260" s="7">
        <v>14.8</v>
      </c>
    </row>
    <row r="261" spans="2:28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  <c r="W261" s="7">
        <v>180.5</v>
      </c>
      <c r="X261" s="7">
        <v>166.7</v>
      </c>
      <c r="Y261" s="7">
        <v>145.30000000000001</v>
      </c>
      <c r="Z261" s="7">
        <v>164.1</v>
      </c>
      <c r="AA261" s="7">
        <v>155</v>
      </c>
      <c r="AB261" s="7">
        <v>154.80000000000001</v>
      </c>
    </row>
    <row r="262" spans="2:28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  <c r="W262" s="7">
        <v>437.4</v>
      </c>
      <c r="X262" s="7">
        <v>419.9</v>
      </c>
      <c r="Y262" s="7">
        <v>379.9</v>
      </c>
      <c r="Z262" s="7">
        <v>421.3</v>
      </c>
      <c r="AA262" s="7">
        <v>399.8</v>
      </c>
      <c r="AB262" s="7">
        <v>384.2</v>
      </c>
    </row>
    <row r="263" spans="2:28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</row>
    <row r="264" spans="2:28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</row>
    <row r="265" spans="2:28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  <c r="W265" s="7">
        <v>35.799999999999997</v>
      </c>
      <c r="X265" s="7">
        <v>33.5</v>
      </c>
      <c r="Y265" s="7">
        <v>39.200000000000003</v>
      </c>
      <c r="Z265" s="7">
        <v>33.299999999999997</v>
      </c>
      <c r="AA265" s="7">
        <v>37.9</v>
      </c>
      <c r="AB265" s="7">
        <v>36.799999999999997</v>
      </c>
    </row>
    <row r="266" spans="2:28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  <c r="W266" s="7">
        <v>63.7</v>
      </c>
      <c r="X266" s="7">
        <v>66.7</v>
      </c>
      <c r="Y266" s="7">
        <v>66.3</v>
      </c>
      <c r="Z266" s="7">
        <v>71.400000000000006</v>
      </c>
      <c r="AA266" s="7">
        <v>72.099999999999994</v>
      </c>
      <c r="AB266" s="7">
        <v>77.8</v>
      </c>
    </row>
    <row r="267" spans="2:28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</row>
    <row r="268" spans="2:28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</row>
    <row r="269" spans="2:28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  <c r="W269" s="7">
        <v>65.3</v>
      </c>
      <c r="X269" s="7">
        <v>60.1</v>
      </c>
      <c r="Y269" s="7">
        <v>65.3</v>
      </c>
      <c r="Z269" s="7">
        <v>75</v>
      </c>
      <c r="AA269" s="7">
        <v>74.5</v>
      </c>
      <c r="AB269" s="7">
        <v>81.8</v>
      </c>
    </row>
    <row r="270" spans="2:28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  <c r="W270" s="7">
        <v>55.8</v>
      </c>
      <c r="X270" s="7">
        <v>50.6</v>
      </c>
      <c r="Y270" s="7">
        <v>50.9</v>
      </c>
      <c r="Z270" s="7">
        <v>55.1</v>
      </c>
      <c r="AA270" s="7">
        <v>51.4</v>
      </c>
      <c r="AB270" s="7">
        <v>41.3</v>
      </c>
    </row>
    <row r="271" spans="2:28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  <c r="W271" s="7">
        <v>188.4</v>
      </c>
      <c r="X271" s="7">
        <v>177.1</v>
      </c>
      <c r="Y271" s="7">
        <v>196.6</v>
      </c>
      <c r="Z271" s="7">
        <v>182.8</v>
      </c>
      <c r="AA271" s="7">
        <v>172.7</v>
      </c>
      <c r="AB271" s="7">
        <v>183.7</v>
      </c>
    </row>
    <row r="272" spans="2:28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  <c r="W272" s="7">
        <v>9.1</v>
      </c>
      <c r="X272" s="7">
        <v>9.1999999999999993</v>
      </c>
      <c r="Y272" s="7">
        <v>7.2</v>
      </c>
      <c r="Z272" s="7">
        <v>8.1999999999999993</v>
      </c>
      <c r="AA272" s="7">
        <v>9.5</v>
      </c>
      <c r="AB272" s="7">
        <v>11.1</v>
      </c>
    </row>
    <row r="273" spans="2:28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</row>
    <row r="274" spans="2:28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  <c r="W274" s="7">
        <v>286.10000000000002</v>
      </c>
      <c r="X274" s="7">
        <v>291.8</v>
      </c>
      <c r="Y274" s="7">
        <v>311.7</v>
      </c>
      <c r="Z274" s="7">
        <v>346.7</v>
      </c>
      <c r="AA274" s="7">
        <v>351.4</v>
      </c>
      <c r="AB274" s="7">
        <v>356.1</v>
      </c>
    </row>
    <row r="275" spans="2:28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  <c r="W275" s="7">
        <v>52.3</v>
      </c>
      <c r="X275" s="7">
        <v>41.3</v>
      </c>
      <c r="Y275" s="7">
        <v>53</v>
      </c>
      <c r="Z275" s="7">
        <v>61.2</v>
      </c>
      <c r="AA275" s="7">
        <v>78</v>
      </c>
      <c r="AB275" s="7">
        <v>91.1</v>
      </c>
    </row>
    <row r="276" spans="2:28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  <c r="W276" s="7">
        <v>151.19999999999999</v>
      </c>
      <c r="X276" s="7">
        <v>141.1</v>
      </c>
      <c r="Y276" s="7">
        <v>132.19999999999999</v>
      </c>
      <c r="Z276" s="7">
        <v>136.19999999999999</v>
      </c>
      <c r="AA276" s="7">
        <v>119.4</v>
      </c>
      <c r="AB276" s="7">
        <v>135.4</v>
      </c>
    </row>
    <row r="277" spans="2:28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  <c r="W277" s="7">
        <v>78</v>
      </c>
      <c r="X277" s="7">
        <v>77.5</v>
      </c>
      <c r="Y277" s="7">
        <v>73.8</v>
      </c>
      <c r="Z277" s="7">
        <v>64.2</v>
      </c>
      <c r="AA277" s="7">
        <v>61.6</v>
      </c>
      <c r="AB277" s="7">
        <v>52.3</v>
      </c>
    </row>
    <row r="278" spans="2:28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  <c r="W278" s="7">
        <v>171.8</v>
      </c>
      <c r="X278" s="7">
        <v>210.4</v>
      </c>
      <c r="Y278" s="7">
        <v>192.6</v>
      </c>
      <c r="Z278" s="7">
        <v>188.6</v>
      </c>
      <c r="AA278" s="7">
        <v>169.5</v>
      </c>
      <c r="AB278" s="7">
        <v>171.4</v>
      </c>
    </row>
    <row r="279" spans="2:28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  <c r="W279" s="7">
        <v>164.7</v>
      </c>
      <c r="X279" s="7">
        <v>152.1</v>
      </c>
      <c r="Y279" s="7">
        <v>174</v>
      </c>
      <c r="Z279" s="7">
        <v>162.9</v>
      </c>
      <c r="AA279" s="7">
        <v>177.2</v>
      </c>
      <c r="AB279" s="7">
        <v>182.4</v>
      </c>
    </row>
    <row r="280" spans="2:28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  <c r="W280" s="7">
        <v>34.700000000000003</v>
      </c>
      <c r="X280" s="7">
        <v>32.799999999999997</v>
      </c>
      <c r="Y280" s="7">
        <v>28.6</v>
      </c>
      <c r="Z280" s="7">
        <v>28.6</v>
      </c>
      <c r="AA280" s="7">
        <v>28</v>
      </c>
      <c r="AB280" s="7">
        <v>31.8</v>
      </c>
    </row>
    <row r="281" spans="2:28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  <c r="W281" s="7">
        <v>58.9</v>
      </c>
      <c r="X281" s="7">
        <v>54.3</v>
      </c>
      <c r="Y281" s="7">
        <v>59</v>
      </c>
      <c r="Z281" s="7">
        <v>68.5</v>
      </c>
      <c r="AA281" s="7">
        <v>60.2</v>
      </c>
      <c r="AB281" s="7">
        <v>55.9</v>
      </c>
    </row>
    <row r="282" spans="2:28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  <c r="W282" s="7">
        <v>59.1</v>
      </c>
      <c r="X282" s="7">
        <v>65.8</v>
      </c>
      <c r="Y282" s="7">
        <v>65.099999999999994</v>
      </c>
      <c r="Z282" s="7">
        <v>78.599999999999994</v>
      </c>
      <c r="AA282" s="7">
        <v>68.2</v>
      </c>
      <c r="AB282" s="7">
        <v>79.7</v>
      </c>
    </row>
    <row r="283" spans="2:28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  <c r="W283" s="7">
        <v>29.4</v>
      </c>
      <c r="X283" s="7">
        <v>28.4</v>
      </c>
      <c r="Y283" s="7">
        <v>33.9</v>
      </c>
      <c r="Z283" s="7">
        <v>42.2</v>
      </c>
      <c r="AA283" s="7">
        <v>38.9</v>
      </c>
      <c r="AB283" s="7">
        <v>42.2</v>
      </c>
    </row>
    <row r="284" spans="2:28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</row>
    <row r="285" spans="2:28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</row>
    <row r="286" spans="2:28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  <c r="W286" s="7">
        <v>21.7</v>
      </c>
      <c r="X286" s="7">
        <v>19</v>
      </c>
      <c r="Y286" s="7">
        <v>9.6999999999999993</v>
      </c>
      <c r="Z286" s="7">
        <v>32.6</v>
      </c>
      <c r="AA286" s="7">
        <v>36.6</v>
      </c>
      <c r="AB286" s="7">
        <v>31.2</v>
      </c>
    </row>
    <row r="287" spans="2:28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  <c r="W287" s="7">
        <v>39.700000000000003</v>
      </c>
      <c r="X287" s="7">
        <v>35.299999999999997</v>
      </c>
      <c r="Y287" s="7">
        <v>37.1</v>
      </c>
      <c r="Z287" s="7">
        <v>35.200000000000003</v>
      </c>
      <c r="AA287" s="7">
        <v>29.9</v>
      </c>
      <c r="AB287" s="7">
        <v>25.2</v>
      </c>
    </row>
    <row r="288" spans="2:28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  <c r="W288" s="7">
        <v>25.1</v>
      </c>
      <c r="X288" s="7">
        <v>23.3</v>
      </c>
      <c r="Y288" s="7">
        <v>21.3</v>
      </c>
      <c r="Z288" s="7">
        <v>24.2</v>
      </c>
      <c r="AA288" s="7">
        <v>22.9</v>
      </c>
      <c r="AB288" s="7">
        <v>19.7</v>
      </c>
    </row>
    <row r="289" spans="2:28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  <c r="W289" s="7">
        <v>406.8</v>
      </c>
      <c r="X289" s="7">
        <v>365.2</v>
      </c>
      <c r="Y289" s="7">
        <v>372.4</v>
      </c>
      <c r="Z289" s="7">
        <v>409.3</v>
      </c>
      <c r="AA289" s="7">
        <v>426.3</v>
      </c>
      <c r="AB289" s="7">
        <v>425.4</v>
      </c>
    </row>
    <row r="290" spans="2:28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  <c r="W290" s="7">
        <v>4.9000000000000004</v>
      </c>
      <c r="X290" s="7">
        <v>3.8</v>
      </c>
      <c r="Y290" s="7">
        <v>4.5</v>
      </c>
      <c r="Z290" s="7">
        <v>6.1</v>
      </c>
      <c r="AA290" s="7">
        <v>4.2</v>
      </c>
      <c r="AB290" s="7">
        <v>4.5999999999999996</v>
      </c>
    </row>
    <row r="291" spans="2:28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</row>
    <row r="292" spans="2:28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</row>
    <row r="293" spans="2:28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  <c r="W293" s="7">
        <v>94.3</v>
      </c>
      <c r="X293" s="7">
        <v>95.5</v>
      </c>
      <c r="Y293" s="7">
        <v>83.4</v>
      </c>
      <c r="Z293" s="7">
        <v>91.3</v>
      </c>
      <c r="AA293" s="7">
        <v>100.5</v>
      </c>
      <c r="AB293" s="7">
        <v>97.3</v>
      </c>
    </row>
    <row r="294" spans="2:28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</row>
    <row r="295" spans="2:28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  <c r="W295" s="7">
        <v>71.099999999999994</v>
      </c>
      <c r="X295" s="7">
        <v>70.599999999999994</v>
      </c>
      <c r="Y295" s="7">
        <v>70.2</v>
      </c>
      <c r="Z295" s="7">
        <v>79.400000000000006</v>
      </c>
      <c r="AA295" s="7">
        <v>79.8</v>
      </c>
      <c r="AB295" s="7">
        <v>85.4</v>
      </c>
    </row>
    <row r="296" spans="2:28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</row>
    <row r="297" spans="2:28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</row>
    <row r="298" spans="2:28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  <c r="W298" s="7">
        <v>22.1</v>
      </c>
      <c r="X298" s="7">
        <v>28.3</v>
      </c>
      <c r="Y298" s="7">
        <v>30.5</v>
      </c>
      <c r="Z298" s="7">
        <v>30.8</v>
      </c>
      <c r="AA298" s="7">
        <v>31.4</v>
      </c>
      <c r="AB298" s="7">
        <v>32.299999999999997</v>
      </c>
    </row>
    <row r="299" spans="2:28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  <c r="W299" s="7">
        <v>56.4</v>
      </c>
      <c r="X299" s="7">
        <v>56.6</v>
      </c>
      <c r="Y299" s="7">
        <v>53.4</v>
      </c>
      <c r="Z299" s="7">
        <v>64.7</v>
      </c>
      <c r="AA299" s="7">
        <v>57.9</v>
      </c>
      <c r="AB299" s="7">
        <v>55</v>
      </c>
    </row>
    <row r="300" spans="2:28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</row>
    <row r="301" spans="2:28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</row>
    <row r="302" spans="2:28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</row>
    <row r="303" spans="2:28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</row>
    <row r="304" spans="2:28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</row>
    <row r="305" spans="2:28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</row>
    <row r="306" spans="2:28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</row>
    <row r="307" spans="2:28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  <c r="W307" s="7">
        <v>42.4</v>
      </c>
      <c r="X307" s="7">
        <v>40.200000000000003</v>
      </c>
      <c r="Y307" s="7">
        <v>47.5</v>
      </c>
      <c r="Z307" s="7">
        <v>41.9</v>
      </c>
      <c r="AA307" s="7">
        <v>46.1</v>
      </c>
      <c r="AB307" s="7">
        <v>34.299999999999997</v>
      </c>
    </row>
    <row r="308" spans="2:28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</row>
    <row r="309" spans="2:28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</row>
    <row r="310" spans="2:28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  <c r="W310" s="7">
        <v>346.7</v>
      </c>
      <c r="X310" s="7">
        <v>343.9</v>
      </c>
      <c r="Y310" s="7">
        <v>358.5</v>
      </c>
      <c r="Z310" s="7">
        <v>343.3</v>
      </c>
      <c r="AA310" s="7">
        <v>316.39999999999998</v>
      </c>
      <c r="AB310" s="7">
        <v>352.7</v>
      </c>
    </row>
    <row r="311" spans="2:28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</row>
    <row r="312" spans="2:28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</row>
    <row r="313" spans="2:28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  <c r="W313" s="7">
        <v>102.3</v>
      </c>
      <c r="X313" s="7">
        <v>88.4</v>
      </c>
      <c r="Y313" s="7">
        <v>73.2</v>
      </c>
      <c r="Z313" s="7">
        <v>70.3</v>
      </c>
      <c r="AA313" s="7">
        <v>67</v>
      </c>
      <c r="AB313" s="7">
        <v>52.3</v>
      </c>
    </row>
    <row r="314" spans="2:28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  <c r="W314" s="7">
        <v>110.8</v>
      </c>
      <c r="X314" s="7">
        <v>0</v>
      </c>
      <c r="Y314" s="7">
        <v>544.9</v>
      </c>
      <c r="Z314" s="7">
        <v>913.4</v>
      </c>
      <c r="AA314" s="7">
        <v>277</v>
      </c>
      <c r="AB314" s="7">
        <v>105.6</v>
      </c>
    </row>
    <row r="315" spans="2:28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  <c r="W315" s="7">
        <v>42.6</v>
      </c>
      <c r="X315" s="7">
        <v>36.700000000000003</v>
      </c>
      <c r="Y315" s="7">
        <v>53.1</v>
      </c>
      <c r="Z315" s="7">
        <v>40.5</v>
      </c>
      <c r="AA315" s="7">
        <v>48.9</v>
      </c>
      <c r="AB315" s="7">
        <v>54.1</v>
      </c>
    </row>
    <row r="316" spans="2:28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  <c r="W316" s="7">
        <v>237.3</v>
      </c>
      <c r="X316" s="7">
        <v>209.5</v>
      </c>
      <c r="Y316" s="7">
        <v>254.9</v>
      </c>
      <c r="Z316" s="7">
        <v>247.5</v>
      </c>
      <c r="AA316" s="7">
        <v>262.5</v>
      </c>
      <c r="AB316" s="7">
        <v>252</v>
      </c>
    </row>
    <row r="317" spans="2:28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  <c r="W317" s="7">
        <v>39.200000000000003</v>
      </c>
      <c r="X317" s="7">
        <v>34.4</v>
      </c>
      <c r="Y317" s="7">
        <v>33.700000000000003</v>
      </c>
      <c r="Z317" s="7">
        <v>29.7</v>
      </c>
      <c r="AA317" s="7">
        <v>28.6</v>
      </c>
      <c r="AB317" s="7">
        <v>23.3</v>
      </c>
    </row>
    <row r="318" spans="2:28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</row>
    <row r="319" spans="2:28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</row>
    <row r="320" spans="2:28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</row>
    <row r="321" spans="2:28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</row>
    <row r="322" spans="2:28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</row>
    <row r="323" spans="2:28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</row>
    <row r="324" spans="2:28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  <c r="W324" s="7">
        <v>106.3</v>
      </c>
      <c r="X324" s="7">
        <v>215.2</v>
      </c>
      <c r="Y324" s="7">
        <v>194.3</v>
      </c>
      <c r="Z324" s="7">
        <v>474.1</v>
      </c>
      <c r="AA324" s="7">
        <v>549.6</v>
      </c>
      <c r="AB324" s="7">
        <v>607.70000000000005</v>
      </c>
    </row>
    <row r="325" spans="2:28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</row>
    <row r="326" spans="2:28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</row>
    <row r="327" spans="2:28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</row>
    <row r="328" spans="2:28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  <c r="W328" s="7">
        <v>10.8</v>
      </c>
      <c r="X328" s="7">
        <v>5.9</v>
      </c>
      <c r="Y328" s="7">
        <v>7.6</v>
      </c>
      <c r="Z328" s="7">
        <v>0.9</v>
      </c>
      <c r="AA328" s="7">
        <v>0</v>
      </c>
      <c r="AB328" s="7">
        <v>0</v>
      </c>
    </row>
    <row r="329" spans="2:28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</row>
    <row r="330" spans="2:28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</row>
    <row r="331" spans="2:28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86.5</v>
      </c>
      <c r="X331" s="7">
        <v>52.1</v>
      </c>
      <c r="Y331" s="7">
        <v>69.599999999999994</v>
      </c>
      <c r="Z331" s="7">
        <v>56.6</v>
      </c>
      <c r="AA331" s="7">
        <v>47.7</v>
      </c>
      <c r="AB331" s="7">
        <v>24.2</v>
      </c>
    </row>
    <row r="332" spans="2:28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  <c r="W332" s="7">
        <v>149.5</v>
      </c>
      <c r="X332" s="7">
        <v>135.80000000000001</v>
      </c>
      <c r="Y332" s="7">
        <v>137.80000000000001</v>
      </c>
      <c r="Z332" s="7">
        <v>148.5</v>
      </c>
      <c r="AA332" s="7">
        <v>184.4</v>
      </c>
      <c r="AB332" s="7">
        <v>157.9</v>
      </c>
    </row>
    <row r="333" spans="2:28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</row>
    <row r="334" spans="2:28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</row>
    <row r="335" spans="2:28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</row>
    <row r="336" spans="2:28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</row>
    <row r="337" spans="2:28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</row>
    <row r="338" spans="2:28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</row>
    <row r="339" spans="2:28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</row>
    <row r="340" spans="2:28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</row>
    <row r="341" spans="2:28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  <c r="W341" s="7">
        <v>43.4</v>
      </c>
      <c r="X341" s="7">
        <v>9.6999999999999993</v>
      </c>
      <c r="Y341" s="7">
        <v>8.3000000000000007</v>
      </c>
      <c r="Z341" s="7">
        <v>0</v>
      </c>
      <c r="AA341" s="7">
        <v>0</v>
      </c>
      <c r="AB341" s="7">
        <v>26</v>
      </c>
    </row>
    <row r="342" spans="2:28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4.3</v>
      </c>
      <c r="Y342" s="7">
        <v>0</v>
      </c>
      <c r="Z342" s="7">
        <v>0</v>
      </c>
      <c r="AA342" s="7">
        <v>0</v>
      </c>
      <c r="AB342" s="7">
        <v>0</v>
      </c>
    </row>
    <row r="343" spans="2:28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  <c r="W343" s="7">
        <v>55.5</v>
      </c>
      <c r="X343" s="7">
        <v>55.1</v>
      </c>
      <c r="Y343" s="7">
        <v>62.4</v>
      </c>
      <c r="Z343" s="7">
        <v>71.5</v>
      </c>
      <c r="AA343" s="7">
        <v>21</v>
      </c>
      <c r="AB343" s="7">
        <v>11.8</v>
      </c>
    </row>
    <row r="344" spans="2:28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  <c r="W344" s="7">
        <v>455.8</v>
      </c>
      <c r="X344" s="7">
        <v>474.2</v>
      </c>
      <c r="Y344" s="7">
        <v>536.4</v>
      </c>
      <c r="Z344" s="7">
        <v>537.20000000000005</v>
      </c>
      <c r="AA344" s="7">
        <v>591.6</v>
      </c>
      <c r="AB344" s="7">
        <v>603.6</v>
      </c>
    </row>
    <row r="345" spans="2:28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</row>
    <row r="346" spans="2:28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  <c r="W346" s="7">
        <v>504.7</v>
      </c>
      <c r="X346" s="7">
        <v>614.1</v>
      </c>
      <c r="Y346" s="7">
        <v>779.1</v>
      </c>
      <c r="Z346" s="7">
        <v>989.9</v>
      </c>
      <c r="AA346" s="7">
        <v>1305.2</v>
      </c>
      <c r="AB346" s="7">
        <v>1365.5</v>
      </c>
    </row>
    <row r="347" spans="2:28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</row>
    <row r="348" spans="2:28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  <c r="W348" s="7">
        <v>109</v>
      </c>
      <c r="X348" s="7">
        <v>109.2</v>
      </c>
      <c r="Y348" s="7">
        <v>111</v>
      </c>
      <c r="Z348" s="7">
        <v>105.9</v>
      </c>
      <c r="AA348" s="7">
        <v>85.1</v>
      </c>
      <c r="AB348" s="7">
        <v>81.099999999999994</v>
      </c>
    </row>
    <row r="349" spans="2:28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</row>
    <row r="350" spans="2:28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  <c r="W350" s="7">
        <v>83.5</v>
      </c>
      <c r="X350" s="7">
        <v>74.400000000000006</v>
      </c>
      <c r="Y350" s="7">
        <v>64.900000000000006</v>
      </c>
      <c r="Z350" s="7">
        <v>62.8</v>
      </c>
      <c r="AA350" s="7">
        <v>52.6</v>
      </c>
      <c r="AB350" s="7">
        <v>57.2</v>
      </c>
    </row>
    <row r="351" spans="2:28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  <c r="W351" s="7">
        <v>73.099999999999994</v>
      </c>
      <c r="X351" s="7">
        <v>98.6</v>
      </c>
      <c r="Y351" s="7">
        <v>119.2</v>
      </c>
      <c r="Z351" s="7">
        <v>177.8</v>
      </c>
      <c r="AA351" s="7">
        <v>387.7</v>
      </c>
      <c r="AB351" s="7">
        <v>462.4</v>
      </c>
    </row>
    <row r="352" spans="2:28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  <c r="W352" s="7">
        <v>177.1</v>
      </c>
      <c r="X352" s="7">
        <v>190.1</v>
      </c>
      <c r="Y352" s="7">
        <v>206.8</v>
      </c>
      <c r="Z352" s="7">
        <v>217.5</v>
      </c>
      <c r="AA352" s="7">
        <v>231.8</v>
      </c>
      <c r="AB352" s="7">
        <v>241.5</v>
      </c>
    </row>
    <row r="353" spans="2:28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  <c r="W353" s="7">
        <v>43</v>
      </c>
      <c r="X353" s="7">
        <v>44.6</v>
      </c>
      <c r="Y353" s="7">
        <v>39.6</v>
      </c>
      <c r="Z353" s="7">
        <v>37.1</v>
      </c>
      <c r="AA353" s="7">
        <v>38.299999999999997</v>
      </c>
      <c r="AB353" s="7">
        <v>30.9</v>
      </c>
    </row>
    <row r="354" spans="2:28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</row>
    <row r="355" spans="2:28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  <c r="W355" s="7">
        <v>495.7</v>
      </c>
      <c r="X355" s="7">
        <v>1124.8</v>
      </c>
      <c r="Y355" s="7">
        <v>1144.3</v>
      </c>
      <c r="Z355" s="7">
        <v>1520.6</v>
      </c>
      <c r="AA355" s="7">
        <v>1551.8</v>
      </c>
      <c r="AB355" s="7">
        <v>1467.5</v>
      </c>
    </row>
    <row r="356" spans="2:28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</row>
    <row r="357" spans="2:28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  <c r="W357" s="7">
        <v>134.30000000000001</v>
      </c>
      <c r="X357" s="7">
        <v>96.2</v>
      </c>
      <c r="Y357" s="7">
        <v>109.1</v>
      </c>
      <c r="Z357" s="7">
        <v>233.5</v>
      </c>
      <c r="AA357" s="7">
        <v>255.7</v>
      </c>
      <c r="AB357" s="7">
        <v>286.89999999999998</v>
      </c>
    </row>
    <row r="358" spans="2:28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</row>
    <row r="359" spans="2:28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</row>
    <row r="360" spans="2:28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</row>
    <row r="361" spans="2:28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  <c r="W361" s="7">
        <v>331.1</v>
      </c>
      <c r="X361" s="7">
        <v>0</v>
      </c>
      <c r="Y361" s="7">
        <v>568.29999999999995</v>
      </c>
      <c r="Z361" s="7">
        <v>3043.6</v>
      </c>
      <c r="AA361" s="7">
        <v>3495</v>
      </c>
      <c r="AB361" s="7">
        <v>4303.8999999999996</v>
      </c>
    </row>
    <row r="362" spans="2:28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</row>
    <row r="363" spans="2:28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  <c r="W363" s="7">
        <v>0</v>
      </c>
      <c r="X363" s="7">
        <v>111.6</v>
      </c>
      <c r="Y363" s="7">
        <v>137.5</v>
      </c>
      <c r="Z363" s="7">
        <v>251.1</v>
      </c>
      <c r="AA363" s="7">
        <v>277</v>
      </c>
      <c r="AB363" s="7">
        <v>165.1</v>
      </c>
    </row>
    <row r="364" spans="2:28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  <c r="W364" s="7">
        <v>173</v>
      </c>
      <c r="X364" s="7">
        <v>150.5</v>
      </c>
      <c r="Y364" s="7">
        <v>181.8</v>
      </c>
      <c r="Z364" s="7">
        <v>157.6</v>
      </c>
      <c r="AA364" s="7">
        <v>212</v>
      </c>
      <c r="AB364" s="7">
        <v>191.6</v>
      </c>
    </row>
    <row r="365" spans="2:28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  <c r="W365" s="7">
        <v>132.6</v>
      </c>
      <c r="X365" s="7">
        <v>117.6</v>
      </c>
      <c r="Y365" s="7">
        <v>124.9</v>
      </c>
      <c r="Z365" s="7">
        <v>126.3</v>
      </c>
      <c r="AA365" s="7">
        <v>110.1</v>
      </c>
      <c r="AB365" s="7">
        <v>112.8</v>
      </c>
    </row>
    <row r="366" spans="2:28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  <c r="W366" s="7">
        <v>150.80000000000001</v>
      </c>
      <c r="X366" s="7">
        <v>99.3</v>
      </c>
      <c r="Y366" s="7">
        <v>91.1</v>
      </c>
      <c r="Z366" s="7">
        <v>196.6</v>
      </c>
      <c r="AA366" s="7">
        <v>237</v>
      </c>
      <c r="AB366" s="7">
        <v>226.1</v>
      </c>
    </row>
    <row r="367" spans="2:28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</row>
    <row r="368" spans="2:28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</row>
    <row r="369" spans="2:28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  <c r="W369" s="7">
        <v>115.6</v>
      </c>
      <c r="X369" s="7">
        <v>121.6</v>
      </c>
      <c r="Y369" s="7">
        <v>105.1</v>
      </c>
      <c r="Z369" s="7">
        <v>90.2</v>
      </c>
      <c r="AA369" s="7">
        <v>89.7</v>
      </c>
      <c r="AB369" s="7">
        <v>84.7</v>
      </c>
    </row>
    <row r="370" spans="2:28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  <c r="W370" s="7">
        <v>171.8</v>
      </c>
      <c r="X370" s="7">
        <v>168.7</v>
      </c>
      <c r="Y370" s="7">
        <v>147</v>
      </c>
      <c r="Z370" s="7">
        <v>167.1</v>
      </c>
      <c r="AA370" s="7">
        <v>168.2</v>
      </c>
      <c r="AB370" s="7">
        <v>157.30000000000001</v>
      </c>
    </row>
    <row r="371" spans="2:28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  <c r="W371" s="7">
        <v>34.4</v>
      </c>
      <c r="X371" s="7">
        <v>38</v>
      </c>
      <c r="Y371" s="7">
        <v>36.700000000000003</v>
      </c>
      <c r="Z371" s="7">
        <v>29.7</v>
      </c>
      <c r="AA371" s="7">
        <v>32.6</v>
      </c>
      <c r="AB371" s="7">
        <v>26.6</v>
      </c>
    </row>
    <row r="372" spans="2:28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  <c r="W372" s="7">
        <v>213.5</v>
      </c>
      <c r="X372" s="7">
        <v>423.4</v>
      </c>
      <c r="Y372" s="7">
        <v>307.8</v>
      </c>
      <c r="Z372" s="7">
        <v>259.3</v>
      </c>
      <c r="AA372" s="7">
        <v>351.2</v>
      </c>
      <c r="AB372" s="7">
        <v>266</v>
      </c>
    </row>
    <row r="373" spans="2:28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  <c r="W373" s="7">
        <v>11.8</v>
      </c>
      <c r="X373" s="7">
        <v>14.7</v>
      </c>
      <c r="Y373" s="7">
        <v>13.6</v>
      </c>
      <c r="Z373" s="7">
        <v>13.2</v>
      </c>
      <c r="AA373" s="7">
        <v>13.2</v>
      </c>
      <c r="AB373" s="7">
        <v>10.5</v>
      </c>
    </row>
    <row r="374" spans="2:28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  <c r="W374" s="7">
        <v>231.2</v>
      </c>
      <c r="X374" s="7">
        <v>214.2</v>
      </c>
      <c r="Y374" s="7">
        <v>219.3</v>
      </c>
      <c r="Z374" s="7">
        <v>232.9</v>
      </c>
      <c r="AA374" s="7">
        <v>242.5</v>
      </c>
      <c r="AB374" s="7">
        <v>253</v>
      </c>
    </row>
    <row r="375" spans="2:28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</row>
    <row r="376" spans="2:28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  <c r="W376" s="7">
        <v>220.7</v>
      </c>
      <c r="X376" s="7">
        <v>807</v>
      </c>
      <c r="Y376" s="7">
        <v>181</v>
      </c>
      <c r="Z376" s="7">
        <v>71.7</v>
      </c>
      <c r="AA376" s="7">
        <v>71.7</v>
      </c>
      <c r="AB376" s="7">
        <v>0</v>
      </c>
    </row>
    <row r="377" spans="2:28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</row>
    <row r="378" spans="2:28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  <c r="W378" s="7">
        <v>206.9</v>
      </c>
      <c r="X378" s="7">
        <v>197.7</v>
      </c>
      <c r="Y378" s="7">
        <v>187.9</v>
      </c>
      <c r="Z378" s="7">
        <v>201.3</v>
      </c>
      <c r="AA378" s="7">
        <v>188.6</v>
      </c>
      <c r="AB378" s="7">
        <v>196.7</v>
      </c>
    </row>
    <row r="379" spans="2:28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  <c r="W379" s="7">
        <v>40.5</v>
      </c>
      <c r="X379" s="7">
        <v>31.5</v>
      </c>
      <c r="Y379" s="7">
        <v>52.5</v>
      </c>
      <c r="Z379" s="7">
        <v>69.2</v>
      </c>
      <c r="AA379" s="7">
        <v>68</v>
      </c>
      <c r="AB379" s="7">
        <v>63.9</v>
      </c>
    </row>
    <row r="380" spans="2:28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  <c r="W380" s="7">
        <v>75.7</v>
      </c>
      <c r="X380" s="7">
        <v>88.7</v>
      </c>
      <c r="Y380" s="7">
        <v>93.5</v>
      </c>
      <c r="Z380" s="7">
        <v>104.7</v>
      </c>
      <c r="AA380" s="7">
        <v>94</v>
      </c>
      <c r="AB380" s="7">
        <v>91.4</v>
      </c>
    </row>
    <row r="381" spans="2:28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  <c r="W381" s="7">
        <v>153.19999999999999</v>
      </c>
      <c r="X381" s="7">
        <v>179.7</v>
      </c>
      <c r="Y381" s="7">
        <v>183.2</v>
      </c>
      <c r="Z381" s="7">
        <v>184.3</v>
      </c>
      <c r="AA381" s="7">
        <v>164</v>
      </c>
      <c r="AB381" s="7">
        <v>174.4</v>
      </c>
    </row>
    <row r="382" spans="2:28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</row>
    <row r="383" spans="2:28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</row>
    <row r="384" spans="2:28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</row>
    <row r="385" spans="2:28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  <c r="W385" s="7">
        <v>83</v>
      </c>
      <c r="X385" s="7">
        <v>88.9</v>
      </c>
      <c r="Y385" s="7">
        <v>85.9</v>
      </c>
      <c r="Z385" s="7">
        <v>96.7</v>
      </c>
      <c r="AA385" s="7">
        <v>106.2</v>
      </c>
      <c r="AB385" s="7">
        <v>94</v>
      </c>
    </row>
    <row r="386" spans="2:28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  <c r="W386" s="7">
        <v>99.3</v>
      </c>
      <c r="X386" s="7">
        <v>94.3</v>
      </c>
      <c r="Y386" s="7">
        <v>103.2</v>
      </c>
      <c r="Z386" s="7">
        <v>84.9</v>
      </c>
      <c r="AA386" s="7">
        <v>75.099999999999994</v>
      </c>
      <c r="AB386" s="7">
        <v>66.599999999999994</v>
      </c>
    </row>
    <row r="387" spans="2:28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  <c r="W387" s="7">
        <v>138</v>
      </c>
      <c r="X387" s="7">
        <v>142</v>
      </c>
      <c r="Y387" s="7">
        <v>198</v>
      </c>
      <c r="Z387" s="7">
        <v>205.4</v>
      </c>
      <c r="AA387" s="7">
        <v>188.4</v>
      </c>
      <c r="AB387" s="7">
        <v>212.2</v>
      </c>
    </row>
    <row r="388" spans="2:28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</row>
    <row r="389" spans="2:28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2.6</v>
      </c>
      <c r="Y389" s="7">
        <v>14.2</v>
      </c>
      <c r="Z389" s="7">
        <v>20.100000000000001</v>
      </c>
      <c r="AA389" s="7">
        <v>20</v>
      </c>
      <c r="AB389" s="7">
        <v>21.7</v>
      </c>
    </row>
    <row r="390" spans="2:28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  <c r="W390" s="7">
        <v>148.4</v>
      </c>
      <c r="X390" s="7">
        <v>191.7</v>
      </c>
      <c r="Y390" s="7">
        <v>219</v>
      </c>
      <c r="Z390" s="7">
        <v>241.4</v>
      </c>
      <c r="AA390" s="7">
        <v>291.60000000000002</v>
      </c>
      <c r="AB390" s="7">
        <v>308.5</v>
      </c>
    </row>
    <row r="391" spans="2:28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  <c r="W391" s="7">
        <v>211.9</v>
      </c>
      <c r="X391" s="7">
        <v>462.3</v>
      </c>
      <c r="Y391" s="7">
        <v>345.6</v>
      </c>
      <c r="Z391" s="7">
        <v>291.89999999999998</v>
      </c>
      <c r="AA391" s="7">
        <v>420.4</v>
      </c>
      <c r="AB391" s="7">
        <v>330.8</v>
      </c>
    </row>
    <row r="392" spans="2:28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</row>
    <row r="393" spans="2:28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</row>
    <row r="394" spans="2:28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</row>
    <row r="395" spans="2:28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</row>
    <row r="396" spans="2:28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  <c r="W396" s="7">
        <v>92.2</v>
      </c>
      <c r="X396" s="7">
        <v>94.6</v>
      </c>
      <c r="Y396" s="7">
        <v>81.900000000000006</v>
      </c>
      <c r="Z396" s="7">
        <v>69.2</v>
      </c>
      <c r="AA396" s="7">
        <v>57.3</v>
      </c>
      <c r="AB396" s="7">
        <v>53.3</v>
      </c>
    </row>
    <row r="397" spans="2:28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</row>
    <row r="398" spans="2:28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  <c r="W398" s="7">
        <v>4.5</v>
      </c>
      <c r="X398" s="7">
        <v>10.6</v>
      </c>
      <c r="Y398" s="7">
        <v>7.1</v>
      </c>
      <c r="Z398" s="7">
        <v>9.8000000000000007</v>
      </c>
      <c r="AA398" s="7">
        <v>2.7</v>
      </c>
      <c r="AB398" s="7">
        <v>0</v>
      </c>
    </row>
    <row r="399" spans="2:28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</row>
    <row r="400" spans="2:28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  <c r="W400" s="7">
        <v>57</v>
      </c>
      <c r="X400" s="7">
        <v>41.2</v>
      </c>
      <c r="Y400" s="7">
        <v>70.599999999999994</v>
      </c>
      <c r="Z400" s="7">
        <v>77.7</v>
      </c>
      <c r="AA400" s="7">
        <v>71.900000000000006</v>
      </c>
      <c r="AB400" s="7">
        <v>68.2</v>
      </c>
    </row>
    <row r="401" spans="2:28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</row>
    <row r="402" spans="2:28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</row>
    <row r="403" spans="2:28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</row>
    <row r="404" spans="2:28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</row>
    <row r="405" spans="2:28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</row>
    <row r="406" spans="2:28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</row>
    <row r="407" spans="2:28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</row>
    <row r="408" spans="2:28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</row>
    <row r="409" spans="2:28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</row>
    <row r="410" spans="2:28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  <c r="W410" s="7">
        <v>26.3</v>
      </c>
      <c r="X410" s="7">
        <v>43.4</v>
      </c>
      <c r="Y410" s="7">
        <v>53.6</v>
      </c>
      <c r="Z410" s="7">
        <v>52.1</v>
      </c>
      <c r="AA410" s="7">
        <v>40.9</v>
      </c>
      <c r="AB410" s="7">
        <v>9.3000000000000007</v>
      </c>
    </row>
    <row r="411" spans="2:28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  <c r="W411" s="7">
        <v>14</v>
      </c>
      <c r="X411" s="7">
        <v>9.1999999999999993</v>
      </c>
      <c r="Y411" s="7">
        <v>13.7</v>
      </c>
      <c r="Z411" s="7">
        <v>6.5</v>
      </c>
      <c r="AA411" s="7">
        <v>2.2000000000000002</v>
      </c>
      <c r="AB411" s="7">
        <v>6.8</v>
      </c>
    </row>
    <row r="412" spans="2:28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  <c r="W412" s="7">
        <v>27.8</v>
      </c>
      <c r="X412" s="7">
        <v>43.9</v>
      </c>
      <c r="Y412" s="7">
        <v>46.1</v>
      </c>
      <c r="Z412" s="7">
        <v>57.1</v>
      </c>
      <c r="AA412" s="7">
        <v>51.7</v>
      </c>
      <c r="AB412" s="7">
        <v>62.3</v>
      </c>
    </row>
    <row r="413" spans="2:28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</row>
    <row r="414" spans="2:28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</row>
    <row r="415" spans="2:28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</row>
    <row r="416" spans="2:28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</row>
    <row r="417" spans="2:28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  <c r="W417" s="7">
        <v>30.6</v>
      </c>
      <c r="X417" s="7">
        <v>29.1</v>
      </c>
      <c r="Y417" s="7">
        <v>33.1</v>
      </c>
      <c r="Z417" s="7">
        <v>42.3</v>
      </c>
      <c r="AA417" s="7">
        <v>37.799999999999997</v>
      </c>
      <c r="AB417" s="7">
        <v>31.8</v>
      </c>
    </row>
    <row r="418" spans="2:28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</row>
    <row r="419" spans="2:28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  <c r="W419" s="7">
        <v>8.8000000000000007</v>
      </c>
      <c r="X419" s="7">
        <v>35.5</v>
      </c>
      <c r="Y419" s="7">
        <v>34.1</v>
      </c>
      <c r="Z419" s="7">
        <v>50.5</v>
      </c>
      <c r="AA419" s="7">
        <v>63.8</v>
      </c>
      <c r="AB419" s="7">
        <v>69.900000000000006</v>
      </c>
    </row>
    <row r="420" spans="2:28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</row>
    <row r="421" spans="2:28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  <c r="W421" s="7">
        <v>17.8</v>
      </c>
      <c r="X421" s="7">
        <v>19.3</v>
      </c>
      <c r="Y421" s="7">
        <v>26.5</v>
      </c>
      <c r="Z421" s="7">
        <v>26.1</v>
      </c>
      <c r="AA421" s="7">
        <v>44.8</v>
      </c>
      <c r="AB421" s="7">
        <v>37.4</v>
      </c>
    </row>
    <row r="422" spans="2:28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</row>
    <row r="423" spans="2:28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  <c r="W423" s="7">
        <v>24.9</v>
      </c>
      <c r="X423" s="7">
        <v>23.1</v>
      </c>
      <c r="Y423" s="7">
        <v>21.7</v>
      </c>
      <c r="Z423" s="7">
        <v>22.3</v>
      </c>
      <c r="AA423" s="7">
        <v>23.7</v>
      </c>
      <c r="AB423" s="7">
        <v>22.9</v>
      </c>
    </row>
    <row r="424" spans="2:28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</row>
    <row r="425" spans="2:28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  <c r="W425" s="7">
        <v>30.1</v>
      </c>
      <c r="X425" s="7">
        <v>60.2</v>
      </c>
      <c r="Y425" s="7">
        <v>95.9</v>
      </c>
      <c r="Z425" s="7">
        <v>122.6</v>
      </c>
      <c r="AA425" s="7">
        <v>109.6</v>
      </c>
      <c r="AB425" s="7">
        <v>83.5</v>
      </c>
    </row>
    <row r="426" spans="2:28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  <c r="W426" s="7">
        <v>6.7</v>
      </c>
      <c r="X426" s="7">
        <v>13.2</v>
      </c>
      <c r="Y426" s="7">
        <v>36.6</v>
      </c>
      <c r="Z426" s="7">
        <v>47</v>
      </c>
      <c r="AA426" s="7">
        <v>44.9</v>
      </c>
      <c r="AB426" s="7">
        <v>48.4</v>
      </c>
    </row>
    <row r="427" spans="2:28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</row>
    <row r="428" spans="2:28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</row>
    <row r="429" spans="2:28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</row>
    <row r="430" spans="2:28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</row>
    <row r="431" spans="2:28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</row>
    <row r="432" spans="2:28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  <c r="W432" s="7">
        <v>99.4</v>
      </c>
      <c r="X432" s="7">
        <v>84</v>
      </c>
      <c r="Y432" s="7">
        <v>72.400000000000006</v>
      </c>
      <c r="Z432" s="7">
        <v>69.7</v>
      </c>
      <c r="AA432" s="7">
        <v>36.5</v>
      </c>
      <c r="AB432" s="7">
        <v>18.600000000000001</v>
      </c>
    </row>
    <row r="433" spans="2:28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  <c r="W433" s="7">
        <v>43</v>
      </c>
      <c r="X433" s="7">
        <v>31.9</v>
      </c>
      <c r="Y433" s="7">
        <v>45.1</v>
      </c>
      <c r="Z433" s="7">
        <v>33.4</v>
      </c>
      <c r="AA433" s="7">
        <v>33</v>
      </c>
      <c r="AB433" s="7">
        <v>32</v>
      </c>
    </row>
    <row r="434" spans="2:28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</row>
    <row r="435" spans="2:28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</row>
    <row r="436" spans="2:28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16.8</v>
      </c>
      <c r="AB436" s="7">
        <v>14.6</v>
      </c>
    </row>
    <row r="437" spans="2:28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</row>
    <row r="438" spans="2:28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</row>
    <row r="439" spans="2:28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</row>
    <row r="440" spans="2:28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</row>
    <row r="441" spans="2:28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</row>
    <row r="442" spans="2:28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</row>
    <row r="443" spans="2:28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</row>
    <row r="444" spans="2:28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  <c r="W444" s="7">
        <v>42.4</v>
      </c>
      <c r="X444" s="7">
        <v>38.700000000000003</v>
      </c>
      <c r="Y444" s="7">
        <v>44.9</v>
      </c>
      <c r="Z444" s="7">
        <v>40.700000000000003</v>
      </c>
      <c r="AA444" s="7">
        <v>73</v>
      </c>
      <c r="AB444" s="7">
        <v>11.3</v>
      </c>
    </row>
    <row r="445" spans="2:28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</row>
    <row r="446" spans="2:28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  <c r="W446" s="7">
        <v>53.5</v>
      </c>
      <c r="X446" s="7">
        <v>53</v>
      </c>
      <c r="Y446" s="7">
        <v>58.2</v>
      </c>
      <c r="Z446" s="7">
        <v>78.2</v>
      </c>
      <c r="AA446" s="7">
        <v>92</v>
      </c>
      <c r="AB446" s="7">
        <v>49.3</v>
      </c>
    </row>
    <row r="447" spans="2:28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  <c r="W447" s="7">
        <v>65.5</v>
      </c>
      <c r="X447" s="7">
        <v>68.2</v>
      </c>
      <c r="Y447" s="7">
        <v>61.6</v>
      </c>
      <c r="Z447" s="7">
        <v>60.6</v>
      </c>
      <c r="AA447" s="7">
        <v>60.1</v>
      </c>
      <c r="AB447" s="7">
        <v>45</v>
      </c>
    </row>
    <row r="448" spans="2:28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</row>
    <row r="449" spans="2:28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  <c r="W449" s="7">
        <v>163.9</v>
      </c>
      <c r="X449" s="7">
        <v>175.4</v>
      </c>
      <c r="Y449" s="7">
        <v>169.9</v>
      </c>
      <c r="Z449" s="7">
        <v>175.8</v>
      </c>
      <c r="AA449" s="7">
        <v>140.1</v>
      </c>
      <c r="AB449" s="7">
        <v>28.1</v>
      </c>
    </row>
    <row r="450" spans="2:28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</row>
    <row r="451" spans="2:28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</row>
    <row r="452" spans="2:28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</row>
    <row r="453" spans="2:28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</row>
    <row r="454" spans="2:28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</row>
    <row r="455" spans="2:28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</row>
    <row r="456" spans="2:28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</row>
    <row r="457" spans="2:28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</row>
    <row r="458" spans="2:28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</row>
    <row r="459" spans="2:28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</row>
    <row r="460" spans="2:28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</row>
    <row r="461" spans="2:28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  <c r="W461" s="7">
        <v>168</v>
      </c>
      <c r="X461" s="7">
        <v>149.19999999999999</v>
      </c>
      <c r="Y461" s="7">
        <v>177.7</v>
      </c>
      <c r="Z461" s="7">
        <v>196.1</v>
      </c>
      <c r="AA461" s="7">
        <v>160.69999999999999</v>
      </c>
      <c r="AB461" s="7">
        <v>118.1</v>
      </c>
    </row>
    <row r="462" spans="2:28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</row>
    <row r="463" spans="2:28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</row>
    <row r="464" spans="2:28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</row>
    <row r="465" spans="2:28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  <c r="W465" s="7">
        <v>21.3</v>
      </c>
      <c r="X465" s="7">
        <v>25.7</v>
      </c>
      <c r="Y465" s="7">
        <v>25.4</v>
      </c>
      <c r="Z465" s="7">
        <v>30.2</v>
      </c>
      <c r="AA465" s="7">
        <v>32.1</v>
      </c>
      <c r="AB465" s="7">
        <v>34.1</v>
      </c>
    </row>
    <row r="466" spans="2:28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</row>
    <row r="467" spans="2:28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</row>
    <row r="468" spans="2:28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</row>
    <row r="469" spans="2:28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</row>
    <row r="470" spans="2:28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</row>
    <row r="471" spans="2:28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</row>
    <row r="472" spans="2:28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  <c r="W472" s="7">
        <v>2.5</v>
      </c>
      <c r="X472" s="7">
        <v>9.6999999999999993</v>
      </c>
      <c r="Y472" s="7">
        <v>2.2000000000000002</v>
      </c>
      <c r="Z472" s="7">
        <v>2</v>
      </c>
      <c r="AA472" s="7">
        <v>0.8</v>
      </c>
      <c r="AB472" s="7">
        <v>3.1</v>
      </c>
    </row>
    <row r="473" spans="2:28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</row>
    <row r="474" spans="2:28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</row>
    <row r="475" spans="2:28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  <c r="W475" s="7">
        <v>297.7</v>
      </c>
      <c r="X475" s="7">
        <v>316</v>
      </c>
      <c r="Y475" s="7">
        <v>334.9</v>
      </c>
      <c r="Z475" s="7">
        <v>331.4</v>
      </c>
      <c r="AA475" s="7">
        <v>306.7</v>
      </c>
      <c r="AB475" s="7">
        <v>293</v>
      </c>
    </row>
    <row r="476" spans="2:28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  <c r="W476" s="7">
        <v>211.5</v>
      </c>
      <c r="X476" s="7">
        <v>218</v>
      </c>
      <c r="Y476" s="7">
        <v>191.8</v>
      </c>
      <c r="Z476" s="7">
        <v>182.6</v>
      </c>
      <c r="AA476" s="7">
        <v>188.9</v>
      </c>
      <c r="AB476" s="7">
        <v>192</v>
      </c>
    </row>
    <row r="477" spans="2:28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</row>
    <row r="478" spans="2:28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  <c r="W478" s="7">
        <v>334.8</v>
      </c>
      <c r="X478" s="7">
        <v>329.4</v>
      </c>
      <c r="Y478" s="7">
        <v>338.7</v>
      </c>
      <c r="Z478" s="7">
        <v>351</v>
      </c>
      <c r="AA478" s="7">
        <v>322</v>
      </c>
      <c r="AB478" s="7">
        <v>304.39999999999998</v>
      </c>
    </row>
    <row r="479" spans="2:28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  <c r="W479" s="7">
        <v>12</v>
      </c>
      <c r="X479" s="7">
        <v>25.1</v>
      </c>
      <c r="Y479" s="7">
        <v>26.9</v>
      </c>
      <c r="Z479" s="7">
        <v>36.200000000000003</v>
      </c>
      <c r="AA479" s="7">
        <v>16.600000000000001</v>
      </c>
      <c r="AB479" s="7">
        <v>18.2</v>
      </c>
    </row>
    <row r="480" spans="2:28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</row>
    <row r="481" spans="2:28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</row>
    <row r="482" spans="2:28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</row>
    <row r="483" spans="2:28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</row>
    <row r="484" spans="2:28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  <c r="W484" s="7">
        <v>71.7</v>
      </c>
      <c r="X484" s="7">
        <v>109.4</v>
      </c>
      <c r="Y484" s="7">
        <v>99.2</v>
      </c>
      <c r="Z484" s="7">
        <v>111.8</v>
      </c>
      <c r="AA484" s="7">
        <v>109.5</v>
      </c>
      <c r="AB484" s="7">
        <v>82.4</v>
      </c>
    </row>
    <row r="485" spans="2:28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</row>
    <row r="486" spans="2:28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  <c r="W486" s="7">
        <v>188.9</v>
      </c>
      <c r="X486" s="7">
        <v>166.5</v>
      </c>
      <c r="Y486" s="7">
        <v>154.80000000000001</v>
      </c>
      <c r="Z486" s="7">
        <v>186.2</v>
      </c>
      <c r="AA486" s="7">
        <v>164.6</v>
      </c>
      <c r="AB486" s="7">
        <v>127</v>
      </c>
    </row>
    <row r="487" spans="2:28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</row>
    <row r="488" spans="2:28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</row>
    <row r="489" spans="2:28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</row>
    <row r="490" spans="2:28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</row>
    <row r="491" spans="2:28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</row>
    <row r="492" spans="2:28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</row>
    <row r="493" spans="2:28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</row>
    <row r="494" spans="2:28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</row>
    <row r="495" spans="2:28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9.9</v>
      </c>
      <c r="AA495" s="7">
        <v>0</v>
      </c>
      <c r="AB495" s="7">
        <v>0</v>
      </c>
    </row>
    <row r="496" spans="2:28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</row>
    <row r="497" spans="2:28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</row>
    <row r="498" spans="2:28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</row>
    <row r="499" spans="2:28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</row>
    <row r="500" spans="2:28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</row>
    <row r="501" spans="2:28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</row>
    <row r="502" spans="2:28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  <c r="W502" s="7">
        <v>34.700000000000003</v>
      </c>
      <c r="X502" s="7">
        <v>38</v>
      </c>
      <c r="Y502" s="7">
        <v>38.299999999999997</v>
      </c>
      <c r="Z502" s="7">
        <v>39.200000000000003</v>
      </c>
      <c r="AA502" s="7">
        <v>37.200000000000003</v>
      </c>
      <c r="AB502" s="7">
        <v>44.7</v>
      </c>
    </row>
    <row r="503" spans="2:28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  <c r="W503" s="7">
        <v>10.199999999999999</v>
      </c>
      <c r="X503" s="7">
        <v>6.4</v>
      </c>
      <c r="Y503" s="7">
        <v>4.5</v>
      </c>
      <c r="Z503" s="7">
        <v>6.2</v>
      </c>
      <c r="AA503" s="7">
        <v>3.9</v>
      </c>
      <c r="AB503" s="7">
        <v>9.1999999999999993</v>
      </c>
    </row>
    <row r="504" spans="2:28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</row>
    <row r="505" spans="2:28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  <c r="W505" s="7">
        <v>14</v>
      </c>
      <c r="X505" s="7">
        <v>13.2</v>
      </c>
      <c r="Y505" s="7">
        <v>12.3</v>
      </c>
      <c r="Z505" s="7">
        <v>16.899999999999999</v>
      </c>
      <c r="AA505" s="7">
        <v>17.3</v>
      </c>
      <c r="AB505" s="7">
        <v>12.4</v>
      </c>
    </row>
    <row r="506" spans="2:28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  <c r="W506" s="7">
        <v>46.3</v>
      </c>
      <c r="X506" s="7">
        <v>49.1</v>
      </c>
      <c r="Y506" s="7">
        <v>88.5</v>
      </c>
      <c r="Z506" s="7">
        <v>85.8</v>
      </c>
      <c r="AA506" s="7">
        <v>80.5</v>
      </c>
      <c r="AB506" s="7">
        <v>92.2</v>
      </c>
    </row>
    <row r="507" spans="2:28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  <c r="W507" s="7">
        <v>26.4</v>
      </c>
      <c r="X507" s="7">
        <v>27.6</v>
      </c>
      <c r="Y507" s="7">
        <v>32.6</v>
      </c>
      <c r="Z507" s="7">
        <v>28.4</v>
      </c>
      <c r="AA507" s="7">
        <v>25.5</v>
      </c>
      <c r="AB507" s="7">
        <v>21.2</v>
      </c>
    </row>
    <row r="508" spans="2:28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</row>
    <row r="509" spans="2:28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  <c r="W509" s="7">
        <v>21.1</v>
      </c>
      <c r="X509" s="7">
        <v>30.7</v>
      </c>
      <c r="Y509" s="7">
        <v>38</v>
      </c>
      <c r="Z509" s="7">
        <v>57.6</v>
      </c>
      <c r="AA509" s="7">
        <v>74.900000000000006</v>
      </c>
      <c r="AB509" s="7">
        <v>64.400000000000006</v>
      </c>
    </row>
    <row r="510" spans="2:28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</row>
    <row r="511" spans="2:28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  <c r="W511" s="7">
        <v>88.5</v>
      </c>
      <c r="X511" s="7">
        <v>95.9</v>
      </c>
      <c r="Y511" s="7">
        <v>104</v>
      </c>
      <c r="Z511" s="7">
        <v>98.8</v>
      </c>
      <c r="AA511" s="7">
        <v>110.6</v>
      </c>
      <c r="AB511" s="7">
        <v>53.6</v>
      </c>
    </row>
    <row r="512" spans="2:28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  <c r="W512" s="7">
        <v>66.599999999999994</v>
      </c>
      <c r="X512" s="7">
        <v>21</v>
      </c>
      <c r="Y512" s="7">
        <v>0</v>
      </c>
      <c r="Z512" s="7">
        <v>0</v>
      </c>
      <c r="AA512" s="7">
        <v>0</v>
      </c>
      <c r="AB512" s="7">
        <v>0</v>
      </c>
    </row>
    <row r="513" spans="2:28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  <c r="W513" s="7">
        <v>30.8</v>
      </c>
      <c r="X513" s="7">
        <v>34.299999999999997</v>
      </c>
      <c r="Y513" s="7">
        <v>28.1</v>
      </c>
      <c r="Z513" s="7">
        <v>29.5</v>
      </c>
      <c r="AA513" s="7">
        <v>18.7</v>
      </c>
      <c r="AB513" s="7">
        <v>31.5</v>
      </c>
    </row>
    <row r="514" spans="2:28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</row>
    <row r="515" spans="2:28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</row>
    <row r="516" spans="2:28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</row>
    <row r="517" spans="2:28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</row>
    <row r="518" spans="2:28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</row>
    <row r="519" spans="2:28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</row>
    <row r="520" spans="2:28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</row>
    <row r="521" spans="2:28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  <c r="W521" s="7">
        <v>0.7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</row>
    <row r="522" spans="2:28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</row>
    <row r="523" spans="2:28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</row>
    <row r="524" spans="2:28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</row>
    <row r="525" spans="2:28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</row>
    <row r="526" spans="2:28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  <c r="W526" s="7">
        <v>11.2</v>
      </c>
      <c r="X526" s="7">
        <v>12</v>
      </c>
      <c r="Y526" s="7">
        <v>16.2</v>
      </c>
      <c r="Z526" s="7">
        <v>17.3</v>
      </c>
      <c r="AA526" s="7">
        <v>11.8</v>
      </c>
      <c r="AB526" s="7">
        <v>6.2</v>
      </c>
    </row>
    <row r="527" spans="2:28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</row>
    <row r="528" spans="2:28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  <c r="W528" s="7">
        <v>195.8</v>
      </c>
      <c r="X528" s="7">
        <v>288.8</v>
      </c>
      <c r="Y528" s="7">
        <v>271.89999999999998</v>
      </c>
      <c r="Z528" s="7">
        <v>95.2</v>
      </c>
      <c r="AA528" s="7">
        <v>70.599999999999994</v>
      </c>
      <c r="AB528" s="7">
        <v>49</v>
      </c>
    </row>
    <row r="529" spans="2:28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  <c r="W529" s="7">
        <v>121.8</v>
      </c>
      <c r="X529" s="7">
        <v>147.19999999999999</v>
      </c>
      <c r="Y529" s="7">
        <v>58.5</v>
      </c>
      <c r="Z529" s="7">
        <v>38.9</v>
      </c>
      <c r="AA529" s="7">
        <v>15.6</v>
      </c>
      <c r="AB529" s="7">
        <v>0.3</v>
      </c>
    </row>
    <row r="530" spans="2:28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</row>
    <row r="531" spans="2:28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</row>
    <row r="532" spans="2:28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</row>
    <row r="533" spans="2:28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</row>
    <row r="534" spans="2:28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</row>
    <row r="535" spans="2:28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</row>
    <row r="536" spans="2:28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</row>
    <row r="537" spans="2:28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</row>
    <row r="538" spans="2:28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  <c r="W538" s="7">
        <v>62.4</v>
      </c>
      <c r="X538" s="7">
        <v>70.400000000000006</v>
      </c>
      <c r="Y538" s="7">
        <v>64.900000000000006</v>
      </c>
      <c r="Z538" s="7">
        <v>76.5</v>
      </c>
      <c r="AA538" s="7">
        <v>76.7</v>
      </c>
      <c r="AB538" s="7">
        <v>58.4</v>
      </c>
    </row>
    <row r="539" spans="2:28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</row>
    <row r="540" spans="2:28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</row>
    <row r="541" spans="2:28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  <c r="W541" s="7">
        <v>171.3</v>
      </c>
      <c r="X541" s="7">
        <v>222.8</v>
      </c>
      <c r="Y541" s="7">
        <v>248</v>
      </c>
      <c r="Z541" s="7">
        <v>320.10000000000002</v>
      </c>
      <c r="AA541" s="7">
        <v>289.5</v>
      </c>
      <c r="AB541" s="7">
        <v>258.3</v>
      </c>
    </row>
    <row r="542" spans="2:28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  <c r="W542" s="7">
        <v>79</v>
      </c>
      <c r="X542" s="7">
        <v>80.900000000000006</v>
      </c>
      <c r="Y542" s="7">
        <v>63.2</v>
      </c>
      <c r="Z542" s="7">
        <v>67.400000000000006</v>
      </c>
      <c r="AA542" s="7">
        <v>58</v>
      </c>
      <c r="AB542" s="7">
        <v>56.6</v>
      </c>
    </row>
    <row r="543" spans="2:28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</row>
    <row r="544" spans="2:28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</row>
    <row r="545" spans="2:28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  <c r="W545" s="7">
        <v>13.2</v>
      </c>
      <c r="X545" s="7">
        <v>14.8</v>
      </c>
      <c r="Y545" s="7">
        <v>0</v>
      </c>
      <c r="Z545" s="7">
        <v>0</v>
      </c>
      <c r="AA545" s="7">
        <v>0</v>
      </c>
      <c r="AB545" s="7">
        <v>0</v>
      </c>
    </row>
    <row r="546" spans="2:28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  <c r="W546" s="7">
        <v>106.7</v>
      </c>
      <c r="X546" s="7">
        <v>106.6</v>
      </c>
      <c r="Y546" s="7">
        <v>113.3</v>
      </c>
      <c r="Z546" s="7">
        <v>115.9</v>
      </c>
      <c r="AA546" s="7">
        <v>130</v>
      </c>
      <c r="AB546" s="7">
        <v>110.2</v>
      </c>
    </row>
    <row r="547" spans="2:28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  <c r="W547" s="7">
        <v>6.6</v>
      </c>
      <c r="X547" s="7">
        <v>13.1</v>
      </c>
      <c r="Y547" s="7">
        <v>16.100000000000001</v>
      </c>
      <c r="Z547" s="7">
        <v>8.6999999999999993</v>
      </c>
      <c r="AA547" s="7">
        <v>19.2</v>
      </c>
      <c r="AB547" s="7">
        <v>15.7</v>
      </c>
    </row>
    <row r="548" spans="2:28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</row>
    <row r="549" spans="2:28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  <c r="W549" s="7">
        <v>182.4</v>
      </c>
      <c r="X549" s="7">
        <v>184.9</v>
      </c>
      <c r="Y549" s="7">
        <v>188</v>
      </c>
      <c r="Z549" s="7">
        <v>190.7</v>
      </c>
      <c r="AA549" s="7">
        <v>194.7</v>
      </c>
      <c r="AB549" s="7">
        <v>148</v>
      </c>
    </row>
    <row r="550" spans="2:28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</row>
    <row r="551" spans="2:28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</row>
    <row r="552" spans="2:28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  <c r="W552" s="7">
        <v>31.6</v>
      </c>
      <c r="X552" s="7">
        <v>26.5</v>
      </c>
      <c r="Y552" s="7">
        <v>32.700000000000003</v>
      </c>
      <c r="Z552" s="7">
        <v>29.3</v>
      </c>
      <c r="AA552" s="7">
        <v>30.5</v>
      </c>
      <c r="AB552" s="7">
        <v>30</v>
      </c>
    </row>
    <row r="553" spans="2:28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</row>
    <row r="554" spans="2:28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</row>
    <row r="555" spans="2:28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</row>
    <row r="556" spans="2:28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</row>
    <row r="557" spans="2:28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  <c r="W557" s="7">
        <v>69.400000000000006</v>
      </c>
      <c r="X557" s="7">
        <v>56.6</v>
      </c>
      <c r="Y557" s="7">
        <v>38.4</v>
      </c>
      <c r="Z557" s="7">
        <v>63.5</v>
      </c>
      <c r="AA557" s="7">
        <v>37</v>
      </c>
      <c r="AB557" s="7">
        <v>35.5</v>
      </c>
    </row>
    <row r="558" spans="2:28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</row>
    <row r="559" spans="2:28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</row>
    <row r="560" spans="2:28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  <c r="W560" s="7">
        <v>0</v>
      </c>
      <c r="X560" s="7">
        <v>31.2</v>
      </c>
      <c r="Y560" s="7">
        <v>0</v>
      </c>
      <c r="Z560" s="7">
        <v>0</v>
      </c>
      <c r="AA560" s="7">
        <v>0</v>
      </c>
      <c r="AB560" s="7">
        <v>0</v>
      </c>
    </row>
    <row r="561" spans="2:28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</row>
    <row r="562" spans="2:28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</row>
    <row r="563" spans="2:28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  <c r="W563" s="7">
        <v>42.1</v>
      </c>
      <c r="X563" s="7">
        <v>47.3</v>
      </c>
      <c r="Y563" s="7">
        <v>43.5</v>
      </c>
      <c r="Z563" s="7">
        <v>70.599999999999994</v>
      </c>
      <c r="AA563" s="7">
        <v>48.9</v>
      </c>
      <c r="AB563" s="7">
        <v>68.2</v>
      </c>
    </row>
    <row r="564" spans="2:28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  <c r="W564" s="7">
        <v>57.9</v>
      </c>
      <c r="X564" s="7">
        <v>22.1</v>
      </c>
      <c r="Y564" s="7">
        <v>62.1</v>
      </c>
      <c r="Z564" s="7">
        <v>61.7</v>
      </c>
      <c r="AA564" s="7">
        <v>65.599999999999994</v>
      </c>
      <c r="AB564" s="7">
        <v>57.1</v>
      </c>
    </row>
    <row r="565" spans="2:28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  <c r="W565" s="7">
        <v>147.69999999999999</v>
      </c>
      <c r="X565" s="7">
        <v>135</v>
      </c>
      <c r="Y565" s="7">
        <v>143.9</v>
      </c>
      <c r="Z565" s="7">
        <v>146.6</v>
      </c>
      <c r="AA565" s="7">
        <v>135.80000000000001</v>
      </c>
      <c r="AB565" s="7">
        <v>100.7</v>
      </c>
    </row>
    <row r="566" spans="2:28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  <c r="W566" s="7">
        <v>38.9</v>
      </c>
      <c r="X566" s="7">
        <v>37</v>
      </c>
      <c r="Y566" s="7">
        <v>38.4</v>
      </c>
      <c r="Z566" s="7">
        <v>32.799999999999997</v>
      </c>
      <c r="AA566" s="7">
        <v>32.9</v>
      </c>
      <c r="AB566" s="7">
        <v>20.100000000000001</v>
      </c>
    </row>
    <row r="567" spans="2:28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  <c r="W567" s="7">
        <v>71.2</v>
      </c>
      <c r="X567" s="7">
        <v>69.5</v>
      </c>
      <c r="Y567" s="7">
        <v>70.8</v>
      </c>
      <c r="Z567" s="7">
        <v>62.5</v>
      </c>
      <c r="AA567" s="7">
        <v>63.3</v>
      </c>
      <c r="AB567" s="7">
        <v>51.8</v>
      </c>
    </row>
    <row r="568" spans="2:28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  <c r="W568" s="7">
        <v>26</v>
      </c>
      <c r="X568" s="7">
        <v>48.1</v>
      </c>
      <c r="Y568" s="7">
        <v>53.7</v>
      </c>
      <c r="Z568" s="7">
        <v>80.599999999999994</v>
      </c>
      <c r="AA568" s="7">
        <v>123.6</v>
      </c>
      <c r="AB568" s="7">
        <v>60</v>
      </c>
    </row>
    <row r="569" spans="2:28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  <c r="W569" s="7">
        <v>8.9</v>
      </c>
      <c r="X569" s="7">
        <v>18.600000000000001</v>
      </c>
      <c r="Y569" s="7">
        <v>18.7</v>
      </c>
      <c r="Z569" s="7">
        <v>19.100000000000001</v>
      </c>
      <c r="AA569" s="7">
        <v>17.3</v>
      </c>
      <c r="AB569" s="7">
        <v>17.2</v>
      </c>
    </row>
    <row r="570" spans="2:28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  <c r="W570" s="7">
        <v>21.9</v>
      </c>
      <c r="X570" s="7">
        <v>23.7</v>
      </c>
      <c r="Y570" s="7">
        <v>23.8</v>
      </c>
      <c r="Z570" s="7">
        <v>4.9000000000000004</v>
      </c>
      <c r="AA570" s="7">
        <v>7.1</v>
      </c>
      <c r="AB570" s="7">
        <v>19.5</v>
      </c>
    </row>
    <row r="571" spans="2:28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  <c r="W571" s="7">
        <v>81.099999999999994</v>
      </c>
      <c r="X571" s="7">
        <v>73.599999999999994</v>
      </c>
      <c r="Y571" s="7">
        <v>83.2</v>
      </c>
      <c r="Z571" s="7">
        <v>76.8</v>
      </c>
      <c r="AA571" s="7">
        <v>94.3</v>
      </c>
      <c r="AB571" s="7">
        <v>69.5</v>
      </c>
    </row>
    <row r="572" spans="2:28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  <c r="W572" s="7">
        <v>4.2</v>
      </c>
      <c r="X572" s="7">
        <v>0</v>
      </c>
      <c r="Y572" s="7">
        <v>0</v>
      </c>
      <c r="Z572" s="7">
        <v>0</v>
      </c>
      <c r="AA572" s="7">
        <v>16.3</v>
      </c>
      <c r="AB572" s="7">
        <v>2.5</v>
      </c>
    </row>
    <row r="573" spans="2:28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</row>
    <row r="574" spans="2:28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  <c r="W574" s="7">
        <v>12.2</v>
      </c>
      <c r="X574" s="7">
        <v>12.2</v>
      </c>
      <c r="Y574" s="7">
        <v>10</v>
      </c>
      <c r="Z574" s="7">
        <v>12.7</v>
      </c>
      <c r="AA574" s="7">
        <v>13</v>
      </c>
      <c r="AB574" s="7">
        <v>8.4</v>
      </c>
    </row>
    <row r="575" spans="2:28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  <c r="W575" s="7">
        <v>25.9</v>
      </c>
      <c r="X575" s="7">
        <v>23.4</v>
      </c>
      <c r="Y575" s="7">
        <v>28.3</v>
      </c>
      <c r="Z575" s="7">
        <v>34.1</v>
      </c>
      <c r="AA575" s="7">
        <v>29.4</v>
      </c>
      <c r="AB575" s="7">
        <v>17.7</v>
      </c>
    </row>
    <row r="576" spans="2:28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  <c r="W576" s="7">
        <v>24.4</v>
      </c>
      <c r="X576" s="7">
        <v>14.3</v>
      </c>
      <c r="Y576" s="7">
        <v>5.4</v>
      </c>
      <c r="Z576" s="7">
        <v>6.7</v>
      </c>
      <c r="AA576" s="7">
        <v>8.6999999999999993</v>
      </c>
      <c r="AB576" s="7">
        <v>6.8</v>
      </c>
    </row>
    <row r="577" spans="2:28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  <c r="W577" s="7">
        <v>61.4</v>
      </c>
      <c r="X577" s="7">
        <v>234.6</v>
      </c>
      <c r="Y577" s="7">
        <v>88.5</v>
      </c>
      <c r="Z577" s="7">
        <v>367.7</v>
      </c>
      <c r="AA577" s="7">
        <v>261</v>
      </c>
      <c r="AB577" s="7">
        <v>195.6</v>
      </c>
    </row>
    <row r="578" spans="2:28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  <c r="W578" s="7">
        <v>24.4</v>
      </c>
      <c r="X578" s="7">
        <v>14.3</v>
      </c>
      <c r="Y578" s="7">
        <v>5.4</v>
      </c>
      <c r="Z578" s="7">
        <v>6.7</v>
      </c>
      <c r="AA578" s="7">
        <v>8.6999999999999993</v>
      </c>
      <c r="AB578" s="7">
        <v>6.8</v>
      </c>
    </row>
    <row r="579" spans="2:28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  <c r="W579" s="7">
        <v>133.5</v>
      </c>
      <c r="X579" s="7">
        <v>114.6</v>
      </c>
      <c r="Y579" s="7">
        <v>115.8</v>
      </c>
      <c r="Z579" s="7">
        <v>108.8</v>
      </c>
      <c r="AA579" s="7">
        <v>117</v>
      </c>
      <c r="AB579" s="7">
        <v>90.6</v>
      </c>
    </row>
    <row r="580" spans="2:28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  <c r="W580" s="7">
        <v>297.2</v>
      </c>
      <c r="X580" s="7">
        <v>301.2</v>
      </c>
      <c r="Y580" s="7">
        <v>321.7</v>
      </c>
      <c r="Z580" s="7">
        <v>309.89999999999998</v>
      </c>
      <c r="AA580" s="7">
        <v>303.39999999999998</v>
      </c>
      <c r="AB580" s="7">
        <v>274.39999999999998</v>
      </c>
    </row>
    <row r="581" spans="2:28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  <c r="W581" s="7">
        <v>840.3</v>
      </c>
      <c r="X581" s="7">
        <v>826.3</v>
      </c>
      <c r="Y581" s="7">
        <v>827.2</v>
      </c>
      <c r="Z581" s="7">
        <v>836</v>
      </c>
      <c r="AA581" s="7">
        <v>773.6</v>
      </c>
      <c r="AB581" s="7">
        <v>744.1</v>
      </c>
    </row>
    <row r="582" spans="2:28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</row>
    <row r="583" spans="2:28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  <c r="W583" s="7">
        <v>124.8</v>
      </c>
      <c r="X583" s="7">
        <v>129.80000000000001</v>
      </c>
      <c r="Y583" s="7">
        <v>149.4</v>
      </c>
      <c r="Z583" s="7">
        <v>139.9</v>
      </c>
      <c r="AA583" s="7">
        <v>181.9</v>
      </c>
      <c r="AB583" s="7">
        <v>152</v>
      </c>
    </row>
    <row r="584" spans="2:28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  <c r="W584" s="7">
        <v>127.6</v>
      </c>
      <c r="X584" s="7">
        <v>151.19999999999999</v>
      </c>
      <c r="Y584" s="7">
        <v>174.2</v>
      </c>
      <c r="Z584" s="7">
        <v>149.69999999999999</v>
      </c>
      <c r="AA584" s="7">
        <v>143.9</v>
      </c>
      <c r="AB584" s="7">
        <v>119.1</v>
      </c>
    </row>
    <row r="585" spans="2:28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  <c r="W585" s="7">
        <v>71.7</v>
      </c>
      <c r="X585" s="7">
        <v>58.9</v>
      </c>
      <c r="Y585" s="7">
        <v>56.1</v>
      </c>
      <c r="Z585" s="7">
        <v>60.9</v>
      </c>
      <c r="AA585" s="7">
        <v>62.2</v>
      </c>
      <c r="AB585" s="7">
        <v>52.5</v>
      </c>
    </row>
    <row r="586" spans="2:28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  <c r="W586" s="7">
        <v>60.7</v>
      </c>
      <c r="X586" s="7">
        <v>54.7</v>
      </c>
      <c r="Y586" s="7">
        <v>66.400000000000006</v>
      </c>
      <c r="Z586" s="7">
        <v>76.599999999999994</v>
      </c>
      <c r="AA586" s="7">
        <v>69.599999999999994</v>
      </c>
      <c r="AB586" s="7">
        <v>58.7</v>
      </c>
    </row>
    <row r="587" spans="2:28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  <c r="W587" s="7">
        <v>131.19999999999999</v>
      </c>
      <c r="X587" s="7">
        <v>125.1</v>
      </c>
      <c r="Y587" s="7">
        <v>139.69999999999999</v>
      </c>
      <c r="Z587" s="7">
        <v>131.19999999999999</v>
      </c>
      <c r="AA587" s="7">
        <v>114.7</v>
      </c>
      <c r="AB587" s="7">
        <v>107.3</v>
      </c>
    </row>
    <row r="588" spans="2:28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</row>
    <row r="589" spans="2:28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  <c r="W589" s="7">
        <v>149.30000000000001</v>
      </c>
      <c r="X589" s="7">
        <v>154.5</v>
      </c>
      <c r="Y589" s="7">
        <v>171</v>
      </c>
      <c r="Z589" s="7">
        <v>175.7</v>
      </c>
      <c r="AA589" s="7">
        <v>177.8</v>
      </c>
      <c r="AB589" s="7">
        <v>143.5</v>
      </c>
    </row>
    <row r="590" spans="2:28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  <c r="W590" s="7">
        <v>169.4</v>
      </c>
      <c r="X590" s="7">
        <v>147.30000000000001</v>
      </c>
      <c r="Y590" s="7">
        <v>138.19999999999999</v>
      </c>
      <c r="Z590" s="7">
        <v>140.30000000000001</v>
      </c>
      <c r="AA590" s="7">
        <v>134.19999999999999</v>
      </c>
      <c r="AB590" s="7">
        <v>138</v>
      </c>
    </row>
    <row r="591" spans="2:28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  <c r="W591" s="7">
        <v>41</v>
      </c>
      <c r="X591" s="7">
        <v>38.700000000000003</v>
      </c>
      <c r="Y591" s="7">
        <v>33.9</v>
      </c>
      <c r="Z591" s="7">
        <v>25.2</v>
      </c>
      <c r="AA591" s="7">
        <v>17.5</v>
      </c>
      <c r="AB591" s="7">
        <v>17.899999999999999</v>
      </c>
    </row>
    <row r="592" spans="2:28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</row>
    <row r="593" spans="2:28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  <c r="W593" s="7">
        <v>131.9</v>
      </c>
      <c r="X593" s="7">
        <v>149.30000000000001</v>
      </c>
      <c r="Y593" s="7">
        <v>218.5</v>
      </c>
      <c r="Z593" s="7">
        <v>301.3</v>
      </c>
      <c r="AA593" s="7">
        <v>418.5</v>
      </c>
      <c r="AB593" s="7">
        <v>255.2</v>
      </c>
    </row>
    <row r="594" spans="2:28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  <c r="W594" s="7">
        <v>87.9</v>
      </c>
      <c r="X594" s="7">
        <v>109.3</v>
      </c>
      <c r="Y594" s="7">
        <v>117.4</v>
      </c>
      <c r="Z594" s="7">
        <v>135.69999999999999</v>
      </c>
      <c r="AA594" s="7">
        <v>104.2</v>
      </c>
      <c r="AB594" s="7">
        <v>105</v>
      </c>
    </row>
    <row r="595" spans="2:28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  <c r="W595" s="7">
        <v>341.2</v>
      </c>
      <c r="X595" s="7">
        <v>320</v>
      </c>
      <c r="Y595" s="7">
        <v>307.10000000000002</v>
      </c>
      <c r="Z595" s="7">
        <v>311.10000000000002</v>
      </c>
      <c r="AA595" s="7">
        <v>234.1</v>
      </c>
      <c r="AB595" s="7">
        <v>182.5</v>
      </c>
    </row>
    <row r="596" spans="2:28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  <c r="W596" s="7">
        <v>10.3</v>
      </c>
      <c r="X596" s="7">
        <v>8.6999999999999993</v>
      </c>
      <c r="Y596" s="7">
        <v>10</v>
      </c>
      <c r="Z596" s="7">
        <v>9.3000000000000007</v>
      </c>
      <c r="AA596" s="7">
        <v>5.7</v>
      </c>
      <c r="AB596" s="7">
        <v>5.7</v>
      </c>
    </row>
    <row r="597" spans="2:28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</row>
    <row r="598" spans="2:28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  <c r="W598" s="7">
        <v>0</v>
      </c>
      <c r="X598" s="7">
        <v>0</v>
      </c>
      <c r="Y598" s="7">
        <v>38.799999999999997</v>
      </c>
      <c r="Z598" s="7">
        <v>15.4</v>
      </c>
      <c r="AA598" s="7">
        <v>17.899999999999999</v>
      </c>
      <c r="AB598" s="7">
        <v>0</v>
      </c>
    </row>
    <row r="599" spans="2:28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  <c r="W599" s="7">
        <v>197.7</v>
      </c>
      <c r="X599" s="7">
        <v>218.8</v>
      </c>
      <c r="Y599" s="7">
        <v>236.1</v>
      </c>
      <c r="Z599" s="7">
        <v>267.39999999999998</v>
      </c>
      <c r="AA599" s="7">
        <v>261.39999999999998</v>
      </c>
      <c r="AB599" s="7">
        <v>252.1</v>
      </c>
    </row>
    <row r="600" spans="2:28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  <c r="W600" s="7">
        <v>47.7</v>
      </c>
      <c r="X600" s="7">
        <v>76.900000000000006</v>
      </c>
      <c r="Y600" s="7">
        <v>80.7</v>
      </c>
      <c r="Z600" s="7">
        <v>85.1</v>
      </c>
      <c r="AA600" s="7">
        <v>71</v>
      </c>
      <c r="AB600" s="7">
        <v>68.5</v>
      </c>
    </row>
    <row r="601" spans="2:28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  <c r="W601" s="7">
        <v>140.9</v>
      </c>
      <c r="X601" s="7">
        <v>146.5</v>
      </c>
      <c r="Y601" s="7">
        <v>145.69999999999999</v>
      </c>
      <c r="Z601" s="7">
        <v>148.4</v>
      </c>
      <c r="AA601" s="7">
        <v>131.4</v>
      </c>
      <c r="AB601" s="7">
        <v>111.2</v>
      </c>
    </row>
    <row r="602" spans="2:28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  <c r="W602" s="7">
        <v>97.4</v>
      </c>
      <c r="X602" s="7">
        <v>115.1</v>
      </c>
      <c r="Y602" s="7">
        <v>111.4</v>
      </c>
      <c r="Z602" s="7">
        <v>99.9</v>
      </c>
      <c r="AA602" s="7">
        <v>87.3</v>
      </c>
      <c r="AB602" s="7">
        <v>78.900000000000006</v>
      </c>
    </row>
    <row r="603" spans="2:28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</row>
    <row r="604" spans="2:28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  <c r="W604" s="7">
        <v>107.5</v>
      </c>
      <c r="X604" s="7">
        <v>116.6</v>
      </c>
      <c r="Y604" s="7">
        <v>122</v>
      </c>
      <c r="Z604" s="7">
        <v>107.6</v>
      </c>
      <c r="AA604" s="7">
        <v>109.1</v>
      </c>
      <c r="AB604" s="7">
        <v>101</v>
      </c>
    </row>
    <row r="605" spans="2:28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  <c r="W605" s="7">
        <v>143.19999999999999</v>
      </c>
      <c r="X605" s="7">
        <v>138.30000000000001</v>
      </c>
      <c r="Y605" s="7">
        <v>151.6</v>
      </c>
      <c r="Z605" s="7">
        <v>143.30000000000001</v>
      </c>
      <c r="AA605" s="7">
        <v>153.19999999999999</v>
      </c>
      <c r="AB605" s="7">
        <v>145.1</v>
      </c>
    </row>
    <row r="606" spans="2:28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</row>
    <row r="607" spans="2:28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  <c r="W607" s="7">
        <v>122.8</v>
      </c>
      <c r="X607" s="7">
        <v>110</v>
      </c>
      <c r="Y607" s="7">
        <v>122.3</v>
      </c>
      <c r="Z607" s="7">
        <v>134.1</v>
      </c>
      <c r="AA607" s="7">
        <v>137.9</v>
      </c>
      <c r="AB607" s="7">
        <v>126.8</v>
      </c>
    </row>
    <row r="608" spans="2:28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  <c r="W608" s="7">
        <v>106.8</v>
      </c>
      <c r="X608" s="7">
        <v>113.8</v>
      </c>
      <c r="Y608" s="7">
        <v>112.6</v>
      </c>
      <c r="Z608" s="7">
        <v>110.9</v>
      </c>
      <c r="AA608" s="7">
        <v>123.6</v>
      </c>
      <c r="AB608" s="7">
        <v>98.7</v>
      </c>
    </row>
    <row r="609" spans="2:28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</row>
    <row r="610" spans="2:28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  <c r="W610" s="7">
        <v>617</v>
      </c>
      <c r="X610" s="7">
        <v>696</v>
      </c>
      <c r="Y610" s="7">
        <v>793.1</v>
      </c>
      <c r="Z610" s="7">
        <v>835.7</v>
      </c>
      <c r="AA610" s="7">
        <v>835.2</v>
      </c>
      <c r="AB610" s="7">
        <v>692</v>
      </c>
    </row>
    <row r="611" spans="2:28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  <c r="W611" s="7">
        <v>87.8</v>
      </c>
      <c r="X611" s="7">
        <v>107.8</v>
      </c>
      <c r="Y611" s="7">
        <v>106.7</v>
      </c>
      <c r="Z611" s="7">
        <v>91.7</v>
      </c>
      <c r="AA611" s="7">
        <v>105.8</v>
      </c>
      <c r="AB611" s="7">
        <v>93.2</v>
      </c>
    </row>
    <row r="612" spans="2:28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</row>
    <row r="613" spans="2:28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</row>
    <row r="614" spans="2:28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  <c r="W614" s="7">
        <v>160.69999999999999</v>
      </c>
      <c r="X614" s="7">
        <v>163.80000000000001</v>
      </c>
      <c r="Y614" s="7">
        <v>246.2</v>
      </c>
      <c r="Z614" s="7">
        <v>305.7</v>
      </c>
      <c r="AA614" s="7">
        <v>239.1</v>
      </c>
      <c r="AB614" s="7">
        <v>237.5</v>
      </c>
    </row>
    <row r="615" spans="2:28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  <c r="W615" s="7">
        <v>61.7</v>
      </c>
      <c r="X615" s="7">
        <v>63.5</v>
      </c>
      <c r="Y615" s="7">
        <v>65.3</v>
      </c>
      <c r="Z615" s="7">
        <v>80.2</v>
      </c>
      <c r="AA615" s="7">
        <v>77.900000000000006</v>
      </c>
      <c r="AB615" s="7">
        <v>76.599999999999994</v>
      </c>
    </row>
    <row r="616" spans="2:28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</row>
    <row r="617" spans="2:28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  <c r="W617" s="7">
        <v>26.5</v>
      </c>
      <c r="X617" s="7">
        <v>25.7</v>
      </c>
      <c r="Y617" s="7">
        <v>25.9</v>
      </c>
      <c r="Z617" s="7">
        <v>24.6</v>
      </c>
      <c r="AA617" s="7">
        <v>29</v>
      </c>
      <c r="AB617" s="7">
        <v>19.3</v>
      </c>
    </row>
    <row r="618" spans="2:28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  <c r="W618" s="7">
        <v>73.099999999999994</v>
      </c>
      <c r="X618" s="7">
        <v>77.2</v>
      </c>
      <c r="Y618" s="7">
        <v>73.599999999999994</v>
      </c>
      <c r="Z618" s="7">
        <v>72.099999999999994</v>
      </c>
      <c r="AA618" s="7">
        <v>85.5</v>
      </c>
      <c r="AB618" s="7">
        <v>71.599999999999994</v>
      </c>
    </row>
    <row r="619" spans="2:28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2</v>
      </c>
    </row>
    <row r="620" spans="2:28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  <c r="W620" s="7">
        <v>314.7</v>
      </c>
      <c r="X620" s="7">
        <v>317.2</v>
      </c>
      <c r="Y620" s="7">
        <v>368.3</v>
      </c>
      <c r="Z620" s="7">
        <v>331.3</v>
      </c>
      <c r="AA620" s="7">
        <v>335.8</v>
      </c>
      <c r="AB620" s="7">
        <v>308.3</v>
      </c>
    </row>
    <row r="621" spans="2:28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</row>
    <row r="622" spans="2:28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  <c r="W622" s="7">
        <v>117.3</v>
      </c>
      <c r="X622" s="7">
        <v>121.6</v>
      </c>
      <c r="Y622" s="7">
        <v>144.9</v>
      </c>
      <c r="Z622" s="7">
        <v>162.6</v>
      </c>
      <c r="AA622" s="7">
        <v>138.4</v>
      </c>
      <c r="AB622" s="7">
        <v>121.5</v>
      </c>
    </row>
    <row r="623" spans="2:28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</row>
    <row r="624" spans="2:28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</row>
    <row r="625" spans="2:28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</row>
    <row r="626" spans="2:28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  <c r="W626" s="7">
        <v>128.4</v>
      </c>
      <c r="X626" s="7">
        <v>153.5</v>
      </c>
      <c r="Y626" s="7">
        <v>168.3</v>
      </c>
      <c r="Z626" s="7">
        <v>211.5</v>
      </c>
      <c r="AA626" s="7">
        <v>247</v>
      </c>
      <c r="AB626" s="7">
        <v>222</v>
      </c>
    </row>
    <row r="627" spans="2:28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</row>
    <row r="628" spans="2:28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</row>
    <row r="629" spans="2:28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  <c r="W629" s="7">
        <v>216.3</v>
      </c>
      <c r="X629" s="7">
        <v>263.5</v>
      </c>
      <c r="Y629" s="7">
        <v>286.7</v>
      </c>
      <c r="Z629" s="7">
        <v>326.5</v>
      </c>
      <c r="AA629" s="7">
        <v>321.89999999999998</v>
      </c>
      <c r="AB629" s="7">
        <v>313.39999999999998</v>
      </c>
    </row>
    <row r="630" spans="2:28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  <c r="W630" s="7">
        <v>134.4</v>
      </c>
      <c r="X630" s="7">
        <v>126.6</v>
      </c>
      <c r="Y630" s="7">
        <v>150.6</v>
      </c>
      <c r="Z630" s="7">
        <v>166.3</v>
      </c>
      <c r="AA630" s="7">
        <v>173.8</v>
      </c>
      <c r="AB630" s="7">
        <v>152.30000000000001</v>
      </c>
    </row>
    <row r="631" spans="2:28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</row>
    <row r="632" spans="2:28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0.6</v>
      </c>
      <c r="Y632" s="7">
        <v>16.5</v>
      </c>
      <c r="Z632" s="7">
        <v>37</v>
      </c>
      <c r="AA632" s="7">
        <v>44.7</v>
      </c>
      <c r="AB632" s="7">
        <v>47.3</v>
      </c>
    </row>
    <row r="633" spans="2:28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</row>
    <row r="634" spans="2:28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  <c r="W634" s="7">
        <v>21.6</v>
      </c>
      <c r="X634" s="7">
        <v>24.6</v>
      </c>
      <c r="Y634" s="7">
        <v>41.7</v>
      </c>
      <c r="Z634" s="7">
        <v>41.9</v>
      </c>
      <c r="AA634" s="7">
        <v>35.6</v>
      </c>
      <c r="AB634" s="7">
        <v>34.200000000000003</v>
      </c>
    </row>
    <row r="635" spans="2:28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  <c r="W635" s="7">
        <v>151.19999999999999</v>
      </c>
      <c r="X635" s="7">
        <v>145.19999999999999</v>
      </c>
      <c r="Y635" s="7">
        <v>160.69999999999999</v>
      </c>
      <c r="Z635" s="7">
        <v>185.3</v>
      </c>
      <c r="AA635" s="7">
        <v>187.2</v>
      </c>
      <c r="AB635" s="7">
        <v>172.6</v>
      </c>
    </row>
    <row r="636" spans="2:28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</row>
    <row r="637" spans="2:28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</row>
    <row r="638" spans="2:28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  <c r="W638" s="7">
        <v>15.7</v>
      </c>
      <c r="X638" s="7">
        <v>12.7</v>
      </c>
      <c r="Y638" s="7">
        <v>14.5</v>
      </c>
      <c r="Z638" s="7">
        <v>21.2</v>
      </c>
      <c r="AA638" s="7">
        <v>12.5</v>
      </c>
      <c r="AB638" s="7">
        <v>12.9</v>
      </c>
    </row>
    <row r="639" spans="2:28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  <c r="W639" s="7">
        <v>65.2</v>
      </c>
      <c r="X639" s="7">
        <v>65.8</v>
      </c>
      <c r="Y639" s="7">
        <v>102.2</v>
      </c>
      <c r="Z639" s="7">
        <v>125.4</v>
      </c>
      <c r="AA639" s="7">
        <v>108.4</v>
      </c>
      <c r="AB639" s="7">
        <v>83.9</v>
      </c>
    </row>
    <row r="640" spans="2:28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  <c r="W640" s="7">
        <v>49.5</v>
      </c>
      <c r="X640" s="7">
        <v>45.5</v>
      </c>
      <c r="Y640" s="7">
        <v>55.5</v>
      </c>
      <c r="Z640" s="7">
        <v>60.8</v>
      </c>
      <c r="AA640" s="7">
        <v>58.1</v>
      </c>
      <c r="AB640" s="7">
        <v>52</v>
      </c>
    </row>
    <row r="641" spans="2:28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</row>
    <row r="642" spans="2:28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  <c r="W642" s="7">
        <v>146.9</v>
      </c>
      <c r="X642" s="7">
        <v>166.3</v>
      </c>
      <c r="Y642" s="7">
        <v>176.8</v>
      </c>
      <c r="Z642" s="7">
        <v>200.3</v>
      </c>
      <c r="AA642" s="7">
        <v>202.7</v>
      </c>
      <c r="AB642" s="7">
        <v>166</v>
      </c>
    </row>
    <row r="643" spans="2:28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</row>
    <row r="644" spans="2:28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</row>
    <row r="645" spans="2:28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</row>
    <row r="646" spans="2:28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</row>
    <row r="647" spans="2:28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</row>
    <row r="648" spans="2:28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  <c r="W648" s="7">
        <v>59.5</v>
      </c>
      <c r="X648" s="7">
        <v>58.1</v>
      </c>
      <c r="Y648" s="7">
        <v>51.7</v>
      </c>
      <c r="Z648" s="7">
        <v>51</v>
      </c>
      <c r="AA648" s="7">
        <v>51.2</v>
      </c>
      <c r="AB648" s="7">
        <v>51.3</v>
      </c>
    </row>
    <row r="649" spans="2:28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  <c r="W649" s="7">
        <v>80.099999999999994</v>
      </c>
      <c r="X649" s="7">
        <v>71</v>
      </c>
      <c r="Y649" s="7">
        <v>62.4</v>
      </c>
      <c r="Z649" s="7">
        <v>64.099999999999994</v>
      </c>
      <c r="AA649" s="7">
        <v>54.9</v>
      </c>
      <c r="AB649" s="7">
        <v>40.6</v>
      </c>
    </row>
    <row r="650" spans="2:28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  <c r="W650" s="7">
        <v>155.69999999999999</v>
      </c>
      <c r="X650" s="7">
        <v>139.30000000000001</v>
      </c>
      <c r="Y650" s="7">
        <v>141.69999999999999</v>
      </c>
      <c r="Z650" s="7">
        <v>164.6</v>
      </c>
      <c r="AA650" s="7">
        <v>150.9</v>
      </c>
      <c r="AB650" s="7">
        <v>148.4</v>
      </c>
    </row>
    <row r="651" spans="2:28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  <c r="W651" s="7">
        <v>78.7</v>
      </c>
      <c r="X651" s="7">
        <v>76.8</v>
      </c>
      <c r="Y651" s="7">
        <v>73.099999999999994</v>
      </c>
      <c r="Z651" s="7">
        <v>63.3</v>
      </c>
      <c r="AA651" s="7">
        <v>55.2</v>
      </c>
      <c r="AB651" s="7">
        <v>36.5</v>
      </c>
    </row>
    <row r="652" spans="2:28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  <c r="W652" s="7">
        <v>59.5</v>
      </c>
      <c r="X652" s="7">
        <v>53</v>
      </c>
      <c r="Y652" s="7">
        <v>50.9</v>
      </c>
      <c r="Z652" s="7">
        <v>45.7</v>
      </c>
      <c r="AA652" s="7">
        <v>39.6</v>
      </c>
      <c r="AB652" s="7">
        <v>21.4</v>
      </c>
    </row>
    <row r="653" spans="2:28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</row>
    <row r="654" spans="2:28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  <c r="W654" s="7">
        <v>38.4</v>
      </c>
      <c r="X654" s="7">
        <v>39.4</v>
      </c>
      <c r="Y654" s="7">
        <v>47.3</v>
      </c>
      <c r="Z654" s="7">
        <v>53.5</v>
      </c>
      <c r="AA654" s="7">
        <v>37.1</v>
      </c>
      <c r="AB654" s="7">
        <v>24.3</v>
      </c>
    </row>
    <row r="655" spans="2:28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</row>
    <row r="656" spans="2:28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  <c r="W656" s="7">
        <v>78.2</v>
      </c>
      <c r="X656" s="7">
        <v>68.3</v>
      </c>
      <c r="Y656" s="7">
        <v>72</v>
      </c>
      <c r="Z656" s="7">
        <v>93.8</v>
      </c>
      <c r="AA656" s="7">
        <v>108.8</v>
      </c>
      <c r="AB656" s="7">
        <v>113</v>
      </c>
    </row>
    <row r="657" spans="2:28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  <c r="W657" s="7">
        <v>34.5</v>
      </c>
      <c r="X657" s="7">
        <v>46</v>
      </c>
      <c r="Y657" s="7">
        <v>44.6</v>
      </c>
      <c r="Z657" s="7">
        <v>49.3</v>
      </c>
      <c r="AA657" s="7">
        <v>46.4</v>
      </c>
      <c r="AB657" s="7">
        <v>34.9</v>
      </c>
    </row>
    <row r="658" spans="2:28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  <c r="W658" s="7">
        <v>106.5</v>
      </c>
      <c r="X658" s="7">
        <v>110.4</v>
      </c>
      <c r="Y658" s="7">
        <v>108.1</v>
      </c>
      <c r="Z658" s="7">
        <v>124.9</v>
      </c>
      <c r="AA658" s="7">
        <v>130.6</v>
      </c>
      <c r="AB658" s="7">
        <v>120</v>
      </c>
    </row>
    <row r="659" spans="2:28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</row>
    <row r="660" spans="2:28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</row>
    <row r="661" spans="2:28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  <c r="W661" s="7">
        <v>138.4</v>
      </c>
      <c r="X661" s="7">
        <v>189.9</v>
      </c>
      <c r="Y661" s="7">
        <v>178.6</v>
      </c>
      <c r="Z661" s="7">
        <v>175.7</v>
      </c>
      <c r="AA661" s="7">
        <v>135.19999999999999</v>
      </c>
      <c r="AB661" s="7">
        <v>144.6</v>
      </c>
    </row>
    <row r="662" spans="2:28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  <c r="W662" s="7">
        <v>58.5</v>
      </c>
      <c r="X662" s="7">
        <v>70.8</v>
      </c>
      <c r="Y662" s="7">
        <v>65</v>
      </c>
      <c r="Z662" s="7">
        <v>61.9</v>
      </c>
      <c r="AA662" s="7">
        <v>60.2</v>
      </c>
      <c r="AB662" s="7">
        <v>46.8</v>
      </c>
    </row>
    <row r="663" spans="2:28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</row>
    <row r="664" spans="2:28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  <c r="W664" s="7">
        <v>70.3</v>
      </c>
      <c r="X664" s="7">
        <v>72.400000000000006</v>
      </c>
      <c r="Y664" s="7">
        <v>73.8</v>
      </c>
      <c r="Z664" s="7">
        <v>66.5</v>
      </c>
      <c r="AA664" s="7">
        <v>68.2</v>
      </c>
      <c r="AB664" s="7">
        <v>60</v>
      </c>
    </row>
    <row r="665" spans="2:28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  <c r="W665" s="7">
        <v>90.4</v>
      </c>
      <c r="X665" s="7">
        <v>103.1</v>
      </c>
      <c r="Y665" s="7">
        <v>94.2</v>
      </c>
      <c r="Z665" s="7">
        <v>91.8</v>
      </c>
      <c r="AA665" s="7">
        <v>88.3</v>
      </c>
      <c r="AB665" s="7">
        <v>10.9</v>
      </c>
    </row>
    <row r="666" spans="2:28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</row>
    <row r="667" spans="2:28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  <c r="W667" s="7">
        <v>2003</v>
      </c>
      <c r="X667" s="7">
        <v>2117</v>
      </c>
      <c r="Y667" s="7">
        <v>1605.7</v>
      </c>
      <c r="Z667" s="7">
        <v>1276.5</v>
      </c>
      <c r="AA667" s="7">
        <v>1911</v>
      </c>
      <c r="AB667" s="7">
        <v>2024.3</v>
      </c>
    </row>
    <row r="668" spans="2:28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  <c r="W668" s="7">
        <v>2117</v>
      </c>
      <c r="X668" s="7">
        <v>2065.5</v>
      </c>
      <c r="Y668" s="7">
        <v>1776.8</v>
      </c>
      <c r="Z668" s="7">
        <v>1269.0999999999999</v>
      </c>
      <c r="AA668" s="7">
        <v>2102.3000000000002</v>
      </c>
      <c r="AB668" s="7">
        <v>2124.6999999999998</v>
      </c>
    </row>
    <row r="669" spans="2:28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  <c r="W669" s="7">
        <v>35.9</v>
      </c>
      <c r="X669" s="7">
        <v>32.4</v>
      </c>
      <c r="Y669" s="7">
        <v>34.700000000000003</v>
      </c>
      <c r="Z669" s="7">
        <v>43.8</v>
      </c>
      <c r="AA669" s="7">
        <v>53.2</v>
      </c>
      <c r="AB669" s="7">
        <v>40.5</v>
      </c>
    </row>
    <row r="670" spans="2:28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  <c r="W670" s="7">
        <v>158.4</v>
      </c>
      <c r="X670" s="7">
        <v>186.1</v>
      </c>
      <c r="Y670" s="7">
        <v>145.9</v>
      </c>
      <c r="Z670" s="7">
        <v>128.19999999999999</v>
      </c>
      <c r="AA670" s="7">
        <v>147</v>
      </c>
      <c r="AB670" s="7">
        <v>142.80000000000001</v>
      </c>
    </row>
    <row r="671" spans="2:28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  <c r="W671" s="7">
        <v>0</v>
      </c>
      <c r="X671" s="7">
        <v>13.1</v>
      </c>
      <c r="Y671" s="7">
        <v>44.9</v>
      </c>
      <c r="Z671" s="7">
        <v>48.5</v>
      </c>
      <c r="AA671" s="7">
        <v>43</v>
      </c>
      <c r="AB671" s="7">
        <v>40.200000000000003</v>
      </c>
    </row>
    <row r="672" spans="2:28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  <c r="W672" s="7">
        <v>157.4</v>
      </c>
      <c r="X672" s="7">
        <v>133.1</v>
      </c>
      <c r="Y672" s="7">
        <v>199.2</v>
      </c>
      <c r="Z672" s="7">
        <v>212.6</v>
      </c>
      <c r="AA672" s="7">
        <v>226.8</v>
      </c>
      <c r="AB672" s="7">
        <v>238</v>
      </c>
    </row>
    <row r="673" spans="2:28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  <c r="W673" s="7">
        <v>98.9</v>
      </c>
      <c r="X673" s="7">
        <v>0</v>
      </c>
      <c r="Y673" s="7">
        <v>0</v>
      </c>
      <c r="Z673" s="7">
        <v>0</v>
      </c>
      <c r="AA673" s="7">
        <v>0</v>
      </c>
      <c r="AB673" s="7">
        <v>13.5</v>
      </c>
    </row>
    <row r="674" spans="2:28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</row>
    <row r="675" spans="2:28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  <c r="W675" s="7">
        <v>31.3</v>
      </c>
      <c r="X675" s="7">
        <v>10.9</v>
      </c>
      <c r="Y675" s="7">
        <v>17.3</v>
      </c>
      <c r="Z675" s="7">
        <v>0</v>
      </c>
      <c r="AA675" s="7">
        <v>0</v>
      </c>
      <c r="AB675" s="7">
        <v>0</v>
      </c>
    </row>
    <row r="676" spans="2:28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  <c r="W676" s="7">
        <v>74.2</v>
      </c>
      <c r="X676" s="7">
        <v>54.7</v>
      </c>
      <c r="Y676" s="7">
        <v>80.099999999999994</v>
      </c>
      <c r="Z676" s="7">
        <v>83.6</v>
      </c>
      <c r="AA676" s="7">
        <v>83.1</v>
      </c>
      <c r="AB676" s="7">
        <v>99.1</v>
      </c>
    </row>
    <row r="677" spans="2:28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  <c r="W677" s="7">
        <v>22.4</v>
      </c>
      <c r="X677" s="7">
        <v>16.2</v>
      </c>
      <c r="Y677" s="7">
        <v>18</v>
      </c>
      <c r="Z677" s="7">
        <v>10.199999999999999</v>
      </c>
      <c r="AA677" s="7">
        <v>30.9</v>
      </c>
      <c r="AB677" s="7">
        <v>14</v>
      </c>
    </row>
    <row r="678" spans="2:28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  <c r="W678" s="7">
        <v>44.3</v>
      </c>
      <c r="X678" s="7">
        <v>43.3</v>
      </c>
      <c r="Y678" s="7">
        <v>41.5</v>
      </c>
      <c r="Z678" s="7">
        <v>50</v>
      </c>
      <c r="AA678" s="7">
        <v>40.299999999999997</v>
      </c>
      <c r="AB678" s="7">
        <v>36.700000000000003</v>
      </c>
    </row>
    <row r="679" spans="2:28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</row>
    <row r="680" spans="2:28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  <c r="W680" s="7">
        <v>52.4</v>
      </c>
      <c r="X680" s="7">
        <v>52.2</v>
      </c>
      <c r="Y680" s="7">
        <v>45.9</v>
      </c>
      <c r="Z680" s="7">
        <v>26.7</v>
      </c>
      <c r="AA680" s="7">
        <v>40</v>
      </c>
      <c r="AB680" s="7">
        <v>26.7</v>
      </c>
    </row>
    <row r="681" spans="2:28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</row>
    <row r="682" spans="2:28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</row>
    <row r="683" spans="2:28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</row>
    <row r="684" spans="2:28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</row>
    <row r="685" spans="2:28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  <c r="W685" s="7">
        <v>73.3</v>
      </c>
      <c r="X685" s="7">
        <v>68.400000000000006</v>
      </c>
      <c r="Y685" s="7">
        <v>82.3</v>
      </c>
      <c r="Z685" s="7">
        <v>83.7</v>
      </c>
      <c r="AA685" s="7">
        <v>89.1</v>
      </c>
      <c r="AB685" s="7">
        <v>89.8</v>
      </c>
    </row>
    <row r="686" spans="2:28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  <c r="W686" s="7">
        <v>41.3</v>
      </c>
      <c r="X686" s="7">
        <v>42</v>
      </c>
      <c r="Y686" s="7">
        <v>46.1</v>
      </c>
      <c r="Z686" s="7">
        <v>42.3</v>
      </c>
      <c r="AA686" s="7">
        <v>40.9</v>
      </c>
      <c r="AB686" s="7">
        <v>42.9</v>
      </c>
    </row>
    <row r="687" spans="2:28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  <c r="W687" s="7">
        <v>60.2</v>
      </c>
      <c r="X687" s="7">
        <v>61.8</v>
      </c>
      <c r="Y687" s="7">
        <v>72.8</v>
      </c>
      <c r="Z687" s="7">
        <v>65.5</v>
      </c>
      <c r="AA687" s="7">
        <v>79.8</v>
      </c>
      <c r="AB687" s="7">
        <v>76.900000000000006</v>
      </c>
    </row>
    <row r="688" spans="2:28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</row>
    <row r="689" spans="2:28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  <c r="W689" s="7">
        <v>88.2</v>
      </c>
      <c r="X689" s="7">
        <v>84.4</v>
      </c>
      <c r="Y689" s="7">
        <v>99.3</v>
      </c>
      <c r="Z689" s="7">
        <v>106.9</v>
      </c>
      <c r="AA689" s="7">
        <v>106.7</v>
      </c>
      <c r="AB689" s="7">
        <v>101.3</v>
      </c>
    </row>
    <row r="690" spans="2:28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</row>
    <row r="691" spans="2:28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  <c r="W691" s="7">
        <v>80.099999999999994</v>
      </c>
      <c r="X691" s="7">
        <v>71.900000000000006</v>
      </c>
      <c r="Y691" s="7">
        <v>77.2</v>
      </c>
      <c r="Z691" s="7">
        <v>73</v>
      </c>
      <c r="AA691" s="7">
        <v>67.7</v>
      </c>
      <c r="AB691" s="7">
        <v>65</v>
      </c>
    </row>
    <row r="692" spans="2:28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  <c r="W692" s="7">
        <v>53.4</v>
      </c>
      <c r="X692" s="7">
        <v>50.7</v>
      </c>
      <c r="Y692" s="7">
        <v>59.1</v>
      </c>
      <c r="Z692" s="7">
        <v>60</v>
      </c>
      <c r="AA692" s="7">
        <v>65.099999999999994</v>
      </c>
      <c r="AB692" s="7">
        <v>82.2</v>
      </c>
    </row>
    <row r="693" spans="2:28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</row>
    <row r="694" spans="2:28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  <c r="W694" s="7">
        <v>190.5</v>
      </c>
      <c r="X694" s="7">
        <v>199.9</v>
      </c>
      <c r="Y694" s="7">
        <v>156.5</v>
      </c>
      <c r="Z694" s="7">
        <v>148.4</v>
      </c>
      <c r="AA694" s="7">
        <v>166.8</v>
      </c>
      <c r="AB694" s="7">
        <v>155.69999999999999</v>
      </c>
    </row>
    <row r="695" spans="2:28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  <c r="W695" s="7">
        <v>50.9</v>
      </c>
      <c r="X695" s="7">
        <v>43.4</v>
      </c>
      <c r="Y695" s="7">
        <v>86.8</v>
      </c>
      <c r="Z695" s="7">
        <v>93.8</v>
      </c>
      <c r="AA695" s="7">
        <v>89.8</v>
      </c>
      <c r="AB695" s="7">
        <v>105.4</v>
      </c>
    </row>
    <row r="696" spans="2:28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  <c r="W696" s="7">
        <v>0</v>
      </c>
      <c r="X696" s="7">
        <v>10.5</v>
      </c>
      <c r="Y696" s="7">
        <v>0</v>
      </c>
      <c r="Z696" s="7">
        <v>0</v>
      </c>
      <c r="AA696" s="7">
        <v>0</v>
      </c>
      <c r="AB696" s="7">
        <v>0</v>
      </c>
    </row>
    <row r="697" spans="2:28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  <c r="W697" s="7">
        <v>59.9</v>
      </c>
      <c r="X697" s="7">
        <v>55</v>
      </c>
      <c r="Y697" s="7">
        <v>54.1</v>
      </c>
      <c r="Z697" s="7">
        <v>50.1</v>
      </c>
      <c r="AA697" s="7">
        <v>54.9</v>
      </c>
      <c r="AB697" s="7">
        <v>60.8</v>
      </c>
    </row>
    <row r="698" spans="2:28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  <c r="W698" s="7">
        <v>19.8</v>
      </c>
      <c r="X698" s="7">
        <v>17.7</v>
      </c>
      <c r="Y698" s="7">
        <v>23.1</v>
      </c>
      <c r="Z698" s="7">
        <v>23.5</v>
      </c>
      <c r="AA698" s="7">
        <v>20.7</v>
      </c>
      <c r="AB698" s="7">
        <v>19.5</v>
      </c>
    </row>
    <row r="699" spans="2:28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  <c r="W699" s="7">
        <v>359.3</v>
      </c>
      <c r="X699" s="7">
        <v>306.89999999999998</v>
      </c>
      <c r="Y699" s="7">
        <v>356.9</v>
      </c>
      <c r="Z699" s="7">
        <v>353.8</v>
      </c>
      <c r="AA699" s="7">
        <v>365.5</v>
      </c>
      <c r="AB699" s="7">
        <v>287.39999999999998</v>
      </c>
    </row>
    <row r="700" spans="2:28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</row>
    <row r="701" spans="2:28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  <c r="W701" s="7">
        <v>49.3</v>
      </c>
      <c r="X701" s="7">
        <v>34</v>
      </c>
      <c r="Y701" s="7">
        <v>51.7</v>
      </c>
      <c r="Z701" s="7">
        <v>85.5</v>
      </c>
      <c r="AA701" s="7">
        <v>31.8</v>
      </c>
      <c r="AB701" s="7">
        <v>128.6</v>
      </c>
    </row>
    <row r="702" spans="2:28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  <c r="W702" s="7">
        <v>92</v>
      </c>
      <c r="X702" s="7">
        <v>67.7</v>
      </c>
      <c r="Y702" s="7">
        <v>81.7</v>
      </c>
      <c r="Z702" s="7">
        <v>61.2</v>
      </c>
      <c r="AA702" s="7">
        <v>72.400000000000006</v>
      </c>
      <c r="AB702" s="7">
        <v>51.5</v>
      </c>
    </row>
    <row r="703" spans="2:28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  <c r="W703" s="7">
        <v>227.7</v>
      </c>
      <c r="X703" s="7">
        <v>222.6</v>
      </c>
      <c r="Y703" s="7">
        <v>306.89999999999998</v>
      </c>
      <c r="Z703" s="7">
        <v>176.5</v>
      </c>
      <c r="AA703" s="7">
        <v>202.6</v>
      </c>
      <c r="AB703" s="7">
        <v>301.8</v>
      </c>
    </row>
    <row r="704" spans="2:28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  <c r="W704" s="7">
        <v>343.6</v>
      </c>
      <c r="X704" s="7">
        <v>231.2</v>
      </c>
      <c r="Y704" s="7">
        <v>267.10000000000002</v>
      </c>
      <c r="Z704" s="7">
        <v>395.5</v>
      </c>
      <c r="AA704" s="7">
        <v>283.5</v>
      </c>
      <c r="AB704" s="7">
        <v>359.5</v>
      </c>
    </row>
    <row r="705" spans="2:28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</row>
    <row r="706" spans="2:28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  <c r="W706" s="7">
        <v>57.5</v>
      </c>
      <c r="X706" s="7">
        <v>51.5</v>
      </c>
      <c r="Y706" s="7">
        <v>59.1</v>
      </c>
      <c r="Z706" s="7">
        <v>49.8</v>
      </c>
      <c r="AA706" s="7">
        <v>48.9</v>
      </c>
      <c r="AB706" s="7">
        <v>57.8</v>
      </c>
    </row>
    <row r="707" spans="2:28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  <c r="W707" s="7">
        <v>52.9</v>
      </c>
      <c r="X707" s="7">
        <v>41.6</v>
      </c>
      <c r="Y707" s="7">
        <v>52.7</v>
      </c>
      <c r="Z707" s="7">
        <v>68</v>
      </c>
      <c r="AA707" s="7">
        <v>45.1</v>
      </c>
      <c r="AB707" s="7">
        <v>39.299999999999997</v>
      </c>
    </row>
    <row r="708" spans="2:28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  <c r="W708" s="7">
        <v>274</v>
      </c>
      <c r="X708" s="7">
        <v>130.6</v>
      </c>
      <c r="Y708" s="7">
        <v>71.5</v>
      </c>
      <c r="Z708" s="7">
        <v>223.4</v>
      </c>
      <c r="AA708" s="7">
        <v>75.900000000000006</v>
      </c>
      <c r="AB708" s="7">
        <v>163.9</v>
      </c>
    </row>
    <row r="709" spans="2:28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</row>
    <row r="710" spans="2:28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  <c r="W710" s="7">
        <v>62.6</v>
      </c>
      <c r="X710" s="7">
        <v>63.1</v>
      </c>
      <c r="Y710" s="7">
        <v>63.8</v>
      </c>
      <c r="Z710" s="7">
        <v>63</v>
      </c>
      <c r="AA710" s="7">
        <v>62.9</v>
      </c>
      <c r="AB710" s="7">
        <v>54.3</v>
      </c>
    </row>
    <row r="711" spans="2:28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</row>
    <row r="712" spans="2:28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</row>
    <row r="713" spans="2:28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  <c r="W713" s="7">
        <v>74.8</v>
      </c>
      <c r="X713" s="7">
        <v>67.599999999999994</v>
      </c>
      <c r="Y713" s="7">
        <v>87.7</v>
      </c>
      <c r="Z713" s="7">
        <v>73.5</v>
      </c>
      <c r="AA713" s="7">
        <v>79.400000000000006</v>
      </c>
      <c r="AB713" s="7">
        <v>77.7</v>
      </c>
    </row>
    <row r="714" spans="2:28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</row>
    <row r="715" spans="2:28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</row>
    <row r="716" spans="2:28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</row>
    <row r="717" spans="2:28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  <c r="W717" s="7">
        <v>33.299999999999997</v>
      </c>
      <c r="X717" s="7">
        <v>24.7</v>
      </c>
      <c r="Y717" s="7">
        <v>0</v>
      </c>
      <c r="Z717" s="7">
        <v>0</v>
      </c>
      <c r="AA717" s="7">
        <v>0</v>
      </c>
      <c r="AB717" s="7">
        <v>0</v>
      </c>
    </row>
    <row r="718" spans="2:28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</row>
    <row r="719" spans="2:28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</row>
    <row r="720" spans="2:28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</row>
    <row r="721" spans="2:28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</row>
    <row r="722" spans="2:28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</row>
    <row r="723" spans="2:28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</row>
    <row r="724" spans="2:28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</row>
    <row r="725" spans="2:28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</row>
    <row r="726" spans="2:28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</row>
    <row r="727" spans="2:28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  <c r="W727" s="7">
        <v>113.3</v>
      </c>
      <c r="X727" s="7">
        <v>108.3</v>
      </c>
      <c r="Y727" s="7">
        <v>71.3</v>
      </c>
      <c r="Z727" s="7">
        <v>86.3</v>
      </c>
      <c r="AA727" s="7">
        <v>60.6</v>
      </c>
      <c r="AB727" s="7">
        <v>55.7</v>
      </c>
    </row>
    <row r="728" spans="2:28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  <c r="W728" s="7">
        <v>204.6</v>
      </c>
      <c r="X728" s="7">
        <v>130.4</v>
      </c>
      <c r="Y728" s="7">
        <v>185.4</v>
      </c>
      <c r="Z728" s="7">
        <v>287.5</v>
      </c>
      <c r="AA728" s="7">
        <v>319</v>
      </c>
      <c r="AB728" s="7">
        <v>278.10000000000002</v>
      </c>
    </row>
    <row r="729" spans="2:28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  <c r="W729" s="7">
        <v>20.6</v>
      </c>
      <c r="X729" s="7">
        <v>15.3</v>
      </c>
      <c r="Y729" s="7">
        <v>50.4</v>
      </c>
      <c r="Z729" s="7">
        <v>115.1</v>
      </c>
      <c r="AA729" s="7">
        <v>81.3</v>
      </c>
      <c r="AB729" s="7">
        <v>34</v>
      </c>
    </row>
    <row r="730" spans="2:28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</row>
    <row r="731" spans="2:28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</row>
    <row r="732" spans="2:28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  <c r="W732" s="7">
        <v>37.299999999999997</v>
      </c>
      <c r="X732" s="7">
        <v>21.5</v>
      </c>
      <c r="Y732" s="7">
        <v>21.1</v>
      </c>
      <c r="Z732" s="7">
        <v>20.5</v>
      </c>
      <c r="AA732" s="7">
        <v>20.7</v>
      </c>
      <c r="AB732" s="7">
        <v>17.899999999999999</v>
      </c>
    </row>
    <row r="733" spans="2:28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</row>
    <row r="734" spans="2:28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  <c r="W734" s="7">
        <v>204.6</v>
      </c>
      <c r="X734" s="7">
        <v>195.9</v>
      </c>
      <c r="Y734" s="7">
        <v>221.8</v>
      </c>
      <c r="Z734" s="7">
        <v>245.9</v>
      </c>
      <c r="AA734" s="7">
        <v>224.8</v>
      </c>
      <c r="AB734" s="7">
        <v>240.8</v>
      </c>
    </row>
    <row r="735" spans="2:28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  <c r="W735" s="7">
        <v>200</v>
      </c>
      <c r="X735" s="7">
        <v>223.1</v>
      </c>
      <c r="Y735" s="7">
        <v>230.9</v>
      </c>
      <c r="Z735" s="7">
        <v>273.7</v>
      </c>
      <c r="AA735" s="7">
        <v>277.8</v>
      </c>
      <c r="AB735" s="7">
        <v>326.10000000000002</v>
      </c>
    </row>
    <row r="736" spans="2:28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  <c r="W736" s="7">
        <v>93.3</v>
      </c>
      <c r="X736" s="7">
        <v>116.8</v>
      </c>
      <c r="Y736" s="7">
        <v>118</v>
      </c>
      <c r="Z736" s="7">
        <v>141.69999999999999</v>
      </c>
      <c r="AA736" s="7">
        <v>184.4</v>
      </c>
      <c r="AB736" s="7">
        <v>226.8</v>
      </c>
    </row>
    <row r="737" spans="2:28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</row>
    <row r="738" spans="2:28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  <c r="W738" s="7">
        <v>89.4</v>
      </c>
      <c r="X738" s="7">
        <v>84.7</v>
      </c>
      <c r="Y738" s="7">
        <v>115.6</v>
      </c>
      <c r="Z738" s="7">
        <v>135.9</v>
      </c>
      <c r="AA738" s="7">
        <v>134.19999999999999</v>
      </c>
      <c r="AB738" s="7">
        <v>142.1</v>
      </c>
    </row>
    <row r="739" spans="2:28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  <c r="W739" s="7">
        <v>218.8</v>
      </c>
      <c r="X739" s="7">
        <v>225</v>
      </c>
      <c r="Y739" s="7">
        <v>218.1</v>
      </c>
      <c r="Z739" s="7">
        <v>228.6</v>
      </c>
      <c r="AA739" s="7">
        <v>254</v>
      </c>
      <c r="AB739" s="7">
        <v>256.2</v>
      </c>
    </row>
    <row r="740" spans="2:28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  <c r="W740" s="7">
        <v>81.099999999999994</v>
      </c>
      <c r="X740" s="7">
        <v>69.8</v>
      </c>
      <c r="Y740" s="7">
        <v>78.099999999999994</v>
      </c>
      <c r="Z740" s="7">
        <v>82.3</v>
      </c>
      <c r="AA740" s="7">
        <v>88.2</v>
      </c>
      <c r="AB740" s="7">
        <v>103.6</v>
      </c>
    </row>
    <row r="741" spans="2:28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  <c r="W741" s="7">
        <v>79.900000000000006</v>
      </c>
      <c r="X741" s="7">
        <v>75.7</v>
      </c>
      <c r="Y741" s="7">
        <v>74</v>
      </c>
      <c r="Z741" s="7">
        <v>67</v>
      </c>
      <c r="AA741" s="7">
        <v>70.3</v>
      </c>
      <c r="AB741" s="7">
        <v>66.900000000000006</v>
      </c>
    </row>
    <row r="742" spans="2:28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</row>
    <row r="743" spans="2:28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  <c r="W743" s="7">
        <v>78.2</v>
      </c>
      <c r="X743" s="7">
        <v>19.2</v>
      </c>
      <c r="Y743" s="7">
        <v>3.1</v>
      </c>
      <c r="Z743" s="7">
        <v>250.9</v>
      </c>
      <c r="AA743" s="7">
        <v>217.5</v>
      </c>
      <c r="AB743" s="7">
        <v>337.5</v>
      </c>
    </row>
    <row r="744" spans="2:28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  <c r="W744" s="7">
        <v>48.1</v>
      </c>
      <c r="X744" s="7">
        <v>67.8</v>
      </c>
      <c r="Y744" s="7">
        <v>63.5</v>
      </c>
      <c r="Z744" s="7">
        <v>98.8</v>
      </c>
      <c r="AA744" s="7">
        <v>123.7</v>
      </c>
      <c r="AB744" s="7">
        <v>114.8</v>
      </c>
    </row>
    <row r="745" spans="2:28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  <c r="W745" s="7">
        <v>983.2</v>
      </c>
      <c r="X745" s="7">
        <v>1355.8</v>
      </c>
      <c r="Y745" s="7">
        <v>1282.9000000000001</v>
      </c>
      <c r="Z745" s="7">
        <v>1260.2</v>
      </c>
      <c r="AA745" s="7">
        <v>936.5</v>
      </c>
      <c r="AB745" s="7">
        <v>1005.1</v>
      </c>
    </row>
    <row r="746" spans="2:28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  <c r="W746" s="7">
        <v>445.5</v>
      </c>
      <c r="X746" s="7">
        <v>382</v>
      </c>
      <c r="Y746" s="7">
        <v>385</v>
      </c>
      <c r="Z746" s="7">
        <v>521.9</v>
      </c>
      <c r="AA746" s="7">
        <v>520.9</v>
      </c>
      <c r="AB746" s="7">
        <v>533.5</v>
      </c>
    </row>
    <row r="747" spans="2:28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</row>
    <row r="748" spans="2:28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  <c r="W748" s="7">
        <v>93.9</v>
      </c>
      <c r="X748" s="7">
        <v>82.2</v>
      </c>
      <c r="Y748" s="7">
        <v>141</v>
      </c>
      <c r="Z748" s="7">
        <v>138.19999999999999</v>
      </c>
      <c r="AA748" s="7">
        <v>136.6</v>
      </c>
      <c r="AB748" s="7">
        <v>146.4</v>
      </c>
    </row>
    <row r="749" spans="2:28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</row>
    <row r="750" spans="2:28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  <c r="W750" s="7">
        <v>476.2</v>
      </c>
      <c r="X750" s="7">
        <v>417.8</v>
      </c>
      <c r="Y750" s="7">
        <v>535</v>
      </c>
      <c r="Z750" s="7">
        <v>586.5</v>
      </c>
      <c r="AA750" s="7">
        <v>450.4</v>
      </c>
      <c r="AB750" s="7">
        <v>519.20000000000005</v>
      </c>
    </row>
    <row r="751" spans="2:28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  <c r="W751" s="7">
        <v>161</v>
      </c>
      <c r="X751" s="7">
        <v>57.7</v>
      </c>
      <c r="Y751" s="7">
        <v>103.3</v>
      </c>
      <c r="Z751" s="7">
        <v>179.6</v>
      </c>
      <c r="AA751" s="7">
        <v>134.4</v>
      </c>
      <c r="AB751" s="7">
        <v>181.9</v>
      </c>
    </row>
    <row r="752" spans="2:28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  <c r="W752" s="7">
        <v>24.7</v>
      </c>
      <c r="X752" s="7">
        <v>0</v>
      </c>
      <c r="Y752" s="7">
        <v>0</v>
      </c>
      <c r="Z752" s="7">
        <v>219.9</v>
      </c>
      <c r="AA752" s="7">
        <v>257.8</v>
      </c>
      <c r="AB752" s="7">
        <v>157.19999999999999</v>
      </c>
    </row>
    <row r="753" spans="2:28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</row>
    <row r="754" spans="2:28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</row>
    <row r="755" spans="2:28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</row>
    <row r="756" spans="2:28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31.5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</row>
    <row r="757" spans="2:28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</row>
    <row r="758" spans="2:28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  <c r="W758" s="7">
        <v>45.5</v>
      </c>
      <c r="X758" s="7">
        <v>40.1</v>
      </c>
      <c r="Y758" s="7">
        <v>56.4</v>
      </c>
      <c r="Z758" s="7">
        <v>32.200000000000003</v>
      </c>
      <c r="AA758" s="7">
        <v>61.9</v>
      </c>
      <c r="AB758" s="7">
        <v>100.1</v>
      </c>
    </row>
    <row r="759" spans="2:28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</row>
    <row r="760" spans="2:28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  <c r="W760" s="7">
        <v>47.5</v>
      </c>
      <c r="X760" s="7">
        <v>47</v>
      </c>
      <c r="Y760" s="7">
        <v>51.4</v>
      </c>
      <c r="Z760" s="7">
        <v>47.7</v>
      </c>
      <c r="AA760" s="7">
        <v>44</v>
      </c>
      <c r="AB760" s="7">
        <v>52.6</v>
      </c>
    </row>
    <row r="761" spans="2:28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  <c r="W761" s="7">
        <v>127.4</v>
      </c>
      <c r="X761" s="7">
        <v>75.099999999999994</v>
      </c>
      <c r="Y761" s="7">
        <v>107.2</v>
      </c>
      <c r="Z761" s="7">
        <v>219.7</v>
      </c>
      <c r="AA761" s="7">
        <v>183.3</v>
      </c>
      <c r="AB761" s="7">
        <v>130.9</v>
      </c>
    </row>
    <row r="762" spans="2:28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  <c r="W762" s="7">
        <v>295.60000000000002</v>
      </c>
      <c r="X762" s="7">
        <v>463.7</v>
      </c>
      <c r="Y762" s="7">
        <v>341.3</v>
      </c>
      <c r="Z762" s="7">
        <v>580.20000000000005</v>
      </c>
      <c r="AA762" s="7">
        <v>554.5</v>
      </c>
      <c r="AB762" s="7">
        <v>586.9</v>
      </c>
    </row>
    <row r="763" spans="2:28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</row>
    <row r="764" spans="2:28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  <c r="W764" s="7">
        <v>64.5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</row>
    <row r="765" spans="2:28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</row>
    <row r="766" spans="2:28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</row>
    <row r="767" spans="2:28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</row>
    <row r="768" spans="2:28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  <c r="W768" s="7">
        <v>90.4</v>
      </c>
      <c r="X768" s="7">
        <v>95.2</v>
      </c>
      <c r="Y768" s="7">
        <v>102.2</v>
      </c>
      <c r="Z768" s="7">
        <v>99.8</v>
      </c>
      <c r="AA768" s="7">
        <v>121.3</v>
      </c>
      <c r="AB768" s="7">
        <v>179.1</v>
      </c>
    </row>
    <row r="769" spans="2:28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</row>
    <row r="770" spans="2:28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  <c r="W770" s="7">
        <v>111.7</v>
      </c>
      <c r="X770" s="7">
        <v>97.8</v>
      </c>
      <c r="Y770" s="7">
        <v>88.3</v>
      </c>
      <c r="Z770" s="7">
        <v>108.6</v>
      </c>
      <c r="AA770" s="7">
        <v>116.1</v>
      </c>
      <c r="AB770" s="7">
        <v>110.1</v>
      </c>
    </row>
    <row r="771" spans="2:28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  <c r="W771" s="7">
        <v>165.4</v>
      </c>
      <c r="X771" s="7">
        <v>207.9</v>
      </c>
      <c r="Y771" s="7">
        <v>217.3</v>
      </c>
      <c r="Z771" s="7">
        <v>300.89999999999998</v>
      </c>
      <c r="AA771" s="7">
        <v>321.3</v>
      </c>
      <c r="AB771" s="7">
        <v>338.8</v>
      </c>
    </row>
    <row r="772" spans="2:28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  <c r="W772" s="7">
        <v>164.8</v>
      </c>
      <c r="X772" s="7">
        <v>154.6</v>
      </c>
      <c r="Y772" s="7">
        <v>154</v>
      </c>
      <c r="Z772" s="7">
        <v>155.6</v>
      </c>
      <c r="AA772" s="7">
        <v>146.6</v>
      </c>
      <c r="AB772" s="7">
        <v>150.80000000000001</v>
      </c>
    </row>
    <row r="773" spans="2:28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  <c r="W773" s="7">
        <v>293.60000000000002</v>
      </c>
      <c r="X773" s="7">
        <v>274.10000000000002</v>
      </c>
      <c r="Y773" s="7">
        <v>331.4</v>
      </c>
      <c r="Z773" s="7">
        <v>364.6</v>
      </c>
      <c r="AA773" s="7">
        <v>415.9</v>
      </c>
      <c r="AB773" s="7">
        <v>485.1</v>
      </c>
    </row>
    <row r="774" spans="2:28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  <c r="W774" s="7">
        <v>137.1</v>
      </c>
      <c r="X774" s="7">
        <v>130.19999999999999</v>
      </c>
      <c r="Y774" s="7">
        <v>152.30000000000001</v>
      </c>
      <c r="Z774" s="7">
        <v>165.6</v>
      </c>
      <c r="AA774" s="7">
        <v>161.4</v>
      </c>
      <c r="AB774" s="7">
        <v>175</v>
      </c>
    </row>
    <row r="775" spans="2:28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  <c r="W775" s="7">
        <v>84.9</v>
      </c>
      <c r="X775" s="7">
        <v>43.4</v>
      </c>
      <c r="Y775" s="7">
        <v>90.3</v>
      </c>
      <c r="Z775" s="7">
        <v>143.69999999999999</v>
      </c>
      <c r="AA775" s="7">
        <v>104.4</v>
      </c>
      <c r="AB775" s="7">
        <v>100.8</v>
      </c>
    </row>
    <row r="776" spans="2:28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</row>
    <row r="777" spans="2:28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  <c r="W777" s="7">
        <v>207.8</v>
      </c>
      <c r="X777" s="7">
        <v>234.5</v>
      </c>
      <c r="Y777" s="7">
        <v>206.9</v>
      </c>
      <c r="Z777" s="7">
        <v>271</v>
      </c>
      <c r="AA777" s="7">
        <v>274.7</v>
      </c>
      <c r="AB777" s="7">
        <v>273</v>
      </c>
    </row>
    <row r="778" spans="2:28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  <c r="W778" s="7">
        <v>34.799999999999997</v>
      </c>
      <c r="X778" s="7">
        <v>41.2</v>
      </c>
      <c r="Y778" s="7">
        <v>43.5</v>
      </c>
      <c r="Z778" s="7">
        <v>43.4</v>
      </c>
      <c r="AA778" s="7">
        <v>37.299999999999997</v>
      </c>
      <c r="AB778" s="7">
        <v>39.6</v>
      </c>
    </row>
    <row r="779" spans="2:28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  <c r="W779" s="7">
        <v>0</v>
      </c>
      <c r="X779" s="7">
        <v>30.2</v>
      </c>
      <c r="Y779" s="7">
        <v>67.5</v>
      </c>
      <c r="Z779" s="7">
        <v>84.9</v>
      </c>
      <c r="AA779" s="7">
        <v>50.9</v>
      </c>
      <c r="AB779" s="7">
        <v>65.2</v>
      </c>
    </row>
    <row r="780" spans="2:28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</row>
    <row r="781" spans="2:28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</row>
    <row r="782" spans="2:28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  <c r="W782" s="7">
        <v>79.900000000000006</v>
      </c>
      <c r="X782" s="7">
        <v>59.3</v>
      </c>
      <c r="Y782" s="7">
        <v>57.3</v>
      </c>
      <c r="Z782" s="7">
        <v>68.400000000000006</v>
      </c>
      <c r="AA782" s="7">
        <v>72.099999999999994</v>
      </c>
      <c r="AB782" s="7">
        <v>73.7</v>
      </c>
    </row>
    <row r="783" spans="2:28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  <c r="W783" s="7">
        <v>50.9</v>
      </c>
      <c r="X783" s="7">
        <v>48.2</v>
      </c>
      <c r="Y783" s="7">
        <v>46.8</v>
      </c>
      <c r="Z783" s="7">
        <v>47.3</v>
      </c>
      <c r="AA783" s="7">
        <v>41.5</v>
      </c>
      <c r="AB783" s="7">
        <v>51.9</v>
      </c>
    </row>
    <row r="784" spans="2:28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</row>
    <row r="785" spans="2:28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  <c r="W785" s="7">
        <v>198.3</v>
      </c>
      <c r="X785" s="7">
        <v>65.8</v>
      </c>
      <c r="Y785" s="7">
        <v>46.8</v>
      </c>
      <c r="Z785" s="7">
        <v>0</v>
      </c>
      <c r="AA785" s="7">
        <v>0</v>
      </c>
      <c r="AB785" s="7">
        <v>0</v>
      </c>
    </row>
    <row r="786" spans="2:28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182.7</v>
      </c>
      <c r="AA786" s="7">
        <v>565</v>
      </c>
      <c r="AB786" s="7">
        <v>472.8</v>
      </c>
    </row>
    <row r="787" spans="2:28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  <c r="W787" s="7">
        <v>0</v>
      </c>
      <c r="X787" s="7">
        <v>0</v>
      </c>
      <c r="Y787" s="7">
        <v>13.9</v>
      </c>
      <c r="Z787" s="7">
        <v>9.1</v>
      </c>
      <c r="AA787" s="7">
        <v>10.9</v>
      </c>
      <c r="AB787" s="7">
        <v>14.2</v>
      </c>
    </row>
    <row r="788" spans="2:28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</row>
    <row r="789" spans="2:28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  <c r="W789" s="7">
        <v>227.1</v>
      </c>
      <c r="X789" s="7">
        <v>238.7</v>
      </c>
      <c r="Y789" s="7">
        <v>243.1</v>
      </c>
      <c r="Z789" s="7">
        <v>255.8</v>
      </c>
      <c r="AA789" s="7">
        <v>285.89999999999998</v>
      </c>
      <c r="AB789" s="7">
        <v>288</v>
      </c>
    </row>
    <row r="790" spans="2:28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  <c r="W790" s="7">
        <v>324.2</v>
      </c>
      <c r="X790" s="7">
        <v>350.3</v>
      </c>
      <c r="Y790" s="7">
        <v>411.9</v>
      </c>
      <c r="Z790" s="7">
        <v>429</v>
      </c>
      <c r="AA790" s="7">
        <v>339.2</v>
      </c>
      <c r="AB790" s="7">
        <v>306.39999999999998</v>
      </c>
    </row>
    <row r="791" spans="2:28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  <c r="W791" s="7">
        <v>26.9</v>
      </c>
      <c r="X791" s="7">
        <v>25</v>
      </c>
      <c r="Y791" s="7">
        <v>22</v>
      </c>
      <c r="Z791" s="7">
        <v>20.6</v>
      </c>
      <c r="AA791" s="7">
        <v>20</v>
      </c>
      <c r="AB791" s="7">
        <v>15.7</v>
      </c>
    </row>
    <row r="792" spans="2:28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  <c r="W792" s="7">
        <v>113.9</v>
      </c>
      <c r="X792" s="7">
        <v>106.1</v>
      </c>
      <c r="Y792" s="7">
        <v>182.4</v>
      </c>
      <c r="Z792" s="7">
        <v>120.4</v>
      </c>
      <c r="AA792" s="7">
        <v>133.1</v>
      </c>
      <c r="AB792" s="7">
        <v>378.4</v>
      </c>
    </row>
    <row r="793" spans="2:28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</row>
    <row r="794" spans="2:28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  <c r="W794" s="7">
        <v>50.5</v>
      </c>
      <c r="X794" s="7">
        <v>84.6</v>
      </c>
      <c r="Y794" s="7">
        <v>126.2</v>
      </c>
      <c r="Z794" s="7">
        <v>50.8</v>
      </c>
      <c r="AA794" s="7">
        <v>25.6</v>
      </c>
      <c r="AB794" s="7">
        <v>50.8</v>
      </c>
    </row>
    <row r="795" spans="2:28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  <c r="W795" s="7">
        <v>163.9</v>
      </c>
      <c r="X795" s="7">
        <v>160.1</v>
      </c>
      <c r="Y795" s="7">
        <v>171.3</v>
      </c>
      <c r="Z795" s="7">
        <v>183.8</v>
      </c>
      <c r="AA795" s="7">
        <v>197.6</v>
      </c>
      <c r="AB795" s="7">
        <v>210.5</v>
      </c>
    </row>
    <row r="796" spans="2:28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  <c r="W796" s="7">
        <v>196.4</v>
      </c>
      <c r="X796" s="7">
        <v>194.9</v>
      </c>
      <c r="Y796" s="7">
        <v>199.6</v>
      </c>
      <c r="Z796" s="7">
        <v>225.7</v>
      </c>
      <c r="AA796" s="7">
        <v>201.9</v>
      </c>
      <c r="AB796" s="7">
        <v>189.2</v>
      </c>
    </row>
    <row r="797" spans="2:28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  <c r="W797" s="7">
        <v>13.8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</row>
    <row r="798" spans="2:28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  <c r="W798" s="7">
        <v>166.1</v>
      </c>
      <c r="X798" s="7">
        <v>166.8</v>
      </c>
      <c r="Y798" s="7">
        <v>154.69999999999999</v>
      </c>
      <c r="Z798" s="7">
        <v>160.30000000000001</v>
      </c>
      <c r="AA798" s="7">
        <v>167.7</v>
      </c>
      <c r="AB798" s="7">
        <v>143.19999999999999</v>
      </c>
    </row>
    <row r="799" spans="2:28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45.8</v>
      </c>
      <c r="Z799" s="7">
        <v>85.8</v>
      </c>
      <c r="AA799" s="7">
        <v>25.7</v>
      </c>
      <c r="AB799" s="7">
        <v>130.69999999999999</v>
      </c>
    </row>
    <row r="800" spans="2:28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  <c r="W800" s="7">
        <v>102.6</v>
      </c>
      <c r="X800" s="7">
        <v>95.2</v>
      </c>
      <c r="Y800" s="7">
        <v>96</v>
      </c>
      <c r="Z800" s="7">
        <v>87.6</v>
      </c>
      <c r="AA800" s="7">
        <v>83.8</v>
      </c>
      <c r="AB800" s="7">
        <v>91.8</v>
      </c>
    </row>
    <row r="801" spans="2:28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  <c r="W801" s="7">
        <v>101.2</v>
      </c>
      <c r="X801" s="7">
        <v>163.69999999999999</v>
      </c>
      <c r="Y801" s="7">
        <v>128.80000000000001</v>
      </c>
      <c r="Z801" s="7">
        <v>171</v>
      </c>
      <c r="AA801" s="7">
        <v>172.2</v>
      </c>
      <c r="AB801" s="7">
        <v>215.2</v>
      </c>
    </row>
    <row r="802" spans="2:28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  <c r="W802" s="7">
        <v>47.7</v>
      </c>
      <c r="X802" s="7">
        <v>0</v>
      </c>
      <c r="Y802" s="7">
        <v>6.6</v>
      </c>
      <c r="Z802" s="7">
        <v>0</v>
      </c>
      <c r="AA802" s="7">
        <v>0</v>
      </c>
      <c r="AB802" s="7">
        <v>0</v>
      </c>
    </row>
    <row r="803" spans="2:28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  <c r="W803" s="7">
        <v>60.5</v>
      </c>
      <c r="X803" s="7">
        <v>74.8</v>
      </c>
      <c r="Y803" s="7">
        <v>74</v>
      </c>
      <c r="Z803" s="7">
        <v>85</v>
      </c>
      <c r="AA803" s="7">
        <v>97.8</v>
      </c>
      <c r="AB803" s="7">
        <v>94.6</v>
      </c>
    </row>
    <row r="804" spans="2:28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  <c r="W804" s="7">
        <v>51.7</v>
      </c>
      <c r="X804" s="7">
        <v>46.7</v>
      </c>
      <c r="Y804" s="7">
        <v>51.5</v>
      </c>
      <c r="Z804" s="7">
        <v>60</v>
      </c>
      <c r="AA804" s="7">
        <v>60.7</v>
      </c>
      <c r="AB804" s="7">
        <v>76.5</v>
      </c>
    </row>
    <row r="805" spans="2:28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  <c r="W805" s="7">
        <v>111.6</v>
      </c>
      <c r="X805" s="7">
        <v>119.1</v>
      </c>
      <c r="Y805" s="7">
        <v>124.5</v>
      </c>
      <c r="Z805" s="7">
        <v>133.1</v>
      </c>
      <c r="AA805" s="7">
        <v>133.80000000000001</v>
      </c>
      <c r="AB805" s="7">
        <v>139.5</v>
      </c>
    </row>
    <row r="806" spans="2:28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  <c r="W806" s="7">
        <v>370.7</v>
      </c>
      <c r="X806" s="7">
        <v>380.6</v>
      </c>
      <c r="Y806" s="7">
        <v>418.4</v>
      </c>
      <c r="Z806" s="7">
        <v>458.5</v>
      </c>
      <c r="AA806" s="7">
        <v>490.8</v>
      </c>
      <c r="AB806" s="7">
        <v>529.9</v>
      </c>
    </row>
    <row r="807" spans="2:28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  <c r="W807" s="7">
        <v>34.200000000000003</v>
      </c>
      <c r="X807" s="7">
        <v>15.6</v>
      </c>
      <c r="Y807" s="7">
        <v>8.6</v>
      </c>
      <c r="Z807" s="7">
        <v>38.1</v>
      </c>
      <c r="AA807" s="7">
        <v>31.8</v>
      </c>
      <c r="AB807" s="7">
        <v>24.7</v>
      </c>
    </row>
    <row r="808" spans="2:28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  <c r="W808" s="7">
        <v>277.10000000000002</v>
      </c>
      <c r="X808" s="7">
        <v>268.89999999999998</v>
      </c>
      <c r="Y808" s="7">
        <v>263.7</v>
      </c>
      <c r="Z808" s="7">
        <v>276.89999999999998</v>
      </c>
      <c r="AA808" s="7">
        <v>285.89999999999998</v>
      </c>
      <c r="AB808" s="7">
        <v>270.39999999999998</v>
      </c>
    </row>
    <row r="809" spans="2:28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  <c r="W809" s="7">
        <v>223.2</v>
      </c>
      <c r="X809" s="7">
        <v>215.8</v>
      </c>
      <c r="Y809" s="7">
        <v>217.7</v>
      </c>
      <c r="Z809" s="7">
        <v>194.7</v>
      </c>
      <c r="AA809" s="7">
        <v>200.9</v>
      </c>
      <c r="AB809" s="7">
        <v>188.3</v>
      </c>
    </row>
    <row r="810" spans="2:28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  <c r="W810" s="7">
        <v>17.7</v>
      </c>
      <c r="X810" s="7">
        <v>10.6</v>
      </c>
      <c r="Y810" s="7">
        <v>15.9</v>
      </c>
      <c r="Z810" s="7">
        <v>16.7</v>
      </c>
      <c r="AA810" s="7">
        <v>18.899999999999999</v>
      </c>
      <c r="AB810" s="7">
        <v>16.899999999999999</v>
      </c>
    </row>
    <row r="811" spans="2:28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  <c r="W811" s="7">
        <v>95.3</v>
      </c>
      <c r="X811" s="7">
        <v>105.1</v>
      </c>
      <c r="Y811" s="7">
        <v>115.1</v>
      </c>
      <c r="Z811" s="7">
        <v>126.4</v>
      </c>
      <c r="AA811" s="7">
        <v>137.1</v>
      </c>
      <c r="AB811" s="7">
        <v>162.4</v>
      </c>
    </row>
    <row r="812" spans="2:28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  <c r="W812" s="7">
        <v>27.7</v>
      </c>
      <c r="X812" s="7">
        <v>26.4</v>
      </c>
      <c r="Y812" s="7">
        <v>25.7</v>
      </c>
      <c r="Z812" s="7">
        <v>33.299999999999997</v>
      </c>
      <c r="AA812" s="7">
        <v>55.3</v>
      </c>
      <c r="AB812" s="7">
        <v>57.5</v>
      </c>
    </row>
    <row r="813" spans="2:28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  <c r="W813" s="7">
        <v>375</v>
      </c>
      <c r="X813" s="7">
        <v>412.3</v>
      </c>
      <c r="Y813" s="7">
        <v>53.9</v>
      </c>
      <c r="Z813" s="7">
        <v>41.8</v>
      </c>
      <c r="AA813" s="7">
        <v>261.60000000000002</v>
      </c>
      <c r="AB813" s="7">
        <v>0</v>
      </c>
    </row>
    <row r="814" spans="2:28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</row>
    <row r="815" spans="2:28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  <c r="W815" s="7">
        <v>126.8</v>
      </c>
      <c r="X815" s="7">
        <v>126.7</v>
      </c>
      <c r="Y815" s="7">
        <v>132.1</v>
      </c>
      <c r="Z815" s="7">
        <v>133</v>
      </c>
      <c r="AA815" s="7">
        <v>112.3</v>
      </c>
      <c r="AB815" s="7">
        <v>116.9</v>
      </c>
    </row>
    <row r="816" spans="2:28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  <c r="W816" s="7">
        <v>223.2</v>
      </c>
      <c r="X816" s="7">
        <v>220</v>
      </c>
      <c r="Y816" s="7">
        <v>211.5</v>
      </c>
      <c r="Z816" s="7">
        <v>232.7</v>
      </c>
      <c r="AA816" s="7">
        <v>236.7</v>
      </c>
      <c r="AB816" s="7">
        <v>248.9</v>
      </c>
    </row>
    <row r="817" spans="2:28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  <c r="W817" s="7">
        <v>151.9</v>
      </c>
      <c r="X817" s="7">
        <v>155.30000000000001</v>
      </c>
      <c r="Y817" s="7">
        <v>169.8</v>
      </c>
      <c r="Z817" s="7">
        <v>175.5</v>
      </c>
      <c r="AA817" s="7">
        <v>177.8</v>
      </c>
      <c r="AB817" s="7">
        <v>174.5</v>
      </c>
    </row>
    <row r="818" spans="2:28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  <c r="W818" s="7">
        <v>29.2</v>
      </c>
      <c r="X818" s="7">
        <v>27</v>
      </c>
      <c r="Y818" s="7">
        <v>23.1</v>
      </c>
      <c r="Z818" s="7">
        <v>45.2</v>
      </c>
      <c r="AA818" s="7">
        <v>13.4</v>
      </c>
      <c r="AB818" s="7">
        <v>11.2</v>
      </c>
    </row>
    <row r="819" spans="2:28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</row>
    <row r="820" spans="2:28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</row>
    <row r="821" spans="2:28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  <c r="W821" s="7">
        <v>0</v>
      </c>
      <c r="X821" s="7">
        <v>12.1</v>
      </c>
      <c r="Y821" s="7">
        <v>72.400000000000006</v>
      </c>
      <c r="Z821" s="7">
        <v>73.8</v>
      </c>
      <c r="AA821" s="7">
        <v>70.8</v>
      </c>
      <c r="AB821" s="7">
        <v>50.7</v>
      </c>
    </row>
    <row r="822" spans="2:28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  <c r="W822" s="7">
        <v>312.2</v>
      </c>
      <c r="X822" s="7">
        <v>348.3</v>
      </c>
      <c r="Y822" s="7">
        <v>352.2</v>
      </c>
      <c r="Z822" s="7">
        <v>357.1</v>
      </c>
      <c r="AA822" s="7">
        <v>368.5</v>
      </c>
      <c r="AB822" s="7">
        <v>389.7</v>
      </c>
    </row>
    <row r="823" spans="2:28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  <c r="W823" s="7">
        <v>206.3</v>
      </c>
      <c r="X823" s="7">
        <v>135.30000000000001</v>
      </c>
      <c r="Y823" s="7">
        <v>352.9</v>
      </c>
      <c r="Z823" s="7">
        <v>454</v>
      </c>
      <c r="AA823" s="7">
        <v>390</v>
      </c>
      <c r="AB823" s="7">
        <v>578.79999999999995</v>
      </c>
    </row>
    <row r="824" spans="2:28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  <c r="W824" s="7">
        <v>122.2</v>
      </c>
      <c r="X824" s="7">
        <v>119.2</v>
      </c>
      <c r="Y824" s="7">
        <v>125.1</v>
      </c>
      <c r="Z824" s="7">
        <v>124.4</v>
      </c>
      <c r="AA824" s="7">
        <v>118.6</v>
      </c>
      <c r="AB824" s="7">
        <v>119.3</v>
      </c>
    </row>
    <row r="825" spans="2:28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</row>
    <row r="826" spans="2:28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</row>
    <row r="827" spans="2:28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</row>
    <row r="828" spans="2:28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  <c r="W828" s="7">
        <v>54.3</v>
      </c>
      <c r="X828" s="7">
        <v>70.400000000000006</v>
      </c>
      <c r="Y828" s="7">
        <v>86.8</v>
      </c>
      <c r="Z828" s="7">
        <v>109.6</v>
      </c>
      <c r="AA828" s="7">
        <v>108.8</v>
      </c>
      <c r="AB828" s="7">
        <v>143.30000000000001</v>
      </c>
    </row>
    <row r="829" spans="2:28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  <c r="W829" s="7">
        <v>805.3</v>
      </c>
      <c r="X829" s="7">
        <v>676</v>
      </c>
      <c r="Y829" s="7">
        <v>854.1</v>
      </c>
      <c r="Z829" s="7">
        <v>876.1</v>
      </c>
      <c r="AA829" s="7">
        <v>829.8</v>
      </c>
      <c r="AB829" s="7">
        <v>791.7</v>
      </c>
    </row>
    <row r="830" spans="2:28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  <c r="W830" s="7">
        <v>74</v>
      </c>
      <c r="X830" s="7">
        <v>71.599999999999994</v>
      </c>
      <c r="Y830" s="7">
        <v>92.2</v>
      </c>
      <c r="Z830" s="7">
        <v>86.9</v>
      </c>
      <c r="AA830" s="7">
        <v>89.5</v>
      </c>
      <c r="AB830" s="7">
        <v>69.5</v>
      </c>
    </row>
    <row r="831" spans="2:28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  <c r="W831" s="7">
        <v>438.4</v>
      </c>
      <c r="X831" s="7">
        <v>413.8</v>
      </c>
      <c r="Y831" s="7">
        <v>467</v>
      </c>
      <c r="Z831" s="7">
        <v>506.8</v>
      </c>
      <c r="AA831" s="7">
        <v>481</v>
      </c>
      <c r="AB831" s="7">
        <v>517.6</v>
      </c>
    </row>
    <row r="832" spans="2:28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1.5</v>
      </c>
      <c r="Y832" s="7">
        <v>0</v>
      </c>
      <c r="Z832" s="7">
        <v>17.899999999999999</v>
      </c>
      <c r="AA832" s="7">
        <v>0</v>
      </c>
      <c r="AB832" s="7">
        <v>7.4</v>
      </c>
    </row>
    <row r="833" spans="2:28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  <c r="W833" s="7">
        <v>45.8</v>
      </c>
      <c r="X833" s="7">
        <v>40.4</v>
      </c>
      <c r="Y833" s="7">
        <v>31.3</v>
      </c>
      <c r="Z833" s="7">
        <v>35.6</v>
      </c>
      <c r="AA833" s="7">
        <v>31.8</v>
      </c>
      <c r="AB833" s="7">
        <v>27.5</v>
      </c>
    </row>
    <row r="834" spans="2:28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  <c r="W834" s="7">
        <v>16.100000000000001</v>
      </c>
      <c r="X834" s="7">
        <v>16.100000000000001</v>
      </c>
      <c r="Y834" s="7">
        <v>20.100000000000001</v>
      </c>
      <c r="Z834" s="7">
        <v>21.7</v>
      </c>
      <c r="AA834" s="7">
        <v>21.7</v>
      </c>
      <c r="AB834" s="7">
        <v>17.399999999999999</v>
      </c>
    </row>
    <row r="835" spans="2:28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</row>
    <row r="836" spans="2:28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</row>
    <row r="837" spans="2:28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</row>
    <row r="838" spans="2:28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  <c r="W838" s="7">
        <v>443.6</v>
      </c>
      <c r="X838" s="7">
        <v>426.8</v>
      </c>
      <c r="Y838" s="7">
        <v>423.1</v>
      </c>
      <c r="Z838" s="7">
        <v>444.2</v>
      </c>
      <c r="AA838" s="7">
        <v>434.8</v>
      </c>
      <c r="AB838" s="7">
        <v>540.9</v>
      </c>
    </row>
    <row r="839" spans="2:28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</row>
    <row r="840" spans="2:28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  <c r="W840" s="7">
        <v>76.8</v>
      </c>
      <c r="X840" s="7">
        <v>76</v>
      </c>
      <c r="Y840" s="7">
        <v>81.400000000000006</v>
      </c>
      <c r="Z840" s="7">
        <v>90.4</v>
      </c>
      <c r="AA840" s="7">
        <v>83.4</v>
      </c>
      <c r="AB840" s="7">
        <v>83.6</v>
      </c>
    </row>
    <row r="841" spans="2:28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</row>
    <row r="842" spans="2:28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  <c r="W842" s="7">
        <v>28.8</v>
      </c>
      <c r="X842" s="7">
        <v>28.8</v>
      </c>
      <c r="Y842" s="7">
        <v>28.5</v>
      </c>
      <c r="Z842" s="7">
        <v>26.7</v>
      </c>
      <c r="AA842" s="7">
        <v>25.1</v>
      </c>
      <c r="AB842" s="7">
        <v>22.2</v>
      </c>
    </row>
    <row r="843" spans="2:28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  <c r="W843" s="7">
        <v>0</v>
      </c>
      <c r="X843" s="7">
        <v>0</v>
      </c>
      <c r="Y843" s="7">
        <v>11.4</v>
      </c>
      <c r="Z843" s="7">
        <v>16</v>
      </c>
      <c r="AA843" s="7">
        <v>85.4</v>
      </c>
      <c r="AB843" s="7">
        <v>35.799999999999997</v>
      </c>
    </row>
    <row r="844" spans="2:28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  <c r="W844" s="7">
        <v>63.8</v>
      </c>
      <c r="X844" s="7">
        <v>47.8</v>
      </c>
      <c r="Y844" s="7">
        <v>141.19999999999999</v>
      </c>
      <c r="Z844" s="7">
        <v>295.7</v>
      </c>
      <c r="AA844" s="7">
        <v>232.7</v>
      </c>
      <c r="AB844" s="7">
        <v>238.1</v>
      </c>
    </row>
    <row r="845" spans="2:28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</row>
    <row r="846" spans="2:28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  <c r="W846" s="7">
        <v>36.200000000000003</v>
      </c>
      <c r="X846" s="7">
        <v>28.5</v>
      </c>
      <c r="Y846" s="7">
        <v>11.8</v>
      </c>
      <c r="Z846" s="7">
        <v>22.5</v>
      </c>
      <c r="AA846" s="7">
        <v>20.3</v>
      </c>
      <c r="AB846" s="7">
        <v>9.6</v>
      </c>
    </row>
    <row r="847" spans="2:28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</row>
    <row r="848" spans="2:28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</row>
    <row r="849" spans="2:28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  <c r="W849" s="7">
        <v>105</v>
      </c>
      <c r="X849" s="7">
        <v>138.30000000000001</v>
      </c>
      <c r="Y849" s="7">
        <v>300.39999999999998</v>
      </c>
      <c r="Z849" s="7">
        <v>236.4</v>
      </c>
      <c r="AA849" s="7">
        <v>198.6</v>
      </c>
      <c r="AB849" s="7">
        <v>213.1</v>
      </c>
    </row>
    <row r="850" spans="2:28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</row>
    <row r="851" spans="2:28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  <c r="W851" s="7">
        <v>3944</v>
      </c>
      <c r="X851" s="7">
        <v>1867.5</v>
      </c>
      <c r="Y851" s="7">
        <v>4834.8</v>
      </c>
      <c r="Z851" s="7">
        <v>4865.2</v>
      </c>
      <c r="AA851" s="7">
        <v>3409.3</v>
      </c>
      <c r="AB851" s="7">
        <v>4365.7</v>
      </c>
    </row>
    <row r="852" spans="2:28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  <c r="W852" s="7">
        <v>3632.1</v>
      </c>
      <c r="X852" s="7">
        <v>1856.4</v>
      </c>
      <c r="Y852" s="7">
        <v>4849</v>
      </c>
      <c r="Z852" s="7">
        <v>4863</v>
      </c>
      <c r="AA852" s="7">
        <v>3459.7</v>
      </c>
      <c r="AB852" s="7">
        <v>4365.3</v>
      </c>
    </row>
    <row r="853" spans="2:28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  <c r="W853" s="7">
        <v>475.1</v>
      </c>
      <c r="X853" s="7">
        <v>524.4</v>
      </c>
      <c r="Y853" s="7">
        <v>546.70000000000005</v>
      </c>
      <c r="Z853" s="7">
        <v>592</v>
      </c>
      <c r="AA853" s="7">
        <v>665.1</v>
      </c>
      <c r="AB853" s="7">
        <v>638.1</v>
      </c>
    </row>
    <row r="854" spans="2:28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25</v>
      </c>
      <c r="AB854" s="7">
        <v>6.7</v>
      </c>
    </row>
    <row r="855" spans="2:28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</row>
    <row r="856" spans="2:28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</row>
    <row r="857" spans="2:28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  <c r="W857" s="7">
        <v>423</v>
      </c>
      <c r="X857" s="7">
        <v>681.8</v>
      </c>
      <c r="Y857" s="7">
        <v>799.7</v>
      </c>
      <c r="Z857" s="7">
        <v>664.8</v>
      </c>
      <c r="AA857" s="7">
        <v>670.7</v>
      </c>
      <c r="AB857" s="7">
        <v>651.79999999999995</v>
      </c>
    </row>
    <row r="858" spans="2:28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</row>
    <row r="859" spans="2:28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  <c r="W859" s="7">
        <v>149.19999999999999</v>
      </c>
      <c r="X859" s="7">
        <v>108.1</v>
      </c>
      <c r="Y859" s="7">
        <v>120</v>
      </c>
      <c r="Z859" s="7">
        <v>147.6</v>
      </c>
      <c r="AA859" s="7">
        <v>126.4</v>
      </c>
      <c r="AB859" s="7">
        <v>124.9</v>
      </c>
    </row>
    <row r="860" spans="2:28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  <c r="W860" s="7">
        <v>413.3</v>
      </c>
      <c r="X860" s="7">
        <v>403.7</v>
      </c>
      <c r="Y860" s="7">
        <v>402.6</v>
      </c>
      <c r="Z860" s="7">
        <v>441</v>
      </c>
      <c r="AA860" s="7">
        <v>427.7</v>
      </c>
      <c r="AB860" s="7">
        <v>466</v>
      </c>
    </row>
    <row r="861" spans="2:28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  <c r="W861" s="7">
        <v>145</v>
      </c>
      <c r="X861" s="7">
        <v>118.6</v>
      </c>
      <c r="Y861" s="7">
        <v>121.3</v>
      </c>
      <c r="Z861" s="7">
        <v>155.1</v>
      </c>
      <c r="AA861" s="7">
        <v>137.1</v>
      </c>
      <c r="AB861" s="7">
        <v>116.3</v>
      </c>
    </row>
    <row r="862" spans="2:28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  <c r="W862" s="7">
        <v>77.400000000000006</v>
      </c>
      <c r="X862" s="7">
        <v>86.9</v>
      </c>
      <c r="Y862" s="7">
        <v>80.7</v>
      </c>
      <c r="Z862" s="7">
        <v>79.8</v>
      </c>
      <c r="AA862" s="7">
        <v>68.900000000000006</v>
      </c>
      <c r="AB862" s="7">
        <v>71.599999999999994</v>
      </c>
    </row>
    <row r="863" spans="2:28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  <c r="W863" s="7">
        <v>95.9</v>
      </c>
      <c r="X863" s="7">
        <v>91.2</v>
      </c>
      <c r="Y863" s="7">
        <v>110.1</v>
      </c>
      <c r="Z863" s="7">
        <v>118</v>
      </c>
      <c r="AA863" s="7">
        <v>121.2</v>
      </c>
      <c r="AB863" s="7">
        <v>110.8</v>
      </c>
    </row>
    <row r="864" spans="2:28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</row>
    <row r="865" spans="2:28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  <c r="W865" s="7">
        <v>54.1</v>
      </c>
      <c r="X865" s="7">
        <v>55</v>
      </c>
      <c r="Y865" s="7">
        <v>57.2</v>
      </c>
      <c r="Z865" s="7">
        <v>55.3</v>
      </c>
      <c r="AA865" s="7">
        <v>61.5</v>
      </c>
      <c r="AB865" s="7">
        <v>53.3</v>
      </c>
    </row>
    <row r="866" spans="2:28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</row>
    <row r="867" spans="2:28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</row>
    <row r="868" spans="2:28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  <c r="W868" s="7">
        <v>188.8</v>
      </c>
      <c r="X868" s="7">
        <v>193</v>
      </c>
      <c r="Y868" s="7">
        <v>227.5</v>
      </c>
      <c r="Z868" s="7">
        <v>255.8</v>
      </c>
      <c r="AA868" s="7">
        <v>243.1</v>
      </c>
      <c r="AB868" s="7">
        <v>232.2</v>
      </c>
    </row>
    <row r="869" spans="2:28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</row>
    <row r="870" spans="2:28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  <c r="W870" s="7">
        <v>155</v>
      </c>
      <c r="X870" s="7">
        <v>158.6</v>
      </c>
      <c r="Y870" s="7">
        <v>169.4</v>
      </c>
      <c r="Z870" s="7">
        <v>177.4</v>
      </c>
      <c r="AA870" s="7">
        <v>176.6</v>
      </c>
      <c r="AB870" s="7">
        <v>157.6</v>
      </c>
    </row>
    <row r="871" spans="2:28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  <c r="W871" s="7">
        <v>231.7</v>
      </c>
      <c r="X871" s="7">
        <v>239.4</v>
      </c>
      <c r="Y871" s="7">
        <v>217.9</v>
      </c>
      <c r="Z871" s="7">
        <v>276.89999999999998</v>
      </c>
      <c r="AA871" s="7">
        <v>311.7</v>
      </c>
      <c r="AB871" s="7">
        <v>405</v>
      </c>
    </row>
    <row r="872" spans="2:28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</row>
    <row r="873" spans="2:28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</row>
    <row r="874" spans="2:28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  <c r="W874" s="7">
        <v>109.3</v>
      </c>
      <c r="X874" s="7">
        <v>114.1</v>
      </c>
      <c r="Y874" s="7">
        <v>98.3</v>
      </c>
      <c r="Z874" s="7">
        <v>107</v>
      </c>
      <c r="AA874" s="7">
        <v>105.5</v>
      </c>
      <c r="AB874" s="7">
        <v>97.1</v>
      </c>
    </row>
    <row r="875" spans="2:28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</row>
    <row r="876" spans="2:28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</row>
    <row r="877" spans="2:28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  <c r="W877" s="7">
        <v>44.3</v>
      </c>
      <c r="X877" s="7">
        <v>36.4</v>
      </c>
      <c r="Y877" s="7">
        <v>47</v>
      </c>
      <c r="Z877" s="7">
        <v>54</v>
      </c>
      <c r="AA877" s="7">
        <v>45.3</v>
      </c>
      <c r="AB877" s="7">
        <v>39</v>
      </c>
    </row>
    <row r="878" spans="2:28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  <c r="W878" s="7">
        <v>92.9</v>
      </c>
      <c r="X878" s="7">
        <v>98.3</v>
      </c>
      <c r="Y878" s="7">
        <v>108.9</v>
      </c>
      <c r="Z878" s="7">
        <v>102.6</v>
      </c>
      <c r="AA878" s="7">
        <v>115.4</v>
      </c>
      <c r="AB878" s="7">
        <v>100.1</v>
      </c>
    </row>
    <row r="879" spans="2:28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  <c r="W879" s="7">
        <v>194.8</v>
      </c>
      <c r="X879" s="7">
        <v>197.7</v>
      </c>
      <c r="Y879" s="7">
        <v>174.2</v>
      </c>
      <c r="Z879" s="7">
        <v>151.19999999999999</v>
      </c>
      <c r="AA879" s="7">
        <v>150.19999999999999</v>
      </c>
      <c r="AB879" s="7">
        <v>112.6</v>
      </c>
    </row>
    <row r="880" spans="2:28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  <c r="W880" s="7">
        <v>212.2</v>
      </c>
      <c r="X880" s="7">
        <v>220.1</v>
      </c>
      <c r="Y880" s="7">
        <v>221.6</v>
      </c>
      <c r="Z880" s="7">
        <v>249</v>
      </c>
      <c r="AA880" s="7">
        <v>227</v>
      </c>
      <c r="AB880" s="7">
        <v>242.9</v>
      </c>
    </row>
    <row r="881" spans="2:28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</row>
    <row r="882" spans="2:28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</row>
    <row r="883" spans="2:28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  <c r="W883" s="7">
        <v>288.5</v>
      </c>
      <c r="X883" s="7">
        <v>358.1</v>
      </c>
      <c r="Y883" s="7">
        <v>459.5</v>
      </c>
      <c r="Z883" s="7">
        <v>568.20000000000005</v>
      </c>
      <c r="AA883" s="7">
        <v>551.79999999999995</v>
      </c>
      <c r="AB883" s="7">
        <v>588.5</v>
      </c>
    </row>
    <row r="884" spans="2:28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</row>
    <row r="885" spans="2:28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</row>
    <row r="886" spans="2:28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  <c r="W886" s="7">
        <v>203.9</v>
      </c>
      <c r="X886" s="7">
        <v>184</v>
      </c>
      <c r="Y886" s="7">
        <v>269</v>
      </c>
      <c r="Z886" s="7">
        <v>276.7</v>
      </c>
      <c r="AA886" s="7">
        <v>258.8</v>
      </c>
      <c r="AB886" s="7">
        <v>189.3</v>
      </c>
    </row>
    <row r="887" spans="2:28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</row>
    <row r="888" spans="2:28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  <c r="W888" s="7">
        <v>0</v>
      </c>
      <c r="X888" s="7">
        <v>0</v>
      </c>
      <c r="Y888" s="7">
        <v>65.900000000000006</v>
      </c>
      <c r="Z888" s="7">
        <v>198</v>
      </c>
      <c r="AA888" s="7">
        <v>133.19999999999999</v>
      </c>
      <c r="AB888" s="7">
        <v>76.400000000000006</v>
      </c>
    </row>
    <row r="889" spans="2:28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</row>
    <row r="890" spans="2:28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  <c r="W890" s="7">
        <v>96.7</v>
      </c>
      <c r="X890" s="7">
        <v>180.1</v>
      </c>
      <c r="Y890" s="7">
        <v>244.5</v>
      </c>
      <c r="Z890" s="7">
        <v>330.4</v>
      </c>
      <c r="AA890" s="7">
        <v>331.2</v>
      </c>
      <c r="AB890" s="7">
        <v>353.3</v>
      </c>
    </row>
    <row r="891" spans="2:28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</row>
    <row r="892" spans="2:28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28.1</v>
      </c>
      <c r="AA892" s="7">
        <v>62.4</v>
      </c>
      <c r="AB892" s="7">
        <v>104.9</v>
      </c>
    </row>
    <row r="893" spans="2:28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  <c r="W893" s="7">
        <v>345.4</v>
      </c>
      <c r="X893" s="7">
        <v>454.7</v>
      </c>
      <c r="Y893" s="7">
        <v>490.4</v>
      </c>
      <c r="Z893" s="7">
        <v>539.9</v>
      </c>
      <c r="AA893" s="7">
        <v>488.9</v>
      </c>
      <c r="AB893" s="7">
        <v>519.9</v>
      </c>
    </row>
    <row r="894" spans="2:28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  <c r="W894" s="7">
        <v>128.80000000000001</v>
      </c>
      <c r="X894" s="7">
        <v>106.1</v>
      </c>
      <c r="Y894" s="7">
        <v>112.1</v>
      </c>
      <c r="Z894" s="7">
        <v>118.2</v>
      </c>
      <c r="AA894" s="7">
        <v>112.6</v>
      </c>
      <c r="AB894" s="7">
        <v>111.5</v>
      </c>
    </row>
    <row r="895" spans="2:28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  <c r="W895" s="7">
        <v>206</v>
      </c>
      <c r="X895" s="7">
        <v>235.1</v>
      </c>
      <c r="Y895" s="7">
        <v>225</v>
      </c>
      <c r="Z895" s="7">
        <v>213.2</v>
      </c>
      <c r="AA895" s="7">
        <v>192.8</v>
      </c>
      <c r="AB895" s="7">
        <v>176.8</v>
      </c>
    </row>
    <row r="896" spans="2:28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</row>
    <row r="897" spans="2:28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</row>
    <row r="898" spans="2:28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  <c r="W898" s="7">
        <v>43.7</v>
      </c>
      <c r="X898" s="7">
        <v>40.4</v>
      </c>
      <c r="Y898" s="7">
        <v>27.8</v>
      </c>
      <c r="Z898" s="7">
        <v>39.4</v>
      </c>
      <c r="AA898" s="7">
        <v>51</v>
      </c>
      <c r="AB898" s="7">
        <v>42.3</v>
      </c>
    </row>
    <row r="899" spans="2:28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  <c r="W899" s="7">
        <v>211.2</v>
      </c>
      <c r="X899" s="7">
        <v>219.6</v>
      </c>
      <c r="Y899" s="7">
        <v>189.4</v>
      </c>
      <c r="Z899" s="7">
        <v>189.6</v>
      </c>
      <c r="AA899" s="7">
        <v>178.2</v>
      </c>
      <c r="AB899" s="7">
        <v>195.5</v>
      </c>
    </row>
    <row r="900" spans="2:28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  <c r="W900" s="7">
        <v>30</v>
      </c>
      <c r="X900" s="7">
        <v>33.4</v>
      </c>
      <c r="Y900" s="7">
        <v>128</v>
      </c>
      <c r="Z900" s="7">
        <v>179</v>
      </c>
      <c r="AA900" s="7">
        <v>43.7</v>
      </c>
      <c r="AB900" s="7">
        <v>18</v>
      </c>
    </row>
    <row r="901" spans="2:28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</row>
    <row r="902" spans="2:28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</row>
    <row r="903" spans="2:28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</row>
    <row r="904" spans="2:28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  <c r="W904" s="7">
        <v>144.9</v>
      </c>
      <c r="X904" s="7">
        <v>128.69999999999999</v>
      </c>
      <c r="Y904" s="7">
        <v>130.19999999999999</v>
      </c>
      <c r="Z904" s="7">
        <v>116.6</v>
      </c>
      <c r="AA904" s="7">
        <v>111.6</v>
      </c>
      <c r="AB904" s="7">
        <v>105.4</v>
      </c>
    </row>
    <row r="905" spans="2:28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</row>
    <row r="906" spans="2:28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  <c r="W906" s="7">
        <v>0</v>
      </c>
      <c r="X906" s="7">
        <v>0</v>
      </c>
      <c r="Y906" s="7">
        <v>0</v>
      </c>
      <c r="Z906" s="7">
        <v>73</v>
      </c>
      <c r="AA906" s="7">
        <v>0</v>
      </c>
      <c r="AB906" s="7">
        <v>85.9</v>
      </c>
    </row>
    <row r="907" spans="2:28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</row>
    <row r="908" spans="2:28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  <c r="W908" s="7">
        <v>204.5</v>
      </c>
      <c r="X908" s="7">
        <v>182</v>
      </c>
      <c r="Y908" s="7">
        <v>199.6</v>
      </c>
      <c r="Z908" s="7">
        <v>210.5</v>
      </c>
      <c r="AA908" s="7">
        <v>0</v>
      </c>
      <c r="AB908" s="7">
        <v>0</v>
      </c>
    </row>
    <row r="909" spans="2:28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  <c r="W909" s="7">
        <v>206.1</v>
      </c>
      <c r="X909" s="7">
        <v>228.4</v>
      </c>
      <c r="Y909" s="7">
        <v>245.5</v>
      </c>
      <c r="Z909" s="7">
        <v>261.60000000000002</v>
      </c>
      <c r="AA909" s="7">
        <v>255</v>
      </c>
      <c r="AB909" s="7">
        <v>255.2</v>
      </c>
    </row>
    <row r="910" spans="2:28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  <c r="W910" s="7">
        <v>28.5</v>
      </c>
      <c r="X910" s="7">
        <v>22.9</v>
      </c>
      <c r="Y910" s="7">
        <v>32.6</v>
      </c>
      <c r="Z910" s="7">
        <v>33.9</v>
      </c>
      <c r="AA910" s="7">
        <v>29.8</v>
      </c>
      <c r="AB910" s="7">
        <v>32.299999999999997</v>
      </c>
    </row>
    <row r="911" spans="2:28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  <c r="W911" s="7">
        <v>108.8</v>
      </c>
      <c r="X911" s="7">
        <v>112.1</v>
      </c>
      <c r="Y911" s="7">
        <v>115.7</v>
      </c>
      <c r="Z911" s="7">
        <v>117.4</v>
      </c>
      <c r="AA911" s="7">
        <v>120.8</v>
      </c>
      <c r="AB911" s="7">
        <v>110.9</v>
      </c>
    </row>
    <row r="912" spans="2:28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  <c r="W912" s="7">
        <v>113.5</v>
      </c>
      <c r="X912" s="7">
        <v>133.80000000000001</v>
      </c>
      <c r="Y912" s="7">
        <v>129.19999999999999</v>
      </c>
      <c r="Z912" s="7">
        <v>162.6</v>
      </c>
      <c r="AA912" s="7">
        <v>134.1</v>
      </c>
      <c r="AB912" s="7">
        <v>141.4</v>
      </c>
    </row>
    <row r="913" spans="2:28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</row>
    <row r="914" spans="2:28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</row>
    <row r="915" spans="2:28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</row>
    <row r="916" spans="2:28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  <c r="W916" s="7">
        <v>37.9</v>
      </c>
      <c r="X916" s="7">
        <v>37.4</v>
      </c>
      <c r="Y916" s="7">
        <v>44.1</v>
      </c>
      <c r="Z916" s="7">
        <v>45</v>
      </c>
      <c r="AA916" s="7">
        <v>44.3</v>
      </c>
      <c r="AB916" s="7">
        <v>51.5</v>
      </c>
    </row>
    <row r="917" spans="2:28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  <c r="W917" s="7">
        <v>48.1</v>
      </c>
      <c r="X917" s="7">
        <v>36.299999999999997</v>
      </c>
      <c r="Y917" s="7">
        <v>52.1</v>
      </c>
      <c r="Z917" s="7">
        <v>68.3</v>
      </c>
      <c r="AA917" s="7">
        <v>60.3</v>
      </c>
      <c r="AB917" s="7">
        <v>64.3</v>
      </c>
    </row>
    <row r="918" spans="2:28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  <c r="W918" s="7">
        <v>75.8</v>
      </c>
      <c r="X918" s="7">
        <v>69.099999999999994</v>
      </c>
      <c r="Y918" s="7">
        <v>85.5</v>
      </c>
      <c r="Z918" s="7">
        <v>102.9</v>
      </c>
      <c r="AA918" s="7">
        <v>101.3</v>
      </c>
      <c r="AB918" s="7">
        <v>82.8</v>
      </c>
    </row>
    <row r="919" spans="2:28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  <c r="W919" s="7">
        <v>26</v>
      </c>
      <c r="X919" s="7">
        <v>28.5</v>
      </c>
      <c r="Y919" s="7">
        <v>28.9</v>
      </c>
      <c r="Z919" s="7">
        <v>26.1</v>
      </c>
      <c r="AA919" s="7">
        <v>9.8000000000000007</v>
      </c>
      <c r="AB919" s="7">
        <v>5.7</v>
      </c>
    </row>
    <row r="920" spans="2:28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</row>
    <row r="921" spans="2:28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  <c r="W921" s="7">
        <v>230.5</v>
      </c>
      <c r="X921" s="7">
        <v>196.3</v>
      </c>
      <c r="Y921" s="7">
        <v>250.9</v>
      </c>
      <c r="Z921" s="7">
        <v>288.39999999999998</v>
      </c>
      <c r="AA921" s="7">
        <v>309.5</v>
      </c>
      <c r="AB921" s="7">
        <v>318.5</v>
      </c>
    </row>
    <row r="922" spans="2:28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  <c r="W922" s="7">
        <v>323.7</v>
      </c>
      <c r="X922" s="7">
        <v>325</v>
      </c>
      <c r="Y922" s="7">
        <v>322.39999999999998</v>
      </c>
      <c r="Z922" s="7">
        <v>365.5</v>
      </c>
      <c r="AA922" s="7">
        <v>358.6</v>
      </c>
      <c r="AB922" s="7">
        <v>346.4</v>
      </c>
    </row>
    <row r="923" spans="2:28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  <c r="W923" s="7">
        <v>109.4</v>
      </c>
      <c r="X923" s="7">
        <v>98.5</v>
      </c>
      <c r="Y923" s="7">
        <v>101.8</v>
      </c>
      <c r="Z923" s="7">
        <v>101.5</v>
      </c>
      <c r="AA923" s="7">
        <v>100.8</v>
      </c>
      <c r="AB923" s="7">
        <v>90.7</v>
      </c>
    </row>
    <row r="924" spans="2:28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  <c r="W924" s="7">
        <v>68.8</v>
      </c>
      <c r="X924" s="7">
        <v>74.900000000000006</v>
      </c>
      <c r="Y924" s="7">
        <v>90.9</v>
      </c>
      <c r="Z924" s="7">
        <v>87.7</v>
      </c>
      <c r="AA924" s="7">
        <v>83.5</v>
      </c>
      <c r="AB924" s="7">
        <v>71.599999999999994</v>
      </c>
    </row>
    <row r="925" spans="2:28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</row>
    <row r="926" spans="2:28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</row>
    <row r="927" spans="2:28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  <c r="W927" s="7">
        <v>52.6</v>
      </c>
      <c r="X927" s="7">
        <v>53</v>
      </c>
      <c r="Y927" s="7">
        <v>61.2</v>
      </c>
      <c r="Z927" s="7">
        <v>49.2</v>
      </c>
      <c r="AA927" s="7">
        <v>44.6</v>
      </c>
      <c r="AB927" s="7">
        <v>40.299999999999997</v>
      </c>
    </row>
    <row r="928" spans="2:28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</row>
    <row r="929" spans="2:28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</row>
    <row r="930" spans="2:28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  <c r="W930" s="7">
        <v>22.1</v>
      </c>
      <c r="X930" s="7">
        <v>22.8</v>
      </c>
      <c r="Y930" s="7">
        <v>0</v>
      </c>
      <c r="Z930" s="7">
        <v>0</v>
      </c>
      <c r="AA930" s="7">
        <v>0</v>
      </c>
      <c r="AB930" s="7">
        <v>0</v>
      </c>
    </row>
    <row r="931" spans="2:28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</row>
    <row r="932" spans="2:28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</row>
    <row r="933" spans="2:28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</row>
    <row r="934" spans="2:28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</row>
    <row r="935" spans="2:28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</row>
    <row r="936" spans="2:28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</row>
    <row r="937" spans="2:28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</row>
    <row r="938" spans="2:28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</row>
    <row r="939" spans="2:28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</row>
    <row r="940" spans="2:28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</row>
    <row r="941" spans="2:28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</row>
    <row r="942" spans="2:28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</row>
    <row r="943" spans="2:28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  <c r="W943" s="7">
        <v>102.9</v>
      </c>
      <c r="X943" s="7">
        <v>70.8</v>
      </c>
      <c r="Y943" s="7">
        <v>81.2</v>
      </c>
      <c r="Z943" s="7">
        <v>78.900000000000006</v>
      </c>
      <c r="AA943" s="7">
        <v>72.099999999999994</v>
      </c>
      <c r="AB943" s="7">
        <v>69.099999999999994</v>
      </c>
    </row>
    <row r="944" spans="2:28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</row>
    <row r="945" spans="2:28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</row>
    <row r="946" spans="2:28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</row>
    <row r="947" spans="2:28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</row>
    <row r="948" spans="2:28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</row>
    <row r="949" spans="2:28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  <c r="W949" s="7">
        <v>128.80000000000001</v>
      </c>
      <c r="X949" s="7">
        <v>119.4</v>
      </c>
      <c r="Y949" s="7">
        <v>120.8</v>
      </c>
      <c r="Z949" s="7">
        <v>126.6</v>
      </c>
      <c r="AA949" s="7">
        <v>124</v>
      </c>
      <c r="AB949" s="7">
        <v>137</v>
      </c>
    </row>
    <row r="950" spans="2:28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</row>
    <row r="951" spans="2:28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</row>
    <row r="952" spans="2:28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</row>
    <row r="953" spans="2:28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</row>
    <row r="954" spans="2:28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</row>
    <row r="955" spans="2:28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</row>
    <row r="956" spans="2:28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</row>
    <row r="957" spans="2:28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</row>
    <row r="958" spans="2:28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</row>
    <row r="959" spans="2:28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</row>
    <row r="960" spans="2:28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</row>
    <row r="961" spans="2:28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</row>
    <row r="962" spans="2:28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</row>
    <row r="963" spans="2:28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</row>
    <row r="964" spans="2:28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</row>
    <row r="965" spans="2:28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</row>
    <row r="966" spans="2:28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</row>
    <row r="967" spans="2:28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</row>
    <row r="968" spans="2:28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</row>
    <row r="969" spans="2:28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</row>
    <row r="970" spans="2:28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</row>
    <row r="971" spans="2:28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</row>
    <row r="972" spans="2:28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</row>
    <row r="973" spans="2:28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</row>
    <row r="974" spans="2:28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</row>
    <row r="975" spans="2:28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  <c r="W975" s="7">
        <v>22.1</v>
      </c>
      <c r="X975" s="7">
        <v>10.7</v>
      </c>
      <c r="Y975" s="7">
        <v>12.2</v>
      </c>
      <c r="Z975" s="7">
        <v>6.6</v>
      </c>
      <c r="AA975" s="7">
        <v>44.5</v>
      </c>
      <c r="AB975" s="7">
        <v>15</v>
      </c>
    </row>
    <row r="976" spans="2:28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</row>
    <row r="977" spans="2:28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  <c r="W977" s="7">
        <v>0</v>
      </c>
      <c r="X977" s="7">
        <v>0</v>
      </c>
      <c r="Y977" s="7">
        <v>0</v>
      </c>
      <c r="Z977" s="7">
        <v>96</v>
      </c>
      <c r="AA977" s="7">
        <v>58.2</v>
      </c>
      <c r="AB977" s="7">
        <v>0</v>
      </c>
    </row>
    <row r="978" spans="2:28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</row>
    <row r="979" spans="2:28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</row>
    <row r="980" spans="2:28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</row>
    <row r="981" spans="2:28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  <c r="W981" s="7">
        <v>20.8</v>
      </c>
      <c r="X981" s="7">
        <v>18.899999999999999</v>
      </c>
      <c r="Y981" s="7">
        <v>19</v>
      </c>
      <c r="Z981" s="7">
        <v>18.100000000000001</v>
      </c>
      <c r="AA981" s="7">
        <v>17.899999999999999</v>
      </c>
      <c r="AB981" s="7">
        <v>17.600000000000001</v>
      </c>
    </row>
    <row r="982" spans="2:28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  <c r="W982" s="7">
        <v>1226.5999999999999</v>
      </c>
      <c r="X982" s="7">
        <v>1084.5999999999999</v>
      </c>
      <c r="Y982" s="7">
        <v>945.2</v>
      </c>
      <c r="Z982" s="7">
        <v>1301.0999999999999</v>
      </c>
      <c r="AA982" s="7">
        <v>1399.2</v>
      </c>
      <c r="AB982" s="7">
        <v>1305.0999999999999</v>
      </c>
    </row>
    <row r="983" spans="2:28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</row>
    <row r="984" spans="2:28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</row>
    <row r="985" spans="2:28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</row>
    <row r="986" spans="2:28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</row>
    <row r="987" spans="2:28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</row>
    <row r="988" spans="2:28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</row>
    <row r="989" spans="2:28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</row>
    <row r="990" spans="2:28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</row>
    <row r="991" spans="2:28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</row>
    <row r="992" spans="2:28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</row>
    <row r="993" spans="2:28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</row>
    <row r="994" spans="2:28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</row>
    <row r="995" spans="2:28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</row>
    <row r="996" spans="2:28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</row>
    <row r="997" spans="2:28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</row>
    <row r="998" spans="2:28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  <c r="W998" s="7">
        <v>36.6</v>
      </c>
      <c r="X998" s="7">
        <v>70.3</v>
      </c>
      <c r="Y998" s="7">
        <v>0</v>
      </c>
      <c r="Z998" s="7">
        <v>17.399999999999999</v>
      </c>
      <c r="AA998" s="7">
        <v>37.5</v>
      </c>
      <c r="AB998" s="7">
        <v>76.400000000000006</v>
      </c>
    </row>
    <row r="999" spans="2:28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  <c r="W999" s="7">
        <v>65.599999999999994</v>
      </c>
      <c r="X999" s="7">
        <v>72.099999999999994</v>
      </c>
      <c r="Y999" s="7">
        <v>92</v>
      </c>
      <c r="Z999" s="7">
        <v>149.30000000000001</v>
      </c>
      <c r="AA999" s="7">
        <v>177</v>
      </c>
      <c r="AB999" s="7">
        <v>150.30000000000001</v>
      </c>
    </row>
    <row r="1000" spans="2:28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</row>
    <row r="1001" spans="2:28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</row>
    <row r="1002" spans="2:28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</row>
    <row r="1003" spans="2:28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</row>
    <row r="1004" spans="2:28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</row>
    <row r="1005" spans="2:28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  <c r="W1005" s="7">
        <v>29.2</v>
      </c>
      <c r="X1005" s="7">
        <v>35.5</v>
      </c>
      <c r="Y1005" s="7">
        <v>36.4</v>
      </c>
      <c r="Z1005" s="7">
        <v>40.700000000000003</v>
      </c>
      <c r="AA1005" s="7">
        <v>33.5</v>
      </c>
      <c r="AB1005" s="7">
        <v>22.9</v>
      </c>
    </row>
    <row r="1006" spans="2:28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  <c r="W1006" s="7">
        <v>153.1</v>
      </c>
      <c r="X1006" s="7">
        <v>146.1</v>
      </c>
      <c r="Y1006" s="7">
        <v>152.19999999999999</v>
      </c>
      <c r="Z1006" s="7">
        <v>163.19999999999999</v>
      </c>
      <c r="AA1006" s="7">
        <v>187.6</v>
      </c>
      <c r="AB1006" s="7">
        <v>180.1</v>
      </c>
    </row>
    <row r="1007" spans="2:28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</row>
    <row r="1008" spans="2:28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</row>
    <row r="1009" spans="2:28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</row>
    <row r="1010" spans="2:28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</row>
    <row r="1011" spans="2:28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  <c r="W1011" s="7">
        <v>44.7</v>
      </c>
      <c r="X1011" s="7">
        <v>61.5</v>
      </c>
      <c r="Y1011" s="7">
        <v>65.5</v>
      </c>
      <c r="Z1011" s="7">
        <v>101.1</v>
      </c>
      <c r="AA1011" s="7">
        <v>98.9</v>
      </c>
      <c r="AB1011" s="7">
        <v>92.6</v>
      </c>
    </row>
    <row r="1012" spans="2:28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</row>
    <row r="1013" spans="2:28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</row>
    <row r="1014" spans="2:28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  <c r="W1014" s="7">
        <v>157.5</v>
      </c>
      <c r="X1014" s="7">
        <v>153.1</v>
      </c>
      <c r="Y1014" s="7">
        <v>149.9</v>
      </c>
      <c r="Z1014" s="7">
        <v>181.6</v>
      </c>
      <c r="AA1014" s="7">
        <v>149.80000000000001</v>
      </c>
      <c r="AB1014" s="7">
        <v>172.5</v>
      </c>
    </row>
    <row r="1015" spans="2:28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</row>
    <row r="1016" spans="2:28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</row>
    <row r="1017" spans="2:28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</row>
    <row r="1018" spans="2:28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</row>
    <row r="1019" spans="2:28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</row>
    <row r="1020" spans="2:28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  <c r="W1020" s="7">
        <v>41.5</v>
      </c>
      <c r="X1020" s="7">
        <v>31.2</v>
      </c>
      <c r="Y1020" s="7">
        <v>33.799999999999997</v>
      </c>
      <c r="Z1020" s="7">
        <v>35.799999999999997</v>
      </c>
      <c r="AA1020" s="7">
        <v>30.6</v>
      </c>
      <c r="AB1020" s="7">
        <v>27.6</v>
      </c>
    </row>
    <row r="1021" spans="2:28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</row>
    <row r="1022" spans="2:28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</row>
    <row r="1023" spans="2:28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  <c r="W1023" s="7">
        <v>38.4</v>
      </c>
      <c r="X1023" s="7">
        <v>37.1</v>
      </c>
      <c r="Y1023" s="7">
        <v>36.5</v>
      </c>
      <c r="Z1023" s="7">
        <v>38.9</v>
      </c>
      <c r="AA1023" s="7">
        <v>39.1</v>
      </c>
      <c r="AB1023" s="7">
        <v>42</v>
      </c>
    </row>
    <row r="1024" spans="2:28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</row>
    <row r="1025" spans="2:28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</row>
    <row r="1026" spans="2:28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</row>
    <row r="1027" spans="2:28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  <c r="W1027" s="7">
        <v>138.19999999999999</v>
      </c>
      <c r="X1027" s="7">
        <v>141.80000000000001</v>
      </c>
      <c r="Y1027" s="7">
        <v>139.30000000000001</v>
      </c>
      <c r="Z1027" s="7">
        <v>137.19999999999999</v>
      </c>
      <c r="AA1027" s="7">
        <v>122.1</v>
      </c>
      <c r="AB1027" s="7">
        <v>129.5</v>
      </c>
    </row>
    <row r="1028" spans="2:28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</row>
    <row r="1029" spans="2:28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</row>
    <row r="1030" spans="2:28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</row>
    <row r="1031" spans="2:28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  <c r="W1031" s="7">
        <v>174.2</v>
      </c>
      <c r="X1031" s="7">
        <v>154.1</v>
      </c>
      <c r="Y1031" s="7">
        <v>199</v>
      </c>
      <c r="Z1031" s="7">
        <v>191.7</v>
      </c>
      <c r="AA1031" s="7">
        <v>192.3</v>
      </c>
      <c r="AB1031" s="7">
        <v>172.7</v>
      </c>
    </row>
    <row r="1032" spans="2:28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</row>
    <row r="1033" spans="2:28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</row>
    <row r="1034" spans="2:28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</row>
    <row r="1035" spans="2:28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  <c r="W1035" s="7">
        <v>173.5</v>
      </c>
      <c r="X1035" s="7">
        <v>180.9</v>
      </c>
      <c r="Y1035" s="7">
        <v>179.6</v>
      </c>
      <c r="Z1035" s="7">
        <v>165.8</v>
      </c>
      <c r="AA1035" s="7">
        <v>155.80000000000001</v>
      </c>
      <c r="AB1035" s="7">
        <v>169.4</v>
      </c>
    </row>
    <row r="1036" spans="2:28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  <c r="W1036" s="7">
        <v>38.5</v>
      </c>
      <c r="X1036" s="7">
        <v>18.399999999999999</v>
      </c>
      <c r="Y1036" s="7">
        <v>15.7</v>
      </c>
      <c r="Z1036" s="7">
        <v>38.6</v>
      </c>
      <c r="AA1036" s="7">
        <v>79</v>
      </c>
      <c r="AB1036" s="7">
        <v>75.099999999999994</v>
      </c>
    </row>
    <row r="1037" spans="2:28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  <c r="W1037" s="7">
        <v>137.5</v>
      </c>
      <c r="X1037" s="7">
        <v>118</v>
      </c>
      <c r="Y1037" s="7">
        <v>123</v>
      </c>
      <c r="Z1037" s="7">
        <v>176.1</v>
      </c>
      <c r="AA1037" s="7">
        <v>172.7</v>
      </c>
      <c r="AB1037" s="7">
        <v>87.2</v>
      </c>
    </row>
    <row r="1038" spans="2:28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</row>
    <row r="1039" spans="2:28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</row>
    <row r="1040" spans="2:28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  <c r="W1040" s="7">
        <v>47.7</v>
      </c>
      <c r="X1040" s="7">
        <v>47.1</v>
      </c>
      <c r="Y1040" s="7">
        <v>68.099999999999994</v>
      </c>
      <c r="Z1040" s="7">
        <v>66</v>
      </c>
      <c r="AA1040" s="7">
        <v>75.2</v>
      </c>
      <c r="AB1040" s="7">
        <v>53.6</v>
      </c>
    </row>
    <row r="1041" spans="2:28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  <c r="W1041" s="7">
        <v>63.7</v>
      </c>
      <c r="X1041" s="7">
        <v>105</v>
      </c>
      <c r="Y1041" s="7">
        <v>84</v>
      </c>
      <c r="Z1041" s="7">
        <v>120.5</v>
      </c>
      <c r="AA1041" s="7">
        <v>129.19999999999999</v>
      </c>
      <c r="AB1041" s="7">
        <v>106.8</v>
      </c>
    </row>
    <row r="1042" spans="2:28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</row>
    <row r="1043" spans="2:28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</row>
    <row r="1044" spans="2:28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</row>
    <row r="1045" spans="2:28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</row>
    <row r="1046" spans="2:28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</row>
    <row r="1047" spans="2:28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</row>
    <row r="1048" spans="2:28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</row>
    <row r="1049" spans="2:28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</row>
    <row r="1050" spans="2:28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  <c r="W1050" s="7">
        <v>48.9</v>
      </c>
      <c r="X1050" s="7">
        <v>53.1</v>
      </c>
      <c r="Y1050" s="7">
        <v>47.4</v>
      </c>
      <c r="Z1050" s="7">
        <v>44</v>
      </c>
      <c r="AA1050" s="7">
        <v>37.5</v>
      </c>
      <c r="AB1050" s="7">
        <v>41.1</v>
      </c>
    </row>
    <row r="1051" spans="2:28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  <c r="W1051" s="7">
        <v>28.2</v>
      </c>
      <c r="X1051" s="7">
        <v>32.700000000000003</v>
      </c>
      <c r="Y1051" s="7">
        <v>28.4</v>
      </c>
      <c r="Z1051" s="7">
        <v>2.5</v>
      </c>
      <c r="AA1051" s="7">
        <v>0</v>
      </c>
      <c r="AB1051" s="7">
        <v>0</v>
      </c>
    </row>
    <row r="1052" spans="2:28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</row>
    <row r="1053" spans="2:28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  <c r="W1053" s="7">
        <v>33.9</v>
      </c>
      <c r="X1053" s="7">
        <v>33</v>
      </c>
      <c r="Y1053" s="7">
        <v>32</v>
      </c>
      <c r="Z1053" s="7">
        <v>27.7</v>
      </c>
      <c r="AA1053" s="7">
        <v>28.9</v>
      </c>
      <c r="AB1053" s="7">
        <v>31.1</v>
      </c>
    </row>
    <row r="1054" spans="2:28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  <c r="W1054" s="7">
        <v>20.399999999999999</v>
      </c>
      <c r="X1054" s="7">
        <v>22.5</v>
      </c>
      <c r="Y1054" s="7">
        <v>16.399999999999999</v>
      </c>
      <c r="Z1054" s="7">
        <v>11.8</v>
      </c>
      <c r="AA1054" s="7">
        <v>8.8000000000000007</v>
      </c>
      <c r="AB1054" s="7">
        <v>7.6</v>
      </c>
    </row>
    <row r="1055" spans="2:28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</row>
    <row r="1056" spans="2:28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  <c r="W1056" s="7">
        <v>113.6</v>
      </c>
      <c r="X1056" s="7">
        <v>156.69999999999999</v>
      </c>
      <c r="Y1056" s="7">
        <v>155.30000000000001</v>
      </c>
      <c r="Z1056" s="7">
        <v>157.30000000000001</v>
      </c>
      <c r="AA1056" s="7">
        <v>145.19999999999999</v>
      </c>
      <c r="AB1056" s="7">
        <v>161.30000000000001</v>
      </c>
    </row>
    <row r="1057" spans="2:28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  <c r="W1057" s="7">
        <v>118.9</v>
      </c>
      <c r="X1057" s="7">
        <v>148.6</v>
      </c>
      <c r="Y1057" s="7">
        <v>178</v>
      </c>
      <c r="Z1057" s="7">
        <v>199</v>
      </c>
      <c r="AA1057" s="7">
        <v>231.9</v>
      </c>
      <c r="AB1057" s="7">
        <v>213.3</v>
      </c>
    </row>
    <row r="1058" spans="2:28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  <c r="W1058" s="7">
        <v>125.1</v>
      </c>
      <c r="X1058" s="7">
        <v>103.7</v>
      </c>
      <c r="Y1058" s="7">
        <v>77.5</v>
      </c>
      <c r="Z1058" s="7">
        <v>83.4</v>
      </c>
      <c r="AA1058" s="7">
        <v>106.3</v>
      </c>
      <c r="AB1058" s="7">
        <v>61.5</v>
      </c>
    </row>
    <row r="1059" spans="2:28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</row>
    <row r="1060" spans="2:28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</row>
    <row r="1061" spans="2:28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  <c r="W1061" s="7">
        <v>41.4</v>
      </c>
      <c r="X1061" s="7">
        <v>41.1</v>
      </c>
      <c r="Y1061" s="7">
        <v>51.9</v>
      </c>
      <c r="Z1061" s="7">
        <v>55.7</v>
      </c>
      <c r="AA1061" s="7">
        <v>78.900000000000006</v>
      </c>
      <c r="AB1061" s="7">
        <v>74.099999999999994</v>
      </c>
    </row>
    <row r="1062" spans="2:28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</row>
    <row r="1063" spans="2:28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</row>
    <row r="1064" spans="2:28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</row>
    <row r="1065" spans="2:28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  <c r="W1065" s="7">
        <v>2027.8</v>
      </c>
      <c r="X1065" s="7">
        <v>3205.7</v>
      </c>
      <c r="Y1065" s="7">
        <v>2898.2</v>
      </c>
      <c r="Z1065" s="7">
        <v>2640.6</v>
      </c>
      <c r="AA1065" s="7">
        <v>4740.3</v>
      </c>
      <c r="AB1065" s="7">
        <v>3648.9</v>
      </c>
    </row>
    <row r="1066" spans="2:28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  <c r="W1066" s="7">
        <v>31.7</v>
      </c>
      <c r="X1066" s="7">
        <v>28.2</v>
      </c>
      <c r="Y1066" s="7">
        <v>24.5</v>
      </c>
      <c r="Z1066" s="7">
        <v>24.9</v>
      </c>
      <c r="AA1066" s="7">
        <v>19.399999999999999</v>
      </c>
      <c r="AB1066" s="7">
        <v>21.6</v>
      </c>
    </row>
    <row r="1067" spans="2:28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</row>
    <row r="1068" spans="2:28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</row>
    <row r="1069" spans="2:28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  <c r="W1069" s="7">
        <v>53.8</v>
      </c>
      <c r="X1069" s="7">
        <v>102.8</v>
      </c>
      <c r="Y1069" s="7">
        <v>123.6</v>
      </c>
      <c r="Z1069" s="7">
        <v>100.2</v>
      </c>
      <c r="AA1069" s="7">
        <v>70.099999999999994</v>
      </c>
      <c r="AB1069" s="7">
        <v>79.8</v>
      </c>
    </row>
    <row r="1070" spans="2:28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  <c r="W1070" s="7">
        <v>20.2</v>
      </c>
      <c r="X1070" s="7">
        <v>20.7</v>
      </c>
      <c r="Y1070" s="7">
        <v>21.4</v>
      </c>
      <c r="Z1070" s="7">
        <v>25.6</v>
      </c>
      <c r="AA1070" s="7">
        <v>26.8</v>
      </c>
      <c r="AB1070" s="7">
        <v>36.6</v>
      </c>
    </row>
    <row r="1071" spans="2:28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  <c r="W1071" s="7">
        <v>11</v>
      </c>
      <c r="X1071" s="7">
        <v>12</v>
      </c>
      <c r="Y1071" s="7">
        <v>9.6999999999999993</v>
      </c>
      <c r="Z1071" s="7">
        <v>14.2</v>
      </c>
      <c r="AA1071" s="7">
        <v>9.6</v>
      </c>
      <c r="AB1071" s="7">
        <v>9.1</v>
      </c>
    </row>
    <row r="1072" spans="2:28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</row>
    <row r="1073" spans="2:28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  <c r="W1073" s="7">
        <v>5.9</v>
      </c>
      <c r="X1073" s="7">
        <v>4.8</v>
      </c>
      <c r="Y1073" s="7">
        <v>4.2</v>
      </c>
      <c r="Z1073" s="7">
        <v>5</v>
      </c>
      <c r="AA1073" s="7">
        <v>5.6</v>
      </c>
      <c r="AB1073" s="7">
        <v>6</v>
      </c>
    </row>
    <row r="1074" spans="2:28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  <c r="W1074" s="7">
        <v>81.400000000000006</v>
      </c>
      <c r="X1074" s="7">
        <v>90.8</v>
      </c>
      <c r="Y1074" s="7">
        <v>83.8</v>
      </c>
      <c r="Z1074" s="7">
        <v>79.400000000000006</v>
      </c>
      <c r="AA1074" s="7">
        <v>71</v>
      </c>
      <c r="AB1074" s="7">
        <v>71.900000000000006</v>
      </c>
    </row>
    <row r="1075" spans="2:28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</row>
    <row r="1076" spans="2:28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  <c r="W1076" s="7">
        <v>61</v>
      </c>
      <c r="X1076" s="7">
        <v>53.3</v>
      </c>
      <c r="Y1076" s="7">
        <v>69.8</v>
      </c>
      <c r="Z1076" s="7">
        <v>54.7</v>
      </c>
      <c r="AA1076" s="7">
        <v>84.2</v>
      </c>
      <c r="AB1076" s="7">
        <v>69.900000000000006</v>
      </c>
    </row>
    <row r="1077" spans="2:28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</row>
    <row r="1078" spans="2:28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</row>
    <row r="1079" spans="2:28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</row>
    <row r="1080" spans="2:28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  <c r="W1080" s="7">
        <v>446.2</v>
      </c>
      <c r="X1080" s="7">
        <v>414.1</v>
      </c>
      <c r="Y1080" s="7">
        <v>426</v>
      </c>
      <c r="Z1080" s="7">
        <v>446.3</v>
      </c>
      <c r="AA1080" s="7">
        <v>425.9</v>
      </c>
      <c r="AB1080" s="7">
        <v>390.9</v>
      </c>
    </row>
    <row r="1081" spans="2:28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</row>
    <row r="1082" spans="2:28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3.3</v>
      </c>
      <c r="Y1082" s="7">
        <v>0</v>
      </c>
      <c r="Z1082" s="7">
        <v>0</v>
      </c>
      <c r="AA1082" s="7">
        <v>0</v>
      </c>
      <c r="AB1082" s="7">
        <v>0</v>
      </c>
    </row>
    <row r="1083" spans="2:28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  <c r="W1083" s="7">
        <v>96.7</v>
      </c>
      <c r="X1083" s="7">
        <v>106.9</v>
      </c>
      <c r="Y1083" s="7">
        <v>119.4</v>
      </c>
      <c r="Z1083" s="7">
        <v>106.5</v>
      </c>
      <c r="AA1083" s="7">
        <v>106.7</v>
      </c>
      <c r="AB1083" s="7">
        <v>98</v>
      </c>
    </row>
    <row r="1084" spans="2:28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  <c r="W1084" s="7">
        <v>17</v>
      </c>
      <c r="X1084" s="7">
        <v>38.9</v>
      </c>
      <c r="Y1084" s="7">
        <v>40</v>
      </c>
      <c r="Z1084" s="7">
        <v>43.3</v>
      </c>
      <c r="AA1084" s="7">
        <v>37.1</v>
      </c>
      <c r="AB1084" s="7">
        <v>43.4</v>
      </c>
    </row>
    <row r="1085" spans="2:28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</row>
    <row r="1086" spans="2:28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  <c r="W1086" s="7">
        <v>42</v>
      </c>
      <c r="X1086" s="7">
        <v>28.7</v>
      </c>
      <c r="Y1086" s="7">
        <v>43.5</v>
      </c>
      <c r="Z1086" s="7">
        <v>58.7</v>
      </c>
      <c r="AA1086" s="7">
        <v>56.7</v>
      </c>
      <c r="AB1086" s="7">
        <v>54.1</v>
      </c>
    </row>
    <row r="1087" spans="2:28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</row>
    <row r="1088" spans="2:28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  <c r="W1088" s="7">
        <v>71.7</v>
      </c>
      <c r="X1088" s="7">
        <v>86</v>
      </c>
      <c r="Y1088" s="7">
        <v>86.9</v>
      </c>
      <c r="Z1088" s="7">
        <v>104.3</v>
      </c>
      <c r="AA1088" s="7">
        <v>86</v>
      </c>
      <c r="AB1088" s="7">
        <v>96.3</v>
      </c>
    </row>
    <row r="1089" spans="2:28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</row>
    <row r="1090" spans="2:28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</row>
    <row r="1091" spans="2:28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</row>
    <row r="1092" spans="2:28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</row>
    <row r="1093" spans="2:28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  <c r="W1093" s="7">
        <v>75.099999999999994</v>
      </c>
      <c r="X1093" s="7">
        <v>64.599999999999994</v>
      </c>
      <c r="Y1093" s="7">
        <v>66.400000000000006</v>
      </c>
      <c r="Z1093" s="7">
        <v>67.7</v>
      </c>
      <c r="AA1093" s="7">
        <v>74.8</v>
      </c>
      <c r="AB1093" s="7">
        <v>84.9</v>
      </c>
    </row>
    <row r="1094" spans="2:28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  <c r="W1094" s="7">
        <v>41.6</v>
      </c>
      <c r="X1094" s="7">
        <v>27.6</v>
      </c>
      <c r="Y1094" s="7">
        <v>21.6</v>
      </c>
      <c r="Z1094" s="7">
        <v>31.4</v>
      </c>
      <c r="AA1094" s="7">
        <v>49.3</v>
      </c>
      <c r="AB1094" s="7">
        <v>47.1</v>
      </c>
    </row>
    <row r="1095" spans="2:28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  <c r="W1095" s="7">
        <v>8.9</v>
      </c>
      <c r="X1095" s="7">
        <v>0</v>
      </c>
      <c r="Y1095" s="7">
        <v>3.8</v>
      </c>
      <c r="Z1095" s="7">
        <v>12.1</v>
      </c>
      <c r="AA1095" s="7">
        <v>7.1</v>
      </c>
      <c r="AB1095" s="7">
        <v>10.7</v>
      </c>
    </row>
    <row r="1096" spans="2:28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</row>
    <row r="1097" spans="2:28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</row>
    <row r="1098" spans="2:28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  <c r="W1098" s="7">
        <v>30.2</v>
      </c>
      <c r="X1098" s="7">
        <v>39.6</v>
      </c>
      <c r="Y1098" s="7">
        <v>30.7</v>
      </c>
      <c r="Z1098" s="7">
        <v>47.1</v>
      </c>
      <c r="AA1098" s="7">
        <v>46.1</v>
      </c>
      <c r="AB1098" s="7">
        <v>21.3</v>
      </c>
    </row>
    <row r="1099" spans="2:28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  <c r="W1099" s="7">
        <v>15.7</v>
      </c>
      <c r="X1099" s="7">
        <v>9.9</v>
      </c>
      <c r="Y1099" s="7">
        <v>18.7</v>
      </c>
      <c r="Z1099" s="7">
        <v>17.3</v>
      </c>
      <c r="AA1099" s="7">
        <v>17.3</v>
      </c>
      <c r="AB1099" s="7">
        <v>10.8</v>
      </c>
    </row>
    <row r="1100" spans="2:28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  <c r="W1100" s="7">
        <v>9.8000000000000007</v>
      </c>
      <c r="X1100" s="7">
        <v>17.3</v>
      </c>
      <c r="Y1100" s="7">
        <v>10.6</v>
      </c>
      <c r="Z1100" s="7">
        <v>12.6</v>
      </c>
      <c r="AA1100" s="7">
        <v>8.9</v>
      </c>
      <c r="AB1100" s="7">
        <v>0</v>
      </c>
    </row>
    <row r="1101" spans="2:28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</row>
    <row r="1102" spans="2:28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</row>
    <row r="1103" spans="2:28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</row>
    <row r="1104" spans="2:28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</row>
    <row r="1105" spans="2:28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</row>
    <row r="1106" spans="2:28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</row>
    <row r="1107" spans="2:28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</row>
    <row r="1108" spans="2:28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  <c r="W1108" s="7">
        <v>44.9</v>
      </c>
      <c r="X1108" s="7">
        <v>32.700000000000003</v>
      </c>
      <c r="Y1108" s="7">
        <v>81.2</v>
      </c>
      <c r="Z1108" s="7">
        <v>96.1</v>
      </c>
      <c r="AA1108" s="7">
        <v>84.9</v>
      </c>
      <c r="AB1108" s="7">
        <v>134.69999999999999</v>
      </c>
    </row>
    <row r="1109" spans="2:28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  <c r="W1109" s="7">
        <v>7</v>
      </c>
      <c r="X1109" s="7">
        <v>12.7</v>
      </c>
      <c r="Y1109" s="7">
        <v>6.2</v>
      </c>
      <c r="Z1109" s="7">
        <v>3.5</v>
      </c>
      <c r="AA1109" s="7">
        <v>3.5</v>
      </c>
      <c r="AB1109" s="7">
        <v>8.6999999999999993</v>
      </c>
    </row>
    <row r="1110" spans="2:28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  <c r="W1110" s="7">
        <v>4.7</v>
      </c>
      <c r="X1110" s="7">
        <v>0</v>
      </c>
      <c r="Y1110" s="7">
        <v>1.8</v>
      </c>
      <c r="Z1110" s="7">
        <v>1.8</v>
      </c>
      <c r="AA1110" s="7">
        <v>9.1999999999999993</v>
      </c>
      <c r="AB1110" s="7">
        <v>0.8</v>
      </c>
    </row>
    <row r="1111" spans="2:28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</row>
    <row r="1112" spans="2:28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  <c r="W1112" s="7">
        <v>439</v>
      </c>
      <c r="X1112" s="7">
        <v>487.5</v>
      </c>
      <c r="Y1112" s="7">
        <v>547.1</v>
      </c>
      <c r="Z1112" s="7">
        <v>515.70000000000005</v>
      </c>
      <c r="AA1112" s="7">
        <v>427.9</v>
      </c>
      <c r="AB1112" s="7">
        <v>385.5</v>
      </c>
    </row>
    <row r="1113" spans="2:28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</row>
    <row r="1114" spans="2:28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  <c r="W1114" s="7">
        <v>68</v>
      </c>
      <c r="X1114" s="7">
        <v>64.2</v>
      </c>
      <c r="Y1114" s="7">
        <v>64</v>
      </c>
      <c r="Z1114" s="7">
        <v>63.2</v>
      </c>
      <c r="AA1114" s="7">
        <v>61.1</v>
      </c>
      <c r="AB1114" s="7">
        <v>57.9</v>
      </c>
    </row>
    <row r="1115" spans="2:28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  <c r="W1115" s="7">
        <v>42.4</v>
      </c>
      <c r="X1115" s="7">
        <v>40.799999999999997</v>
      </c>
      <c r="Y1115" s="7">
        <v>38.700000000000003</v>
      </c>
      <c r="Z1115" s="7">
        <v>38</v>
      </c>
      <c r="AA1115" s="7">
        <v>38.299999999999997</v>
      </c>
      <c r="AB1115" s="7">
        <v>39.4</v>
      </c>
    </row>
    <row r="1116" spans="2:28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</row>
    <row r="1117" spans="2:28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</row>
    <row r="1118" spans="2:28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</row>
    <row r="1119" spans="2:28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  <c r="W1119" s="7">
        <v>159.69999999999999</v>
      </c>
      <c r="X1119" s="7">
        <v>168.4</v>
      </c>
      <c r="Y1119" s="7">
        <v>147.30000000000001</v>
      </c>
      <c r="Z1119" s="7">
        <v>155.4</v>
      </c>
      <c r="AA1119" s="7">
        <v>134.5</v>
      </c>
      <c r="AB1119" s="7">
        <v>142.9</v>
      </c>
    </row>
    <row r="1120" spans="2:28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</row>
    <row r="1121" spans="2:28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  <c r="W1121" s="7">
        <v>132</v>
      </c>
      <c r="X1121" s="7">
        <v>135.4</v>
      </c>
      <c r="Y1121" s="7">
        <v>118.8</v>
      </c>
      <c r="Z1121" s="7">
        <v>129.1</v>
      </c>
      <c r="AA1121" s="7">
        <v>120.2</v>
      </c>
      <c r="AB1121" s="7">
        <v>132.4</v>
      </c>
    </row>
    <row r="1122" spans="2:28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</row>
    <row r="1123" spans="2:28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</row>
    <row r="1124" spans="2:28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  <c r="W1124" s="7">
        <v>122.3</v>
      </c>
      <c r="X1124" s="7">
        <v>53.2</v>
      </c>
      <c r="Y1124" s="7">
        <v>143.6</v>
      </c>
      <c r="Z1124" s="7">
        <v>170.9</v>
      </c>
      <c r="AA1124" s="7">
        <v>187.5</v>
      </c>
      <c r="AB1124" s="7">
        <v>170.6</v>
      </c>
    </row>
    <row r="1125" spans="2:28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</row>
    <row r="1126" spans="2:28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52.2</v>
      </c>
      <c r="X1126" s="7">
        <v>65.400000000000006</v>
      </c>
      <c r="Y1126" s="7">
        <v>18.2</v>
      </c>
      <c r="Z1126" s="7">
        <v>48.3</v>
      </c>
      <c r="AA1126" s="7">
        <v>113.3</v>
      </c>
      <c r="AB1126" s="7">
        <v>115.7</v>
      </c>
    </row>
    <row r="1127" spans="2:28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</row>
    <row r="1128" spans="2:28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</row>
    <row r="1129" spans="2:28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</row>
    <row r="1130" spans="2:28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  <c r="W1130" s="7">
        <v>116.5</v>
      </c>
      <c r="X1130" s="7">
        <v>111</v>
      </c>
      <c r="Y1130" s="7">
        <v>93.1</v>
      </c>
      <c r="Z1130" s="7">
        <v>81.8</v>
      </c>
      <c r="AA1130" s="7">
        <v>85.6</v>
      </c>
      <c r="AB1130" s="7">
        <v>75.3</v>
      </c>
    </row>
    <row r="1131" spans="2:28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</row>
    <row r="1132" spans="2:28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</row>
    <row r="1133" spans="2:28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</row>
    <row r="1134" spans="2:28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</row>
    <row r="1135" spans="2:28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</row>
    <row r="1136" spans="2:28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</row>
    <row r="1137" spans="2:28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</row>
    <row r="1138" spans="2:28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  <c r="W1138" s="7">
        <v>42.1</v>
      </c>
      <c r="X1138" s="7">
        <v>35.5</v>
      </c>
      <c r="Y1138" s="7">
        <v>33.700000000000003</v>
      </c>
      <c r="Z1138" s="7">
        <v>29.8</v>
      </c>
      <c r="AA1138" s="7">
        <v>32.700000000000003</v>
      </c>
      <c r="AB1138" s="7">
        <v>30.9</v>
      </c>
    </row>
    <row r="1139" spans="2:28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</row>
    <row r="1140" spans="2:28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43.1</v>
      </c>
      <c r="Z1140" s="7">
        <v>96.4</v>
      </c>
      <c r="AA1140" s="7">
        <v>107.4</v>
      </c>
      <c r="AB1140" s="7">
        <v>137</v>
      </c>
    </row>
    <row r="1141" spans="2:28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  <c r="W1141" s="7">
        <v>7.8</v>
      </c>
      <c r="X1141" s="7">
        <v>3.7</v>
      </c>
      <c r="Y1141" s="7">
        <v>8.1</v>
      </c>
      <c r="Z1141" s="7">
        <v>3.1</v>
      </c>
      <c r="AA1141" s="7">
        <v>6.9</v>
      </c>
      <c r="AB1141" s="7">
        <v>5.7</v>
      </c>
    </row>
    <row r="1142" spans="2:28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  <c r="W1142" s="7">
        <v>11.7</v>
      </c>
      <c r="X1142" s="7">
        <v>13.7</v>
      </c>
      <c r="Y1142" s="7">
        <v>11.7</v>
      </c>
      <c r="Z1142" s="7">
        <v>5.2</v>
      </c>
      <c r="AA1142" s="7">
        <v>13.1</v>
      </c>
      <c r="AB1142" s="7">
        <v>20.3</v>
      </c>
    </row>
    <row r="1143" spans="2:28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  <c r="W1143" s="7">
        <v>51.5</v>
      </c>
      <c r="X1143" s="7">
        <v>53.7</v>
      </c>
      <c r="Y1143" s="7">
        <v>55.4</v>
      </c>
      <c r="Z1143" s="7">
        <v>53.8</v>
      </c>
      <c r="AA1143" s="7">
        <v>49</v>
      </c>
      <c r="AB1143" s="7">
        <v>46.8</v>
      </c>
    </row>
    <row r="1144" spans="2:28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</row>
    <row r="1145" spans="2:28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</row>
    <row r="1146" spans="2:28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</row>
    <row r="1147" spans="2:28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  <c r="W1147" s="7">
        <v>141.4</v>
      </c>
      <c r="X1147" s="7">
        <v>109.6</v>
      </c>
      <c r="Y1147" s="7">
        <v>69</v>
      </c>
      <c r="Z1147" s="7">
        <v>142.5</v>
      </c>
      <c r="AA1147" s="7">
        <v>134.4</v>
      </c>
      <c r="AB1147" s="7">
        <v>108.3</v>
      </c>
    </row>
    <row r="1148" spans="2:28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</row>
    <row r="1149" spans="2:28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</row>
    <row r="1150" spans="2:28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</row>
    <row r="1151" spans="2:28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</row>
    <row r="1152" spans="2:28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  <c r="W1152" s="7">
        <v>32.799999999999997</v>
      </c>
      <c r="X1152" s="7">
        <v>44.2</v>
      </c>
      <c r="Y1152" s="7">
        <v>34.1</v>
      </c>
      <c r="Z1152" s="7">
        <v>50.4</v>
      </c>
      <c r="AA1152" s="7">
        <v>37.200000000000003</v>
      </c>
      <c r="AB1152" s="7">
        <v>46.7</v>
      </c>
    </row>
    <row r="1153" spans="2:28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</row>
    <row r="1154" spans="2:28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</row>
    <row r="1155" spans="2:28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  <c r="W1155" s="7">
        <v>5</v>
      </c>
      <c r="X1155" s="7">
        <v>8.1</v>
      </c>
      <c r="Y1155" s="7">
        <v>0</v>
      </c>
      <c r="Z1155" s="7">
        <v>1.4</v>
      </c>
      <c r="AA1155" s="7">
        <v>3.4</v>
      </c>
      <c r="AB1155" s="7">
        <v>4.4000000000000004</v>
      </c>
    </row>
    <row r="1156" spans="2:28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  <c r="W1156" s="7">
        <v>38.9</v>
      </c>
      <c r="X1156" s="7">
        <v>46.3</v>
      </c>
      <c r="Y1156" s="7">
        <v>49.4</v>
      </c>
      <c r="Z1156" s="7">
        <v>44.8</v>
      </c>
      <c r="AA1156" s="7">
        <v>43.5</v>
      </c>
      <c r="AB1156" s="7">
        <v>48.2</v>
      </c>
    </row>
    <row r="1157" spans="2:28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</row>
    <row r="1158" spans="2:28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</row>
    <row r="1159" spans="2:28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</row>
    <row r="1160" spans="2:28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  <c r="W1160" s="7">
        <v>40.1</v>
      </c>
      <c r="X1160" s="7">
        <v>38.1</v>
      </c>
      <c r="Y1160" s="7">
        <v>45.4</v>
      </c>
      <c r="Z1160" s="7">
        <v>54.4</v>
      </c>
      <c r="AA1160" s="7">
        <v>46.8</v>
      </c>
      <c r="AB1160" s="7">
        <v>56.3</v>
      </c>
    </row>
    <row r="1161" spans="2:28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  <c r="W1161" s="7">
        <v>11.6</v>
      </c>
      <c r="X1161" s="7">
        <v>9.1999999999999993</v>
      </c>
      <c r="Y1161" s="7">
        <v>12</v>
      </c>
      <c r="Z1161" s="7">
        <v>47.8</v>
      </c>
      <c r="AA1161" s="7">
        <v>106.6</v>
      </c>
      <c r="AB1161" s="7">
        <v>136.9</v>
      </c>
    </row>
    <row r="1162" spans="2:28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  <c r="W1162" s="7">
        <v>18.8</v>
      </c>
      <c r="X1162" s="7">
        <v>21.2</v>
      </c>
      <c r="Y1162" s="7">
        <v>14.3</v>
      </c>
      <c r="Z1162" s="7">
        <v>13.5</v>
      </c>
      <c r="AA1162" s="7">
        <v>14.2</v>
      </c>
      <c r="AB1162" s="7">
        <v>14.9</v>
      </c>
    </row>
    <row r="1163" spans="2:28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3.4</v>
      </c>
      <c r="AB1163" s="7">
        <v>13.1</v>
      </c>
    </row>
    <row r="1164" spans="2:28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  <c r="W1164" s="7">
        <v>5.7</v>
      </c>
      <c r="X1164" s="7">
        <v>10.6</v>
      </c>
      <c r="Y1164" s="7">
        <v>10.1</v>
      </c>
      <c r="Z1164" s="7">
        <v>10.1</v>
      </c>
      <c r="AA1164" s="7">
        <v>8.6999999999999993</v>
      </c>
      <c r="AB1164" s="7">
        <v>10.5</v>
      </c>
    </row>
    <row r="1165" spans="2:28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</row>
    <row r="1166" spans="2:28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</row>
    <row r="1167" spans="2:28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  <c r="W1167" s="7">
        <v>41.5</v>
      </c>
      <c r="X1167" s="7">
        <v>53.2</v>
      </c>
      <c r="Y1167" s="7">
        <v>40.1</v>
      </c>
      <c r="Z1167" s="7">
        <v>25.1</v>
      </c>
      <c r="AA1167" s="7">
        <v>21.7</v>
      </c>
      <c r="AB1167" s="7">
        <v>6.6</v>
      </c>
    </row>
    <row r="1168" spans="2:28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  <c r="W1168" s="7">
        <v>56.7</v>
      </c>
      <c r="X1168" s="7">
        <v>68.099999999999994</v>
      </c>
      <c r="Y1168" s="7">
        <v>48.2</v>
      </c>
      <c r="Z1168" s="7">
        <v>43.4</v>
      </c>
      <c r="AA1168" s="7">
        <v>52.4</v>
      </c>
      <c r="AB1168" s="7">
        <v>66.5</v>
      </c>
    </row>
    <row r="1169" spans="2:28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</row>
    <row r="1170" spans="2:28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</row>
    <row r="1171" spans="2:28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  <c r="W1171" s="7">
        <v>99.2</v>
      </c>
      <c r="X1171" s="7">
        <v>0</v>
      </c>
      <c r="Y1171" s="7">
        <v>0</v>
      </c>
      <c r="Z1171" s="7">
        <v>46</v>
      </c>
      <c r="AA1171" s="7">
        <v>0</v>
      </c>
      <c r="AB1171" s="7">
        <v>116.4</v>
      </c>
    </row>
    <row r="1172" spans="2:28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</row>
    <row r="1173" spans="2:28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</row>
    <row r="1174" spans="2:28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</row>
    <row r="1175" spans="2:28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  <c r="W1175" s="7">
        <v>38.700000000000003</v>
      </c>
      <c r="X1175" s="7">
        <v>17.899999999999999</v>
      </c>
      <c r="Y1175" s="7">
        <v>47.6</v>
      </c>
      <c r="Z1175" s="7">
        <v>5.6</v>
      </c>
      <c r="AA1175" s="7">
        <v>20.399999999999999</v>
      </c>
      <c r="AB1175" s="7">
        <v>191.4</v>
      </c>
    </row>
    <row r="1176" spans="2:28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  <c r="W1176" s="7">
        <v>42.9</v>
      </c>
      <c r="X1176" s="7">
        <v>49.4</v>
      </c>
      <c r="Y1176" s="7">
        <v>53.5</v>
      </c>
      <c r="Z1176" s="7">
        <v>59.7</v>
      </c>
      <c r="AA1176" s="7">
        <v>46.1</v>
      </c>
      <c r="AB1176" s="7">
        <v>44</v>
      </c>
    </row>
    <row r="1177" spans="2:28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</row>
    <row r="1178" spans="2:28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  <c r="W1178" s="7">
        <v>108.2</v>
      </c>
      <c r="X1178" s="7">
        <v>87.2</v>
      </c>
      <c r="Y1178" s="7">
        <v>88.2</v>
      </c>
      <c r="Z1178" s="7">
        <v>91.2</v>
      </c>
      <c r="AA1178" s="7">
        <v>89.9</v>
      </c>
      <c r="AB1178" s="7">
        <v>75.599999999999994</v>
      </c>
    </row>
    <row r="1179" spans="2:28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  <c r="W1179" s="7">
        <v>72.8</v>
      </c>
      <c r="X1179" s="7">
        <v>74.7</v>
      </c>
      <c r="Y1179" s="7">
        <v>82.2</v>
      </c>
      <c r="Z1179" s="7">
        <v>83.3</v>
      </c>
      <c r="AA1179" s="7">
        <v>76.099999999999994</v>
      </c>
      <c r="AB1179" s="7">
        <v>74</v>
      </c>
    </row>
    <row r="1180" spans="2:28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  <c r="W1180" s="7">
        <v>103.1</v>
      </c>
      <c r="X1180" s="7">
        <v>90.5</v>
      </c>
      <c r="Y1180" s="7">
        <v>107.2</v>
      </c>
      <c r="Z1180" s="7">
        <v>93</v>
      </c>
      <c r="AA1180" s="7">
        <v>92.5</v>
      </c>
      <c r="AB1180" s="7">
        <v>92.6</v>
      </c>
    </row>
    <row r="1181" spans="2:28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  <c r="W1181" s="7">
        <v>66.7</v>
      </c>
      <c r="X1181" s="7">
        <v>62.2</v>
      </c>
      <c r="Y1181" s="7">
        <v>58.8</v>
      </c>
      <c r="Z1181" s="7">
        <v>72.8</v>
      </c>
      <c r="AA1181" s="7">
        <v>78.400000000000006</v>
      </c>
      <c r="AB1181" s="7">
        <v>91.4</v>
      </c>
    </row>
    <row r="1182" spans="2:28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</row>
    <row r="1183" spans="2:28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  <c r="W1183" s="7">
        <v>52.3</v>
      </c>
      <c r="X1183" s="7">
        <v>49.1</v>
      </c>
      <c r="Y1183" s="7">
        <v>104.6</v>
      </c>
      <c r="Z1183" s="7">
        <v>93.3</v>
      </c>
      <c r="AA1183" s="7">
        <v>103.6</v>
      </c>
      <c r="AB1183" s="7">
        <v>100.7</v>
      </c>
    </row>
    <row r="1184" spans="2:28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</row>
    <row r="1185" spans="2:28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  <c r="W1185" s="7">
        <v>122</v>
      </c>
      <c r="X1185" s="7">
        <v>100.8</v>
      </c>
      <c r="Y1185" s="7">
        <v>113.3</v>
      </c>
      <c r="Z1185" s="7">
        <v>136</v>
      </c>
      <c r="AA1185" s="7">
        <v>123.6</v>
      </c>
      <c r="AB1185" s="7">
        <v>127.7</v>
      </c>
    </row>
    <row r="1186" spans="2:28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</row>
    <row r="1187" spans="2:28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  <c r="W1187" s="7">
        <v>285</v>
      </c>
      <c r="X1187" s="7">
        <v>248.6</v>
      </c>
      <c r="Y1187" s="7">
        <v>297.3</v>
      </c>
      <c r="Z1187" s="7">
        <v>321.60000000000002</v>
      </c>
      <c r="AA1187" s="7">
        <v>317.8</v>
      </c>
      <c r="AB1187" s="7">
        <v>315.3</v>
      </c>
    </row>
    <row r="1188" spans="2:28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  <c r="W1188" s="7">
        <v>29.4</v>
      </c>
      <c r="X1188" s="7">
        <v>27.7</v>
      </c>
      <c r="Y1188" s="7">
        <v>18.3</v>
      </c>
      <c r="Z1188" s="7">
        <v>15</v>
      </c>
      <c r="AA1188" s="7">
        <v>19.899999999999999</v>
      </c>
      <c r="AB1188" s="7">
        <v>19.399999999999999</v>
      </c>
    </row>
    <row r="1189" spans="2:28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</row>
    <row r="1190" spans="2:28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</row>
    <row r="1191" spans="2:28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</row>
    <row r="1192" spans="2:28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</row>
    <row r="1193" spans="2:28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  <c r="W1193" s="7">
        <v>195.8</v>
      </c>
      <c r="X1193" s="7">
        <v>190.6</v>
      </c>
      <c r="Y1193" s="7">
        <v>191.5</v>
      </c>
      <c r="Z1193" s="7">
        <v>214.3</v>
      </c>
      <c r="AA1193" s="7">
        <v>203.6</v>
      </c>
      <c r="AB1193" s="7">
        <v>220.8</v>
      </c>
    </row>
    <row r="1194" spans="2:28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</row>
    <row r="1195" spans="2:28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</row>
    <row r="1196" spans="2:28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</row>
    <row r="1197" spans="2:28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</row>
    <row r="1198" spans="2:28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  <c r="W1198" s="7">
        <v>68</v>
      </c>
      <c r="X1198" s="7">
        <v>73.900000000000006</v>
      </c>
      <c r="Y1198" s="7">
        <v>67.400000000000006</v>
      </c>
      <c r="Z1198" s="7">
        <v>66.099999999999994</v>
      </c>
      <c r="AA1198" s="7">
        <v>65.900000000000006</v>
      </c>
      <c r="AB1198" s="7">
        <v>55.9</v>
      </c>
    </row>
    <row r="1199" spans="2:28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</row>
    <row r="1200" spans="2:28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  <c r="W1200" s="7">
        <v>46.7</v>
      </c>
      <c r="X1200" s="7">
        <v>57</v>
      </c>
      <c r="Y1200" s="7">
        <v>49.4</v>
      </c>
      <c r="Z1200" s="7">
        <v>46.5</v>
      </c>
      <c r="AA1200" s="7">
        <v>36.9</v>
      </c>
      <c r="AB1200" s="7">
        <v>46.7</v>
      </c>
    </row>
    <row r="1201" spans="2:28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</row>
    <row r="1202" spans="2:28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</row>
    <row r="1203" spans="2:28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</row>
    <row r="1204" spans="2:28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</row>
    <row r="1205" spans="2:28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  <c r="W1205" s="7">
        <v>96.1</v>
      </c>
      <c r="X1205" s="7">
        <v>104</v>
      </c>
      <c r="Y1205" s="7">
        <v>87.9</v>
      </c>
      <c r="Z1205" s="7">
        <v>88.7</v>
      </c>
      <c r="AA1205" s="7">
        <v>90.1</v>
      </c>
      <c r="AB1205" s="7">
        <v>90.9</v>
      </c>
    </row>
    <row r="1206" spans="2:28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</row>
    <row r="1207" spans="2:28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</row>
    <row r="1208" spans="2:28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</row>
    <row r="1209" spans="2:28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</row>
    <row r="1210" spans="2:28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  <c r="W1210" s="7">
        <v>117.6</v>
      </c>
      <c r="X1210" s="7">
        <v>109</v>
      </c>
      <c r="Y1210" s="7">
        <v>147.6</v>
      </c>
      <c r="Z1210" s="7">
        <v>167.9</v>
      </c>
      <c r="AA1210" s="7">
        <v>158.69999999999999</v>
      </c>
      <c r="AB1210" s="7">
        <v>211.5</v>
      </c>
    </row>
    <row r="1211" spans="2:28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</row>
    <row r="1212" spans="2:28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  <c r="W1212" s="7">
        <v>50.4</v>
      </c>
      <c r="X1212" s="7">
        <v>52.8</v>
      </c>
      <c r="Y1212" s="7">
        <v>47.2</v>
      </c>
      <c r="Z1212" s="7">
        <v>56</v>
      </c>
      <c r="AA1212" s="7">
        <v>63.4</v>
      </c>
      <c r="AB1212" s="7">
        <v>58.1</v>
      </c>
    </row>
    <row r="1213" spans="2:28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</row>
    <row r="1214" spans="2:28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</row>
    <row r="1215" spans="2:28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</row>
    <row r="1216" spans="2:28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</row>
    <row r="1217" spans="2:28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  <c r="W1217" s="7">
        <v>7.6</v>
      </c>
      <c r="X1217" s="7">
        <v>2.2999999999999998</v>
      </c>
      <c r="Y1217" s="7">
        <v>10.6</v>
      </c>
      <c r="Z1217" s="7">
        <v>19.3</v>
      </c>
      <c r="AA1217" s="7">
        <v>12.1</v>
      </c>
      <c r="AB1217" s="7">
        <v>0</v>
      </c>
    </row>
    <row r="1218" spans="2:28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</row>
    <row r="1219" spans="2:28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  <c r="W1219" s="7">
        <v>0</v>
      </c>
      <c r="X1219" s="7">
        <v>0</v>
      </c>
      <c r="Y1219" s="7">
        <v>135.30000000000001</v>
      </c>
      <c r="Z1219" s="7">
        <v>105</v>
      </c>
      <c r="AA1219" s="7">
        <v>108.6</v>
      </c>
      <c r="AB1219" s="7">
        <v>29.7</v>
      </c>
    </row>
    <row r="1220" spans="2:28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</row>
    <row r="1221" spans="2:28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  <c r="W1221" s="7">
        <v>47.3</v>
      </c>
      <c r="X1221" s="7">
        <v>43.6</v>
      </c>
      <c r="Y1221" s="7">
        <v>49.1</v>
      </c>
      <c r="Z1221" s="7">
        <v>42.6</v>
      </c>
      <c r="AA1221" s="7">
        <v>49.7</v>
      </c>
      <c r="AB1221" s="7">
        <v>51.7</v>
      </c>
    </row>
    <row r="1222" spans="2:28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</row>
    <row r="1223" spans="2:28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</row>
    <row r="1224" spans="2:28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</row>
    <row r="1225" spans="2:28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</row>
    <row r="1226" spans="2:28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</row>
    <row r="1227" spans="2:28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</row>
    <row r="1228" spans="2:28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  <c r="W1228" s="7">
        <v>174.5</v>
      </c>
      <c r="X1228" s="7">
        <v>175.4</v>
      </c>
      <c r="Y1228" s="7">
        <v>173</v>
      </c>
      <c r="Z1228" s="7">
        <v>143.30000000000001</v>
      </c>
      <c r="AA1228" s="7">
        <v>168.4</v>
      </c>
      <c r="AB1228" s="7">
        <v>138.19999999999999</v>
      </c>
    </row>
    <row r="1229" spans="2:28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  <c r="W1229" s="7">
        <v>85.2</v>
      </c>
      <c r="X1229" s="7">
        <v>81.5</v>
      </c>
      <c r="Y1229" s="7">
        <v>159</v>
      </c>
      <c r="Z1229" s="7">
        <v>239.8</v>
      </c>
      <c r="AA1229" s="7">
        <v>282.5</v>
      </c>
      <c r="AB1229" s="7">
        <v>313.5</v>
      </c>
    </row>
    <row r="1230" spans="2:28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</row>
    <row r="1231" spans="2:28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  <c r="W1231" s="7">
        <v>234.2</v>
      </c>
      <c r="X1231" s="7">
        <v>272.3</v>
      </c>
      <c r="Y1231" s="7">
        <v>288.60000000000002</v>
      </c>
      <c r="Z1231" s="7">
        <v>258.10000000000002</v>
      </c>
      <c r="AA1231" s="7">
        <v>241.5</v>
      </c>
      <c r="AB1231" s="7">
        <v>231.9</v>
      </c>
    </row>
    <row r="1232" spans="2:28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3.6</v>
      </c>
      <c r="AB1232" s="7">
        <v>0</v>
      </c>
    </row>
    <row r="1233" spans="2:28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  <c r="W1233" s="7">
        <v>69.099999999999994</v>
      </c>
      <c r="X1233" s="7">
        <v>80.400000000000006</v>
      </c>
      <c r="Y1233" s="7">
        <v>176.6</v>
      </c>
      <c r="Z1233" s="7">
        <v>132.80000000000001</v>
      </c>
      <c r="AA1233" s="7">
        <v>174.1</v>
      </c>
      <c r="AB1233" s="7">
        <v>135.6</v>
      </c>
    </row>
    <row r="1234" spans="2:28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</row>
    <row r="1235" spans="2:28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</row>
    <row r="1236" spans="2:28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</row>
    <row r="1237" spans="2:28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136.30000000000001</v>
      </c>
      <c r="AB1237" s="7">
        <v>135.80000000000001</v>
      </c>
    </row>
    <row r="1238" spans="2:28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  <c r="W1238" s="7">
        <v>52.3</v>
      </c>
      <c r="X1238" s="7">
        <v>61.3</v>
      </c>
      <c r="Y1238" s="7">
        <v>64.7</v>
      </c>
      <c r="Z1238" s="7">
        <v>63.5</v>
      </c>
      <c r="AA1238" s="7">
        <v>48.3</v>
      </c>
      <c r="AB1238" s="7">
        <v>66.400000000000006</v>
      </c>
    </row>
    <row r="1239" spans="2:28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  <c r="W1239" s="7">
        <v>43.8</v>
      </c>
      <c r="X1239" s="7">
        <v>41.9</v>
      </c>
      <c r="Y1239" s="7">
        <v>34.6</v>
      </c>
      <c r="Z1239" s="7">
        <v>30.7</v>
      </c>
      <c r="AA1239" s="7">
        <v>39.1</v>
      </c>
      <c r="AB1239" s="7">
        <v>26.7</v>
      </c>
    </row>
    <row r="1240" spans="2:28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</row>
    <row r="1241" spans="2:28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</row>
    <row r="1242" spans="2:28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  <c r="W1242" s="7">
        <v>1715.5</v>
      </c>
      <c r="X1242" s="7">
        <v>1464.7</v>
      </c>
      <c r="Y1242" s="7">
        <v>1602.7</v>
      </c>
      <c r="Z1242" s="7">
        <v>1525.7</v>
      </c>
      <c r="AA1242" s="7">
        <v>1377.4</v>
      </c>
      <c r="AB1242" s="7">
        <v>871.6</v>
      </c>
    </row>
    <row r="1243" spans="2:28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</row>
    <row r="1244" spans="2:28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  <c r="W1244" s="7">
        <v>163.9</v>
      </c>
      <c r="X1244" s="7">
        <v>138</v>
      </c>
      <c r="Y1244" s="7">
        <v>144.80000000000001</v>
      </c>
      <c r="Z1244" s="7">
        <v>189.1</v>
      </c>
      <c r="AA1244" s="7">
        <v>155.30000000000001</v>
      </c>
      <c r="AB1244" s="7">
        <v>29.9</v>
      </c>
    </row>
    <row r="1245" spans="2:28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</row>
    <row r="1246" spans="2:28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</row>
    <row r="1247" spans="2:28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</row>
    <row r="1248" spans="2:28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  <c r="W1248" s="7">
        <v>129.19999999999999</v>
      </c>
      <c r="X1248" s="7">
        <v>134.6</v>
      </c>
      <c r="Y1248" s="7">
        <v>171.6</v>
      </c>
      <c r="Z1248" s="7">
        <v>152.4</v>
      </c>
      <c r="AA1248" s="7">
        <v>174</v>
      </c>
      <c r="AB1248" s="7">
        <v>157.5</v>
      </c>
    </row>
    <row r="1249" spans="2:28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  <c r="W1249" s="7">
        <v>89.7</v>
      </c>
      <c r="X1249" s="7">
        <v>88.2</v>
      </c>
      <c r="Y1249" s="7">
        <v>85.5</v>
      </c>
      <c r="Z1249" s="7">
        <v>85.1</v>
      </c>
      <c r="AA1249" s="7">
        <v>73.7</v>
      </c>
      <c r="AB1249" s="7">
        <v>69.8</v>
      </c>
    </row>
    <row r="1250" spans="2:28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  <c r="W1250" s="7">
        <v>35.700000000000003</v>
      </c>
      <c r="X1250" s="7">
        <v>29.3</v>
      </c>
      <c r="Y1250" s="7">
        <v>44.7</v>
      </c>
      <c r="Z1250" s="7">
        <v>46.1</v>
      </c>
      <c r="AA1250" s="7">
        <v>55.2</v>
      </c>
      <c r="AB1250" s="7">
        <v>57.8</v>
      </c>
    </row>
    <row r="1251" spans="2:28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  <c r="W1251" s="7">
        <v>196.9</v>
      </c>
      <c r="X1251" s="7">
        <v>206.5</v>
      </c>
      <c r="Y1251" s="7">
        <v>227.9</v>
      </c>
      <c r="Z1251" s="7">
        <v>238.7</v>
      </c>
      <c r="AA1251" s="7">
        <v>161.69999999999999</v>
      </c>
      <c r="AB1251" s="7">
        <v>157.1</v>
      </c>
    </row>
    <row r="1252" spans="2:28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  <c r="W1252" s="7">
        <v>23.3</v>
      </c>
      <c r="X1252" s="7">
        <v>26.3</v>
      </c>
      <c r="Y1252" s="7">
        <v>29.8</v>
      </c>
      <c r="Z1252" s="7">
        <v>36.1</v>
      </c>
      <c r="AA1252" s="7">
        <v>30.6</v>
      </c>
      <c r="AB1252" s="7">
        <v>29.6</v>
      </c>
    </row>
    <row r="1253" spans="2:28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</row>
    <row r="1254" spans="2:28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</row>
    <row r="1255" spans="2:28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  <c r="W1255" s="7">
        <v>37.799999999999997</v>
      </c>
      <c r="X1255" s="7">
        <v>36.299999999999997</v>
      </c>
      <c r="Y1255" s="7">
        <v>35.299999999999997</v>
      </c>
      <c r="Z1255" s="7">
        <v>38.1</v>
      </c>
      <c r="AA1255" s="7">
        <v>30.3</v>
      </c>
      <c r="AB1255" s="7">
        <v>19</v>
      </c>
    </row>
    <row r="1256" spans="2:28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  <c r="W1256" s="7">
        <v>11.7</v>
      </c>
      <c r="X1256" s="7">
        <v>23.5</v>
      </c>
      <c r="Y1256" s="7">
        <v>15.4</v>
      </c>
      <c r="Z1256" s="7">
        <v>20.2</v>
      </c>
      <c r="AA1256" s="7">
        <v>21.9</v>
      </c>
      <c r="AB1256" s="7">
        <v>20.9</v>
      </c>
    </row>
    <row r="1257" spans="2:28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  <c r="W1257" s="7">
        <v>63.3</v>
      </c>
      <c r="X1257" s="7">
        <v>55.6</v>
      </c>
      <c r="Y1257" s="7">
        <v>64.3</v>
      </c>
      <c r="Z1257" s="7">
        <v>63</v>
      </c>
      <c r="AA1257" s="7">
        <v>57.3</v>
      </c>
      <c r="AB1257" s="7">
        <v>50.3</v>
      </c>
    </row>
    <row r="1258" spans="2:28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  <c r="W1258" s="7">
        <v>125</v>
      </c>
      <c r="X1258" s="7">
        <v>122.5</v>
      </c>
      <c r="Y1258" s="7">
        <v>135.19999999999999</v>
      </c>
      <c r="Z1258" s="7">
        <v>145.6</v>
      </c>
      <c r="AA1258" s="7">
        <v>147.4</v>
      </c>
      <c r="AB1258" s="7">
        <v>127.8</v>
      </c>
    </row>
    <row r="1259" spans="2:28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</row>
    <row r="1260" spans="2:28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  <c r="W1260" s="7">
        <v>9.6</v>
      </c>
      <c r="X1260" s="7">
        <v>0</v>
      </c>
      <c r="Y1260" s="7">
        <v>49.5</v>
      </c>
      <c r="Z1260" s="7">
        <v>36</v>
      </c>
      <c r="AA1260" s="7">
        <v>78.5</v>
      </c>
      <c r="AB1260" s="7">
        <v>32.4</v>
      </c>
    </row>
    <row r="1261" spans="2:28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  <c r="W1261" s="7">
        <v>204.5</v>
      </c>
      <c r="X1261" s="7">
        <v>217.5</v>
      </c>
      <c r="Y1261" s="7">
        <v>263.3</v>
      </c>
      <c r="Z1261" s="7">
        <v>277.60000000000002</v>
      </c>
      <c r="AA1261" s="7">
        <v>291.60000000000002</v>
      </c>
      <c r="AB1261" s="7">
        <v>268.3</v>
      </c>
    </row>
    <row r="1262" spans="2:28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  <c r="W1262" s="7">
        <v>47.3</v>
      </c>
      <c r="X1262" s="7">
        <v>39</v>
      </c>
      <c r="Y1262" s="7">
        <v>102.6</v>
      </c>
      <c r="Z1262" s="7">
        <v>123.8</v>
      </c>
      <c r="AA1262" s="7">
        <v>232.4</v>
      </c>
      <c r="AB1262" s="7">
        <v>221.6</v>
      </c>
    </row>
    <row r="1263" spans="2:28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</row>
    <row r="1264" spans="2:28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  <c r="W1264" s="7">
        <v>58.8</v>
      </c>
      <c r="X1264" s="7">
        <v>49.4</v>
      </c>
      <c r="Y1264" s="7">
        <v>60.1</v>
      </c>
      <c r="Z1264" s="7">
        <v>50.2</v>
      </c>
      <c r="AA1264" s="7">
        <v>69.3</v>
      </c>
      <c r="AB1264" s="7">
        <v>86.2</v>
      </c>
    </row>
    <row r="1265" spans="2:28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</row>
    <row r="1266" spans="2:28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  <c r="W1266" s="7">
        <v>228.6</v>
      </c>
      <c r="X1266" s="7">
        <v>250.3</v>
      </c>
      <c r="Y1266" s="7">
        <v>225.6</v>
      </c>
      <c r="Z1266" s="7">
        <v>267.60000000000002</v>
      </c>
      <c r="AA1266" s="7">
        <v>251.5</v>
      </c>
      <c r="AB1266" s="7">
        <v>225.8</v>
      </c>
    </row>
    <row r="1267" spans="2:28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  <c r="W1267" s="7">
        <v>77.099999999999994</v>
      </c>
      <c r="X1267" s="7">
        <v>70.5</v>
      </c>
      <c r="Y1267" s="7">
        <v>81.8</v>
      </c>
      <c r="Z1267" s="7">
        <v>83</v>
      </c>
      <c r="AA1267" s="7">
        <v>72.599999999999994</v>
      </c>
      <c r="AB1267" s="7">
        <v>70.5</v>
      </c>
    </row>
    <row r="1268" spans="2:28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</row>
    <row r="1269" spans="2:28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</row>
    <row r="1270" spans="2:28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  <c r="W1270" s="7">
        <v>138.69999999999999</v>
      </c>
      <c r="X1270" s="7">
        <v>161.80000000000001</v>
      </c>
      <c r="Y1270" s="7">
        <v>163.80000000000001</v>
      </c>
      <c r="Z1270" s="7">
        <v>216.8</v>
      </c>
      <c r="AA1270" s="7">
        <v>204.9</v>
      </c>
      <c r="AB1270" s="7">
        <v>166.8</v>
      </c>
    </row>
    <row r="1271" spans="2:28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  <c r="W1271" s="7">
        <v>72.2</v>
      </c>
      <c r="X1271" s="7">
        <v>97.5</v>
      </c>
      <c r="Y1271" s="7">
        <v>91.6</v>
      </c>
      <c r="Z1271" s="7">
        <v>98.2</v>
      </c>
      <c r="AA1271" s="7">
        <v>83.5</v>
      </c>
      <c r="AB1271" s="7">
        <v>82.9</v>
      </c>
    </row>
    <row r="1272" spans="2:28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  <c r="W1272" s="7">
        <v>108.5</v>
      </c>
      <c r="X1272" s="7">
        <v>100.8</v>
      </c>
      <c r="Y1272" s="7">
        <v>97.4</v>
      </c>
      <c r="Z1272" s="7">
        <v>99</v>
      </c>
      <c r="AA1272" s="7">
        <v>94.7</v>
      </c>
      <c r="AB1272" s="7">
        <v>93.6</v>
      </c>
    </row>
    <row r="1273" spans="2:28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</row>
    <row r="1274" spans="2:28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</row>
    <row r="1275" spans="2:28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  <c r="W1275" s="7">
        <v>8.5</v>
      </c>
      <c r="X1275" s="7">
        <v>15.8</v>
      </c>
      <c r="Y1275" s="7">
        <v>13.2</v>
      </c>
      <c r="Z1275" s="7">
        <v>11.7</v>
      </c>
      <c r="AA1275" s="7">
        <v>15.9</v>
      </c>
      <c r="AB1275" s="7">
        <v>18.3</v>
      </c>
    </row>
    <row r="1276" spans="2:28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  <c r="W1276" s="7">
        <v>89.6</v>
      </c>
      <c r="X1276" s="7">
        <v>94.5</v>
      </c>
      <c r="Y1276" s="7">
        <v>131.5</v>
      </c>
      <c r="Z1276" s="7">
        <v>152.4</v>
      </c>
      <c r="AA1276" s="7">
        <v>129.69999999999999</v>
      </c>
      <c r="AB1276" s="7">
        <v>116.5</v>
      </c>
    </row>
    <row r="1277" spans="2:28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</row>
    <row r="1278" spans="2:28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  <c r="W1278" s="7">
        <v>2178.5</v>
      </c>
      <c r="X1278" s="7">
        <v>2833</v>
      </c>
      <c r="Y1278" s="7">
        <v>2642.7</v>
      </c>
      <c r="Z1278" s="7">
        <v>4836.3</v>
      </c>
      <c r="AA1278" s="7">
        <v>1605.2</v>
      </c>
      <c r="AB1278" s="7">
        <v>5219.2</v>
      </c>
    </row>
    <row r="1279" spans="2:28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  <c r="W1279" s="7">
        <v>36.4</v>
      </c>
      <c r="X1279" s="7">
        <v>194.1</v>
      </c>
      <c r="Y1279" s="7">
        <v>179.4</v>
      </c>
      <c r="Z1279" s="7">
        <v>128.9</v>
      </c>
      <c r="AA1279" s="7">
        <v>148.30000000000001</v>
      </c>
      <c r="AB1279" s="7">
        <v>81.900000000000006</v>
      </c>
    </row>
    <row r="1280" spans="2:28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  <c r="W1280" s="7">
        <v>85.2</v>
      </c>
      <c r="X1280" s="7">
        <v>110</v>
      </c>
      <c r="Y1280" s="7">
        <v>108.5</v>
      </c>
      <c r="Z1280" s="7">
        <v>116.3</v>
      </c>
      <c r="AA1280" s="7">
        <v>105.9</v>
      </c>
      <c r="AB1280" s="7">
        <v>87.1</v>
      </c>
    </row>
    <row r="1281" spans="2:28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  <c r="W1281" s="7">
        <v>131.4</v>
      </c>
      <c r="X1281" s="7">
        <v>117.5</v>
      </c>
      <c r="Y1281" s="7">
        <v>114.4</v>
      </c>
      <c r="Z1281" s="7">
        <v>110.4</v>
      </c>
      <c r="AA1281" s="7">
        <v>91.5</v>
      </c>
      <c r="AB1281" s="7">
        <v>96.2</v>
      </c>
    </row>
    <row r="1282" spans="2:28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</row>
    <row r="1283" spans="2:28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  <c r="W1283" s="7">
        <v>34.9</v>
      </c>
      <c r="X1283" s="7">
        <v>10.9</v>
      </c>
      <c r="Y1283" s="7">
        <v>0</v>
      </c>
      <c r="Z1283" s="7">
        <v>0</v>
      </c>
      <c r="AA1283" s="7">
        <v>0</v>
      </c>
      <c r="AB1283" s="7">
        <v>0</v>
      </c>
    </row>
    <row r="1284" spans="2:28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  <c r="W1284" s="7">
        <v>71.7</v>
      </c>
      <c r="X1284" s="7">
        <v>94.8</v>
      </c>
      <c r="Y1284" s="7">
        <v>119.6</v>
      </c>
      <c r="Z1284" s="7">
        <v>99.2</v>
      </c>
      <c r="AA1284" s="7">
        <v>90.3</v>
      </c>
      <c r="AB1284" s="7">
        <v>89.8</v>
      </c>
    </row>
    <row r="1285" spans="2:28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  <c r="W1285" s="7">
        <v>29.2</v>
      </c>
      <c r="X1285" s="7">
        <v>27.7</v>
      </c>
      <c r="Y1285" s="7">
        <v>19.8</v>
      </c>
      <c r="Z1285" s="7">
        <v>26.1</v>
      </c>
      <c r="AA1285" s="7">
        <v>24.7</v>
      </c>
      <c r="AB1285" s="7">
        <v>21.1</v>
      </c>
    </row>
    <row r="1286" spans="2:28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  <c r="W1286" s="7">
        <v>98.3</v>
      </c>
      <c r="X1286" s="7">
        <v>126</v>
      </c>
      <c r="Y1286" s="7">
        <v>143.5</v>
      </c>
      <c r="Z1286" s="7">
        <v>110.5</v>
      </c>
      <c r="AA1286" s="7">
        <v>104.2</v>
      </c>
      <c r="AB1286" s="7">
        <v>85.5</v>
      </c>
    </row>
    <row r="1287" spans="2:28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</row>
    <row r="1288" spans="2:28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  <c r="W1288" s="7">
        <v>35.299999999999997</v>
      </c>
      <c r="X1288" s="7">
        <v>37.700000000000003</v>
      </c>
      <c r="Y1288" s="7">
        <v>35.200000000000003</v>
      </c>
      <c r="Z1288" s="7">
        <v>31.9</v>
      </c>
      <c r="AA1288" s="7">
        <v>24.2</v>
      </c>
      <c r="AB1288" s="7">
        <v>26.7</v>
      </c>
    </row>
    <row r="1289" spans="2:28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  <c r="W1289" s="7">
        <v>200.1</v>
      </c>
      <c r="X1289" s="7">
        <v>191.6</v>
      </c>
      <c r="Y1289" s="7">
        <v>237.8</v>
      </c>
      <c r="Z1289" s="7">
        <v>245.8</v>
      </c>
      <c r="AA1289" s="7">
        <v>216.8</v>
      </c>
      <c r="AB1289" s="7">
        <v>171.3</v>
      </c>
    </row>
    <row r="1290" spans="2:28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</row>
    <row r="1291" spans="2:28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13.3</v>
      </c>
      <c r="Y1291" s="7">
        <v>5.2</v>
      </c>
      <c r="Z1291" s="7">
        <v>5.7</v>
      </c>
      <c r="AA1291" s="7">
        <v>0</v>
      </c>
      <c r="AB1291" s="7">
        <v>0</v>
      </c>
    </row>
    <row r="1292" spans="2:28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  <c r="W1292" s="7">
        <v>329.1</v>
      </c>
      <c r="X1292" s="7">
        <v>344.5</v>
      </c>
      <c r="Y1292" s="7">
        <v>348</v>
      </c>
      <c r="Z1292" s="7">
        <v>342</v>
      </c>
      <c r="AA1292" s="7">
        <v>386.3</v>
      </c>
      <c r="AB1292" s="7">
        <v>434.9</v>
      </c>
    </row>
    <row r="1293" spans="2:28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  <c r="W1293" s="7">
        <v>49.4</v>
      </c>
      <c r="X1293" s="7">
        <v>114.9</v>
      </c>
      <c r="Y1293" s="7">
        <v>121.9</v>
      </c>
      <c r="Z1293" s="7">
        <v>131.30000000000001</v>
      </c>
      <c r="AA1293" s="7">
        <v>93.1</v>
      </c>
      <c r="AB1293" s="7">
        <v>84.7</v>
      </c>
    </row>
    <row r="1294" spans="2:28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  <c r="W1294" s="7">
        <v>90.1</v>
      </c>
      <c r="X1294" s="7">
        <v>126</v>
      </c>
      <c r="Y1294" s="7">
        <v>114.6</v>
      </c>
      <c r="Z1294" s="7">
        <v>112</v>
      </c>
      <c r="AA1294" s="7">
        <v>111.1</v>
      </c>
      <c r="AB1294" s="7">
        <v>128.80000000000001</v>
      </c>
    </row>
    <row r="1295" spans="2:28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  <c r="W1295" s="7">
        <v>157.69999999999999</v>
      </c>
      <c r="X1295" s="7">
        <v>153.80000000000001</v>
      </c>
      <c r="Y1295" s="7">
        <v>149.19999999999999</v>
      </c>
      <c r="Z1295" s="7">
        <v>151.5</v>
      </c>
      <c r="AA1295" s="7">
        <v>133</v>
      </c>
      <c r="AB1295" s="7">
        <v>119.4</v>
      </c>
    </row>
    <row r="1296" spans="2:28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  <c r="W1296" s="7">
        <v>67.400000000000006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</row>
    <row r="1297" spans="2:28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  <c r="W1297" s="7">
        <v>2.5</v>
      </c>
      <c r="X1297" s="7">
        <v>0</v>
      </c>
      <c r="Y1297" s="7">
        <v>4.9000000000000004</v>
      </c>
      <c r="Z1297" s="7">
        <v>2.7</v>
      </c>
      <c r="AA1297" s="7">
        <v>0</v>
      </c>
      <c r="AB1297" s="7">
        <v>0</v>
      </c>
    </row>
    <row r="1298" spans="2:28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4.0999999999999996</v>
      </c>
    </row>
    <row r="1299" spans="2:28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</row>
    <row r="1300" spans="2:28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  <c r="W1300" s="7">
        <v>113.9</v>
      </c>
      <c r="X1300" s="7">
        <v>112.8</v>
      </c>
      <c r="Y1300" s="7">
        <v>110.8</v>
      </c>
      <c r="Z1300" s="7">
        <v>99.9</v>
      </c>
      <c r="AA1300" s="7">
        <v>87.4</v>
      </c>
      <c r="AB1300" s="7">
        <v>83</v>
      </c>
    </row>
    <row r="1301" spans="2:28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</row>
    <row r="1302" spans="2:28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</row>
    <row r="1303" spans="2:28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</row>
    <row r="1304" spans="2:28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</row>
    <row r="1305" spans="2:28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</row>
    <row r="1306" spans="2:28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</row>
    <row r="1307" spans="2:28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</row>
    <row r="1308" spans="2:28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</row>
    <row r="1309" spans="2:28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</row>
    <row r="1310" spans="2:28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</row>
    <row r="1311" spans="2:28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</row>
    <row r="1312" spans="2:28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</row>
    <row r="1313" spans="2:28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  <c r="W1313" s="7">
        <v>53.5</v>
      </c>
      <c r="X1313" s="7">
        <v>73.8</v>
      </c>
      <c r="Y1313" s="7">
        <v>99.1</v>
      </c>
      <c r="Z1313" s="7">
        <v>99.7</v>
      </c>
      <c r="AA1313" s="7">
        <v>84.7</v>
      </c>
      <c r="AB1313" s="7">
        <v>70.099999999999994</v>
      </c>
    </row>
    <row r="1314" spans="2:28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</row>
    <row r="1315" spans="2:28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  <c r="W1315" s="7">
        <v>184.8</v>
      </c>
      <c r="X1315" s="7">
        <v>234.2</v>
      </c>
      <c r="Y1315" s="7">
        <v>253.4</v>
      </c>
      <c r="Z1315" s="7">
        <v>294.39999999999998</v>
      </c>
      <c r="AA1315" s="7">
        <v>308.8</v>
      </c>
      <c r="AB1315" s="7">
        <v>269.7</v>
      </c>
    </row>
    <row r="1316" spans="2:28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  <c r="W1316" s="7">
        <v>60.7</v>
      </c>
      <c r="X1316" s="7">
        <v>65.8</v>
      </c>
      <c r="Y1316" s="7">
        <v>131.9</v>
      </c>
      <c r="Z1316" s="7">
        <v>107.8</v>
      </c>
      <c r="AA1316" s="7">
        <v>92.5</v>
      </c>
      <c r="AB1316" s="7">
        <v>84.2</v>
      </c>
    </row>
    <row r="1317" spans="2:28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</row>
    <row r="1318" spans="2:28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</row>
    <row r="1319" spans="2:28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</row>
    <row r="1320" spans="2:28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</row>
    <row r="1321" spans="2:28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  <c r="W1321" s="7">
        <v>52</v>
      </c>
      <c r="X1321" s="7">
        <v>57.1</v>
      </c>
      <c r="Y1321" s="7">
        <v>58</v>
      </c>
      <c r="Z1321" s="7">
        <v>53.7</v>
      </c>
      <c r="AA1321" s="7">
        <v>45.2</v>
      </c>
      <c r="AB1321" s="7">
        <v>34.5</v>
      </c>
    </row>
    <row r="1322" spans="2:28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  <c r="W1322" s="7">
        <v>62.1</v>
      </c>
      <c r="X1322" s="7">
        <v>55.5</v>
      </c>
      <c r="Y1322" s="7">
        <v>66.599999999999994</v>
      </c>
      <c r="Z1322" s="7">
        <v>68.3</v>
      </c>
      <c r="AA1322" s="7">
        <v>53.8</v>
      </c>
      <c r="AB1322" s="7">
        <v>39.1</v>
      </c>
    </row>
    <row r="1323" spans="2:28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  <c r="W1323" s="7">
        <v>153.69999999999999</v>
      </c>
      <c r="X1323" s="7">
        <v>150.4</v>
      </c>
      <c r="Y1323" s="7">
        <v>145.19999999999999</v>
      </c>
      <c r="Z1323" s="7">
        <v>155.6</v>
      </c>
      <c r="AA1323" s="7">
        <v>150.6</v>
      </c>
      <c r="AB1323" s="7">
        <v>139</v>
      </c>
    </row>
    <row r="1324" spans="2:28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  <c r="W1324" s="7">
        <v>97.8</v>
      </c>
      <c r="X1324" s="7">
        <v>102.4</v>
      </c>
      <c r="Y1324" s="7">
        <v>115.6</v>
      </c>
      <c r="Z1324" s="7">
        <v>125.5</v>
      </c>
      <c r="AA1324" s="7">
        <v>114.1</v>
      </c>
      <c r="AB1324" s="7">
        <v>111.7</v>
      </c>
    </row>
    <row r="1325" spans="2:28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  <c r="W1325" s="7">
        <v>62.4</v>
      </c>
      <c r="X1325" s="7">
        <v>59.6</v>
      </c>
      <c r="Y1325" s="7">
        <v>110.2</v>
      </c>
      <c r="Z1325" s="7">
        <v>130.5</v>
      </c>
      <c r="AA1325" s="7">
        <v>126.3</v>
      </c>
      <c r="AB1325" s="7">
        <v>123.6</v>
      </c>
    </row>
    <row r="1326" spans="2:28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  <c r="W1326" s="7">
        <v>53.2</v>
      </c>
      <c r="X1326" s="7">
        <v>47.6</v>
      </c>
      <c r="Y1326" s="7">
        <v>67</v>
      </c>
      <c r="Z1326" s="7">
        <v>52.2</v>
      </c>
      <c r="AA1326" s="7">
        <v>48.7</v>
      </c>
      <c r="AB1326" s="7">
        <v>62</v>
      </c>
    </row>
    <row r="1327" spans="2:28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  <c r="W1327" s="7">
        <v>52.1</v>
      </c>
      <c r="X1327" s="7">
        <v>56.7</v>
      </c>
      <c r="Y1327" s="7">
        <v>60.5</v>
      </c>
      <c r="Z1327" s="7">
        <v>74.400000000000006</v>
      </c>
      <c r="AA1327" s="7">
        <v>70.7</v>
      </c>
      <c r="AB1327" s="7">
        <v>62.6</v>
      </c>
    </row>
    <row r="1328" spans="2:28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  <c r="W1328" s="7">
        <v>23</v>
      </c>
      <c r="X1328" s="7">
        <v>20.8</v>
      </c>
      <c r="Y1328" s="7">
        <v>24.7</v>
      </c>
      <c r="Z1328" s="7">
        <v>36</v>
      </c>
      <c r="AA1328" s="7">
        <v>37.9</v>
      </c>
      <c r="AB1328" s="7">
        <v>33.9</v>
      </c>
    </row>
    <row r="1329" spans="2:28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</row>
    <row r="1330" spans="2:28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</row>
    <row r="1331" spans="2:28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  <c r="W1331" s="7">
        <v>167.1</v>
      </c>
      <c r="X1331" s="7">
        <v>170.1</v>
      </c>
      <c r="Y1331" s="7">
        <v>181.1</v>
      </c>
      <c r="Z1331" s="7">
        <v>174.9</v>
      </c>
      <c r="AA1331" s="7">
        <v>135.9</v>
      </c>
      <c r="AB1331" s="7">
        <v>138.1</v>
      </c>
    </row>
    <row r="1332" spans="2:28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  <c r="W1332" s="7">
        <v>87.1</v>
      </c>
      <c r="X1332" s="7">
        <v>90</v>
      </c>
      <c r="Y1332" s="7">
        <v>88</v>
      </c>
      <c r="Z1332" s="7">
        <v>84.2</v>
      </c>
      <c r="AA1332" s="7">
        <v>73.2</v>
      </c>
      <c r="AB1332" s="7">
        <v>80.599999999999994</v>
      </c>
    </row>
    <row r="1333" spans="2:28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  <c r="W1333" s="7">
        <v>0</v>
      </c>
      <c r="X1333" s="7">
        <v>6.6</v>
      </c>
      <c r="Y1333" s="7">
        <v>66.2</v>
      </c>
      <c r="Z1333" s="7">
        <v>18.399999999999999</v>
      </c>
      <c r="AA1333" s="7">
        <v>73.2</v>
      </c>
      <c r="AB1333" s="7">
        <v>25.8</v>
      </c>
    </row>
    <row r="1334" spans="2:28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  <c r="W1334" s="7">
        <v>65.400000000000006</v>
      </c>
      <c r="X1334" s="7">
        <v>91.6</v>
      </c>
      <c r="Y1334" s="7">
        <v>214.9</v>
      </c>
      <c r="Z1334" s="7">
        <v>220.1</v>
      </c>
      <c r="AA1334" s="7">
        <v>195.2</v>
      </c>
      <c r="AB1334" s="7">
        <v>186.3</v>
      </c>
    </row>
    <row r="1335" spans="2:28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</row>
    <row r="1336" spans="2:28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</row>
    <row r="1337" spans="2:28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</row>
    <row r="1338" spans="2:28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  <c r="W1338" s="7">
        <v>251.1</v>
      </c>
      <c r="X1338" s="7">
        <v>237.3</v>
      </c>
      <c r="Y1338" s="7">
        <v>222.2</v>
      </c>
      <c r="Z1338" s="7">
        <v>1320.3</v>
      </c>
      <c r="AA1338" s="7">
        <v>230.7</v>
      </c>
      <c r="AB1338" s="7">
        <v>311.5</v>
      </c>
    </row>
    <row r="1339" spans="2:28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  <c r="W1339" s="7">
        <v>297.5</v>
      </c>
      <c r="X1339" s="7">
        <v>280.60000000000002</v>
      </c>
      <c r="Y1339" s="7">
        <v>247.9</v>
      </c>
      <c r="Z1339" s="7">
        <v>332</v>
      </c>
      <c r="AA1339" s="7">
        <v>340.2</v>
      </c>
      <c r="AB1339" s="7">
        <v>362.7</v>
      </c>
    </row>
    <row r="1340" spans="2:28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  <c r="W1340" s="7">
        <v>102.9</v>
      </c>
      <c r="X1340" s="7">
        <v>96.6</v>
      </c>
      <c r="Y1340" s="7">
        <v>101.5</v>
      </c>
      <c r="Z1340" s="7">
        <v>86.7</v>
      </c>
      <c r="AA1340" s="7">
        <v>75.900000000000006</v>
      </c>
      <c r="AB1340" s="7">
        <v>56.7</v>
      </c>
    </row>
    <row r="1341" spans="2:28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</row>
    <row r="1342" spans="2:28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  <c r="W1342" s="7">
        <v>69.2</v>
      </c>
      <c r="X1342" s="7">
        <v>67.400000000000006</v>
      </c>
      <c r="Y1342" s="7">
        <v>73.3</v>
      </c>
      <c r="Z1342" s="7">
        <v>75.599999999999994</v>
      </c>
      <c r="AA1342" s="7">
        <v>78.2</v>
      </c>
      <c r="AB1342" s="7">
        <v>69.2</v>
      </c>
    </row>
    <row r="1343" spans="2:28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  <c r="W1343" s="7">
        <v>683.5</v>
      </c>
      <c r="X1343" s="7">
        <v>687.7</v>
      </c>
      <c r="Y1343" s="7">
        <v>668.1</v>
      </c>
      <c r="Z1343" s="7">
        <v>597.70000000000005</v>
      </c>
      <c r="AA1343" s="7">
        <v>645.4</v>
      </c>
      <c r="AB1343" s="7">
        <v>654.6</v>
      </c>
    </row>
    <row r="1344" spans="2:28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</row>
    <row r="1345" spans="2:28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  <c r="W1345" s="7">
        <v>28.9</v>
      </c>
      <c r="X1345" s="7">
        <v>23.9</v>
      </c>
      <c r="Y1345" s="7">
        <v>43.5</v>
      </c>
      <c r="Z1345" s="7">
        <v>55</v>
      </c>
      <c r="AA1345" s="7">
        <v>52.1</v>
      </c>
      <c r="AB1345" s="7">
        <v>53.6</v>
      </c>
    </row>
    <row r="1346" spans="2:28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  <c r="W1346" s="7">
        <v>1034.0999999999999</v>
      </c>
      <c r="X1346" s="7">
        <v>1042.5</v>
      </c>
      <c r="Y1346" s="7">
        <v>851.8</v>
      </c>
      <c r="Z1346" s="7">
        <v>1333</v>
      </c>
      <c r="AA1346" s="7">
        <v>1234.5999999999999</v>
      </c>
      <c r="AB1346" s="7">
        <v>1168.8</v>
      </c>
    </row>
    <row r="1347" spans="2:28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</row>
    <row r="1348" spans="2:28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</row>
    <row r="1349" spans="2:28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</row>
    <row r="1350" spans="2:28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</row>
    <row r="1351" spans="2:28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  <c r="W1351" s="7">
        <v>106.2</v>
      </c>
      <c r="X1351" s="7">
        <v>105.6</v>
      </c>
      <c r="Y1351" s="7">
        <v>117.7</v>
      </c>
      <c r="Z1351" s="7">
        <v>134.80000000000001</v>
      </c>
      <c r="AA1351" s="7">
        <v>112.4</v>
      </c>
      <c r="AB1351" s="7">
        <v>117.4</v>
      </c>
    </row>
    <row r="1352" spans="2:28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  <c r="W1352" s="7">
        <v>200.5</v>
      </c>
      <c r="X1352" s="7">
        <v>198.4</v>
      </c>
      <c r="Y1352" s="7">
        <v>204.9</v>
      </c>
      <c r="Z1352" s="7">
        <v>226.6</v>
      </c>
      <c r="AA1352" s="7">
        <v>186.2</v>
      </c>
      <c r="AB1352" s="7">
        <v>194.8</v>
      </c>
    </row>
    <row r="1353" spans="2:28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  <c r="W1353" s="7">
        <v>150.6</v>
      </c>
      <c r="X1353" s="7">
        <v>107.6</v>
      </c>
      <c r="Y1353" s="7">
        <v>113.2</v>
      </c>
      <c r="Z1353" s="7">
        <v>117.7</v>
      </c>
      <c r="AA1353" s="7">
        <v>109.1</v>
      </c>
      <c r="AB1353" s="7">
        <v>82.9</v>
      </c>
    </row>
    <row r="1354" spans="2:28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  <c r="W1354" s="7">
        <v>94.1</v>
      </c>
      <c r="X1354" s="7">
        <v>97.1</v>
      </c>
      <c r="Y1354" s="7">
        <v>87.9</v>
      </c>
      <c r="Z1354" s="7">
        <v>100.8</v>
      </c>
      <c r="AA1354" s="7">
        <v>85.3</v>
      </c>
      <c r="AB1354" s="7">
        <v>72.7</v>
      </c>
    </row>
    <row r="1355" spans="2:28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</row>
    <row r="1356" spans="2:28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</row>
    <row r="1357" spans="2:28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</row>
    <row r="1358" spans="2:28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</row>
    <row r="1359" spans="2:28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  <c r="W1359" s="7">
        <v>14.2</v>
      </c>
      <c r="X1359" s="7">
        <v>14.4</v>
      </c>
      <c r="Y1359" s="7">
        <v>13</v>
      </c>
      <c r="Z1359" s="7">
        <v>22.4</v>
      </c>
      <c r="AA1359" s="7">
        <v>41.2</v>
      </c>
      <c r="AB1359" s="7">
        <v>38.299999999999997</v>
      </c>
    </row>
    <row r="1360" spans="2:28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</row>
    <row r="1361" spans="2:28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</row>
    <row r="1362" spans="2:28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</row>
    <row r="1363" spans="2:28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</row>
    <row r="1364" spans="2:28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</row>
    <row r="1365" spans="2:28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</row>
    <row r="1366" spans="2:28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</row>
    <row r="1367" spans="2:28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</row>
    <row r="1368" spans="2:28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</row>
    <row r="1369" spans="2:28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</row>
    <row r="1370" spans="2:28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  <c r="W1370" s="7">
        <v>34.200000000000003</v>
      </c>
      <c r="X1370" s="7">
        <v>22.5</v>
      </c>
      <c r="Y1370" s="7">
        <v>25</v>
      </c>
      <c r="Z1370" s="7">
        <v>16.7</v>
      </c>
      <c r="AA1370" s="7">
        <v>3.6</v>
      </c>
      <c r="AB1370" s="7">
        <v>4.9000000000000004</v>
      </c>
    </row>
    <row r="1371" spans="2:28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</row>
    <row r="1372" spans="2:28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</row>
    <row r="1373" spans="2:28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</row>
    <row r="1374" spans="2:28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63.2</v>
      </c>
    </row>
    <row r="1375" spans="2:28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</row>
    <row r="1376" spans="2:28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</row>
    <row r="1377" spans="2:28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</row>
    <row r="1378" spans="2:28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</row>
    <row r="1379" spans="2:28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</row>
    <row r="1380" spans="2:28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  <c r="W1380" s="7">
        <v>68.099999999999994</v>
      </c>
      <c r="X1380" s="7">
        <v>77.5</v>
      </c>
      <c r="Y1380" s="7">
        <v>75.599999999999994</v>
      </c>
      <c r="Z1380" s="7">
        <v>74.8</v>
      </c>
      <c r="AA1380" s="7">
        <v>59.9</v>
      </c>
      <c r="AB1380" s="7">
        <v>55.3</v>
      </c>
    </row>
    <row r="1381" spans="2:28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  <c r="W1381" s="7">
        <v>77.599999999999994</v>
      </c>
      <c r="X1381" s="7">
        <v>120.4</v>
      </c>
      <c r="Y1381" s="7">
        <v>141</v>
      </c>
      <c r="Z1381" s="7">
        <v>262.2</v>
      </c>
      <c r="AA1381" s="7">
        <v>199.5</v>
      </c>
      <c r="AB1381" s="7">
        <v>169.5</v>
      </c>
    </row>
    <row r="1382" spans="2:28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</row>
    <row r="1383" spans="2:28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</row>
    <row r="1384" spans="2:28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</row>
    <row r="1385" spans="2:28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</row>
    <row r="1386" spans="2:28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  <c r="W1386" s="7">
        <v>121</v>
      </c>
      <c r="X1386" s="7">
        <v>119</v>
      </c>
      <c r="Y1386" s="7">
        <v>111.8</v>
      </c>
      <c r="Z1386" s="7">
        <v>117.4</v>
      </c>
      <c r="AA1386" s="7">
        <v>102.1</v>
      </c>
      <c r="AB1386" s="7">
        <v>105.5</v>
      </c>
    </row>
    <row r="1387" spans="2:28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  <c r="W1387" s="7">
        <v>110.2</v>
      </c>
      <c r="X1387" s="7">
        <v>161.6</v>
      </c>
      <c r="Y1387" s="7">
        <v>187.3</v>
      </c>
      <c r="Z1387" s="7">
        <v>215.2</v>
      </c>
      <c r="AA1387" s="7">
        <v>236.8</v>
      </c>
      <c r="AB1387" s="7">
        <v>213.2</v>
      </c>
    </row>
    <row r="1388" spans="2:28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</row>
    <row r="1389" spans="2:28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</row>
    <row r="1390" spans="2:28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  <c r="W1390" s="7">
        <v>49.3</v>
      </c>
      <c r="X1390" s="7">
        <v>45.3</v>
      </c>
      <c r="Y1390" s="7">
        <v>55</v>
      </c>
      <c r="Z1390" s="7">
        <v>61.7</v>
      </c>
      <c r="AA1390" s="7">
        <v>55.8</v>
      </c>
      <c r="AB1390" s="7">
        <v>56.3</v>
      </c>
    </row>
    <row r="1391" spans="2:28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</row>
    <row r="1392" spans="2:28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  <c r="W1392" s="7">
        <v>156.9</v>
      </c>
      <c r="X1392" s="7">
        <v>164.3</v>
      </c>
      <c r="Y1392" s="7">
        <v>179.1</v>
      </c>
      <c r="Z1392" s="7">
        <v>167.5</v>
      </c>
      <c r="AA1392" s="7">
        <v>220.6</v>
      </c>
      <c r="AB1392" s="7">
        <v>212.4</v>
      </c>
    </row>
    <row r="1393" spans="2:28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</row>
    <row r="1394" spans="2:28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  <c r="W1394" s="7">
        <v>51</v>
      </c>
      <c r="X1394" s="7">
        <v>41</v>
      </c>
      <c r="Y1394" s="7">
        <v>33.200000000000003</v>
      </c>
      <c r="Z1394" s="7">
        <v>47.1</v>
      </c>
      <c r="AA1394" s="7">
        <v>47.3</v>
      </c>
      <c r="AB1394" s="7">
        <v>46.9</v>
      </c>
    </row>
    <row r="1395" spans="2:28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</row>
    <row r="1396" spans="2:28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</row>
    <row r="1397" spans="2:28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</row>
    <row r="1398" spans="2:28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</row>
    <row r="1399" spans="2:28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</row>
    <row r="1400" spans="2:28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  <c r="W1400" s="7">
        <v>119.7</v>
      </c>
      <c r="X1400" s="7">
        <v>115</v>
      </c>
      <c r="Y1400" s="7">
        <v>120.3</v>
      </c>
      <c r="Z1400" s="7">
        <v>113.6</v>
      </c>
      <c r="AA1400" s="7">
        <v>93.3</v>
      </c>
      <c r="AB1400" s="7">
        <v>89.9</v>
      </c>
    </row>
    <row r="1401" spans="2:28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  <c r="W1401" s="7">
        <v>154.5</v>
      </c>
      <c r="X1401" s="7">
        <v>145.9</v>
      </c>
      <c r="Y1401" s="7">
        <v>147.6</v>
      </c>
      <c r="Z1401" s="7">
        <v>151.4</v>
      </c>
      <c r="AA1401" s="7">
        <v>142.9</v>
      </c>
      <c r="AB1401" s="7">
        <v>121.6</v>
      </c>
    </row>
    <row r="1402" spans="2:28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</row>
    <row r="1403" spans="2:28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</row>
    <row r="1404" spans="2:28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</row>
    <row r="1405" spans="2:28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  <c r="W1405" s="7">
        <v>5.3</v>
      </c>
      <c r="X1405" s="7">
        <v>12.5</v>
      </c>
      <c r="Y1405" s="7">
        <v>23.9</v>
      </c>
      <c r="Z1405" s="7">
        <v>36.799999999999997</v>
      </c>
      <c r="AA1405" s="7">
        <v>22.4</v>
      </c>
      <c r="AB1405" s="7">
        <v>21.2</v>
      </c>
    </row>
    <row r="1406" spans="2:28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</row>
    <row r="1407" spans="2:28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  <c r="W1407" s="7">
        <v>45.6</v>
      </c>
      <c r="X1407" s="7">
        <v>35.799999999999997</v>
      </c>
      <c r="Y1407" s="7">
        <v>41.8</v>
      </c>
      <c r="Z1407" s="7">
        <v>39.9</v>
      </c>
      <c r="AA1407" s="7">
        <v>30.3</v>
      </c>
      <c r="AB1407" s="7">
        <v>26.5</v>
      </c>
    </row>
    <row r="1408" spans="2:28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</row>
    <row r="1409" spans="2:28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  <c r="W1409" s="7">
        <v>0</v>
      </c>
      <c r="X1409" s="7">
        <v>5.3</v>
      </c>
      <c r="Y1409" s="7">
        <v>100.2</v>
      </c>
      <c r="Z1409" s="7">
        <v>66.900000000000006</v>
      </c>
      <c r="AA1409" s="7">
        <v>83.7</v>
      </c>
      <c r="AB1409" s="7">
        <v>49.5</v>
      </c>
    </row>
    <row r="1410" spans="2:28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  <c r="W1410" s="7">
        <v>11.9</v>
      </c>
      <c r="X1410" s="7">
        <v>7.2</v>
      </c>
      <c r="Y1410" s="7">
        <v>7.5</v>
      </c>
      <c r="Z1410" s="7">
        <v>14.5</v>
      </c>
      <c r="AA1410" s="7">
        <v>9.6999999999999993</v>
      </c>
      <c r="AB1410" s="7">
        <v>7.6</v>
      </c>
    </row>
    <row r="1411" spans="2:28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</row>
    <row r="1412" spans="2:28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  <c r="W1412" s="7">
        <v>266.5</v>
      </c>
      <c r="X1412" s="7">
        <v>310.2</v>
      </c>
      <c r="Y1412" s="7">
        <v>302.3</v>
      </c>
      <c r="Z1412" s="7">
        <v>338.3</v>
      </c>
      <c r="AA1412" s="7">
        <v>387.9</v>
      </c>
      <c r="AB1412" s="7">
        <v>391.7</v>
      </c>
    </row>
    <row r="1413" spans="2:28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  <c r="W1413" s="7">
        <v>40.4</v>
      </c>
      <c r="X1413" s="7">
        <v>34.1</v>
      </c>
      <c r="Y1413" s="7">
        <v>5.3</v>
      </c>
      <c r="Z1413" s="7">
        <v>0</v>
      </c>
      <c r="AA1413" s="7">
        <v>0</v>
      </c>
      <c r="AB1413" s="7">
        <v>5.7</v>
      </c>
    </row>
    <row r="1414" spans="2:28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  <c r="W1414" s="7">
        <v>46.9</v>
      </c>
      <c r="X1414" s="7">
        <v>35.4</v>
      </c>
      <c r="Y1414" s="7">
        <v>39</v>
      </c>
      <c r="Z1414" s="7">
        <v>33.9</v>
      </c>
      <c r="AA1414" s="7">
        <v>28.3</v>
      </c>
      <c r="AB1414" s="7">
        <v>34.799999999999997</v>
      </c>
    </row>
    <row r="1415" spans="2:28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</row>
    <row r="1416" spans="2:28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</row>
    <row r="1417" spans="2:28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</row>
    <row r="1418" spans="2:28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</row>
    <row r="1419" spans="2:28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  <c r="W1419" s="7">
        <v>31.4</v>
      </c>
      <c r="X1419" s="7">
        <v>23.7</v>
      </c>
      <c r="Y1419" s="7">
        <v>39</v>
      </c>
      <c r="Z1419" s="7">
        <v>35.4</v>
      </c>
      <c r="AA1419" s="7">
        <v>35.200000000000003</v>
      </c>
      <c r="AB1419" s="7">
        <v>36.1</v>
      </c>
    </row>
    <row r="1420" spans="2:28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  <c r="W1420" s="7">
        <v>77.8</v>
      </c>
      <c r="X1420" s="7">
        <v>89.4</v>
      </c>
      <c r="Y1420" s="7">
        <v>94.4</v>
      </c>
      <c r="Z1420" s="7">
        <v>81.099999999999994</v>
      </c>
      <c r="AA1420" s="7">
        <v>57.4</v>
      </c>
      <c r="AB1420" s="7">
        <v>40.799999999999997</v>
      </c>
    </row>
    <row r="1421" spans="2:28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</row>
    <row r="1422" spans="2:28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</row>
    <row r="1423" spans="2:28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</row>
    <row r="1424" spans="2:28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</row>
    <row r="1425" spans="2:28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</row>
    <row r="1426" spans="2:28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</row>
    <row r="1427" spans="2:28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  <c r="W1427" s="7">
        <v>47.8</v>
      </c>
      <c r="X1427" s="7">
        <v>66.8</v>
      </c>
      <c r="Y1427" s="7">
        <v>77</v>
      </c>
      <c r="Z1427" s="7">
        <v>76</v>
      </c>
      <c r="AA1427" s="7">
        <v>76</v>
      </c>
      <c r="AB1427" s="7">
        <v>69.099999999999994</v>
      </c>
    </row>
    <row r="1428" spans="2:28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  <c r="W1428" s="7">
        <v>93</v>
      </c>
      <c r="X1428" s="7">
        <v>82.5</v>
      </c>
      <c r="Y1428" s="7">
        <v>81</v>
      </c>
      <c r="Z1428" s="7">
        <v>73.099999999999994</v>
      </c>
      <c r="AA1428" s="7">
        <v>63.5</v>
      </c>
      <c r="AB1428" s="7">
        <v>52</v>
      </c>
    </row>
    <row r="1429" spans="2:28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  <c r="W1429" s="7">
        <v>60.6</v>
      </c>
      <c r="X1429" s="7">
        <v>62.7</v>
      </c>
      <c r="Y1429" s="7">
        <v>61.6</v>
      </c>
      <c r="Z1429" s="7">
        <v>61</v>
      </c>
      <c r="AA1429" s="7">
        <v>57.1</v>
      </c>
      <c r="AB1429" s="7">
        <v>56.7</v>
      </c>
    </row>
    <row r="1430" spans="2:28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</row>
    <row r="1431" spans="2:28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</row>
    <row r="1432" spans="2:28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</row>
    <row r="1433" spans="2:28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  <c r="W1433" s="7">
        <v>919.4</v>
      </c>
      <c r="X1433" s="7">
        <v>1113.0999999999999</v>
      </c>
      <c r="Y1433" s="7">
        <v>1157.7</v>
      </c>
      <c r="Z1433" s="7">
        <v>1126.3</v>
      </c>
      <c r="AA1433" s="7">
        <v>1073.5999999999999</v>
      </c>
      <c r="AB1433" s="7">
        <v>1049.5999999999999</v>
      </c>
    </row>
    <row r="1434" spans="2:28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</row>
    <row r="1435" spans="2:28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</row>
    <row r="1436" spans="2:28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</row>
    <row r="1437" spans="2:28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</row>
    <row r="1438" spans="2:28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</row>
    <row r="1439" spans="2:28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</row>
    <row r="1440" spans="2:28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  <c r="W1440" s="7">
        <v>200.7</v>
      </c>
      <c r="X1440" s="7">
        <v>203.4</v>
      </c>
      <c r="Y1440" s="7">
        <v>305.7</v>
      </c>
      <c r="Z1440" s="7">
        <v>237.5</v>
      </c>
      <c r="AA1440" s="7">
        <v>427.5</v>
      </c>
      <c r="AB1440" s="7">
        <v>237.6</v>
      </c>
    </row>
    <row r="1441" spans="2:28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</row>
    <row r="1442" spans="2:28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  <c r="W1442" s="7">
        <v>106</v>
      </c>
      <c r="X1442" s="7">
        <v>126.2</v>
      </c>
      <c r="Y1442" s="7">
        <v>423.7</v>
      </c>
      <c r="Z1442" s="7">
        <v>429.3</v>
      </c>
      <c r="AA1442" s="7">
        <v>363.4</v>
      </c>
      <c r="AB1442" s="7">
        <v>258.10000000000002</v>
      </c>
    </row>
    <row r="1443" spans="2:28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  <c r="W1443" s="7">
        <v>237.8</v>
      </c>
      <c r="X1443" s="7">
        <v>250.7</v>
      </c>
      <c r="Y1443" s="7">
        <v>240.7</v>
      </c>
      <c r="Z1443" s="7">
        <v>284.7</v>
      </c>
      <c r="AA1443" s="7">
        <v>246.2</v>
      </c>
      <c r="AB1443" s="7">
        <v>244.5</v>
      </c>
    </row>
    <row r="1444" spans="2:28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  <c r="W1444" s="7">
        <v>994</v>
      </c>
      <c r="X1444" s="7">
        <v>954.3</v>
      </c>
      <c r="Y1444" s="7">
        <v>1004.1</v>
      </c>
      <c r="Z1444" s="7">
        <v>977.5</v>
      </c>
      <c r="AA1444" s="7">
        <v>991.3</v>
      </c>
      <c r="AB1444" s="7">
        <v>978.5</v>
      </c>
    </row>
    <row r="1445" spans="2:28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  <c r="W1445" s="7">
        <v>166.9</v>
      </c>
      <c r="X1445" s="7">
        <v>110</v>
      </c>
      <c r="Y1445" s="7">
        <v>114.4</v>
      </c>
      <c r="Z1445" s="7">
        <v>109.6</v>
      </c>
      <c r="AA1445" s="7">
        <v>96.6</v>
      </c>
      <c r="AB1445" s="7">
        <v>91.8</v>
      </c>
    </row>
    <row r="1446" spans="2:28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  <c r="W1446" s="7">
        <v>80.599999999999994</v>
      </c>
      <c r="X1446" s="7">
        <v>75.8</v>
      </c>
      <c r="Y1446" s="7">
        <v>64.5</v>
      </c>
      <c r="Z1446" s="7">
        <v>63.8</v>
      </c>
      <c r="AA1446" s="7">
        <v>72.599999999999994</v>
      </c>
      <c r="AB1446" s="7">
        <v>70.8</v>
      </c>
    </row>
    <row r="1447" spans="2:28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</row>
    <row r="1448" spans="2:28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5.5</v>
      </c>
      <c r="Z1448" s="7">
        <v>3.2</v>
      </c>
      <c r="AA1448" s="7">
        <v>6.5</v>
      </c>
      <c r="AB1448" s="7">
        <v>36.6</v>
      </c>
    </row>
    <row r="1449" spans="2:28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  <c r="W1449" s="7">
        <v>40</v>
      </c>
      <c r="X1449" s="7">
        <v>41.8</v>
      </c>
      <c r="Y1449" s="7">
        <v>46.1</v>
      </c>
      <c r="Z1449" s="7">
        <v>40.799999999999997</v>
      </c>
      <c r="AA1449" s="7">
        <v>42.5</v>
      </c>
      <c r="AB1449" s="7">
        <v>43.1</v>
      </c>
    </row>
    <row r="1450" spans="2:28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</row>
    <row r="1451" spans="2:28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</row>
    <row r="1452" spans="2:28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</row>
    <row r="1453" spans="2:28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  <c r="W1453" s="7">
        <v>180.1</v>
      </c>
      <c r="X1453" s="7">
        <v>205.5</v>
      </c>
      <c r="Y1453" s="7">
        <v>227.7</v>
      </c>
      <c r="Z1453" s="7">
        <v>230</v>
      </c>
      <c r="AA1453" s="7">
        <v>226.8</v>
      </c>
      <c r="AB1453" s="7">
        <v>203.7</v>
      </c>
    </row>
    <row r="1454" spans="2:28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  <c r="W1454" s="7">
        <v>29.2</v>
      </c>
      <c r="X1454" s="7">
        <v>126.9</v>
      </c>
      <c r="Y1454" s="7">
        <v>257.8</v>
      </c>
      <c r="Z1454" s="7">
        <v>241.6</v>
      </c>
      <c r="AA1454" s="7">
        <v>195.6</v>
      </c>
      <c r="AB1454" s="7">
        <v>190.2</v>
      </c>
    </row>
    <row r="1455" spans="2:28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  <c r="W1455" s="7">
        <v>28</v>
      </c>
      <c r="X1455" s="7">
        <v>21.8</v>
      </c>
      <c r="Y1455" s="7">
        <v>31.4</v>
      </c>
      <c r="Z1455" s="7">
        <v>32.799999999999997</v>
      </c>
      <c r="AA1455" s="7">
        <v>32.9</v>
      </c>
      <c r="AB1455" s="7">
        <v>39.9</v>
      </c>
    </row>
    <row r="1456" spans="2:28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</row>
    <row r="1457" spans="2:28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  <c r="W1457" s="7">
        <v>31.5</v>
      </c>
      <c r="X1457" s="7">
        <v>83.5</v>
      </c>
      <c r="Y1457" s="7">
        <v>83.6</v>
      </c>
      <c r="Z1457" s="7">
        <v>94.2</v>
      </c>
      <c r="AA1457" s="7">
        <v>89.5</v>
      </c>
      <c r="AB1457" s="7">
        <v>87.3</v>
      </c>
    </row>
    <row r="1458" spans="2:28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  <c r="W1458" s="7">
        <v>1719.6</v>
      </c>
      <c r="X1458" s="7">
        <v>1354.6</v>
      </c>
      <c r="Y1458" s="7">
        <v>1284.8</v>
      </c>
      <c r="Z1458" s="7">
        <v>2519.5</v>
      </c>
      <c r="AA1458" s="7">
        <v>2113.8000000000002</v>
      </c>
      <c r="AB1458" s="7">
        <v>2456.8000000000002</v>
      </c>
    </row>
    <row r="1459" spans="2:28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27.9</v>
      </c>
      <c r="AA1459" s="7">
        <v>102.3</v>
      </c>
      <c r="AB1459" s="7">
        <v>145.4</v>
      </c>
    </row>
    <row r="1460" spans="2:28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</row>
    <row r="1461" spans="2:28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  <c r="W1461" s="7">
        <v>176.3</v>
      </c>
      <c r="X1461" s="7">
        <v>152.4</v>
      </c>
      <c r="Y1461" s="7">
        <v>203.4</v>
      </c>
      <c r="Z1461" s="7">
        <v>221.2</v>
      </c>
      <c r="AA1461" s="7">
        <v>181.5</v>
      </c>
      <c r="AB1461" s="7">
        <v>134.80000000000001</v>
      </c>
    </row>
    <row r="1462" spans="2:28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  <c r="W1462" s="7">
        <v>209.9</v>
      </c>
      <c r="X1462" s="7">
        <v>283.60000000000002</v>
      </c>
      <c r="Y1462" s="7">
        <v>297.7</v>
      </c>
      <c r="Z1462" s="7">
        <v>258.60000000000002</v>
      </c>
      <c r="AA1462" s="7">
        <v>267.89999999999998</v>
      </c>
      <c r="AB1462" s="7">
        <v>246.6</v>
      </c>
    </row>
    <row r="1463" spans="2:28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  <c r="W1463" s="7">
        <v>361.2</v>
      </c>
      <c r="X1463" s="7">
        <v>386.8</v>
      </c>
      <c r="Y1463" s="7">
        <v>408.8</v>
      </c>
      <c r="Z1463" s="7">
        <v>383.8</v>
      </c>
      <c r="AA1463" s="7">
        <v>436.5</v>
      </c>
      <c r="AB1463" s="7">
        <v>432.3</v>
      </c>
    </row>
    <row r="1464" spans="2:28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  <c r="W1464" s="7">
        <v>144.30000000000001</v>
      </c>
      <c r="X1464" s="7">
        <v>95.1</v>
      </c>
      <c r="Y1464" s="7">
        <v>141.6</v>
      </c>
      <c r="Z1464" s="7">
        <v>140.1</v>
      </c>
      <c r="AA1464" s="7">
        <v>135.6</v>
      </c>
      <c r="AB1464" s="7">
        <v>116</v>
      </c>
    </row>
    <row r="1465" spans="2:28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</row>
    <row r="1466" spans="2:28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  <c r="W1466" s="7">
        <v>72.7</v>
      </c>
      <c r="X1466" s="7">
        <v>109.3</v>
      </c>
      <c r="Y1466" s="7">
        <v>96.8</v>
      </c>
      <c r="Z1466" s="7">
        <v>83.7</v>
      </c>
      <c r="AA1466" s="7">
        <v>108.5</v>
      </c>
      <c r="AB1466" s="7">
        <v>111.2</v>
      </c>
    </row>
    <row r="1467" spans="2:28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  <c r="W1467" s="7">
        <v>49.4</v>
      </c>
      <c r="X1467" s="7">
        <v>50.1</v>
      </c>
      <c r="Y1467" s="7">
        <v>63.6</v>
      </c>
      <c r="Z1467" s="7">
        <v>61.3</v>
      </c>
      <c r="AA1467" s="7">
        <v>78.3</v>
      </c>
      <c r="AB1467" s="7">
        <v>80.400000000000006</v>
      </c>
    </row>
    <row r="1468" spans="2:28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  <c r="W1468" s="7">
        <v>258.8</v>
      </c>
      <c r="X1468" s="7">
        <v>223.3</v>
      </c>
      <c r="Y1468" s="7">
        <v>258</v>
      </c>
      <c r="Z1468" s="7">
        <v>247.2</v>
      </c>
      <c r="AA1468" s="7">
        <v>216.6</v>
      </c>
      <c r="AB1468" s="7">
        <v>200</v>
      </c>
    </row>
    <row r="1469" spans="2:28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  <c r="W1469" s="7">
        <v>285.10000000000002</v>
      </c>
      <c r="X1469" s="7">
        <v>279.5</v>
      </c>
      <c r="Y1469" s="7">
        <v>349.9</v>
      </c>
      <c r="Z1469" s="7">
        <v>352.1</v>
      </c>
      <c r="AA1469" s="7">
        <v>329.3</v>
      </c>
      <c r="AB1469" s="7">
        <v>335.6</v>
      </c>
    </row>
    <row r="1470" spans="2:28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</row>
    <row r="1471" spans="2:28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</row>
    <row r="1472" spans="2:28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  <c r="W1472" s="7">
        <v>0</v>
      </c>
      <c r="X1472" s="7">
        <v>0</v>
      </c>
      <c r="Y1472" s="7">
        <v>3.8</v>
      </c>
      <c r="Z1472" s="7">
        <v>27.4</v>
      </c>
      <c r="AA1472" s="7">
        <v>75.3</v>
      </c>
      <c r="AB1472" s="7">
        <v>97.9</v>
      </c>
    </row>
    <row r="1473" spans="2:28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  <c r="W1473" s="7">
        <v>0</v>
      </c>
      <c r="X1473" s="7">
        <v>7.9</v>
      </c>
      <c r="Y1473" s="7">
        <v>24.2</v>
      </c>
      <c r="Z1473" s="7">
        <v>29.5</v>
      </c>
      <c r="AA1473" s="7">
        <v>34.200000000000003</v>
      </c>
      <c r="AB1473" s="7">
        <v>36.4</v>
      </c>
    </row>
    <row r="1474" spans="2:28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</row>
    <row r="1475" spans="2:28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</row>
    <row r="1476" spans="2:28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</row>
    <row r="1477" spans="2:28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</row>
    <row r="1478" spans="2:28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  <c r="W1478" s="7">
        <v>157.4</v>
      </c>
      <c r="X1478" s="7">
        <v>62.1</v>
      </c>
      <c r="Y1478" s="7">
        <v>151.30000000000001</v>
      </c>
      <c r="Z1478" s="7">
        <v>184.8</v>
      </c>
      <c r="AA1478" s="7">
        <v>198.3</v>
      </c>
      <c r="AB1478" s="7">
        <v>163.19999999999999</v>
      </c>
    </row>
    <row r="1479" spans="2:28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  <c r="W1479" s="7">
        <v>233.6</v>
      </c>
      <c r="X1479" s="7">
        <v>165.4</v>
      </c>
      <c r="Y1479" s="7">
        <v>293.5</v>
      </c>
      <c r="Z1479" s="7">
        <v>406.8</v>
      </c>
      <c r="AA1479" s="7">
        <v>431</v>
      </c>
      <c r="AB1479" s="7">
        <v>353.3</v>
      </c>
    </row>
    <row r="1480" spans="2:28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  <c r="W1480" s="7">
        <v>87.6</v>
      </c>
      <c r="X1480" s="7">
        <v>50.4</v>
      </c>
      <c r="Y1480" s="7">
        <v>107.8</v>
      </c>
      <c r="Z1480" s="7">
        <v>140.4</v>
      </c>
      <c r="AA1480" s="7">
        <v>133.19999999999999</v>
      </c>
      <c r="AB1480" s="7">
        <v>110.3</v>
      </c>
    </row>
    <row r="1481" spans="2:28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  <c r="W1481" s="7">
        <v>23.5</v>
      </c>
      <c r="X1481" s="7">
        <v>31</v>
      </c>
      <c r="Y1481" s="7">
        <v>27.1</v>
      </c>
      <c r="Z1481" s="7">
        <v>28.7</v>
      </c>
      <c r="AA1481" s="7">
        <v>26.2</v>
      </c>
      <c r="AB1481" s="7">
        <v>23.5</v>
      </c>
    </row>
    <row r="1482" spans="2:28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</row>
    <row r="1483" spans="2:28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</row>
    <row r="1484" spans="2:28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  <c r="W1484" s="7">
        <v>168.2</v>
      </c>
      <c r="X1484" s="7">
        <v>148.80000000000001</v>
      </c>
      <c r="Y1484" s="7">
        <v>168.5</v>
      </c>
      <c r="Z1484" s="7">
        <v>231.6</v>
      </c>
      <c r="AA1484" s="7">
        <v>230.7</v>
      </c>
      <c r="AB1484" s="7">
        <v>166.8</v>
      </c>
    </row>
    <row r="1485" spans="2:28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  <c r="W1485" s="7">
        <v>67.099999999999994</v>
      </c>
      <c r="X1485" s="7">
        <v>61.7</v>
      </c>
      <c r="Y1485" s="7">
        <v>55.4</v>
      </c>
      <c r="Z1485" s="7">
        <v>50.8</v>
      </c>
      <c r="AA1485" s="7">
        <v>46.2</v>
      </c>
      <c r="AB1485" s="7">
        <v>45.7</v>
      </c>
    </row>
    <row r="1486" spans="2:28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  <c r="W1486" s="7">
        <v>282.3</v>
      </c>
      <c r="X1486" s="7">
        <v>293.2</v>
      </c>
      <c r="Y1486" s="7">
        <v>434.4</v>
      </c>
      <c r="Z1486" s="7">
        <v>572.4</v>
      </c>
      <c r="AA1486" s="7">
        <v>581.1</v>
      </c>
      <c r="AB1486" s="7">
        <v>438.5</v>
      </c>
    </row>
    <row r="1487" spans="2:28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</row>
    <row r="1488" spans="2:28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  <c r="W1488" s="7">
        <v>88.7</v>
      </c>
      <c r="X1488" s="7">
        <v>103.1</v>
      </c>
      <c r="Y1488" s="7">
        <v>81.599999999999994</v>
      </c>
      <c r="Z1488" s="7">
        <v>84.8</v>
      </c>
      <c r="AA1488" s="7">
        <v>77.099999999999994</v>
      </c>
      <c r="AB1488" s="7">
        <v>70.5</v>
      </c>
    </row>
    <row r="1489" spans="2:28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</row>
    <row r="1490" spans="2:28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</row>
    <row r="1491" spans="2:28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  <c r="W1491" s="7">
        <v>197.2</v>
      </c>
      <c r="X1491" s="7">
        <v>0</v>
      </c>
      <c r="Y1491" s="7">
        <v>517.70000000000005</v>
      </c>
      <c r="Z1491" s="7">
        <v>214.8</v>
      </c>
      <c r="AA1491" s="7">
        <v>768</v>
      </c>
      <c r="AB1491" s="7">
        <v>305.8</v>
      </c>
    </row>
    <row r="1492" spans="2:28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</row>
    <row r="1493" spans="2:28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</row>
    <row r="1494" spans="2:28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</row>
    <row r="1495" spans="2:28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</row>
    <row r="1496" spans="2:28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  <c r="W1496" s="7">
        <v>0</v>
      </c>
      <c r="X1496" s="7">
        <v>0</v>
      </c>
      <c r="Y1496" s="7">
        <v>22.9</v>
      </c>
      <c r="Z1496" s="7">
        <v>39.5</v>
      </c>
      <c r="AA1496" s="7">
        <v>36.299999999999997</v>
      </c>
      <c r="AB1496" s="7">
        <v>39.799999999999997</v>
      </c>
    </row>
    <row r="1497" spans="2:28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</row>
    <row r="1498" spans="2:28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</row>
    <row r="1499" spans="2:28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</row>
    <row r="1500" spans="2:28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22.7</v>
      </c>
      <c r="AA1500" s="7">
        <v>100.2</v>
      </c>
      <c r="AB1500" s="7">
        <v>109.9</v>
      </c>
    </row>
    <row r="1501" spans="2:28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</row>
    <row r="1502" spans="2:28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</row>
    <row r="1503" spans="2:28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</row>
    <row r="1504" spans="2:28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  <c r="W1504" s="7">
        <v>14.2</v>
      </c>
      <c r="X1504" s="7">
        <v>11.2</v>
      </c>
      <c r="Y1504" s="7">
        <v>13.1</v>
      </c>
      <c r="Z1504" s="7">
        <v>10.7</v>
      </c>
      <c r="AA1504" s="7">
        <v>22.3</v>
      </c>
      <c r="AB1504" s="7">
        <v>67.400000000000006</v>
      </c>
    </row>
    <row r="1505" spans="2:28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35.9</v>
      </c>
      <c r="AB1505" s="7">
        <v>74.900000000000006</v>
      </c>
    </row>
    <row r="1506" spans="2:28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</row>
    <row r="1507" spans="2:28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</row>
    <row r="1508" spans="2:28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  <c r="W1508" s="7">
        <v>12.9</v>
      </c>
      <c r="X1508" s="7">
        <v>8.4</v>
      </c>
      <c r="Y1508" s="7">
        <v>6</v>
      </c>
      <c r="Z1508" s="7">
        <v>15.4</v>
      </c>
      <c r="AA1508" s="7">
        <v>32.700000000000003</v>
      </c>
      <c r="AB1508" s="7">
        <v>16.399999999999999</v>
      </c>
    </row>
    <row r="1509" spans="2:28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</row>
    <row r="1510" spans="2:28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</row>
    <row r="1511" spans="2:28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  <c r="W1511" s="7">
        <v>92.8</v>
      </c>
      <c r="X1511" s="7">
        <v>81.400000000000006</v>
      </c>
      <c r="Y1511" s="7">
        <v>73.099999999999994</v>
      </c>
      <c r="Z1511" s="7">
        <v>69.099999999999994</v>
      </c>
      <c r="AA1511" s="7">
        <v>57.5</v>
      </c>
      <c r="AB1511" s="7">
        <v>55.7</v>
      </c>
    </row>
    <row r="1512" spans="2:28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</row>
    <row r="1513" spans="2:28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</row>
    <row r="1514" spans="2:28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  <c r="W1514" s="7">
        <v>49.5</v>
      </c>
      <c r="X1514" s="7">
        <v>41.7</v>
      </c>
      <c r="Y1514" s="7">
        <v>21.1</v>
      </c>
      <c r="Z1514" s="7">
        <v>24.9</v>
      </c>
      <c r="AA1514" s="7">
        <v>18.899999999999999</v>
      </c>
      <c r="AB1514" s="7">
        <v>14.3</v>
      </c>
    </row>
    <row r="1515" spans="2:28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  <c r="W1515" s="7">
        <v>69.599999999999994</v>
      </c>
      <c r="X1515" s="7">
        <v>69.2</v>
      </c>
      <c r="Y1515" s="7">
        <v>60.3</v>
      </c>
      <c r="Z1515" s="7">
        <v>54.6</v>
      </c>
      <c r="AA1515" s="7">
        <v>56.1</v>
      </c>
      <c r="AB1515" s="7">
        <v>56.8</v>
      </c>
    </row>
    <row r="1516" spans="2:28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</row>
    <row r="1517" spans="2:28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</row>
    <row r="1518" spans="2:28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  <c r="W1518" s="7">
        <v>134</v>
      </c>
      <c r="X1518" s="7">
        <v>223.2</v>
      </c>
      <c r="Y1518" s="7">
        <v>232.2</v>
      </c>
      <c r="Z1518" s="7">
        <v>313.2</v>
      </c>
      <c r="AA1518" s="7">
        <v>255.5</v>
      </c>
      <c r="AB1518" s="7">
        <v>222.3</v>
      </c>
    </row>
    <row r="1519" spans="2:28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  <c r="W1519" s="7">
        <v>78.8</v>
      </c>
      <c r="X1519" s="7">
        <v>84.7</v>
      </c>
      <c r="Y1519" s="7">
        <v>91</v>
      </c>
      <c r="Z1519" s="7">
        <v>214.6</v>
      </c>
      <c r="AA1519" s="7">
        <v>305</v>
      </c>
      <c r="AB1519" s="7">
        <v>244</v>
      </c>
    </row>
    <row r="1520" spans="2:28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  <c r="W1520" s="7">
        <v>156.80000000000001</v>
      </c>
      <c r="X1520" s="7">
        <v>184.6</v>
      </c>
      <c r="Y1520" s="7">
        <v>164.3</v>
      </c>
      <c r="Z1520" s="7">
        <v>151.5</v>
      </c>
      <c r="AA1520" s="7">
        <v>169</v>
      </c>
      <c r="AB1520" s="7">
        <v>139.4</v>
      </c>
    </row>
    <row r="1521" spans="2:28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  <c r="W1521" s="7">
        <v>315.7</v>
      </c>
      <c r="X1521" s="7">
        <v>283</v>
      </c>
      <c r="Y1521" s="7">
        <v>302</v>
      </c>
      <c r="Z1521" s="7">
        <v>267.5</v>
      </c>
      <c r="AA1521" s="7">
        <v>211</v>
      </c>
      <c r="AB1521" s="7">
        <v>182.4</v>
      </c>
    </row>
    <row r="1522" spans="2:28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  <c r="W1522" s="7">
        <v>396.6</v>
      </c>
      <c r="X1522" s="7">
        <v>384.5</v>
      </c>
      <c r="Y1522" s="7">
        <v>383.1</v>
      </c>
      <c r="Z1522" s="7">
        <v>494.3</v>
      </c>
      <c r="AA1522" s="7">
        <v>479.4</v>
      </c>
      <c r="AB1522" s="7">
        <v>428.4</v>
      </c>
    </row>
    <row r="1523" spans="2:28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  <c r="W1523" s="7">
        <v>221.6</v>
      </c>
      <c r="X1523" s="7">
        <v>205.4</v>
      </c>
      <c r="Y1523" s="7">
        <v>197.5</v>
      </c>
      <c r="Z1523" s="7">
        <v>207.9</v>
      </c>
      <c r="AA1523" s="7">
        <v>199</v>
      </c>
      <c r="AB1523" s="7">
        <v>193</v>
      </c>
    </row>
    <row r="1524" spans="2:28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  <c r="W1524" s="7">
        <v>333.3</v>
      </c>
      <c r="X1524" s="7">
        <v>249.5</v>
      </c>
      <c r="Y1524" s="7">
        <v>313.39999999999998</v>
      </c>
      <c r="Z1524" s="7">
        <v>241.6</v>
      </c>
      <c r="AA1524" s="7">
        <v>317.10000000000002</v>
      </c>
      <c r="AB1524" s="7">
        <v>272</v>
      </c>
    </row>
    <row r="1525" spans="2:28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</row>
    <row r="1526" spans="2:28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</row>
    <row r="1527" spans="2:28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</row>
    <row r="1528" spans="2:28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</row>
    <row r="1529" spans="2:28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</row>
    <row r="1530" spans="2:28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</row>
    <row r="1531" spans="2:28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</row>
    <row r="1532" spans="2:28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188.6</v>
      </c>
    </row>
    <row r="1533" spans="2:28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</row>
    <row r="1534" spans="2:28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  <c r="W1534" s="7">
        <v>74.3</v>
      </c>
      <c r="X1534" s="7">
        <v>69.5</v>
      </c>
      <c r="Y1534" s="7">
        <v>36.9</v>
      </c>
      <c r="Z1534" s="7">
        <v>356.2</v>
      </c>
      <c r="AA1534" s="7">
        <v>443.4</v>
      </c>
      <c r="AB1534" s="7">
        <v>425.5</v>
      </c>
    </row>
    <row r="1535" spans="2:28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</row>
    <row r="1536" spans="2:28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</row>
    <row r="1537" spans="2:28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</row>
    <row r="1538" spans="2:28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  <c r="W1538" s="7">
        <v>244.7</v>
      </c>
      <c r="X1538" s="7">
        <v>244</v>
      </c>
      <c r="Y1538" s="7">
        <v>253.2</v>
      </c>
      <c r="Z1538" s="7">
        <v>268.2</v>
      </c>
      <c r="AA1538" s="7">
        <v>247.3</v>
      </c>
      <c r="AB1538" s="7">
        <v>262.39999999999998</v>
      </c>
    </row>
    <row r="1539" spans="2:28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</row>
    <row r="1540" spans="2:28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  <c r="W1540" s="7">
        <v>3.8</v>
      </c>
      <c r="X1540" s="7">
        <v>0</v>
      </c>
      <c r="Y1540" s="7">
        <v>63.3</v>
      </c>
      <c r="Z1540" s="7">
        <v>33.6</v>
      </c>
      <c r="AA1540" s="7">
        <v>63.2</v>
      </c>
      <c r="AB1540" s="7">
        <v>62</v>
      </c>
    </row>
    <row r="1541" spans="2:28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</row>
    <row r="1542" spans="2:28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  <c r="W1542" s="7">
        <v>66.5</v>
      </c>
      <c r="X1542" s="7">
        <v>55.7</v>
      </c>
      <c r="Y1542" s="7">
        <v>60.2</v>
      </c>
      <c r="Z1542" s="7">
        <v>67.400000000000006</v>
      </c>
      <c r="AA1542" s="7">
        <v>62.8</v>
      </c>
      <c r="AB1542" s="7">
        <v>62.7</v>
      </c>
    </row>
    <row r="1543" spans="2:28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</row>
    <row r="1544" spans="2:28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</row>
    <row r="1545" spans="2:28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  <c r="W1545" s="7">
        <v>24.3</v>
      </c>
      <c r="X1545" s="7">
        <v>0</v>
      </c>
      <c r="Y1545" s="7">
        <v>5.2</v>
      </c>
      <c r="Z1545" s="7">
        <v>163.4</v>
      </c>
      <c r="AA1545" s="7">
        <v>148.5</v>
      </c>
      <c r="AB1545" s="7">
        <v>99.4</v>
      </c>
    </row>
    <row r="1546" spans="2:28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</row>
    <row r="1547" spans="2:28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</row>
    <row r="1548" spans="2:28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  <c r="W1548" s="7">
        <v>42.3</v>
      </c>
      <c r="X1548" s="7">
        <v>0</v>
      </c>
      <c r="Y1548" s="7">
        <v>0</v>
      </c>
      <c r="Z1548" s="7">
        <v>205.1</v>
      </c>
      <c r="AA1548" s="7">
        <v>183.4</v>
      </c>
      <c r="AB1548" s="7">
        <v>188.6</v>
      </c>
    </row>
    <row r="1549" spans="2:28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</row>
    <row r="1550" spans="2:28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</row>
    <row r="1551" spans="2:28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</row>
    <row r="1552" spans="2:28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</row>
    <row r="1553" spans="2:28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</row>
    <row r="1554" spans="2:28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  <c r="W1554" s="7">
        <v>89.5</v>
      </c>
      <c r="X1554" s="7">
        <v>102.1</v>
      </c>
      <c r="Y1554" s="7">
        <v>140</v>
      </c>
      <c r="Z1554" s="7">
        <v>164.4</v>
      </c>
      <c r="AA1554" s="7">
        <v>153.5</v>
      </c>
      <c r="AB1554" s="7">
        <v>177.9</v>
      </c>
    </row>
    <row r="1555" spans="2:28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</row>
    <row r="1556" spans="2:28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  <c r="W1556" s="7">
        <v>220.2</v>
      </c>
      <c r="X1556" s="7">
        <v>168.4</v>
      </c>
      <c r="Y1556" s="7">
        <v>228.5</v>
      </c>
      <c r="Z1556" s="7">
        <v>285.60000000000002</v>
      </c>
      <c r="AA1556" s="7">
        <v>361</v>
      </c>
      <c r="AB1556" s="7">
        <v>363.2</v>
      </c>
    </row>
    <row r="1557" spans="2:28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  <c r="W1557" s="7">
        <v>162.80000000000001</v>
      </c>
      <c r="X1557" s="7">
        <v>107.5</v>
      </c>
      <c r="Y1557" s="7">
        <v>220</v>
      </c>
      <c r="Z1557" s="7">
        <v>196.2</v>
      </c>
      <c r="AA1557" s="7">
        <v>256.8</v>
      </c>
      <c r="AB1557" s="7">
        <v>280</v>
      </c>
    </row>
    <row r="1558" spans="2:28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  <c r="W1558" s="7">
        <v>67.2</v>
      </c>
      <c r="X1558" s="7">
        <v>69.099999999999994</v>
      </c>
      <c r="Y1558" s="7">
        <v>78.599999999999994</v>
      </c>
      <c r="Z1558" s="7">
        <v>79.599999999999994</v>
      </c>
      <c r="AA1558" s="7">
        <v>85.3</v>
      </c>
      <c r="AB1558" s="7">
        <v>79.3</v>
      </c>
    </row>
    <row r="1559" spans="2:28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  <c r="W1559" s="7">
        <v>65.599999999999994</v>
      </c>
      <c r="X1559" s="7">
        <v>70.3</v>
      </c>
      <c r="Y1559" s="7">
        <v>73.3</v>
      </c>
      <c r="Z1559" s="7">
        <v>81.099999999999994</v>
      </c>
      <c r="AA1559" s="7">
        <v>65.400000000000006</v>
      </c>
      <c r="AB1559" s="7">
        <v>64.2</v>
      </c>
    </row>
    <row r="1560" spans="2:28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  <c r="W1560" s="7">
        <v>144.80000000000001</v>
      </c>
      <c r="X1560" s="7">
        <v>151.4</v>
      </c>
      <c r="Y1560" s="7">
        <v>133.9</v>
      </c>
      <c r="Z1560" s="7">
        <v>139</v>
      </c>
      <c r="AA1560" s="7">
        <v>135.80000000000001</v>
      </c>
      <c r="AB1560" s="7">
        <v>118.9</v>
      </c>
    </row>
    <row r="1561" spans="2:28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  <c r="W1561" s="7">
        <v>6.7</v>
      </c>
      <c r="X1561" s="7">
        <v>11.2</v>
      </c>
      <c r="Y1561" s="7">
        <v>0</v>
      </c>
      <c r="Z1561" s="7">
        <v>0</v>
      </c>
      <c r="AA1561" s="7">
        <v>0</v>
      </c>
      <c r="AB1561" s="7">
        <v>0</v>
      </c>
    </row>
    <row r="1562" spans="2:28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  <c r="W1562" s="7">
        <v>63</v>
      </c>
      <c r="X1562" s="7">
        <v>50.4</v>
      </c>
      <c r="Y1562" s="7">
        <v>47</v>
      </c>
      <c r="Z1562" s="7">
        <v>59.4</v>
      </c>
      <c r="AA1562" s="7">
        <v>42.3</v>
      </c>
      <c r="AB1562" s="7">
        <v>34.200000000000003</v>
      </c>
    </row>
    <row r="1563" spans="2:28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  <c r="W1563" s="7">
        <v>81.400000000000006</v>
      </c>
      <c r="X1563" s="7">
        <v>80.2</v>
      </c>
      <c r="Y1563" s="7">
        <v>126.2</v>
      </c>
      <c r="Z1563" s="7">
        <v>123.4</v>
      </c>
      <c r="AA1563" s="7">
        <v>101.3</v>
      </c>
      <c r="AB1563" s="7">
        <v>51.7</v>
      </c>
    </row>
    <row r="1564" spans="2:28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  <c r="W1564" s="7">
        <v>14.5</v>
      </c>
      <c r="X1564" s="7">
        <v>12.9</v>
      </c>
      <c r="Y1564" s="7">
        <v>17.7</v>
      </c>
      <c r="Z1564" s="7">
        <v>16.899999999999999</v>
      </c>
      <c r="AA1564" s="7">
        <v>14.3</v>
      </c>
      <c r="AB1564" s="7">
        <v>16.2</v>
      </c>
    </row>
    <row r="1565" spans="2:28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42.1</v>
      </c>
    </row>
    <row r="1566" spans="2:28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  <c r="W1566" s="7">
        <v>49</v>
      </c>
      <c r="X1566" s="7">
        <v>71.8</v>
      </c>
      <c r="Y1566" s="7">
        <v>63.7</v>
      </c>
      <c r="Z1566" s="7">
        <v>40.5</v>
      </c>
      <c r="AA1566" s="7">
        <v>101.3</v>
      </c>
      <c r="AB1566" s="7">
        <v>118.3</v>
      </c>
    </row>
    <row r="1567" spans="2:28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</row>
    <row r="1568" spans="2:28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  <c r="W1568" s="7">
        <v>18.5</v>
      </c>
      <c r="X1568" s="7">
        <v>12.8</v>
      </c>
      <c r="Y1568" s="7">
        <v>11</v>
      </c>
      <c r="Z1568" s="7">
        <v>9.4</v>
      </c>
      <c r="AA1568" s="7">
        <v>7.2</v>
      </c>
      <c r="AB1568" s="7">
        <v>9.8000000000000007</v>
      </c>
    </row>
    <row r="1569" spans="2:28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</row>
    <row r="1570" spans="2:28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</row>
    <row r="1571" spans="2:28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</row>
    <row r="1572" spans="2:28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  <c r="W1572" s="7">
        <v>130.19999999999999</v>
      </c>
      <c r="X1572" s="7">
        <v>124.5</v>
      </c>
      <c r="Y1572" s="7">
        <v>138.4</v>
      </c>
      <c r="Z1572" s="7">
        <v>155.80000000000001</v>
      </c>
      <c r="AA1572" s="7">
        <v>182</v>
      </c>
      <c r="AB1572" s="7">
        <v>188.7</v>
      </c>
    </row>
    <row r="1573" spans="2:28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  <c r="W1573" s="7">
        <v>31.9</v>
      </c>
      <c r="X1573" s="7">
        <v>57.1</v>
      </c>
      <c r="Y1573" s="7">
        <v>140</v>
      </c>
      <c r="Z1573" s="7">
        <v>120.1</v>
      </c>
      <c r="AA1573" s="7">
        <v>112.6</v>
      </c>
      <c r="AB1573" s="7">
        <v>87</v>
      </c>
    </row>
    <row r="1574" spans="2:28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  <c r="W1574" s="7">
        <v>18.100000000000001</v>
      </c>
      <c r="X1574" s="7">
        <v>17.2</v>
      </c>
      <c r="Y1574" s="7">
        <v>20.3</v>
      </c>
      <c r="Z1574" s="7">
        <v>21.6</v>
      </c>
      <c r="AA1574" s="7">
        <v>20.2</v>
      </c>
      <c r="AB1574" s="7">
        <v>18.2</v>
      </c>
    </row>
    <row r="1575" spans="2:28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</row>
    <row r="1576" spans="2:28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  <c r="W1576" s="7">
        <v>261.3</v>
      </c>
      <c r="X1576" s="7">
        <v>292</v>
      </c>
      <c r="Y1576" s="7">
        <v>336.6</v>
      </c>
      <c r="Z1576" s="7">
        <v>373</v>
      </c>
      <c r="AA1576" s="7">
        <v>359.3</v>
      </c>
      <c r="AB1576" s="7">
        <v>374.1</v>
      </c>
    </row>
    <row r="1577" spans="2:28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  <c r="W1577" s="7">
        <v>110.2</v>
      </c>
      <c r="X1577" s="7">
        <v>99.3</v>
      </c>
      <c r="Y1577" s="7">
        <v>161.30000000000001</v>
      </c>
      <c r="Z1577" s="7">
        <v>89.4</v>
      </c>
      <c r="AA1577" s="7">
        <v>82.3</v>
      </c>
      <c r="AB1577" s="7">
        <v>101.1</v>
      </c>
    </row>
    <row r="1578" spans="2:28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  <c r="W1578" s="7">
        <v>35.5</v>
      </c>
      <c r="X1578" s="7">
        <v>43.1</v>
      </c>
      <c r="Y1578" s="7">
        <v>42.3</v>
      </c>
      <c r="Z1578" s="7">
        <v>41.7</v>
      </c>
      <c r="AA1578" s="7">
        <v>47.2</v>
      </c>
      <c r="AB1578" s="7">
        <v>41</v>
      </c>
    </row>
    <row r="1579" spans="2:28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  <c r="W1579" s="7">
        <v>16.3</v>
      </c>
      <c r="X1579" s="7">
        <v>16.2</v>
      </c>
      <c r="Y1579" s="7">
        <v>5.4</v>
      </c>
      <c r="Z1579" s="7">
        <v>3.4</v>
      </c>
      <c r="AA1579" s="7">
        <v>3.7</v>
      </c>
      <c r="AB1579" s="7">
        <v>0</v>
      </c>
    </row>
    <row r="1580" spans="2:28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  <c r="W1580" s="7">
        <v>4.3</v>
      </c>
      <c r="X1580" s="7">
        <v>6</v>
      </c>
      <c r="Y1580" s="7">
        <v>5.4</v>
      </c>
      <c r="Z1580" s="7">
        <v>2.1</v>
      </c>
      <c r="AA1580" s="7">
        <v>1.2</v>
      </c>
      <c r="AB1580" s="7">
        <v>1.7</v>
      </c>
    </row>
    <row r="1581" spans="2:28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</row>
    <row r="1582" spans="2:28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  <c r="W1582" s="7">
        <v>53.4</v>
      </c>
      <c r="X1582" s="7">
        <v>54.7</v>
      </c>
      <c r="Y1582" s="7">
        <v>46.8</v>
      </c>
      <c r="Z1582" s="7">
        <v>49.2</v>
      </c>
      <c r="AA1582" s="7">
        <v>37.9</v>
      </c>
      <c r="AB1582" s="7">
        <v>31.1</v>
      </c>
    </row>
    <row r="1583" spans="2:28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  <c r="W1583" s="7">
        <v>112.8</v>
      </c>
      <c r="X1583" s="7">
        <v>103.3</v>
      </c>
      <c r="Y1583" s="7">
        <v>98.7</v>
      </c>
      <c r="Z1583" s="7">
        <v>96.8</v>
      </c>
      <c r="AA1583" s="7">
        <v>99.6</v>
      </c>
      <c r="AB1583" s="7">
        <v>75.8</v>
      </c>
    </row>
    <row r="1584" spans="2:28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</row>
    <row r="1585" spans="2:28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</row>
    <row r="1586" spans="2:28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</row>
    <row r="1587" spans="2:28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</row>
    <row r="1588" spans="2:28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  <c r="W1588" s="7">
        <v>46.7</v>
      </c>
      <c r="X1588" s="7">
        <v>14.7</v>
      </c>
      <c r="Y1588" s="7">
        <v>11.1</v>
      </c>
      <c r="Z1588" s="7">
        <v>115.7</v>
      </c>
      <c r="AA1588" s="7">
        <v>54.5</v>
      </c>
      <c r="AB1588" s="7">
        <v>10.5</v>
      </c>
    </row>
    <row r="1589" spans="2:28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  <c r="W1589" s="7">
        <v>63.5</v>
      </c>
      <c r="X1589" s="7">
        <v>55</v>
      </c>
      <c r="Y1589" s="7">
        <v>62.2</v>
      </c>
      <c r="Z1589" s="7">
        <v>66.8</v>
      </c>
      <c r="AA1589" s="7">
        <v>70.5</v>
      </c>
      <c r="AB1589" s="7">
        <v>57.6</v>
      </c>
    </row>
    <row r="1590" spans="2:28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  <c r="W1590" s="7">
        <v>10.3</v>
      </c>
      <c r="X1590" s="7">
        <v>6.7</v>
      </c>
      <c r="Y1590" s="7">
        <v>34.1</v>
      </c>
      <c r="Z1590" s="7">
        <v>109.9</v>
      </c>
      <c r="AA1590" s="7">
        <v>81.599999999999994</v>
      </c>
      <c r="AB1590" s="7">
        <v>4.5</v>
      </c>
    </row>
    <row r="1591" spans="2:28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  <c r="W1591" s="7">
        <v>172.4</v>
      </c>
      <c r="X1591" s="7">
        <v>218.2</v>
      </c>
      <c r="Y1591" s="7">
        <v>182.6</v>
      </c>
      <c r="Z1591" s="7">
        <v>137.9</v>
      </c>
      <c r="AA1591" s="7">
        <v>183.4</v>
      </c>
      <c r="AB1591" s="7">
        <v>125</v>
      </c>
    </row>
    <row r="1592" spans="2:28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  <c r="W1592" s="7">
        <v>12.5</v>
      </c>
      <c r="X1592" s="7">
        <v>17.5</v>
      </c>
      <c r="Y1592" s="7">
        <v>10.8</v>
      </c>
      <c r="Z1592" s="7">
        <v>16.2</v>
      </c>
      <c r="AA1592" s="7">
        <v>19.8</v>
      </c>
      <c r="AB1592" s="7">
        <v>19.399999999999999</v>
      </c>
    </row>
    <row r="1593" spans="2:28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</row>
    <row r="1594" spans="2:28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</row>
    <row r="1595" spans="2:28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</row>
    <row r="1596" spans="2:28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</row>
    <row r="1597" spans="2:28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</row>
    <row r="1598" spans="2:28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  <c r="W1598" s="7">
        <v>40.200000000000003</v>
      </c>
      <c r="X1598" s="7">
        <v>39.799999999999997</v>
      </c>
      <c r="Y1598" s="7">
        <v>39.6</v>
      </c>
      <c r="Z1598" s="7">
        <v>39.5</v>
      </c>
      <c r="AA1598" s="7">
        <v>32.4</v>
      </c>
      <c r="AB1598" s="7">
        <v>37.6</v>
      </c>
    </row>
    <row r="1599" spans="2:28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</row>
    <row r="1600" spans="2:28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  <c r="W1600" s="7">
        <v>95.3</v>
      </c>
      <c r="X1600" s="7">
        <v>528.20000000000005</v>
      </c>
      <c r="Y1600" s="7">
        <v>794.9</v>
      </c>
      <c r="Z1600" s="7">
        <v>558.79999999999995</v>
      </c>
      <c r="AA1600" s="7">
        <v>762.7</v>
      </c>
      <c r="AB1600" s="7">
        <v>120.7</v>
      </c>
    </row>
    <row r="1601" spans="2:28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  <c r="W1601" s="7">
        <v>110.8</v>
      </c>
      <c r="X1601" s="7">
        <v>126.3</v>
      </c>
      <c r="Y1601" s="7">
        <v>113.3</v>
      </c>
      <c r="Z1601" s="7">
        <v>105.7</v>
      </c>
      <c r="AA1601" s="7">
        <v>113.7</v>
      </c>
      <c r="AB1601" s="7">
        <v>117.2</v>
      </c>
    </row>
    <row r="1602" spans="2:28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</row>
    <row r="1603" spans="2:28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</row>
    <row r="1604" spans="2:28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</row>
    <row r="1605" spans="2:28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</row>
    <row r="1606" spans="2:28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</row>
    <row r="1607" spans="2:28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</row>
    <row r="1608" spans="2:28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  <c r="W1608" s="7">
        <v>40.9</v>
      </c>
      <c r="X1608" s="7">
        <v>44.1</v>
      </c>
      <c r="Y1608" s="7">
        <v>37.9</v>
      </c>
      <c r="Z1608" s="7">
        <v>35.799999999999997</v>
      </c>
      <c r="AA1608" s="7">
        <v>37.5</v>
      </c>
      <c r="AB1608" s="7">
        <v>60.4</v>
      </c>
    </row>
    <row r="1609" spans="2:28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</row>
    <row r="1610" spans="2:28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</row>
    <row r="1611" spans="2:28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</row>
    <row r="1612" spans="2:28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</row>
    <row r="1613" spans="2:28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  <c r="W1613" s="7">
        <v>1.7</v>
      </c>
      <c r="X1613" s="7">
        <v>0</v>
      </c>
      <c r="Y1613" s="7">
        <v>7.6</v>
      </c>
      <c r="Z1613" s="7">
        <v>11.9</v>
      </c>
      <c r="AA1613" s="7">
        <v>32</v>
      </c>
      <c r="AB1613" s="7">
        <v>41.2</v>
      </c>
    </row>
    <row r="1614" spans="2:28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</row>
    <row r="1615" spans="2:28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  <c r="W1615" s="7">
        <v>554.79999999999995</v>
      </c>
      <c r="X1615" s="7">
        <v>1231.3</v>
      </c>
      <c r="Y1615" s="7">
        <v>833.2</v>
      </c>
      <c r="Z1615" s="7">
        <v>1199</v>
      </c>
      <c r="AA1615" s="7">
        <v>968.1</v>
      </c>
      <c r="AB1615" s="7">
        <v>1701.3</v>
      </c>
    </row>
    <row r="1616" spans="2:28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  <c r="W1616" s="7">
        <v>107.4</v>
      </c>
      <c r="X1616" s="7">
        <v>103.5</v>
      </c>
      <c r="Y1616" s="7">
        <v>124.2</v>
      </c>
      <c r="Z1616" s="7">
        <v>147.19999999999999</v>
      </c>
      <c r="AA1616" s="7">
        <v>126.4</v>
      </c>
      <c r="AB1616" s="7">
        <v>113.1</v>
      </c>
    </row>
    <row r="1617" spans="2:28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  <c r="W1617" s="7">
        <v>23.5</v>
      </c>
      <c r="X1617" s="7">
        <v>31</v>
      </c>
      <c r="Y1617" s="7">
        <v>48.1</v>
      </c>
      <c r="Z1617" s="7">
        <v>43.8</v>
      </c>
      <c r="AA1617" s="7">
        <v>28.1</v>
      </c>
      <c r="AB1617" s="7">
        <v>18.100000000000001</v>
      </c>
    </row>
    <row r="1618" spans="2:28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</row>
    <row r="1619" spans="2:28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</row>
    <row r="1620" spans="2:28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</row>
    <row r="1621" spans="2:28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</row>
    <row r="1622" spans="2:28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</row>
    <row r="1623" spans="2:28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</row>
    <row r="1624" spans="2:28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  <c r="W1624" s="7">
        <v>73.099999999999994</v>
      </c>
      <c r="X1624" s="7">
        <v>70</v>
      </c>
      <c r="Y1624" s="7">
        <v>86.7</v>
      </c>
      <c r="Z1624" s="7">
        <v>80.3</v>
      </c>
      <c r="AA1624" s="7">
        <v>16.399999999999999</v>
      </c>
      <c r="AB1624" s="7">
        <v>9.8000000000000007</v>
      </c>
    </row>
    <row r="1625" spans="2:28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</row>
    <row r="1626" spans="2:28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</row>
    <row r="1627" spans="2:28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</row>
    <row r="1628" spans="2:28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  <c r="W1628" s="7">
        <v>74.2</v>
      </c>
      <c r="X1628" s="7">
        <v>75.8</v>
      </c>
      <c r="Y1628" s="7">
        <v>74.8</v>
      </c>
      <c r="Z1628" s="7">
        <v>68.3</v>
      </c>
      <c r="AA1628" s="7">
        <v>75</v>
      </c>
      <c r="AB1628" s="7">
        <v>84.4</v>
      </c>
    </row>
    <row r="1629" spans="2:28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  <c r="W1629" s="7">
        <v>31.3</v>
      </c>
      <c r="X1629" s="7">
        <v>44.4</v>
      </c>
      <c r="Y1629" s="7">
        <v>24.6</v>
      </c>
      <c r="Z1629" s="7">
        <v>7.1</v>
      </c>
      <c r="AA1629" s="7">
        <v>2.1</v>
      </c>
      <c r="AB1629" s="7">
        <v>3.2</v>
      </c>
    </row>
    <row r="1630" spans="2:28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  <c r="W1630" s="7">
        <v>165</v>
      </c>
      <c r="X1630" s="7">
        <v>39.799999999999997</v>
      </c>
      <c r="Y1630" s="7">
        <v>137.30000000000001</v>
      </c>
      <c r="Z1630" s="7">
        <v>172.8</v>
      </c>
      <c r="AA1630" s="7">
        <v>177.5</v>
      </c>
      <c r="AB1630" s="7">
        <v>169.9</v>
      </c>
    </row>
    <row r="1631" spans="2:28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  <c r="W1631" s="7">
        <v>50.9</v>
      </c>
      <c r="X1631" s="7">
        <v>44.2</v>
      </c>
      <c r="Y1631" s="7">
        <v>72.8</v>
      </c>
      <c r="Z1631" s="7">
        <v>108.6</v>
      </c>
      <c r="AA1631" s="7">
        <v>51.8</v>
      </c>
      <c r="AB1631" s="7">
        <v>51.4</v>
      </c>
    </row>
    <row r="1632" spans="2:28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</row>
    <row r="1633" spans="2:28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</row>
    <row r="1634" spans="2:28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</row>
    <row r="1635" spans="2:28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</row>
    <row r="1636" spans="2:28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</row>
    <row r="1637" spans="2:28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  <c r="W1637" s="7">
        <v>27.6</v>
      </c>
      <c r="X1637" s="7">
        <v>18.7</v>
      </c>
      <c r="Y1637" s="7">
        <v>30.2</v>
      </c>
      <c r="Z1637" s="7">
        <v>27.8</v>
      </c>
      <c r="AA1637" s="7">
        <v>29.6</v>
      </c>
      <c r="AB1637" s="7">
        <v>49.1</v>
      </c>
    </row>
    <row r="1638" spans="2:28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</row>
    <row r="1639" spans="2:28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</row>
    <row r="1640" spans="2:28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</row>
    <row r="1641" spans="2:28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  <c r="W1641" s="7">
        <v>35.299999999999997</v>
      </c>
      <c r="X1641" s="7">
        <v>36</v>
      </c>
      <c r="Y1641" s="7">
        <v>42.1</v>
      </c>
      <c r="Z1641" s="7">
        <v>54.8</v>
      </c>
      <c r="AA1641" s="7">
        <v>58</v>
      </c>
      <c r="AB1641" s="7">
        <v>55.3</v>
      </c>
    </row>
    <row r="1642" spans="2:28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</row>
    <row r="1643" spans="2:28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  <c r="W1643" s="7">
        <v>6</v>
      </c>
      <c r="X1643" s="7">
        <v>6.1</v>
      </c>
      <c r="Y1643" s="7">
        <v>18.399999999999999</v>
      </c>
      <c r="Z1643" s="7">
        <v>21.1</v>
      </c>
      <c r="AA1643" s="7">
        <v>18.8</v>
      </c>
      <c r="AB1643" s="7">
        <v>19.5</v>
      </c>
    </row>
    <row r="1644" spans="2:28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</row>
    <row r="1645" spans="2:28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</row>
    <row r="1646" spans="2:28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</row>
    <row r="1647" spans="2:28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</row>
    <row r="1648" spans="2:28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  <c r="W1648" s="7">
        <v>39.799999999999997</v>
      </c>
      <c r="X1648" s="7">
        <v>315.89999999999998</v>
      </c>
      <c r="Y1648" s="7">
        <v>180.2</v>
      </c>
      <c r="Z1648" s="7">
        <v>271.39999999999998</v>
      </c>
      <c r="AA1648" s="7">
        <v>851.8</v>
      </c>
      <c r="AB1648" s="7">
        <v>755.2</v>
      </c>
    </row>
    <row r="1649" spans="2:28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</row>
    <row r="1650" spans="2:28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</row>
    <row r="1651" spans="2:28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  <c r="W1651" s="7">
        <v>50.7</v>
      </c>
      <c r="X1651" s="7">
        <v>54</v>
      </c>
      <c r="Y1651" s="7">
        <v>49.6</v>
      </c>
      <c r="Z1651" s="7">
        <v>40.299999999999997</v>
      </c>
      <c r="AA1651" s="7">
        <v>39.799999999999997</v>
      </c>
      <c r="AB1651" s="7">
        <v>31.9</v>
      </c>
    </row>
    <row r="1652" spans="2:28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  <c r="W1652" s="7">
        <v>0</v>
      </c>
      <c r="X1652" s="7">
        <v>0</v>
      </c>
      <c r="Y1652" s="7">
        <v>5.4</v>
      </c>
      <c r="Z1652" s="7">
        <v>11.2</v>
      </c>
      <c r="AA1652" s="7">
        <v>9.5</v>
      </c>
      <c r="AB1652" s="7">
        <v>2</v>
      </c>
    </row>
    <row r="1653" spans="2:28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  <c r="W1653" s="7">
        <v>83.9</v>
      </c>
      <c r="X1653" s="7">
        <v>35.799999999999997</v>
      </c>
      <c r="Y1653" s="7">
        <v>53.1</v>
      </c>
      <c r="Z1653" s="7">
        <v>36.700000000000003</v>
      </c>
      <c r="AA1653" s="7">
        <v>5</v>
      </c>
      <c r="AB1653" s="7">
        <v>0</v>
      </c>
    </row>
    <row r="1654" spans="2:28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  <c r="W1654" s="7">
        <v>14.8</v>
      </c>
      <c r="X1654" s="7">
        <v>19.399999999999999</v>
      </c>
      <c r="Y1654" s="7">
        <v>14.3</v>
      </c>
      <c r="Z1654" s="7">
        <v>0</v>
      </c>
      <c r="AA1654" s="7">
        <v>0</v>
      </c>
      <c r="AB1654" s="7">
        <v>0</v>
      </c>
    </row>
    <row r="1655" spans="2:28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  <c r="W1655" s="7">
        <v>51.6</v>
      </c>
      <c r="X1655" s="7">
        <v>39</v>
      </c>
      <c r="Y1655" s="7">
        <v>44.3</v>
      </c>
      <c r="Z1655" s="7">
        <v>41.4</v>
      </c>
      <c r="AA1655" s="7">
        <v>45.2</v>
      </c>
      <c r="AB1655" s="7">
        <v>32.799999999999997</v>
      </c>
    </row>
    <row r="1656" spans="2:28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</row>
    <row r="1657" spans="2:28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  <c r="W1657" s="7">
        <v>0</v>
      </c>
      <c r="X1657" s="7">
        <v>2</v>
      </c>
      <c r="Y1657" s="7">
        <v>0</v>
      </c>
      <c r="Z1657" s="7">
        <v>9.9</v>
      </c>
      <c r="AA1657" s="7">
        <v>0</v>
      </c>
      <c r="AB1657" s="7">
        <v>0</v>
      </c>
    </row>
    <row r="1658" spans="2:28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  <c r="W1658" s="7">
        <v>54.1</v>
      </c>
      <c r="X1658" s="7">
        <v>54.9</v>
      </c>
      <c r="Y1658" s="7">
        <v>52.7</v>
      </c>
      <c r="Z1658" s="7">
        <v>60.9</v>
      </c>
      <c r="AA1658" s="7">
        <v>40.200000000000003</v>
      </c>
      <c r="AB1658" s="7">
        <v>42.5</v>
      </c>
    </row>
    <row r="1659" spans="2:28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</row>
    <row r="1660" spans="2:28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  <c r="W1660" s="7">
        <v>8.6</v>
      </c>
      <c r="X1660" s="7">
        <v>10.8</v>
      </c>
      <c r="Y1660" s="7">
        <v>14.4</v>
      </c>
      <c r="Z1660" s="7">
        <v>30.5</v>
      </c>
      <c r="AA1660" s="7">
        <v>29</v>
      </c>
      <c r="AB1660" s="7">
        <v>34.6</v>
      </c>
    </row>
    <row r="1661" spans="2:28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  <c r="W1661" s="7">
        <v>90.2</v>
      </c>
      <c r="X1661" s="7">
        <v>96.8</v>
      </c>
      <c r="Y1661" s="7">
        <v>103.3</v>
      </c>
      <c r="Z1661" s="7">
        <v>84.4</v>
      </c>
      <c r="AA1661" s="7">
        <v>83</v>
      </c>
      <c r="AB1661" s="7">
        <v>98.3</v>
      </c>
    </row>
    <row r="1662" spans="2:28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  <c r="W1662" s="7">
        <v>165.3</v>
      </c>
      <c r="X1662" s="7">
        <v>88.9</v>
      </c>
      <c r="Y1662" s="7">
        <v>112.5</v>
      </c>
      <c r="Z1662" s="7">
        <v>67</v>
      </c>
      <c r="AA1662" s="7">
        <v>94.5</v>
      </c>
      <c r="AB1662" s="7">
        <v>87.1</v>
      </c>
    </row>
    <row r="1663" spans="2:28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  <c r="W1663" s="7">
        <v>27.5</v>
      </c>
      <c r="X1663" s="7">
        <v>22.4</v>
      </c>
      <c r="Y1663" s="7">
        <v>17.2</v>
      </c>
      <c r="Z1663" s="7">
        <v>20.9</v>
      </c>
      <c r="AA1663" s="7">
        <v>43.4</v>
      </c>
      <c r="AB1663" s="7">
        <v>57.2</v>
      </c>
    </row>
    <row r="1664" spans="2:28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</row>
    <row r="1665" spans="2:28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35.9</v>
      </c>
    </row>
    <row r="1666" spans="2:28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</row>
    <row r="1667" spans="2:28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  <c r="W1667" s="7">
        <v>67.5</v>
      </c>
      <c r="X1667" s="7">
        <v>103.4</v>
      </c>
      <c r="Y1667" s="7">
        <v>86.2</v>
      </c>
      <c r="Z1667" s="7">
        <v>26.1</v>
      </c>
      <c r="AA1667" s="7">
        <v>27</v>
      </c>
      <c r="AB1667" s="7">
        <v>28.7</v>
      </c>
    </row>
    <row r="1668" spans="2:28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  <c r="W1668" s="7">
        <v>55.1</v>
      </c>
      <c r="X1668" s="7">
        <v>41.6</v>
      </c>
      <c r="Y1668" s="7">
        <v>48.5</v>
      </c>
      <c r="Z1668" s="7">
        <v>52</v>
      </c>
      <c r="AA1668" s="7">
        <v>57.5</v>
      </c>
      <c r="AB1668" s="7">
        <v>45.4</v>
      </c>
    </row>
    <row r="1669" spans="2:28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</row>
    <row r="1670" spans="2:28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  <c r="W1670" s="7">
        <v>150.19999999999999</v>
      </c>
      <c r="X1670" s="7">
        <v>216.4</v>
      </c>
      <c r="Y1670" s="7">
        <v>63.8</v>
      </c>
      <c r="Z1670" s="7">
        <v>43.4</v>
      </c>
      <c r="AA1670" s="7">
        <v>15.8</v>
      </c>
      <c r="AB1670" s="7">
        <v>24.3</v>
      </c>
    </row>
    <row r="1671" spans="2:28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  <c r="W1671" s="7">
        <v>0</v>
      </c>
      <c r="X1671" s="7">
        <v>6.4</v>
      </c>
      <c r="Y1671" s="7">
        <v>0</v>
      </c>
      <c r="Z1671" s="7">
        <v>0</v>
      </c>
      <c r="AA1671" s="7">
        <v>0</v>
      </c>
      <c r="AB1671" s="7">
        <v>0</v>
      </c>
    </row>
    <row r="1672" spans="2:28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</row>
    <row r="1673" spans="2:28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  <c r="W1673" s="7">
        <v>9.8000000000000007</v>
      </c>
      <c r="X1673" s="7">
        <v>6.3</v>
      </c>
      <c r="Y1673" s="7">
        <v>2.7</v>
      </c>
      <c r="Z1673" s="7">
        <v>0</v>
      </c>
      <c r="AA1673" s="7">
        <v>0</v>
      </c>
      <c r="AB1673" s="7">
        <v>0</v>
      </c>
    </row>
    <row r="1674" spans="2:28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  <c r="W1674" s="7">
        <v>91.3</v>
      </c>
      <c r="X1674" s="7">
        <v>94.6</v>
      </c>
      <c r="Y1674" s="7">
        <v>49.9</v>
      </c>
      <c r="Z1674" s="7">
        <v>2.2000000000000002</v>
      </c>
      <c r="AA1674" s="7">
        <v>3.1</v>
      </c>
      <c r="AB1674" s="7">
        <v>0</v>
      </c>
    </row>
    <row r="1675" spans="2:28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</row>
    <row r="1676" spans="2:28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</row>
    <row r="1677" spans="2:28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</row>
    <row r="1678" spans="2:28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  <c r="W1678" s="7">
        <v>5.5</v>
      </c>
      <c r="X1678" s="7">
        <v>34.700000000000003</v>
      </c>
      <c r="Y1678" s="7">
        <v>99.1</v>
      </c>
      <c r="Z1678" s="7">
        <v>147.30000000000001</v>
      </c>
      <c r="AA1678" s="7">
        <v>198.6</v>
      </c>
      <c r="AB1678" s="7">
        <v>169.2</v>
      </c>
    </row>
    <row r="1679" spans="2:28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</row>
    <row r="1680" spans="2:28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</row>
    <row r="1681" spans="2:28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</row>
    <row r="1682" spans="2:28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</row>
    <row r="1683" spans="2:28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  <c r="W1683" s="7">
        <v>54.6</v>
      </c>
      <c r="X1683" s="7">
        <v>50.8</v>
      </c>
      <c r="Y1683" s="7">
        <v>44.9</v>
      </c>
      <c r="Z1683" s="7">
        <v>52.6</v>
      </c>
      <c r="AA1683" s="7">
        <v>66.5</v>
      </c>
      <c r="AB1683" s="7">
        <v>47.5</v>
      </c>
    </row>
    <row r="1684" spans="2:28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  <c r="W1684" s="7">
        <v>167.5</v>
      </c>
      <c r="X1684" s="7">
        <v>168</v>
      </c>
      <c r="Y1684" s="7">
        <v>178.8</v>
      </c>
      <c r="Z1684" s="7">
        <v>189.1</v>
      </c>
      <c r="AA1684" s="7">
        <v>201</v>
      </c>
      <c r="AB1684" s="7">
        <v>225.9</v>
      </c>
    </row>
    <row r="1685" spans="2:28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</row>
    <row r="1686" spans="2:28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</row>
    <row r="1687" spans="2:28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  <c r="W1687" s="7">
        <v>62.7</v>
      </c>
      <c r="X1687" s="7">
        <v>47.7</v>
      </c>
      <c r="Y1687" s="7">
        <v>37.200000000000003</v>
      </c>
      <c r="Z1687" s="7">
        <v>48.7</v>
      </c>
      <c r="AA1687" s="7">
        <v>37.6</v>
      </c>
      <c r="AB1687" s="7">
        <v>29.4</v>
      </c>
    </row>
    <row r="1688" spans="2:28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  <c r="W1688" s="7">
        <v>0</v>
      </c>
      <c r="X1688" s="7">
        <v>2.5</v>
      </c>
      <c r="Y1688" s="7">
        <v>0</v>
      </c>
      <c r="Z1688" s="7">
        <v>0</v>
      </c>
      <c r="AA1688" s="7">
        <v>0</v>
      </c>
      <c r="AB1688" s="7">
        <v>0</v>
      </c>
    </row>
    <row r="1689" spans="2:28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</row>
    <row r="1690" spans="2:28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  <c r="W1690" s="7">
        <v>31.1</v>
      </c>
      <c r="X1690" s="7">
        <v>16.399999999999999</v>
      </c>
      <c r="Y1690" s="7">
        <v>22.4</v>
      </c>
      <c r="Z1690" s="7">
        <v>9.1</v>
      </c>
      <c r="AA1690" s="7">
        <v>17.7</v>
      </c>
      <c r="AB1690" s="7">
        <v>27.9</v>
      </c>
    </row>
    <row r="1691" spans="2:28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</row>
    <row r="1692" spans="2:28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  <c r="W1692" s="7">
        <v>70.7</v>
      </c>
      <c r="X1692" s="7">
        <v>67.099999999999994</v>
      </c>
      <c r="Y1692" s="7">
        <v>114.9</v>
      </c>
      <c r="Z1692" s="7">
        <v>116.2</v>
      </c>
      <c r="AA1692" s="7">
        <v>243.1</v>
      </c>
      <c r="AB1692" s="7">
        <v>180.2</v>
      </c>
    </row>
    <row r="1693" spans="2:28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  <c r="W1693" s="7">
        <v>2.6</v>
      </c>
      <c r="X1693" s="7">
        <v>0.3</v>
      </c>
      <c r="Y1693" s="7">
        <v>1.3</v>
      </c>
      <c r="Z1693" s="7">
        <v>55.5</v>
      </c>
      <c r="AA1693" s="7">
        <v>86.4</v>
      </c>
      <c r="AB1693" s="7">
        <v>15.6</v>
      </c>
    </row>
    <row r="1694" spans="2:28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  <c r="W1694" s="7">
        <v>9.8000000000000007</v>
      </c>
      <c r="X1694" s="7">
        <v>10</v>
      </c>
      <c r="Y1694" s="7">
        <v>8.1999999999999993</v>
      </c>
      <c r="Z1694" s="7">
        <v>9.3000000000000007</v>
      </c>
      <c r="AA1694" s="7">
        <v>9.1999999999999993</v>
      </c>
      <c r="AB1694" s="7">
        <v>11.4</v>
      </c>
    </row>
    <row r="1695" spans="2:28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</row>
    <row r="1696" spans="2:28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  <c r="W1696" s="7">
        <v>94.7</v>
      </c>
      <c r="X1696" s="7">
        <v>110.6</v>
      </c>
      <c r="Y1696" s="7">
        <v>140.5</v>
      </c>
      <c r="Z1696" s="7">
        <v>146</v>
      </c>
      <c r="AA1696" s="7">
        <v>162.6</v>
      </c>
      <c r="AB1696" s="7">
        <v>161.1</v>
      </c>
    </row>
    <row r="1697" spans="2:28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</row>
    <row r="1698" spans="2:28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  <c r="W1698" s="7">
        <v>48.1</v>
      </c>
      <c r="X1698" s="7">
        <v>46.6</v>
      </c>
      <c r="Y1698" s="7">
        <v>42.3</v>
      </c>
      <c r="Z1698" s="7">
        <v>49.3</v>
      </c>
      <c r="AA1698" s="7">
        <v>46.4</v>
      </c>
      <c r="AB1698" s="7">
        <v>44.5</v>
      </c>
    </row>
    <row r="1699" spans="2:28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</row>
    <row r="1700" spans="2:28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  <c r="W1700" s="7">
        <v>4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</row>
    <row r="1701" spans="2:28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</row>
    <row r="1702" spans="2:28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  <c r="W1702" s="7">
        <v>132.5</v>
      </c>
      <c r="X1702" s="7">
        <v>132.69999999999999</v>
      </c>
      <c r="Y1702" s="7">
        <v>115.5</v>
      </c>
      <c r="Z1702" s="7">
        <v>103.2</v>
      </c>
      <c r="AA1702" s="7">
        <v>151.6</v>
      </c>
      <c r="AB1702" s="7">
        <v>170.9</v>
      </c>
    </row>
    <row r="1703" spans="2:28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  <c r="W1703" s="7">
        <v>83</v>
      </c>
      <c r="X1703" s="7">
        <v>166.1</v>
      </c>
      <c r="Y1703" s="7">
        <v>162.5</v>
      </c>
      <c r="Z1703" s="7">
        <v>160.30000000000001</v>
      </c>
      <c r="AA1703" s="7">
        <v>185.8</v>
      </c>
      <c r="AB1703" s="7">
        <v>190.7</v>
      </c>
    </row>
    <row r="1704" spans="2:28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</row>
    <row r="1705" spans="2:28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</row>
    <row r="1706" spans="2:28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  <c r="W1706" s="7">
        <v>29.6</v>
      </c>
      <c r="X1706" s="7">
        <v>1.8</v>
      </c>
      <c r="Y1706" s="7">
        <v>0</v>
      </c>
      <c r="Z1706" s="7">
        <v>0</v>
      </c>
      <c r="AA1706" s="7">
        <v>0</v>
      </c>
      <c r="AB1706" s="7">
        <v>0</v>
      </c>
    </row>
    <row r="1707" spans="2:28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  <c r="W1707" s="7">
        <v>88.6</v>
      </c>
      <c r="X1707" s="7">
        <v>81.2</v>
      </c>
      <c r="Y1707" s="7">
        <v>88.2</v>
      </c>
      <c r="Z1707" s="7">
        <v>79.900000000000006</v>
      </c>
      <c r="AA1707" s="7">
        <v>81.599999999999994</v>
      </c>
      <c r="AB1707" s="7">
        <v>64.099999999999994</v>
      </c>
    </row>
    <row r="1708" spans="2:28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  <c r="W1708" s="7">
        <v>74.099999999999994</v>
      </c>
      <c r="X1708" s="7">
        <v>121.7</v>
      </c>
      <c r="Y1708" s="7">
        <v>115.5</v>
      </c>
      <c r="Z1708" s="7">
        <v>133.30000000000001</v>
      </c>
      <c r="AA1708" s="7">
        <v>150.1</v>
      </c>
      <c r="AB1708" s="7">
        <v>142.4</v>
      </c>
    </row>
    <row r="1709" spans="2:28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20.2</v>
      </c>
    </row>
    <row r="1710" spans="2:28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  <c r="W1710" s="7">
        <v>114.6</v>
      </c>
      <c r="X1710" s="7">
        <v>120.6</v>
      </c>
      <c r="Y1710" s="7">
        <v>100.3</v>
      </c>
      <c r="Z1710" s="7">
        <v>98.2</v>
      </c>
      <c r="AA1710" s="7">
        <v>119.8</v>
      </c>
      <c r="AB1710" s="7">
        <v>134.30000000000001</v>
      </c>
    </row>
    <row r="1711" spans="2:28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  <c r="W1711" s="7">
        <v>121.2</v>
      </c>
      <c r="X1711" s="7">
        <v>94.6</v>
      </c>
      <c r="Y1711" s="7">
        <v>131.80000000000001</v>
      </c>
      <c r="Z1711" s="7">
        <v>134.4</v>
      </c>
      <c r="AA1711" s="7">
        <v>141.19999999999999</v>
      </c>
      <c r="AB1711" s="7">
        <v>130.19999999999999</v>
      </c>
    </row>
    <row r="1712" spans="2:28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  <c r="W1712" s="7">
        <v>56.8</v>
      </c>
      <c r="X1712" s="7">
        <v>50.3</v>
      </c>
      <c r="Y1712" s="7">
        <v>54.9</v>
      </c>
      <c r="Z1712" s="7">
        <v>54.5</v>
      </c>
      <c r="AA1712" s="7">
        <v>0</v>
      </c>
      <c r="AB1712" s="7">
        <v>0</v>
      </c>
    </row>
    <row r="1713" spans="2:28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  <c r="W1713" s="7">
        <v>66.2</v>
      </c>
      <c r="X1713" s="7">
        <v>43</v>
      </c>
      <c r="Y1713" s="7">
        <v>39.299999999999997</v>
      </c>
      <c r="Z1713" s="7">
        <v>45.3</v>
      </c>
      <c r="AA1713" s="7">
        <v>37</v>
      </c>
      <c r="AB1713" s="7">
        <v>44.1</v>
      </c>
    </row>
    <row r="1714" spans="2:28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  <c r="W1714" s="7">
        <v>212</v>
      </c>
      <c r="X1714" s="7">
        <v>203.2</v>
      </c>
      <c r="Y1714" s="7">
        <v>161.4</v>
      </c>
      <c r="Z1714" s="7">
        <v>193.9</v>
      </c>
      <c r="AA1714" s="7">
        <v>122.2</v>
      </c>
      <c r="AB1714" s="7">
        <v>146.80000000000001</v>
      </c>
    </row>
    <row r="1715" spans="2:28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  <c r="W1715" s="7">
        <v>2.7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</row>
    <row r="1716" spans="2:28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  <c r="W1716" s="7">
        <v>37.4</v>
      </c>
      <c r="X1716" s="7">
        <v>28.1</v>
      </c>
      <c r="Y1716" s="7">
        <v>30.2</v>
      </c>
      <c r="Z1716" s="7">
        <v>37.6</v>
      </c>
      <c r="AA1716" s="7">
        <v>44.6</v>
      </c>
      <c r="AB1716" s="7">
        <v>51.9</v>
      </c>
    </row>
    <row r="1717" spans="2:28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  <c r="W1717" s="7">
        <v>39</v>
      </c>
      <c r="X1717" s="7">
        <v>36.6</v>
      </c>
      <c r="Y1717" s="7">
        <v>37.9</v>
      </c>
      <c r="Z1717" s="7">
        <v>21.7</v>
      </c>
      <c r="AA1717" s="7">
        <v>27.2</v>
      </c>
      <c r="AB1717" s="7">
        <v>29.8</v>
      </c>
    </row>
    <row r="1718" spans="2:28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  <c r="W1718" s="7">
        <v>42.8</v>
      </c>
      <c r="X1718" s="7">
        <v>55.9</v>
      </c>
      <c r="Y1718" s="7">
        <v>57.4</v>
      </c>
      <c r="Z1718" s="7">
        <v>49.5</v>
      </c>
      <c r="AA1718" s="7">
        <v>47.1</v>
      </c>
      <c r="AB1718" s="7">
        <v>43.8</v>
      </c>
    </row>
    <row r="1719" spans="2:28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  <c r="W1719" s="7">
        <v>25.5</v>
      </c>
      <c r="X1719" s="7">
        <v>21.5</v>
      </c>
      <c r="Y1719" s="7">
        <v>20.5</v>
      </c>
      <c r="Z1719" s="7">
        <v>19.899999999999999</v>
      </c>
      <c r="AA1719" s="7">
        <v>22.6</v>
      </c>
      <c r="AB1719" s="7">
        <v>0</v>
      </c>
    </row>
    <row r="1720" spans="2:28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  <c r="W1720" s="7">
        <v>34.9</v>
      </c>
      <c r="X1720" s="7">
        <v>37.799999999999997</v>
      </c>
      <c r="Y1720" s="7">
        <v>40.1</v>
      </c>
      <c r="Z1720" s="7">
        <v>52.2</v>
      </c>
      <c r="AA1720" s="7">
        <v>58.7</v>
      </c>
      <c r="AB1720" s="7">
        <v>58.2</v>
      </c>
    </row>
    <row r="1721" spans="2:28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  <c r="W1721" s="7">
        <v>14.7</v>
      </c>
      <c r="X1721" s="7">
        <v>2.9</v>
      </c>
      <c r="Y1721" s="7">
        <v>0</v>
      </c>
      <c r="Z1721" s="7">
        <v>0</v>
      </c>
      <c r="AA1721" s="7">
        <v>0</v>
      </c>
      <c r="AB1721" s="7">
        <v>0</v>
      </c>
    </row>
    <row r="1722" spans="2:28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</row>
    <row r="1723" spans="2:28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  <c r="W1723" s="7">
        <v>3.9</v>
      </c>
      <c r="X1723" s="7">
        <v>7</v>
      </c>
      <c r="Y1723" s="7">
        <v>9.6</v>
      </c>
      <c r="Z1723" s="7">
        <v>5.0999999999999996</v>
      </c>
      <c r="AA1723" s="7">
        <v>6.3</v>
      </c>
      <c r="AB1723" s="7">
        <v>19.2</v>
      </c>
    </row>
    <row r="1724" spans="2:28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  <c r="W1724" s="7">
        <v>27.4</v>
      </c>
      <c r="X1724" s="7">
        <v>38.299999999999997</v>
      </c>
      <c r="Y1724" s="7">
        <v>32.200000000000003</v>
      </c>
      <c r="Z1724" s="7">
        <v>34.700000000000003</v>
      </c>
      <c r="AA1724" s="7">
        <v>27.3</v>
      </c>
      <c r="AB1724" s="7">
        <v>28.1</v>
      </c>
    </row>
    <row r="1725" spans="2:28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</row>
    <row r="1726" spans="2:28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  <c r="W1726" s="7">
        <v>47</v>
      </c>
      <c r="X1726" s="7">
        <v>51</v>
      </c>
      <c r="Y1726" s="7">
        <v>51.9</v>
      </c>
      <c r="Z1726" s="7">
        <v>54.8</v>
      </c>
      <c r="AA1726" s="7">
        <v>62.6</v>
      </c>
      <c r="AB1726" s="7">
        <v>62.5</v>
      </c>
    </row>
    <row r="1727" spans="2:28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  <c r="W1727" s="7">
        <v>60.7</v>
      </c>
      <c r="X1727" s="7">
        <v>66.099999999999994</v>
      </c>
      <c r="Y1727" s="7">
        <v>73.8</v>
      </c>
      <c r="Z1727" s="7">
        <v>84.6</v>
      </c>
      <c r="AA1727" s="7">
        <v>89.6</v>
      </c>
      <c r="AB1727" s="7">
        <v>83.6</v>
      </c>
    </row>
    <row r="1728" spans="2:28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  <c r="W1728" s="7">
        <v>106.2</v>
      </c>
      <c r="X1728" s="7">
        <v>112.6</v>
      </c>
      <c r="Y1728" s="7">
        <v>118.6</v>
      </c>
      <c r="Z1728" s="7">
        <v>126.9</v>
      </c>
      <c r="AA1728" s="7">
        <v>140.1</v>
      </c>
      <c r="AB1728" s="7">
        <v>156</v>
      </c>
    </row>
    <row r="1729" spans="2:28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  <c r="W1729" s="7">
        <v>38.299999999999997</v>
      </c>
      <c r="X1729" s="7">
        <v>39.6</v>
      </c>
      <c r="Y1729" s="7">
        <v>31</v>
      </c>
      <c r="Z1729" s="7">
        <v>32.9</v>
      </c>
      <c r="AA1729" s="7">
        <v>27.5</v>
      </c>
      <c r="AB1729" s="7">
        <v>31.7</v>
      </c>
    </row>
    <row r="1730" spans="2:28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  <c r="W1730" s="7">
        <v>210</v>
      </c>
      <c r="X1730" s="7">
        <v>224.7</v>
      </c>
      <c r="Y1730" s="7">
        <v>227.3</v>
      </c>
      <c r="Z1730" s="7">
        <v>240.6</v>
      </c>
      <c r="AA1730" s="7">
        <v>257.3</v>
      </c>
      <c r="AB1730" s="7">
        <v>254.9</v>
      </c>
    </row>
    <row r="1731" spans="2:28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  <c r="W1731" s="7">
        <v>65.3</v>
      </c>
      <c r="X1731" s="7">
        <v>64.8</v>
      </c>
      <c r="Y1731" s="7">
        <v>161.4</v>
      </c>
      <c r="Z1731" s="7">
        <v>81.8</v>
      </c>
      <c r="AA1731" s="7">
        <v>141.1</v>
      </c>
      <c r="AB1731" s="7">
        <v>80</v>
      </c>
    </row>
    <row r="1732" spans="2:28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  <c r="W1732" s="7">
        <v>100.4</v>
      </c>
      <c r="X1732" s="7">
        <v>118.9</v>
      </c>
      <c r="Y1732" s="7">
        <v>154.5</v>
      </c>
      <c r="Z1732" s="7">
        <v>110.7</v>
      </c>
      <c r="AA1732" s="7">
        <v>140.9</v>
      </c>
      <c r="AB1732" s="7">
        <v>133.80000000000001</v>
      </c>
    </row>
    <row r="1733" spans="2:28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  <c r="W1733" s="7">
        <v>46.9</v>
      </c>
      <c r="X1733" s="7">
        <v>45.9</v>
      </c>
      <c r="Y1733" s="7">
        <v>27.4</v>
      </c>
      <c r="Z1733" s="7">
        <v>15.2</v>
      </c>
      <c r="AA1733" s="7">
        <v>7.7</v>
      </c>
      <c r="AB1733" s="7">
        <v>2.7</v>
      </c>
    </row>
    <row r="1734" spans="2:28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</row>
    <row r="1735" spans="2:28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  <c r="W1735" s="7">
        <v>161.4</v>
      </c>
      <c r="X1735" s="7">
        <v>155.4</v>
      </c>
      <c r="Y1735" s="7">
        <v>156</v>
      </c>
      <c r="Z1735" s="7">
        <v>172.4</v>
      </c>
      <c r="AA1735" s="7">
        <v>161</v>
      </c>
      <c r="AB1735" s="7">
        <v>156.5</v>
      </c>
    </row>
    <row r="1736" spans="2:28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  <c r="W1736" s="7">
        <v>71</v>
      </c>
      <c r="X1736" s="7">
        <v>74.5</v>
      </c>
      <c r="Y1736" s="7">
        <v>66.599999999999994</v>
      </c>
      <c r="Z1736" s="7">
        <v>72.900000000000006</v>
      </c>
      <c r="AA1736" s="7">
        <v>64.400000000000006</v>
      </c>
      <c r="AB1736" s="7">
        <v>56.9</v>
      </c>
    </row>
    <row r="1737" spans="2:28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</row>
    <row r="1738" spans="2:28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  <c r="W1738" s="7">
        <v>131.19999999999999</v>
      </c>
      <c r="X1738" s="7">
        <v>103.2</v>
      </c>
      <c r="Y1738" s="7">
        <v>117.6</v>
      </c>
      <c r="Z1738" s="7">
        <v>123.4</v>
      </c>
      <c r="AA1738" s="7">
        <v>119</v>
      </c>
      <c r="AB1738" s="7">
        <v>118.5</v>
      </c>
    </row>
    <row r="1739" spans="2:28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  <c r="W1739" s="7">
        <v>70.400000000000006</v>
      </c>
      <c r="X1739" s="7">
        <v>60.2</v>
      </c>
      <c r="Y1739" s="7">
        <v>61.4</v>
      </c>
      <c r="Z1739" s="7">
        <v>60.5</v>
      </c>
      <c r="AA1739" s="7">
        <v>92.8</v>
      </c>
      <c r="AB1739" s="7">
        <v>79.2</v>
      </c>
    </row>
    <row r="1740" spans="2:28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  <c r="W1740" s="7">
        <v>62</v>
      </c>
      <c r="X1740" s="7">
        <v>68.400000000000006</v>
      </c>
      <c r="Y1740" s="7">
        <v>65.2</v>
      </c>
      <c r="Z1740" s="7">
        <v>105.1</v>
      </c>
      <c r="AA1740" s="7">
        <v>72.7</v>
      </c>
      <c r="AB1740" s="7">
        <v>81.7</v>
      </c>
    </row>
    <row r="1741" spans="2:28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  <c r="W1741" s="7">
        <v>25.6</v>
      </c>
      <c r="X1741" s="7">
        <v>7</v>
      </c>
      <c r="Y1741" s="7">
        <v>33.799999999999997</v>
      </c>
      <c r="Z1741" s="7">
        <v>46.6</v>
      </c>
      <c r="AA1741" s="7">
        <v>33.799999999999997</v>
      </c>
      <c r="AB1741" s="7">
        <v>32.9</v>
      </c>
    </row>
    <row r="1742" spans="2:28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  <c r="W1742" s="7">
        <v>61.3</v>
      </c>
      <c r="X1742" s="7">
        <v>72.099999999999994</v>
      </c>
      <c r="Y1742" s="7">
        <v>0</v>
      </c>
      <c r="Z1742" s="7">
        <v>0</v>
      </c>
      <c r="AA1742" s="7">
        <v>0</v>
      </c>
      <c r="AB1742" s="7">
        <v>333.9</v>
      </c>
    </row>
    <row r="1743" spans="2:28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  <c r="W1743" s="7">
        <v>90.6</v>
      </c>
      <c r="X1743" s="7">
        <v>83.2</v>
      </c>
      <c r="Y1743" s="7">
        <v>96.6</v>
      </c>
      <c r="Z1743" s="7">
        <v>91.7</v>
      </c>
      <c r="AA1743" s="7">
        <v>76.400000000000006</v>
      </c>
      <c r="AB1743" s="7">
        <v>76.7</v>
      </c>
    </row>
    <row r="1744" spans="2:28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  <c r="W1744" s="7">
        <v>96.4</v>
      </c>
      <c r="X1744" s="7">
        <v>89.1</v>
      </c>
      <c r="Y1744" s="7">
        <v>92.7</v>
      </c>
      <c r="Z1744" s="7">
        <v>93.6</v>
      </c>
      <c r="AA1744" s="7">
        <v>92.2</v>
      </c>
      <c r="AB1744" s="7">
        <v>89.5</v>
      </c>
    </row>
    <row r="1745" spans="2:28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  <c r="W1745" s="7">
        <v>115.2</v>
      </c>
      <c r="X1745" s="7">
        <v>83.9</v>
      </c>
      <c r="Y1745" s="7">
        <v>124.4</v>
      </c>
      <c r="Z1745" s="7">
        <v>120.1</v>
      </c>
      <c r="AA1745" s="7">
        <v>91.2</v>
      </c>
      <c r="AB1745" s="7">
        <v>77.400000000000006</v>
      </c>
    </row>
    <row r="1746" spans="2:28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  <c r="W1746" s="7">
        <v>248.5</v>
      </c>
      <c r="X1746" s="7">
        <v>277.10000000000002</v>
      </c>
      <c r="Y1746" s="7">
        <v>514.79999999999995</v>
      </c>
      <c r="Z1746" s="7">
        <v>529.79999999999995</v>
      </c>
      <c r="AA1746" s="7">
        <v>568.70000000000005</v>
      </c>
      <c r="AB1746" s="7">
        <v>393.7</v>
      </c>
    </row>
    <row r="1747" spans="2:28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</row>
    <row r="1748" spans="2:28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  <c r="W1748" s="7">
        <v>87.4</v>
      </c>
      <c r="X1748" s="7">
        <v>261.60000000000002</v>
      </c>
      <c r="Y1748" s="7">
        <v>864.1</v>
      </c>
      <c r="Z1748" s="7">
        <v>1415.6</v>
      </c>
      <c r="AA1748" s="7">
        <v>1044.5999999999999</v>
      </c>
      <c r="AB1748" s="7">
        <v>1144.3</v>
      </c>
    </row>
    <row r="1749" spans="2:28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  <c r="W1749" s="7">
        <v>274</v>
      </c>
      <c r="X1749" s="7">
        <v>267.89999999999998</v>
      </c>
      <c r="Y1749" s="7">
        <v>299.3</v>
      </c>
      <c r="Z1749" s="7">
        <v>311.89999999999998</v>
      </c>
      <c r="AA1749" s="7">
        <v>315.39999999999998</v>
      </c>
      <c r="AB1749" s="7">
        <v>319.89999999999998</v>
      </c>
    </row>
    <row r="1750" spans="2:28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</row>
    <row r="1751" spans="2:28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  <c r="W1751" s="7">
        <v>13.6</v>
      </c>
      <c r="X1751" s="7">
        <v>17.399999999999999</v>
      </c>
      <c r="Y1751" s="7">
        <v>20.2</v>
      </c>
      <c r="Z1751" s="7">
        <v>10</v>
      </c>
      <c r="AA1751" s="7">
        <v>0</v>
      </c>
      <c r="AB1751" s="7">
        <v>0</v>
      </c>
    </row>
    <row r="1752" spans="2:28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  <c r="W1752" s="7">
        <v>4</v>
      </c>
      <c r="X1752" s="7">
        <v>2.4</v>
      </c>
      <c r="Y1752" s="7">
        <v>0</v>
      </c>
      <c r="Z1752" s="7">
        <v>0</v>
      </c>
      <c r="AA1752" s="7">
        <v>0</v>
      </c>
      <c r="AB1752" s="7">
        <v>0</v>
      </c>
    </row>
    <row r="1753" spans="2:28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</row>
    <row r="1754" spans="2:28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  <c r="W1754" s="7">
        <v>134.80000000000001</v>
      </c>
      <c r="X1754" s="7">
        <v>107.5</v>
      </c>
      <c r="Y1754" s="7">
        <v>74.3</v>
      </c>
      <c r="Z1754" s="7">
        <v>149.5</v>
      </c>
      <c r="AA1754" s="7">
        <v>139.30000000000001</v>
      </c>
      <c r="AB1754" s="7">
        <v>139.19999999999999</v>
      </c>
    </row>
    <row r="1755" spans="2:28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  <c r="W1755" s="7">
        <v>0</v>
      </c>
      <c r="X1755" s="7">
        <v>0</v>
      </c>
      <c r="Y1755" s="7">
        <v>3.8</v>
      </c>
      <c r="Z1755" s="7">
        <v>3.8</v>
      </c>
      <c r="AA1755" s="7">
        <v>0</v>
      </c>
      <c r="AB1755" s="7">
        <v>0</v>
      </c>
    </row>
    <row r="1756" spans="2:28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  <c r="W1756" s="7">
        <v>15.6</v>
      </c>
      <c r="X1756" s="7">
        <v>13.7</v>
      </c>
      <c r="Y1756" s="7">
        <v>14.3</v>
      </c>
      <c r="Z1756" s="7">
        <v>15.9</v>
      </c>
      <c r="AA1756" s="7">
        <v>14.6</v>
      </c>
      <c r="AB1756" s="7">
        <v>16.5</v>
      </c>
    </row>
    <row r="1757" spans="2:28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  <c r="W1757" s="7">
        <v>258.5</v>
      </c>
      <c r="X1757" s="7">
        <v>192.4</v>
      </c>
      <c r="Y1757" s="7">
        <v>224.7</v>
      </c>
      <c r="Z1757" s="7">
        <v>197.8</v>
      </c>
      <c r="AA1757" s="7">
        <v>230.4</v>
      </c>
      <c r="AB1757" s="7">
        <v>318.10000000000002</v>
      </c>
    </row>
    <row r="1758" spans="2:28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  <c r="W1758" s="7">
        <v>26.1</v>
      </c>
      <c r="X1758" s="7">
        <v>33.9</v>
      </c>
      <c r="Y1758" s="7">
        <v>22.4</v>
      </c>
      <c r="Z1758" s="7">
        <v>11.5</v>
      </c>
      <c r="AA1758" s="7">
        <v>0</v>
      </c>
      <c r="AB1758" s="7">
        <v>0</v>
      </c>
    </row>
    <row r="1759" spans="2:28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</row>
    <row r="1760" spans="2:28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  <c r="W1760" s="7">
        <v>1494.6</v>
      </c>
      <c r="X1760" s="7">
        <v>2320.4</v>
      </c>
      <c r="Y1760" s="7">
        <v>2915</v>
      </c>
      <c r="Z1760" s="7">
        <v>3047.1</v>
      </c>
      <c r="AA1760" s="7">
        <v>2648.3</v>
      </c>
      <c r="AB1760" s="7">
        <v>2471.8000000000002</v>
      </c>
    </row>
    <row r="1761" spans="2:28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</row>
    <row r="1762" spans="2:28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  <c r="W1762" s="7">
        <v>76.2</v>
      </c>
      <c r="X1762" s="7">
        <v>75.3</v>
      </c>
      <c r="Y1762" s="7">
        <v>82.3</v>
      </c>
      <c r="Z1762" s="7">
        <v>81.2</v>
      </c>
      <c r="AA1762" s="7">
        <v>80.3</v>
      </c>
      <c r="AB1762" s="7">
        <v>76.7</v>
      </c>
    </row>
    <row r="1763" spans="2:28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</row>
    <row r="1764" spans="2:28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  <c r="W1764" s="7">
        <v>34.799999999999997</v>
      </c>
      <c r="X1764" s="7">
        <v>26.4</v>
      </c>
      <c r="Y1764" s="7">
        <v>42.3</v>
      </c>
      <c r="Z1764" s="7">
        <v>48.8</v>
      </c>
      <c r="AA1764" s="7">
        <v>33.9</v>
      </c>
      <c r="AB1764" s="7">
        <v>35.799999999999997</v>
      </c>
    </row>
    <row r="1765" spans="2:28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</row>
    <row r="1766" spans="2:28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</row>
    <row r="1767" spans="2:28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</row>
    <row r="1768" spans="2:28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</row>
    <row r="1769" spans="2:28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</row>
    <row r="1770" spans="2:28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  <c r="W1770" s="7">
        <v>48.9</v>
      </c>
      <c r="X1770" s="7">
        <v>53.7</v>
      </c>
      <c r="Y1770" s="7">
        <v>58</v>
      </c>
      <c r="Z1770" s="7">
        <v>51.4</v>
      </c>
      <c r="AA1770" s="7">
        <v>57.4</v>
      </c>
      <c r="AB1770" s="7">
        <v>48.3</v>
      </c>
    </row>
    <row r="1771" spans="2:28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  <c r="W1771" s="7">
        <v>63.7</v>
      </c>
      <c r="X1771" s="7">
        <v>66.3</v>
      </c>
      <c r="Y1771" s="7">
        <v>69</v>
      </c>
      <c r="Z1771" s="7">
        <v>66.7</v>
      </c>
      <c r="AA1771" s="7">
        <v>68.599999999999994</v>
      </c>
      <c r="AB1771" s="7">
        <v>64.099999999999994</v>
      </c>
    </row>
    <row r="1772" spans="2:28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  <c r="W1772" s="7">
        <v>116.3</v>
      </c>
      <c r="X1772" s="7">
        <v>132.1</v>
      </c>
      <c r="Y1772" s="7">
        <v>129.80000000000001</v>
      </c>
      <c r="Z1772" s="7">
        <v>147.19999999999999</v>
      </c>
      <c r="AA1772" s="7">
        <v>143</v>
      </c>
      <c r="AB1772" s="7">
        <v>150.4</v>
      </c>
    </row>
    <row r="1773" spans="2:28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</row>
    <row r="1774" spans="2:28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  <c r="W1774" s="7">
        <v>41</v>
      </c>
      <c r="X1774" s="7">
        <v>46.5</v>
      </c>
      <c r="Y1774" s="7">
        <v>38.299999999999997</v>
      </c>
      <c r="Z1774" s="7">
        <v>42.8</v>
      </c>
      <c r="AA1774" s="7">
        <v>28.8</v>
      </c>
      <c r="AB1774" s="7">
        <v>21.4</v>
      </c>
    </row>
    <row r="1775" spans="2:28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  <c r="W1775" s="7">
        <v>106.4</v>
      </c>
      <c r="X1775" s="7">
        <v>367.1</v>
      </c>
      <c r="Y1775" s="7">
        <v>211.4</v>
      </c>
      <c r="Z1775" s="7">
        <v>215.2</v>
      </c>
      <c r="AA1775" s="7">
        <v>322.60000000000002</v>
      </c>
      <c r="AB1775" s="7">
        <v>207.2</v>
      </c>
    </row>
    <row r="1776" spans="2:28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  <c r="W1776" s="7">
        <v>89.7</v>
      </c>
      <c r="X1776" s="7">
        <v>93.9</v>
      </c>
      <c r="Y1776" s="7">
        <v>111.4</v>
      </c>
      <c r="Z1776" s="7">
        <v>89</v>
      </c>
      <c r="AA1776" s="7">
        <v>87.4</v>
      </c>
      <c r="AB1776" s="7">
        <v>67.400000000000006</v>
      </c>
    </row>
    <row r="1777" spans="2:28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  <c r="W1777" s="7">
        <v>376.4</v>
      </c>
      <c r="X1777" s="7">
        <v>377.7</v>
      </c>
      <c r="Y1777" s="7">
        <v>341.8</v>
      </c>
      <c r="Z1777" s="7">
        <v>375</v>
      </c>
      <c r="AA1777" s="7">
        <v>368.4</v>
      </c>
      <c r="AB1777" s="7">
        <v>292.2</v>
      </c>
    </row>
    <row r="1778" spans="2:28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  <c r="W1778" s="7">
        <v>166.7</v>
      </c>
      <c r="X1778" s="7">
        <v>153</v>
      </c>
      <c r="Y1778" s="7">
        <v>197.4</v>
      </c>
      <c r="Z1778" s="7">
        <v>183</v>
      </c>
      <c r="AA1778" s="7">
        <v>196.2</v>
      </c>
      <c r="AB1778" s="7">
        <v>217.2</v>
      </c>
    </row>
    <row r="1779" spans="2:28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174.8</v>
      </c>
    </row>
    <row r="1780" spans="2:28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  <c r="W1780" s="7">
        <v>83.9</v>
      </c>
      <c r="X1780" s="7">
        <v>75.5</v>
      </c>
      <c r="Y1780" s="7">
        <v>68.900000000000006</v>
      </c>
      <c r="Z1780" s="7">
        <v>61.9</v>
      </c>
      <c r="AA1780" s="7">
        <v>67.400000000000006</v>
      </c>
      <c r="AB1780" s="7">
        <v>66.400000000000006</v>
      </c>
    </row>
    <row r="1781" spans="2:28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5.5</v>
      </c>
    </row>
    <row r="1782" spans="2:28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  <c r="W1782" s="7">
        <v>65.599999999999994</v>
      </c>
      <c r="X1782" s="7">
        <v>71.900000000000006</v>
      </c>
      <c r="Y1782" s="7">
        <v>83.2</v>
      </c>
      <c r="Z1782" s="7">
        <v>125.7</v>
      </c>
      <c r="AA1782" s="7">
        <v>75.3</v>
      </c>
      <c r="AB1782" s="7">
        <v>0</v>
      </c>
    </row>
    <row r="1783" spans="2:28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  <c r="W1783" s="7">
        <v>46.3</v>
      </c>
      <c r="X1783" s="7">
        <v>45.8</v>
      </c>
      <c r="Y1783" s="7">
        <v>62</v>
      </c>
      <c r="Z1783" s="7">
        <v>68.900000000000006</v>
      </c>
      <c r="AA1783" s="7">
        <v>73.400000000000006</v>
      </c>
      <c r="AB1783" s="7">
        <v>80</v>
      </c>
    </row>
    <row r="1784" spans="2:28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  <c r="W1784" s="7">
        <v>98.6</v>
      </c>
      <c r="X1784" s="7">
        <v>99.2</v>
      </c>
      <c r="Y1784" s="7">
        <v>119</v>
      </c>
      <c r="Z1784" s="7">
        <v>112.5</v>
      </c>
      <c r="AA1784" s="7">
        <v>112.7</v>
      </c>
      <c r="AB1784" s="7">
        <v>119.2</v>
      </c>
    </row>
    <row r="1785" spans="2:28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  <c r="W1785" s="7">
        <v>126.9</v>
      </c>
      <c r="X1785" s="7">
        <v>114.6</v>
      </c>
      <c r="Y1785" s="7">
        <v>122.8</v>
      </c>
      <c r="Z1785" s="7">
        <v>112.7</v>
      </c>
      <c r="AA1785" s="7">
        <v>119.4</v>
      </c>
      <c r="AB1785" s="7">
        <v>129.1</v>
      </c>
    </row>
    <row r="1786" spans="2:28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</row>
    <row r="1787" spans="2:28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  <c r="W1787" s="7">
        <v>42.8</v>
      </c>
      <c r="X1787" s="7">
        <v>41</v>
      </c>
      <c r="Y1787" s="7">
        <v>43.1</v>
      </c>
      <c r="Z1787" s="7">
        <v>38.700000000000003</v>
      </c>
      <c r="AA1787" s="7">
        <v>51.8</v>
      </c>
      <c r="AB1787" s="7">
        <v>52.6</v>
      </c>
    </row>
    <row r="1788" spans="2:28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  <c r="W1788" s="7">
        <v>59</v>
      </c>
      <c r="X1788" s="7">
        <v>68.3</v>
      </c>
      <c r="Y1788" s="7">
        <v>70.099999999999994</v>
      </c>
      <c r="Z1788" s="7">
        <v>72.599999999999994</v>
      </c>
      <c r="AA1788" s="7">
        <v>70.400000000000006</v>
      </c>
      <c r="AB1788" s="7">
        <v>63.2</v>
      </c>
    </row>
    <row r="1789" spans="2:28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38.700000000000003</v>
      </c>
    </row>
    <row r="1790" spans="2:28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</row>
    <row r="1791" spans="2:28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  <c r="W1791" s="7">
        <v>194.8</v>
      </c>
      <c r="X1791" s="7">
        <v>240.9</v>
      </c>
      <c r="Y1791" s="7">
        <v>303.5</v>
      </c>
      <c r="Z1791" s="7">
        <v>311.2</v>
      </c>
      <c r="AA1791" s="7">
        <v>330.5</v>
      </c>
      <c r="AB1791" s="7">
        <v>423</v>
      </c>
    </row>
    <row r="1792" spans="2:28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  <c r="W1792" s="7">
        <v>142.4</v>
      </c>
      <c r="X1792" s="7">
        <v>153.19999999999999</v>
      </c>
      <c r="Y1792" s="7">
        <v>185.7</v>
      </c>
      <c r="Z1792" s="7">
        <v>189.5</v>
      </c>
      <c r="AA1792" s="7">
        <v>177.8</v>
      </c>
      <c r="AB1792" s="7">
        <v>186.9</v>
      </c>
    </row>
    <row r="1793" spans="2:28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  <c r="W1793" s="7">
        <v>46.2</v>
      </c>
      <c r="X1793" s="7">
        <v>62.9</v>
      </c>
      <c r="Y1793" s="7">
        <v>54.7</v>
      </c>
      <c r="Z1793" s="7">
        <v>54</v>
      </c>
      <c r="AA1793" s="7">
        <v>80</v>
      </c>
      <c r="AB1793" s="7">
        <v>87.8</v>
      </c>
    </row>
    <row r="1794" spans="2:28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  <c r="W1794" s="7">
        <v>21.7</v>
      </c>
      <c r="X1794" s="7">
        <v>20.5</v>
      </c>
      <c r="Y1794" s="7">
        <v>25.6</v>
      </c>
      <c r="Z1794" s="7">
        <v>21.5</v>
      </c>
      <c r="AA1794" s="7">
        <v>23.4</v>
      </c>
      <c r="AB1794" s="7">
        <v>39.200000000000003</v>
      </c>
    </row>
    <row r="1795" spans="2:28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</row>
    <row r="1796" spans="2:28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  <c r="W1796" s="7">
        <v>27.7</v>
      </c>
      <c r="X1796" s="7">
        <v>31.3</v>
      </c>
      <c r="Y1796" s="7">
        <v>31.4</v>
      </c>
      <c r="Z1796" s="7">
        <v>28.3</v>
      </c>
      <c r="AA1796" s="7">
        <v>28</v>
      </c>
      <c r="AB1796" s="7">
        <v>17.2</v>
      </c>
    </row>
    <row r="1797" spans="2:28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</row>
    <row r="1798" spans="2:28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0</v>
      </c>
    </row>
    <row r="1799" spans="2:28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  <c r="W1799" s="7">
        <v>63.2</v>
      </c>
      <c r="X1799" s="7">
        <v>66.599999999999994</v>
      </c>
      <c r="Y1799" s="7">
        <v>50.9</v>
      </c>
      <c r="Z1799" s="7">
        <v>43.7</v>
      </c>
      <c r="AA1799" s="7">
        <v>35.1</v>
      </c>
      <c r="AB1799" s="7">
        <v>27.5</v>
      </c>
    </row>
    <row r="1800" spans="2:28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</row>
    <row r="1801" spans="2:28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  <c r="W1801" s="7">
        <v>83.5</v>
      </c>
      <c r="X1801" s="7">
        <v>94.5</v>
      </c>
      <c r="Y1801" s="7">
        <v>82.7</v>
      </c>
      <c r="Z1801" s="7">
        <v>62.1</v>
      </c>
      <c r="AA1801" s="7">
        <v>70.099999999999994</v>
      </c>
      <c r="AB1801" s="7">
        <v>54.3</v>
      </c>
    </row>
    <row r="1802" spans="2:28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  <c r="W1802" s="7">
        <v>92</v>
      </c>
      <c r="X1802" s="7">
        <v>87.8</v>
      </c>
      <c r="Y1802" s="7">
        <v>86</v>
      </c>
      <c r="Z1802" s="7">
        <v>87.5</v>
      </c>
      <c r="AA1802" s="7">
        <v>86.9</v>
      </c>
      <c r="AB1802" s="7">
        <v>77.599999999999994</v>
      </c>
    </row>
    <row r="1803" spans="2:28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  <c r="W1803" s="7">
        <v>21.6</v>
      </c>
      <c r="X1803" s="7">
        <v>22.9</v>
      </c>
      <c r="Y1803" s="7">
        <v>23</v>
      </c>
      <c r="Z1803" s="7">
        <v>32.6</v>
      </c>
      <c r="AA1803" s="7">
        <v>31.1</v>
      </c>
      <c r="AB1803" s="7">
        <v>29.6</v>
      </c>
    </row>
    <row r="1804" spans="2:28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  <c r="W1804" s="7">
        <v>97.9</v>
      </c>
      <c r="X1804" s="7">
        <v>69.2</v>
      </c>
      <c r="Y1804" s="7">
        <v>77.3</v>
      </c>
      <c r="Z1804" s="7">
        <v>104.6</v>
      </c>
      <c r="AA1804" s="7">
        <v>78.900000000000006</v>
      </c>
      <c r="AB1804" s="7">
        <v>80.5</v>
      </c>
    </row>
    <row r="1805" spans="2:28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  <c r="W1805" s="7">
        <v>121.1</v>
      </c>
      <c r="X1805" s="7">
        <v>128.4</v>
      </c>
      <c r="Y1805" s="7">
        <v>132.30000000000001</v>
      </c>
      <c r="Z1805" s="7">
        <v>150.1</v>
      </c>
      <c r="AA1805" s="7">
        <v>113.6</v>
      </c>
      <c r="AB1805" s="7">
        <v>196.9</v>
      </c>
    </row>
    <row r="1806" spans="2:28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</row>
    <row r="1807" spans="2:28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  <c r="W1807" s="7">
        <v>29.3</v>
      </c>
      <c r="X1807" s="7">
        <v>41.8</v>
      </c>
      <c r="Y1807" s="7">
        <v>53.9</v>
      </c>
      <c r="Z1807" s="7">
        <v>76.599999999999994</v>
      </c>
      <c r="AA1807" s="7">
        <v>75</v>
      </c>
      <c r="AB1807" s="7">
        <v>51.6</v>
      </c>
    </row>
    <row r="1808" spans="2:28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21.4</v>
      </c>
      <c r="X1808" s="7">
        <v>19.899999999999999</v>
      </c>
      <c r="Y1808" s="7">
        <v>24.8</v>
      </c>
      <c r="Z1808" s="7">
        <v>22.9</v>
      </c>
      <c r="AA1808" s="7">
        <v>48.5</v>
      </c>
      <c r="AB1808" s="7">
        <v>32.6</v>
      </c>
    </row>
    <row r="1809" spans="2:28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  <c r="W1809" s="7">
        <v>40.700000000000003</v>
      </c>
      <c r="X1809" s="7">
        <v>42.7</v>
      </c>
      <c r="Y1809" s="7">
        <v>42.9</v>
      </c>
      <c r="Z1809" s="7">
        <v>46</v>
      </c>
      <c r="AA1809" s="7">
        <v>42.6</v>
      </c>
      <c r="AB1809" s="7">
        <v>40</v>
      </c>
    </row>
    <row r="1810" spans="2:28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  <c r="W1810" s="7">
        <v>85.9</v>
      </c>
      <c r="X1810" s="7">
        <v>94.5</v>
      </c>
      <c r="Y1810" s="7">
        <v>87.1</v>
      </c>
      <c r="Z1810" s="7">
        <v>89.4</v>
      </c>
      <c r="AA1810" s="7">
        <v>87.2</v>
      </c>
      <c r="AB1810" s="7">
        <v>88</v>
      </c>
    </row>
    <row r="1811" spans="2:28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  <c r="W1811" s="7">
        <v>58.6</v>
      </c>
      <c r="X1811" s="7">
        <v>53.4</v>
      </c>
      <c r="Y1811" s="7">
        <v>37.6</v>
      </c>
      <c r="Z1811" s="7">
        <v>36.299999999999997</v>
      </c>
      <c r="AA1811" s="7">
        <v>38.299999999999997</v>
      </c>
      <c r="AB1811" s="7">
        <v>37.200000000000003</v>
      </c>
    </row>
    <row r="1812" spans="2:28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  <c r="W1812" s="7">
        <v>53</v>
      </c>
      <c r="X1812" s="7">
        <v>58.5</v>
      </c>
      <c r="Y1812" s="7">
        <v>63.5</v>
      </c>
      <c r="Z1812" s="7">
        <v>68.5</v>
      </c>
      <c r="AA1812" s="7">
        <v>64.599999999999994</v>
      </c>
      <c r="AB1812" s="7">
        <v>62.1</v>
      </c>
    </row>
    <row r="1813" spans="2:28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  <c r="W1813" s="7">
        <v>137</v>
      </c>
      <c r="X1813" s="7">
        <v>134.5</v>
      </c>
      <c r="Y1813" s="7">
        <v>125.4</v>
      </c>
      <c r="Z1813" s="7">
        <v>122.5</v>
      </c>
      <c r="AA1813" s="7">
        <v>125.6</v>
      </c>
      <c r="AB1813" s="7">
        <v>136.1</v>
      </c>
    </row>
    <row r="1814" spans="2:28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  <c r="W1814" s="7">
        <v>62.5</v>
      </c>
      <c r="X1814" s="7">
        <v>64</v>
      </c>
      <c r="Y1814" s="7">
        <v>59.5</v>
      </c>
      <c r="Z1814" s="7">
        <v>62.6</v>
      </c>
      <c r="AA1814" s="7">
        <v>56</v>
      </c>
      <c r="AB1814" s="7">
        <v>58.4</v>
      </c>
    </row>
    <row r="1815" spans="2:28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  <c r="W1815" s="7">
        <v>36.700000000000003</v>
      </c>
      <c r="X1815" s="7">
        <v>33</v>
      </c>
      <c r="Y1815" s="7">
        <v>31.5</v>
      </c>
      <c r="Z1815" s="7">
        <v>29.1</v>
      </c>
      <c r="AA1815" s="7">
        <v>32.9</v>
      </c>
      <c r="AB1815" s="7">
        <v>54.9</v>
      </c>
    </row>
    <row r="1816" spans="2:28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1.2</v>
      </c>
      <c r="Y1816" s="7">
        <v>2.7</v>
      </c>
      <c r="Z1816" s="7">
        <v>0</v>
      </c>
      <c r="AA1816" s="7">
        <v>0</v>
      </c>
      <c r="AB1816" s="7">
        <v>0</v>
      </c>
    </row>
    <row r="1817" spans="2:28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  <c r="W1817" s="7">
        <v>48.4</v>
      </c>
      <c r="X1817" s="7">
        <v>69.7</v>
      </c>
      <c r="Y1817" s="7">
        <v>44.7</v>
      </c>
      <c r="Z1817" s="7">
        <v>54.2</v>
      </c>
      <c r="AA1817" s="7">
        <v>54.3</v>
      </c>
      <c r="AB1817" s="7">
        <v>53.8</v>
      </c>
    </row>
    <row r="1818" spans="2:28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  <c r="W1818" s="7">
        <v>96.1</v>
      </c>
      <c r="X1818" s="7">
        <v>131.5</v>
      </c>
      <c r="Y1818" s="7">
        <v>150.6</v>
      </c>
      <c r="Z1818" s="7">
        <v>162.19999999999999</v>
      </c>
      <c r="AA1818" s="7">
        <v>187.6</v>
      </c>
      <c r="AB1818" s="7">
        <v>196.5</v>
      </c>
    </row>
    <row r="1819" spans="2:28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</row>
    <row r="1820" spans="2:28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</row>
    <row r="1821" spans="2:28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</row>
    <row r="1822" spans="2:28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  <c r="W1822" s="7">
        <v>26.7</v>
      </c>
      <c r="X1822" s="7">
        <v>31.9</v>
      </c>
      <c r="Y1822" s="7">
        <v>24.4</v>
      </c>
      <c r="Z1822" s="7">
        <v>21</v>
      </c>
      <c r="AA1822" s="7">
        <v>23.8</v>
      </c>
      <c r="AB1822" s="7">
        <v>16.399999999999999</v>
      </c>
    </row>
    <row r="1823" spans="2:28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</row>
    <row r="1824" spans="2:28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  <c r="W1824" s="7">
        <v>23.7</v>
      </c>
      <c r="X1824" s="7">
        <v>25.6</v>
      </c>
      <c r="Y1824" s="7">
        <v>41.2</v>
      </c>
      <c r="Z1824" s="7">
        <v>43.6</v>
      </c>
      <c r="AA1824" s="7">
        <v>41.2</v>
      </c>
      <c r="AB1824" s="7">
        <v>19.600000000000001</v>
      </c>
    </row>
    <row r="1825" spans="2:28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  <c r="W1825" s="7">
        <v>54.2</v>
      </c>
      <c r="X1825" s="7">
        <v>50.5</v>
      </c>
      <c r="Y1825" s="7">
        <v>51.9</v>
      </c>
      <c r="Z1825" s="7">
        <v>53.3</v>
      </c>
      <c r="AA1825" s="7">
        <v>48.5</v>
      </c>
      <c r="AB1825" s="7">
        <v>46.3</v>
      </c>
    </row>
    <row r="1826" spans="2:28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</row>
    <row r="1827" spans="2:28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  <c r="W1827" s="7">
        <v>223</v>
      </c>
      <c r="X1827" s="7">
        <v>202.3</v>
      </c>
      <c r="Y1827" s="7">
        <v>190.7</v>
      </c>
      <c r="Z1827" s="7">
        <v>192</v>
      </c>
      <c r="AA1827" s="7">
        <v>190.7</v>
      </c>
      <c r="AB1827" s="7">
        <v>212.3</v>
      </c>
    </row>
    <row r="1828" spans="2:28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</row>
    <row r="1829" spans="2:28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</row>
    <row r="1830" spans="2:28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  <c r="W1830" s="7">
        <v>0</v>
      </c>
      <c r="X1830" s="7">
        <v>0</v>
      </c>
      <c r="Y1830" s="7">
        <v>28.2</v>
      </c>
      <c r="Z1830" s="7">
        <v>22.1</v>
      </c>
      <c r="AA1830" s="7">
        <v>5.0999999999999996</v>
      </c>
      <c r="AB1830" s="7">
        <v>0</v>
      </c>
    </row>
    <row r="1831" spans="2:28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  <c r="W1831" s="7">
        <v>66</v>
      </c>
      <c r="X1831" s="7">
        <v>66</v>
      </c>
      <c r="Y1831" s="7">
        <v>97.3</v>
      </c>
      <c r="Z1831" s="7">
        <v>58.3</v>
      </c>
      <c r="AA1831" s="7">
        <v>76.5</v>
      </c>
      <c r="AB1831" s="7">
        <v>89.5</v>
      </c>
    </row>
    <row r="1832" spans="2:28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  <c r="W1832" s="7">
        <v>0</v>
      </c>
      <c r="X1832" s="7">
        <v>0</v>
      </c>
      <c r="Y1832" s="7">
        <v>12.2</v>
      </c>
      <c r="Z1832" s="7">
        <v>50.1</v>
      </c>
      <c r="AA1832" s="7">
        <v>46.9</v>
      </c>
      <c r="AB1832" s="7">
        <v>37.299999999999997</v>
      </c>
    </row>
    <row r="1833" spans="2:28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  <c r="W1833" s="7">
        <v>54.1</v>
      </c>
      <c r="X1833" s="7">
        <v>53.1</v>
      </c>
      <c r="Y1833" s="7">
        <v>52.2</v>
      </c>
      <c r="Z1833" s="7">
        <v>53.7</v>
      </c>
      <c r="AA1833" s="7">
        <v>44</v>
      </c>
      <c r="AB1833" s="7">
        <v>3</v>
      </c>
    </row>
    <row r="1834" spans="2:28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  <c r="W1834" s="7">
        <v>27.4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</row>
    <row r="1835" spans="2:28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</row>
    <row r="1836" spans="2:28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  <c r="W1836" s="7">
        <v>60.3</v>
      </c>
      <c r="X1836" s="7">
        <v>34.799999999999997</v>
      </c>
      <c r="Y1836" s="7">
        <v>18.600000000000001</v>
      </c>
      <c r="Z1836" s="7">
        <v>25.9</v>
      </c>
      <c r="AA1836" s="7">
        <v>45.8</v>
      </c>
      <c r="AB1836" s="7">
        <v>29.1</v>
      </c>
    </row>
    <row r="1837" spans="2:28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</row>
    <row r="1838" spans="2:28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</row>
    <row r="1839" spans="2:28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  <c r="W1839" s="7">
        <v>25.1</v>
      </c>
      <c r="X1839" s="7">
        <v>20.399999999999999</v>
      </c>
      <c r="Y1839" s="7">
        <v>21.8</v>
      </c>
      <c r="Z1839" s="7">
        <v>12.9</v>
      </c>
      <c r="AA1839" s="7">
        <v>10.9</v>
      </c>
      <c r="AB1839" s="7">
        <v>10.9</v>
      </c>
    </row>
    <row r="1840" spans="2:28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</row>
    <row r="1841" spans="2:28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  <c r="W1841" s="7">
        <v>47.6</v>
      </c>
      <c r="X1841" s="7">
        <v>49</v>
      </c>
      <c r="Y1841" s="7">
        <v>48.5</v>
      </c>
      <c r="Z1841" s="7">
        <v>45.2</v>
      </c>
      <c r="AA1841" s="7">
        <v>41.3</v>
      </c>
      <c r="AB1841" s="7">
        <v>36.1</v>
      </c>
    </row>
    <row r="1842" spans="2:28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1433.1</v>
      </c>
      <c r="AB1842" s="7">
        <v>1449.5</v>
      </c>
    </row>
    <row r="1843" spans="2:28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  <c r="W1843" s="7">
        <v>40</v>
      </c>
      <c r="X1843" s="7">
        <v>36.9</v>
      </c>
      <c r="Y1843" s="7">
        <v>49.9</v>
      </c>
      <c r="Z1843" s="7">
        <v>57.3</v>
      </c>
      <c r="AA1843" s="7">
        <v>48.4</v>
      </c>
      <c r="AB1843" s="7">
        <v>49.3</v>
      </c>
    </row>
    <row r="1844" spans="2:28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  <c r="W1844" s="7">
        <v>44.3</v>
      </c>
      <c r="X1844" s="7">
        <v>35.4</v>
      </c>
      <c r="Y1844" s="7">
        <v>28</v>
      </c>
      <c r="Z1844" s="7">
        <v>22.9</v>
      </c>
      <c r="AA1844" s="7">
        <v>25.2</v>
      </c>
      <c r="AB1844" s="7">
        <v>22.4</v>
      </c>
    </row>
    <row r="1845" spans="2:28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</row>
    <row r="1846" spans="2:28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  <c r="W1846" s="7">
        <v>703.5</v>
      </c>
      <c r="X1846" s="7">
        <v>745.4</v>
      </c>
      <c r="Y1846" s="7">
        <v>738.6</v>
      </c>
      <c r="Z1846" s="7">
        <v>770.1</v>
      </c>
      <c r="AA1846" s="7">
        <v>779.9</v>
      </c>
      <c r="AB1846" s="7">
        <v>746.4</v>
      </c>
    </row>
    <row r="1847" spans="2:28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  <c r="W1847" s="7">
        <v>36.200000000000003</v>
      </c>
      <c r="X1847" s="7">
        <v>46.8</v>
      </c>
      <c r="Y1847" s="7">
        <v>45.5</v>
      </c>
      <c r="Z1847" s="7">
        <v>28.1</v>
      </c>
      <c r="AA1847" s="7">
        <v>35</v>
      </c>
      <c r="AB1847" s="7">
        <v>32.200000000000003</v>
      </c>
    </row>
    <row r="1848" spans="2:28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  <c r="W1848" s="7">
        <v>34.1</v>
      </c>
      <c r="X1848" s="7">
        <v>31</v>
      </c>
      <c r="Y1848" s="7">
        <v>47.1</v>
      </c>
      <c r="Z1848" s="7">
        <v>47.6</v>
      </c>
      <c r="AA1848" s="7">
        <v>48.4</v>
      </c>
      <c r="AB1848" s="7">
        <v>39.200000000000003</v>
      </c>
    </row>
    <row r="1849" spans="2:28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  <c r="W1849" s="7">
        <v>29.2</v>
      </c>
      <c r="X1849" s="7">
        <v>27.6</v>
      </c>
      <c r="Y1849" s="7">
        <v>24.4</v>
      </c>
      <c r="Z1849" s="7">
        <v>29.4</v>
      </c>
      <c r="AA1849" s="7">
        <v>27.7</v>
      </c>
      <c r="AB1849" s="7">
        <v>23.4</v>
      </c>
    </row>
    <row r="1850" spans="2:28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  <c r="W1850" s="7">
        <v>22.7</v>
      </c>
      <c r="X1850" s="7">
        <v>22.1</v>
      </c>
      <c r="Y1850" s="7">
        <v>23.3</v>
      </c>
      <c r="Z1850" s="7">
        <v>21.7</v>
      </c>
      <c r="AA1850" s="7">
        <v>21.9</v>
      </c>
      <c r="AB1850" s="7">
        <v>28.7</v>
      </c>
    </row>
    <row r="1851" spans="2:28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  <c r="W1851" s="7">
        <v>13.9</v>
      </c>
      <c r="X1851" s="7">
        <v>12.3</v>
      </c>
      <c r="Y1851" s="7">
        <v>14</v>
      </c>
      <c r="Z1851" s="7">
        <v>12.8</v>
      </c>
      <c r="AA1851" s="7">
        <v>17.2</v>
      </c>
      <c r="AB1851" s="7">
        <v>15.3</v>
      </c>
    </row>
    <row r="1852" spans="2:28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  <c r="W1852" s="7">
        <v>34.6</v>
      </c>
      <c r="X1852" s="7">
        <v>24.6</v>
      </c>
      <c r="Y1852" s="7">
        <v>26.3</v>
      </c>
      <c r="Z1852" s="7">
        <v>26.5</v>
      </c>
      <c r="AA1852" s="7">
        <v>27.6</v>
      </c>
      <c r="AB1852" s="7">
        <v>30.9</v>
      </c>
    </row>
    <row r="1853" spans="2:28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  <c r="W1853" s="7">
        <v>19.2</v>
      </c>
      <c r="X1853" s="7">
        <v>13.8</v>
      </c>
      <c r="Y1853" s="7">
        <v>30.5</v>
      </c>
      <c r="Z1853" s="7">
        <v>15.7</v>
      </c>
      <c r="AA1853" s="7">
        <v>19.8</v>
      </c>
      <c r="AB1853" s="7">
        <v>17.899999999999999</v>
      </c>
    </row>
    <row r="1854" spans="2:28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  <c r="W1854" s="7">
        <v>73.8</v>
      </c>
      <c r="X1854" s="7">
        <v>64.099999999999994</v>
      </c>
      <c r="Y1854" s="7">
        <v>60.6</v>
      </c>
      <c r="Z1854" s="7">
        <v>62.7</v>
      </c>
      <c r="AA1854" s="7">
        <v>43.2</v>
      </c>
      <c r="AB1854" s="7">
        <v>37.200000000000003</v>
      </c>
    </row>
    <row r="1855" spans="2:28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</row>
    <row r="1856" spans="2:28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  <c r="W1856" s="7">
        <v>29.3</v>
      </c>
      <c r="X1856" s="7">
        <v>30.8</v>
      </c>
      <c r="Y1856" s="7">
        <v>38.5</v>
      </c>
      <c r="Z1856" s="7">
        <v>39</v>
      </c>
      <c r="AA1856" s="7">
        <v>34.9</v>
      </c>
      <c r="AB1856" s="7">
        <v>20.9</v>
      </c>
    </row>
    <row r="1857" spans="2:28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</row>
    <row r="1858" spans="2:28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</row>
    <row r="1859" spans="2:28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</row>
    <row r="1860" spans="2:28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  <c r="W1860" s="7">
        <v>56.6</v>
      </c>
      <c r="X1860" s="7">
        <v>65.8</v>
      </c>
      <c r="Y1860" s="7">
        <v>82.4</v>
      </c>
      <c r="Z1860" s="7">
        <v>112.2</v>
      </c>
      <c r="AA1860" s="7">
        <v>99.6</v>
      </c>
      <c r="AB1860" s="7">
        <v>100.7</v>
      </c>
    </row>
    <row r="1861" spans="2:28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  <c r="W1861" s="7">
        <v>82.3</v>
      </c>
      <c r="X1861" s="7">
        <v>81.2</v>
      </c>
      <c r="Y1861" s="7">
        <v>68.2</v>
      </c>
      <c r="Z1861" s="7">
        <v>63.8</v>
      </c>
      <c r="AA1861" s="7">
        <v>68.900000000000006</v>
      </c>
      <c r="AB1861" s="7">
        <v>52.4</v>
      </c>
    </row>
    <row r="1862" spans="2:28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  <c r="W1862" s="7">
        <v>178.5</v>
      </c>
      <c r="X1862" s="7">
        <v>175.7</v>
      </c>
      <c r="Y1862" s="7">
        <v>169.8</v>
      </c>
      <c r="Z1862" s="7">
        <v>223.3</v>
      </c>
      <c r="AA1862" s="7">
        <v>219.4</v>
      </c>
      <c r="AB1862" s="7">
        <v>194.7</v>
      </c>
    </row>
    <row r="1863" spans="2:28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  <c r="W1863" s="7">
        <v>100.4</v>
      </c>
      <c r="X1863" s="7">
        <v>108.4</v>
      </c>
      <c r="Y1863" s="7">
        <v>93.6</v>
      </c>
      <c r="Z1863" s="7">
        <v>107.3</v>
      </c>
      <c r="AA1863" s="7">
        <v>97.7</v>
      </c>
      <c r="AB1863" s="7">
        <v>90.7</v>
      </c>
    </row>
    <row r="1864" spans="2:28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  <c r="W1864" s="7">
        <v>29.2</v>
      </c>
      <c r="X1864" s="7">
        <v>20.399999999999999</v>
      </c>
      <c r="Y1864" s="7">
        <v>26.5</v>
      </c>
      <c r="Z1864" s="7">
        <v>27.3</v>
      </c>
      <c r="AA1864" s="7">
        <v>29.1</v>
      </c>
      <c r="AB1864" s="7">
        <v>35.6</v>
      </c>
    </row>
    <row r="1865" spans="2:28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</row>
    <row r="1866" spans="2:28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  <c r="W1866" s="7">
        <v>39.1</v>
      </c>
      <c r="X1866" s="7">
        <v>38.6</v>
      </c>
      <c r="Y1866" s="7">
        <v>47.4</v>
      </c>
      <c r="Z1866" s="7">
        <v>42.4</v>
      </c>
      <c r="AA1866" s="7">
        <v>39.4</v>
      </c>
      <c r="AB1866" s="7">
        <v>32</v>
      </c>
    </row>
    <row r="1867" spans="2:28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  <c r="W1867" s="7">
        <v>100.4</v>
      </c>
      <c r="X1867" s="7">
        <v>99.6</v>
      </c>
      <c r="Y1867" s="7">
        <v>116.4</v>
      </c>
      <c r="Z1867" s="7">
        <v>129.5</v>
      </c>
      <c r="AA1867" s="7">
        <v>143.9</v>
      </c>
      <c r="AB1867" s="7">
        <v>121.6</v>
      </c>
    </row>
    <row r="1868" spans="2:28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  <c r="W1868" s="7">
        <v>720.6</v>
      </c>
      <c r="X1868" s="7">
        <v>395.3</v>
      </c>
      <c r="Y1868" s="7">
        <v>546.20000000000005</v>
      </c>
      <c r="Z1868" s="7">
        <v>635.5</v>
      </c>
      <c r="AA1868" s="7">
        <v>570.5</v>
      </c>
      <c r="AB1868" s="7">
        <v>470.9</v>
      </c>
    </row>
    <row r="1869" spans="2:28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  <c r="W1869" s="7">
        <v>81.5</v>
      </c>
      <c r="X1869" s="7">
        <v>45.5</v>
      </c>
      <c r="Y1869" s="7">
        <v>25.4</v>
      </c>
      <c r="Z1869" s="7">
        <v>143.80000000000001</v>
      </c>
      <c r="AA1869" s="7">
        <v>113.1</v>
      </c>
      <c r="AB1869" s="7">
        <v>110</v>
      </c>
    </row>
    <row r="1870" spans="2:28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</row>
    <row r="1871" spans="2:28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  <c r="W1871" s="7">
        <v>91.1</v>
      </c>
      <c r="X1871" s="7">
        <v>81.5</v>
      </c>
      <c r="Y1871" s="7">
        <v>90</v>
      </c>
      <c r="Z1871" s="7">
        <v>114.7</v>
      </c>
      <c r="AA1871" s="7">
        <v>121.6</v>
      </c>
      <c r="AB1871" s="7">
        <v>117</v>
      </c>
    </row>
    <row r="1872" spans="2:28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</row>
    <row r="1873" spans="2:28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  <c r="W1873" s="7">
        <v>70.400000000000006</v>
      </c>
      <c r="X1873" s="7">
        <v>63.7</v>
      </c>
      <c r="Y1873" s="7">
        <v>61</v>
      </c>
      <c r="Z1873" s="7">
        <v>103.3</v>
      </c>
      <c r="AA1873" s="7">
        <v>102.5</v>
      </c>
      <c r="AB1873" s="7">
        <v>107.7</v>
      </c>
    </row>
    <row r="1874" spans="2:28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  <c r="W1874" s="7">
        <v>98.1</v>
      </c>
      <c r="X1874" s="7">
        <v>85.2</v>
      </c>
      <c r="Y1874" s="7">
        <v>74.7</v>
      </c>
      <c r="Z1874" s="7">
        <v>85.9</v>
      </c>
      <c r="AA1874" s="7">
        <v>80.400000000000006</v>
      </c>
      <c r="AB1874" s="7">
        <v>75.3</v>
      </c>
    </row>
    <row r="1875" spans="2:28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  <c r="W1875" s="7">
        <v>88.4</v>
      </c>
      <c r="X1875" s="7">
        <v>82.4</v>
      </c>
      <c r="Y1875" s="7">
        <v>82</v>
      </c>
      <c r="Z1875" s="7">
        <v>82.5</v>
      </c>
      <c r="AA1875" s="7">
        <v>67.900000000000006</v>
      </c>
      <c r="AB1875" s="7">
        <v>92.9</v>
      </c>
    </row>
    <row r="1876" spans="2:28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  <c r="W1876" s="7">
        <v>237.3</v>
      </c>
      <c r="X1876" s="7">
        <v>228.5</v>
      </c>
      <c r="Y1876" s="7">
        <v>225.1</v>
      </c>
      <c r="Z1876" s="7">
        <v>344.9</v>
      </c>
      <c r="AA1876" s="7">
        <v>352.9</v>
      </c>
      <c r="AB1876" s="7">
        <v>365.3</v>
      </c>
    </row>
    <row r="1877" spans="2:28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  <c r="W1877" s="7">
        <v>37</v>
      </c>
      <c r="X1877" s="7">
        <v>35</v>
      </c>
      <c r="Y1877" s="7">
        <v>42.9</v>
      </c>
      <c r="Z1877" s="7">
        <v>42.1</v>
      </c>
      <c r="AA1877" s="7">
        <v>51.7</v>
      </c>
      <c r="AB1877" s="7">
        <v>50.5</v>
      </c>
    </row>
    <row r="1878" spans="2:28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  <c r="W1878" s="7">
        <v>54.9</v>
      </c>
      <c r="X1878" s="7">
        <v>46.2</v>
      </c>
      <c r="Y1878" s="7">
        <v>48.1</v>
      </c>
      <c r="Z1878" s="7">
        <v>54.4</v>
      </c>
      <c r="AA1878" s="7">
        <v>37.9</v>
      </c>
      <c r="AB1878" s="7">
        <v>22.6</v>
      </c>
    </row>
    <row r="1879" spans="2:28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  <c r="W1879" s="7">
        <v>142.1</v>
      </c>
      <c r="X1879" s="7">
        <v>130</v>
      </c>
      <c r="Y1879" s="7">
        <v>127.5</v>
      </c>
      <c r="Z1879" s="7">
        <v>111.9</v>
      </c>
      <c r="AA1879" s="7">
        <v>127.2</v>
      </c>
      <c r="AB1879" s="7">
        <v>103.8</v>
      </c>
    </row>
    <row r="1880" spans="2:28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</row>
    <row r="1881" spans="2:28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  <c r="W1881" s="7">
        <v>57</v>
      </c>
      <c r="X1881" s="7">
        <v>60.5</v>
      </c>
      <c r="Y1881" s="7">
        <v>64</v>
      </c>
      <c r="Z1881" s="7">
        <v>58.9</v>
      </c>
      <c r="AA1881" s="7">
        <v>73</v>
      </c>
      <c r="AB1881" s="7">
        <v>105.4</v>
      </c>
    </row>
    <row r="1882" spans="2:28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</row>
    <row r="1883" spans="2:28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</row>
    <row r="1884" spans="2:28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  <c r="W1884" s="7">
        <v>39.799999999999997</v>
      </c>
      <c r="X1884" s="7">
        <v>32.200000000000003</v>
      </c>
      <c r="Y1884" s="7">
        <v>35.6</v>
      </c>
      <c r="Z1884" s="7">
        <v>36.1</v>
      </c>
      <c r="AA1884" s="7">
        <v>35.799999999999997</v>
      </c>
      <c r="AB1884" s="7">
        <v>25.1</v>
      </c>
    </row>
    <row r="1885" spans="2:28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  <c r="W1885" s="7">
        <v>67</v>
      </c>
      <c r="X1885" s="7">
        <v>62.2</v>
      </c>
      <c r="Y1885" s="7">
        <v>80.2</v>
      </c>
      <c r="Z1885" s="7">
        <v>72.2</v>
      </c>
      <c r="AA1885" s="7">
        <v>70.8</v>
      </c>
      <c r="AB1885" s="7">
        <v>67.7</v>
      </c>
    </row>
    <row r="1886" spans="2:28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  <c r="W1886" s="7">
        <v>109.2</v>
      </c>
      <c r="X1886" s="7">
        <v>95.3</v>
      </c>
      <c r="Y1886" s="7">
        <v>130.5</v>
      </c>
      <c r="Z1886" s="7">
        <v>159.69999999999999</v>
      </c>
      <c r="AA1886" s="7">
        <v>163.30000000000001</v>
      </c>
      <c r="AB1886" s="7">
        <v>163.19999999999999</v>
      </c>
    </row>
    <row r="1887" spans="2:28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  <c r="W1887" s="7">
        <v>17.5</v>
      </c>
      <c r="X1887" s="7">
        <v>11.1</v>
      </c>
      <c r="Y1887" s="7">
        <v>21.4</v>
      </c>
      <c r="Z1887" s="7">
        <v>16.600000000000001</v>
      </c>
      <c r="AA1887" s="7">
        <v>19.3</v>
      </c>
      <c r="AB1887" s="7">
        <v>25.3</v>
      </c>
    </row>
    <row r="1888" spans="2:28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</row>
    <row r="1889" spans="2:28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</row>
    <row r="1890" spans="2:28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0</v>
      </c>
      <c r="AB1890" s="7">
        <v>0</v>
      </c>
    </row>
    <row r="1891" spans="2:28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</row>
    <row r="1892" spans="2:28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  <c r="W1892" s="7">
        <v>73.400000000000006</v>
      </c>
      <c r="X1892" s="7">
        <v>60.9</v>
      </c>
      <c r="Y1892" s="7">
        <v>70.3</v>
      </c>
      <c r="Z1892" s="7">
        <v>69.099999999999994</v>
      </c>
      <c r="AA1892" s="7">
        <v>102.9</v>
      </c>
      <c r="AB1892" s="7">
        <v>90.3</v>
      </c>
    </row>
    <row r="1893" spans="2:28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  <c r="W1893" s="7">
        <v>48.7</v>
      </c>
      <c r="X1893" s="7">
        <v>45.1</v>
      </c>
      <c r="Y1893" s="7">
        <v>43.6</v>
      </c>
      <c r="Z1893" s="7">
        <v>43.6</v>
      </c>
      <c r="AA1893" s="7">
        <v>57.2</v>
      </c>
      <c r="AB1893" s="7">
        <v>42</v>
      </c>
    </row>
    <row r="1894" spans="2:28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  <c r="W1894" s="7">
        <v>14.8</v>
      </c>
      <c r="X1894" s="7">
        <v>9.6</v>
      </c>
      <c r="Y1894" s="7">
        <v>12.6</v>
      </c>
      <c r="Z1894" s="7">
        <v>14.1</v>
      </c>
      <c r="AA1894" s="7">
        <v>23.9</v>
      </c>
      <c r="AB1894" s="7">
        <v>15</v>
      </c>
    </row>
    <row r="1895" spans="2:28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</row>
    <row r="1896" spans="2:28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  <c r="W1896" s="7">
        <v>74.099999999999994</v>
      </c>
      <c r="X1896" s="7">
        <v>27.8</v>
      </c>
      <c r="Y1896" s="7">
        <v>12.5</v>
      </c>
      <c r="Z1896" s="7">
        <v>0</v>
      </c>
      <c r="AA1896" s="7">
        <v>0</v>
      </c>
      <c r="AB1896" s="7">
        <v>0</v>
      </c>
    </row>
    <row r="1897" spans="2:28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  <c r="W1897" s="7">
        <v>128.30000000000001</v>
      </c>
      <c r="X1897" s="7">
        <v>131.6</v>
      </c>
      <c r="Y1897" s="7">
        <v>147.69999999999999</v>
      </c>
      <c r="Z1897" s="7">
        <v>130</v>
      </c>
      <c r="AA1897" s="7">
        <v>116.9</v>
      </c>
      <c r="AB1897" s="7">
        <v>110.4</v>
      </c>
    </row>
    <row r="1898" spans="2:28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  <c r="W1898" s="7">
        <v>125.2</v>
      </c>
      <c r="X1898" s="7">
        <v>128.1</v>
      </c>
      <c r="Y1898" s="7">
        <v>136.6</v>
      </c>
      <c r="Z1898" s="7">
        <v>155</v>
      </c>
      <c r="AA1898" s="7">
        <v>154.69999999999999</v>
      </c>
      <c r="AB1898" s="7">
        <v>138.1</v>
      </c>
    </row>
    <row r="1899" spans="2:28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</row>
    <row r="1900" spans="2:28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</row>
    <row r="1901" spans="2:28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7.5</v>
      </c>
      <c r="Y1901" s="7">
        <v>0</v>
      </c>
      <c r="Z1901" s="7">
        <v>0</v>
      </c>
      <c r="AA1901" s="7">
        <v>0</v>
      </c>
      <c r="AB1901" s="7">
        <v>0</v>
      </c>
    </row>
    <row r="1902" spans="2:28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</row>
    <row r="1903" spans="2:28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  <c r="W1903" s="7">
        <v>26.2</v>
      </c>
      <c r="X1903" s="7">
        <v>32</v>
      </c>
      <c r="Y1903" s="7">
        <v>42.3</v>
      </c>
      <c r="Z1903" s="7">
        <v>62.8</v>
      </c>
      <c r="AA1903" s="7">
        <v>59.7</v>
      </c>
      <c r="AB1903" s="7">
        <v>50.2</v>
      </c>
    </row>
    <row r="1904" spans="2:28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  <c r="W1904" s="7">
        <v>54.2</v>
      </c>
      <c r="X1904" s="7">
        <v>12.7</v>
      </c>
      <c r="Y1904" s="7">
        <v>0</v>
      </c>
      <c r="Z1904" s="7">
        <v>19.3</v>
      </c>
      <c r="AA1904" s="7">
        <v>80.5</v>
      </c>
      <c r="AB1904" s="7">
        <v>71.3</v>
      </c>
    </row>
    <row r="1905" spans="2:28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  <c r="W1905" s="7">
        <v>188.4</v>
      </c>
      <c r="X1905" s="7">
        <v>124.4</v>
      </c>
      <c r="Y1905" s="7">
        <v>228.6</v>
      </c>
      <c r="Z1905" s="7">
        <v>233</v>
      </c>
      <c r="AA1905" s="7">
        <v>237.7</v>
      </c>
      <c r="AB1905" s="7">
        <v>152.80000000000001</v>
      </c>
    </row>
    <row r="1906" spans="2:28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  <c r="W1906" s="7">
        <v>46.3</v>
      </c>
      <c r="X1906" s="7">
        <v>27.3</v>
      </c>
      <c r="Y1906" s="7">
        <v>0</v>
      </c>
      <c r="Z1906" s="7">
        <v>2</v>
      </c>
      <c r="AA1906" s="7">
        <v>106.2</v>
      </c>
      <c r="AB1906" s="7">
        <v>64.400000000000006</v>
      </c>
    </row>
    <row r="1907" spans="2:28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  <c r="W1907" s="7">
        <v>89.4</v>
      </c>
      <c r="X1907" s="7">
        <v>89</v>
      </c>
      <c r="Y1907" s="7">
        <v>114.7</v>
      </c>
      <c r="Z1907" s="7">
        <v>172.7</v>
      </c>
      <c r="AA1907" s="7">
        <v>261.3</v>
      </c>
      <c r="AB1907" s="7">
        <v>30.1</v>
      </c>
    </row>
    <row r="1908" spans="2:28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257.3</v>
      </c>
      <c r="AB1908" s="7">
        <v>0</v>
      </c>
    </row>
    <row r="1909" spans="2:28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  <c r="W1909" s="7">
        <v>36.9</v>
      </c>
      <c r="X1909" s="7">
        <v>35.9</v>
      </c>
      <c r="Y1909" s="7">
        <v>59.4</v>
      </c>
      <c r="Z1909" s="7">
        <v>66.099999999999994</v>
      </c>
      <c r="AA1909" s="7">
        <v>41.8</v>
      </c>
      <c r="AB1909" s="7">
        <v>31.3</v>
      </c>
    </row>
    <row r="1910" spans="2:28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  <c r="W1910" s="7">
        <v>26.9</v>
      </c>
      <c r="X1910" s="7">
        <v>42.8</v>
      </c>
      <c r="Y1910" s="7">
        <v>34.6</v>
      </c>
      <c r="Z1910" s="7">
        <v>34.200000000000003</v>
      </c>
      <c r="AA1910" s="7">
        <v>27.5</v>
      </c>
      <c r="AB1910" s="7">
        <v>29.6</v>
      </c>
    </row>
    <row r="1911" spans="2:28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</row>
    <row r="1912" spans="2:28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</row>
    <row r="1913" spans="2:28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  <c r="W1913" s="7">
        <v>19.2</v>
      </c>
      <c r="X1913" s="7">
        <v>36.299999999999997</v>
      </c>
      <c r="Y1913" s="7">
        <v>39.1</v>
      </c>
      <c r="Z1913" s="7">
        <v>40.6</v>
      </c>
      <c r="AA1913" s="7">
        <v>37.4</v>
      </c>
      <c r="AB1913" s="7">
        <v>44.6</v>
      </c>
    </row>
    <row r="1914" spans="2:28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  <c r="W1914" s="7">
        <v>38.700000000000003</v>
      </c>
      <c r="X1914" s="7">
        <v>46.6</v>
      </c>
      <c r="Y1914" s="7">
        <v>45.7</v>
      </c>
      <c r="Z1914" s="7">
        <v>39.799999999999997</v>
      </c>
      <c r="AA1914" s="7">
        <v>40.200000000000003</v>
      </c>
      <c r="AB1914" s="7">
        <v>42.4</v>
      </c>
    </row>
    <row r="1915" spans="2:28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  <c r="W1915" s="7">
        <v>61.2</v>
      </c>
      <c r="X1915" s="7">
        <v>62.8</v>
      </c>
      <c r="Y1915" s="7">
        <v>54.1</v>
      </c>
      <c r="Z1915" s="7">
        <v>42.7</v>
      </c>
      <c r="AA1915" s="7">
        <v>80.400000000000006</v>
      </c>
      <c r="AB1915" s="7">
        <v>66.599999999999994</v>
      </c>
    </row>
    <row r="1916" spans="2:28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  <c r="W1916" s="7">
        <v>30.1</v>
      </c>
      <c r="X1916" s="7">
        <v>26.1</v>
      </c>
      <c r="Y1916" s="7">
        <v>28.5</v>
      </c>
      <c r="Z1916" s="7">
        <v>23.6</v>
      </c>
      <c r="AA1916" s="7">
        <v>34.4</v>
      </c>
      <c r="AB1916" s="7">
        <v>42.2</v>
      </c>
    </row>
    <row r="1917" spans="2:28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  <c r="W1917" s="7">
        <v>76.5</v>
      </c>
      <c r="X1917" s="7">
        <v>81.099999999999994</v>
      </c>
      <c r="Y1917" s="7">
        <v>86</v>
      </c>
      <c r="Z1917" s="7">
        <v>86.1</v>
      </c>
      <c r="AA1917" s="7">
        <v>80.099999999999994</v>
      </c>
      <c r="AB1917" s="7">
        <v>81.2</v>
      </c>
    </row>
    <row r="1918" spans="2:28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41</v>
      </c>
      <c r="AA1918" s="7">
        <v>50.9</v>
      </c>
      <c r="AB1918" s="7">
        <v>37.4</v>
      </c>
    </row>
    <row r="1919" spans="2:28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  <c r="W1919" s="7">
        <v>23.6</v>
      </c>
      <c r="X1919" s="7">
        <v>20.399999999999999</v>
      </c>
      <c r="Y1919" s="7">
        <v>25.4</v>
      </c>
      <c r="Z1919" s="7">
        <v>28.2</v>
      </c>
      <c r="AA1919" s="7">
        <v>21</v>
      </c>
      <c r="AB1919" s="7">
        <v>19.899999999999999</v>
      </c>
    </row>
    <row r="1920" spans="2:28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</row>
    <row r="1921" spans="2:28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223.6</v>
      </c>
      <c r="AA1921" s="7">
        <v>316.60000000000002</v>
      </c>
      <c r="AB1921" s="7">
        <v>245.4</v>
      </c>
    </row>
    <row r="1922" spans="2:28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  <c r="W1922" s="7">
        <v>2</v>
      </c>
      <c r="X1922" s="7">
        <v>2.1</v>
      </c>
      <c r="Y1922" s="7">
        <v>19</v>
      </c>
      <c r="Z1922" s="7">
        <v>14.8</v>
      </c>
      <c r="AA1922" s="7">
        <v>10</v>
      </c>
      <c r="AB1922" s="7">
        <v>7.4</v>
      </c>
    </row>
    <row r="1923" spans="2:28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  <c r="W1923" s="7">
        <v>37.700000000000003</v>
      </c>
      <c r="X1923" s="7">
        <v>51.1</v>
      </c>
      <c r="Y1923" s="7">
        <v>47.4</v>
      </c>
      <c r="Z1923" s="7">
        <v>62.5</v>
      </c>
      <c r="AA1923" s="7">
        <v>65</v>
      </c>
      <c r="AB1923" s="7">
        <v>68.3</v>
      </c>
    </row>
    <row r="1924" spans="2:28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</row>
    <row r="1925" spans="2:28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  <c r="W1925" s="7">
        <v>17.100000000000001</v>
      </c>
      <c r="X1925" s="7">
        <v>16.399999999999999</v>
      </c>
      <c r="Y1925" s="7">
        <v>52.2</v>
      </c>
      <c r="Z1925" s="7">
        <v>50.9</v>
      </c>
      <c r="AA1925" s="7">
        <v>58.5</v>
      </c>
      <c r="AB1925" s="7">
        <v>75</v>
      </c>
    </row>
    <row r="1926" spans="2:28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  <c r="W1926" s="7">
        <v>24.4</v>
      </c>
      <c r="X1926" s="7">
        <v>26.4</v>
      </c>
      <c r="Y1926" s="7">
        <v>23.7</v>
      </c>
      <c r="Z1926" s="7">
        <v>20.7</v>
      </c>
      <c r="AA1926" s="7">
        <v>24.4</v>
      </c>
      <c r="AB1926" s="7">
        <v>31.1</v>
      </c>
    </row>
    <row r="1927" spans="2:28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3.9</v>
      </c>
      <c r="AA1927" s="7">
        <v>61.7</v>
      </c>
      <c r="AB1927" s="7">
        <v>0</v>
      </c>
    </row>
    <row r="1928" spans="2:28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  <c r="W1928" s="7">
        <v>33.200000000000003</v>
      </c>
      <c r="X1928" s="7">
        <v>40.5</v>
      </c>
      <c r="Y1928" s="7">
        <v>27.3</v>
      </c>
      <c r="Z1928" s="7">
        <v>5</v>
      </c>
      <c r="AA1928" s="7">
        <v>0</v>
      </c>
      <c r="AB1928" s="7">
        <v>0</v>
      </c>
    </row>
    <row r="1929" spans="2:28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  <c r="W1929" s="7">
        <v>106.7</v>
      </c>
      <c r="X1929" s="7">
        <v>107.3</v>
      </c>
      <c r="Y1929" s="7">
        <v>113.1</v>
      </c>
      <c r="Z1929" s="7">
        <v>105.4</v>
      </c>
      <c r="AA1929" s="7">
        <v>79.400000000000006</v>
      </c>
      <c r="AB1929" s="7">
        <v>27.6</v>
      </c>
    </row>
    <row r="1930" spans="2:28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</row>
    <row r="1931" spans="2:28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</row>
    <row r="1932" spans="2:28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39.799999999999997</v>
      </c>
      <c r="Y1932" s="7">
        <v>9.4</v>
      </c>
      <c r="Z1932" s="7">
        <v>0</v>
      </c>
      <c r="AA1932" s="7">
        <v>0</v>
      </c>
      <c r="AB1932" s="7">
        <v>0</v>
      </c>
    </row>
    <row r="1933" spans="2:28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</row>
    <row r="1934" spans="2:28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</row>
    <row r="1935" spans="2:28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  <c r="W1935" s="7">
        <v>11.7</v>
      </c>
      <c r="X1935" s="7">
        <v>33.9</v>
      </c>
      <c r="Y1935" s="7">
        <v>15.1</v>
      </c>
      <c r="Z1935" s="7">
        <v>126.2</v>
      </c>
      <c r="AA1935" s="7">
        <v>97.5</v>
      </c>
      <c r="AB1935" s="7">
        <v>72.3</v>
      </c>
    </row>
    <row r="1936" spans="2:28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</row>
    <row r="1937" spans="2:28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  <c r="W1937" s="7">
        <v>2328.5</v>
      </c>
      <c r="X1937" s="7">
        <v>1742.5</v>
      </c>
      <c r="Y1937" s="7">
        <v>1632</v>
      </c>
      <c r="Z1937" s="7">
        <v>1065.9000000000001</v>
      </c>
      <c r="AA1937" s="7">
        <v>2971.1</v>
      </c>
      <c r="AB1937" s="7">
        <v>1551.2</v>
      </c>
    </row>
    <row r="1938" spans="2:28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  <c r="W1938" s="7">
        <v>10.1</v>
      </c>
      <c r="X1938" s="7">
        <v>16.899999999999999</v>
      </c>
      <c r="Y1938" s="7">
        <v>15.8</v>
      </c>
      <c r="Z1938" s="7">
        <v>16.3</v>
      </c>
      <c r="AA1938" s="7">
        <v>12</v>
      </c>
      <c r="AB1938" s="7">
        <v>1.9</v>
      </c>
    </row>
    <row r="1939" spans="2:28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  <c r="W1939" s="7">
        <v>12.1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</row>
    <row r="1940" spans="2:28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  <c r="W1940" s="7">
        <v>198.4</v>
      </c>
      <c r="X1940" s="7">
        <v>136</v>
      </c>
      <c r="Y1940" s="7">
        <v>199.9</v>
      </c>
      <c r="Z1940" s="7">
        <v>312.8</v>
      </c>
      <c r="AA1940" s="7">
        <v>74.099999999999994</v>
      </c>
      <c r="AB1940" s="7">
        <v>169.6</v>
      </c>
    </row>
    <row r="1941" spans="2:28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  <c r="W1941" s="7">
        <v>221</v>
      </c>
      <c r="X1941" s="7">
        <v>154.19999999999999</v>
      </c>
      <c r="Y1941" s="7">
        <v>110.5</v>
      </c>
      <c r="Z1941" s="7">
        <v>134.30000000000001</v>
      </c>
      <c r="AA1941" s="7">
        <v>116.3</v>
      </c>
      <c r="AB1941" s="7">
        <v>8.1</v>
      </c>
    </row>
    <row r="1942" spans="2:28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  <c r="W1942" s="7">
        <v>220.5</v>
      </c>
      <c r="X1942" s="7">
        <v>211</v>
      </c>
      <c r="Y1942" s="7">
        <v>208.9</v>
      </c>
      <c r="Z1942" s="7">
        <v>318.60000000000002</v>
      </c>
      <c r="AA1942" s="7">
        <v>301.2</v>
      </c>
      <c r="AB1942" s="7">
        <v>269.39999999999998</v>
      </c>
    </row>
    <row r="1943" spans="2:28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  <c r="W1943" s="7">
        <v>35.299999999999997</v>
      </c>
      <c r="X1943" s="7">
        <v>36.4</v>
      </c>
      <c r="Y1943" s="7">
        <v>69.3</v>
      </c>
      <c r="Z1943" s="7">
        <v>137.4</v>
      </c>
      <c r="AA1943" s="7">
        <v>176.1</v>
      </c>
      <c r="AB1943" s="7">
        <v>184.4</v>
      </c>
    </row>
    <row r="1944" spans="2:28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  <c r="W1944" s="7">
        <v>98.7</v>
      </c>
      <c r="X1944" s="7">
        <v>129.69999999999999</v>
      </c>
      <c r="Y1944" s="7">
        <v>170.1</v>
      </c>
      <c r="Z1944" s="7">
        <v>175.9</v>
      </c>
      <c r="AA1944" s="7">
        <v>207.4</v>
      </c>
      <c r="AB1944" s="7">
        <v>128.9</v>
      </c>
    </row>
    <row r="1945" spans="2:28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  <c r="W1945" s="7">
        <v>74.7</v>
      </c>
      <c r="X1945" s="7">
        <v>62.7</v>
      </c>
      <c r="Y1945" s="7">
        <v>87.1</v>
      </c>
      <c r="Z1945" s="7">
        <v>84.4</v>
      </c>
      <c r="AA1945" s="7">
        <v>88.6</v>
      </c>
      <c r="AB1945" s="7">
        <v>88.7</v>
      </c>
    </row>
    <row r="1946" spans="2:28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  <c r="W1946" s="7">
        <v>123.4</v>
      </c>
      <c r="X1946" s="7">
        <v>131.69999999999999</v>
      </c>
      <c r="Y1946" s="7">
        <v>85.7</v>
      </c>
      <c r="Z1946" s="7">
        <v>97</v>
      </c>
      <c r="AA1946" s="7">
        <v>82</v>
      </c>
      <c r="AB1946" s="7">
        <v>82.2</v>
      </c>
    </row>
    <row r="1947" spans="2:28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  <c r="W1947" s="7">
        <v>6.8</v>
      </c>
      <c r="X1947" s="7">
        <v>5.3</v>
      </c>
      <c r="Y1947" s="7">
        <v>6</v>
      </c>
      <c r="Z1947" s="7">
        <v>7.2</v>
      </c>
      <c r="AA1947" s="7">
        <v>5.3</v>
      </c>
      <c r="AB1947" s="7">
        <v>5.0999999999999996</v>
      </c>
    </row>
    <row r="1948" spans="2:28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</row>
    <row r="1949" spans="2:28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  <c r="W1949" s="7">
        <v>0</v>
      </c>
      <c r="X1949" s="7">
        <v>7.3</v>
      </c>
      <c r="Y1949" s="7">
        <v>2.2999999999999998</v>
      </c>
      <c r="Z1949" s="7">
        <v>0</v>
      </c>
      <c r="AA1949" s="7">
        <v>0</v>
      </c>
      <c r="AB1949" s="7">
        <v>0</v>
      </c>
    </row>
    <row r="1950" spans="2:28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</row>
    <row r="1951" spans="2:28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  <c r="W1951" s="7">
        <v>92.5</v>
      </c>
      <c r="X1951" s="7">
        <v>84</v>
      </c>
      <c r="Y1951" s="7">
        <v>69.3</v>
      </c>
      <c r="Z1951" s="7">
        <v>67.3</v>
      </c>
      <c r="AA1951" s="7">
        <v>69.400000000000006</v>
      </c>
      <c r="AB1951" s="7">
        <v>77.099999999999994</v>
      </c>
    </row>
    <row r="1952" spans="2:28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  <c r="W1952" s="7">
        <v>54.3</v>
      </c>
      <c r="X1952" s="7">
        <v>50.4</v>
      </c>
      <c r="Y1952" s="7">
        <v>68.900000000000006</v>
      </c>
      <c r="Z1952" s="7">
        <v>75</v>
      </c>
      <c r="AA1952" s="7">
        <v>70.5</v>
      </c>
      <c r="AB1952" s="7">
        <v>73.900000000000006</v>
      </c>
    </row>
    <row r="1953" spans="2:28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  <c r="W1953" s="7">
        <v>13</v>
      </c>
      <c r="X1953" s="7">
        <v>26.4</v>
      </c>
      <c r="Y1953" s="7">
        <v>11.7</v>
      </c>
      <c r="Z1953" s="7">
        <v>27.4</v>
      </c>
      <c r="AA1953" s="7">
        <v>41.5</v>
      </c>
      <c r="AB1953" s="7">
        <v>43.9</v>
      </c>
    </row>
    <row r="1954" spans="2:28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  <c r="W1954" s="7">
        <v>104.9</v>
      </c>
      <c r="X1954" s="7">
        <v>96</v>
      </c>
      <c r="Y1954" s="7">
        <v>94</v>
      </c>
      <c r="Z1954" s="7">
        <v>91.8</v>
      </c>
      <c r="AA1954" s="7">
        <v>87.5</v>
      </c>
      <c r="AB1954" s="7">
        <v>94.7</v>
      </c>
    </row>
    <row r="1955" spans="2:28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</row>
    <row r="1956" spans="2:28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  <c r="W1956" s="7">
        <v>108.3</v>
      </c>
      <c r="X1956" s="7">
        <v>151.30000000000001</v>
      </c>
      <c r="Y1956" s="7">
        <v>155.9</v>
      </c>
      <c r="Z1956" s="7">
        <v>131.4</v>
      </c>
      <c r="AA1956" s="7">
        <v>108</v>
      </c>
      <c r="AB1956" s="7">
        <v>101.7</v>
      </c>
    </row>
    <row r="1957" spans="2:28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</row>
    <row r="1958" spans="2:28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  <c r="W1958" s="7">
        <v>218.8</v>
      </c>
      <c r="X1958" s="7">
        <v>205.9</v>
      </c>
      <c r="Y1958" s="7">
        <v>366.1</v>
      </c>
      <c r="Z1958" s="7">
        <v>450.4</v>
      </c>
      <c r="AA1958" s="7">
        <v>391.4</v>
      </c>
      <c r="AB1958" s="7">
        <v>420.9</v>
      </c>
    </row>
    <row r="1959" spans="2:28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  <c r="W1959" s="7">
        <v>51.4</v>
      </c>
      <c r="X1959" s="7">
        <v>68.3</v>
      </c>
      <c r="Y1959" s="7">
        <v>99.2</v>
      </c>
      <c r="Z1959" s="7">
        <v>122.7</v>
      </c>
      <c r="AA1959" s="7">
        <v>119.3</v>
      </c>
      <c r="AB1959" s="7">
        <v>129.5</v>
      </c>
    </row>
    <row r="1960" spans="2:28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  <c r="W1960" s="7">
        <v>59.6</v>
      </c>
      <c r="X1960" s="7">
        <v>67.900000000000006</v>
      </c>
      <c r="Y1960" s="7">
        <v>79.7</v>
      </c>
      <c r="Z1960" s="7">
        <v>77</v>
      </c>
      <c r="AA1960" s="7">
        <v>81.099999999999994</v>
      </c>
      <c r="AB1960" s="7">
        <v>95.7</v>
      </c>
    </row>
    <row r="1961" spans="2:28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  <c r="W1961" s="7">
        <v>66.8</v>
      </c>
      <c r="X1961" s="7">
        <v>65.400000000000006</v>
      </c>
      <c r="Y1961" s="7">
        <v>67.7</v>
      </c>
      <c r="Z1961" s="7">
        <v>66.900000000000006</v>
      </c>
      <c r="AA1961" s="7">
        <v>77</v>
      </c>
      <c r="AB1961" s="7">
        <v>90.3</v>
      </c>
    </row>
    <row r="1962" spans="2:28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  <c r="W1962" s="7">
        <v>17</v>
      </c>
      <c r="X1962" s="7">
        <v>12.9</v>
      </c>
      <c r="Y1962" s="7">
        <v>3.2</v>
      </c>
      <c r="Z1962" s="7">
        <v>0</v>
      </c>
      <c r="AA1962" s="7">
        <v>0</v>
      </c>
      <c r="AB1962" s="7">
        <v>0</v>
      </c>
    </row>
    <row r="1963" spans="2:28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  <c r="W1963" s="7">
        <v>147.80000000000001</v>
      </c>
      <c r="X1963" s="7">
        <v>113.1</v>
      </c>
      <c r="Y1963" s="7">
        <v>176.6</v>
      </c>
      <c r="Z1963" s="7">
        <v>183.8</v>
      </c>
      <c r="AA1963" s="7">
        <v>245.2</v>
      </c>
      <c r="AB1963" s="7">
        <v>206.1</v>
      </c>
    </row>
    <row r="1964" spans="2:28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  <c r="W1964" s="7">
        <v>39.6</v>
      </c>
      <c r="X1964" s="7">
        <v>40.299999999999997</v>
      </c>
      <c r="Y1964" s="7">
        <v>43.1</v>
      </c>
      <c r="Z1964" s="7">
        <v>77.900000000000006</v>
      </c>
      <c r="AA1964" s="7">
        <v>92.4</v>
      </c>
      <c r="AB1964" s="7">
        <v>103.2</v>
      </c>
    </row>
    <row r="1965" spans="2:28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  <c r="W1965" s="7">
        <v>66.5</v>
      </c>
      <c r="X1965" s="7">
        <v>84.1</v>
      </c>
      <c r="Y1965" s="7">
        <v>67.8</v>
      </c>
      <c r="Z1965" s="7">
        <v>63.5</v>
      </c>
      <c r="AA1965" s="7">
        <v>85.6</v>
      </c>
      <c r="AB1965" s="7">
        <v>122.9</v>
      </c>
    </row>
    <row r="1966" spans="2:28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  <c r="W1966" s="7">
        <v>105.4</v>
      </c>
      <c r="X1966" s="7">
        <v>109</v>
      </c>
      <c r="Y1966" s="7">
        <v>115.3</v>
      </c>
      <c r="Z1966" s="7">
        <v>128.1</v>
      </c>
      <c r="AA1966" s="7">
        <v>137.69999999999999</v>
      </c>
      <c r="AB1966" s="7">
        <v>134.4</v>
      </c>
    </row>
    <row r="1967" spans="2:28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  <c r="W1967" s="7">
        <v>93.7</v>
      </c>
      <c r="X1967" s="7">
        <v>98</v>
      </c>
      <c r="Y1967" s="7">
        <v>97.7</v>
      </c>
      <c r="Z1967" s="7">
        <v>111.6</v>
      </c>
      <c r="AA1967" s="7">
        <v>127.3</v>
      </c>
      <c r="AB1967" s="7">
        <v>125.3</v>
      </c>
    </row>
    <row r="1968" spans="2:28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  <c r="W1968" s="7">
        <v>89.6</v>
      </c>
      <c r="X1968" s="7">
        <v>128</v>
      </c>
      <c r="Y1968" s="7">
        <v>145.4</v>
      </c>
      <c r="Z1968" s="7">
        <v>180.2</v>
      </c>
      <c r="AA1968" s="7">
        <v>238.3</v>
      </c>
      <c r="AB1968" s="7">
        <v>296.8</v>
      </c>
    </row>
    <row r="1969" spans="2:28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  <c r="W1969" s="7">
        <v>32.799999999999997</v>
      </c>
      <c r="X1969" s="7">
        <v>35.9</v>
      </c>
      <c r="Y1969" s="7">
        <v>37.6</v>
      </c>
      <c r="Z1969" s="7">
        <v>34</v>
      </c>
      <c r="AA1969" s="7">
        <v>39.6</v>
      </c>
      <c r="AB1969" s="7">
        <v>50.4</v>
      </c>
    </row>
    <row r="1970" spans="2:28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  <c r="W1970" s="7">
        <v>57.4</v>
      </c>
      <c r="X1970" s="7">
        <v>56.9</v>
      </c>
      <c r="Y1970" s="7">
        <v>56.4</v>
      </c>
      <c r="Z1970" s="7">
        <v>51.2</v>
      </c>
      <c r="AA1970" s="7">
        <v>66</v>
      </c>
      <c r="AB1970" s="7">
        <v>78.8</v>
      </c>
    </row>
    <row r="1971" spans="2:28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</row>
    <row r="1972" spans="2:28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  <c r="W1972" s="7">
        <v>0</v>
      </c>
      <c r="X1972" s="7">
        <v>0</v>
      </c>
      <c r="Y1972" s="7">
        <v>4.4000000000000004</v>
      </c>
      <c r="Z1972" s="7">
        <v>0</v>
      </c>
      <c r="AA1972" s="7">
        <v>0</v>
      </c>
      <c r="AB1972" s="7">
        <v>0</v>
      </c>
    </row>
    <row r="1973" spans="2:28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  <c r="W1973" s="7">
        <v>56.3</v>
      </c>
      <c r="X1973" s="7">
        <v>148.69999999999999</v>
      </c>
      <c r="Y1973" s="7">
        <v>184.5</v>
      </c>
      <c r="Z1973" s="7">
        <v>50.6</v>
      </c>
      <c r="AA1973" s="7">
        <v>19.5</v>
      </c>
      <c r="AB1973" s="7">
        <v>0</v>
      </c>
    </row>
    <row r="1974" spans="2:28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  <c r="W1974" s="7">
        <v>195.5</v>
      </c>
      <c r="X1974" s="7">
        <v>124.7</v>
      </c>
      <c r="Y1974" s="7">
        <v>263.89999999999998</v>
      </c>
      <c r="Z1974" s="7">
        <v>308.8</v>
      </c>
      <c r="AA1974" s="7">
        <v>317</v>
      </c>
      <c r="AB1974" s="7">
        <v>339.8</v>
      </c>
    </row>
    <row r="1975" spans="2:28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</row>
    <row r="1976" spans="2:28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  <c r="W1976" s="7">
        <v>178</v>
      </c>
      <c r="X1976" s="7">
        <v>228.6</v>
      </c>
      <c r="Y1976" s="7">
        <v>159.6</v>
      </c>
      <c r="Z1976" s="7">
        <v>193.8</v>
      </c>
      <c r="AA1976" s="7">
        <v>300.7</v>
      </c>
      <c r="AB1976" s="7">
        <v>318.2</v>
      </c>
    </row>
    <row r="1977" spans="2:28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  <c r="W1977" s="7">
        <v>0</v>
      </c>
      <c r="X1977" s="7">
        <v>1.4</v>
      </c>
      <c r="Y1977" s="7">
        <v>20.2</v>
      </c>
      <c r="Z1977" s="7">
        <v>24.5</v>
      </c>
      <c r="AA1977" s="7">
        <v>0</v>
      </c>
      <c r="AB1977" s="7">
        <v>33.5</v>
      </c>
    </row>
    <row r="1978" spans="2:28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  <c r="W1978" s="7">
        <v>1.9</v>
      </c>
      <c r="X1978" s="7">
        <v>10.8</v>
      </c>
      <c r="Y1978" s="7">
        <v>15.4</v>
      </c>
      <c r="Z1978" s="7">
        <v>23.5</v>
      </c>
      <c r="AA1978" s="7">
        <v>26.3</v>
      </c>
      <c r="AB1978" s="7">
        <v>0</v>
      </c>
    </row>
    <row r="1979" spans="2:28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  <c r="W1979" s="7">
        <v>1265</v>
      </c>
      <c r="X1979" s="7">
        <v>1294.5999999999999</v>
      </c>
      <c r="Y1979" s="7">
        <v>1271</v>
      </c>
      <c r="Z1979" s="7">
        <v>1436.9</v>
      </c>
      <c r="AA1979" s="7">
        <v>1415.2</v>
      </c>
      <c r="AB1979" s="7">
        <v>1418</v>
      </c>
    </row>
    <row r="1980" spans="2:28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  <c r="W1980" s="7">
        <v>83.1</v>
      </c>
      <c r="X1980" s="7">
        <v>83</v>
      </c>
      <c r="Y1980" s="7">
        <v>102.4</v>
      </c>
      <c r="Z1980" s="7">
        <v>115.9</v>
      </c>
      <c r="AA1980" s="7">
        <v>114.4</v>
      </c>
      <c r="AB1980" s="7">
        <v>107.2</v>
      </c>
    </row>
    <row r="1981" spans="2:28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  <c r="W1981" s="7">
        <v>0</v>
      </c>
      <c r="X1981" s="7">
        <v>0</v>
      </c>
      <c r="Y1981" s="7">
        <v>0</v>
      </c>
      <c r="Z1981" s="7">
        <v>57.5</v>
      </c>
      <c r="AA1981" s="7">
        <v>19.3</v>
      </c>
      <c r="AB1981" s="7">
        <v>0</v>
      </c>
    </row>
    <row r="1982" spans="2:28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  <c r="W1982" s="7">
        <v>621.6</v>
      </c>
      <c r="X1982" s="7">
        <v>532.9</v>
      </c>
      <c r="Y1982" s="7">
        <v>808.4</v>
      </c>
      <c r="Z1982" s="7">
        <v>1079.9000000000001</v>
      </c>
      <c r="AA1982" s="7">
        <v>572.1</v>
      </c>
      <c r="AB1982" s="7">
        <v>420.2</v>
      </c>
    </row>
    <row r="1983" spans="2:28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  <c r="W1983" s="7">
        <v>29.5</v>
      </c>
      <c r="X1983" s="7">
        <v>55.8</v>
      </c>
      <c r="Y1983" s="7">
        <v>42</v>
      </c>
      <c r="Z1983" s="7">
        <v>133.4</v>
      </c>
      <c r="AA1983" s="7">
        <v>138.80000000000001</v>
      </c>
      <c r="AB1983" s="7">
        <v>126.2</v>
      </c>
    </row>
    <row r="1984" spans="2:28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  <c r="W1984" s="7">
        <v>41.6</v>
      </c>
      <c r="X1984" s="7">
        <v>42.1</v>
      </c>
      <c r="Y1984" s="7">
        <v>41.5</v>
      </c>
      <c r="Z1984" s="7">
        <v>40.1</v>
      </c>
      <c r="AA1984" s="7">
        <v>53.9</v>
      </c>
      <c r="AB1984" s="7">
        <v>52.7</v>
      </c>
    </row>
    <row r="1985" spans="2:28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  <c r="W1985" s="7">
        <v>49.7</v>
      </c>
      <c r="X1985" s="7">
        <v>127.1</v>
      </c>
      <c r="Y1985" s="7">
        <v>58.5</v>
      </c>
      <c r="Z1985" s="7">
        <v>232.9</v>
      </c>
      <c r="AA1985" s="7">
        <v>300.5</v>
      </c>
      <c r="AB1985" s="7">
        <v>105.7</v>
      </c>
    </row>
    <row r="1986" spans="2:28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  <c r="W1986" s="7">
        <v>5.4</v>
      </c>
      <c r="X1986" s="7">
        <v>14.4</v>
      </c>
      <c r="Y1986" s="7">
        <v>2.8</v>
      </c>
      <c r="Z1986" s="7">
        <v>1.7</v>
      </c>
      <c r="AA1986" s="7">
        <v>27.8</v>
      </c>
      <c r="AB1986" s="7">
        <v>37.200000000000003</v>
      </c>
    </row>
    <row r="1987" spans="2:28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  <c r="W1987" s="7">
        <v>40.700000000000003</v>
      </c>
      <c r="X1987" s="7">
        <v>38.6</v>
      </c>
      <c r="Y1987" s="7">
        <v>46.1</v>
      </c>
      <c r="Z1987" s="7">
        <v>46.2</v>
      </c>
      <c r="AA1987" s="7">
        <v>41.4</v>
      </c>
      <c r="AB1987" s="7">
        <v>48.5</v>
      </c>
    </row>
    <row r="1988" spans="2:28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  <c r="W1988" s="7">
        <v>47.6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</row>
    <row r="1989" spans="2:28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</row>
    <row r="1990" spans="2:28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</row>
    <row r="1991" spans="2:28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  <c r="W1991" s="7">
        <v>41.3</v>
      </c>
      <c r="X1991" s="7">
        <v>36</v>
      </c>
      <c r="Y1991" s="7">
        <v>33.799999999999997</v>
      </c>
      <c r="Z1991" s="7">
        <v>31.8</v>
      </c>
      <c r="AA1991" s="7">
        <v>43.8</v>
      </c>
      <c r="AB1991" s="7">
        <v>48.4</v>
      </c>
    </row>
    <row r="1992" spans="2:28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  <c r="W1992" s="7">
        <v>55.2</v>
      </c>
      <c r="X1992" s="7">
        <v>2.2000000000000002</v>
      </c>
      <c r="Y1992" s="7">
        <v>0</v>
      </c>
      <c r="Z1992" s="7">
        <v>93.1</v>
      </c>
      <c r="AA1992" s="7">
        <v>87.5</v>
      </c>
      <c r="AB1992" s="7">
        <v>102.4</v>
      </c>
    </row>
    <row r="1993" spans="2:28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19.2</v>
      </c>
      <c r="AB1993" s="7">
        <v>24.3</v>
      </c>
    </row>
    <row r="1994" spans="2:28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</row>
    <row r="1995" spans="2:28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  <c r="W1995" s="7">
        <v>21.1</v>
      </c>
      <c r="X1995" s="7">
        <v>27.3</v>
      </c>
      <c r="Y1995" s="7">
        <v>31.5</v>
      </c>
      <c r="Z1995" s="7">
        <v>44.5</v>
      </c>
      <c r="AA1995" s="7">
        <v>50.9</v>
      </c>
      <c r="AB1995" s="7">
        <v>45.8</v>
      </c>
    </row>
    <row r="1996" spans="2:28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  <c r="W1996" s="7">
        <v>35.4</v>
      </c>
      <c r="X1996" s="7">
        <v>40.1</v>
      </c>
      <c r="Y1996" s="7">
        <v>43.6</v>
      </c>
      <c r="Z1996" s="7">
        <v>35.299999999999997</v>
      </c>
      <c r="AA1996" s="7">
        <v>15</v>
      </c>
      <c r="AB1996" s="7">
        <v>14.2</v>
      </c>
    </row>
    <row r="1997" spans="2:28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  <c r="W1997" s="7">
        <v>36.6</v>
      </c>
      <c r="X1997" s="7">
        <v>35.4</v>
      </c>
      <c r="Y1997" s="7">
        <v>32.5</v>
      </c>
      <c r="Z1997" s="7">
        <v>38.5</v>
      </c>
      <c r="AA1997" s="7">
        <v>46.6</v>
      </c>
      <c r="AB1997" s="7">
        <v>52.8</v>
      </c>
    </row>
    <row r="1998" spans="2:28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  <c r="W1998" s="7">
        <v>11</v>
      </c>
      <c r="X1998" s="7">
        <v>13.3</v>
      </c>
      <c r="Y1998" s="7">
        <v>13.7</v>
      </c>
      <c r="Z1998" s="7">
        <v>17.5</v>
      </c>
      <c r="AA1998" s="7">
        <v>15.2</v>
      </c>
      <c r="AB1998" s="7">
        <v>14</v>
      </c>
    </row>
    <row r="1999" spans="2:28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41.7</v>
      </c>
    </row>
    <row r="2000" spans="2:28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  <c r="W2000" s="7">
        <v>18.600000000000001</v>
      </c>
      <c r="X2000" s="7">
        <v>28.6</v>
      </c>
      <c r="Y2000" s="7">
        <v>21.6</v>
      </c>
      <c r="Z2000" s="7">
        <v>15.2</v>
      </c>
      <c r="AA2000" s="7">
        <v>17.600000000000001</v>
      </c>
      <c r="AB2000" s="7">
        <v>16</v>
      </c>
    </row>
    <row r="2001" spans="2:28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  <c r="W2001" s="7">
        <v>37.299999999999997</v>
      </c>
      <c r="X2001" s="7">
        <v>31.5</v>
      </c>
      <c r="Y2001" s="7">
        <v>52.3</v>
      </c>
      <c r="Z2001" s="7">
        <v>53.8</v>
      </c>
      <c r="AA2001" s="7">
        <v>48.4</v>
      </c>
      <c r="AB2001" s="7">
        <v>39</v>
      </c>
    </row>
    <row r="2002" spans="2:28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  <c r="W2002" s="7">
        <v>40.700000000000003</v>
      </c>
      <c r="X2002" s="7">
        <v>50.7</v>
      </c>
      <c r="Y2002" s="7">
        <v>36.4</v>
      </c>
      <c r="Z2002" s="7">
        <v>10.5</v>
      </c>
      <c r="AA2002" s="7">
        <v>9.6</v>
      </c>
      <c r="AB2002" s="7">
        <v>0</v>
      </c>
    </row>
    <row r="2003" spans="2:28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  <c r="W2003" s="7">
        <v>86.9</v>
      </c>
      <c r="X2003" s="7">
        <v>78.400000000000006</v>
      </c>
      <c r="Y2003" s="7">
        <v>123.7</v>
      </c>
      <c r="Z2003" s="7">
        <v>143</v>
      </c>
      <c r="AA2003" s="7">
        <v>145.1</v>
      </c>
      <c r="AB2003" s="7">
        <v>132</v>
      </c>
    </row>
    <row r="2004" spans="2:28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  <c r="W2004" s="7">
        <v>59.9</v>
      </c>
      <c r="X2004" s="7">
        <v>72.8</v>
      </c>
      <c r="Y2004" s="7">
        <v>61.1</v>
      </c>
      <c r="Z2004" s="7">
        <v>64</v>
      </c>
      <c r="AA2004" s="7">
        <v>35.6</v>
      </c>
      <c r="AB2004" s="7">
        <v>61.8</v>
      </c>
    </row>
    <row r="2005" spans="2:28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  <c r="W2005" s="7">
        <v>184.1</v>
      </c>
      <c r="X2005" s="7">
        <v>180</v>
      </c>
      <c r="Y2005" s="7">
        <v>103.1</v>
      </c>
      <c r="Z2005" s="7">
        <v>175.7</v>
      </c>
      <c r="AA2005" s="7">
        <v>147.6</v>
      </c>
      <c r="AB2005" s="7">
        <v>198.8</v>
      </c>
    </row>
    <row r="2006" spans="2:28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  <c r="W2006" s="7">
        <v>45.2</v>
      </c>
      <c r="X2006" s="7">
        <v>45.6</v>
      </c>
      <c r="Y2006" s="7">
        <v>45.8</v>
      </c>
      <c r="Z2006" s="7">
        <v>46.1</v>
      </c>
      <c r="AA2006" s="7">
        <v>42.3</v>
      </c>
      <c r="AB2006" s="7">
        <v>41.4</v>
      </c>
    </row>
    <row r="2007" spans="2:28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  <c r="W2007" s="7">
        <v>28.4</v>
      </c>
      <c r="X2007" s="7">
        <v>19.600000000000001</v>
      </c>
      <c r="Y2007" s="7">
        <v>18.100000000000001</v>
      </c>
      <c r="Z2007" s="7">
        <v>27.8</v>
      </c>
      <c r="AA2007" s="7">
        <v>19.399999999999999</v>
      </c>
      <c r="AB2007" s="7">
        <v>19.2</v>
      </c>
    </row>
    <row r="2008" spans="2:28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  <c r="W2008" s="7">
        <v>193.3</v>
      </c>
      <c r="X2008" s="7">
        <v>207.6</v>
      </c>
      <c r="Y2008" s="7">
        <v>236.1</v>
      </c>
      <c r="Z2008" s="7">
        <v>278.5</v>
      </c>
      <c r="AA2008" s="7">
        <v>152.6</v>
      </c>
      <c r="AB2008" s="7">
        <v>18.3</v>
      </c>
    </row>
    <row r="2009" spans="2:28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  <c r="W2009" s="7">
        <v>37.9</v>
      </c>
      <c r="X2009" s="7">
        <v>59.4</v>
      </c>
      <c r="Y2009" s="7">
        <v>77.400000000000006</v>
      </c>
      <c r="Z2009" s="7">
        <v>13.3</v>
      </c>
      <c r="AA2009" s="7">
        <v>151.4</v>
      </c>
      <c r="AB2009" s="7">
        <v>24</v>
      </c>
    </row>
    <row r="2010" spans="2:28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  <c r="W2010" s="7">
        <v>76.3</v>
      </c>
      <c r="X2010" s="7">
        <v>58.6</v>
      </c>
      <c r="Y2010" s="7">
        <v>73.099999999999994</v>
      </c>
      <c r="Z2010" s="7">
        <v>102</v>
      </c>
      <c r="AA2010" s="7">
        <v>96.9</v>
      </c>
      <c r="AB2010" s="7">
        <v>80.900000000000006</v>
      </c>
    </row>
    <row r="2011" spans="2:28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  <c r="W2011" s="7">
        <v>0</v>
      </c>
      <c r="X2011" s="7">
        <v>7.3</v>
      </c>
      <c r="Y2011" s="7">
        <v>0</v>
      </c>
      <c r="Z2011" s="7">
        <v>0</v>
      </c>
      <c r="AA2011" s="7">
        <v>0</v>
      </c>
      <c r="AB2011" s="7">
        <v>0</v>
      </c>
    </row>
    <row r="2012" spans="2:28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  <c r="W2012" s="7">
        <v>27.2</v>
      </c>
      <c r="X2012" s="7">
        <v>25.8</v>
      </c>
      <c r="Y2012" s="7">
        <v>22.9</v>
      </c>
      <c r="Z2012" s="7">
        <v>13.7</v>
      </c>
      <c r="AA2012" s="7">
        <v>0</v>
      </c>
      <c r="AB2012" s="7">
        <v>0</v>
      </c>
    </row>
    <row r="2013" spans="2:28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</row>
    <row r="2014" spans="2:28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  <c r="W2014" s="7">
        <v>18.2</v>
      </c>
      <c r="X2014" s="7">
        <v>18.3</v>
      </c>
      <c r="Y2014" s="7">
        <v>20.2</v>
      </c>
      <c r="Z2014" s="7">
        <v>22.7</v>
      </c>
      <c r="AA2014" s="7">
        <v>19.2</v>
      </c>
      <c r="AB2014" s="7">
        <v>10.8</v>
      </c>
    </row>
    <row r="2015" spans="2:28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  <c r="W2015" s="7">
        <v>114.8</v>
      </c>
      <c r="X2015" s="7">
        <v>131.69999999999999</v>
      </c>
      <c r="Y2015" s="7">
        <v>137.30000000000001</v>
      </c>
      <c r="Z2015" s="7">
        <v>148.6</v>
      </c>
      <c r="AA2015" s="7">
        <v>140.69999999999999</v>
      </c>
      <c r="AB2015" s="7">
        <v>131.30000000000001</v>
      </c>
    </row>
    <row r="2016" spans="2:28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  <c r="W2016" s="7">
        <v>54.5</v>
      </c>
      <c r="X2016" s="7">
        <v>62.9</v>
      </c>
      <c r="Y2016" s="7">
        <v>55.1</v>
      </c>
      <c r="Z2016" s="7">
        <v>52.3</v>
      </c>
      <c r="AA2016" s="7">
        <v>50.1</v>
      </c>
      <c r="AB2016" s="7">
        <v>45.4</v>
      </c>
    </row>
    <row r="2017" spans="2:28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</row>
    <row r="2018" spans="2:28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  <c r="W2018" s="7">
        <v>22</v>
      </c>
      <c r="X2018" s="7">
        <v>29.5</v>
      </c>
      <c r="Y2018" s="7">
        <v>15.7</v>
      </c>
      <c r="Z2018" s="7">
        <v>20.7</v>
      </c>
      <c r="AA2018" s="7">
        <v>8.4</v>
      </c>
      <c r="AB2018" s="7">
        <v>12</v>
      </c>
    </row>
    <row r="2019" spans="2:28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  <c r="W2019" s="7">
        <v>1.5</v>
      </c>
      <c r="X2019" s="7">
        <v>0</v>
      </c>
      <c r="Y2019" s="7">
        <v>0</v>
      </c>
      <c r="Z2019" s="7">
        <v>0</v>
      </c>
      <c r="AA2019" s="7">
        <v>11.2</v>
      </c>
      <c r="AB2019" s="7">
        <v>5.3</v>
      </c>
    </row>
    <row r="2020" spans="2:28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  <c r="W2020" s="7">
        <v>3.7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</row>
    <row r="2021" spans="2:28" x14ac:dyDescent="0.2">
      <c r="B2021" s="5" t="s">
        <v>806</v>
      </c>
      <c r="C2021" s="5">
        <v>1012</v>
      </c>
      <c r="D2021" s="5" t="s">
        <v>806</v>
      </c>
      <c r="E2021" s="5">
        <v>10120124</v>
      </c>
      <c r="F2021" s="38">
        <v>46194</v>
      </c>
      <c r="G2021" s="38" t="s">
        <v>1018</v>
      </c>
      <c r="H2021" s="1" t="s">
        <v>2207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>
        <v>101.5</v>
      </c>
      <c r="X2021" s="7">
        <v>127.6</v>
      </c>
      <c r="Y2021" s="7">
        <v>128.9</v>
      </c>
      <c r="Z2021" s="7">
        <v>156.1</v>
      </c>
      <c r="AA2021" s="7">
        <v>170</v>
      </c>
      <c r="AB2021" s="7">
        <v>137.4</v>
      </c>
    </row>
    <row r="2022" spans="2:28" x14ac:dyDescent="0.2">
      <c r="B2022" s="5" t="s">
        <v>1426</v>
      </c>
      <c r="C2022" s="5">
        <v>1054</v>
      </c>
      <c r="D2022" s="5" t="s">
        <v>1426</v>
      </c>
      <c r="E2022" s="5">
        <v>10540051</v>
      </c>
      <c r="F2022" s="38">
        <v>46194</v>
      </c>
      <c r="G2022" s="38" t="s">
        <v>1018</v>
      </c>
      <c r="H2022" s="1" t="s">
        <v>2208</v>
      </c>
      <c r="I2022" s="5" t="s">
        <v>2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>
        <v>36.4</v>
      </c>
      <c r="X2022" s="7">
        <v>74.099999999999994</v>
      </c>
      <c r="Y2022" s="7">
        <v>69.5</v>
      </c>
      <c r="Z2022" s="7">
        <v>38.5</v>
      </c>
      <c r="AA2022" s="7">
        <v>57.4</v>
      </c>
      <c r="AB2022" s="7">
        <v>31.9</v>
      </c>
    </row>
    <row r="2023" spans="2:28" x14ac:dyDescent="0.2">
      <c r="B2023" s="5" t="s">
        <v>2202</v>
      </c>
      <c r="C2023" s="5">
        <v>1063</v>
      </c>
      <c r="D2023" s="5" t="s">
        <v>2202</v>
      </c>
      <c r="E2023" s="5">
        <v>10630032</v>
      </c>
      <c r="F2023" s="38">
        <v>46196</v>
      </c>
      <c r="G2023" s="38" t="s">
        <v>1018</v>
      </c>
      <c r="H2023" s="1" t="s">
        <v>2209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>
        <v>20.100000000000001</v>
      </c>
      <c r="X2023" s="7">
        <v>46.5</v>
      </c>
      <c r="Y2023" s="7">
        <v>25.9</v>
      </c>
      <c r="Z2023" s="7">
        <v>34.700000000000003</v>
      </c>
      <c r="AA2023" s="7">
        <v>26</v>
      </c>
      <c r="AB2023" s="7">
        <v>25</v>
      </c>
    </row>
    <row r="2024" spans="2:28" x14ac:dyDescent="0.2">
      <c r="B2024" s="5" t="s">
        <v>2202</v>
      </c>
      <c r="C2024" s="5">
        <v>1063</v>
      </c>
      <c r="D2024" s="5" t="s">
        <v>2202</v>
      </c>
      <c r="E2024" s="5">
        <v>10630033</v>
      </c>
      <c r="F2024" s="38">
        <v>46196</v>
      </c>
      <c r="G2024" s="38" t="s">
        <v>1018</v>
      </c>
      <c r="H2024" s="1" t="s">
        <v>2210</v>
      </c>
      <c r="I2024" s="5" t="s">
        <v>2</v>
      </c>
      <c r="J2024" s="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>
        <v>13.4</v>
      </c>
      <c r="X2024" s="7">
        <v>39.6</v>
      </c>
      <c r="Y2024" s="7">
        <v>0</v>
      </c>
      <c r="Z2024" s="7">
        <v>3.3</v>
      </c>
      <c r="AA2024" s="7">
        <v>31.9</v>
      </c>
      <c r="AB2024" s="7">
        <v>19.100000000000001</v>
      </c>
    </row>
    <row r="2025" spans="2:28" x14ac:dyDescent="0.2">
      <c r="B2025" s="5" t="s">
        <v>2202</v>
      </c>
      <c r="C2025" s="5">
        <v>1063</v>
      </c>
      <c r="D2025" s="5" t="s">
        <v>2202</v>
      </c>
      <c r="E2025" s="5">
        <v>10630024</v>
      </c>
      <c r="F2025" s="38">
        <v>46196</v>
      </c>
      <c r="G2025" s="38" t="s">
        <v>1019</v>
      </c>
      <c r="H2025" s="1" t="s">
        <v>2211</v>
      </c>
      <c r="I2025" s="5" t="s">
        <v>1</v>
      </c>
      <c r="J2025" s="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>
        <v>4.5</v>
      </c>
      <c r="X2025" s="7">
        <v>0</v>
      </c>
      <c r="Y2025" s="7">
        <v>0</v>
      </c>
      <c r="Z2025" s="7">
        <v>2.6</v>
      </c>
      <c r="AA2025" s="7">
        <v>21</v>
      </c>
      <c r="AB2025" s="7">
        <v>32.1</v>
      </c>
    </row>
    <row r="2026" spans="2:28" x14ac:dyDescent="0.2">
      <c r="B2026" s="5" t="s">
        <v>2202</v>
      </c>
      <c r="C2026" s="5">
        <v>1063</v>
      </c>
      <c r="D2026" s="5" t="s">
        <v>2202</v>
      </c>
      <c r="E2026" s="5">
        <v>10630030</v>
      </c>
      <c r="F2026" s="38">
        <v>46196</v>
      </c>
      <c r="G2026" s="38" t="s">
        <v>1018</v>
      </c>
      <c r="H2026" s="1" t="s">
        <v>2212</v>
      </c>
      <c r="I2026" s="5" t="s">
        <v>2</v>
      </c>
      <c r="J2026" s="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>
        <v>5.0999999999999996</v>
      </c>
      <c r="X2026" s="7">
        <v>20.5</v>
      </c>
      <c r="Y2026" s="7">
        <v>4.2</v>
      </c>
      <c r="Z2026" s="7">
        <v>13.7</v>
      </c>
      <c r="AA2026" s="7">
        <v>8.9</v>
      </c>
      <c r="AB2026" s="7">
        <v>0</v>
      </c>
    </row>
    <row r="2027" spans="2:28" x14ac:dyDescent="0.2">
      <c r="B2027" s="5" t="s">
        <v>2202</v>
      </c>
      <c r="C2027" s="5">
        <v>1063</v>
      </c>
      <c r="D2027" s="5" t="s">
        <v>2202</v>
      </c>
      <c r="E2027" s="5">
        <v>10630035</v>
      </c>
      <c r="F2027" s="38">
        <v>46197</v>
      </c>
      <c r="G2027" s="38" t="s">
        <v>1018</v>
      </c>
      <c r="H2027" s="1" t="s">
        <v>2213</v>
      </c>
      <c r="I2027" s="5" t="s">
        <v>2</v>
      </c>
      <c r="J2027" s="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>
        <v>3.7</v>
      </c>
      <c r="X2027" s="7">
        <v>24.3</v>
      </c>
      <c r="Y2027" s="7">
        <v>106.3</v>
      </c>
      <c r="Z2027" s="7">
        <v>29.7</v>
      </c>
      <c r="AA2027" s="7">
        <v>176.7</v>
      </c>
      <c r="AB2027" s="7">
        <v>0</v>
      </c>
    </row>
    <row r="2028" spans="2:28" x14ac:dyDescent="0.2">
      <c r="B2028" s="5" t="s">
        <v>2202</v>
      </c>
      <c r="C2028" s="5">
        <v>1063</v>
      </c>
      <c r="D2028" s="5" t="s">
        <v>2202</v>
      </c>
      <c r="E2028" s="5">
        <v>10630034</v>
      </c>
      <c r="F2028" s="38">
        <v>46197</v>
      </c>
      <c r="G2028" s="38" t="s">
        <v>1018</v>
      </c>
      <c r="H2028" s="1" t="s">
        <v>2214</v>
      </c>
      <c r="I2028" s="5" t="s">
        <v>2</v>
      </c>
      <c r="J2028" s="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>
        <v>9.8000000000000007</v>
      </c>
      <c r="X2028" s="7">
        <v>30.9</v>
      </c>
      <c r="Y2028" s="7">
        <v>31</v>
      </c>
      <c r="Z2028" s="7">
        <v>21.4</v>
      </c>
      <c r="AA2028" s="7">
        <v>5.8</v>
      </c>
      <c r="AB2028" s="7">
        <v>0</v>
      </c>
    </row>
    <row r="2029" spans="2:28" x14ac:dyDescent="0.2">
      <c r="B2029" s="5" t="s">
        <v>2008</v>
      </c>
      <c r="C2029" s="5">
        <v>1065</v>
      </c>
      <c r="D2029" s="5" t="s">
        <v>2008</v>
      </c>
      <c r="E2029" s="5">
        <v>10650013</v>
      </c>
      <c r="F2029" s="38">
        <v>46192</v>
      </c>
      <c r="G2029" s="38" t="s">
        <v>1019</v>
      </c>
      <c r="H2029" s="1" t="s">
        <v>2215</v>
      </c>
      <c r="I2029" s="5" t="s">
        <v>1</v>
      </c>
      <c r="J2029" s="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>
        <v>38.1</v>
      </c>
      <c r="X2029" s="7">
        <v>45.3</v>
      </c>
      <c r="Y2029" s="7">
        <v>46</v>
      </c>
      <c r="Z2029" s="7">
        <v>46.1</v>
      </c>
      <c r="AA2029" s="7">
        <v>40.1</v>
      </c>
      <c r="AB2029" s="7">
        <v>42.9</v>
      </c>
    </row>
    <row r="2030" spans="2:28" x14ac:dyDescent="0.2">
      <c r="B2030" s="5" t="s">
        <v>1880</v>
      </c>
      <c r="C2030" s="5">
        <v>1062</v>
      </c>
      <c r="D2030" s="5" t="s">
        <v>1880</v>
      </c>
      <c r="E2030" s="5">
        <v>10620124</v>
      </c>
      <c r="F2030" s="38">
        <v>46197</v>
      </c>
      <c r="G2030" s="38" t="s">
        <v>1018</v>
      </c>
      <c r="H2030" s="1" t="s">
        <v>2216</v>
      </c>
      <c r="I2030" s="5" t="s">
        <v>2</v>
      </c>
      <c r="J2030" s="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>
        <v>19.2</v>
      </c>
      <c r="X2030" s="7">
        <v>63.2</v>
      </c>
      <c r="Y2030" s="7">
        <v>67.5</v>
      </c>
      <c r="Z2030" s="7">
        <v>57.6</v>
      </c>
      <c r="AA2030" s="7">
        <v>50.6</v>
      </c>
      <c r="AB2030" s="7">
        <v>54.6</v>
      </c>
    </row>
    <row r="2031" spans="2:28" x14ac:dyDescent="0.2">
      <c r="B2031" s="5" t="s">
        <v>1880</v>
      </c>
      <c r="C2031" s="5">
        <v>1062</v>
      </c>
      <c r="D2031" s="5" t="s">
        <v>1880</v>
      </c>
      <c r="E2031" s="5">
        <v>10620125</v>
      </c>
      <c r="F2031" s="38">
        <v>46198</v>
      </c>
      <c r="G2031" s="38" t="s">
        <v>1018</v>
      </c>
      <c r="H2031" s="1" t="s">
        <v>2217</v>
      </c>
      <c r="I2031" s="5" t="s">
        <v>2</v>
      </c>
      <c r="J2031" s="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>
        <v>8.1</v>
      </c>
      <c r="X2031" s="7">
        <v>68.3</v>
      </c>
      <c r="Y2031" s="7">
        <v>72</v>
      </c>
      <c r="Z2031" s="7">
        <v>68.8</v>
      </c>
      <c r="AA2031" s="7">
        <v>64.400000000000006</v>
      </c>
      <c r="AB2031" s="7">
        <v>72.7</v>
      </c>
    </row>
    <row r="2032" spans="2:28" x14ac:dyDescent="0.2">
      <c r="B2032" s="5" t="s">
        <v>244</v>
      </c>
      <c r="C2032" s="5">
        <v>1006</v>
      </c>
      <c r="D2032" s="5" t="s">
        <v>244</v>
      </c>
      <c r="E2032" s="5">
        <v>10060136</v>
      </c>
      <c r="F2032" s="38">
        <v>46205</v>
      </c>
      <c r="G2032" s="38" t="s">
        <v>1018</v>
      </c>
      <c r="H2032" s="1" t="s">
        <v>2219</v>
      </c>
      <c r="I2032" s="5" t="s">
        <v>2</v>
      </c>
      <c r="J2032" s="5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>
        <v>207.7</v>
      </c>
      <c r="Y2032" s="7">
        <v>57.9</v>
      </c>
      <c r="Z2032" s="7">
        <v>93.5</v>
      </c>
      <c r="AA2032" s="7">
        <v>75.900000000000006</v>
      </c>
      <c r="AB2032" s="7">
        <v>71.7</v>
      </c>
    </row>
    <row r="2033" spans="2:28" x14ac:dyDescent="0.2">
      <c r="B2033" s="5" t="s">
        <v>813</v>
      </c>
      <c r="C2033" s="5">
        <v>1011</v>
      </c>
      <c r="D2033" s="5" t="s">
        <v>813</v>
      </c>
      <c r="E2033" s="5">
        <v>10110190</v>
      </c>
      <c r="F2033" s="38">
        <v>46203</v>
      </c>
      <c r="G2033" s="38" t="s">
        <v>1018</v>
      </c>
      <c r="H2033" s="1" t="s">
        <v>2220</v>
      </c>
      <c r="I2033" s="5" t="s">
        <v>2</v>
      </c>
      <c r="J2033" s="5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>
        <v>445.8</v>
      </c>
      <c r="Y2033" s="7">
        <v>1116</v>
      </c>
      <c r="Z2033" s="7">
        <v>959.6</v>
      </c>
      <c r="AA2033" s="7">
        <v>1237.0999999999999</v>
      </c>
      <c r="AB2033" s="7">
        <v>1137.5</v>
      </c>
    </row>
    <row r="2034" spans="2:28" x14ac:dyDescent="0.2">
      <c r="B2034" s="5" t="s">
        <v>809</v>
      </c>
      <c r="C2034" s="5">
        <v>1014</v>
      </c>
      <c r="D2034" s="5" t="s">
        <v>809</v>
      </c>
      <c r="E2034" s="5">
        <v>10140209</v>
      </c>
      <c r="F2034" s="38">
        <v>46204</v>
      </c>
      <c r="G2034" s="38" t="s">
        <v>1018</v>
      </c>
      <c r="H2034" s="1" t="s">
        <v>2221</v>
      </c>
      <c r="I2034" s="5" t="s">
        <v>2</v>
      </c>
      <c r="J2034" s="5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>
        <v>102.2</v>
      </c>
      <c r="Y2034" s="7">
        <v>94.6</v>
      </c>
      <c r="Z2034" s="7">
        <v>0</v>
      </c>
      <c r="AA2034" s="7">
        <v>0</v>
      </c>
      <c r="AB2034" s="7">
        <v>0</v>
      </c>
    </row>
    <row r="2035" spans="2:28" x14ac:dyDescent="0.2">
      <c r="B2035" s="5" t="s">
        <v>989</v>
      </c>
      <c r="C2035" s="5">
        <v>1052</v>
      </c>
      <c r="D2035" s="5" t="s">
        <v>989</v>
      </c>
      <c r="E2035" s="5">
        <v>10520012</v>
      </c>
      <c r="F2035" s="38">
        <v>46199</v>
      </c>
      <c r="G2035" s="38" t="s">
        <v>1018</v>
      </c>
      <c r="H2035" s="1" t="s">
        <v>2222</v>
      </c>
      <c r="I2035" s="5" t="s">
        <v>2</v>
      </c>
      <c r="J2035" s="5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>
        <v>664.8</v>
      </c>
      <c r="Y2035" s="7">
        <v>983</v>
      </c>
      <c r="Z2035" s="7">
        <v>956.7</v>
      </c>
      <c r="AA2035" s="7">
        <v>1055.3</v>
      </c>
      <c r="AB2035" s="7">
        <v>1048</v>
      </c>
    </row>
    <row r="2036" spans="2:28" x14ac:dyDescent="0.2">
      <c r="B2036" s="5" t="s">
        <v>1426</v>
      </c>
      <c r="C2036" s="5">
        <v>1054</v>
      </c>
      <c r="D2036" s="5" t="s">
        <v>1426</v>
      </c>
      <c r="E2036" s="5">
        <v>10540050</v>
      </c>
      <c r="F2036" s="38">
        <v>46199</v>
      </c>
      <c r="G2036" s="38" t="s">
        <v>1019</v>
      </c>
      <c r="H2036" s="1" t="s">
        <v>2223</v>
      </c>
      <c r="I2036" s="5" t="s">
        <v>1</v>
      </c>
      <c r="J2036" s="5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>
        <v>25.8</v>
      </c>
      <c r="Y2036" s="7">
        <v>38.700000000000003</v>
      </c>
      <c r="Z2036" s="7">
        <v>36.1</v>
      </c>
      <c r="AA2036" s="7">
        <v>40.4</v>
      </c>
      <c r="AB2036" s="7">
        <v>47.1</v>
      </c>
    </row>
    <row r="2037" spans="2:28" x14ac:dyDescent="0.2">
      <c r="B2037" s="5" t="s">
        <v>1596</v>
      </c>
      <c r="C2037" s="5">
        <v>1057</v>
      </c>
      <c r="D2037" s="5" t="s">
        <v>1596</v>
      </c>
      <c r="E2037" s="5">
        <v>10570067</v>
      </c>
      <c r="F2037" s="38">
        <v>46199</v>
      </c>
      <c r="G2037" s="38" t="s">
        <v>1018</v>
      </c>
      <c r="H2037" s="1" t="s">
        <v>2224</v>
      </c>
      <c r="I2037" s="5" t="s">
        <v>2</v>
      </c>
      <c r="J2037" s="5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>
        <v>21</v>
      </c>
      <c r="Y2037" s="7">
        <v>17.8</v>
      </c>
      <c r="Z2037" s="7">
        <v>21.5</v>
      </c>
      <c r="AA2037" s="7">
        <v>36</v>
      </c>
      <c r="AB2037" s="7">
        <v>38.700000000000003</v>
      </c>
    </row>
    <row r="2038" spans="2:28" x14ac:dyDescent="0.2">
      <c r="B2038" s="5" t="s">
        <v>1596</v>
      </c>
      <c r="C2038" s="5">
        <v>1057</v>
      </c>
      <c r="D2038" s="5" t="s">
        <v>1596</v>
      </c>
      <c r="E2038" s="5">
        <v>10570071</v>
      </c>
      <c r="F2038" s="38">
        <v>46199</v>
      </c>
      <c r="G2038" s="38" t="s">
        <v>1018</v>
      </c>
      <c r="H2038" s="1" t="s">
        <v>2225</v>
      </c>
      <c r="I2038" s="5" t="s">
        <v>2</v>
      </c>
      <c r="J2038" s="5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>
        <v>30.9</v>
      </c>
      <c r="Y2038" s="7">
        <v>29.5</v>
      </c>
      <c r="Z2038" s="7">
        <v>43</v>
      </c>
      <c r="AA2038" s="7">
        <v>23.9</v>
      </c>
      <c r="AB2038" s="7">
        <v>26</v>
      </c>
    </row>
    <row r="2039" spans="2:28" x14ac:dyDescent="0.2">
      <c r="B2039" s="5" t="s">
        <v>1596</v>
      </c>
      <c r="C2039" s="5">
        <v>1057</v>
      </c>
      <c r="D2039" s="5" t="s">
        <v>1596</v>
      </c>
      <c r="E2039" s="5">
        <v>10570068</v>
      </c>
      <c r="F2039" s="38">
        <v>46199</v>
      </c>
      <c r="G2039" s="38" t="s">
        <v>1018</v>
      </c>
      <c r="H2039" s="1" t="s">
        <v>2226</v>
      </c>
      <c r="I2039" s="5" t="s">
        <v>2</v>
      </c>
      <c r="J2039" s="5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>
        <v>13</v>
      </c>
      <c r="Y2039" s="7">
        <v>104.2</v>
      </c>
      <c r="Z2039" s="7">
        <v>68</v>
      </c>
      <c r="AA2039" s="7">
        <v>70.7</v>
      </c>
      <c r="AB2039" s="7">
        <v>184.9</v>
      </c>
    </row>
    <row r="2040" spans="2:28" x14ac:dyDescent="0.2">
      <c r="B2040" s="5" t="s">
        <v>1596</v>
      </c>
      <c r="C2040" s="5">
        <v>1057</v>
      </c>
      <c r="D2040" s="5" t="s">
        <v>1596</v>
      </c>
      <c r="E2040" s="5">
        <v>10570070</v>
      </c>
      <c r="F2040" s="38">
        <v>46204</v>
      </c>
      <c r="G2040" s="38" t="s">
        <v>1018</v>
      </c>
      <c r="H2040" s="1" t="s">
        <v>2227</v>
      </c>
      <c r="I2040" s="5" t="s">
        <v>2</v>
      </c>
      <c r="J2040" s="5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>
        <v>6</v>
      </c>
      <c r="Y2040" s="7">
        <v>11.6</v>
      </c>
      <c r="Z2040" s="7">
        <v>11.9</v>
      </c>
      <c r="AA2040" s="7">
        <v>10.7</v>
      </c>
      <c r="AB2040" s="7">
        <v>10.5</v>
      </c>
    </row>
    <row r="2041" spans="2:28" x14ac:dyDescent="0.2">
      <c r="B2041" s="5" t="s">
        <v>2007</v>
      </c>
      <c r="C2041" s="5">
        <v>1061</v>
      </c>
      <c r="D2041" s="5" t="s">
        <v>2007</v>
      </c>
      <c r="E2041" s="5">
        <v>10610064</v>
      </c>
      <c r="F2041" s="38">
        <v>46202</v>
      </c>
      <c r="G2041" s="38" t="s">
        <v>1018</v>
      </c>
      <c r="H2041" s="1" t="s">
        <v>2228</v>
      </c>
      <c r="I2041" s="5" t="s">
        <v>2</v>
      </c>
      <c r="J2041" s="5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>
        <v>81.599999999999994</v>
      </c>
      <c r="Y2041" s="7">
        <v>140.19999999999999</v>
      </c>
      <c r="Z2041" s="7">
        <v>144.19999999999999</v>
      </c>
      <c r="AA2041" s="7">
        <v>175.5</v>
      </c>
      <c r="AB2041" s="7">
        <v>209.8</v>
      </c>
    </row>
    <row r="2042" spans="2:28" x14ac:dyDescent="0.2">
      <c r="B2042" s="5" t="s">
        <v>2202</v>
      </c>
      <c r="C2042" s="5">
        <v>1063</v>
      </c>
      <c r="D2042" s="5" t="s">
        <v>2202</v>
      </c>
      <c r="E2042" s="5">
        <v>10630036</v>
      </c>
      <c r="F2042" s="38">
        <v>46204</v>
      </c>
      <c r="G2042" s="38" t="s">
        <v>1018</v>
      </c>
      <c r="H2042" s="1" t="s">
        <v>2229</v>
      </c>
      <c r="I2042" s="5" t="s">
        <v>2</v>
      </c>
      <c r="J2042" s="5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>
        <v>12.6</v>
      </c>
      <c r="Y2042" s="7">
        <v>54.1</v>
      </c>
      <c r="Z2042" s="7">
        <v>71.7</v>
      </c>
      <c r="AA2042" s="7">
        <v>59.7</v>
      </c>
      <c r="AB2042" s="7">
        <v>35.200000000000003</v>
      </c>
    </row>
    <row r="2043" spans="2:28" x14ac:dyDescent="0.2">
      <c r="B2043" s="5" t="s">
        <v>2202</v>
      </c>
      <c r="C2043" s="5">
        <v>1063</v>
      </c>
      <c r="D2043" s="5" t="s">
        <v>2202</v>
      </c>
      <c r="E2043" s="5">
        <v>10630028</v>
      </c>
      <c r="F2043" s="38">
        <v>46204</v>
      </c>
      <c r="G2043" s="38" t="s">
        <v>1018</v>
      </c>
      <c r="H2043" s="1" t="s">
        <v>2230</v>
      </c>
      <c r="I2043" s="5" t="s">
        <v>2</v>
      </c>
      <c r="J2043" s="5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>
        <v>5.3</v>
      </c>
      <c r="Y2043" s="7">
        <v>27.4</v>
      </c>
      <c r="Z2043" s="7">
        <v>1.3</v>
      </c>
      <c r="AA2043" s="7">
        <v>0</v>
      </c>
      <c r="AB2043" s="7">
        <v>0</v>
      </c>
    </row>
    <row r="2044" spans="2:28" x14ac:dyDescent="0.2">
      <c r="B2044" s="5" t="s">
        <v>2163</v>
      </c>
      <c r="C2044" s="5">
        <v>1066</v>
      </c>
      <c r="D2044" s="5" t="s">
        <v>2163</v>
      </c>
      <c r="E2044" s="5">
        <v>10660028</v>
      </c>
      <c r="F2044" s="38">
        <v>46200</v>
      </c>
      <c r="G2044" s="38" t="s">
        <v>1019</v>
      </c>
      <c r="H2044" s="1" t="s">
        <v>2231</v>
      </c>
      <c r="I2044" s="5" t="s">
        <v>1</v>
      </c>
      <c r="J2044" s="5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>
        <v>68.599999999999994</v>
      </c>
      <c r="Y2044" s="7">
        <v>99.3</v>
      </c>
      <c r="Z2044" s="7">
        <v>169.7</v>
      </c>
      <c r="AA2044" s="7">
        <v>214.5</v>
      </c>
      <c r="AB2044" s="7">
        <v>302.7</v>
      </c>
    </row>
    <row r="2045" spans="2:28" x14ac:dyDescent="0.2">
      <c r="B2045" s="5" t="s">
        <v>246</v>
      </c>
      <c r="C2045" s="5">
        <v>1008</v>
      </c>
      <c r="D2045" s="5" t="s">
        <v>246</v>
      </c>
      <c r="E2045" s="5">
        <v>10080128</v>
      </c>
      <c r="F2045" s="38">
        <v>46210</v>
      </c>
      <c r="G2045" s="38" t="s">
        <v>1018</v>
      </c>
      <c r="H2045" s="1" t="s">
        <v>2233</v>
      </c>
      <c r="I2045" s="5" t="s">
        <v>2</v>
      </c>
      <c r="J2045" s="5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>
        <v>20</v>
      </c>
      <c r="Z2045" s="7">
        <v>34.6</v>
      </c>
      <c r="AA2045" s="7">
        <v>41</v>
      </c>
      <c r="AB2045" s="7">
        <v>36.6</v>
      </c>
    </row>
    <row r="2046" spans="2:28" x14ac:dyDescent="0.2">
      <c r="B2046" s="5" t="s">
        <v>1426</v>
      </c>
      <c r="C2046" s="5">
        <v>1054</v>
      </c>
      <c r="D2046" s="5" t="s">
        <v>1426</v>
      </c>
      <c r="E2046" s="5">
        <v>10540043</v>
      </c>
      <c r="F2046" s="38">
        <v>46211</v>
      </c>
      <c r="G2046" s="38" t="s">
        <v>1019</v>
      </c>
      <c r="H2046" s="1" t="s">
        <v>2234</v>
      </c>
      <c r="I2046" s="5" t="s">
        <v>1</v>
      </c>
      <c r="J2046" s="5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>
        <v>10.5</v>
      </c>
      <c r="Z2046" s="7">
        <v>76.400000000000006</v>
      </c>
      <c r="AA2046" s="7">
        <v>81.3</v>
      </c>
      <c r="AB2046" s="7">
        <v>59.7</v>
      </c>
    </row>
    <row r="2047" spans="2:28" x14ac:dyDescent="0.2">
      <c r="B2047" s="5" t="s">
        <v>1596</v>
      </c>
      <c r="C2047" s="5">
        <v>1057</v>
      </c>
      <c r="D2047" s="5" t="s">
        <v>1596</v>
      </c>
      <c r="E2047" s="5">
        <v>10570069</v>
      </c>
      <c r="F2047" s="38">
        <v>46212</v>
      </c>
      <c r="G2047" s="38" t="s">
        <v>1018</v>
      </c>
      <c r="H2047" s="1" t="s">
        <v>2235</v>
      </c>
      <c r="I2047" s="5" t="s">
        <v>2</v>
      </c>
      <c r="J2047" s="5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>
        <v>4.2</v>
      </c>
      <c r="Z2047" s="7">
        <v>138.1</v>
      </c>
      <c r="AA2047" s="7">
        <v>150.9</v>
      </c>
      <c r="AB2047" s="7">
        <v>199.6</v>
      </c>
    </row>
    <row r="2048" spans="2:28" x14ac:dyDescent="0.2">
      <c r="B2048" s="5" t="s">
        <v>2007</v>
      </c>
      <c r="C2048" s="5">
        <v>1061</v>
      </c>
      <c r="D2048" s="5" t="s">
        <v>2007</v>
      </c>
      <c r="E2048" s="5">
        <v>10610060</v>
      </c>
      <c r="F2048" s="38">
        <v>46207</v>
      </c>
      <c r="G2048" s="38" t="s">
        <v>1019</v>
      </c>
      <c r="H2048" s="1" t="s">
        <v>2236</v>
      </c>
      <c r="I2048" s="5" t="s">
        <v>1</v>
      </c>
      <c r="J2048" s="5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>
        <v>4.0999999999999996</v>
      </c>
      <c r="Z2048" s="7">
        <v>0</v>
      </c>
      <c r="AA2048" s="7">
        <v>0</v>
      </c>
      <c r="AB2048" s="7">
        <v>0</v>
      </c>
    </row>
    <row r="2049" spans="2:28" x14ac:dyDescent="0.2">
      <c r="B2049" s="5" t="s">
        <v>2202</v>
      </c>
      <c r="C2049" s="5">
        <v>1063</v>
      </c>
      <c r="D2049" s="5" t="s">
        <v>2202</v>
      </c>
      <c r="E2049" s="5">
        <v>10630025</v>
      </c>
      <c r="F2049" s="38">
        <v>46206</v>
      </c>
      <c r="G2049" s="38" t="s">
        <v>1019</v>
      </c>
      <c r="H2049" s="1" t="s">
        <v>2237</v>
      </c>
      <c r="I2049" s="5" t="s">
        <v>1</v>
      </c>
      <c r="J2049" s="5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>
        <v>21.6</v>
      </c>
      <c r="Z2049" s="7">
        <v>47.7</v>
      </c>
      <c r="AA2049" s="7">
        <v>51.7</v>
      </c>
      <c r="AB2049" s="7">
        <v>48</v>
      </c>
    </row>
    <row r="2050" spans="2:28" x14ac:dyDescent="0.2">
      <c r="B2050" s="5" t="s">
        <v>2202</v>
      </c>
      <c r="C2050" s="5">
        <v>1063</v>
      </c>
      <c r="D2050" s="5" t="s">
        <v>2202</v>
      </c>
      <c r="E2050" s="5">
        <v>10630026</v>
      </c>
      <c r="F2050" s="38">
        <v>46206</v>
      </c>
      <c r="G2050" s="38" t="s">
        <v>1019</v>
      </c>
      <c r="H2050" s="1" t="s">
        <v>2238</v>
      </c>
      <c r="I2050" s="5" t="s">
        <v>1</v>
      </c>
      <c r="J2050" s="5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>
        <v>30.7</v>
      </c>
      <c r="Z2050" s="7">
        <v>21.1</v>
      </c>
      <c r="AA2050" s="7">
        <v>6.2</v>
      </c>
      <c r="AB2050" s="7">
        <v>9</v>
      </c>
    </row>
    <row r="2051" spans="2:28" x14ac:dyDescent="0.2">
      <c r="B2051" s="5" t="s">
        <v>2202</v>
      </c>
      <c r="C2051" s="5">
        <v>1063</v>
      </c>
      <c r="D2051" s="5" t="s">
        <v>2202</v>
      </c>
      <c r="E2051" s="5">
        <v>10630037</v>
      </c>
      <c r="F2051" s="38">
        <v>46209</v>
      </c>
      <c r="G2051" s="38" t="s">
        <v>1018</v>
      </c>
      <c r="H2051" s="1" t="s">
        <v>2239</v>
      </c>
      <c r="I2051" s="5" t="s">
        <v>2</v>
      </c>
      <c r="J2051" s="5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>
        <v>7.6</v>
      </c>
      <c r="Z2051" s="7">
        <v>0</v>
      </c>
      <c r="AA2051" s="7">
        <v>16.3</v>
      </c>
      <c r="AB2051" s="7">
        <v>1.7</v>
      </c>
    </row>
    <row r="2052" spans="2:28" x14ac:dyDescent="0.2">
      <c r="B2052" s="5" t="s">
        <v>244</v>
      </c>
      <c r="C2052" s="5">
        <v>1006</v>
      </c>
      <c r="D2052" s="5" t="s">
        <v>244</v>
      </c>
      <c r="E2052" s="5">
        <v>10060135</v>
      </c>
      <c r="F2052" s="38">
        <v>46213</v>
      </c>
      <c r="G2052" s="38" t="s">
        <v>1018</v>
      </c>
      <c r="H2052" s="1" t="s">
        <v>2241</v>
      </c>
      <c r="I2052" s="5" t="s">
        <v>2</v>
      </c>
      <c r="J2052" s="5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>
        <v>61.7</v>
      </c>
      <c r="AA2052" s="7">
        <v>61.8</v>
      </c>
      <c r="AB2052" s="7">
        <v>68.599999999999994</v>
      </c>
    </row>
    <row r="2053" spans="2:28" x14ac:dyDescent="0.2">
      <c r="B2053" s="5" t="s">
        <v>1234</v>
      </c>
      <c r="C2053" s="5">
        <v>1053</v>
      </c>
      <c r="D2053" s="5" t="s">
        <v>1234</v>
      </c>
      <c r="E2053" s="5">
        <v>10530117</v>
      </c>
      <c r="F2053" s="38">
        <v>46216</v>
      </c>
      <c r="G2053" s="38" t="s">
        <v>1018</v>
      </c>
      <c r="H2053" s="1" t="s">
        <v>2242</v>
      </c>
      <c r="I2053" s="5" t="s">
        <v>2</v>
      </c>
      <c r="J2053" s="5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>
        <v>70.900000000000006</v>
      </c>
      <c r="AA2053" s="7">
        <v>196.7</v>
      </c>
      <c r="AB2053" s="7">
        <v>222.7</v>
      </c>
    </row>
    <row r="2054" spans="2:28" x14ac:dyDescent="0.2">
      <c r="B2054" s="5" t="s">
        <v>2007</v>
      </c>
      <c r="C2054" s="5">
        <v>1061</v>
      </c>
      <c r="D2054" s="5" t="s">
        <v>2007</v>
      </c>
      <c r="E2054" s="5">
        <v>10610074</v>
      </c>
      <c r="F2054" s="38">
        <v>46214</v>
      </c>
      <c r="G2054" s="38" t="s">
        <v>1018</v>
      </c>
      <c r="H2054" s="1" t="s">
        <v>2243</v>
      </c>
      <c r="I2054" s="5" t="s">
        <v>2</v>
      </c>
      <c r="J2054" s="5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>
        <v>89.8</v>
      </c>
      <c r="AA2054" s="7">
        <v>133.6</v>
      </c>
      <c r="AB2054" s="7">
        <v>175.5</v>
      </c>
    </row>
    <row r="2055" spans="2:28" x14ac:dyDescent="0.2">
      <c r="B2055" s="5" t="s">
        <v>2007</v>
      </c>
      <c r="C2055" s="5">
        <v>1061</v>
      </c>
      <c r="D2055" s="5" t="s">
        <v>2007</v>
      </c>
      <c r="E2055" s="5">
        <v>10610072</v>
      </c>
      <c r="F2055" s="38">
        <v>46214</v>
      </c>
      <c r="G2055" s="38" t="s">
        <v>1018</v>
      </c>
      <c r="H2055" s="1" t="s">
        <v>2019</v>
      </c>
      <c r="I2055" s="5" t="s">
        <v>2</v>
      </c>
      <c r="J2055" s="5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>
        <v>52.5</v>
      </c>
      <c r="AA2055" s="7">
        <v>43.3</v>
      </c>
      <c r="AB2055" s="7">
        <v>17.5</v>
      </c>
    </row>
    <row r="2056" spans="2:28" x14ac:dyDescent="0.2">
      <c r="B2056" s="5" t="s">
        <v>2007</v>
      </c>
      <c r="C2056" s="5">
        <v>1061</v>
      </c>
      <c r="D2056" s="5" t="s">
        <v>2007</v>
      </c>
      <c r="E2056" s="5">
        <v>10610071</v>
      </c>
      <c r="F2056" s="38">
        <v>46214</v>
      </c>
      <c r="G2056" s="38" t="s">
        <v>1018</v>
      </c>
      <c r="H2056" s="1" t="s">
        <v>2244</v>
      </c>
      <c r="I2056" s="5" t="s">
        <v>2</v>
      </c>
      <c r="J2056" s="5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>
        <v>32</v>
      </c>
      <c r="AA2056" s="7">
        <v>30.2</v>
      </c>
      <c r="AB2056" s="7">
        <v>0</v>
      </c>
    </row>
    <row r="2057" spans="2:28" x14ac:dyDescent="0.2">
      <c r="B2057" s="5" t="s">
        <v>2007</v>
      </c>
      <c r="C2057" s="5">
        <v>1061</v>
      </c>
      <c r="D2057" s="5" t="s">
        <v>2007</v>
      </c>
      <c r="E2057" s="5">
        <v>10610073</v>
      </c>
      <c r="F2057" s="38">
        <v>46215</v>
      </c>
      <c r="G2057" s="38" t="s">
        <v>1018</v>
      </c>
      <c r="H2057" s="1" t="s">
        <v>2245</v>
      </c>
      <c r="I2057" s="5" t="s">
        <v>2</v>
      </c>
      <c r="J2057" s="5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>
        <v>47</v>
      </c>
      <c r="AA2057" s="7">
        <v>54.7</v>
      </c>
      <c r="AB2057" s="7">
        <v>67.8</v>
      </c>
    </row>
    <row r="2058" spans="2:28" x14ac:dyDescent="0.2">
      <c r="B2058" s="5" t="s">
        <v>2202</v>
      </c>
      <c r="C2058" s="5">
        <v>1063</v>
      </c>
      <c r="D2058" s="5" t="s">
        <v>2202</v>
      </c>
      <c r="E2058" s="5">
        <v>10630042</v>
      </c>
      <c r="F2058" s="38">
        <v>46213</v>
      </c>
      <c r="G2058" s="38" t="s">
        <v>1018</v>
      </c>
      <c r="H2058" s="1" t="s">
        <v>2246</v>
      </c>
      <c r="I2058" s="5" t="s">
        <v>2</v>
      </c>
      <c r="J2058" s="5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>
        <v>19.100000000000001</v>
      </c>
      <c r="AA2058" s="7">
        <v>28.5</v>
      </c>
      <c r="AB2058" s="7">
        <v>15.7</v>
      </c>
    </row>
    <row r="2059" spans="2:28" x14ac:dyDescent="0.2">
      <c r="B2059" s="5" t="s">
        <v>2202</v>
      </c>
      <c r="C2059" s="5">
        <v>1063</v>
      </c>
      <c r="D2059" s="5" t="s">
        <v>2202</v>
      </c>
      <c r="E2059" s="5">
        <v>10630043</v>
      </c>
      <c r="F2059" s="38">
        <v>46213</v>
      </c>
      <c r="G2059" s="38" t="s">
        <v>1018</v>
      </c>
      <c r="H2059" s="1" t="s">
        <v>2247</v>
      </c>
      <c r="I2059" s="5" t="s">
        <v>2</v>
      </c>
      <c r="J2059" s="5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>
        <v>8</v>
      </c>
      <c r="AA2059" s="7">
        <v>5.8</v>
      </c>
      <c r="AB2059" s="7">
        <v>4.2</v>
      </c>
    </row>
    <row r="2060" spans="2:28" x14ac:dyDescent="0.2">
      <c r="B2060" s="5" t="s">
        <v>2202</v>
      </c>
      <c r="C2060" s="5">
        <v>1063</v>
      </c>
      <c r="D2060" s="5" t="s">
        <v>2202</v>
      </c>
      <c r="E2060" s="5">
        <v>10630038</v>
      </c>
      <c r="F2060" s="38">
        <v>46214</v>
      </c>
      <c r="G2060" s="38" t="s">
        <v>1018</v>
      </c>
      <c r="H2060" s="1" t="s">
        <v>2248</v>
      </c>
      <c r="I2060" s="5" t="s">
        <v>2</v>
      </c>
      <c r="J2060" s="5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>
        <v>35</v>
      </c>
      <c r="AA2060" s="7">
        <v>45.1</v>
      </c>
      <c r="AB2060" s="7">
        <v>57.6</v>
      </c>
    </row>
    <row r="2061" spans="2:28" x14ac:dyDescent="0.2">
      <c r="B2061" s="5" t="s">
        <v>2202</v>
      </c>
      <c r="C2061" s="5">
        <v>1063</v>
      </c>
      <c r="D2061" s="5" t="s">
        <v>2202</v>
      </c>
      <c r="E2061" s="5">
        <v>10630040</v>
      </c>
      <c r="F2061" s="38">
        <v>46214</v>
      </c>
      <c r="G2061" s="38" t="s">
        <v>1018</v>
      </c>
      <c r="H2061" s="1" t="s">
        <v>2249</v>
      </c>
      <c r="I2061" s="5" t="s">
        <v>2</v>
      </c>
      <c r="J2061" s="5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>
        <v>18.8</v>
      </c>
      <c r="AA2061" s="7">
        <v>24</v>
      </c>
      <c r="AB2061" s="7">
        <v>23.8</v>
      </c>
    </row>
    <row r="2062" spans="2:28" x14ac:dyDescent="0.2">
      <c r="B2062" s="5" t="s">
        <v>2202</v>
      </c>
      <c r="C2062" s="5">
        <v>1063</v>
      </c>
      <c r="D2062" s="5" t="s">
        <v>2202</v>
      </c>
      <c r="E2062" s="5">
        <v>10630041</v>
      </c>
      <c r="F2062" s="38">
        <v>46214</v>
      </c>
      <c r="G2062" s="38" t="s">
        <v>1018</v>
      </c>
      <c r="H2062" s="1" t="s">
        <v>2250</v>
      </c>
      <c r="I2062" s="5" t="s">
        <v>2</v>
      </c>
      <c r="J2062" s="5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>
        <v>22.7</v>
      </c>
      <c r="AA2062" s="7">
        <v>0</v>
      </c>
      <c r="AB2062" s="7">
        <v>0</v>
      </c>
    </row>
    <row r="2063" spans="2:28" x14ac:dyDescent="0.2">
      <c r="B2063" s="5" t="s">
        <v>2202</v>
      </c>
      <c r="C2063" s="5">
        <v>1063</v>
      </c>
      <c r="D2063" s="5" t="s">
        <v>2202</v>
      </c>
      <c r="E2063" s="5">
        <v>10630039</v>
      </c>
      <c r="F2063" s="38">
        <v>46216</v>
      </c>
      <c r="G2063" s="38" t="s">
        <v>1018</v>
      </c>
      <c r="H2063" s="1" t="s">
        <v>2251</v>
      </c>
      <c r="I2063" s="5" t="s">
        <v>2</v>
      </c>
      <c r="J2063" s="5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>
        <v>43.2</v>
      </c>
      <c r="AA2063" s="7">
        <v>58.8</v>
      </c>
      <c r="AB2063" s="7">
        <v>89.3</v>
      </c>
    </row>
    <row r="2064" spans="2:28" x14ac:dyDescent="0.2">
      <c r="B2064" s="5" t="s">
        <v>2202</v>
      </c>
      <c r="C2064" s="5">
        <v>1063</v>
      </c>
      <c r="D2064" s="5" t="s">
        <v>2202</v>
      </c>
      <c r="E2064" s="5">
        <v>10630023</v>
      </c>
      <c r="F2064" s="38">
        <v>46217</v>
      </c>
      <c r="G2064" s="38" t="s">
        <v>1018</v>
      </c>
      <c r="H2064" s="1" t="s">
        <v>2252</v>
      </c>
      <c r="I2064" s="5" t="s">
        <v>2</v>
      </c>
      <c r="J2064" s="5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>
        <v>19.2</v>
      </c>
      <c r="AA2064" s="7">
        <v>0</v>
      </c>
      <c r="AB2064" s="7">
        <v>0</v>
      </c>
    </row>
    <row r="2065" spans="2:28" x14ac:dyDescent="0.2">
      <c r="B2065" s="5" t="s">
        <v>2163</v>
      </c>
      <c r="C2065" s="5">
        <v>1066</v>
      </c>
      <c r="D2065" s="5" t="s">
        <v>2163</v>
      </c>
      <c r="E2065" s="5">
        <v>10660029</v>
      </c>
      <c r="F2065" s="38">
        <v>46218</v>
      </c>
      <c r="G2065" s="38" t="s">
        <v>1018</v>
      </c>
      <c r="H2065" s="1" t="s">
        <v>2253</v>
      </c>
      <c r="I2065" s="5" t="s">
        <v>2</v>
      </c>
      <c r="J2065" s="5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>
        <v>5.3</v>
      </c>
      <c r="AA2065" s="7">
        <v>32</v>
      </c>
      <c r="AB2065" s="7">
        <v>39</v>
      </c>
    </row>
    <row r="2066" spans="2:28" x14ac:dyDescent="0.2">
      <c r="B2066" s="5" t="s">
        <v>2163</v>
      </c>
      <c r="C2066" s="5">
        <v>1066</v>
      </c>
      <c r="D2066" s="5" t="s">
        <v>2163</v>
      </c>
      <c r="E2066" s="5">
        <v>10660026</v>
      </c>
      <c r="F2066" s="38">
        <v>46218</v>
      </c>
      <c r="G2066" s="38" t="s">
        <v>1018</v>
      </c>
      <c r="H2066" s="1" t="s">
        <v>2254</v>
      </c>
      <c r="I2066" s="5" t="s">
        <v>2</v>
      </c>
      <c r="J2066" s="5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>
        <v>8.4</v>
      </c>
      <c r="AA2066" s="7">
        <v>43.3</v>
      </c>
      <c r="AB2066" s="7">
        <v>39.700000000000003</v>
      </c>
    </row>
    <row r="2067" spans="2:28" x14ac:dyDescent="0.2">
      <c r="B2067" s="5" t="s">
        <v>2163</v>
      </c>
      <c r="C2067" s="5">
        <v>1066</v>
      </c>
      <c r="D2067" s="5" t="s">
        <v>2163</v>
      </c>
      <c r="E2067" s="5">
        <v>10660027</v>
      </c>
      <c r="F2067" s="38">
        <v>46218</v>
      </c>
      <c r="G2067" s="38" t="s">
        <v>1018</v>
      </c>
      <c r="H2067" s="1" t="s">
        <v>2255</v>
      </c>
      <c r="I2067" s="5" t="s">
        <v>2</v>
      </c>
      <c r="J2067" s="5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>
        <v>25.2</v>
      </c>
      <c r="AA2067" s="7">
        <v>65.599999999999994</v>
      </c>
      <c r="AB2067" s="7">
        <v>108.1</v>
      </c>
    </row>
    <row r="2068" spans="2:28" x14ac:dyDescent="0.2">
      <c r="B2068" s="5" t="s">
        <v>1880</v>
      </c>
      <c r="C2068" s="5">
        <v>1062</v>
      </c>
      <c r="D2068" s="5" t="s">
        <v>1880</v>
      </c>
      <c r="E2068" s="5">
        <v>10620127</v>
      </c>
      <c r="F2068" s="38">
        <v>46216</v>
      </c>
      <c r="G2068" s="38" t="s">
        <v>1018</v>
      </c>
      <c r="H2068" s="1" t="s">
        <v>2256</v>
      </c>
      <c r="I2068" s="5" t="s">
        <v>2</v>
      </c>
      <c r="J2068" s="5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>
        <v>34.6</v>
      </c>
      <c r="AA2068" s="7">
        <v>58.9</v>
      </c>
      <c r="AB2068" s="7">
        <v>63.5</v>
      </c>
    </row>
    <row r="2069" spans="2:28" x14ac:dyDescent="0.2">
      <c r="B2069" s="5" t="s">
        <v>1880</v>
      </c>
      <c r="C2069" s="5">
        <v>1062</v>
      </c>
      <c r="D2069" s="5" t="s">
        <v>1880</v>
      </c>
      <c r="E2069" s="5">
        <v>10620126</v>
      </c>
      <c r="F2069" s="38">
        <v>46217</v>
      </c>
      <c r="G2069" s="38" t="s">
        <v>1018</v>
      </c>
      <c r="H2069" s="1" t="s">
        <v>2257</v>
      </c>
      <c r="I2069" s="5" t="s">
        <v>2</v>
      </c>
      <c r="J2069" s="5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>
        <v>17.7</v>
      </c>
      <c r="AA2069" s="7">
        <v>38.9</v>
      </c>
      <c r="AB2069" s="7">
        <v>37.5</v>
      </c>
    </row>
    <row r="2070" spans="2:28" x14ac:dyDescent="0.2">
      <c r="B2070" s="5" t="s">
        <v>247</v>
      </c>
      <c r="C2070" s="5">
        <v>1010</v>
      </c>
      <c r="D2070" s="5" t="s">
        <v>247</v>
      </c>
      <c r="E2070" s="5">
        <v>10100066</v>
      </c>
      <c r="F2070" s="38">
        <v>46221</v>
      </c>
      <c r="G2070" s="38" t="s">
        <v>1018</v>
      </c>
      <c r="H2070" s="1" t="s">
        <v>2259</v>
      </c>
      <c r="I2070" s="5" t="s">
        <v>2</v>
      </c>
      <c r="J2070" s="5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>
        <v>216.3</v>
      </c>
      <c r="AB2070" s="7">
        <v>229.8</v>
      </c>
    </row>
    <row r="2071" spans="2:28" x14ac:dyDescent="0.2">
      <c r="B2071" s="5" t="s">
        <v>2007</v>
      </c>
      <c r="C2071" s="5">
        <v>1061</v>
      </c>
      <c r="D2071" s="5" t="s">
        <v>2007</v>
      </c>
      <c r="E2071" s="5">
        <v>10610077</v>
      </c>
      <c r="F2071" s="38">
        <v>46226</v>
      </c>
      <c r="G2071" s="38" t="s">
        <v>1018</v>
      </c>
      <c r="H2071" s="1" t="s">
        <v>2260</v>
      </c>
      <c r="I2071" s="5" t="s">
        <v>2</v>
      </c>
      <c r="J2071" s="5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>
        <v>10.199999999999999</v>
      </c>
      <c r="AB2071" s="7">
        <v>30.6</v>
      </c>
    </row>
    <row r="2072" spans="2:28" x14ac:dyDescent="0.2">
      <c r="B2072" s="5" t="s">
        <v>2007</v>
      </c>
      <c r="C2072" s="5">
        <v>1061</v>
      </c>
      <c r="D2072" s="5" t="s">
        <v>2007</v>
      </c>
      <c r="E2072" s="5">
        <v>10610076</v>
      </c>
      <c r="F2072" s="38">
        <v>46226</v>
      </c>
      <c r="G2072" s="38" t="s">
        <v>1018</v>
      </c>
      <c r="H2072" s="1" t="s">
        <v>2261</v>
      </c>
      <c r="I2072" s="5" t="s">
        <v>2</v>
      </c>
      <c r="J2072" s="5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>
        <v>4.5999999999999996</v>
      </c>
      <c r="AB2072" s="7">
        <v>37.700000000000003</v>
      </c>
    </row>
    <row r="2073" spans="2:28" x14ac:dyDescent="0.2">
      <c r="B2073" s="5" t="s">
        <v>2163</v>
      </c>
      <c r="C2073" s="5">
        <v>1066</v>
      </c>
      <c r="D2073" s="5" t="s">
        <v>2163</v>
      </c>
      <c r="E2073" s="5">
        <v>10660034</v>
      </c>
      <c r="F2073" s="38">
        <v>46223</v>
      </c>
      <c r="G2073" s="38" t="s">
        <v>1018</v>
      </c>
      <c r="H2073" s="1" t="s">
        <v>2262</v>
      </c>
      <c r="I2073" s="5" t="s">
        <v>2</v>
      </c>
      <c r="J2073" s="5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>
        <v>17</v>
      </c>
      <c r="AB2073" s="7">
        <v>37.700000000000003</v>
      </c>
    </row>
    <row r="2074" spans="2:28" x14ac:dyDescent="0.2">
      <c r="B2074" s="5" t="s">
        <v>2163</v>
      </c>
      <c r="C2074" s="5">
        <v>1066</v>
      </c>
      <c r="D2074" s="5" t="s">
        <v>2163</v>
      </c>
      <c r="E2074" s="5">
        <v>10660014</v>
      </c>
      <c r="F2074" s="38">
        <v>46223</v>
      </c>
      <c r="G2074" s="38" t="s">
        <v>1018</v>
      </c>
      <c r="H2074" s="1" t="s">
        <v>2263</v>
      </c>
      <c r="I2074" s="5" t="s">
        <v>2</v>
      </c>
      <c r="J2074" s="5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>
        <v>7.5</v>
      </c>
      <c r="AB2074" s="7">
        <v>8.1999999999999993</v>
      </c>
    </row>
    <row r="2075" spans="2:28" x14ac:dyDescent="0.2">
      <c r="B2075" s="5" t="s">
        <v>2163</v>
      </c>
      <c r="C2075" s="5">
        <v>1066</v>
      </c>
      <c r="D2075" s="5" t="s">
        <v>2163</v>
      </c>
      <c r="E2075" s="5">
        <v>10660038</v>
      </c>
      <c r="F2075" s="38">
        <v>46224</v>
      </c>
      <c r="G2075" s="38" t="s">
        <v>1018</v>
      </c>
      <c r="H2075" s="1" t="s">
        <v>2264</v>
      </c>
      <c r="I2075" s="5" t="s">
        <v>2</v>
      </c>
      <c r="J2075" s="5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>
        <v>439.7</v>
      </c>
      <c r="AB2075" s="7">
        <v>482.5</v>
      </c>
    </row>
    <row r="2076" spans="2:28" x14ac:dyDescent="0.2">
      <c r="B2076" s="5" t="s">
        <v>1880</v>
      </c>
      <c r="C2076" s="5">
        <v>1062</v>
      </c>
      <c r="D2076" s="5" t="s">
        <v>1880</v>
      </c>
      <c r="E2076" s="5">
        <v>10620130</v>
      </c>
      <c r="F2076" s="38">
        <v>46223</v>
      </c>
      <c r="G2076" s="38" t="s">
        <v>1018</v>
      </c>
      <c r="H2076" s="1" t="s">
        <v>2265</v>
      </c>
      <c r="I2076" s="5" t="s">
        <v>2</v>
      </c>
      <c r="J2076" s="5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>
        <v>22.6</v>
      </c>
      <c r="AB2076" s="7">
        <v>35.9</v>
      </c>
    </row>
    <row r="2077" spans="2:28" x14ac:dyDescent="0.2">
      <c r="B2077" s="5" t="s">
        <v>815</v>
      </c>
      <c r="C2077" s="5">
        <v>1001</v>
      </c>
      <c r="D2077" s="5" t="s">
        <v>815</v>
      </c>
      <c r="E2077" s="5">
        <v>10010151</v>
      </c>
      <c r="F2077" s="38">
        <v>46228</v>
      </c>
      <c r="G2077" s="38" t="s">
        <v>1018</v>
      </c>
      <c r="H2077" s="1" t="s">
        <v>2267</v>
      </c>
      <c r="I2077" s="5" t="s">
        <v>2</v>
      </c>
      <c r="J2077" s="5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>
        <v>26</v>
      </c>
    </row>
    <row r="2078" spans="2:28" x14ac:dyDescent="0.2">
      <c r="B2078" s="5" t="s">
        <v>244</v>
      </c>
      <c r="C2078" s="5">
        <v>1006</v>
      </c>
      <c r="D2078" s="5" t="s">
        <v>244</v>
      </c>
      <c r="E2078" s="5">
        <v>10060138</v>
      </c>
      <c r="F2078" s="38">
        <v>46230</v>
      </c>
      <c r="G2078" s="38" t="s">
        <v>1018</v>
      </c>
      <c r="H2078" s="1" t="s">
        <v>2268</v>
      </c>
      <c r="I2078" s="5" t="s">
        <v>2</v>
      </c>
      <c r="J2078" s="5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>
        <v>924.6</v>
      </c>
    </row>
    <row r="2079" spans="2:28" x14ac:dyDescent="0.2">
      <c r="B2079" s="5" t="s">
        <v>814</v>
      </c>
      <c r="C2079" s="5">
        <v>1007</v>
      </c>
      <c r="D2079" s="5" t="s">
        <v>814</v>
      </c>
      <c r="E2079" s="5">
        <v>10070080</v>
      </c>
      <c r="F2079" s="38">
        <v>46231</v>
      </c>
      <c r="G2079" s="38" t="s">
        <v>1018</v>
      </c>
      <c r="H2079" s="1" t="s">
        <v>2269</v>
      </c>
      <c r="I2079" s="5" t="s">
        <v>2</v>
      </c>
      <c r="J2079" s="5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>
        <v>71.7</v>
      </c>
    </row>
    <row r="2080" spans="2:28" x14ac:dyDescent="0.2">
      <c r="B2080" s="5" t="s">
        <v>246</v>
      </c>
      <c r="C2080" s="5">
        <v>1065</v>
      </c>
      <c r="D2080" s="5" t="s">
        <v>246</v>
      </c>
      <c r="E2080" s="5">
        <v>10650029</v>
      </c>
      <c r="F2080" s="38">
        <v>46232</v>
      </c>
      <c r="G2080" s="38" t="s">
        <v>1019</v>
      </c>
      <c r="H2080" s="1" t="s">
        <v>2270</v>
      </c>
      <c r="I2080" s="5" t="s">
        <v>1</v>
      </c>
      <c r="J2080" s="5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>
        <v>4.0999999999999996</v>
      </c>
    </row>
    <row r="2081" spans="2:28" x14ac:dyDescent="0.2">
      <c r="B2081" s="5" t="s">
        <v>1426</v>
      </c>
      <c r="C2081" s="5">
        <v>1054</v>
      </c>
      <c r="D2081" s="5" t="s">
        <v>1426</v>
      </c>
      <c r="E2081" s="5">
        <v>10540060</v>
      </c>
      <c r="F2081" s="38">
        <v>46227</v>
      </c>
      <c r="G2081" s="38" t="s">
        <v>1018</v>
      </c>
      <c r="H2081" s="1" t="s">
        <v>2271</v>
      </c>
      <c r="I2081" s="5" t="s">
        <v>2</v>
      </c>
      <c r="J2081" s="5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>
        <v>27.2</v>
      </c>
    </row>
    <row r="2082" spans="2:28" x14ac:dyDescent="0.2">
      <c r="B2082" s="5" t="s">
        <v>1520</v>
      </c>
      <c r="C2082" s="5">
        <v>1055</v>
      </c>
      <c r="D2082" s="5" t="s">
        <v>1520</v>
      </c>
      <c r="E2082" s="5">
        <v>10550012</v>
      </c>
      <c r="F2082" s="38">
        <v>46232</v>
      </c>
      <c r="G2082" s="38" t="s">
        <v>1019</v>
      </c>
      <c r="H2082" s="1" t="s">
        <v>2272</v>
      </c>
      <c r="I2082" s="5" t="s">
        <v>1</v>
      </c>
      <c r="J2082" s="5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>
        <v>7.4</v>
      </c>
    </row>
    <row r="2083" spans="2:28" x14ac:dyDescent="0.2">
      <c r="B2083" s="5" t="s">
        <v>1484</v>
      </c>
      <c r="C2083" s="5">
        <v>1056</v>
      </c>
      <c r="D2083" s="5" t="s">
        <v>1484</v>
      </c>
      <c r="E2083" s="5">
        <v>10560043</v>
      </c>
      <c r="F2083" s="38">
        <v>46232</v>
      </c>
      <c r="G2083" s="38" t="s">
        <v>1018</v>
      </c>
      <c r="H2083" s="1" t="s">
        <v>2273</v>
      </c>
      <c r="I2083" s="5" t="s">
        <v>2</v>
      </c>
      <c r="J2083" s="5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>
        <v>89</v>
      </c>
    </row>
    <row r="2084" spans="2:28" x14ac:dyDescent="0.2">
      <c r="B2084" s="5" t="s">
        <v>1484</v>
      </c>
      <c r="C2084" s="5">
        <v>1056</v>
      </c>
      <c r="D2084" s="5" t="s">
        <v>1484</v>
      </c>
      <c r="E2084" s="5">
        <v>10560042</v>
      </c>
      <c r="F2084" s="38">
        <v>46233</v>
      </c>
      <c r="G2084" s="38" t="s">
        <v>1018</v>
      </c>
      <c r="H2084" s="1" t="s">
        <v>2274</v>
      </c>
      <c r="I2084" s="5" t="s">
        <v>2</v>
      </c>
      <c r="J2084" s="5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>
        <v>16.600000000000001</v>
      </c>
    </row>
    <row r="2085" spans="2:28" x14ac:dyDescent="0.2">
      <c r="B2085" s="5" t="s">
        <v>1484</v>
      </c>
      <c r="C2085" s="5">
        <v>1056</v>
      </c>
      <c r="D2085" s="5" t="s">
        <v>1484</v>
      </c>
      <c r="E2085" s="5">
        <v>10560044</v>
      </c>
      <c r="F2085" s="38">
        <v>46233</v>
      </c>
      <c r="G2085" s="38" t="s">
        <v>1018</v>
      </c>
      <c r="H2085" s="1" t="s">
        <v>2275</v>
      </c>
      <c r="I2085" s="5" t="s">
        <v>2</v>
      </c>
      <c r="J2085" s="5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>
        <v>5.4</v>
      </c>
    </row>
    <row r="2086" spans="2:28" x14ac:dyDescent="0.2">
      <c r="B2086" s="5" t="s">
        <v>1596</v>
      </c>
      <c r="C2086" s="5">
        <v>1057</v>
      </c>
      <c r="D2086" s="5" t="s">
        <v>1596</v>
      </c>
      <c r="E2086" s="5">
        <v>10570074</v>
      </c>
      <c r="F2086" s="38">
        <v>46232</v>
      </c>
      <c r="G2086" s="38" t="s">
        <v>1018</v>
      </c>
      <c r="H2086" s="1" t="s">
        <v>2276</v>
      </c>
      <c r="I2086" s="5" t="s">
        <v>2</v>
      </c>
      <c r="J2086" s="5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>
        <v>17</v>
      </c>
    </row>
    <row r="2087" spans="2:28" x14ac:dyDescent="0.2">
      <c r="B2087" s="5" t="s">
        <v>1596</v>
      </c>
      <c r="C2087" s="5">
        <v>1057</v>
      </c>
      <c r="D2087" s="5" t="s">
        <v>1596</v>
      </c>
      <c r="E2087" s="5">
        <v>10570073</v>
      </c>
      <c r="F2087" s="38">
        <v>46233</v>
      </c>
      <c r="G2087" s="38" t="s">
        <v>1019</v>
      </c>
      <c r="H2087" s="1" t="s">
        <v>2277</v>
      </c>
      <c r="I2087" s="5" t="s">
        <v>1</v>
      </c>
      <c r="J2087" s="5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>
        <v>3.4</v>
      </c>
    </row>
    <row r="2088" spans="2:28" x14ac:dyDescent="0.2">
      <c r="B2088" s="5" t="s">
        <v>1782</v>
      </c>
      <c r="C2088" s="5">
        <v>1058</v>
      </c>
      <c r="D2088" s="5" t="s">
        <v>1782</v>
      </c>
      <c r="E2088" s="5">
        <v>10580036</v>
      </c>
      <c r="F2088" s="38">
        <v>46227</v>
      </c>
      <c r="G2088" s="38" t="s">
        <v>1019</v>
      </c>
      <c r="H2088" s="1" t="s">
        <v>2278</v>
      </c>
      <c r="I2088" s="5" t="s">
        <v>1</v>
      </c>
      <c r="J2088" s="5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>
        <v>59.9</v>
      </c>
    </row>
    <row r="2089" spans="2:28" x14ac:dyDescent="0.2">
      <c r="B2089" s="5" t="s">
        <v>2007</v>
      </c>
      <c r="C2089" s="5">
        <v>1061</v>
      </c>
      <c r="D2089" s="5" t="s">
        <v>2007</v>
      </c>
      <c r="E2089" s="5">
        <v>10610075</v>
      </c>
      <c r="F2089" s="38">
        <v>46228</v>
      </c>
      <c r="G2089" s="38" t="s">
        <v>1018</v>
      </c>
      <c r="H2089" s="1" t="s">
        <v>2279</v>
      </c>
      <c r="I2089" s="5" t="s">
        <v>2</v>
      </c>
      <c r="J2089" s="5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>
        <v>22.8</v>
      </c>
    </row>
    <row r="2090" spans="2:28" x14ac:dyDescent="0.2">
      <c r="B2090" s="5" t="s">
        <v>2163</v>
      </c>
      <c r="C2090" s="5">
        <v>1066</v>
      </c>
      <c r="D2090" s="5" t="s">
        <v>2163</v>
      </c>
      <c r="E2090" s="5">
        <v>10660037</v>
      </c>
      <c r="F2090" s="38">
        <v>46233</v>
      </c>
      <c r="G2090" s="38" t="s">
        <v>1018</v>
      </c>
      <c r="H2090" s="1" t="s">
        <v>2280</v>
      </c>
      <c r="I2090" s="5" t="s">
        <v>2</v>
      </c>
      <c r="J2090" s="5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>
        <v>3.5</v>
      </c>
    </row>
    <row r="2091" spans="2:28" x14ac:dyDescent="0.2">
      <c r="B2091" s="1"/>
      <c r="C2091" s="1"/>
      <c r="D2091" s="1"/>
      <c r="E2091" s="15"/>
      <c r="F2091" s="4" t="s">
        <v>173</v>
      </c>
      <c r="G2091" s="15"/>
      <c r="H2091" s="4"/>
      <c r="I2091" s="5"/>
      <c r="J2091" s="5"/>
      <c r="K2091" s="16">
        <f>SUBTOTAL(9,K3:K2090)</f>
        <v>206104.09999999974</v>
      </c>
      <c r="L2091" s="16">
        <f>SUBTOTAL(9,L3:L2090)</f>
        <v>199130.7999999999</v>
      </c>
      <c r="M2091" s="16">
        <f>SUBTOTAL(9,M3:M2090)</f>
        <v>167290.50000000015</v>
      </c>
      <c r="N2091" s="16">
        <f>SUBTOTAL(9,N3:N2090)</f>
        <v>122629.59999999999</v>
      </c>
      <c r="O2091" s="16">
        <f>SUBTOTAL(9,O3:O2090)</f>
        <v>114017.09999999999</v>
      </c>
      <c r="P2091" s="16">
        <f>SUBTOTAL(9,P3:P2090)</f>
        <v>137766.99999999991</v>
      </c>
      <c r="Q2091" s="16">
        <f>SUBTOTAL(9,Q3:Q2090)</f>
        <v>156529.40000000011</v>
      </c>
      <c r="R2091" s="16">
        <f>SUBTOTAL(9,R3:R2090)</f>
        <v>187505.50000000009</v>
      </c>
      <c r="S2091" s="16">
        <f>SUBTOTAL(9,S3:S2090)</f>
        <v>184117.40000000026</v>
      </c>
      <c r="T2091" s="16">
        <f>SUBTOTAL(9,T3:T2090)</f>
        <v>187591.7</v>
      </c>
      <c r="U2091" s="16">
        <f>SUBTOTAL(9,U3:U2090)</f>
        <v>181553.39999999982</v>
      </c>
      <c r="V2091" s="16">
        <f>SUBTOTAL(9,V3:V2090)</f>
        <v>181090.19999999992</v>
      </c>
      <c r="W2091" s="16">
        <f>SUBTOTAL(9,W3:W2090)</f>
        <v>156135.80000000019</v>
      </c>
      <c r="X2091" s="16">
        <f>SUBTOTAL(9,X3:X2090)</f>
        <v>156319.99999999994</v>
      </c>
      <c r="Y2091" s="16">
        <f>SUBTOTAL(9,Y3:Y2090)</f>
        <v>173062.8</v>
      </c>
      <c r="Z2091" s="16">
        <f>SUBTOTAL(9,Z3:Z2090)</f>
        <v>198134.60000000018</v>
      </c>
      <c r="AA2091" s="16">
        <f>SUBTOTAL(9,AA3:AA2090)</f>
        <v>196680.1999999999</v>
      </c>
      <c r="AB2091" s="16">
        <f>SUBTOTAL(9,AB3:AB2090)</f>
        <v>197790.10000000021</v>
      </c>
    </row>
    <row r="2092" spans="2:28" ht="13.5" thickBot="1" x14ac:dyDescent="0.25">
      <c r="B2092" s="13"/>
      <c r="C2092" s="13"/>
      <c r="D2092" s="13"/>
      <c r="E2092" s="18"/>
      <c r="F2092" s="14" t="s">
        <v>172</v>
      </c>
      <c r="G2092" s="35"/>
      <c r="H2092" s="4"/>
      <c r="I2092" s="15">
        <f>COUNTA(I3:I2090)</f>
        <v>2088</v>
      </c>
      <c r="J2092" s="15"/>
      <c r="K2092" s="16">
        <f>COUNTIF(K3:K2090,"&gt;0")</f>
        <v>1028</v>
      </c>
      <c r="L2092" s="16">
        <f>COUNTIF(L3:L2090,"&gt;0")</f>
        <v>1103</v>
      </c>
      <c r="M2092" s="16">
        <f>COUNTIF(M3:M2090,"&gt;0")</f>
        <v>1071</v>
      </c>
      <c r="N2092" s="16">
        <f>COUNTIF(N3:N2090,"&gt;0")</f>
        <v>1049</v>
      </c>
      <c r="O2092" s="16">
        <f>COUNTIF(O3:O2090,"&gt;0")</f>
        <v>972</v>
      </c>
      <c r="P2092" s="16">
        <f>COUNTIF(P3:P2090,"&gt;0")</f>
        <v>992</v>
      </c>
      <c r="Q2092" s="16">
        <f>COUNTIF(Q3:Q2090,"&gt;0")</f>
        <v>1022</v>
      </c>
      <c r="R2092" s="16">
        <f>COUNTIF(R3:R2090,"&gt;0")</f>
        <v>1047</v>
      </c>
      <c r="S2092" s="16">
        <f>COUNTIF(S3:S2090,"&gt;0")</f>
        <v>1056</v>
      </c>
      <c r="T2092" s="16">
        <f>COUNTIF(T3:T2090,"&gt;0")</f>
        <v>1055</v>
      </c>
      <c r="U2092" s="16">
        <f>COUNTIF(U3:U2090,"&gt;0")</f>
        <v>1050</v>
      </c>
      <c r="V2092" s="16">
        <f>COUNTIF(V3:V2090,"&gt;0")</f>
        <v>1049</v>
      </c>
      <c r="W2092" s="16">
        <f>COUNTIF(W3:W2090,"&gt;0")</f>
        <v>1030</v>
      </c>
      <c r="X2092" s="16">
        <f>COUNTIF(X3:X2090,"&gt;0")</f>
        <v>1035</v>
      </c>
      <c r="Y2092" s="16">
        <f>COUNTIF(Y3:Y2090,"&gt;0")</f>
        <v>1037</v>
      </c>
      <c r="Z2092" s="16">
        <f>COUNTIF(Z3:Z2090,"&gt;0")</f>
        <v>1069</v>
      </c>
      <c r="AA2092" s="16">
        <f>COUNTIF(AA3:AA2090,"&gt;0")</f>
        <v>1067</v>
      </c>
      <c r="AB2092" s="16">
        <f>COUNTIF(AB3:AB2090,"&gt;0")</f>
        <v>1074</v>
      </c>
    </row>
    <row r="2093" spans="2:28" x14ac:dyDescent="0.2">
      <c r="E2093" s="3"/>
      <c r="F2093" s="3"/>
      <c r="G2093" s="3"/>
    </row>
    <row r="2095" spans="2:28" s="8" customFormat="1" ht="25.5" x14ac:dyDescent="0.2">
      <c r="H2095" s="33" t="s">
        <v>241</v>
      </c>
      <c r="I2095" s="33" t="s">
        <v>181</v>
      </c>
      <c r="J2095" s="33"/>
      <c r="K2095" s="34" t="str">
        <f>K2</f>
        <v>01 -02 Apr</v>
      </c>
      <c r="L2095" s="34" t="str">
        <f>L2</f>
        <v>03 -09 Apr</v>
      </c>
      <c r="M2095" s="34" t="str">
        <f>M2</f>
        <v>10 -16 Apr</v>
      </c>
      <c r="N2095" s="34" t="str">
        <f>N2</f>
        <v>17 -23 Apr</v>
      </c>
      <c r="O2095" s="34" t="str">
        <f>O2</f>
        <v>24 -30 Apr</v>
      </c>
      <c r="P2095" s="34" t="str">
        <f>P2</f>
        <v>01 -07 May</v>
      </c>
      <c r="Q2095" s="34" t="str">
        <f>Q2</f>
        <v>08 -14 May</v>
      </c>
      <c r="R2095" s="34" t="str">
        <f>R2</f>
        <v>15 -21 May</v>
      </c>
      <c r="S2095" s="34" t="str">
        <f>S2</f>
        <v>22 -28 May</v>
      </c>
      <c r="T2095" s="34" t="str">
        <f>T2</f>
        <v>29 -04 Jun</v>
      </c>
      <c r="U2095" s="34" t="str">
        <f>U2</f>
        <v>05 -11 Jun</v>
      </c>
      <c r="V2095" s="34" t="str">
        <f>V2</f>
        <v>12 -18 Jun</v>
      </c>
      <c r="W2095" s="34" t="str">
        <f>W2</f>
        <v>19 -25 Jun</v>
      </c>
      <c r="X2095" s="34" t="str">
        <f>X2</f>
        <v>26-02 Jul</v>
      </c>
      <c r="Y2095" s="34" t="str">
        <f>Y2</f>
        <v>03-09 Jul</v>
      </c>
      <c r="Z2095" s="34" t="str">
        <f>Z2</f>
        <v>10-16 Jul</v>
      </c>
      <c r="AA2095" s="34" t="str">
        <f>AA2</f>
        <v>17-23 Jul</v>
      </c>
      <c r="AB2095" s="34" t="str">
        <f>AB2</f>
        <v>24-30 Jul</v>
      </c>
    </row>
    <row r="2096" spans="2:28" s="8" customFormat="1" ht="15" x14ac:dyDescent="0.25">
      <c r="H2096" s="12" t="s">
        <v>815</v>
      </c>
      <c r="I2096" s="30">
        <f>VLOOKUP(H2096,$B$3:$C$2090,2,0)</f>
        <v>1001</v>
      </c>
      <c r="J2096" s="6"/>
      <c r="K2096" s="7">
        <f>SUMIF($B$2:$B$2091,$H2096,K$2:K$2091)</f>
        <v>5161.9000000000015</v>
      </c>
      <c r="L2096" s="7">
        <f>SUMIF($B$2:$B$2091,$H2096,L$2:L$2091)</f>
        <v>5190.5</v>
      </c>
      <c r="M2096" s="7">
        <f>SUMIF($B$2:$B$2091,$H2096,M$2:M$2091)</f>
        <v>4666.2</v>
      </c>
      <c r="N2096" s="7">
        <f>SUMIF($B$2:$B$2091,$H2096,N$2:N$2091)</f>
        <v>3205.9000000000005</v>
      </c>
      <c r="O2096" s="7">
        <f>SUMIF($B$2:$B$2091,$H2096,O$2:O$2091)</f>
        <v>2645.4999999999991</v>
      </c>
      <c r="P2096" s="7">
        <f>SUMIF($B$2:$B$2091,$H2096,P$2:P$2091)</f>
        <v>3358.6</v>
      </c>
      <c r="Q2096" s="7">
        <f>SUMIF($B$2:$B$2091,$H2096,Q$2:Q$2091)</f>
        <v>3368.7000000000007</v>
      </c>
      <c r="R2096" s="7">
        <f>SUMIF($B$2:$B$2091,$H2096,R$2:R$2091)</f>
        <v>3981.2</v>
      </c>
      <c r="S2096" s="7">
        <f>SUMIF($B$2:$B$2091,$H2096,S$2:S$2091)</f>
        <v>3536.1000000000004</v>
      </c>
      <c r="T2096" s="7">
        <f>SUMIF($B$2:$B$2091,$H2096,T$2:T$2091)</f>
        <v>4557.9000000000015</v>
      </c>
      <c r="U2096" s="7">
        <f>SUMIF($B$2:$B$2091,$H2096,U$2:U$2091)</f>
        <v>3968.4999999999995</v>
      </c>
      <c r="V2096" s="7">
        <f>SUMIF($B$2:$B$2091,$H2096,V$2:V$2091)</f>
        <v>3250.0999999999995</v>
      </c>
      <c r="W2096" s="7">
        <f>SUMIF($B$2:$B$2091,$H2096,W$2:W$2091)</f>
        <v>3188.4999999999986</v>
      </c>
      <c r="X2096" s="7">
        <f>SUMIF($B$2:$B$2091,$H2096,X$2:X$2091)</f>
        <v>2957.6999999999994</v>
      </c>
      <c r="Y2096" s="7">
        <f>SUMIF($B$2:$B$2091,$H2096,Y$2:Y$2091)</f>
        <v>2846.8</v>
      </c>
      <c r="Z2096" s="7">
        <f>SUMIF($B$2:$B$2091,$H2096,Z$2:Z$2091)</f>
        <v>3505.4999999999995</v>
      </c>
      <c r="AA2096" s="7">
        <f>SUMIF($B$2:$B$2091,$H2096,AA$2:AA$2091)</f>
        <v>3625.9999999999995</v>
      </c>
      <c r="AB2096" s="7">
        <f>SUMIF($B$2:$B$2091,$H2096,AB$2:AB$2091)</f>
        <v>3343.8999999999996</v>
      </c>
    </row>
    <row r="2097" spans="8:28" ht="15" x14ac:dyDescent="0.25">
      <c r="H2097" s="12" t="s">
        <v>242</v>
      </c>
      <c r="I2097" s="30">
        <f t="shared" ref="I2097:I2124" si="0">VLOOKUP(H2097,$B$3:$C$2090,2,0)</f>
        <v>1002</v>
      </c>
      <c r="J2097" s="6"/>
      <c r="K2097" s="7">
        <f>SUMIF($B$2:$B$2091,$H2097,K$2:K$2091)</f>
        <v>17577.899999999998</v>
      </c>
      <c r="L2097" s="7">
        <f>SUMIF($B$2:$B$2091,$H2097,L$2:L$2091)</f>
        <v>19359.600000000002</v>
      </c>
      <c r="M2097" s="7">
        <f>SUMIF($B$2:$B$2091,$H2097,M$2:M$2091)</f>
        <v>13022.300000000007</v>
      </c>
      <c r="N2097" s="7">
        <f>SUMIF($B$2:$B$2091,$H2097,N$2:N$2091)</f>
        <v>9682.0999999999985</v>
      </c>
      <c r="O2097" s="7">
        <f>SUMIF($B$2:$B$2091,$H2097,O$2:O$2091)</f>
        <v>13935.700000000006</v>
      </c>
      <c r="P2097" s="7">
        <f>SUMIF($B$2:$B$2091,$H2097,P$2:P$2091)</f>
        <v>15603.199999999999</v>
      </c>
      <c r="Q2097" s="7">
        <f>SUMIF($B$2:$B$2091,$H2097,Q$2:Q$2091)</f>
        <v>17105.900000000001</v>
      </c>
      <c r="R2097" s="7">
        <f>SUMIF($B$2:$B$2091,$H2097,R$2:R$2091)</f>
        <v>18312.099999999991</v>
      </c>
      <c r="S2097" s="7">
        <f>SUMIF($B$2:$B$2091,$H2097,S$2:S$2091)</f>
        <v>17023.5</v>
      </c>
      <c r="T2097" s="7">
        <f>SUMIF($B$2:$B$2091,$H2097,T$2:T$2091)</f>
        <v>17995</v>
      </c>
      <c r="U2097" s="7">
        <f>SUMIF($B$2:$B$2091,$H2097,U$2:U$2091)</f>
        <v>17623.799999999996</v>
      </c>
      <c r="V2097" s="7">
        <f>SUMIF($B$2:$B$2091,$H2097,V$2:V$2091)</f>
        <v>17076.899999999998</v>
      </c>
      <c r="W2097" s="7">
        <f>SUMIF($B$2:$B$2091,$H2097,W$2:W$2091)</f>
        <v>14745.499999999996</v>
      </c>
      <c r="X2097" s="7">
        <f>SUMIF($B$2:$B$2091,$H2097,X$2:X$2091)</f>
        <v>11378.399999999998</v>
      </c>
      <c r="Y2097" s="7">
        <f>SUMIF($B$2:$B$2091,$H2097,Y$2:Y$2091)</f>
        <v>18356.400000000005</v>
      </c>
      <c r="Z2097" s="7">
        <f>SUMIF($B$2:$B$2091,$H2097,Z$2:Z$2091)</f>
        <v>19396.500000000004</v>
      </c>
      <c r="AA2097" s="7">
        <f>SUMIF($B$2:$B$2091,$H2097,AA$2:AA$2091)</f>
        <v>15921.899999999998</v>
      </c>
      <c r="AB2097" s="7">
        <f>SUMIF($B$2:$B$2091,$H2097,AB$2:AB$2091)</f>
        <v>17814.599999999995</v>
      </c>
    </row>
    <row r="2098" spans="8:28" ht="15" x14ac:dyDescent="0.25">
      <c r="H2098" s="12" t="s">
        <v>243</v>
      </c>
      <c r="I2098" s="30">
        <f t="shared" si="0"/>
        <v>1003</v>
      </c>
      <c r="J2098" s="6"/>
      <c r="K2098" s="7">
        <f>SUMIF($B$2:$B$2091,$H2098,K$2:K$2091)</f>
        <v>8156.8</v>
      </c>
      <c r="L2098" s="7">
        <f>SUMIF($B$2:$B$2091,$H2098,L$2:L$2091)</f>
        <v>12651.100000000006</v>
      </c>
      <c r="M2098" s="7">
        <f>SUMIF($B$2:$B$2091,$H2098,M$2:M$2091)</f>
        <v>9817.4000000000033</v>
      </c>
      <c r="N2098" s="7">
        <f>SUMIF($B$2:$B$2091,$H2098,N$2:N$2091)</f>
        <v>8011.7</v>
      </c>
      <c r="O2098" s="7">
        <f>SUMIF($B$2:$B$2091,$H2098,O$2:O$2091)</f>
        <v>7486.3</v>
      </c>
      <c r="P2098" s="7">
        <f>SUMIF($B$2:$B$2091,$H2098,P$2:P$2091)</f>
        <v>9494.2999999999975</v>
      </c>
      <c r="Q2098" s="7">
        <f>SUMIF($B$2:$B$2091,$H2098,Q$2:Q$2091)</f>
        <v>10321.9</v>
      </c>
      <c r="R2098" s="7">
        <f>SUMIF($B$2:$B$2091,$H2098,R$2:R$2091)</f>
        <v>15533.599999999995</v>
      </c>
      <c r="S2098" s="7">
        <f>SUMIF($B$2:$B$2091,$H2098,S$2:S$2091)</f>
        <v>14754.599999999999</v>
      </c>
      <c r="T2098" s="7">
        <f>SUMIF($B$2:$B$2091,$H2098,T$2:T$2091)</f>
        <v>14948.499999999996</v>
      </c>
      <c r="U2098" s="7">
        <f>SUMIF($B$2:$B$2091,$H2098,U$2:U$2091)</f>
        <v>15023.500000000005</v>
      </c>
      <c r="V2098" s="7">
        <f>SUMIF($B$2:$B$2091,$H2098,V$2:V$2091)</f>
        <v>12868.999999999996</v>
      </c>
      <c r="W2098" s="7">
        <f>SUMIF($B$2:$B$2091,$H2098,W$2:W$2091)</f>
        <v>12974.099999999997</v>
      </c>
      <c r="X2098" s="7">
        <f>SUMIF($B$2:$B$2091,$H2098,X$2:X$2091)</f>
        <v>12661.8</v>
      </c>
      <c r="Y2098" s="7">
        <f>SUMIF($B$2:$B$2091,$H2098,Y$2:Y$2091)</f>
        <v>12736.7</v>
      </c>
      <c r="Z2098" s="7">
        <f>SUMIF($B$2:$B$2091,$H2098,Z$2:Z$2091)</f>
        <v>17996.500000000004</v>
      </c>
      <c r="AA2098" s="7">
        <f>SUMIF($B$2:$B$2091,$H2098,AA$2:AA$2091)</f>
        <v>15040.799999999996</v>
      </c>
      <c r="AB2098" s="7">
        <f>SUMIF($B$2:$B$2091,$H2098,AB$2:AB$2091)</f>
        <v>14689.699999999999</v>
      </c>
    </row>
    <row r="2099" spans="8:28" ht="15" x14ac:dyDescent="0.25">
      <c r="H2099" s="12" t="s">
        <v>811</v>
      </c>
      <c r="I2099" s="30">
        <f t="shared" si="0"/>
        <v>1004</v>
      </c>
      <c r="J2099" s="6"/>
      <c r="K2099" s="7">
        <f>SUMIF($B$2:$B$2091,$H2099,K$2:K$2091)</f>
        <v>294.5</v>
      </c>
      <c r="L2099" s="7">
        <f>SUMIF($B$2:$B$2091,$H2099,L$2:L$2091)</f>
        <v>177.5</v>
      </c>
      <c r="M2099" s="7">
        <f>SUMIF($B$2:$B$2091,$H2099,M$2:M$2091)</f>
        <v>0</v>
      </c>
      <c r="N2099" s="7">
        <f>SUMIF($B$2:$B$2091,$H2099,N$2:N$2091)</f>
        <v>86</v>
      </c>
      <c r="O2099" s="7">
        <f>SUMIF($B$2:$B$2091,$H2099,O$2:O$2091)</f>
        <v>0</v>
      </c>
      <c r="P2099" s="7">
        <f>SUMIF($B$2:$B$2091,$H2099,P$2:P$2091)</f>
        <v>59.5</v>
      </c>
      <c r="Q2099" s="7">
        <f>SUMIF($B$2:$B$2091,$H2099,Q$2:Q$2091)</f>
        <v>0</v>
      </c>
      <c r="R2099" s="7">
        <f>SUMIF($B$2:$B$2091,$H2099,R$2:R$2091)</f>
        <v>0</v>
      </c>
      <c r="S2099" s="7">
        <f>SUMIF($B$2:$B$2091,$H2099,S$2:S$2091)</f>
        <v>0</v>
      </c>
      <c r="T2099" s="7">
        <f>SUMIF($B$2:$B$2091,$H2099,T$2:T$2091)</f>
        <v>0</v>
      </c>
      <c r="U2099" s="7">
        <f>SUMIF($B$2:$B$2091,$H2099,U$2:U$2091)</f>
        <v>0</v>
      </c>
      <c r="V2099" s="7">
        <f>SUMIF($B$2:$B$2091,$H2099,V$2:V$2091)</f>
        <v>0</v>
      </c>
      <c r="W2099" s="7">
        <f>SUMIF($B$2:$B$2091,$H2099,W$2:W$2091)</f>
        <v>0</v>
      </c>
      <c r="X2099" s="7">
        <f>SUMIF($B$2:$B$2091,$H2099,X$2:X$2091)</f>
        <v>0</v>
      </c>
      <c r="Y2099" s="7">
        <f>SUMIF($B$2:$B$2091,$H2099,Y$2:Y$2091)</f>
        <v>0</v>
      </c>
      <c r="Z2099" s="7">
        <f>SUMIF($B$2:$B$2091,$H2099,Z$2:Z$2091)</f>
        <v>0</v>
      </c>
      <c r="AA2099" s="7">
        <f>SUMIF($B$2:$B$2091,$H2099,AA$2:AA$2091)</f>
        <v>0</v>
      </c>
      <c r="AB2099" s="7">
        <f>SUMIF($B$2:$B$2091,$H2099,AB$2:AB$2091)</f>
        <v>0</v>
      </c>
    </row>
    <row r="2100" spans="8:28" ht="15" x14ac:dyDescent="0.25">
      <c r="H2100" s="4" t="s">
        <v>244</v>
      </c>
      <c r="I2100" s="30">
        <f t="shared" si="0"/>
        <v>1006</v>
      </c>
      <c r="J2100" s="6"/>
      <c r="K2100" s="7">
        <f>SUMIF($B$2:$B$2091,$H2100,K$2:K$2091)</f>
        <v>9693.9000000000015</v>
      </c>
      <c r="L2100" s="7">
        <f>SUMIF($B$2:$B$2091,$H2100,L$2:L$2091)</f>
        <v>9434.4999999999982</v>
      </c>
      <c r="M2100" s="7">
        <f>SUMIF($B$2:$B$2091,$H2100,M$2:M$2091)</f>
        <v>9026.4</v>
      </c>
      <c r="N2100" s="7">
        <f>SUMIF($B$2:$B$2091,$H2100,N$2:N$2091)</f>
        <v>5523.4</v>
      </c>
      <c r="O2100" s="7">
        <f>SUMIF($B$2:$B$2091,$H2100,O$2:O$2091)</f>
        <v>4448.1000000000004</v>
      </c>
      <c r="P2100" s="7">
        <f>SUMIF($B$2:$B$2091,$H2100,P$2:P$2091)</f>
        <v>6125.1000000000022</v>
      </c>
      <c r="Q2100" s="7">
        <f>SUMIF($B$2:$B$2091,$H2100,Q$2:Q$2091)</f>
        <v>7035.4999999999991</v>
      </c>
      <c r="R2100" s="7">
        <f>SUMIF($B$2:$B$2091,$H2100,R$2:R$2091)</f>
        <v>7546.7999999999993</v>
      </c>
      <c r="S2100" s="7">
        <f>SUMIF($B$2:$B$2091,$H2100,S$2:S$2091)</f>
        <v>7743.5000000000009</v>
      </c>
      <c r="T2100" s="7">
        <f>SUMIF($B$2:$B$2091,$H2100,T$2:T$2091)</f>
        <v>8175.8000000000011</v>
      </c>
      <c r="U2100" s="7">
        <f>SUMIF($B$2:$B$2091,$H2100,U$2:U$2091)</f>
        <v>8306.3000000000011</v>
      </c>
      <c r="V2100" s="7">
        <f>SUMIF($B$2:$B$2091,$H2100,V$2:V$2091)</f>
        <v>7909.1999999999971</v>
      </c>
      <c r="W2100" s="7">
        <f>SUMIF($B$2:$B$2091,$H2100,W$2:W$2091)</f>
        <v>6722.0000000000009</v>
      </c>
      <c r="X2100" s="7">
        <f>SUMIF($B$2:$B$2091,$H2100,X$2:X$2091)</f>
        <v>6423.3999999999978</v>
      </c>
      <c r="Y2100" s="7">
        <f>SUMIF($B$2:$B$2091,$H2100,Y$2:Y$2091)</f>
        <v>7928.6999999999989</v>
      </c>
      <c r="Z2100" s="7">
        <f>SUMIF($B$2:$B$2091,$H2100,Z$2:Z$2091)</f>
        <v>9180.5000000000018</v>
      </c>
      <c r="AA2100" s="7">
        <f>SUMIF($B$2:$B$2091,$H2100,AA$2:AA$2091)</f>
        <v>10109.899999999992</v>
      </c>
      <c r="AB2100" s="7">
        <f>SUMIF($B$2:$B$2091,$H2100,AB$2:AB$2091)</f>
        <v>10112.400000000001</v>
      </c>
    </row>
    <row r="2101" spans="8:28" ht="15" x14ac:dyDescent="0.25">
      <c r="H2101" s="12" t="s">
        <v>814</v>
      </c>
      <c r="I2101" s="30">
        <f t="shared" si="0"/>
        <v>1007</v>
      </c>
      <c r="J2101" s="6"/>
      <c r="K2101" s="7">
        <f>SUMIF($B$2:$B$2091,$H2101,K$2:K$2091)</f>
        <v>9777.7000000000007</v>
      </c>
      <c r="L2101" s="7">
        <f>SUMIF($B$2:$B$2091,$H2101,L$2:L$2091)</f>
        <v>10981.6</v>
      </c>
      <c r="M2101" s="7">
        <f>SUMIF($B$2:$B$2091,$H2101,M$2:M$2091)</f>
        <v>7989.3999999999978</v>
      </c>
      <c r="N2101" s="7">
        <f>SUMIF($B$2:$B$2091,$H2101,N$2:N$2091)</f>
        <v>5997.8</v>
      </c>
      <c r="O2101" s="7">
        <f>SUMIF($B$2:$B$2091,$H2101,O$2:O$2091)</f>
        <v>7322.4000000000015</v>
      </c>
      <c r="P2101" s="7">
        <f>SUMIF($B$2:$B$2091,$H2101,P$2:P$2091)</f>
        <v>8234.7000000000025</v>
      </c>
      <c r="Q2101" s="7">
        <f>SUMIF($B$2:$B$2091,$H2101,Q$2:Q$2091)</f>
        <v>8947.6000000000022</v>
      </c>
      <c r="R2101" s="7">
        <f>SUMIF($B$2:$B$2091,$H2101,R$2:R$2091)</f>
        <v>7723.9000000000024</v>
      </c>
      <c r="S2101" s="7">
        <f>SUMIF($B$2:$B$2091,$H2101,S$2:S$2091)</f>
        <v>6930.9</v>
      </c>
      <c r="T2101" s="7">
        <f>SUMIF($B$2:$B$2091,$H2101,T$2:T$2091)</f>
        <v>8066.9</v>
      </c>
      <c r="U2101" s="7">
        <f>SUMIF($B$2:$B$2091,$H2101,U$2:U$2091)</f>
        <v>8787.1999999999989</v>
      </c>
      <c r="V2101" s="7">
        <f>SUMIF($B$2:$B$2091,$H2101,V$2:V$2091)</f>
        <v>8391</v>
      </c>
      <c r="W2101" s="7">
        <f>SUMIF($B$2:$B$2091,$H2101,W$2:W$2091)</f>
        <v>9050.8999999999978</v>
      </c>
      <c r="X2101" s="7">
        <f>SUMIF($B$2:$B$2091,$H2101,X$2:X$2091)</f>
        <v>8163.9</v>
      </c>
      <c r="Y2101" s="7">
        <f>SUMIF($B$2:$B$2091,$H2101,Y$2:Y$2091)</f>
        <v>8565.8000000000011</v>
      </c>
      <c r="Z2101" s="7">
        <f>SUMIF($B$2:$B$2091,$H2101,Z$2:Z$2091)</f>
        <v>8377.5</v>
      </c>
      <c r="AA2101" s="7">
        <f>SUMIF($B$2:$B$2091,$H2101,AA$2:AA$2091)</f>
        <v>7408.4</v>
      </c>
      <c r="AB2101" s="7">
        <f>SUMIF($B$2:$B$2091,$H2101,AB$2:AB$2091)</f>
        <v>8623</v>
      </c>
    </row>
    <row r="2102" spans="8:28" ht="15" x14ac:dyDescent="0.25">
      <c r="H2102" s="4" t="s">
        <v>246</v>
      </c>
      <c r="I2102" s="30">
        <f t="shared" si="0"/>
        <v>1008</v>
      </c>
      <c r="J2102" s="6"/>
      <c r="K2102" s="7">
        <f>SUMIF($B$2:$B$2091,$H2102,K$2:K$2091)</f>
        <v>7429.2000000000007</v>
      </c>
      <c r="L2102" s="7">
        <f>SUMIF($B$2:$B$2091,$H2102,L$2:L$2091)</f>
        <v>7131.3000000000011</v>
      </c>
      <c r="M2102" s="7">
        <f>SUMIF($B$2:$B$2091,$H2102,M$2:M$2091)</f>
        <v>5047.300000000002</v>
      </c>
      <c r="N2102" s="7">
        <f>SUMIF($B$2:$B$2091,$H2102,N$2:N$2091)</f>
        <v>3958</v>
      </c>
      <c r="O2102" s="7">
        <f>SUMIF($B$2:$B$2091,$H2102,O$2:O$2091)</f>
        <v>2219.0000000000009</v>
      </c>
      <c r="P2102" s="7">
        <f>SUMIF($B$2:$B$2091,$H2102,P$2:P$2091)</f>
        <v>3251.8</v>
      </c>
      <c r="Q2102" s="7">
        <f>SUMIF($B$2:$B$2091,$H2102,Q$2:Q$2091)</f>
        <v>3495.5</v>
      </c>
      <c r="R2102" s="7">
        <f>SUMIF($B$2:$B$2091,$H2102,R$2:R$2091)</f>
        <v>5288.9</v>
      </c>
      <c r="S2102" s="7">
        <f>SUMIF($B$2:$B$2091,$H2102,S$2:S$2091)</f>
        <v>4922.3</v>
      </c>
      <c r="T2102" s="7">
        <f>SUMIF($B$2:$B$2091,$H2102,T$2:T$2091)</f>
        <v>5474.5000000000018</v>
      </c>
      <c r="U2102" s="7">
        <f>SUMIF($B$2:$B$2091,$H2102,U$2:U$2091)</f>
        <v>4400.8999999999996</v>
      </c>
      <c r="V2102" s="7">
        <f>SUMIF($B$2:$B$2091,$H2102,V$2:V$2091)</f>
        <v>5159.8999999999996</v>
      </c>
      <c r="W2102" s="7">
        <f>SUMIF($B$2:$B$2091,$H2102,W$2:W$2091)</f>
        <v>3578.7999999999997</v>
      </c>
      <c r="X2102" s="7">
        <f>SUMIF($B$2:$B$2091,$H2102,X$2:X$2091)</f>
        <v>4804.6000000000004</v>
      </c>
      <c r="Y2102" s="7">
        <f>SUMIF($B$2:$B$2091,$H2102,Y$2:Y$2091)</f>
        <v>4682.1999999999989</v>
      </c>
      <c r="Z2102" s="7">
        <f>SUMIF($B$2:$B$2091,$H2102,Z$2:Z$2091)</f>
        <v>4945.6000000000031</v>
      </c>
      <c r="AA2102" s="7">
        <f>SUMIF($B$2:$B$2091,$H2102,AA$2:AA$2091)</f>
        <v>5363.8000000000011</v>
      </c>
      <c r="AB2102" s="7">
        <f>SUMIF($B$2:$B$2091,$H2102,AB$2:AB$2091)</f>
        <v>5180.9000000000005</v>
      </c>
    </row>
    <row r="2103" spans="8:28" ht="15" x14ac:dyDescent="0.25">
      <c r="H2103" s="12" t="s">
        <v>245</v>
      </c>
      <c r="I2103" s="30">
        <f t="shared" si="0"/>
        <v>1009</v>
      </c>
      <c r="J2103" s="6"/>
      <c r="K2103" s="7">
        <f>SUMIF($B$2:$B$2091,$H2103,K$2:K$2091)</f>
        <v>15552.300000000001</v>
      </c>
      <c r="L2103" s="7">
        <f>SUMIF($B$2:$B$2091,$H2103,L$2:L$2091)</f>
        <v>9752.6999999999989</v>
      </c>
      <c r="M2103" s="7">
        <f>SUMIF($B$2:$B$2091,$H2103,M$2:M$2091)</f>
        <v>8419.6000000000022</v>
      </c>
      <c r="N2103" s="7">
        <f>SUMIF($B$2:$B$2091,$H2103,N$2:N$2091)</f>
        <v>6701.9000000000015</v>
      </c>
      <c r="O2103" s="7">
        <f>SUMIF($B$2:$B$2091,$H2103,O$2:O$2091)</f>
        <v>8677.5</v>
      </c>
      <c r="P2103" s="7">
        <f>SUMIF($B$2:$B$2091,$H2103,P$2:P$2091)</f>
        <v>8979.5000000000018</v>
      </c>
      <c r="Q2103" s="7">
        <f>SUMIF($B$2:$B$2091,$H2103,Q$2:Q$2091)</f>
        <v>9273.9</v>
      </c>
      <c r="R2103" s="7">
        <f>SUMIF($B$2:$B$2091,$H2103,R$2:R$2091)</f>
        <v>9116.4</v>
      </c>
      <c r="S2103" s="7">
        <f>SUMIF($B$2:$B$2091,$H2103,S$2:S$2091)</f>
        <v>10726.5</v>
      </c>
      <c r="T2103" s="7">
        <f>SUMIF($B$2:$B$2091,$H2103,T$2:T$2091)</f>
        <v>10022.199999999997</v>
      </c>
      <c r="U2103" s="7">
        <f>SUMIF($B$2:$B$2091,$H2103,U$2:U$2091)</f>
        <v>9814.6000000000022</v>
      </c>
      <c r="V2103" s="7">
        <f>SUMIF($B$2:$B$2091,$H2103,V$2:V$2091)</f>
        <v>10631.499999999998</v>
      </c>
      <c r="W2103" s="7">
        <f>SUMIF($B$2:$B$2091,$H2103,W$2:W$2091)</f>
        <v>9135.4999999999982</v>
      </c>
      <c r="X2103" s="7">
        <f>SUMIF($B$2:$B$2091,$H2103,X$2:X$2091)</f>
        <v>9502.6999999999989</v>
      </c>
      <c r="Y2103" s="7">
        <f>SUMIF($B$2:$B$2091,$H2103,Y$2:Y$2091)</f>
        <v>9197.6</v>
      </c>
      <c r="Z2103" s="7">
        <f>SUMIF($B$2:$B$2091,$H2103,Z$2:Z$2091)</f>
        <v>8715.6999999999971</v>
      </c>
      <c r="AA2103" s="7">
        <f>SUMIF($B$2:$B$2091,$H2103,AA$2:AA$2091)</f>
        <v>9951.7999999999993</v>
      </c>
      <c r="AB2103" s="7">
        <f>SUMIF($B$2:$B$2091,$H2103,AB$2:AB$2091)</f>
        <v>9349.9</v>
      </c>
    </row>
    <row r="2104" spans="8:28" ht="15" x14ac:dyDescent="0.25">
      <c r="H2104" s="12" t="s">
        <v>247</v>
      </c>
      <c r="I2104" s="30">
        <f t="shared" si="0"/>
        <v>1010</v>
      </c>
      <c r="J2104" s="6"/>
      <c r="K2104" s="7">
        <f>SUMIF($B$2:$B$2091,$H2104,K$2:K$2091)</f>
        <v>4795.1000000000004</v>
      </c>
      <c r="L2104" s="7">
        <f>SUMIF($B$2:$B$2091,$H2104,L$2:L$2091)</f>
        <v>4503.4000000000005</v>
      </c>
      <c r="M2104" s="7">
        <f>SUMIF($B$2:$B$2091,$H2104,M$2:M$2091)</f>
        <v>5777.2999999999993</v>
      </c>
      <c r="N2104" s="7">
        <f>SUMIF($B$2:$B$2091,$H2104,N$2:N$2091)</f>
        <v>4214.2000000000007</v>
      </c>
      <c r="O2104" s="7">
        <f>SUMIF($B$2:$B$2091,$H2104,O$2:O$2091)</f>
        <v>3376.1000000000004</v>
      </c>
      <c r="P2104" s="7">
        <f>SUMIF($B$2:$B$2091,$H2104,P$2:P$2091)</f>
        <v>3888.4</v>
      </c>
      <c r="Q2104" s="7">
        <f>SUMIF($B$2:$B$2091,$H2104,Q$2:Q$2091)</f>
        <v>4005.2000000000003</v>
      </c>
      <c r="R2104" s="7">
        <f>SUMIF($B$2:$B$2091,$H2104,R$2:R$2091)</f>
        <v>6678.3999999999987</v>
      </c>
      <c r="S2104" s="7">
        <f>SUMIF($B$2:$B$2091,$H2104,S$2:S$2091)</f>
        <v>9096.5</v>
      </c>
      <c r="T2104" s="7">
        <f>SUMIF($B$2:$B$2091,$H2104,T$2:T$2091)</f>
        <v>9409.1</v>
      </c>
      <c r="U2104" s="7">
        <f>SUMIF($B$2:$B$2091,$H2104,U$2:U$2091)</f>
        <v>8747.6999999999989</v>
      </c>
      <c r="V2104" s="7">
        <f>SUMIF($B$2:$B$2091,$H2104,V$2:V$2091)</f>
        <v>8787.9000000000015</v>
      </c>
      <c r="W2104" s="7">
        <f>SUMIF($B$2:$B$2091,$H2104,W$2:W$2091)</f>
        <v>7356.6</v>
      </c>
      <c r="X2104" s="7">
        <f>SUMIF($B$2:$B$2091,$H2104,X$2:X$2091)</f>
        <v>6042</v>
      </c>
      <c r="Y2104" s="7">
        <f>SUMIF($B$2:$B$2091,$H2104,Y$2:Y$2091)</f>
        <v>6870.8999999999987</v>
      </c>
      <c r="Z2104" s="7">
        <f>SUMIF($B$2:$B$2091,$H2104,Z$2:Z$2091)</f>
        <v>7010.7000000000007</v>
      </c>
      <c r="AA2104" s="7">
        <f>SUMIF($B$2:$B$2091,$H2104,AA$2:AA$2091)</f>
        <v>8636.5000000000018</v>
      </c>
      <c r="AB2104" s="7">
        <f>SUMIF($B$2:$B$2091,$H2104,AB$2:AB$2091)</f>
        <v>6204.8</v>
      </c>
    </row>
    <row r="2105" spans="8:28" ht="15" x14ac:dyDescent="0.25">
      <c r="H2105" s="12" t="s">
        <v>813</v>
      </c>
      <c r="I2105" s="30">
        <f t="shared" si="0"/>
        <v>1011</v>
      </c>
      <c r="J2105" s="6"/>
      <c r="K2105" s="7">
        <f>SUMIF($B$2:$B$2091,$H2105,K$2:K$2091)</f>
        <v>14945.800000000001</v>
      </c>
      <c r="L2105" s="7">
        <f>SUMIF($B$2:$B$2091,$H2105,L$2:L$2091)</f>
        <v>13417.099999999997</v>
      </c>
      <c r="M2105" s="7">
        <f>SUMIF($B$2:$B$2091,$H2105,M$2:M$2091)</f>
        <v>11722.300000000001</v>
      </c>
      <c r="N2105" s="7">
        <f>SUMIF($B$2:$B$2091,$H2105,N$2:N$2091)</f>
        <v>8386.2000000000025</v>
      </c>
      <c r="O2105" s="7">
        <f>SUMIF($B$2:$B$2091,$H2105,O$2:O$2091)</f>
        <v>7197.7000000000007</v>
      </c>
      <c r="P2105" s="7">
        <f>SUMIF($B$2:$B$2091,$H2105,P$2:P$2091)</f>
        <v>8774.0999999999985</v>
      </c>
      <c r="Q2105" s="7">
        <f>SUMIF($B$2:$B$2091,$H2105,Q$2:Q$2091)</f>
        <v>8782.7000000000025</v>
      </c>
      <c r="R2105" s="7">
        <f>SUMIF($B$2:$B$2091,$H2105,R$2:R$2091)</f>
        <v>10500.9</v>
      </c>
      <c r="S2105" s="7">
        <f>SUMIF($B$2:$B$2091,$H2105,S$2:S$2091)</f>
        <v>10180.799999999999</v>
      </c>
      <c r="T2105" s="7">
        <f>SUMIF($B$2:$B$2091,$H2105,T$2:T$2091)</f>
        <v>10110.099999999999</v>
      </c>
      <c r="U2105" s="7">
        <f>SUMIF($B$2:$B$2091,$H2105,U$2:U$2091)</f>
        <v>9801.9</v>
      </c>
      <c r="V2105" s="7">
        <f>SUMIF($B$2:$B$2091,$H2105,V$2:V$2091)</f>
        <v>11123.899999999998</v>
      </c>
      <c r="W2105" s="7">
        <f>SUMIF($B$2:$B$2091,$H2105,W$2:W$2091)</f>
        <v>9795.1</v>
      </c>
      <c r="X2105" s="7">
        <f>SUMIF($B$2:$B$2091,$H2105,X$2:X$2091)</f>
        <v>10222.1</v>
      </c>
      <c r="Y2105" s="7">
        <f>SUMIF($B$2:$B$2091,$H2105,Y$2:Y$2091)</f>
        <v>11769.4</v>
      </c>
      <c r="Z2105" s="7">
        <f>SUMIF($B$2:$B$2091,$H2105,Z$2:Z$2091)</f>
        <v>13510.099999999999</v>
      </c>
      <c r="AA2105" s="7">
        <f>SUMIF($B$2:$B$2091,$H2105,AA$2:AA$2091)</f>
        <v>13276.199999999999</v>
      </c>
      <c r="AB2105" s="7">
        <f>SUMIF($B$2:$B$2091,$H2105,AB$2:AB$2091)</f>
        <v>12865.900000000001</v>
      </c>
    </row>
    <row r="2106" spans="8:28" ht="15" x14ac:dyDescent="0.25">
      <c r="H2106" s="12" t="s">
        <v>806</v>
      </c>
      <c r="I2106" s="30">
        <f t="shared" si="0"/>
        <v>1012</v>
      </c>
      <c r="J2106" s="6"/>
      <c r="K2106" s="7">
        <f>SUMIF($B$2:$B$2091,$H2106,K$2:K$2091)</f>
        <v>13898.900000000003</v>
      </c>
      <c r="L2106" s="7">
        <f>SUMIF($B$2:$B$2091,$H2106,L$2:L$2091)</f>
        <v>14697.200000000004</v>
      </c>
      <c r="M2106" s="7">
        <f>SUMIF($B$2:$B$2091,$H2106,M$2:M$2091)</f>
        <v>12541.799999999997</v>
      </c>
      <c r="N2106" s="7">
        <f>SUMIF($B$2:$B$2091,$H2106,N$2:N$2091)</f>
        <v>7758.6000000000013</v>
      </c>
      <c r="O2106" s="7">
        <f>SUMIF($B$2:$B$2091,$H2106,O$2:O$2091)</f>
        <v>7340.6999999999971</v>
      </c>
      <c r="P2106" s="7">
        <f>SUMIF($B$2:$B$2091,$H2106,P$2:P$2091)</f>
        <v>9242.8000000000011</v>
      </c>
      <c r="Q2106" s="7">
        <f>SUMIF($B$2:$B$2091,$H2106,Q$2:Q$2091)</f>
        <v>10554.300000000005</v>
      </c>
      <c r="R2106" s="7">
        <f>SUMIF($B$2:$B$2091,$H2106,R$2:R$2091)</f>
        <v>12966.200000000004</v>
      </c>
      <c r="S2106" s="7">
        <f>SUMIF($B$2:$B$2091,$H2106,S$2:S$2091)</f>
        <v>14117.699999999997</v>
      </c>
      <c r="T2106" s="7">
        <f>SUMIF($B$2:$B$2091,$H2106,T$2:T$2091)</f>
        <v>14182.299999999994</v>
      </c>
      <c r="U2106" s="7">
        <f>SUMIF($B$2:$B$2091,$H2106,U$2:U$2091)</f>
        <v>15811.200000000003</v>
      </c>
      <c r="V2106" s="7">
        <f>SUMIF($B$2:$B$2091,$H2106,V$2:V$2091)</f>
        <v>14295</v>
      </c>
      <c r="W2106" s="7">
        <f>SUMIF($B$2:$B$2091,$H2106,W$2:W$2091)</f>
        <v>7970.800000000002</v>
      </c>
      <c r="X2106" s="7">
        <f>SUMIF($B$2:$B$2091,$H2106,X$2:X$2091)</f>
        <v>9038</v>
      </c>
      <c r="Y2106" s="7">
        <f>SUMIF($B$2:$B$2091,$H2106,Y$2:Y$2091)</f>
        <v>9817.7999999999993</v>
      </c>
      <c r="Z2106" s="7">
        <f>SUMIF($B$2:$B$2091,$H2106,Z$2:Z$2091)</f>
        <v>13908.200000000004</v>
      </c>
      <c r="AA2106" s="7">
        <f>SUMIF($B$2:$B$2091,$H2106,AA$2:AA$2091)</f>
        <v>14579.400000000007</v>
      </c>
      <c r="AB2106" s="7">
        <f>SUMIF($B$2:$B$2091,$H2106,AB$2:AB$2091)</f>
        <v>15051.600000000002</v>
      </c>
    </row>
    <row r="2107" spans="8:28" ht="15" x14ac:dyDescent="0.25">
      <c r="H2107" s="17" t="s">
        <v>807</v>
      </c>
      <c r="I2107" s="30">
        <f t="shared" si="0"/>
        <v>1013</v>
      </c>
      <c r="J2107" s="6"/>
      <c r="K2107" s="7">
        <f>SUMIF($B$2:$B$2091,$H2107,K$2:K$2091)</f>
        <v>7023.8000000000011</v>
      </c>
      <c r="L2107" s="7">
        <f>SUMIF($B$2:$B$2091,$H2107,L$2:L$2091)</f>
        <v>6926.5</v>
      </c>
      <c r="M2107" s="7">
        <f>SUMIF($B$2:$B$2091,$H2107,M$2:M$2091)</f>
        <v>5823.2999999999975</v>
      </c>
      <c r="N2107" s="7">
        <f>SUMIF($B$2:$B$2091,$H2107,N$2:N$2091)</f>
        <v>3761.5000000000009</v>
      </c>
      <c r="O2107" s="7">
        <f>SUMIF($B$2:$B$2091,$H2107,O$2:O$2091)</f>
        <v>3593.6000000000008</v>
      </c>
      <c r="P2107" s="7">
        <f>SUMIF($B$2:$B$2091,$H2107,P$2:P$2091)</f>
        <v>4766.7</v>
      </c>
      <c r="Q2107" s="7">
        <f>SUMIF($B$2:$B$2091,$H2107,Q$2:Q$2091)</f>
        <v>4432.8</v>
      </c>
      <c r="R2107" s="7">
        <f>SUMIF($B$2:$B$2091,$H2107,R$2:R$2091)</f>
        <v>4972.0999999999985</v>
      </c>
      <c r="S2107" s="7">
        <f>SUMIF($B$2:$B$2091,$H2107,S$2:S$2091)</f>
        <v>5696.9</v>
      </c>
      <c r="T2107" s="7">
        <f>SUMIF($B$2:$B$2091,$H2107,T$2:T$2091)</f>
        <v>5276.7000000000016</v>
      </c>
      <c r="U2107" s="7">
        <f>SUMIF($B$2:$B$2091,$H2107,U$2:U$2091)</f>
        <v>4870.2</v>
      </c>
      <c r="V2107" s="7">
        <f>SUMIF($B$2:$B$2091,$H2107,V$2:V$2091)</f>
        <v>4438.4999999999991</v>
      </c>
      <c r="W2107" s="7">
        <f>SUMIF($B$2:$B$2091,$H2107,W$2:W$2091)</f>
        <v>3823.6000000000004</v>
      </c>
      <c r="X2107" s="7">
        <f>SUMIF($B$2:$B$2091,$H2107,X$2:X$2091)</f>
        <v>3907.4999999999977</v>
      </c>
      <c r="Y2107" s="7">
        <f>SUMIF($B$2:$B$2091,$H2107,Y$2:Y$2091)</f>
        <v>4738.9999999999991</v>
      </c>
      <c r="Z2107" s="7">
        <f>SUMIF($B$2:$B$2091,$H2107,Z$2:Z$2091)</f>
        <v>5541.7000000000016</v>
      </c>
      <c r="AA2107" s="7">
        <f>SUMIF($B$2:$B$2091,$H2107,AA$2:AA$2091)</f>
        <v>5093.7000000000007</v>
      </c>
      <c r="AB2107" s="7">
        <f>SUMIF($B$2:$B$2091,$H2107,AB$2:AB$2091)</f>
        <v>5529.7</v>
      </c>
    </row>
    <row r="2108" spans="8:28" ht="15" x14ac:dyDescent="0.25">
      <c r="H2108" s="12" t="s">
        <v>809</v>
      </c>
      <c r="I2108" s="30">
        <f t="shared" si="0"/>
        <v>1014</v>
      </c>
      <c r="J2108" s="6"/>
      <c r="K2108" s="7">
        <f>SUMIF($B$2:$B$2091,$H2108,K$2:K$2091)</f>
        <v>8728.6999999999989</v>
      </c>
      <c r="L2108" s="7">
        <f>SUMIF($B$2:$B$2091,$H2108,L$2:L$2091)</f>
        <v>8431.3999999999978</v>
      </c>
      <c r="M2108" s="7">
        <f>SUMIF($B$2:$B$2091,$H2108,M$2:M$2091)</f>
        <v>7264.0999999999995</v>
      </c>
      <c r="N2108" s="7">
        <f>SUMIF($B$2:$B$2091,$H2108,N$2:N$2091)</f>
        <v>4862.0999999999995</v>
      </c>
      <c r="O2108" s="7">
        <f>SUMIF($B$2:$B$2091,$H2108,O$2:O$2091)</f>
        <v>4004.8999999999987</v>
      </c>
      <c r="P2108" s="7">
        <f>SUMIF($B$2:$B$2091,$H2108,P$2:P$2091)</f>
        <v>4420.5</v>
      </c>
      <c r="Q2108" s="7">
        <f>SUMIF($B$2:$B$2091,$H2108,Q$2:Q$2091)</f>
        <v>6194.9</v>
      </c>
      <c r="R2108" s="7">
        <f>SUMIF($B$2:$B$2091,$H2108,R$2:R$2091)</f>
        <v>6629.5000000000009</v>
      </c>
      <c r="S2108" s="7">
        <f>SUMIF($B$2:$B$2091,$H2108,S$2:S$2091)</f>
        <v>6707.1000000000013</v>
      </c>
      <c r="T2108" s="7">
        <f>SUMIF($B$2:$B$2091,$H2108,T$2:T$2091)</f>
        <v>7190.9000000000015</v>
      </c>
      <c r="U2108" s="7">
        <f>SUMIF($B$2:$B$2091,$H2108,U$2:U$2091)</f>
        <v>6417.3000000000011</v>
      </c>
      <c r="V2108" s="7">
        <f>SUMIF($B$2:$B$2091,$H2108,V$2:V$2091)</f>
        <v>6184.2000000000016</v>
      </c>
      <c r="W2108" s="7">
        <f>SUMIF($B$2:$B$2091,$H2108,W$2:W$2091)</f>
        <v>5414.199999999998</v>
      </c>
      <c r="X2108" s="7">
        <f>SUMIF($B$2:$B$2091,$H2108,X$2:X$2091)</f>
        <v>6293.9</v>
      </c>
      <c r="Y2108" s="7">
        <f>SUMIF($B$2:$B$2091,$H2108,Y$2:Y$2091)</f>
        <v>6187.3999999999978</v>
      </c>
      <c r="Z2108" s="7">
        <f>SUMIF($B$2:$B$2091,$H2108,Z$2:Z$2091)</f>
        <v>6542.4999999999991</v>
      </c>
      <c r="AA2108" s="7">
        <f>SUMIF($B$2:$B$2091,$H2108,AA$2:AA$2091)</f>
        <v>6289.4000000000015</v>
      </c>
      <c r="AB2108" s="7">
        <f>SUMIF($B$2:$B$2091,$H2108,AB$2:AB$2091)</f>
        <v>5252.0999999999995</v>
      </c>
    </row>
    <row r="2109" spans="8:28" ht="15" x14ac:dyDescent="0.25">
      <c r="H2109" s="12" t="s">
        <v>843</v>
      </c>
      <c r="I2109" s="30">
        <f t="shared" si="0"/>
        <v>1036</v>
      </c>
      <c r="J2109" s="6"/>
      <c r="K2109" s="7">
        <f>SUMIF($B$2:$B$2091,$H2109,K$2:K$2091)</f>
        <v>1131.4000000000001</v>
      </c>
      <c r="L2109" s="7">
        <f>SUMIF($B$2:$B$2091,$H2109,L$2:L$2091)</f>
        <v>1824.7</v>
      </c>
      <c r="M2109" s="7">
        <f>SUMIF($B$2:$B$2091,$H2109,M$2:M$2091)</f>
        <v>2161.5</v>
      </c>
      <c r="N2109" s="7">
        <f>SUMIF($B$2:$B$2091,$H2109,N$2:N$2091)</f>
        <v>1679.8</v>
      </c>
      <c r="O2109" s="7">
        <f>SUMIF($B$2:$B$2091,$H2109,O$2:O$2091)</f>
        <v>1105.8</v>
      </c>
      <c r="P2109" s="7">
        <f>SUMIF($B$2:$B$2091,$H2109,P$2:P$2091)</f>
        <v>1751.5</v>
      </c>
      <c r="Q2109" s="7">
        <f>SUMIF($B$2:$B$2091,$H2109,Q$2:Q$2091)</f>
        <v>1841.8000000000002</v>
      </c>
      <c r="R2109" s="7">
        <f>SUMIF($B$2:$B$2091,$H2109,R$2:R$2091)</f>
        <v>1711.1999999999998</v>
      </c>
      <c r="S2109" s="7">
        <f>SUMIF($B$2:$B$2091,$H2109,S$2:S$2091)</f>
        <v>1957.9</v>
      </c>
      <c r="T2109" s="7">
        <f>SUMIF($B$2:$B$2091,$H2109,T$2:T$2091)</f>
        <v>2013.1999999999998</v>
      </c>
      <c r="U2109" s="7">
        <f>SUMIF($B$2:$B$2091,$H2109,U$2:U$2091)</f>
        <v>1775.9</v>
      </c>
      <c r="V2109" s="7">
        <f>SUMIF($B$2:$B$2091,$H2109,V$2:V$2091)</f>
        <v>2211.2999999999997</v>
      </c>
      <c r="W2109" s="7">
        <f>SUMIF($B$2:$B$2091,$H2109,W$2:W$2091)</f>
        <v>2002.7999999999997</v>
      </c>
      <c r="X2109" s="7">
        <f>SUMIF($B$2:$B$2091,$H2109,X$2:X$2091)</f>
        <v>1516.9999999999998</v>
      </c>
      <c r="Y2109" s="7">
        <f>SUMIF($B$2:$B$2091,$H2109,Y$2:Y$2091)</f>
        <v>1727.3</v>
      </c>
      <c r="Z2109" s="7">
        <f>SUMIF($B$2:$B$2091,$H2109,Z$2:Z$2091)</f>
        <v>2059.6</v>
      </c>
      <c r="AA2109" s="7">
        <f>SUMIF($B$2:$B$2091,$H2109,AA$2:AA$2091)</f>
        <v>1749.6000000000001</v>
      </c>
      <c r="AB2109" s="7">
        <f>SUMIF($B$2:$B$2091,$H2109,AB$2:AB$2091)</f>
        <v>1907.5</v>
      </c>
    </row>
    <row r="2110" spans="8:28" ht="15" x14ac:dyDescent="0.25">
      <c r="H2110" s="12" t="s">
        <v>989</v>
      </c>
      <c r="I2110" s="30">
        <f t="shared" si="0"/>
        <v>1052</v>
      </c>
      <c r="J2110" s="6"/>
      <c r="K2110" s="7">
        <f>SUMIF($B$2:$B$2091,$H2110,K$2:K$2091)</f>
        <v>16073.099999999999</v>
      </c>
      <c r="L2110" s="7">
        <f>SUMIF($B$2:$B$2091,$H2110,L$2:L$2091)</f>
        <v>13564.8</v>
      </c>
      <c r="M2110" s="7">
        <f>SUMIF($B$2:$B$2091,$H2110,M$2:M$2091)</f>
        <v>8387.4000000000015</v>
      </c>
      <c r="N2110" s="7">
        <f>SUMIF($B$2:$B$2091,$H2110,N$2:N$2091)</f>
        <v>6439</v>
      </c>
      <c r="O2110" s="7">
        <f>SUMIF($B$2:$B$2091,$H2110,O$2:O$2091)</f>
        <v>2581.1999999999998</v>
      </c>
      <c r="P2110" s="7">
        <f>SUMIF($B$2:$B$2091,$H2110,P$2:P$2091)</f>
        <v>7073.2</v>
      </c>
      <c r="Q2110" s="7">
        <f>SUMIF($B$2:$B$2091,$H2110,Q$2:Q$2091)</f>
        <v>6803.0999999999995</v>
      </c>
      <c r="R2110" s="7">
        <f>SUMIF($B$2:$B$2091,$H2110,R$2:R$2091)</f>
        <v>13138.9</v>
      </c>
      <c r="S2110" s="7">
        <f>SUMIF($B$2:$B$2091,$H2110,S$2:S$2091)</f>
        <v>12220.9</v>
      </c>
      <c r="T2110" s="7">
        <f>SUMIF($B$2:$B$2091,$H2110,T$2:T$2091)</f>
        <v>14285.699999999999</v>
      </c>
      <c r="U2110" s="7">
        <f>SUMIF($B$2:$B$2091,$H2110,U$2:U$2091)</f>
        <v>12628.3</v>
      </c>
      <c r="V2110" s="7">
        <f>SUMIF($B$2:$B$2091,$H2110,V$2:V$2091)</f>
        <v>14305.499999999998</v>
      </c>
      <c r="W2110" s="7">
        <f>SUMIF($B$2:$B$2091,$H2110,W$2:W$2091)</f>
        <v>11148.2</v>
      </c>
      <c r="X2110" s="7">
        <f>SUMIF($B$2:$B$2091,$H2110,X$2:X$2091)</f>
        <v>11015.5</v>
      </c>
      <c r="Y2110" s="7">
        <f>SUMIF($B$2:$B$2091,$H2110,Y$2:Y$2091)</f>
        <v>12398.000000000002</v>
      </c>
      <c r="Z2110" s="7">
        <f>SUMIF($B$2:$B$2091,$H2110,Z$2:Z$2091)</f>
        <v>14690.5</v>
      </c>
      <c r="AA2110" s="7">
        <f>SUMIF($B$2:$B$2091,$H2110,AA$2:AA$2091)</f>
        <v>16083.2</v>
      </c>
      <c r="AB2110" s="7">
        <f>SUMIF($B$2:$B$2091,$H2110,AB$2:AB$2091)</f>
        <v>15587.800000000001</v>
      </c>
    </row>
    <row r="2111" spans="8:28" ht="15" x14ac:dyDescent="0.25">
      <c r="H2111" s="40" t="s">
        <v>1234</v>
      </c>
      <c r="I2111" s="30">
        <f t="shared" si="0"/>
        <v>1053</v>
      </c>
      <c r="J2111" s="6"/>
      <c r="K2111" s="7">
        <f>SUMIF($B$2:$B$2091,$H2111,K$2:K$2091)</f>
        <v>13953.899999999998</v>
      </c>
      <c r="L2111" s="7">
        <f>SUMIF($B$2:$B$2091,$H2111,L$2:L$2091)</f>
        <v>14498</v>
      </c>
      <c r="M2111" s="7">
        <f>SUMIF($B$2:$B$2091,$H2111,M$2:M$2091)</f>
        <v>12432.700000000003</v>
      </c>
      <c r="N2111" s="7">
        <f>SUMIF($B$2:$B$2091,$H2111,N$2:N$2091)</f>
        <v>11022.000000000004</v>
      </c>
      <c r="O2111" s="7">
        <f>SUMIF($B$2:$B$2091,$H2111,O$2:O$2091)</f>
        <v>9512</v>
      </c>
      <c r="P2111" s="7">
        <f>SUMIF($B$2:$B$2091,$H2111,P$2:P$2091)</f>
        <v>11820.599999999995</v>
      </c>
      <c r="Q2111" s="7">
        <f>SUMIF($B$2:$B$2091,$H2111,Q$2:Q$2091)</f>
        <v>13048.200000000004</v>
      </c>
      <c r="R2111" s="7">
        <f>SUMIF($B$2:$B$2091,$H2111,R$2:R$2091)</f>
        <v>14596.2</v>
      </c>
      <c r="S2111" s="7">
        <f>SUMIF($B$2:$B$2091,$H2111,S$2:S$2091)</f>
        <v>13747.500000000002</v>
      </c>
      <c r="T2111" s="7">
        <f>SUMIF($B$2:$B$2091,$H2111,T$2:T$2091)</f>
        <v>14079.300000000003</v>
      </c>
      <c r="U2111" s="7">
        <f>SUMIF($B$2:$B$2091,$H2111,U$2:U$2091)</f>
        <v>13979.299999999992</v>
      </c>
      <c r="V2111" s="7">
        <f>SUMIF($B$2:$B$2091,$H2111,V$2:V$2091)</f>
        <v>14532.799999999997</v>
      </c>
      <c r="W2111" s="7">
        <f>SUMIF($B$2:$B$2091,$H2111,W$2:W$2091)</f>
        <v>12429.299999999997</v>
      </c>
      <c r="X2111" s="7">
        <f>SUMIF($B$2:$B$2091,$H2111,X$2:X$2091)</f>
        <v>12247.4</v>
      </c>
      <c r="Y2111" s="7">
        <f>SUMIF($B$2:$B$2091,$H2111,Y$2:Y$2091)</f>
        <v>13033.400000000003</v>
      </c>
      <c r="Z2111" s="7">
        <f>SUMIF($B$2:$B$2091,$H2111,Z$2:Z$2091)</f>
        <v>15119.899999999996</v>
      </c>
      <c r="AA2111" s="7">
        <f>SUMIF($B$2:$B$2091,$H2111,AA$2:AA$2091)</f>
        <v>15208.199999999995</v>
      </c>
      <c r="AB2111" s="7">
        <f>SUMIF($B$2:$B$2091,$H2111,AB$2:AB$2091)</f>
        <v>16103.800000000001</v>
      </c>
    </row>
    <row r="2112" spans="8:28" ht="15" x14ac:dyDescent="0.25">
      <c r="H2112" s="40" t="s">
        <v>1426</v>
      </c>
      <c r="I2112" s="30">
        <f t="shared" si="0"/>
        <v>1054</v>
      </c>
      <c r="J2112" s="6"/>
      <c r="K2112" s="7">
        <f>SUMIF($B$2:$B$2091,$H2112,K$2:K$2091)</f>
        <v>6481.2</v>
      </c>
      <c r="L2112" s="7">
        <f>SUMIF($B$2:$B$2091,$H2112,L$2:L$2091)</f>
        <v>6396.9000000000005</v>
      </c>
      <c r="M2112" s="7">
        <f>SUMIF($B$2:$B$2091,$H2112,M$2:M$2091)</f>
        <v>5825.3999999999987</v>
      </c>
      <c r="N2112" s="7">
        <f>SUMIF($B$2:$B$2091,$H2112,N$2:N$2091)</f>
        <v>4834.9999999999973</v>
      </c>
      <c r="O2112" s="7">
        <f>SUMIF($B$2:$B$2091,$H2112,O$2:O$2091)</f>
        <v>4622.6000000000004</v>
      </c>
      <c r="P2112" s="7">
        <f>SUMIF($B$2:$B$2091,$H2112,P$2:P$2091)</f>
        <v>5168.0000000000009</v>
      </c>
      <c r="Q2112" s="7">
        <f>SUMIF($B$2:$B$2091,$H2112,Q$2:Q$2091)</f>
        <v>5188.8999999999978</v>
      </c>
      <c r="R2112" s="7">
        <f>SUMIF($B$2:$B$2091,$H2112,R$2:R$2091)</f>
        <v>5681.8000000000011</v>
      </c>
      <c r="S2112" s="7">
        <f>SUMIF($B$2:$B$2091,$H2112,S$2:S$2091)</f>
        <v>5960.4</v>
      </c>
      <c r="T2112" s="7">
        <f>SUMIF($B$2:$B$2091,$H2112,T$2:T$2091)</f>
        <v>6032.8</v>
      </c>
      <c r="U2112" s="7">
        <f>SUMIF($B$2:$B$2091,$H2112,U$2:U$2091)</f>
        <v>5727.7999999999993</v>
      </c>
      <c r="V2112" s="7">
        <f>SUMIF($B$2:$B$2091,$H2112,V$2:V$2091)</f>
        <v>5942.4999999999991</v>
      </c>
      <c r="W2112" s="7">
        <f>SUMIF($B$2:$B$2091,$H2112,W$2:W$2091)</f>
        <v>5482.9000000000015</v>
      </c>
      <c r="X2112" s="7">
        <f>SUMIF($B$2:$B$2091,$H2112,X$2:X$2091)</f>
        <v>5447.7000000000007</v>
      </c>
      <c r="Y2112" s="7">
        <f>SUMIF($B$2:$B$2091,$H2112,Y$2:Y$2091)</f>
        <v>5630.2</v>
      </c>
      <c r="Z2112" s="7">
        <f>SUMIF($B$2:$B$2091,$H2112,Z$2:Z$2091)</f>
        <v>5719.9</v>
      </c>
      <c r="AA2112" s="7">
        <f>SUMIF($B$2:$B$2091,$H2112,AA$2:AA$2091)</f>
        <v>5820.0999999999985</v>
      </c>
      <c r="AB2112" s="7">
        <f>SUMIF($B$2:$B$2091,$H2112,AB$2:AB$2091)</f>
        <v>6387.5999999999995</v>
      </c>
    </row>
    <row r="2113" spans="8:28" ht="15" x14ac:dyDescent="0.25">
      <c r="H2113" s="40" t="s">
        <v>1520</v>
      </c>
      <c r="I2113" s="30">
        <f t="shared" si="0"/>
        <v>1055</v>
      </c>
      <c r="J2113" s="6"/>
      <c r="K2113" s="7">
        <f>SUMIF($B$2:$B$2091,$H2113,K$2:K$2091)</f>
        <v>6449.5</v>
      </c>
      <c r="L2113" s="7">
        <f>SUMIF($B$2:$B$2091,$H2113,L$2:L$2091)</f>
        <v>3662.4999999999995</v>
      </c>
      <c r="M2113" s="7">
        <f>SUMIF($B$2:$B$2091,$H2113,M$2:M$2091)</f>
        <v>4937.4000000000005</v>
      </c>
      <c r="N2113" s="7">
        <f>SUMIF($B$2:$B$2091,$H2113,N$2:N$2091)</f>
        <v>2461</v>
      </c>
      <c r="O2113" s="7">
        <f>SUMIF($B$2:$B$2091,$H2113,O$2:O$2091)</f>
        <v>1972.9</v>
      </c>
      <c r="P2113" s="7">
        <f>SUMIF($B$2:$B$2091,$H2113,P$2:P$2091)</f>
        <v>2608.9999999999995</v>
      </c>
      <c r="Q2113" s="7">
        <f>SUMIF($B$2:$B$2091,$H2113,Q$2:Q$2091)</f>
        <v>5390.2999999999993</v>
      </c>
      <c r="R2113" s="7">
        <f>SUMIF($B$2:$B$2091,$H2113,R$2:R$2091)</f>
        <v>5596.8</v>
      </c>
      <c r="S2113" s="7">
        <f>SUMIF($B$2:$B$2091,$H2113,S$2:S$2091)</f>
        <v>3636.8</v>
      </c>
      <c r="T2113" s="7">
        <f>SUMIF($B$2:$B$2091,$H2113,T$2:T$2091)</f>
        <v>5385.8</v>
      </c>
      <c r="U2113" s="7">
        <f>SUMIF($B$2:$B$2091,$H2113,U$2:U$2091)</f>
        <v>4941.5</v>
      </c>
      <c r="V2113" s="7">
        <f>SUMIF($B$2:$B$2091,$H2113,V$2:V$2091)</f>
        <v>3596.7</v>
      </c>
      <c r="W2113" s="7">
        <f>SUMIF($B$2:$B$2091,$H2113,W$2:W$2091)</f>
        <v>2958.2999999999997</v>
      </c>
      <c r="X2113" s="7">
        <f>SUMIF($B$2:$B$2091,$H2113,X$2:X$2091)</f>
        <v>4397.5999999999995</v>
      </c>
      <c r="Y2113" s="7">
        <f>SUMIF($B$2:$B$2091,$H2113,Y$2:Y$2091)</f>
        <v>3996.5</v>
      </c>
      <c r="Z2113" s="7">
        <f>SUMIF($B$2:$B$2091,$H2113,Z$2:Z$2091)</f>
        <v>3919.7000000000003</v>
      </c>
      <c r="AA2113" s="7">
        <f>SUMIF($B$2:$B$2091,$H2113,AA$2:AA$2091)</f>
        <v>5924.5000000000009</v>
      </c>
      <c r="AB2113" s="7">
        <f>SUMIF($B$2:$B$2091,$H2113,AB$2:AB$2091)</f>
        <v>4749.0999999999995</v>
      </c>
    </row>
    <row r="2114" spans="8:28" ht="15" x14ac:dyDescent="0.25">
      <c r="H2114" s="40" t="s">
        <v>1484</v>
      </c>
      <c r="I2114" s="30">
        <f t="shared" si="0"/>
        <v>1056</v>
      </c>
      <c r="J2114" s="6"/>
      <c r="K2114" s="7">
        <f>SUMIF($B$2:$B$2091,$H2114,K$2:K$2091)</f>
        <v>4973.2999999999993</v>
      </c>
      <c r="L2114" s="7">
        <f>SUMIF($B$2:$B$2091,$H2114,L$2:L$2091)</f>
        <v>4441.9999999999991</v>
      </c>
      <c r="M2114" s="7">
        <f>SUMIF($B$2:$B$2091,$H2114,M$2:M$2091)</f>
        <v>4302.8999999999996</v>
      </c>
      <c r="N2114" s="7">
        <f>SUMIF($B$2:$B$2091,$H2114,N$2:N$2091)</f>
        <v>3940.7000000000003</v>
      </c>
      <c r="O2114" s="7">
        <f>SUMIF($B$2:$B$2091,$H2114,O$2:O$2091)</f>
        <v>3594.8</v>
      </c>
      <c r="P2114" s="7">
        <f>SUMIF($B$2:$B$2091,$H2114,P$2:P$2091)</f>
        <v>4087.8</v>
      </c>
      <c r="Q2114" s="7">
        <f>SUMIF($B$2:$B$2091,$H2114,Q$2:Q$2091)</f>
        <v>3972.6000000000004</v>
      </c>
      <c r="R2114" s="7">
        <f>SUMIF($B$2:$B$2091,$H2114,R$2:R$2091)</f>
        <v>4223.8000000000011</v>
      </c>
      <c r="S2114" s="7">
        <f>SUMIF($B$2:$B$2091,$H2114,S$2:S$2091)</f>
        <v>4204.5</v>
      </c>
      <c r="T2114" s="7">
        <f>SUMIF($B$2:$B$2091,$H2114,T$2:T$2091)</f>
        <v>4268.3</v>
      </c>
      <c r="U2114" s="7">
        <f>SUMIF($B$2:$B$2091,$H2114,U$2:U$2091)</f>
        <v>4480.2</v>
      </c>
      <c r="V2114" s="7">
        <f>SUMIF($B$2:$B$2091,$H2114,V$2:V$2091)</f>
        <v>4379.1999999999989</v>
      </c>
      <c r="W2114" s="7">
        <f>SUMIF($B$2:$B$2091,$H2114,W$2:W$2091)</f>
        <v>3863.6</v>
      </c>
      <c r="X2114" s="7">
        <f>SUMIF($B$2:$B$2091,$H2114,X$2:X$2091)</f>
        <v>3532.8</v>
      </c>
      <c r="Y2114" s="7">
        <f>SUMIF($B$2:$B$2091,$H2114,Y$2:Y$2091)</f>
        <v>3465.3</v>
      </c>
      <c r="Z2114" s="7">
        <f>SUMIF($B$2:$B$2091,$H2114,Z$2:Z$2091)</f>
        <v>3489.0999999999995</v>
      </c>
      <c r="AA2114" s="7">
        <f>SUMIF($B$2:$B$2091,$H2114,AA$2:AA$2091)</f>
        <v>3387</v>
      </c>
      <c r="AB2114" s="7">
        <f>SUMIF($B$2:$B$2091,$H2114,AB$2:AB$2091)</f>
        <v>3480.2</v>
      </c>
    </row>
    <row r="2115" spans="8:28" ht="15" x14ac:dyDescent="0.25">
      <c r="H2115" s="40" t="s">
        <v>1596</v>
      </c>
      <c r="I2115" s="30">
        <f t="shared" si="0"/>
        <v>1057</v>
      </c>
      <c r="J2115" s="6"/>
      <c r="K2115" s="7">
        <f>SUMIF($B$2:$B$2091,$H2115,K$2:K$2091)</f>
        <v>4559.4000000000005</v>
      </c>
      <c r="L2115" s="7">
        <f>SUMIF($B$2:$B$2091,$H2115,L$2:L$2091)</f>
        <v>4000.2999999999997</v>
      </c>
      <c r="M2115" s="7">
        <f>SUMIF($B$2:$B$2091,$H2115,M$2:M$2091)</f>
        <v>3726.3999999999992</v>
      </c>
      <c r="N2115" s="7">
        <f>SUMIF($B$2:$B$2091,$H2115,N$2:N$2091)</f>
        <v>3264.5000000000018</v>
      </c>
      <c r="O2115" s="7">
        <f>SUMIF($B$2:$B$2091,$H2115,O$2:O$2091)</f>
        <v>3109.2000000000003</v>
      </c>
      <c r="P2115" s="7">
        <f>SUMIF($B$2:$B$2091,$H2115,P$2:P$2091)</f>
        <v>3540.7000000000016</v>
      </c>
      <c r="Q2115" s="7">
        <f>SUMIF($B$2:$B$2091,$H2115,Q$2:Q$2091)</f>
        <v>3892.3</v>
      </c>
      <c r="R2115" s="7">
        <f>SUMIF($B$2:$B$2091,$H2115,R$2:R$2091)</f>
        <v>4380.6000000000004</v>
      </c>
      <c r="S2115" s="7">
        <f>SUMIF($B$2:$B$2091,$H2115,S$2:S$2091)</f>
        <v>4054.4000000000005</v>
      </c>
      <c r="T2115" s="7">
        <f>SUMIF($B$2:$B$2091,$H2115,T$2:T$2091)</f>
        <v>3882.2999999999988</v>
      </c>
      <c r="U2115" s="7">
        <f>SUMIF($B$2:$B$2091,$H2115,U$2:U$2091)</f>
        <v>3861.099999999999</v>
      </c>
      <c r="V2115" s="7">
        <f>SUMIF($B$2:$B$2091,$H2115,V$2:V$2091)</f>
        <v>3969.1000000000022</v>
      </c>
      <c r="W2115" s="7">
        <f>SUMIF($B$2:$B$2091,$H2115,W$2:W$2091)</f>
        <v>3898.8000000000015</v>
      </c>
      <c r="X2115" s="7">
        <f>SUMIF($B$2:$B$2091,$H2115,X$2:X$2091)</f>
        <v>3878.900000000001</v>
      </c>
      <c r="Y2115" s="7">
        <f>SUMIF($B$2:$B$2091,$H2115,Y$2:Y$2091)</f>
        <v>4278.9000000000005</v>
      </c>
      <c r="Z2115" s="7">
        <f>SUMIF($B$2:$B$2091,$H2115,Z$2:Z$2091)</f>
        <v>4972.5</v>
      </c>
      <c r="AA2115" s="7">
        <f>SUMIF($B$2:$B$2091,$H2115,AA$2:AA$2091)</f>
        <v>5143.2999999999993</v>
      </c>
      <c r="AB2115" s="7">
        <f>SUMIF($B$2:$B$2091,$H2115,AB$2:AB$2091)</f>
        <v>4925.1999999999989</v>
      </c>
    </row>
    <row r="2116" spans="8:28" ht="15" x14ac:dyDescent="0.25">
      <c r="H2116" s="40" t="s">
        <v>1782</v>
      </c>
      <c r="I2116" s="30">
        <f t="shared" si="0"/>
        <v>1058</v>
      </c>
      <c r="J2116" s="6"/>
      <c r="K2116" s="7">
        <f>SUMIF($B$2:$B$2091,$H2116,K$2:K$2091)</f>
        <v>2342.1999999999994</v>
      </c>
      <c r="L2116" s="7">
        <f>SUMIF($B$2:$B$2091,$H2116,L$2:L$2091)</f>
        <v>2299.0999999999995</v>
      </c>
      <c r="M2116" s="7">
        <f>SUMIF($B$2:$B$2091,$H2116,M$2:M$2091)</f>
        <v>2138.9999999999995</v>
      </c>
      <c r="N2116" s="7">
        <f>SUMIF($B$2:$B$2091,$H2116,N$2:N$2091)</f>
        <v>1661</v>
      </c>
      <c r="O2116" s="7">
        <f>SUMIF($B$2:$B$2091,$H2116,O$2:O$2091)</f>
        <v>1435.4999999999998</v>
      </c>
      <c r="P2116" s="7">
        <f>SUMIF($B$2:$B$2091,$H2116,P$2:P$2091)</f>
        <v>1678.3999999999999</v>
      </c>
      <c r="Q2116" s="7">
        <f>SUMIF($B$2:$B$2091,$H2116,Q$2:Q$2091)</f>
        <v>1848.8000000000004</v>
      </c>
      <c r="R2116" s="7">
        <f>SUMIF($B$2:$B$2091,$H2116,R$2:R$2091)</f>
        <v>2085.6000000000004</v>
      </c>
      <c r="S2116" s="7">
        <f>SUMIF($B$2:$B$2091,$H2116,S$2:S$2091)</f>
        <v>1700.5000000000002</v>
      </c>
      <c r="T2116" s="7">
        <f>SUMIF($B$2:$B$2091,$H2116,T$2:T$2091)</f>
        <v>1932.7000000000003</v>
      </c>
      <c r="U2116" s="7">
        <f>SUMIF($B$2:$B$2091,$H2116,U$2:U$2091)</f>
        <v>1907.3999999999994</v>
      </c>
      <c r="V2116" s="7">
        <f>SUMIF($B$2:$B$2091,$H2116,V$2:V$2091)</f>
        <v>1885.3000000000002</v>
      </c>
      <c r="W2116" s="7">
        <f>SUMIF($B$2:$B$2091,$H2116,W$2:W$2091)</f>
        <v>1963.2000000000003</v>
      </c>
      <c r="X2116" s="7">
        <f>SUMIF($B$2:$B$2091,$H2116,X$2:X$2091)</f>
        <v>1690.6999999999998</v>
      </c>
      <c r="Y2116" s="7">
        <f>SUMIF($B$2:$B$2091,$H2116,Y$2:Y$2091)</f>
        <v>1900.1999999999996</v>
      </c>
      <c r="Z2116" s="7">
        <f>SUMIF($B$2:$B$2091,$H2116,Z$2:Z$2091)</f>
        <v>1866.1999999999996</v>
      </c>
      <c r="AA2116" s="7">
        <f>SUMIF($B$2:$B$2091,$H2116,AA$2:AA$2091)</f>
        <v>2041.8</v>
      </c>
      <c r="AB2116" s="7">
        <f>SUMIF($B$2:$B$2091,$H2116,AB$2:AB$2091)</f>
        <v>2071.6</v>
      </c>
    </row>
    <row r="2117" spans="8:28" ht="15" x14ac:dyDescent="0.25">
      <c r="H2117" s="40" t="s">
        <v>1783</v>
      </c>
      <c r="I2117" s="30">
        <f t="shared" si="0"/>
        <v>1059</v>
      </c>
      <c r="J2117" s="6"/>
      <c r="K2117" s="7">
        <f>SUMIF($B$2:$B$2091,$H2117,K$2:K$2091)</f>
        <v>2302.2000000000007</v>
      </c>
      <c r="L2117" s="7">
        <f>SUMIF($B$2:$B$2091,$H2117,L$2:L$2091)</f>
        <v>2387.1999999999994</v>
      </c>
      <c r="M2117" s="7">
        <f>SUMIF($B$2:$B$2091,$H2117,M$2:M$2091)</f>
        <v>2519.4</v>
      </c>
      <c r="N2117" s="7">
        <f>SUMIF($B$2:$B$2091,$H2117,N$2:N$2091)</f>
        <v>2290.2000000000003</v>
      </c>
      <c r="O2117" s="7">
        <f>SUMIF($B$2:$B$2091,$H2117,O$2:O$2091)</f>
        <v>2355.1</v>
      </c>
      <c r="P2117" s="7">
        <f>SUMIF($B$2:$B$2091,$H2117,P$2:P$2091)</f>
        <v>2537.2999999999997</v>
      </c>
      <c r="Q2117" s="7">
        <f>SUMIF($B$2:$B$2091,$H2117,Q$2:Q$2091)</f>
        <v>2632.8</v>
      </c>
      <c r="R2117" s="7">
        <f>SUMIF($B$2:$B$2091,$H2117,R$2:R$2091)</f>
        <v>2895.3</v>
      </c>
      <c r="S2117" s="7">
        <f>SUMIF($B$2:$B$2091,$H2117,S$2:S$2091)</f>
        <v>3035.0000000000009</v>
      </c>
      <c r="T2117" s="7">
        <f>SUMIF($B$2:$B$2091,$H2117,T$2:T$2091)</f>
        <v>3259.2000000000003</v>
      </c>
      <c r="U2117" s="7">
        <f>SUMIF($B$2:$B$2091,$H2117,U$2:U$2091)</f>
        <v>3229.2999999999993</v>
      </c>
      <c r="V2117" s="7">
        <f>SUMIF($B$2:$B$2091,$H2117,V$2:V$2091)</f>
        <v>3384.5</v>
      </c>
      <c r="W2117" s="7">
        <f>SUMIF($B$2:$B$2091,$H2117,W$2:W$2091)</f>
        <v>3323.4999999999995</v>
      </c>
      <c r="X2117" s="7">
        <f>SUMIF($B$2:$B$2091,$H2117,X$2:X$2091)</f>
        <v>3274.0999999999995</v>
      </c>
      <c r="Y2117" s="7">
        <f>SUMIF($B$2:$B$2091,$H2117,Y$2:Y$2091)</f>
        <v>3503.0000000000005</v>
      </c>
      <c r="Z2117" s="7">
        <f>SUMIF($B$2:$B$2091,$H2117,Z$2:Z$2091)</f>
        <v>3533.8000000000006</v>
      </c>
      <c r="AA2117" s="7">
        <f>SUMIF($B$2:$B$2091,$H2117,AA$2:AA$2091)</f>
        <v>3593.9</v>
      </c>
      <c r="AB2117" s="7">
        <f>SUMIF($B$2:$B$2091,$H2117,AB$2:AB$2091)</f>
        <v>3347.1999999999994</v>
      </c>
    </row>
    <row r="2118" spans="8:28" ht="15" x14ac:dyDescent="0.25">
      <c r="H2118" s="40" t="s">
        <v>2093</v>
      </c>
      <c r="I2118" s="30">
        <f t="shared" si="0"/>
        <v>1060</v>
      </c>
      <c r="J2118" s="6"/>
      <c r="K2118" s="7">
        <f>SUMIF($B$2:$B$2091,$H2118,K$2:K$2091)</f>
        <v>561.69999999999993</v>
      </c>
      <c r="L2118" s="7">
        <f>SUMIF($B$2:$B$2091,$H2118,L$2:L$2091)</f>
        <v>542.29999999999995</v>
      </c>
      <c r="M2118" s="7">
        <f>SUMIF($B$2:$B$2091,$H2118,M$2:M$2091)</f>
        <v>482.3</v>
      </c>
      <c r="N2118" s="7">
        <f>SUMIF($B$2:$B$2091,$H2118,N$2:N$2091)</f>
        <v>328.2</v>
      </c>
      <c r="O2118" s="7">
        <f>SUMIF($B$2:$B$2091,$H2118,O$2:O$2091)</f>
        <v>206.9</v>
      </c>
      <c r="P2118" s="7">
        <f>SUMIF($B$2:$B$2091,$H2118,P$2:P$2091)</f>
        <v>63.6</v>
      </c>
      <c r="Q2118" s="7">
        <f>SUMIF($B$2:$B$2091,$H2118,Q$2:Q$2091)</f>
        <v>0</v>
      </c>
      <c r="R2118" s="7">
        <f>SUMIF($B$2:$B$2091,$H2118,R$2:R$2091)</f>
        <v>0</v>
      </c>
      <c r="S2118" s="7">
        <f>SUMIF($B$2:$B$2091,$H2118,S$2:S$2091)</f>
        <v>0</v>
      </c>
      <c r="T2118" s="7">
        <f>SUMIF($B$2:$B$2091,$H2118,T$2:T$2091)</f>
        <v>0</v>
      </c>
      <c r="U2118" s="7">
        <f>SUMIF($B$2:$B$2091,$H2118,U$2:U$2091)</f>
        <v>0</v>
      </c>
      <c r="V2118" s="7">
        <f>SUMIF($B$2:$B$2091,$H2118,V$2:V$2091)</f>
        <v>0</v>
      </c>
      <c r="W2118" s="7">
        <f>SUMIF($B$2:$B$2091,$H2118,W$2:W$2091)</f>
        <v>0</v>
      </c>
      <c r="X2118" s="7">
        <f>SUMIF($B$2:$B$2091,$H2118,X$2:X$2091)</f>
        <v>0</v>
      </c>
      <c r="Y2118" s="7">
        <f>SUMIF($B$2:$B$2091,$H2118,Y$2:Y$2091)</f>
        <v>0</v>
      </c>
      <c r="Z2118" s="7">
        <f>SUMIF($B$2:$B$2091,$H2118,Z$2:Z$2091)</f>
        <v>0</v>
      </c>
      <c r="AA2118" s="7">
        <f>SUMIF($B$2:$B$2091,$H2118,AA$2:AA$2091)</f>
        <v>0</v>
      </c>
      <c r="AB2118" s="7">
        <f>SUMIF($B$2:$B$2091,$H2118,AB$2:AB$2091)</f>
        <v>0</v>
      </c>
    </row>
    <row r="2119" spans="8:28" ht="15" x14ac:dyDescent="0.25">
      <c r="H2119" s="40" t="s">
        <v>2007</v>
      </c>
      <c r="I2119" s="30">
        <f t="shared" si="0"/>
        <v>1061</v>
      </c>
      <c r="J2119" s="6"/>
      <c r="K2119" s="7">
        <f>SUMIF($B$2:$B$2091,$H2119,K$2:K$2091)</f>
        <v>2324.0000000000005</v>
      </c>
      <c r="L2119" s="7">
        <f>SUMIF($B$2:$B$2091,$H2119,L$2:L$2091)</f>
        <v>2957.0000000000005</v>
      </c>
      <c r="M2119" s="7">
        <f>SUMIF($B$2:$B$2091,$H2119,M$2:M$2091)</f>
        <v>2658.3</v>
      </c>
      <c r="N2119" s="7">
        <f>SUMIF($B$2:$B$2091,$H2119,N$2:N$2091)</f>
        <v>2443.1999999999998</v>
      </c>
      <c r="O2119" s="7">
        <f>SUMIF($B$2:$B$2091,$H2119,O$2:O$2091)</f>
        <v>1767.8999999999999</v>
      </c>
      <c r="P2119" s="7">
        <f>SUMIF($B$2:$B$2091,$H2119,P$2:P$2091)</f>
        <v>1643.3000000000006</v>
      </c>
      <c r="Q2119" s="7">
        <f>SUMIF($B$2:$B$2091,$H2119,Q$2:Q$2091)</f>
        <v>1460.3</v>
      </c>
      <c r="R2119" s="7">
        <f>SUMIF($B$2:$B$2091,$H2119,R$2:R$2091)</f>
        <v>1574.8999999999999</v>
      </c>
      <c r="S2119" s="7">
        <f>SUMIF($B$2:$B$2091,$H2119,S$2:S$2091)</f>
        <v>1605.4000000000003</v>
      </c>
      <c r="T2119" s="7">
        <f>SUMIF($B$2:$B$2091,$H2119,T$2:T$2091)</f>
        <v>1638.2999999999997</v>
      </c>
      <c r="U2119" s="7">
        <f>SUMIF($B$2:$B$2091,$H2119,U$2:U$2091)</f>
        <v>1711.2</v>
      </c>
      <c r="V2119" s="7">
        <f>SUMIF($B$2:$B$2091,$H2119,V$2:V$2091)</f>
        <v>2045.1000000000001</v>
      </c>
      <c r="W2119" s="7">
        <f>SUMIF($B$2:$B$2091,$H2119,W$2:W$2091)</f>
        <v>1746.6000000000006</v>
      </c>
      <c r="X2119" s="7">
        <f>SUMIF($B$2:$B$2091,$H2119,X$2:X$2091)</f>
        <v>1980.8999999999996</v>
      </c>
      <c r="Y2119" s="7">
        <f>SUMIF($B$2:$B$2091,$H2119,Y$2:Y$2091)</f>
        <v>2002.2</v>
      </c>
      <c r="Z2119" s="7">
        <f>SUMIF($B$2:$B$2091,$H2119,Z$2:Z$2091)</f>
        <v>2520.7000000000003</v>
      </c>
      <c r="AA2119" s="7">
        <f>SUMIF($B$2:$B$2091,$H2119,AA$2:AA$2091)</f>
        <v>3199.4999999999995</v>
      </c>
      <c r="AB2119" s="7">
        <f>SUMIF($B$2:$B$2091,$H2119,AB$2:AB$2091)</f>
        <v>2350.2000000000003</v>
      </c>
    </row>
    <row r="2120" spans="8:28" ht="15" x14ac:dyDescent="0.25">
      <c r="H2120" s="40" t="s">
        <v>1880</v>
      </c>
      <c r="I2120" s="30">
        <f t="shared" si="0"/>
        <v>1062</v>
      </c>
      <c r="J2120" s="6"/>
      <c r="K2120" s="7">
        <f>SUMIF($B$2:$B$2091,$H2120,K$2:K$2091)</f>
        <v>21157.7</v>
      </c>
      <c r="L2120" s="7">
        <f>SUMIF($B$2:$B$2091,$H2120,L$2:L$2091)</f>
        <v>19104.899999999994</v>
      </c>
      <c r="M2120" s="7">
        <f>SUMIF($B$2:$B$2091,$H2120,M$2:M$2091)</f>
        <v>15730.100000000004</v>
      </c>
      <c r="N2120" s="7">
        <f>SUMIF($B$2:$B$2091,$H2120,N$2:N$2091)</f>
        <v>9249.3000000000011</v>
      </c>
      <c r="O2120" s="7">
        <f>SUMIF($B$2:$B$2091,$H2120,O$2:O$2091)</f>
        <v>8723.6999999999989</v>
      </c>
      <c r="P2120" s="7">
        <f>SUMIF($B$2:$B$2091,$H2120,P$2:P$2091)</f>
        <v>8614.4999999999982</v>
      </c>
      <c r="Q2120" s="7">
        <f>SUMIF($B$2:$B$2091,$H2120,Q$2:Q$2091)</f>
        <v>14887.499999999996</v>
      </c>
      <c r="R2120" s="7">
        <f>SUMIF($B$2:$B$2091,$H2120,R$2:R$2091)</f>
        <v>19137.600000000002</v>
      </c>
      <c r="S2120" s="7">
        <f>SUMIF($B$2:$B$2091,$H2120,S$2:S$2091)</f>
        <v>17406.200000000008</v>
      </c>
      <c r="T2120" s="7">
        <f>SUMIF($B$2:$B$2091,$H2120,T$2:T$2091)</f>
        <v>11454.900000000001</v>
      </c>
      <c r="U2120" s="7">
        <f>SUMIF($B$2:$B$2091,$H2120,U$2:U$2091)</f>
        <v>9618.6</v>
      </c>
      <c r="V2120" s="7">
        <f>SUMIF($B$2:$B$2091,$H2120,V$2:V$2091)</f>
        <v>11055.6</v>
      </c>
      <c r="W2120" s="7">
        <f>SUMIF($B$2:$B$2091,$H2120,W$2:W$2091)</f>
        <v>9684.8000000000029</v>
      </c>
      <c r="X2120" s="7">
        <f>SUMIF($B$2:$B$2091,$H2120,X$2:X$2091)</f>
        <v>11708.6</v>
      </c>
      <c r="Y2120" s="7">
        <f>SUMIF($B$2:$B$2091,$H2120,Y$2:Y$2091)</f>
        <v>12752.6</v>
      </c>
      <c r="Z2120" s="7">
        <f>SUMIF($B$2:$B$2091,$H2120,Z$2:Z$2091)</f>
        <v>16379.100000000002</v>
      </c>
      <c r="AA2120" s="7">
        <f>SUMIF($B$2:$B$2091,$H2120,AA$2:AA$2091)</f>
        <v>12928.4</v>
      </c>
      <c r="AB2120" s="7">
        <f>SUMIF($B$2:$B$2091,$H2120,AB$2:AB$2091)</f>
        <v>16331.100000000002</v>
      </c>
    </row>
    <row r="2121" spans="8:28" ht="15" x14ac:dyDescent="0.25">
      <c r="H2121" s="40" t="s">
        <v>2202</v>
      </c>
      <c r="I2121" s="30">
        <f t="shared" si="0"/>
        <v>1063</v>
      </c>
      <c r="J2121" s="6"/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f>SUMIF($B$2:$B$2091,$H2121,V$2:V$2091)</f>
        <v>2.2999999999999998</v>
      </c>
      <c r="W2121" s="7">
        <f>SUMIF($B$2:$B$2091,$H2121,W$2:W$2091)</f>
        <v>56.600000000000009</v>
      </c>
      <c r="X2121" s="7">
        <f>SUMIF($B$2:$B$2091,$H2121,X$2:X$2091)</f>
        <v>179.70000000000002</v>
      </c>
      <c r="Y2121" s="7">
        <f>SUMIF($B$2:$B$2091,$H2121,Y$2:Y$2091)</f>
        <v>308.8</v>
      </c>
      <c r="Z2121" s="7">
        <f>SUMIF($B$2:$B$2091,$H2121,Z$2:Z$2091)</f>
        <v>413.2</v>
      </c>
      <c r="AA2121" s="7">
        <f>SUMIF($B$2:$B$2091,$H2121,AA$2:AA$2091)</f>
        <v>566.4</v>
      </c>
      <c r="AB2121" s="7">
        <f>SUMIF($B$2:$B$2091,$H2121,AB$2:AB$2091)</f>
        <v>360.7</v>
      </c>
    </row>
    <row r="2122" spans="8:28" ht="15" x14ac:dyDescent="0.25">
      <c r="H2122" s="40" t="s">
        <v>1974</v>
      </c>
      <c r="I2122" s="30">
        <f t="shared" si="0"/>
        <v>1064</v>
      </c>
      <c r="J2122" s="6"/>
      <c r="K2122" s="7">
        <f>SUMIF($B$2:$B$2091,$H2122,K$2:K$2091)</f>
        <v>410.5</v>
      </c>
      <c r="L2122" s="7">
        <f>SUMIF($B$2:$B$2091,$H2122,L$2:L$2091)</f>
        <v>409.40000000000003</v>
      </c>
      <c r="M2122" s="7">
        <f>SUMIF($B$2:$B$2091,$H2122,M$2:M$2091)</f>
        <v>399.40000000000009</v>
      </c>
      <c r="N2122" s="7">
        <f>SUMIF($B$2:$B$2091,$H2122,N$2:N$2091)</f>
        <v>361.9</v>
      </c>
      <c r="O2122" s="7">
        <f>SUMIF($B$2:$B$2091,$H2122,O$2:O$2091)</f>
        <v>380.5</v>
      </c>
      <c r="P2122" s="7">
        <f>SUMIF($B$2:$B$2091,$H2122,P$2:P$2091)</f>
        <v>557.49999999999989</v>
      </c>
      <c r="Q2122" s="7">
        <f>SUMIF($B$2:$B$2091,$H2122,Q$2:Q$2091)</f>
        <v>605.70000000000005</v>
      </c>
      <c r="R2122" s="7">
        <f>SUMIF($B$2:$B$2091,$H2122,R$2:R$2091)</f>
        <v>732.49999999999989</v>
      </c>
      <c r="S2122" s="7">
        <f>SUMIF($B$2:$B$2091,$H2122,S$2:S$2091)</f>
        <v>676.09999999999991</v>
      </c>
      <c r="T2122" s="7">
        <f>SUMIF($B$2:$B$2091,$H2122,T$2:T$2091)</f>
        <v>685.69999999999993</v>
      </c>
      <c r="U2122" s="7">
        <f>SUMIF($B$2:$B$2091,$H2122,U$2:U$2091)</f>
        <v>705.09999999999991</v>
      </c>
      <c r="V2122" s="7">
        <f>SUMIF($B$2:$B$2091,$H2122,V$2:V$2091)</f>
        <v>711.1</v>
      </c>
      <c r="W2122" s="7">
        <f>SUMIF($B$2:$B$2091,$H2122,W$2:W$2091)</f>
        <v>594.40000000000009</v>
      </c>
      <c r="X2122" s="7">
        <f>SUMIF($B$2:$B$2091,$H2122,X$2:X$2091)</f>
        <v>675.5</v>
      </c>
      <c r="Y2122" s="7">
        <f>SUMIF($B$2:$B$2091,$H2122,Y$2:Y$2091)</f>
        <v>776.1</v>
      </c>
      <c r="Z2122" s="7">
        <f>SUMIF($B$2:$B$2091,$H2122,Z$2:Z$2091)</f>
        <v>746.50000000000011</v>
      </c>
      <c r="AA2122" s="7">
        <f>SUMIF($B$2:$B$2091,$H2122,AA$2:AA$2091)</f>
        <v>837.89999999999986</v>
      </c>
      <c r="AB2122" s="7">
        <f>SUMIF($B$2:$B$2091,$H2122,AB$2:AB$2091)</f>
        <v>934.30000000000018</v>
      </c>
    </row>
    <row r="2123" spans="8:28" ht="15" x14ac:dyDescent="0.25">
      <c r="H2123" s="40" t="s">
        <v>2008</v>
      </c>
      <c r="I2123" s="30">
        <f t="shared" si="0"/>
        <v>1065</v>
      </c>
      <c r="J2123" s="6"/>
      <c r="K2123" s="7">
        <f>SUMIF($B$2:$B$2091,$H2123,K$2:K$2091)</f>
        <v>293.39999999999998</v>
      </c>
      <c r="L2123" s="7">
        <f>SUMIF($B$2:$B$2091,$H2123,L$2:L$2091)</f>
        <v>336.90000000000003</v>
      </c>
      <c r="M2123" s="7">
        <f>SUMIF($B$2:$B$2091,$H2123,M$2:M$2091)</f>
        <v>416.5</v>
      </c>
      <c r="N2123" s="7">
        <f>SUMIF($B$2:$B$2091,$H2123,N$2:N$2091)</f>
        <v>448.40000000000003</v>
      </c>
      <c r="O2123" s="7">
        <f>SUMIF($B$2:$B$2091,$H2123,O$2:O$2091)</f>
        <v>341.2</v>
      </c>
      <c r="P2123" s="7">
        <f>SUMIF($B$2:$B$2091,$H2123,P$2:P$2091)</f>
        <v>360.00000000000006</v>
      </c>
      <c r="Q2123" s="7">
        <f>SUMIF($B$2:$B$2091,$H2123,Q$2:Q$2091)</f>
        <v>363.40000000000003</v>
      </c>
      <c r="R2123" s="7">
        <f>SUMIF($B$2:$B$2091,$H2123,R$2:R$2091)</f>
        <v>433.40000000000003</v>
      </c>
      <c r="S2123" s="7">
        <f>SUMIF($B$2:$B$2091,$H2123,S$2:S$2091)</f>
        <v>422.69999999999993</v>
      </c>
      <c r="T2123" s="7">
        <f>SUMIF($B$2:$B$2091,$H2123,T$2:T$2091)</f>
        <v>755.30000000000007</v>
      </c>
      <c r="U2123" s="7">
        <f>SUMIF($B$2:$B$2091,$H2123,U$2:U$2091)</f>
        <v>931.09999999999991</v>
      </c>
      <c r="V2123" s="7">
        <f>SUMIF($B$2:$B$2091,$H2123,V$2:V$2091)</f>
        <v>714.1</v>
      </c>
      <c r="W2123" s="7">
        <f>SUMIF($B$2:$B$2091,$H2123,W$2:W$2091)</f>
        <v>707.30000000000007</v>
      </c>
      <c r="X2123" s="7">
        <f>SUMIF($B$2:$B$2091,$H2123,X$2:X$2091)</f>
        <v>632.19999999999982</v>
      </c>
      <c r="Y2123" s="7">
        <f>SUMIF($B$2:$B$2091,$H2123,Y$2:Y$2091)</f>
        <v>651.30000000000007</v>
      </c>
      <c r="Z2123" s="7">
        <f>SUMIF($B$2:$B$2091,$H2123,Z$2:Z$2091)</f>
        <v>750.90000000000009</v>
      </c>
      <c r="AA2123" s="7">
        <f>SUMIF($B$2:$B$2091,$H2123,AA$2:AA$2091)</f>
        <v>723.3</v>
      </c>
      <c r="AB2123" s="7">
        <f>SUMIF($B$2:$B$2091,$H2123,AB$2:AB$2091)</f>
        <v>760.19999999999993</v>
      </c>
    </row>
    <row r="2124" spans="8:28" ht="15" x14ac:dyDescent="0.25">
      <c r="H2124" s="40" t="s">
        <v>2163</v>
      </c>
      <c r="I2124" s="30">
        <f t="shared" si="0"/>
        <v>1066</v>
      </c>
      <c r="J2124" s="6"/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f>SUMIF($B$2:$B$2091,$H2124,Q$2:Q$2091)</f>
        <v>1016.5999999999999</v>
      </c>
      <c r="R2124" s="7">
        <f>SUMIF($B$2:$B$2091,$H2124,R$2:R$2091)</f>
        <v>2002.5</v>
      </c>
      <c r="S2124" s="7">
        <f>SUMIF($B$2:$B$2091,$H2124,S$2:S$2091)</f>
        <v>1985.6000000000004</v>
      </c>
      <c r="T2124" s="7">
        <f>SUMIF($B$2:$B$2091,$H2124,T$2:T$2091)</f>
        <v>2435.5999999999995</v>
      </c>
      <c r="U2124" s="7">
        <f>SUMIF($B$2:$B$2091,$H2124,U$2:U$2091)</f>
        <v>2407.6</v>
      </c>
      <c r="V2124" s="7">
        <f>SUMIF($B$2:$B$2091,$H2124,V$2:V$2091)</f>
        <v>2159.9</v>
      </c>
      <c r="W2124" s="7">
        <f>SUMIF($B$2:$B$2091,$H2124,W$2:W$2091)</f>
        <v>2445.1999999999998</v>
      </c>
      <c r="X2124" s="7">
        <f>SUMIF($B$2:$B$2091,$H2124,X$2:X$2091)</f>
        <v>2669.6</v>
      </c>
      <c r="Y2124" s="7">
        <f>SUMIF($B$2:$B$2091,$H2124,Y$2:Y$2091)</f>
        <v>2879.1</v>
      </c>
      <c r="Z2124" s="7">
        <f>SUMIF($B$2:$B$2091,$H2124,Z$2:Z$2091)</f>
        <v>3272.8</v>
      </c>
      <c r="AA2124" s="7">
        <f>SUMIF($B$2:$B$2091,$H2124,AA$2:AA$2091)</f>
        <v>4130.7000000000007</v>
      </c>
      <c r="AB2124" s="7">
        <f>SUMIF($B$2:$B$2091,$H2124,AB$2:AB$2091)</f>
        <v>4434.7999999999993</v>
      </c>
    </row>
    <row r="2125" spans="8:28" ht="15" x14ac:dyDescent="0.25">
      <c r="H2125" s="43" t="s">
        <v>992</v>
      </c>
      <c r="I2125" s="44"/>
      <c r="J2125" s="31"/>
      <c r="K2125" s="32">
        <f>SUM(K2096:K2124)</f>
        <v>206050.00000000003</v>
      </c>
      <c r="L2125" s="32">
        <f t="shared" ref="L2125:Q2125" si="1">SUM(L2096:L2124)</f>
        <v>199080.39999999997</v>
      </c>
      <c r="M2125" s="32">
        <f t="shared" si="1"/>
        <v>167236.1</v>
      </c>
      <c r="N2125" s="32">
        <f t="shared" si="1"/>
        <v>122573.59999999999</v>
      </c>
      <c r="O2125" s="32">
        <f t="shared" si="1"/>
        <v>113956.79999999999</v>
      </c>
      <c r="P2125" s="32">
        <f t="shared" si="1"/>
        <v>137704.6</v>
      </c>
      <c r="Q2125" s="32">
        <f t="shared" si="1"/>
        <v>156471.20000000001</v>
      </c>
      <c r="R2125" s="32">
        <f t="shared" ref="R2125" si="2">SUM(R2096:R2124)</f>
        <v>187441.09999999992</v>
      </c>
      <c r="S2125" s="32">
        <f t="shared" ref="S2125:X2125" si="3">SUM(S2096:S2124)</f>
        <v>184050.3</v>
      </c>
      <c r="T2125" s="32">
        <f t="shared" si="3"/>
        <v>187518.99999999994</v>
      </c>
      <c r="U2125" s="32">
        <f t="shared" si="3"/>
        <v>181477.5</v>
      </c>
      <c r="V2125" s="32">
        <f t="shared" si="3"/>
        <v>181012.1</v>
      </c>
      <c r="W2125" s="32">
        <f t="shared" si="3"/>
        <v>156061.10000000003</v>
      </c>
      <c r="X2125" s="32">
        <f t="shared" si="3"/>
        <v>156244.20000000004</v>
      </c>
      <c r="Y2125" s="32">
        <f t="shared" ref="Y2125:Z2125" si="4">SUM(Y2096:Y2124)</f>
        <v>173001.60000000001</v>
      </c>
      <c r="Z2125" s="32">
        <f t="shared" si="4"/>
        <v>198085.40000000005</v>
      </c>
      <c r="AA2125" s="32">
        <f t="shared" ref="AA2125:AB2125" si="5">SUM(AA2096:AA2124)</f>
        <v>196635.59999999995</v>
      </c>
      <c r="AB2125" s="32">
        <f t="shared" si="5"/>
        <v>197749.80000000008</v>
      </c>
    </row>
    <row r="2126" spans="8:28" ht="15" x14ac:dyDescent="0.25">
      <c r="H2126" s="43" t="s">
        <v>991</v>
      </c>
      <c r="I2126" s="44"/>
      <c r="J2126" s="31"/>
      <c r="K2126" s="32">
        <f>K2092</f>
        <v>1028</v>
      </c>
      <c r="L2126" s="32">
        <f t="shared" ref="L2126:P2126" si="6">L2092</f>
        <v>1103</v>
      </c>
      <c r="M2126" s="32">
        <f t="shared" si="6"/>
        <v>1071</v>
      </c>
      <c r="N2126" s="32">
        <f t="shared" si="6"/>
        <v>1049</v>
      </c>
      <c r="O2126" s="32">
        <f t="shared" si="6"/>
        <v>972</v>
      </c>
      <c r="P2126" s="32">
        <f t="shared" si="6"/>
        <v>992</v>
      </c>
      <c r="Q2126" s="32">
        <f t="shared" ref="Q2126:R2126" si="7">Q2092</f>
        <v>1022</v>
      </c>
      <c r="R2126" s="32">
        <f t="shared" si="7"/>
        <v>1047</v>
      </c>
      <c r="S2126" s="32">
        <f t="shared" ref="S2126:X2126" si="8">S2092</f>
        <v>1056</v>
      </c>
      <c r="T2126" s="32">
        <f t="shared" si="8"/>
        <v>1055</v>
      </c>
      <c r="U2126" s="32">
        <f t="shared" si="8"/>
        <v>1050</v>
      </c>
      <c r="V2126" s="32">
        <f t="shared" si="8"/>
        <v>1049</v>
      </c>
      <c r="W2126" s="32">
        <f t="shared" si="8"/>
        <v>1030</v>
      </c>
      <c r="X2126" s="32">
        <f t="shared" si="8"/>
        <v>1035</v>
      </c>
      <c r="Y2126" s="32">
        <f t="shared" ref="Y2126:Z2126" si="9">Y2092</f>
        <v>1037</v>
      </c>
      <c r="Z2126" s="32">
        <f t="shared" si="9"/>
        <v>1069</v>
      </c>
      <c r="AA2126" s="32">
        <f t="shared" ref="AA2126:AB2126" si="10">AA2092</f>
        <v>1067</v>
      </c>
      <c r="AB2126" s="32">
        <f t="shared" si="10"/>
        <v>1074</v>
      </c>
    </row>
    <row r="2127" spans="8:28" x14ac:dyDescent="0.2">
      <c r="K2127" s="42">
        <f t="shared" ref="K2127:Q2127" si="11">K2125-K2091</f>
        <v>-54.099999999714782</v>
      </c>
      <c r="L2127" s="42">
        <f t="shared" si="11"/>
        <v>-50.399999999935972</v>
      </c>
      <c r="M2127" s="42">
        <f t="shared" si="11"/>
        <v>-54.400000000139698</v>
      </c>
      <c r="N2127" s="42">
        <f t="shared" si="11"/>
        <v>-56</v>
      </c>
      <c r="O2127" s="42">
        <f t="shared" si="11"/>
        <v>-60.30000000000291</v>
      </c>
      <c r="P2127" s="42">
        <f t="shared" si="11"/>
        <v>-62.399999999906868</v>
      </c>
      <c r="Q2127" s="42">
        <f t="shared" si="11"/>
        <v>-58.200000000098953</v>
      </c>
      <c r="R2127" s="42">
        <f t="shared" ref="R2127:S2127" si="12">R2125-R2091</f>
        <v>-64.400000000168802</v>
      </c>
      <c r="S2127" s="42">
        <f t="shared" si="12"/>
        <v>-67.100000000267755</v>
      </c>
      <c r="T2127" s="42">
        <f t="shared" ref="T2127:U2127" si="13">T2125-T2091</f>
        <v>-72.700000000069849</v>
      </c>
      <c r="U2127" s="42">
        <f t="shared" si="13"/>
        <v>-75.899999999819556</v>
      </c>
      <c r="V2127" s="42">
        <f t="shared" ref="V2127:W2127" si="14">V2125-V2091</f>
        <v>-78.099999999918509</v>
      </c>
      <c r="W2127" s="42">
        <f t="shared" si="14"/>
        <v>-74.700000000157161</v>
      </c>
      <c r="X2127" s="42">
        <f t="shared" ref="X2127:Y2127" si="15">X2125-X2091</f>
        <v>-75.799999999901047</v>
      </c>
      <c r="Y2127" s="42">
        <f t="shared" si="15"/>
        <v>-61.199999999982538</v>
      </c>
      <c r="Z2127" s="42">
        <f t="shared" ref="Z2127:AA2127" si="16">Z2125-Z2091</f>
        <v>-49.200000000128057</v>
      </c>
      <c r="AA2127" s="42">
        <f t="shared" si="16"/>
        <v>-44.599999999947613</v>
      </c>
      <c r="AB2127" s="42">
        <f t="shared" ref="AB2127" si="17">AB2125-AB2091</f>
        <v>-40.300000000133878</v>
      </c>
    </row>
  </sheetData>
  <autoFilter ref="B2:K2092"/>
  <sortState ref="B3:BD1726">
    <sortCondition ref="B3"/>
  </sortState>
  <mergeCells count="2">
    <mergeCell ref="H2125:I2125"/>
    <mergeCell ref="H2126:I2126"/>
  </mergeCells>
  <conditionalFormatting sqref="K2091:K2092">
    <cfRule type="cellIs" dxfId="23" priority="571" operator="lessThan">
      <formula>1</formula>
    </cfRule>
  </conditionalFormatting>
  <conditionalFormatting sqref="E259">
    <cfRule type="duplicateValues" dxfId="22" priority="654"/>
  </conditionalFormatting>
  <conditionalFormatting sqref="E260:E264 E4:E258">
    <cfRule type="duplicateValues" dxfId="21" priority="655"/>
  </conditionalFormatting>
  <conditionalFormatting sqref="K3:K2090">
    <cfRule type="cellIs" dxfId="20" priority="55" operator="lessThan">
      <formula>1</formula>
    </cfRule>
  </conditionalFormatting>
  <conditionalFormatting sqref="L3:L2090">
    <cfRule type="cellIs" dxfId="19" priority="51" operator="lessThan">
      <formula>1</formula>
    </cfRule>
  </conditionalFormatting>
  <conditionalFormatting sqref="M3:M2090">
    <cfRule type="cellIs" dxfId="18" priority="49" operator="lessThan">
      <formula>1</formula>
    </cfRule>
  </conditionalFormatting>
  <conditionalFormatting sqref="N3:N2090">
    <cfRule type="cellIs" dxfId="17" priority="46" operator="lessThan">
      <formula>1</formula>
    </cfRule>
  </conditionalFormatting>
  <conditionalFormatting sqref="O3:O2090">
    <cfRule type="cellIs" dxfId="16" priority="43" operator="lessThan">
      <formula>1</formula>
    </cfRule>
  </conditionalFormatting>
  <conditionalFormatting sqref="P3:P2090">
    <cfRule type="cellIs" dxfId="15" priority="40" operator="lessThan">
      <formula>1</formula>
    </cfRule>
  </conditionalFormatting>
  <conditionalFormatting sqref="Q3:Q2090">
    <cfRule type="cellIs" dxfId="14" priority="37" operator="lessThan">
      <formula>1</formula>
    </cfRule>
  </conditionalFormatting>
  <conditionalFormatting sqref="R3:R2090">
    <cfRule type="cellIs" dxfId="13" priority="34" operator="lessThan">
      <formula>1</formula>
    </cfRule>
  </conditionalFormatting>
  <conditionalFormatting sqref="S3:S2090">
    <cfRule type="cellIs" dxfId="12" priority="31" operator="lessThan">
      <formula>1</formula>
    </cfRule>
  </conditionalFormatting>
  <conditionalFormatting sqref="T3:T2090">
    <cfRule type="cellIs" dxfId="11" priority="28" operator="lessThan">
      <formula>1</formula>
    </cfRule>
  </conditionalFormatting>
  <conditionalFormatting sqref="U3:U2090">
    <cfRule type="cellIs" dxfId="10" priority="25" operator="lessThan">
      <formula>1</formula>
    </cfRule>
  </conditionalFormatting>
  <conditionalFormatting sqref="E578">
    <cfRule type="duplicateValues" dxfId="9" priority="23"/>
  </conditionalFormatting>
  <conditionalFormatting sqref="V3:V2090">
    <cfRule type="cellIs" dxfId="8" priority="21" operator="lessThan">
      <formula>1</formula>
    </cfRule>
  </conditionalFormatting>
  <conditionalFormatting sqref="W3:W2090">
    <cfRule type="cellIs" dxfId="7" priority="18" operator="lessThan">
      <formula>1</formula>
    </cfRule>
  </conditionalFormatting>
  <conditionalFormatting sqref="X3:X2090">
    <cfRule type="cellIs" dxfId="6" priority="15" operator="lessThan">
      <formula>1</formula>
    </cfRule>
  </conditionalFormatting>
  <conditionalFormatting sqref="Y3:Y2090">
    <cfRule type="cellIs" dxfId="5" priority="12" operator="lessThan">
      <formula>1</formula>
    </cfRule>
  </conditionalFormatting>
  <conditionalFormatting sqref="Z3:Z2090">
    <cfRule type="cellIs" dxfId="4" priority="9" operator="lessThan">
      <formula>1</formula>
    </cfRule>
  </conditionalFormatting>
  <conditionalFormatting sqref="AA3:AA2090">
    <cfRule type="cellIs" dxfId="3" priority="6" operator="lessThan">
      <formula>1</formula>
    </cfRule>
  </conditionalFormatting>
  <conditionalFormatting sqref="AB3:AB2090">
    <cfRule type="cellIs" dxfId="2" priority="3" operator="lessThan">
      <formula>1</formula>
    </cfRule>
  </conditionalFormatting>
  <conditionalFormatting sqref="L2091:AB2092">
    <cfRule type="cellIs" dxfId="1" priority="1" operator="lessThan">
      <formula>1</formula>
    </cfRule>
  </conditionalFormatting>
  <conditionalFormatting sqref="E3:E577 E579:E2090">
    <cfRule type="duplicateValues" dxfId="0" priority="69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2026-08-01T06:37:20Z</dcterms:modified>
</cp:coreProperties>
</file>