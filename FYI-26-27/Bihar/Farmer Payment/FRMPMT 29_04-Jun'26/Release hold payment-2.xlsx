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"/>
    </mc:Choice>
  </mc:AlternateContent>
  <xr:revisionPtr revIDLastSave="0" documentId="8_{1917C832-0988-4141-83C1-6FD2AAB57239}" xr6:coauthVersionLast="47" xr6:coauthVersionMax="47" xr10:uidLastSave="{00000000-0000-0000-0000-000000000000}"/>
  <bookViews>
    <workbookView xWindow="-120" yWindow="-120" windowWidth="29040" windowHeight="15720" xr2:uid="{B287EE0F-D4A6-4642-8960-F03D695C295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2" l="1"/>
</calcChain>
</file>

<file path=xl/sharedStrings.xml><?xml version="1.0" encoding="utf-8"?>
<sst xmlns="http://schemas.openxmlformats.org/spreadsheetml/2006/main" count="883" uniqueCount="306">
  <si>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</si>
  <si>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</si>
  <si>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</si>
  <si>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</si>
  <si>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</si>
  <si>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</si>
  <si>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</si>
  <si>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</si>
  <si>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</si>
  <si>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</si>
  <si>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</si>
  <si>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</si>
  <si>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</si>
  <si>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</si>
  <si>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</si>
  <si>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</si>
  <si>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</si>
  <si>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</si>
  <si>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</si>
  <si>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</si>
  <si>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</si>
  <si>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</si>
  <si>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</si>
  <si>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</si>
  <si>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</si>
  <si>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</si>
  <si>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</si>
  <si>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</si>
  <si>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</si>
  <si>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</si>
  <si>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</si>
  <si>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Araria</t>
  </si>
  <si>
    <t>Gomukh Gauchhari</t>
  </si>
  <si>
    <t>MPG</t>
  </si>
  <si>
    <t>Direct</t>
  </si>
  <si>
    <t>Release2</t>
  </si>
  <si>
    <t>Letter not received / Hold by Jayant Sir</t>
  </si>
  <si>
    <t>10. 29-04 Jun</t>
  </si>
  <si>
    <t>Yes</t>
  </si>
  <si>
    <t>Teghra</t>
  </si>
  <si>
    <t>GomukhGehuni</t>
  </si>
  <si>
    <t>CO OS&gt;15 Day's</t>
  </si>
  <si>
    <t>Mukhtiyarpur</t>
  </si>
  <si>
    <t>Sahibpur Kamal</t>
  </si>
  <si>
    <t xml:space="preserve">Gomukh Mohanpur                                                                                     </t>
  </si>
  <si>
    <t>CO OS&gt;15 Day's / Hold by Jayant Sir</t>
  </si>
  <si>
    <t xml:space="preserve">Alauli </t>
  </si>
  <si>
    <t>GOMUKH CHATAR</t>
  </si>
  <si>
    <t>GOMUKH TILAK NAGAR</t>
  </si>
  <si>
    <t>GOMUKH ANANDPUR PARAS</t>
  </si>
  <si>
    <t>GOMUKH PHULTAURA</t>
  </si>
  <si>
    <t>GOMUKH PARRI</t>
  </si>
  <si>
    <t>GOMUKH BENHER</t>
  </si>
  <si>
    <t>GOMUKH LADORA</t>
  </si>
  <si>
    <t xml:space="preserve">Gomukh Hathwan </t>
  </si>
  <si>
    <t>Total:</t>
  </si>
  <si>
    <t>Gomukh Mohanpur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</si>
  <si>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</si>
  <si>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</si>
  <si>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</si>
  <si>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</si>
  <si>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</si>
  <si>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</si>
  <si>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</si>
  <si>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</si>
  <si>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</si>
  <si>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</si>
  <si>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</si>
  <si>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</si>
  <si>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</si>
  <si>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</si>
  <si>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</si>
  <si>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</si>
  <si>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</si>
  <si>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</si>
  <si>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</si>
  <si>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100700160001</t>
  </si>
  <si>
    <t>0001</t>
  </si>
  <si>
    <t>Not Available</t>
  </si>
  <si>
    <t>100700160003</t>
  </si>
  <si>
    <t>0003</t>
  </si>
  <si>
    <t xml:space="preserve">Priti Kumari </t>
  </si>
  <si>
    <t>39072084149</t>
  </si>
  <si>
    <t>SBIN0000114</t>
  </si>
  <si>
    <t xml:space="preserve">State Bank of India </t>
  </si>
  <si>
    <t>Available</t>
  </si>
  <si>
    <t>100700160005</t>
  </si>
  <si>
    <t>0005</t>
  </si>
  <si>
    <t xml:space="preserve">Anil Kumar </t>
  </si>
  <si>
    <t>42064914611</t>
  </si>
  <si>
    <t>SBIN0003790</t>
  </si>
  <si>
    <t>SBI-Kiosk Banking</t>
  </si>
  <si>
    <t>100700160007</t>
  </si>
  <si>
    <t>0007</t>
  </si>
  <si>
    <t xml:space="preserve">Punam Devi </t>
  </si>
  <si>
    <t>456302010015056</t>
  </si>
  <si>
    <t>UBIN0545635</t>
  </si>
  <si>
    <t xml:space="preserve">Union Bank Of India </t>
  </si>
  <si>
    <t>100800160001</t>
  </si>
  <si>
    <t>100800160002</t>
  </si>
  <si>
    <t>0002</t>
  </si>
  <si>
    <t xml:space="preserve">Rajeev Kumar </t>
  </si>
  <si>
    <t>13630100005393</t>
  </si>
  <si>
    <t>UCBA0001363</t>
  </si>
  <si>
    <t>Uco Bank</t>
  </si>
  <si>
    <t>100800160018</t>
  </si>
  <si>
    <t>0018</t>
  </si>
  <si>
    <t xml:space="preserve">Lalita Devi </t>
  </si>
  <si>
    <t>13630110108604</t>
  </si>
  <si>
    <t>100801190002</t>
  </si>
  <si>
    <t>Niva Kumari</t>
  </si>
  <si>
    <t>04933211041542</t>
  </si>
  <si>
    <t>UCBA0000493</t>
  </si>
  <si>
    <t xml:space="preserve">Uco Bank </t>
  </si>
  <si>
    <t>100801190003</t>
  </si>
  <si>
    <t>Ramjinish Kumar</t>
  </si>
  <si>
    <t>13003211113447</t>
  </si>
  <si>
    <t>UCBA0001300</t>
  </si>
  <si>
    <t>101100130001</t>
  </si>
  <si>
    <t>101100130002</t>
  </si>
  <si>
    <t xml:space="preserve">Amod Tanti </t>
  </si>
  <si>
    <t>33020922959</t>
  </si>
  <si>
    <t>SBIN0008134</t>
  </si>
  <si>
    <t>STATE BANK OF INDIA</t>
  </si>
  <si>
    <t>101100130006</t>
  </si>
  <si>
    <t>0006</t>
  </si>
  <si>
    <t xml:space="preserve">Rambaran Tanti </t>
  </si>
  <si>
    <t>11664774489</t>
  </si>
  <si>
    <t>101100130008</t>
  </si>
  <si>
    <t>0008</t>
  </si>
  <si>
    <t>Anjula Devi</t>
  </si>
  <si>
    <t>13763211003700</t>
  </si>
  <si>
    <t>UCBA0001376</t>
  </si>
  <si>
    <t>101100130010</t>
  </si>
  <si>
    <t>0010</t>
  </si>
  <si>
    <t xml:space="preserve">Rohit Kumar  </t>
  </si>
  <si>
    <t>37248224970</t>
  </si>
  <si>
    <t>101100130014</t>
  </si>
  <si>
    <t>0014</t>
  </si>
  <si>
    <t xml:space="preserve">Shivani kumari </t>
  </si>
  <si>
    <t>35432477132</t>
  </si>
  <si>
    <t>SBIN0005858</t>
  </si>
  <si>
    <t>State bank Of India</t>
  </si>
  <si>
    <t>101100130015</t>
  </si>
  <si>
    <t>0015</t>
  </si>
  <si>
    <t>50100575023964</t>
  </si>
  <si>
    <t>HDFC0000755</t>
  </si>
  <si>
    <t>HDFC BANK LTD</t>
  </si>
  <si>
    <t>101100980002</t>
  </si>
  <si>
    <t xml:space="preserve">Vijay Kumar </t>
  </si>
  <si>
    <t>33706585835</t>
  </si>
  <si>
    <t>SBIN0015727</t>
  </si>
  <si>
    <t>101101010001</t>
  </si>
  <si>
    <t>101101010002</t>
  </si>
  <si>
    <t xml:space="preserve">Mritunjay Sharma </t>
  </si>
  <si>
    <t>676802010004784</t>
  </si>
  <si>
    <t>UBIN0553671</t>
  </si>
  <si>
    <t xml:space="preserve">Union Bank of India </t>
  </si>
  <si>
    <t>101101010003</t>
  </si>
  <si>
    <t xml:space="preserve">Nutan Kumari </t>
  </si>
  <si>
    <t>31180100018118</t>
  </si>
  <si>
    <t>BARB0KHAGAR</t>
  </si>
  <si>
    <t>Bank Of Baroda</t>
  </si>
  <si>
    <t>101101010008</t>
  </si>
  <si>
    <t xml:space="preserve">Sita Devi </t>
  </si>
  <si>
    <t>37137734954</t>
  </si>
  <si>
    <t>101101010014</t>
  </si>
  <si>
    <t xml:space="preserve">Shabanam Kumari </t>
  </si>
  <si>
    <t>4014836371</t>
  </si>
  <si>
    <t>CBIN0280048</t>
  </si>
  <si>
    <t xml:space="preserve">Central Bank Of India </t>
  </si>
  <si>
    <t>101101010015</t>
  </si>
  <si>
    <t>Chhatrapati Sharma</t>
  </si>
  <si>
    <t>536702010016983</t>
  </si>
  <si>
    <t>101101010017</t>
  </si>
  <si>
    <t>0017</t>
  </si>
  <si>
    <t xml:space="preserve">Rameshwar Sah </t>
  </si>
  <si>
    <t>35531712095</t>
  </si>
  <si>
    <t>101101010018</t>
  </si>
  <si>
    <t xml:space="preserve">Mala Devi </t>
  </si>
  <si>
    <t>36188978772</t>
  </si>
  <si>
    <t>101101010019</t>
  </si>
  <si>
    <t>0019</t>
  </si>
  <si>
    <t xml:space="preserve">Roshanee Devi </t>
  </si>
  <si>
    <t>23988100019684</t>
  </si>
  <si>
    <t>BARB0AMBAIC</t>
  </si>
  <si>
    <t>101101010021</t>
  </si>
  <si>
    <t>0021</t>
  </si>
  <si>
    <t>Bibha Devi</t>
  </si>
  <si>
    <t>23980100009692</t>
  </si>
  <si>
    <t>101101010023</t>
  </si>
  <si>
    <t>0023</t>
  </si>
  <si>
    <t>Gneshar Sharma</t>
  </si>
  <si>
    <t>33305877787</t>
  </si>
  <si>
    <t>101101010024</t>
  </si>
  <si>
    <t>0024</t>
  </si>
  <si>
    <t>Rajeev Sharma</t>
  </si>
  <si>
    <t>23988100007240</t>
  </si>
  <si>
    <t>Bank Of Barada</t>
  </si>
  <si>
    <t>101101010025</t>
  </si>
  <si>
    <t>0025</t>
  </si>
  <si>
    <t xml:space="preserve">Pushpalata Devi </t>
  </si>
  <si>
    <t>536701010220447</t>
  </si>
  <si>
    <t>101101330002</t>
  </si>
  <si>
    <t>Dhrub Kumar</t>
  </si>
  <si>
    <t>23980100021980</t>
  </si>
  <si>
    <t>101101490002</t>
  </si>
  <si>
    <t>Sanjula Devi</t>
  </si>
  <si>
    <t>35070700037505</t>
  </si>
  <si>
    <t>PUNB0MBGB06</t>
  </si>
  <si>
    <t xml:space="preserve">Dakshin Bihar Gramin Bank </t>
  </si>
  <si>
    <t>101101490007</t>
  </si>
  <si>
    <t>101101490008</t>
  </si>
  <si>
    <t>101101490009</t>
  </si>
  <si>
    <t>0009</t>
  </si>
  <si>
    <t>105400080006</t>
  </si>
  <si>
    <t>Usha Devi</t>
  </si>
  <si>
    <t>35110131333417</t>
  </si>
  <si>
    <t>105400080007</t>
  </si>
  <si>
    <t>Nunulal Yadav</t>
  </si>
  <si>
    <t>35110700041047</t>
  </si>
  <si>
    <t>105400080008</t>
  </si>
  <si>
    <t>Paro Devi</t>
  </si>
  <si>
    <t>52880100008098</t>
  </si>
  <si>
    <t>BARB0HARPUR</t>
  </si>
  <si>
    <t>105400080009</t>
  </si>
  <si>
    <t xml:space="preserve">Santi Devi </t>
  </si>
  <si>
    <t>52880100010016</t>
  </si>
  <si>
    <t>105400080010</t>
  </si>
  <si>
    <t>Tuna Kumari</t>
  </si>
  <si>
    <t>35110131318673</t>
  </si>
  <si>
    <t>105400080011</t>
  </si>
  <si>
    <t>0011</t>
  </si>
  <si>
    <t xml:space="preserve">Indu Devi </t>
  </si>
  <si>
    <t>52880100007466</t>
  </si>
  <si>
    <t>Bank Of Broda</t>
  </si>
  <si>
    <t>105400080015</t>
  </si>
  <si>
    <t>Amerika Devi</t>
  </si>
  <si>
    <t>52880100002270</t>
  </si>
  <si>
    <t>105400080023</t>
  </si>
  <si>
    <t>Priyanka Kumari</t>
  </si>
  <si>
    <t>52888100015773</t>
  </si>
  <si>
    <t>105400080034</t>
  </si>
  <si>
    <t>0034</t>
  </si>
  <si>
    <t>Rambabu Kumar</t>
  </si>
  <si>
    <t>007010142475</t>
  </si>
  <si>
    <t>IPOS0000001</t>
  </si>
  <si>
    <t xml:space="preserve">India Post Payment Bank </t>
  </si>
  <si>
    <t>105400080039</t>
  </si>
  <si>
    <t>0039</t>
  </si>
  <si>
    <t>Rekha Devi</t>
  </si>
  <si>
    <t>35110131306157</t>
  </si>
  <si>
    <t>105400080040</t>
  </si>
  <si>
    <t>0040</t>
  </si>
  <si>
    <t xml:space="preserve">Gayatri Devi </t>
  </si>
  <si>
    <t>35110131303832</t>
  </si>
  <si>
    <t>Dakshin Bihar Gramin Bank</t>
  </si>
  <si>
    <t>105400080042</t>
  </si>
  <si>
    <t>0042</t>
  </si>
  <si>
    <t xml:space="preserve">Panalal Kumar </t>
  </si>
  <si>
    <t>35576023568</t>
  </si>
  <si>
    <t>105400160001</t>
  </si>
  <si>
    <t>105400160002</t>
  </si>
  <si>
    <t xml:space="preserve">Ritesh Kumar </t>
  </si>
  <si>
    <t>7203266518</t>
  </si>
  <si>
    <t>IDIB000K658</t>
  </si>
  <si>
    <t>Indian Bank</t>
  </si>
  <si>
    <t>105400160003</t>
  </si>
  <si>
    <t>Nitish Kumar</t>
  </si>
  <si>
    <t>7489746916</t>
  </si>
  <si>
    <t>105400160004</t>
  </si>
  <si>
    <t>0004</t>
  </si>
  <si>
    <t>Navita Kumari</t>
  </si>
  <si>
    <t>8201657131</t>
  </si>
  <si>
    <t>105400160006</t>
  </si>
  <si>
    <t>Anushtha Devi</t>
  </si>
  <si>
    <t>462410110022553</t>
  </si>
  <si>
    <t>BKID0004624</t>
  </si>
  <si>
    <t>Bank Of India</t>
  </si>
  <si>
    <t>105400160008</t>
  </si>
  <si>
    <t>Mayaram Sada</t>
  </si>
  <si>
    <t>37179020521</t>
  </si>
  <si>
    <t>SBIN0006605</t>
  </si>
  <si>
    <t>105400160011</t>
  </si>
  <si>
    <t>Ruchi Devi</t>
  </si>
  <si>
    <t>35100110041414</t>
  </si>
  <si>
    <t>105400160015</t>
  </si>
  <si>
    <t xml:space="preserve">Dablu Rajak </t>
  </si>
  <si>
    <t>36528885294</t>
  </si>
  <si>
    <t>SBIN0006015</t>
  </si>
  <si>
    <t>105400160020</t>
  </si>
  <si>
    <t>0020</t>
  </si>
  <si>
    <t>Runa Devi</t>
  </si>
  <si>
    <t>20395278863</t>
  </si>
  <si>
    <t>SBIN0006609</t>
  </si>
  <si>
    <t>105400170002</t>
  </si>
  <si>
    <t>Manish Kumar</t>
  </si>
  <si>
    <t>44160691188</t>
  </si>
  <si>
    <t>105400170004</t>
  </si>
  <si>
    <t>Bhukhili Devi</t>
  </si>
  <si>
    <t>52888100011484</t>
  </si>
  <si>
    <t>105400460002</t>
  </si>
  <si>
    <t xml:space="preserve">Pravin Kumar </t>
  </si>
  <si>
    <t>6642001700005276</t>
  </si>
  <si>
    <t>PUNB0664200</t>
  </si>
  <si>
    <t>Punjab National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</si>
</sst>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7" fontId="0" fillId="0" borderId="0" xfId="0" applyNumberFormat="1"/>
  </cellXfs>
  <cellStyles count="6">
    <cellStyle name="Comma" xfId="1" builtinId="3"/>
    <cellStyle name="Comma 2" xfId="4" xr:uid="{B07D8319-148B-49BC-9B80-EA38C7B1A675}"/>
    <cellStyle name="Normal" xfId="0" builtinId="0"/>
    <cellStyle name="Normal 2" xfId="5" xr:uid="{B4C2B026-2634-4814-9BA6-BF8BA4BF8607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D131-BBB8-4EFA-8026-A743F3F8B6B1}">
  <dimension ref="A1:AD14"/>
  <sheetViews>
    <sheetView tabSelected="1" workbookViewId="0">
      <selection activeCell="M24" sqref="M24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6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34.42578125" bestFit="1" customWidth="1"/>
    <col min="14" max="14" width="12.140625" bestFit="1" customWidth="1"/>
    <col min="15" max="15" width="4" bestFit="1" customWidth="1"/>
    <col min="17" max="17" width="7.5703125" bestFit="1" customWidth="1"/>
    <col min="18" max="19" width="10" bestFit="1" customWidth="1"/>
    <col min="20" max="20" width="9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1007</v>
      </c>
      <c r="B2" s="13" t="s">
        <v>31</v>
      </c>
      <c r="C2" s="14">
        <v>10070016</v>
      </c>
      <c r="D2" s="15" t="s">
        <v>32</v>
      </c>
      <c r="E2" s="16" t="s">
        <v>33</v>
      </c>
      <c r="F2" s="16" t="s">
        <v>34</v>
      </c>
      <c r="G2" s="17">
        <v>293.90000000000003</v>
      </c>
      <c r="H2" s="17">
        <v>11817.627630076498</v>
      </c>
      <c r="I2" s="18">
        <v>11480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 t="s">
        <v>38</v>
      </c>
      <c r="P2" s="23">
        <v>-5.3807498077546742E-2</v>
      </c>
      <c r="Q2" s="24">
        <v>4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</row>
    <row r="3" spans="1:30" x14ac:dyDescent="0.25">
      <c r="A3" s="12">
        <v>1008</v>
      </c>
      <c r="B3" s="13" t="s">
        <v>39</v>
      </c>
      <c r="C3" s="14">
        <v>10080016</v>
      </c>
      <c r="D3" s="15" t="s">
        <v>40</v>
      </c>
      <c r="E3" s="16" t="s">
        <v>33</v>
      </c>
      <c r="F3" s="16" t="s">
        <v>34</v>
      </c>
      <c r="G3" s="17">
        <v>45.85</v>
      </c>
      <c r="H3" s="17">
        <v>1739.4777535770002</v>
      </c>
      <c r="I3" s="18">
        <v>1221</v>
      </c>
      <c r="J3" s="18">
        <v>0</v>
      </c>
      <c r="K3" s="18">
        <v>0</v>
      </c>
      <c r="L3" s="19" t="s">
        <v>35</v>
      </c>
      <c r="M3" s="20" t="s">
        <v>41</v>
      </c>
      <c r="N3" s="21" t="s">
        <v>37</v>
      </c>
      <c r="O3" s="22">
        <v>0</v>
      </c>
      <c r="P3" s="23">
        <v>-5.5140235224485025E-4</v>
      </c>
      <c r="Q3" s="24">
        <v>3</v>
      </c>
      <c r="R3" s="25">
        <v>0</v>
      </c>
      <c r="S3" s="25">
        <v>0</v>
      </c>
      <c r="T3" s="26">
        <v>0</v>
      </c>
      <c r="U3" s="27"/>
      <c r="V3" s="25">
        <v>500</v>
      </c>
      <c r="W3" s="25">
        <v>0</v>
      </c>
      <c r="X3" s="28">
        <v>0</v>
      </c>
      <c r="Y3" s="29">
        <v>500</v>
      </c>
      <c r="Z3" s="28">
        <v>500</v>
      </c>
      <c r="AA3" s="26">
        <v>0</v>
      </c>
      <c r="AB3" s="26">
        <v>0</v>
      </c>
      <c r="AC3" s="30">
        <v>46173</v>
      </c>
      <c r="AD3" s="31"/>
    </row>
    <row r="4" spans="1:30" x14ac:dyDescent="0.25">
      <c r="A4" s="12">
        <v>1008</v>
      </c>
      <c r="B4" s="13" t="s">
        <v>39</v>
      </c>
      <c r="C4" s="14">
        <v>10080119</v>
      </c>
      <c r="D4" s="15" t="s">
        <v>42</v>
      </c>
      <c r="E4" s="16" t="s">
        <v>33</v>
      </c>
      <c r="F4" s="16" t="s">
        <v>34</v>
      </c>
      <c r="G4" s="17">
        <v>360.59999999999997</v>
      </c>
      <c r="H4" s="17">
        <v>14221.10795827875</v>
      </c>
      <c r="I4" s="18">
        <v>14221</v>
      </c>
      <c r="J4" s="18">
        <v>0</v>
      </c>
      <c r="K4" s="18">
        <v>0</v>
      </c>
      <c r="L4" s="19" t="s">
        <v>35</v>
      </c>
      <c r="M4" s="20" t="s">
        <v>41</v>
      </c>
      <c r="N4" s="21" t="s">
        <v>37</v>
      </c>
      <c r="O4" s="22">
        <v>0</v>
      </c>
      <c r="P4" s="23">
        <v>-0.21613844134927773</v>
      </c>
      <c r="Q4" s="24">
        <v>2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46173</v>
      </c>
    </row>
    <row r="5" spans="1:30" x14ac:dyDescent="0.25">
      <c r="A5" s="12">
        <v>1011</v>
      </c>
      <c r="B5" s="13" t="s">
        <v>43</v>
      </c>
      <c r="C5" s="14">
        <v>10110013</v>
      </c>
      <c r="D5" s="15" t="s">
        <v>56</v>
      </c>
      <c r="E5" s="16" t="s">
        <v>33</v>
      </c>
      <c r="F5" s="16" t="s">
        <v>34</v>
      </c>
      <c r="G5" s="17">
        <v>1041</v>
      </c>
      <c r="H5" s="17">
        <v>39967.732820270998</v>
      </c>
      <c r="I5" s="18">
        <v>38610</v>
      </c>
      <c r="J5" s="18">
        <v>0</v>
      </c>
      <c r="K5" s="18">
        <v>0</v>
      </c>
      <c r="L5" s="19" t="s">
        <v>35</v>
      </c>
      <c r="M5" s="20" t="s">
        <v>45</v>
      </c>
      <c r="N5" s="21" t="s">
        <v>37</v>
      </c>
      <c r="O5" s="22" t="s">
        <v>38</v>
      </c>
      <c r="P5" s="23">
        <v>-3.4899252894364068E-2</v>
      </c>
      <c r="Q5" s="24">
        <v>7</v>
      </c>
      <c r="R5" s="25">
        <v>1350</v>
      </c>
      <c r="S5" s="25">
        <v>0</v>
      </c>
      <c r="T5" s="26">
        <v>1350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46173</v>
      </c>
    </row>
    <row r="6" spans="1:30" x14ac:dyDescent="0.25">
      <c r="A6" s="12">
        <v>1054</v>
      </c>
      <c r="B6" s="13" t="s">
        <v>46</v>
      </c>
      <c r="C6" s="14">
        <v>10110098</v>
      </c>
      <c r="D6" s="15" t="s">
        <v>47</v>
      </c>
      <c r="E6" s="16" t="s">
        <v>33</v>
      </c>
      <c r="F6" s="16" t="s">
        <v>34</v>
      </c>
      <c r="G6" s="17">
        <v>235.5</v>
      </c>
      <c r="H6" s="17">
        <v>9664.5569652000013</v>
      </c>
      <c r="I6" s="18">
        <v>6465</v>
      </c>
      <c r="J6" s="18">
        <v>0</v>
      </c>
      <c r="K6" s="18">
        <v>0</v>
      </c>
      <c r="L6" s="19" t="s">
        <v>35</v>
      </c>
      <c r="M6" s="20" t="s">
        <v>45</v>
      </c>
      <c r="N6" s="21" t="s">
        <v>37</v>
      </c>
      <c r="O6" s="22" t="s">
        <v>38</v>
      </c>
      <c r="P6" s="23">
        <v>-0.10932043255250602</v>
      </c>
      <c r="Q6" s="24">
        <v>1</v>
      </c>
      <c r="R6" s="25">
        <v>2700</v>
      </c>
      <c r="S6" s="25">
        <v>2700</v>
      </c>
      <c r="T6" s="26">
        <v>0</v>
      </c>
      <c r="U6" s="27"/>
      <c r="V6" s="25">
        <v>500</v>
      </c>
      <c r="W6" s="25">
        <v>0</v>
      </c>
      <c r="X6" s="28">
        <v>0</v>
      </c>
      <c r="Y6" s="29">
        <v>500</v>
      </c>
      <c r="Z6" s="28">
        <v>500</v>
      </c>
      <c r="AA6" s="26">
        <v>0</v>
      </c>
      <c r="AB6" s="26">
        <v>0</v>
      </c>
      <c r="AC6" s="30">
        <v>46173</v>
      </c>
    </row>
    <row r="7" spans="1:30" x14ac:dyDescent="0.25">
      <c r="A7" s="12">
        <v>1054</v>
      </c>
      <c r="B7" s="13" t="s">
        <v>46</v>
      </c>
      <c r="C7" s="14">
        <v>10110101</v>
      </c>
      <c r="D7" s="15" t="s">
        <v>48</v>
      </c>
      <c r="E7" s="16" t="s">
        <v>33</v>
      </c>
      <c r="F7" s="16" t="s">
        <v>34</v>
      </c>
      <c r="G7" s="17">
        <v>190.09999999999997</v>
      </c>
      <c r="H7" s="17">
        <v>8387.6807842996004</v>
      </c>
      <c r="I7" s="18">
        <v>5886</v>
      </c>
      <c r="J7" s="18">
        <v>0</v>
      </c>
      <c r="K7" s="18">
        <v>0</v>
      </c>
      <c r="L7" s="19" t="s">
        <v>35</v>
      </c>
      <c r="M7" s="20" t="s">
        <v>41</v>
      </c>
      <c r="N7" s="21" t="s">
        <v>37</v>
      </c>
      <c r="O7" s="22" t="s">
        <v>38</v>
      </c>
      <c r="P7" s="23">
        <v>-0.48598876136135744</v>
      </c>
      <c r="Q7" s="24">
        <v>13</v>
      </c>
      <c r="R7" s="25">
        <v>2493</v>
      </c>
      <c r="S7" s="25">
        <v>2493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46173</v>
      </c>
    </row>
    <row r="8" spans="1:30" x14ac:dyDescent="0.25">
      <c r="A8" s="12">
        <v>1054</v>
      </c>
      <c r="B8" s="13" t="s">
        <v>46</v>
      </c>
      <c r="C8" s="14">
        <v>10110133</v>
      </c>
      <c r="D8" s="15" t="s">
        <v>49</v>
      </c>
      <c r="E8" s="16" t="s">
        <v>33</v>
      </c>
      <c r="F8" s="16" t="s">
        <v>34</v>
      </c>
      <c r="G8" s="17">
        <v>2423.2999999999997</v>
      </c>
      <c r="H8" s="17">
        <v>92556.141181240513</v>
      </c>
      <c r="I8" s="18">
        <v>91245</v>
      </c>
      <c r="J8" s="18">
        <v>0</v>
      </c>
      <c r="K8" s="18">
        <v>0</v>
      </c>
      <c r="L8" s="19" t="s">
        <v>35</v>
      </c>
      <c r="M8" s="20" t="s">
        <v>45</v>
      </c>
      <c r="N8" s="21" t="s">
        <v>37</v>
      </c>
      <c r="O8" s="22" t="s">
        <v>38</v>
      </c>
      <c r="P8" s="23">
        <v>1.2574835996807538E-4</v>
      </c>
      <c r="Q8" s="24">
        <v>1</v>
      </c>
      <c r="R8" s="25">
        <v>1300</v>
      </c>
      <c r="S8" s="25">
        <v>1300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46173</v>
      </c>
    </row>
    <row r="9" spans="1:30" x14ac:dyDescent="0.25">
      <c r="A9" s="12">
        <v>1054</v>
      </c>
      <c r="B9" s="13" t="s">
        <v>46</v>
      </c>
      <c r="C9" s="14">
        <v>10110149</v>
      </c>
      <c r="D9" s="15" t="s">
        <v>50</v>
      </c>
      <c r="E9" s="16" t="s">
        <v>33</v>
      </c>
      <c r="F9" s="16" t="s">
        <v>34</v>
      </c>
      <c r="G9" s="17">
        <v>342.8</v>
      </c>
      <c r="H9" s="17">
        <v>13500.311914780501</v>
      </c>
      <c r="I9" s="18">
        <v>0</v>
      </c>
      <c r="J9" s="18">
        <v>6750</v>
      </c>
      <c r="K9" s="18">
        <v>0</v>
      </c>
      <c r="L9" s="19" t="s">
        <v>35</v>
      </c>
      <c r="M9" s="20" t="s">
        <v>45</v>
      </c>
      <c r="N9" s="21" t="s">
        <v>37</v>
      </c>
      <c r="O9" s="22" t="s">
        <v>38</v>
      </c>
      <c r="P9" s="23">
        <v>-0.16888763505431359</v>
      </c>
      <c r="Q9" s="24">
        <v>4</v>
      </c>
      <c r="R9" s="25">
        <v>6750</v>
      </c>
      <c r="S9" s="25">
        <v>6750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46173</v>
      </c>
    </row>
    <row r="10" spans="1:30" x14ac:dyDescent="0.25">
      <c r="A10" s="12">
        <v>1054</v>
      </c>
      <c r="B10" s="13" t="s">
        <v>46</v>
      </c>
      <c r="C10" s="14">
        <v>10540008</v>
      </c>
      <c r="D10" s="15" t="s">
        <v>51</v>
      </c>
      <c r="E10" s="16" t="s">
        <v>33</v>
      </c>
      <c r="F10" s="16" t="s">
        <v>34</v>
      </c>
      <c r="G10" s="17">
        <v>268.20000000000005</v>
      </c>
      <c r="H10" s="17">
        <v>12698.791417035598</v>
      </c>
      <c r="I10" s="18">
        <v>9499</v>
      </c>
      <c r="J10" s="18">
        <v>0</v>
      </c>
      <c r="K10" s="18">
        <v>0</v>
      </c>
      <c r="L10" s="19" t="s">
        <v>35</v>
      </c>
      <c r="M10" s="20" t="s">
        <v>41</v>
      </c>
      <c r="N10" s="21" t="s">
        <v>37</v>
      </c>
      <c r="O10" s="22" t="s">
        <v>38</v>
      </c>
      <c r="P10" s="23">
        <v>-8.8817751389808922E-2</v>
      </c>
      <c r="Q10" s="24">
        <v>12</v>
      </c>
      <c r="R10" s="25">
        <v>2700</v>
      </c>
      <c r="S10" s="25">
        <v>2700</v>
      </c>
      <c r="T10" s="26">
        <v>0</v>
      </c>
      <c r="U10" s="27"/>
      <c r="V10" s="25">
        <v>500</v>
      </c>
      <c r="W10" s="25">
        <v>0</v>
      </c>
      <c r="X10" s="28">
        <v>0</v>
      </c>
      <c r="Y10" s="29">
        <v>500</v>
      </c>
      <c r="Z10" s="28">
        <v>500</v>
      </c>
      <c r="AA10" s="26">
        <v>0</v>
      </c>
      <c r="AB10" s="26">
        <v>0</v>
      </c>
      <c r="AC10" s="30">
        <v>46173</v>
      </c>
    </row>
    <row r="11" spans="1:30" x14ac:dyDescent="0.25">
      <c r="A11" s="12">
        <v>1054</v>
      </c>
      <c r="B11" s="13" t="s">
        <v>46</v>
      </c>
      <c r="C11" s="14">
        <v>10540016</v>
      </c>
      <c r="D11" s="15" t="s">
        <v>52</v>
      </c>
      <c r="E11" s="16" t="s">
        <v>33</v>
      </c>
      <c r="F11" s="16" t="s">
        <v>34</v>
      </c>
      <c r="G11" s="17">
        <v>398.3</v>
      </c>
      <c r="H11" s="17">
        <v>22092.496503393104</v>
      </c>
      <c r="I11" s="18">
        <v>15269</v>
      </c>
      <c r="J11" s="18">
        <v>0</v>
      </c>
      <c r="K11" s="18">
        <v>0</v>
      </c>
      <c r="L11" s="19" t="s">
        <v>35</v>
      </c>
      <c r="M11" s="20" t="s">
        <v>45</v>
      </c>
      <c r="N11" s="21" t="s">
        <v>37</v>
      </c>
      <c r="O11" s="22" t="s">
        <v>38</v>
      </c>
      <c r="P11" s="23">
        <v>-1.9904622964593059E-4</v>
      </c>
      <c r="Q11" s="24">
        <v>9</v>
      </c>
      <c r="R11" s="25">
        <v>6750</v>
      </c>
      <c r="S11" s="25">
        <v>6750</v>
      </c>
      <c r="T11" s="26">
        <v>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46173</v>
      </c>
    </row>
    <row r="12" spans="1:30" x14ac:dyDescent="0.25">
      <c r="A12" s="12">
        <v>1054</v>
      </c>
      <c r="B12" s="13" t="s">
        <v>46</v>
      </c>
      <c r="C12" s="14">
        <v>10540017</v>
      </c>
      <c r="D12" s="15" t="s">
        <v>53</v>
      </c>
      <c r="E12" s="16" t="s">
        <v>33</v>
      </c>
      <c r="F12" s="16" t="s">
        <v>34</v>
      </c>
      <c r="G12" s="17">
        <v>1061.1999999999998</v>
      </c>
      <c r="H12" s="17">
        <v>40608.072834876002</v>
      </c>
      <c r="I12" s="18">
        <v>37908</v>
      </c>
      <c r="J12" s="18">
        <v>0</v>
      </c>
      <c r="K12" s="18">
        <v>0</v>
      </c>
      <c r="L12" s="19" t="s">
        <v>35</v>
      </c>
      <c r="M12" s="20" t="s">
        <v>45</v>
      </c>
      <c r="N12" s="21" t="s">
        <v>37</v>
      </c>
      <c r="O12" s="22" t="s">
        <v>38</v>
      </c>
      <c r="P12" s="23">
        <v>-2.7122945214909881E-2</v>
      </c>
      <c r="Q12" s="24">
        <v>2</v>
      </c>
      <c r="R12" s="25">
        <v>2700</v>
      </c>
      <c r="S12" s="25">
        <v>2700</v>
      </c>
      <c r="T12" s="26">
        <v>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46173</v>
      </c>
    </row>
    <row r="13" spans="1:30" x14ac:dyDescent="0.25">
      <c r="A13" s="12">
        <v>1054</v>
      </c>
      <c r="B13" s="13" t="s">
        <v>46</v>
      </c>
      <c r="C13" s="14">
        <v>10540046</v>
      </c>
      <c r="D13" s="15" t="s">
        <v>54</v>
      </c>
      <c r="E13" s="16" t="s">
        <v>33</v>
      </c>
      <c r="F13" s="16" t="s">
        <v>34</v>
      </c>
      <c r="G13" s="17">
        <v>558</v>
      </c>
      <c r="H13" s="17">
        <v>25614.338345398901</v>
      </c>
      <c r="I13" s="18">
        <v>14814</v>
      </c>
      <c r="J13" s="18">
        <v>0</v>
      </c>
      <c r="K13" s="18">
        <v>0</v>
      </c>
      <c r="L13" s="19" t="s">
        <v>35</v>
      </c>
      <c r="M13" s="20" t="s">
        <v>45</v>
      </c>
      <c r="N13" s="21" t="s">
        <v>37</v>
      </c>
      <c r="O13" s="22" t="s">
        <v>38</v>
      </c>
      <c r="P13" s="23">
        <v>-0.49895361235814006</v>
      </c>
      <c r="Q13" s="24">
        <v>1</v>
      </c>
      <c r="R13" s="25">
        <v>10800</v>
      </c>
      <c r="S13" s="25">
        <v>10800</v>
      </c>
      <c r="T13" s="26">
        <v>0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46173</v>
      </c>
    </row>
    <row r="14" spans="1:30" x14ac:dyDescent="0.25">
      <c r="A14" s="32"/>
      <c r="B14" s="33"/>
      <c r="C14" s="32"/>
      <c r="D14" s="32"/>
      <c r="E14" s="32" t="s">
        <v>55</v>
      </c>
      <c r="F14" s="32">
        <v>983</v>
      </c>
      <c r="G14" s="34">
        <v>7218.75</v>
      </c>
      <c r="H14" s="34">
        <v>292868.33610842744</v>
      </c>
      <c r="I14" s="35">
        <v>246618</v>
      </c>
      <c r="J14" s="35">
        <v>6750</v>
      </c>
      <c r="K14" s="35">
        <v>0</v>
      </c>
      <c r="L14" s="19">
        <v>12</v>
      </c>
      <c r="M14" s="14"/>
      <c r="N14" s="27"/>
      <c r="O14" s="6"/>
      <c r="P14" s="36"/>
      <c r="Q14" s="37">
        <v>5630</v>
      </c>
      <c r="R14" s="26">
        <v>37543</v>
      </c>
      <c r="S14" s="26">
        <v>91910</v>
      </c>
      <c r="T14" s="26">
        <v>1350</v>
      </c>
      <c r="U14" s="27"/>
      <c r="V14" s="25">
        <v>1500</v>
      </c>
      <c r="W14" s="25">
        <v>0</v>
      </c>
      <c r="X14" s="38">
        <v>0</v>
      </c>
      <c r="Y14" s="25">
        <v>1500</v>
      </c>
      <c r="Z14" s="25">
        <v>1500</v>
      </c>
      <c r="AA14" s="25">
        <v>0</v>
      </c>
      <c r="AB14" s="25">
        <v>0</v>
      </c>
      <c r="AC14" s="27"/>
    </row>
  </sheetData>
  <conditionalFormatting sqref="C2:C13">
    <cfRule type="duplicateValues" dxfId="16" priority="9"/>
    <cfRule type="duplicateValues" dxfId="15" priority="10"/>
    <cfRule type="duplicateValues" dxfId="14" priority="11"/>
  </conditionalFormatting>
  <conditionalFormatting sqref="C14 C1">
    <cfRule type="duplicateValues" dxfId="13" priority="12" stopIfTrue="1"/>
  </conditionalFormatting>
  <conditionalFormatting sqref="D14">
    <cfRule type="duplicateValues" dxfId="12" priority="5" stopIfTrue="1"/>
  </conditionalFormatting>
  <conditionalFormatting sqref="E14">
    <cfRule type="duplicateValues" dxfId="11" priority="4" stopIfTrue="1"/>
  </conditionalFormatting>
  <conditionalFormatting sqref="F2:F13">
    <cfRule type="containsText" dxfId="10" priority="7" operator="containsText" text="Indirect">
      <formula>NOT(ISERROR(SEARCH("Indirect",F2)))</formula>
    </cfRule>
  </conditionalFormatting>
  <conditionalFormatting sqref="F14">
    <cfRule type="duplicateValues" dxfId="9" priority="3" stopIfTrue="1"/>
  </conditionalFormatting>
  <conditionalFormatting sqref="G14">
    <cfRule type="duplicateValues" dxfId="8" priority="2" stopIfTrue="1"/>
  </conditionalFormatting>
  <conditionalFormatting sqref="H14">
    <cfRule type="duplicateValues" dxfId="7" priority="1" stopIfTrue="1"/>
  </conditionalFormatting>
  <conditionalFormatting sqref="I2:K13">
    <cfRule type="cellIs" dxfId="6" priority="6" operator="lessThan">
      <formula>-1</formula>
    </cfRule>
  </conditionalFormatting>
  <conditionalFormatting sqref="AA2:AB13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D2E2-0D00-44F7-B8CD-25A0B54CAEE6}">
  <dimension ref="A1:AC61"/>
  <sheetViews>
    <sheetView topLeftCell="A20" zoomScale="86" workbookViewId="0">
      <selection activeCell="P62" sqref="P62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8.28515625" customWidth="1"/>
    <col min="5" max="5" width="9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42578125" bestFit="1" customWidth="1"/>
    <col min="18" max="18" width="19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9" t="s">
        <v>57</v>
      </c>
      <c r="B1" s="39" t="s">
        <v>1</v>
      </c>
      <c r="C1" s="39" t="s">
        <v>58</v>
      </c>
      <c r="D1" s="39" t="s">
        <v>59</v>
      </c>
      <c r="E1" s="40" t="s">
        <v>60</v>
      </c>
      <c r="F1" s="41" t="s">
        <v>61</v>
      </c>
      <c r="G1" s="42" t="s">
        <v>62</v>
      </c>
      <c r="H1" s="41" t="s">
        <v>63</v>
      </c>
      <c r="I1" s="41" t="s">
        <v>64</v>
      </c>
      <c r="J1" s="43" t="s">
        <v>8</v>
      </c>
      <c r="K1" s="43" t="s">
        <v>65</v>
      </c>
      <c r="L1" s="43" t="s">
        <v>66</v>
      </c>
      <c r="M1" s="43" t="s">
        <v>9</v>
      </c>
      <c r="N1" s="43" t="s">
        <v>10</v>
      </c>
      <c r="O1" s="43" t="s">
        <v>14</v>
      </c>
      <c r="P1" s="43" t="s">
        <v>67</v>
      </c>
      <c r="Q1" s="44" t="s">
        <v>68</v>
      </c>
      <c r="R1" s="45" t="s">
        <v>69</v>
      </c>
      <c r="S1" s="45" t="s">
        <v>70</v>
      </c>
      <c r="T1" s="45" t="s">
        <v>71</v>
      </c>
      <c r="U1" s="45" t="s">
        <v>72</v>
      </c>
      <c r="V1" s="46" t="s">
        <v>73</v>
      </c>
      <c r="W1" s="47" t="s">
        <v>16</v>
      </c>
      <c r="X1" s="48"/>
      <c r="Y1" s="49" t="s">
        <v>74</v>
      </c>
      <c r="AC1" t="s">
        <v>75</v>
      </c>
    </row>
    <row r="2" spans="1:29" x14ac:dyDescent="0.25">
      <c r="A2" t="s">
        <v>76</v>
      </c>
      <c r="B2" t="s">
        <v>31</v>
      </c>
      <c r="C2" s="50" t="s">
        <v>31</v>
      </c>
      <c r="D2" t="s">
        <v>32</v>
      </c>
      <c r="E2" s="50">
        <v>10070016</v>
      </c>
      <c r="F2" t="s">
        <v>77</v>
      </c>
      <c r="G2" s="50">
        <v>14</v>
      </c>
      <c r="H2" s="51">
        <v>8.370000000000001</v>
      </c>
      <c r="I2" s="52">
        <v>337.21810008299997</v>
      </c>
      <c r="J2" s="53">
        <v>0</v>
      </c>
      <c r="K2" s="53">
        <v>337.21810008299997</v>
      </c>
      <c r="L2" s="53">
        <v>0</v>
      </c>
      <c r="M2" s="51">
        <v>0</v>
      </c>
      <c r="N2" s="51">
        <v>0</v>
      </c>
      <c r="O2" s="53" t="s">
        <v>35</v>
      </c>
      <c r="P2" s="53">
        <v>0</v>
      </c>
      <c r="Q2" s="50" t="s">
        <v>34</v>
      </c>
      <c r="R2">
        <v>0</v>
      </c>
      <c r="S2">
        <v>0</v>
      </c>
      <c r="T2">
        <v>0</v>
      </c>
      <c r="U2">
        <v>0</v>
      </c>
      <c r="V2" t="s">
        <v>78</v>
      </c>
      <c r="W2" t="s">
        <v>37</v>
      </c>
      <c r="Y2" s="54">
        <v>0</v>
      </c>
    </row>
    <row r="3" spans="1:29" x14ac:dyDescent="0.25">
      <c r="A3" t="s">
        <v>79</v>
      </c>
      <c r="B3" t="s">
        <v>31</v>
      </c>
      <c r="C3" s="50" t="s">
        <v>31</v>
      </c>
      <c r="D3" t="s">
        <v>32</v>
      </c>
      <c r="E3" s="50">
        <v>10070016</v>
      </c>
      <c r="F3" t="s">
        <v>80</v>
      </c>
      <c r="G3" s="50">
        <v>14</v>
      </c>
      <c r="H3" s="51">
        <v>105.53</v>
      </c>
      <c r="I3" s="52">
        <v>4303.5203133660007</v>
      </c>
      <c r="J3" s="53">
        <v>0</v>
      </c>
      <c r="K3" s="53">
        <v>0</v>
      </c>
      <c r="L3" s="53">
        <v>637</v>
      </c>
      <c r="M3" s="51">
        <v>0</v>
      </c>
      <c r="N3" s="51">
        <v>0</v>
      </c>
      <c r="O3" s="53" t="s">
        <v>35</v>
      </c>
      <c r="P3" s="53">
        <v>3667</v>
      </c>
      <c r="Q3" s="50" t="s">
        <v>34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37</v>
      </c>
      <c r="Y3" s="54">
        <v>28.546045857634805</v>
      </c>
    </row>
    <row r="4" spans="1:29" x14ac:dyDescent="0.25">
      <c r="A4" t="s">
        <v>86</v>
      </c>
      <c r="B4" t="s">
        <v>31</v>
      </c>
      <c r="C4" s="50" t="s">
        <v>31</v>
      </c>
      <c r="D4" t="s">
        <v>32</v>
      </c>
      <c r="E4" s="50">
        <v>10070016</v>
      </c>
      <c r="F4" t="s">
        <v>87</v>
      </c>
      <c r="G4" s="50">
        <v>13</v>
      </c>
      <c r="H4" s="51">
        <v>118.58000000000001</v>
      </c>
      <c r="I4" s="52">
        <v>4818.9319134630014</v>
      </c>
      <c r="J4" s="53">
        <v>0</v>
      </c>
      <c r="K4" s="53">
        <v>0</v>
      </c>
      <c r="L4" s="53">
        <v>0</v>
      </c>
      <c r="M4" s="51">
        <v>0</v>
      </c>
      <c r="N4" s="51">
        <v>0</v>
      </c>
      <c r="O4" s="53" t="s">
        <v>35</v>
      </c>
      <c r="P4" s="53">
        <v>4819</v>
      </c>
      <c r="Q4" s="50" t="s">
        <v>34</v>
      </c>
      <c r="R4" t="s">
        <v>88</v>
      </c>
      <c r="S4" t="s">
        <v>89</v>
      </c>
      <c r="T4" t="s">
        <v>90</v>
      </c>
      <c r="U4" t="s">
        <v>91</v>
      </c>
      <c r="V4" t="s">
        <v>85</v>
      </c>
      <c r="W4" t="s">
        <v>37</v>
      </c>
      <c r="Y4" s="54">
        <v>26.415126865836992</v>
      </c>
    </row>
    <row r="5" spans="1:29" x14ac:dyDescent="0.25">
      <c r="A5" t="s">
        <v>92</v>
      </c>
      <c r="B5" t="s">
        <v>31</v>
      </c>
      <c r="C5" s="50" t="s">
        <v>31</v>
      </c>
      <c r="D5" t="s">
        <v>32</v>
      </c>
      <c r="E5" s="50">
        <v>10070016</v>
      </c>
      <c r="F5" t="s">
        <v>93</v>
      </c>
      <c r="G5" s="50">
        <v>7</v>
      </c>
      <c r="H5" s="51">
        <v>72.930000000000007</v>
      </c>
      <c r="I5" s="52">
        <v>2993.8342791510004</v>
      </c>
      <c r="J5" s="53">
        <v>0</v>
      </c>
      <c r="K5" s="53">
        <v>0</v>
      </c>
      <c r="L5" s="53">
        <v>0</v>
      </c>
      <c r="M5" s="51">
        <v>0</v>
      </c>
      <c r="N5" s="51">
        <v>0</v>
      </c>
      <c r="O5" s="53" t="s">
        <v>35</v>
      </c>
      <c r="P5" s="53">
        <v>2994</v>
      </c>
      <c r="Q5" s="50" t="s">
        <v>34</v>
      </c>
      <c r="R5" t="s">
        <v>94</v>
      </c>
      <c r="S5" t="s">
        <v>95</v>
      </c>
      <c r="T5" t="s">
        <v>96</v>
      </c>
      <c r="U5" t="s">
        <v>97</v>
      </c>
      <c r="V5" t="s">
        <v>85</v>
      </c>
      <c r="W5" t="s">
        <v>37</v>
      </c>
      <c r="Y5" s="54">
        <v>14.367777289220486</v>
      </c>
    </row>
    <row r="6" spans="1:29" x14ac:dyDescent="0.25">
      <c r="A6" t="s">
        <v>98</v>
      </c>
      <c r="B6" t="s">
        <v>39</v>
      </c>
      <c r="C6" s="50" t="s">
        <v>39</v>
      </c>
      <c r="D6" t="s">
        <v>40</v>
      </c>
      <c r="E6" s="50">
        <v>10080016</v>
      </c>
      <c r="F6" t="s">
        <v>77</v>
      </c>
      <c r="G6" s="50">
        <v>5</v>
      </c>
      <c r="H6" s="51">
        <v>0.5</v>
      </c>
      <c r="I6" s="52">
        <v>17.976030579000003</v>
      </c>
      <c r="J6" s="53">
        <v>0</v>
      </c>
      <c r="K6" s="53">
        <v>17.976030579000003</v>
      </c>
      <c r="L6" s="53">
        <v>0</v>
      </c>
      <c r="M6" s="51">
        <v>0</v>
      </c>
      <c r="N6" s="51">
        <v>0</v>
      </c>
      <c r="O6" s="53" t="s">
        <v>35</v>
      </c>
      <c r="P6" s="53">
        <v>0</v>
      </c>
      <c r="Q6" s="50" t="s">
        <v>34</v>
      </c>
      <c r="R6">
        <v>0</v>
      </c>
      <c r="S6">
        <v>0</v>
      </c>
      <c r="T6">
        <v>0</v>
      </c>
      <c r="U6">
        <v>0</v>
      </c>
      <c r="V6" t="s">
        <v>78</v>
      </c>
      <c r="W6" t="s">
        <v>37</v>
      </c>
      <c r="X6" s="55"/>
      <c r="Y6" s="54">
        <v>0</v>
      </c>
    </row>
    <row r="7" spans="1:29" x14ac:dyDescent="0.25">
      <c r="A7" t="s">
        <v>99</v>
      </c>
      <c r="B7" t="s">
        <v>39</v>
      </c>
      <c r="C7" s="50" t="s">
        <v>39</v>
      </c>
      <c r="D7" t="s">
        <v>40</v>
      </c>
      <c r="E7" s="50">
        <v>10080016</v>
      </c>
      <c r="F7" t="s">
        <v>100</v>
      </c>
      <c r="G7" s="50">
        <v>5</v>
      </c>
      <c r="H7" s="51">
        <v>7.5</v>
      </c>
      <c r="I7" s="52">
        <v>281.07186483300001</v>
      </c>
      <c r="J7" s="53">
        <v>0</v>
      </c>
      <c r="K7" s="53">
        <v>0</v>
      </c>
      <c r="L7" s="53">
        <v>1</v>
      </c>
      <c r="M7" s="51">
        <v>0</v>
      </c>
      <c r="N7" s="51">
        <v>280</v>
      </c>
      <c r="O7" s="53" t="s">
        <v>35</v>
      </c>
      <c r="P7" s="53">
        <v>0</v>
      </c>
      <c r="Q7" s="50" t="s">
        <v>34</v>
      </c>
      <c r="R7" t="s">
        <v>101</v>
      </c>
      <c r="S7" t="s">
        <v>102</v>
      </c>
      <c r="T7" t="s">
        <v>103</v>
      </c>
      <c r="U7" t="s">
        <v>104</v>
      </c>
      <c r="V7" t="s">
        <v>85</v>
      </c>
      <c r="W7" t="s">
        <v>37</v>
      </c>
      <c r="Y7" s="54">
        <v>9.3690621611000005</v>
      </c>
    </row>
    <row r="8" spans="1:29" x14ac:dyDescent="0.25">
      <c r="A8" t="s">
        <v>105</v>
      </c>
      <c r="B8" t="s">
        <v>39</v>
      </c>
      <c r="C8" s="50" t="s">
        <v>39</v>
      </c>
      <c r="D8" t="s">
        <v>40</v>
      </c>
      <c r="E8" s="50">
        <v>10080016</v>
      </c>
      <c r="F8" t="s">
        <v>106</v>
      </c>
      <c r="G8" s="50">
        <v>7</v>
      </c>
      <c r="H8" s="51">
        <v>37.9</v>
      </c>
      <c r="I8" s="52">
        <v>1441.38901029</v>
      </c>
      <c r="J8" s="53">
        <v>0</v>
      </c>
      <c r="K8" s="53">
        <v>0</v>
      </c>
      <c r="L8" s="53">
        <v>0</v>
      </c>
      <c r="M8" s="51">
        <v>0</v>
      </c>
      <c r="N8" s="51">
        <v>220</v>
      </c>
      <c r="O8" s="53" t="s">
        <v>35</v>
      </c>
      <c r="P8" s="53">
        <v>1221</v>
      </c>
      <c r="Q8" s="50" t="s">
        <v>34</v>
      </c>
      <c r="R8" t="s">
        <v>107</v>
      </c>
      <c r="S8" t="s">
        <v>108</v>
      </c>
      <c r="T8" t="s">
        <v>103</v>
      </c>
      <c r="U8" t="s">
        <v>104</v>
      </c>
      <c r="V8" t="s">
        <v>85</v>
      </c>
      <c r="W8" t="s">
        <v>37</v>
      </c>
      <c r="Y8" s="54">
        <v>13.310980306108181</v>
      </c>
    </row>
    <row r="9" spans="1:29" x14ac:dyDescent="0.25">
      <c r="A9" t="s">
        <v>109</v>
      </c>
      <c r="B9" t="s">
        <v>39</v>
      </c>
      <c r="C9" s="50" t="s">
        <v>39</v>
      </c>
      <c r="D9" t="s">
        <v>42</v>
      </c>
      <c r="E9" s="50">
        <v>10080119</v>
      </c>
      <c r="F9" t="s">
        <v>100</v>
      </c>
      <c r="G9" s="50">
        <v>6</v>
      </c>
      <c r="H9" s="51">
        <v>145.09</v>
      </c>
      <c r="I9" s="52">
        <v>5947.9329531450003</v>
      </c>
      <c r="J9" s="53">
        <v>0</v>
      </c>
      <c r="K9" s="53">
        <v>0</v>
      </c>
      <c r="L9" s="53">
        <v>3074</v>
      </c>
      <c r="M9" s="51">
        <v>0</v>
      </c>
      <c r="N9" s="51">
        <v>0</v>
      </c>
      <c r="O9" s="53" t="s">
        <v>35</v>
      </c>
      <c r="P9" s="53">
        <v>2874</v>
      </c>
      <c r="Q9" s="50" t="s">
        <v>34</v>
      </c>
      <c r="R9" t="s">
        <v>110</v>
      </c>
      <c r="S9" t="s">
        <v>111</v>
      </c>
      <c r="T9" t="s">
        <v>112</v>
      </c>
      <c r="U9" t="s">
        <v>113</v>
      </c>
      <c r="V9" t="s">
        <v>85</v>
      </c>
      <c r="W9" t="s">
        <v>37</v>
      </c>
      <c r="Y9" s="54">
        <v>12.298434667747609</v>
      </c>
    </row>
    <row r="10" spans="1:29" x14ac:dyDescent="0.25">
      <c r="A10" t="s">
        <v>114</v>
      </c>
      <c r="B10" t="s">
        <v>39</v>
      </c>
      <c r="C10" s="50" t="s">
        <v>39</v>
      </c>
      <c r="D10" t="s">
        <v>42</v>
      </c>
      <c r="E10" s="50">
        <v>10080119</v>
      </c>
      <c r="F10" t="s">
        <v>80</v>
      </c>
      <c r="G10" s="50">
        <v>12</v>
      </c>
      <c r="H10" s="51">
        <v>272.85000000000002</v>
      </c>
      <c r="I10" s="52">
        <v>11346.90311349593</v>
      </c>
      <c r="J10" s="53">
        <v>0</v>
      </c>
      <c r="K10" s="53">
        <v>0</v>
      </c>
      <c r="L10" s="53">
        <v>0</v>
      </c>
      <c r="M10" s="51">
        <v>0</v>
      </c>
      <c r="N10" s="51">
        <v>0</v>
      </c>
      <c r="O10" s="53" t="s">
        <v>35</v>
      </c>
      <c r="P10" s="53">
        <v>11347</v>
      </c>
      <c r="Q10" s="50" t="s">
        <v>34</v>
      </c>
      <c r="R10" t="s">
        <v>115</v>
      </c>
      <c r="S10" t="s">
        <v>116</v>
      </c>
      <c r="T10" t="s">
        <v>117</v>
      </c>
      <c r="U10" t="s">
        <v>104</v>
      </c>
      <c r="V10" t="s">
        <v>85</v>
      </c>
      <c r="W10" t="s">
        <v>37</v>
      </c>
      <c r="Y10" s="54">
        <v>24.951958468380276</v>
      </c>
    </row>
    <row r="11" spans="1:29" x14ac:dyDescent="0.25">
      <c r="A11" t="s">
        <v>118</v>
      </c>
      <c r="B11" t="s">
        <v>43</v>
      </c>
      <c r="C11" s="50" t="s">
        <v>43</v>
      </c>
      <c r="D11" t="s">
        <v>44</v>
      </c>
      <c r="E11" s="50">
        <v>10110013</v>
      </c>
      <c r="F11" t="s">
        <v>77</v>
      </c>
      <c r="G11">
        <v>5</v>
      </c>
      <c r="H11" s="51">
        <v>1.5</v>
      </c>
      <c r="I11" s="51">
        <v>58.089784680000001</v>
      </c>
      <c r="J11" s="53">
        <v>0</v>
      </c>
      <c r="K11" s="53">
        <v>58.089784680000001</v>
      </c>
      <c r="L11" s="53">
        <v>0</v>
      </c>
      <c r="M11" s="51">
        <v>0</v>
      </c>
      <c r="N11" s="51">
        <v>0</v>
      </c>
      <c r="O11" s="53" t="s">
        <v>35</v>
      </c>
      <c r="P11" s="53">
        <v>0</v>
      </c>
      <c r="Q11" s="50" t="s">
        <v>34</v>
      </c>
      <c r="R11">
        <v>0</v>
      </c>
      <c r="S11">
        <v>0</v>
      </c>
      <c r="T11">
        <v>0</v>
      </c>
      <c r="U11">
        <v>0</v>
      </c>
      <c r="V11" t="s">
        <v>78</v>
      </c>
      <c r="W11" t="s">
        <v>37</v>
      </c>
      <c r="Y11" s="54">
        <v>0</v>
      </c>
    </row>
    <row r="12" spans="1:29" x14ac:dyDescent="0.25">
      <c r="A12" t="s">
        <v>119</v>
      </c>
      <c r="B12" t="s">
        <v>43</v>
      </c>
      <c r="C12" s="50" t="s">
        <v>43</v>
      </c>
      <c r="D12" t="s">
        <v>44</v>
      </c>
      <c r="E12" s="50">
        <v>10110013</v>
      </c>
      <c r="F12" t="s">
        <v>100</v>
      </c>
      <c r="G12">
        <v>5</v>
      </c>
      <c r="H12" s="51">
        <v>223</v>
      </c>
      <c r="I12" s="51">
        <v>8690.8065459000027</v>
      </c>
      <c r="J12" s="53">
        <v>0</v>
      </c>
      <c r="K12" s="53">
        <v>0</v>
      </c>
      <c r="L12" s="53">
        <v>1395</v>
      </c>
      <c r="M12" s="51">
        <v>1300</v>
      </c>
      <c r="N12" s="51">
        <v>0</v>
      </c>
      <c r="O12" s="53" t="s">
        <v>35</v>
      </c>
      <c r="P12" s="53">
        <v>5996</v>
      </c>
      <c r="Q12" s="50" t="s">
        <v>34</v>
      </c>
      <c r="R12" t="s">
        <v>120</v>
      </c>
      <c r="S12" t="s">
        <v>121</v>
      </c>
      <c r="T12" t="s">
        <v>122</v>
      </c>
      <c r="U12" t="s">
        <v>123</v>
      </c>
      <c r="V12" t="s">
        <v>85</v>
      </c>
      <c r="W12" t="s">
        <v>37</v>
      </c>
      <c r="Y12" s="54">
        <v>9.7430566658071776</v>
      </c>
    </row>
    <row r="13" spans="1:29" x14ac:dyDescent="0.25">
      <c r="A13" t="s">
        <v>124</v>
      </c>
      <c r="B13" t="s">
        <v>43</v>
      </c>
      <c r="C13" s="50" t="s">
        <v>43</v>
      </c>
      <c r="D13" t="s">
        <v>44</v>
      </c>
      <c r="E13" s="50">
        <v>10110013</v>
      </c>
      <c r="F13" t="s">
        <v>125</v>
      </c>
      <c r="G13">
        <v>5</v>
      </c>
      <c r="H13" s="51">
        <v>176</v>
      </c>
      <c r="I13" s="51">
        <v>6871.5269106000014</v>
      </c>
      <c r="J13" s="53">
        <v>0</v>
      </c>
      <c r="K13" s="53">
        <v>0</v>
      </c>
      <c r="L13" s="53">
        <v>0</v>
      </c>
      <c r="M13" s="51">
        <v>0</v>
      </c>
      <c r="N13" s="51">
        <v>0</v>
      </c>
      <c r="O13" s="53" t="s">
        <v>35</v>
      </c>
      <c r="P13" s="53">
        <v>6872</v>
      </c>
      <c r="Q13" s="50" t="s">
        <v>34</v>
      </c>
      <c r="R13" t="s">
        <v>126</v>
      </c>
      <c r="S13" t="s">
        <v>127</v>
      </c>
      <c r="T13" t="s">
        <v>122</v>
      </c>
      <c r="U13" t="s">
        <v>123</v>
      </c>
      <c r="V13" t="s">
        <v>85</v>
      </c>
      <c r="W13" t="s">
        <v>37</v>
      </c>
      <c r="Y13" s="54">
        <v>9.7606916343750019</v>
      </c>
    </row>
    <row r="14" spans="1:29" x14ac:dyDescent="0.25">
      <c r="A14" t="s">
        <v>128</v>
      </c>
      <c r="B14" t="s">
        <v>43</v>
      </c>
      <c r="C14" s="50" t="s">
        <v>43</v>
      </c>
      <c r="D14" t="s">
        <v>44</v>
      </c>
      <c r="E14" s="50">
        <v>10110013</v>
      </c>
      <c r="F14" t="s">
        <v>129</v>
      </c>
      <c r="G14">
        <v>5</v>
      </c>
      <c r="H14" s="51">
        <v>219</v>
      </c>
      <c r="I14" s="51">
        <v>8432.8212392999994</v>
      </c>
      <c r="J14" s="53">
        <v>0</v>
      </c>
      <c r="K14" s="53">
        <v>0</v>
      </c>
      <c r="L14" s="53">
        <v>0</v>
      </c>
      <c r="M14" s="51">
        <v>0</v>
      </c>
      <c r="N14" s="51">
        <v>0</v>
      </c>
      <c r="O14" s="53" t="s">
        <v>35</v>
      </c>
      <c r="P14" s="53">
        <v>8433</v>
      </c>
      <c r="Q14" s="50" t="s">
        <v>34</v>
      </c>
      <c r="R14" t="s">
        <v>130</v>
      </c>
      <c r="S14" t="s">
        <v>131</v>
      </c>
      <c r="T14" t="s">
        <v>132</v>
      </c>
      <c r="U14" t="s">
        <v>104</v>
      </c>
      <c r="V14" t="s">
        <v>85</v>
      </c>
      <c r="W14" t="s">
        <v>37</v>
      </c>
      <c r="Y14" s="54">
        <v>9.6265082640410959</v>
      </c>
    </row>
    <row r="15" spans="1:29" x14ac:dyDescent="0.25">
      <c r="A15" t="s">
        <v>133</v>
      </c>
      <c r="B15" t="s">
        <v>43</v>
      </c>
      <c r="C15" s="50" t="s">
        <v>43</v>
      </c>
      <c r="D15" t="s">
        <v>44</v>
      </c>
      <c r="E15" s="50">
        <v>10110013</v>
      </c>
      <c r="F15" t="s">
        <v>134</v>
      </c>
      <c r="G15">
        <v>5</v>
      </c>
      <c r="H15" s="51">
        <v>200</v>
      </c>
      <c r="I15" s="51">
        <v>7811.7444000000014</v>
      </c>
      <c r="J15" s="53">
        <v>0</v>
      </c>
      <c r="K15" s="53">
        <v>0</v>
      </c>
      <c r="L15" s="53">
        <v>0</v>
      </c>
      <c r="M15" s="51">
        <v>0</v>
      </c>
      <c r="N15" s="51">
        <v>0</v>
      </c>
      <c r="O15" s="53" t="s">
        <v>35</v>
      </c>
      <c r="P15" s="53">
        <v>7812</v>
      </c>
      <c r="Q15" s="50" t="s">
        <v>34</v>
      </c>
      <c r="R15" t="s">
        <v>135</v>
      </c>
      <c r="S15" t="s">
        <v>136</v>
      </c>
      <c r="T15" t="s">
        <v>122</v>
      </c>
      <c r="U15" t="s">
        <v>91</v>
      </c>
      <c r="V15" t="s">
        <v>85</v>
      </c>
      <c r="W15" t="s">
        <v>37</v>
      </c>
      <c r="Y15" s="54">
        <v>9.7646805000000025</v>
      </c>
    </row>
    <row r="16" spans="1:29" x14ac:dyDescent="0.25">
      <c r="A16" t="s">
        <v>137</v>
      </c>
      <c r="B16" t="s">
        <v>43</v>
      </c>
      <c r="C16" s="50" t="s">
        <v>43</v>
      </c>
      <c r="D16" t="s">
        <v>44</v>
      </c>
      <c r="E16" s="50">
        <v>10110013</v>
      </c>
      <c r="F16" t="s">
        <v>138</v>
      </c>
      <c r="G16">
        <v>5</v>
      </c>
      <c r="H16" s="51">
        <v>10</v>
      </c>
      <c r="I16" s="51">
        <v>396.43948140000009</v>
      </c>
      <c r="J16" s="53">
        <v>0</v>
      </c>
      <c r="K16" s="53">
        <v>0</v>
      </c>
      <c r="L16" s="53">
        <v>0</v>
      </c>
      <c r="M16" s="51">
        <v>0</v>
      </c>
      <c r="N16" s="51">
        <v>0</v>
      </c>
      <c r="O16" s="53" t="s">
        <v>35</v>
      </c>
      <c r="P16" s="53">
        <v>396</v>
      </c>
      <c r="Q16" s="50" t="s">
        <v>34</v>
      </c>
      <c r="R16" t="s">
        <v>139</v>
      </c>
      <c r="S16" t="s">
        <v>140</v>
      </c>
      <c r="T16" t="s">
        <v>141</v>
      </c>
      <c r="U16" t="s">
        <v>142</v>
      </c>
      <c r="V16" t="s">
        <v>85</v>
      </c>
      <c r="W16" t="s">
        <v>37</v>
      </c>
      <c r="Y16" s="54">
        <v>9.9109870350000016</v>
      </c>
    </row>
    <row r="17" spans="1:25" x14ac:dyDescent="0.25">
      <c r="A17" t="s">
        <v>143</v>
      </c>
      <c r="B17" t="s">
        <v>43</v>
      </c>
      <c r="C17" s="50" t="s">
        <v>43</v>
      </c>
      <c r="D17" t="s">
        <v>44</v>
      </c>
      <c r="E17" s="50">
        <v>10110013</v>
      </c>
      <c r="F17" t="s">
        <v>144</v>
      </c>
      <c r="G17">
        <v>5</v>
      </c>
      <c r="H17" s="51">
        <v>233</v>
      </c>
      <c r="I17" s="51">
        <v>9101.148473700001</v>
      </c>
      <c r="J17" s="53">
        <v>0</v>
      </c>
      <c r="K17" s="53">
        <v>0</v>
      </c>
      <c r="L17" s="53">
        <v>0</v>
      </c>
      <c r="M17" s="51">
        <v>0</v>
      </c>
      <c r="N17" s="51">
        <v>0</v>
      </c>
      <c r="O17" s="53" t="s">
        <v>35</v>
      </c>
      <c r="P17" s="53">
        <v>9101</v>
      </c>
      <c r="Q17" s="50" t="s">
        <v>34</v>
      </c>
      <c r="R17" t="s">
        <v>120</v>
      </c>
      <c r="S17" t="s">
        <v>145</v>
      </c>
      <c r="T17" t="s">
        <v>146</v>
      </c>
      <c r="U17" t="s">
        <v>147</v>
      </c>
      <c r="V17" t="s">
        <v>85</v>
      </c>
      <c r="W17" t="s">
        <v>37</v>
      </c>
      <c r="Y17" s="54">
        <v>9.7651807657725325</v>
      </c>
    </row>
    <row r="18" spans="1:25" x14ac:dyDescent="0.25">
      <c r="A18" t="s">
        <v>148</v>
      </c>
      <c r="B18" t="s">
        <v>46</v>
      </c>
      <c r="C18" s="50" t="s">
        <v>46</v>
      </c>
      <c r="D18" t="s">
        <v>47</v>
      </c>
      <c r="E18" s="50">
        <v>10110098</v>
      </c>
      <c r="F18" t="s">
        <v>100</v>
      </c>
      <c r="G18">
        <v>13</v>
      </c>
      <c r="H18" s="51">
        <v>260.09000000000003</v>
      </c>
      <c r="I18" s="51">
        <v>10721.090513064</v>
      </c>
      <c r="J18" s="53">
        <v>0</v>
      </c>
      <c r="K18" s="53">
        <v>0</v>
      </c>
      <c r="L18" s="53">
        <v>1056</v>
      </c>
      <c r="M18" s="51">
        <v>2700</v>
      </c>
      <c r="N18" s="51">
        <v>500</v>
      </c>
      <c r="O18" s="53" t="s">
        <v>35</v>
      </c>
      <c r="P18" s="53">
        <v>6465</v>
      </c>
      <c r="Q18" s="50" t="s">
        <v>34</v>
      </c>
      <c r="R18" t="s">
        <v>149</v>
      </c>
      <c r="S18" t="s">
        <v>150</v>
      </c>
      <c r="T18" t="s">
        <v>151</v>
      </c>
      <c r="U18" t="s">
        <v>84</v>
      </c>
      <c r="V18" t="s">
        <v>85</v>
      </c>
      <c r="W18" t="s">
        <v>37</v>
      </c>
      <c r="Y18" s="54">
        <v>26.793451626327808</v>
      </c>
    </row>
    <row r="19" spans="1:25" x14ac:dyDescent="0.25">
      <c r="A19" t="s">
        <v>152</v>
      </c>
      <c r="B19" t="s">
        <v>46</v>
      </c>
      <c r="C19" s="50" t="s">
        <v>46</v>
      </c>
      <c r="D19" t="s">
        <v>48</v>
      </c>
      <c r="E19" s="50">
        <v>10110101</v>
      </c>
      <c r="F19" t="s">
        <v>77</v>
      </c>
      <c r="G19">
        <v>1</v>
      </c>
      <c r="H19" s="51">
        <v>0.26</v>
      </c>
      <c r="I19" s="51">
        <v>8.3522252307000002</v>
      </c>
      <c r="J19" s="53">
        <v>0</v>
      </c>
      <c r="K19" s="53">
        <v>8.3522252307000002</v>
      </c>
      <c r="L19" s="53">
        <v>0</v>
      </c>
      <c r="M19" s="51">
        <v>0</v>
      </c>
      <c r="N19" s="51">
        <v>0</v>
      </c>
      <c r="O19" s="53" t="s">
        <v>35</v>
      </c>
      <c r="P19" s="53">
        <v>0</v>
      </c>
      <c r="Q19" s="50" t="s">
        <v>34</v>
      </c>
      <c r="R19">
        <v>0</v>
      </c>
      <c r="S19">
        <v>0</v>
      </c>
      <c r="T19">
        <v>0</v>
      </c>
      <c r="U19">
        <v>0</v>
      </c>
      <c r="V19" t="s">
        <v>78</v>
      </c>
      <c r="W19" t="s">
        <v>37</v>
      </c>
      <c r="Y19" s="54">
        <v>0</v>
      </c>
    </row>
    <row r="20" spans="1:25" x14ac:dyDescent="0.25">
      <c r="A20" t="s">
        <v>153</v>
      </c>
      <c r="B20" t="s">
        <v>46</v>
      </c>
      <c r="C20" s="50" t="s">
        <v>46</v>
      </c>
      <c r="D20" t="s">
        <v>48</v>
      </c>
      <c r="E20" s="50">
        <v>10110101</v>
      </c>
      <c r="F20" t="s">
        <v>100</v>
      </c>
      <c r="G20">
        <v>12</v>
      </c>
      <c r="H20" s="51">
        <v>54.650000000000006</v>
      </c>
      <c r="I20" s="51">
        <v>2262.9608231577822</v>
      </c>
      <c r="J20" s="53">
        <v>0</v>
      </c>
      <c r="K20" s="53">
        <v>0</v>
      </c>
      <c r="L20" s="53">
        <v>2262.9608231577822</v>
      </c>
      <c r="M20" s="51">
        <v>0</v>
      </c>
      <c r="N20" s="51">
        <v>0</v>
      </c>
      <c r="O20" s="53" t="s">
        <v>35</v>
      </c>
      <c r="P20" s="53">
        <v>0</v>
      </c>
      <c r="Q20" s="50" t="s">
        <v>34</v>
      </c>
      <c r="R20" t="s">
        <v>154</v>
      </c>
      <c r="S20" t="s">
        <v>155</v>
      </c>
      <c r="T20" t="s">
        <v>156</v>
      </c>
      <c r="U20" t="s">
        <v>157</v>
      </c>
      <c r="V20" t="s">
        <v>85</v>
      </c>
      <c r="W20" t="s">
        <v>37</v>
      </c>
      <c r="Y20" s="54">
        <v>24.844949568063484</v>
      </c>
    </row>
    <row r="21" spans="1:25" x14ac:dyDescent="0.25">
      <c r="A21" t="s">
        <v>158</v>
      </c>
      <c r="B21" t="s">
        <v>46</v>
      </c>
      <c r="C21" s="50" t="s">
        <v>46</v>
      </c>
      <c r="D21" t="s">
        <v>48</v>
      </c>
      <c r="E21" s="50">
        <v>10110101</v>
      </c>
      <c r="F21" t="s">
        <v>80</v>
      </c>
      <c r="G21">
        <v>1</v>
      </c>
      <c r="H21" s="51">
        <v>0.26</v>
      </c>
      <c r="I21" s="51">
        <v>21.481277864799999</v>
      </c>
      <c r="J21" s="53">
        <v>0</v>
      </c>
      <c r="K21" s="53">
        <v>0</v>
      </c>
      <c r="L21" s="53">
        <v>0</v>
      </c>
      <c r="M21" s="51">
        <v>0</v>
      </c>
      <c r="N21" s="51">
        <v>0</v>
      </c>
      <c r="O21" s="53" t="s">
        <v>35</v>
      </c>
      <c r="P21" s="53">
        <v>21</v>
      </c>
      <c r="Q21" s="50" t="s">
        <v>34</v>
      </c>
      <c r="R21" t="s">
        <v>159</v>
      </c>
      <c r="S21" t="s">
        <v>160</v>
      </c>
      <c r="T21" t="s">
        <v>161</v>
      </c>
      <c r="U21" t="s">
        <v>162</v>
      </c>
      <c r="V21" t="s">
        <v>85</v>
      </c>
      <c r="W21" t="s">
        <v>37</v>
      </c>
      <c r="Y21" s="54">
        <v>4.1310149740000002</v>
      </c>
    </row>
    <row r="22" spans="1:25" x14ac:dyDescent="0.25">
      <c r="A22" t="s">
        <v>163</v>
      </c>
      <c r="B22" t="s">
        <v>46</v>
      </c>
      <c r="C22" s="50" t="s">
        <v>46</v>
      </c>
      <c r="D22" t="s">
        <v>48</v>
      </c>
      <c r="E22" s="50">
        <v>10110101</v>
      </c>
      <c r="F22" t="s">
        <v>129</v>
      </c>
      <c r="G22">
        <v>9</v>
      </c>
      <c r="H22" s="51">
        <v>22.08</v>
      </c>
      <c r="I22" s="51">
        <v>1407.96425878011</v>
      </c>
      <c r="J22" s="53">
        <v>0</v>
      </c>
      <c r="K22" s="53">
        <v>0</v>
      </c>
      <c r="L22" s="53">
        <v>400</v>
      </c>
      <c r="M22" s="51">
        <v>0</v>
      </c>
      <c r="N22" s="51">
        <v>0</v>
      </c>
      <c r="O22" s="53" t="s">
        <v>35</v>
      </c>
      <c r="P22" s="53">
        <v>1008</v>
      </c>
      <c r="Q22" s="50" t="s">
        <v>34</v>
      </c>
      <c r="R22" t="s">
        <v>164</v>
      </c>
      <c r="S22" t="s">
        <v>165</v>
      </c>
      <c r="T22" t="s">
        <v>151</v>
      </c>
      <c r="U22" t="s">
        <v>84</v>
      </c>
      <c r="V22" t="s">
        <v>85</v>
      </c>
      <c r="W22" t="s">
        <v>37</v>
      </c>
      <c r="X22" s="55"/>
      <c r="Y22" s="54">
        <v>28.694923752312025</v>
      </c>
    </row>
    <row r="23" spans="1:25" x14ac:dyDescent="0.25">
      <c r="A23" t="s">
        <v>166</v>
      </c>
      <c r="B23" t="s">
        <v>46</v>
      </c>
      <c r="C23" s="50" t="s">
        <v>46</v>
      </c>
      <c r="D23" t="s">
        <v>48</v>
      </c>
      <c r="E23" s="50">
        <v>10110101</v>
      </c>
      <c r="F23" t="s">
        <v>138</v>
      </c>
      <c r="G23">
        <v>4</v>
      </c>
      <c r="H23" s="51">
        <v>5.9799999999999995</v>
      </c>
      <c r="I23" s="51">
        <v>237.44233621485</v>
      </c>
      <c r="J23" s="53">
        <v>0</v>
      </c>
      <c r="K23" s="53">
        <v>0</v>
      </c>
      <c r="L23" s="53">
        <v>0</v>
      </c>
      <c r="M23" s="51">
        <v>0</v>
      </c>
      <c r="N23" s="51">
        <v>0</v>
      </c>
      <c r="O23" s="53" t="s">
        <v>35</v>
      </c>
      <c r="P23" s="53">
        <v>237</v>
      </c>
      <c r="Q23" s="50" t="s">
        <v>34</v>
      </c>
      <c r="R23" t="s">
        <v>167</v>
      </c>
      <c r="S23" t="s">
        <v>168</v>
      </c>
      <c r="T23" t="s">
        <v>169</v>
      </c>
      <c r="U23" t="s">
        <v>170</v>
      </c>
      <c r="V23" t="s">
        <v>85</v>
      </c>
      <c r="W23" t="s">
        <v>37</v>
      </c>
      <c r="Y23" s="54">
        <v>7.9412152580217397</v>
      </c>
    </row>
    <row r="24" spans="1:25" x14ac:dyDescent="0.25">
      <c r="A24" t="s">
        <v>171</v>
      </c>
      <c r="B24" t="s">
        <v>46</v>
      </c>
      <c r="C24" s="50" t="s">
        <v>46</v>
      </c>
      <c r="D24" t="s">
        <v>48</v>
      </c>
      <c r="E24" s="50">
        <v>10110101</v>
      </c>
      <c r="F24" t="s">
        <v>144</v>
      </c>
      <c r="G24">
        <v>8</v>
      </c>
      <c r="H24" s="51">
        <v>9.2500000000000018</v>
      </c>
      <c r="I24" s="51">
        <v>493.55777274243206</v>
      </c>
      <c r="J24" s="53">
        <v>0</v>
      </c>
      <c r="K24" s="53">
        <v>0</v>
      </c>
      <c r="L24" s="53">
        <v>93</v>
      </c>
      <c r="M24" s="51">
        <v>0</v>
      </c>
      <c r="N24" s="51">
        <v>0</v>
      </c>
      <c r="O24" s="53" t="s">
        <v>35</v>
      </c>
      <c r="P24" s="53">
        <v>401</v>
      </c>
      <c r="Q24" s="50" t="s">
        <v>34</v>
      </c>
      <c r="R24" t="s">
        <v>172</v>
      </c>
      <c r="S24" t="s">
        <v>173</v>
      </c>
      <c r="T24" t="s">
        <v>156</v>
      </c>
      <c r="U24" t="s">
        <v>157</v>
      </c>
      <c r="V24" t="s">
        <v>85</v>
      </c>
      <c r="W24" t="s">
        <v>37</v>
      </c>
      <c r="Y24" s="54">
        <v>21.343038821294357</v>
      </c>
    </row>
    <row r="25" spans="1:25" x14ac:dyDescent="0.25">
      <c r="A25" t="s">
        <v>174</v>
      </c>
      <c r="B25" t="s">
        <v>46</v>
      </c>
      <c r="C25" s="50" t="s">
        <v>46</v>
      </c>
      <c r="D25" t="s">
        <v>48</v>
      </c>
      <c r="E25" s="50">
        <v>10110101</v>
      </c>
      <c r="F25" t="s">
        <v>175</v>
      </c>
      <c r="G25">
        <v>1</v>
      </c>
      <c r="H25" s="51">
        <v>2.04</v>
      </c>
      <c r="I25" s="51">
        <v>77.442364117800011</v>
      </c>
      <c r="J25" s="53">
        <v>0</v>
      </c>
      <c r="K25" s="53">
        <v>0</v>
      </c>
      <c r="L25" s="53">
        <v>0</v>
      </c>
      <c r="M25" s="51">
        <v>0</v>
      </c>
      <c r="N25" s="51">
        <v>0</v>
      </c>
      <c r="O25" s="53" t="s">
        <v>35</v>
      </c>
      <c r="P25" s="53">
        <v>77</v>
      </c>
      <c r="Q25" s="50" t="s">
        <v>34</v>
      </c>
      <c r="R25" t="s">
        <v>176</v>
      </c>
      <c r="S25" t="s">
        <v>177</v>
      </c>
      <c r="T25" t="s">
        <v>151</v>
      </c>
      <c r="U25" t="s">
        <v>91</v>
      </c>
      <c r="V25" t="s">
        <v>85</v>
      </c>
      <c r="W25" t="s">
        <v>37</v>
      </c>
      <c r="Y25" s="54">
        <v>1.8980971597500003</v>
      </c>
    </row>
    <row r="26" spans="1:25" x14ac:dyDescent="0.25">
      <c r="A26" t="s">
        <v>178</v>
      </c>
      <c r="B26" t="s">
        <v>46</v>
      </c>
      <c r="C26" s="50" t="s">
        <v>46</v>
      </c>
      <c r="D26" t="s">
        <v>48</v>
      </c>
      <c r="E26" s="50">
        <v>10110101</v>
      </c>
      <c r="F26" t="s">
        <v>106</v>
      </c>
      <c r="G26">
        <v>2</v>
      </c>
      <c r="H26" s="51">
        <v>4.2699999999999996</v>
      </c>
      <c r="I26" s="51">
        <v>224.89345572120001</v>
      </c>
      <c r="J26" s="53">
        <v>0</v>
      </c>
      <c r="K26" s="53">
        <v>0</v>
      </c>
      <c r="L26" s="53">
        <v>50</v>
      </c>
      <c r="M26" s="51">
        <v>0</v>
      </c>
      <c r="N26" s="51">
        <v>0</v>
      </c>
      <c r="O26" s="53" t="s">
        <v>35</v>
      </c>
      <c r="P26" s="53">
        <v>175</v>
      </c>
      <c r="Q26" s="50" t="s">
        <v>34</v>
      </c>
      <c r="R26" t="s">
        <v>179</v>
      </c>
      <c r="S26" t="s">
        <v>180</v>
      </c>
      <c r="T26" t="s">
        <v>151</v>
      </c>
      <c r="U26" t="s">
        <v>91</v>
      </c>
      <c r="V26" t="s">
        <v>85</v>
      </c>
      <c r="W26" t="s">
        <v>37</v>
      </c>
      <c r="X26" s="55"/>
      <c r="Y26" s="54">
        <v>5.2668256609180339</v>
      </c>
    </row>
    <row r="27" spans="1:25" x14ac:dyDescent="0.25">
      <c r="A27" t="s">
        <v>181</v>
      </c>
      <c r="B27" t="s">
        <v>46</v>
      </c>
      <c r="C27" s="50" t="s">
        <v>46</v>
      </c>
      <c r="D27" t="s">
        <v>48</v>
      </c>
      <c r="E27" s="50">
        <v>10110101</v>
      </c>
      <c r="F27" t="s">
        <v>182</v>
      </c>
      <c r="G27">
        <v>13</v>
      </c>
      <c r="H27" s="51">
        <v>18.25</v>
      </c>
      <c r="I27" s="51">
        <v>737.34447160024001</v>
      </c>
      <c r="J27" s="53">
        <v>0</v>
      </c>
      <c r="K27" s="53">
        <v>0</v>
      </c>
      <c r="L27" s="53">
        <v>100</v>
      </c>
      <c r="M27" s="51">
        <v>0</v>
      </c>
      <c r="N27" s="51">
        <v>0</v>
      </c>
      <c r="O27" s="53" t="s">
        <v>35</v>
      </c>
      <c r="P27" s="53">
        <v>637</v>
      </c>
      <c r="Q27" s="50" t="s">
        <v>34</v>
      </c>
      <c r="R27" t="s">
        <v>183</v>
      </c>
      <c r="S27" t="s">
        <v>184</v>
      </c>
      <c r="T27" t="s">
        <v>185</v>
      </c>
      <c r="U27" t="s">
        <v>162</v>
      </c>
      <c r="V27" t="s">
        <v>85</v>
      </c>
      <c r="W27" t="s">
        <v>37</v>
      </c>
      <c r="Y27" s="54">
        <v>26.261583920008547</v>
      </c>
    </row>
    <row r="28" spans="1:25" x14ac:dyDescent="0.25">
      <c r="A28" t="s">
        <v>186</v>
      </c>
      <c r="B28" t="s">
        <v>46</v>
      </c>
      <c r="C28" s="50" t="s">
        <v>46</v>
      </c>
      <c r="D28" t="s">
        <v>48</v>
      </c>
      <c r="E28" s="50">
        <v>10110101</v>
      </c>
      <c r="F28" t="s">
        <v>187</v>
      </c>
      <c r="G28">
        <v>4</v>
      </c>
      <c r="H28" s="51">
        <v>3.32</v>
      </c>
      <c r="I28" s="51">
        <v>161.36571949899999</v>
      </c>
      <c r="J28" s="53">
        <v>0</v>
      </c>
      <c r="K28" s="53">
        <v>0</v>
      </c>
      <c r="L28" s="53">
        <v>0</v>
      </c>
      <c r="M28" s="51">
        <v>0</v>
      </c>
      <c r="N28" s="51">
        <v>0</v>
      </c>
      <c r="O28" s="53" t="s">
        <v>35</v>
      </c>
      <c r="P28" s="53">
        <v>161</v>
      </c>
      <c r="Q28" s="50" t="s">
        <v>34</v>
      </c>
      <c r="R28" t="s">
        <v>188</v>
      </c>
      <c r="S28" t="s">
        <v>189</v>
      </c>
      <c r="T28" t="s">
        <v>185</v>
      </c>
      <c r="U28" t="s">
        <v>162</v>
      </c>
      <c r="V28" t="s">
        <v>85</v>
      </c>
      <c r="W28" t="s">
        <v>37</v>
      </c>
      <c r="Y28" s="54">
        <v>9.7208264758433742</v>
      </c>
    </row>
    <row r="29" spans="1:25" x14ac:dyDescent="0.25">
      <c r="A29" t="s">
        <v>190</v>
      </c>
      <c r="B29" t="s">
        <v>46</v>
      </c>
      <c r="C29" s="50" t="s">
        <v>46</v>
      </c>
      <c r="D29" t="s">
        <v>48</v>
      </c>
      <c r="E29" s="50">
        <v>10110101</v>
      </c>
      <c r="F29" t="s">
        <v>191</v>
      </c>
      <c r="G29">
        <v>5</v>
      </c>
      <c r="H29" s="51">
        <v>8.0500000000000007</v>
      </c>
      <c r="I29" s="51">
        <v>436.40636196856008</v>
      </c>
      <c r="J29" s="53">
        <v>0</v>
      </c>
      <c r="K29" s="53">
        <v>0</v>
      </c>
      <c r="L29" s="53">
        <v>100</v>
      </c>
      <c r="M29" s="51">
        <v>0</v>
      </c>
      <c r="N29" s="51">
        <v>0</v>
      </c>
      <c r="O29" s="53" t="s">
        <v>35</v>
      </c>
      <c r="P29" s="53">
        <v>336</v>
      </c>
      <c r="Q29" s="50" t="s">
        <v>34</v>
      </c>
      <c r="R29" t="s">
        <v>192</v>
      </c>
      <c r="S29" t="s">
        <v>193</v>
      </c>
      <c r="T29" t="s">
        <v>151</v>
      </c>
      <c r="U29" t="s">
        <v>84</v>
      </c>
      <c r="V29" t="s">
        <v>85</v>
      </c>
      <c r="W29" t="s">
        <v>37</v>
      </c>
      <c r="Y29" s="54">
        <v>13.552992607719256</v>
      </c>
    </row>
    <row r="30" spans="1:25" x14ac:dyDescent="0.25">
      <c r="A30" t="s">
        <v>194</v>
      </c>
      <c r="B30" t="s">
        <v>46</v>
      </c>
      <c r="C30" s="50" t="s">
        <v>46</v>
      </c>
      <c r="D30" t="s">
        <v>48</v>
      </c>
      <c r="E30" s="50">
        <v>10110101</v>
      </c>
      <c r="F30" t="s">
        <v>195</v>
      </c>
      <c r="G30">
        <v>9</v>
      </c>
      <c r="H30" s="51">
        <v>16.170000000000002</v>
      </c>
      <c r="I30" s="51">
        <v>674.14711101914997</v>
      </c>
      <c r="J30" s="53">
        <v>0</v>
      </c>
      <c r="K30" s="53">
        <v>0</v>
      </c>
      <c r="L30" s="53">
        <v>74</v>
      </c>
      <c r="M30" s="51">
        <v>0</v>
      </c>
      <c r="N30" s="51">
        <v>0</v>
      </c>
      <c r="O30" s="53" t="s">
        <v>35</v>
      </c>
      <c r="P30" s="53">
        <v>600</v>
      </c>
      <c r="Q30" s="50" t="s">
        <v>34</v>
      </c>
      <c r="R30" t="s">
        <v>196</v>
      </c>
      <c r="S30" t="s">
        <v>197</v>
      </c>
      <c r="T30" t="s">
        <v>185</v>
      </c>
      <c r="U30" t="s">
        <v>198</v>
      </c>
      <c r="V30" t="s">
        <v>85</v>
      </c>
      <c r="W30" t="s">
        <v>37</v>
      </c>
      <c r="X30" s="55"/>
      <c r="Y30" s="54">
        <v>18.761051327063541</v>
      </c>
    </row>
    <row r="31" spans="1:25" x14ac:dyDescent="0.25">
      <c r="A31" t="s">
        <v>199</v>
      </c>
      <c r="B31" t="s">
        <v>46</v>
      </c>
      <c r="C31" s="50" t="s">
        <v>46</v>
      </c>
      <c r="D31" t="s">
        <v>48</v>
      </c>
      <c r="E31" s="50">
        <v>10110101</v>
      </c>
      <c r="F31" t="s">
        <v>200</v>
      </c>
      <c r="G31">
        <v>14</v>
      </c>
      <c r="H31" s="51">
        <v>106</v>
      </c>
      <c r="I31" s="51">
        <v>5720.6412014391999</v>
      </c>
      <c r="J31" s="53">
        <v>0</v>
      </c>
      <c r="K31" s="53">
        <v>0</v>
      </c>
      <c r="L31" s="53">
        <v>995</v>
      </c>
      <c r="M31" s="51">
        <v>2493</v>
      </c>
      <c r="N31" s="51">
        <v>0</v>
      </c>
      <c r="O31" s="53" t="s">
        <v>35</v>
      </c>
      <c r="P31" s="53">
        <v>2233</v>
      </c>
      <c r="Q31" s="50" t="s">
        <v>34</v>
      </c>
      <c r="R31" t="s">
        <v>201</v>
      </c>
      <c r="S31" t="s">
        <v>202</v>
      </c>
      <c r="T31" t="s">
        <v>156</v>
      </c>
      <c r="U31" t="s">
        <v>97</v>
      </c>
      <c r="V31" t="s">
        <v>85</v>
      </c>
      <c r="W31" t="s">
        <v>37</v>
      </c>
      <c r="Y31" s="54">
        <v>37.777819254787168</v>
      </c>
    </row>
    <row r="32" spans="1:25" x14ac:dyDescent="0.25">
      <c r="A32" t="s">
        <v>203</v>
      </c>
      <c r="B32" t="s">
        <v>46</v>
      </c>
      <c r="C32" s="50" t="s">
        <v>46</v>
      </c>
      <c r="D32" t="s">
        <v>49</v>
      </c>
      <c r="E32" s="50">
        <v>10110133</v>
      </c>
      <c r="F32" t="s">
        <v>100</v>
      </c>
      <c r="G32">
        <v>7</v>
      </c>
      <c r="H32" s="51">
        <v>2423</v>
      </c>
      <c r="I32" s="51">
        <v>92544.502398281998</v>
      </c>
      <c r="J32" s="53">
        <v>0</v>
      </c>
      <c r="K32" s="53">
        <v>0</v>
      </c>
      <c r="L32" s="53">
        <v>0</v>
      </c>
      <c r="M32" s="51">
        <v>1300</v>
      </c>
      <c r="N32" s="51">
        <v>0</v>
      </c>
      <c r="O32" s="53" t="s">
        <v>35</v>
      </c>
      <c r="P32" s="53">
        <v>91245</v>
      </c>
      <c r="Q32" s="50" t="s">
        <v>34</v>
      </c>
      <c r="R32" t="s">
        <v>204</v>
      </c>
      <c r="S32" t="s">
        <v>205</v>
      </c>
      <c r="T32" t="s">
        <v>185</v>
      </c>
      <c r="U32" t="s">
        <v>162</v>
      </c>
      <c r="V32" t="s">
        <v>85</v>
      </c>
      <c r="W32" t="s">
        <v>37</v>
      </c>
      <c r="Y32" s="54">
        <v>13.367963615104705</v>
      </c>
    </row>
    <row r="33" spans="1:25" x14ac:dyDescent="0.25">
      <c r="A33" t="s">
        <v>206</v>
      </c>
      <c r="B33" t="s">
        <v>46</v>
      </c>
      <c r="C33" s="50" t="s">
        <v>46</v>
      </c>
      <c r="D33" t="s">
        <v>50</v>
      </c>
      <c r="E33" s="50">
        <v>10110149</v>
      </c>
      <c r="F33" t="s">
        <v>100</v>
      </c>
      <c r="G33">
        <v>14</v>
      </c>
      <c r="H33" s="51">
        <v>111.81000000000002</v>
      </c>
      <c r="I33" s="51">
        <v>5464.1477769829999</v>
      </c>
      <c r="J33" s="53">
        <v>0</v>
      </c>
      <c r="K33" s="53">
        <v>0</v>
      </c>
      <c r="L33" s="53">
        <v>2280</v>
      </c>
      <c r="M33" s="51">
        <v>3184</v>
      </c>
      <c r="N33" s="51">
        <v>0</v>
      </c>
      <c r="O33" s="53" t="s">
        <v>35</v>
      </c>
      <c r="P33" s="53">
        <v>0</v>
      </c>
      <c r="Q33" s="50" t="s">
        <v>34</v>
      </c>
      <c r="R33" t="s">
        <v>207</v>
      </c>
      <c r="S33" t="s">
        <v>208</v>
      </c>
      <c r="T33" t="s">
        <v>209</v>
      </c>
      <c r="U33" t="s">
        <v>210</v>
      </c>
      <c r="V33" t="s">
        <v>85</v>
      </c>
      <c r="W33" t="s">
        <v>37</v>
      </c>
      <c r="Y33" s="54">
        <v>34.20895665761649</v>
      </c>
    </row>
    <row r="34" spans="1:25" x14ac:dyDescent="0.25">
      <c r="A34" t="s">
        <v>211</v>
      </c>
      <c r="B34" t="s">
        <v>46</v>
      </c>
      <c r="C34" s="50" t="s">
        <v>46</v>
      </c>
      <c r="D34" t="s">
        <v>50</v>
      </c>
      <c r="E34" s="50">
        <v>10110149</v>
      </c>
      <c r="F34" t="s">
        <v>93</v>
      </c>
      <c r="G34">
        <v>12</v>
      </c>
      <c r="H34" s="51">
        <v>43.96</v>
      </c>
      <c r="I34" s="51">
        <v>1946.4656433162502</v>
      </c>
      <c r="J34" s="53">
        <v>0</v>
      </c>
      <c r="K34" s="53">
        <v>0</v>
      </c>
      <c r="L34" s="53">
        <v>0</v>
      </c>
      <c r="M34" s="51">
        <v>1946</v>
      </c>
      <c r="N34" s="51">
        <v>0</v>
      </c>
      <c r="O34" s="53" t="s">
        <v>35</v>
      </c>
      <c r="P34" s="53">
        <v>0</v>
      </c>
      <c r="Q34" s="50" t="s">
        <v>34</v>
      </c>
      <c r="R34">
        <v>0</v>
      </c>
      <c r="S34">
        <v>0</v>
      </c>
      <c r="T34">
        <v>0</v>
      </c>
      <c r="U34">
        <v>0</v>
      </c>
      <c r="V34" t="s">
        <v>78</v>
      </c>
      <c r="W34" t="s">
        <v>37</v>
      </c>
      <c r="Y34" s="54">
        <v>26.566865013415612</v>
      </c>
    </row>
    <row r="35" spans="1:25" x14ac:dyDescent="0.25">
      <c r="A35" t="s">
        <v>212</v>
      </c>
      <c r="B35" t="s">
        <v>46</v>
      </c>
      <c r="C35" s="50" t="s">
        <v>46</v>
      </c>
      <c r="D35" t="s">
        <v>50</v>
      </c>
      <c r="E35" s="50">
        <v>10110149</v>
      </c>
      <c r="F35" t="s">
        <v>129</v>
      </c>
      <c r="G35">
        <v>14</v>
      </c>
      <c r="H35" s="51">
        <v>129.12</v>
      </c>
      <c r="I35" s="51">
        <v>5859.9136820960011</v>
      </c>
      <c r="J35" s="53">
        <v>0</v>
      </c>
      <c r="K35" s="53">
        <v>0</v>
      </c>
      <c r="L35" s="53">
        <v>0</v>
      </c>
      <c r="M35" s="51">
        <v>1620</v>
      </c>
      <c r="N35" s="51">
        <v>0</v>
      </c>
      <c r="O35" s="53" t="s">
        <v>35</v>
      </c>
      <c r="P35" s="53">
        <v>4240</v>
      </c>
      <c r="Q35" s="50" t="s">
        <v>34</v>
      </c>
      <c r="R35">
        <v>0</v>
      </c>
      <c r="S35">
        <v>0</v>
      </c>
      <c r="T35">
        <v>0</v>
      </c>
      <c r="U35">
        <v>0</v>
      </c>
      <c r="V35" t="s">
        <v>78</v>
      </c>
      <c r="W35" t="s">
        <v>37</v>
      </c>
      <c r="Y35" s="54">
        <v>31.768429193519214</v>
      </c>
    </row>
    <row r="36" spans="1:25" x14ac:dyDescent="0.25">
      <c r="A36" t="s">
        <v>213</v>
      </c>
      <c r="B36" t="s">
        <v>46</v>
      </c>
      <c r="C36" s="50" t="s">
        <v>46</v>
      </c>
      <c r="D36" t="s">
        <v>50</v>
      </c>
      <c r="E36" s="50">
        <v>10110149</v>
      </c>
      <c r="F36" t="s">
        <v>214</v>
      </c>
      <c r="G36">
        <v>11</v>
      </c>
      <c r="H36" s="51">
        <v>59.11999999999999</v>
      </c>
      <c r="I36" s="51">
        <v>2509.8205641681002</v>
      </c>
      <c r="J36" s="53">
        <v>0</v>
      </c>
      <c r="K36" s="53">
        <v>0</v>
      </c>
      <c r="L36" s="53">
        <v>0</v>
      </c>
      <c r="M36" s="51">
        <v>0</v>
      </c>
      <c r="N36" s="51">
        <v>0</v>
      </c>
      <c r="O36" s="53" t="s">
        <v>35</v>
      </c>
      <c r="P36" s="53">
        <v>2510</v>
      </c>
      <c r="Q36" s="50" t="s">
        <v>34</v>
      </c>
      <c r="R36">
        <v>0</v>
      </c>
      <c r="S36">
        <v>0</v>
      </c>
      <c r="T36">
        <v>0</v>
      </c>
      <c r="U36">
        <v>0</v>
      </c>
      <c r="V36" t="s">
        <v>78</v>
      </c>
      <c r="W36" t="s">
        <v>37</v>
      </c>
      <c r="Y36" s="54">
        <v>23.349142596286459</v>
      </c>
    </row>
    <row r="37" spans="1:25" x14ac:dyDescent="0.25">
      <c r="A37" t="s">
        <v>215</v>
      </c>
      <c r="B37" t="s">
        <v>46</v>
      </c>
      <c r="C37" s="50" t="s">
        <v>46</v>
      </c>
      <c r="D37" t="s">
        <v>51</v>
      </c>
      <c r="E37" s="50">
        <v>10540008</v>
      </c>
      <c r="F37" t="s">
        <v>125</v>
      </c>
      <c r="G37">
        <v>7</v>
      </c>
      <c r="H37" s="51">
        <v>14.419999999999998</v>
      </c>
      <c r="I37" s="51">
        <v>963.01520359560004</v>
      </c>
      <c r="J37" s="53">
        <v>0</v>
      </c>
      <c r="K37" s="53">
        <v>0</v>
      </c>
      <c r="L37" s="53">
        <v>120</v>
      </c>
      <c r="M37" s="51">
        <v>0</v>
      </c>
      <c r="N37" s="51">
        <v>0</v>
      </c>
      <c r="O37" s="53" t="s">
        <v>35</v>
      </c>
      <c r="P37" s="53">
        <v>843</v>
      </c>
      <c r="Q37" s="50" t="s">
        <v>34</v>
      </c>
      <c r="R37" t="s">
        <v>216</v>
      </c>
      <c r="S37" t="s">
        <v>217</v>
      </c>
      <c r="T37" t="s">
        <v>209</v>
      </c>
      <c r="U37" t="s">
        <v>210</v>
      </c>
      <c r="V37" t="s">
        <v>85</v>
      </c>
      <c r="W37" t="s">
        <v>37</v>
      </c>
      <c r="Y37" s="54">
        <v>23.374155427077678</v>
      </c>
    </row>
    <row r="38" spans="1:25" x14ac:dyDescent="0.25">
      <c r="A38" t="s">
        <v>218</v>
      </c>
      <c r="B38" t="s">
        <v>46</v>
      </c>
      <c r="C38" s="50" t="s">
        <v>46</v>
      </c>
      <c r="D38" t="s">
        <v>51</v>
      </c>
      <c r="E38" s="50">
        <v>10540008</v>
      </c>
      <c r="F38" t="s">
        <v>93</v>
      </c>
      <c r="G38">
        <v>7</v>
      </c>
      <c r="H38" s="51">
        <v>13.690000000000001</v>
      </c>
      <c r="I38" s="51">
        <v>705.29656427666009</v>
      </c>
      <c r="J38" s="53">
        <v>0</v>
      </c>
      <c r="K38" s="53">
        <v>0</v>
      </c>
      <c r="L38" s="53">
        <v>0</v>
      </c>
      <c r="M38" s="51">
        <v>0</v>
      </c>
      <c r="N38" s="51">
        <v>0</v>
      </c>
      <c r="O38" s="53" t="s">
        <v>35</v>
      </c>
      <c r="P38" s="53">
        <v>705</v>
      </c>
      <c r="Q38" s="50" t="s">
        <v>34</v>
      </c>
      <c r="R38" t="s">
        <v>219</v>
      </c>
      <c r="S38" t="s">
        <v>220</v>
      </c>
      <c r="T38" t="s">
        <v>209</v>
      </c>
      <c r="U38" t="s">
        <v>210</v>
      </c>
      <c r="V38" t="s">
        <v>85</v>
      </c>
      <c r="W38" t="s">
        <v>37</v>
      </c>
      <c r="Y38" s="54">
        <v>18.031687180192186</v>
      </c>
    </row>
    <row r="39" spans="1:25" x14ac:dyDescent="0.25">
      <c r="A39" t="s">
        <v>221</v>
      </c>
      <c r="B39" t="s">
        <v>46</v>
      </c>
      <c r="C39" s="50" t="s">
        <v>46</v>
      </c>
      <c r="D39" t="s">
        <v>51</v>
      </c>
      <c r="E39" s="50">
        <v>10540008</v>
      </c>
      <c r="F39" t="s">
        <v>129</v>
      </c>
      <c r="G39">
        <v>13</v>
      </c>
      <c r="H39" s="51">
        <v>43.019999999999996</v>
      </c>
      <c r="I39" s="51">
        <v>2115.3649227382402</v>
      </c>
      <c r="J39" s="53">
        <v>0</v>
      </c>
      <c r="K39" s="53">
        <v>0</v>
      </c>
      <c r="L39" s="53">
        <v>0</v>
      </c>
      <c r="M39" s="51">
        <v>0</v>
      </c>
      <c r="N39" s="51">
        <v>0</v>
      </c>
      <c r="O39" s="53" t="s">
        <v>35</v>
      </c>
      <c r="P39" s="53">
        <v>2115</v>
      </c>
      <c r="Q39" s="50" t="s">
        <v>34</v>
      </c>
      <c r="R39" t="s">
        <v>222</v>
      </c>
      <c r="S39" t="s">
        <v>223</v>
      </c>
      <c r="T39" t="s">
        <v>224</v>
      </c>
      <c r="U39" t="s">
        <v>162</v>
      </c>
      <c r="V39" t="s">
        <v>85</v>
      </c>
      <c r="W39" t="s">
        <v>37</v>
      </c>
      <c r="Y39" s="54">
        <v>31.961580655040827</v>
      </c>
    </row>
    <row r="40" spans="1:25" x14ac:dyDescent="0.25">
      <c r="A40" t="s">
        <v>225</v>
      </c>
      <c r="B40" t="s">
        <v>46</v>
      </c>
      <c r="C40" s="50" t="s">
        <v>46</v>
      </c>
      <c r="D40" t="s">
        <v>51</v>
      </c>
      <c r="E40" s="50">
        <v>10540008</v>
      </c>
      <c r="F40" t="s">
        <v>214</v>
      </c>
      <c r="G40">
        <v>6</v>
      </c>
      <c r="H40" s="51">
        <v>18.21</v>
      </c>
      <c r="I40" s="51">
        <v>1390.0789331228</v>
      </c>
      <c r="J40" s="53">
        <v>0</v>
      </c>
      <c r="K40" s="53">
        <v>0</v>
      </c>
      <c r="L40" s="53">
        <v>130</v>
      </c>
      <c r="M40" s="51">
        <v>0</v>
      </c>
      <c r="N40" s="51">
        <v>0</v>
      </c>
      <c r="O40" s="53" t="s">
        <v>35</v>
      </c>
      <c r="P40" s="53">
        <v>1260</v>
      </c>
      <c r="Q40" s="50" t="s">
        <v>34</v>
      </c>
      <c r="R40" t="s">
        <v>226</v>
      </c>
      <c r="S40" t="s">
        <v>227</v>
      </c>
      <c r="T40" t="s">
        <v>224</v>
      </c>
      <c r="U40" t="s">
        <v>162</v>
      </c>
      <c r="V40" t="s">
        <v>85</v>
      </c>
      <c r="W40" t="s">
        <v>37</v>
      </c>
      <c r="Y40" s="54">
        <v>22.900806146998356</v>
      </c>
    </row>
    <row r="41" spans="1:25" x14ac:dyDescent="0.25">
      <c r="A41" t="s">
        <v>228</v>
      </c>
      <c r="B41" t="s">
        <v>46</v>
      </c>
      <c r="C41" s="50" t="s">
        <v>46</v>
      </c>
      <c r="D41" t="s">
        <v>51</v>
      </c>
      <c r="E41" s="50">
        <v>10540008</v>
      </c>
      <c r="F41" t="s">
        <v>134</v>
      </c>
      <c r="G41">
        <v>14</v>
      </c>
      <c r="H41" s="51">
        <v>26.91</v>
      </c>
      <c r="I41" s="51">
        <v>1575.5023142892906</v>
      </c>
      <c r="J41" s="53">
        <v>0</v>
      </c>
      <c r="K41" s="53">
        <v>0</v>
      </c>
      <c r="L41" s="53">
        <v>248</v>
      </c>
      <c r="M41" s="51">
        <v>43</v>
      </c>
      <c r="N41" s="51">
        <v>500</v>
      </c>
      <c r="O41" s="53" t="s">
        <v>35</v>
      </c>
      <c r="P41" s="53">
        <v>785</v>
      </c>
      <c r="Q41" s="50" t="s">
        <v>34</v>
      </c>
      <c r="R41" t="s">
        <v>229</v>
      </c>
      <c r="S41" t="s">
        <v>230</v>
      </c>
      <c r="T41" t="s">
        <v>209</v>
      </c>
      <c r="U41" t="s">
        <v>210</v>
      </c>
      <c r="V41" t="s">
        <v>85</v>
      </c>
      <c r="W41" t="s">
        <v>37</v>
      </c>
      <c r="Y41" s="54">
        <v>40.982966183667912</v>
      </c>
    </row>
    <row r="42" spans="1:25" x14ac:dyDescent="0.25">
      <c r="A42" t="s">
        <v>231</v>
      </c>
      <c r="B42" t="s">
        <v>46</v>
      </c>
      <c r="C42" s="50" t="s">
        <v>46</v>
      </c>
      <c r="D42" t="s">
        <v>51</v>
      </c>
      <c r="E42" s="50">
        <v>10540008</v>
      </c>
      <c r="F42" t="s">
        <v>232</v>
      </c>
      <c r="G42">
        <v>14</v>
      </c>
      <c r="H42" s="51">
        <v>47.269999999999996</v>
      </c>
      <c r="I42" s="51">
        <v>2807.1779009566139</v>
      </c>
      <c r="J42" s="53">
        <v>0</v>
      </c>
      <c r="K42" s="53">
        <v>0</v>
      </c>
      <c r="L42" s="53">
        <v>150</v>
      </c>
      <c r="M42" s="51">
        <v>2657</v>
      </c>
      <c r="N42" s="51">
        <v>0</v>
      </c>
      <c r="O42" s="53" t="s">
        <v>35</v>
      </c>
      <c r="P42" s="53">
        <v>0</v>
      </c>
      <c r="Q42" s="50" t="s">
        <v>34</v>
      </c>
      <c r="R42" t="s">
        <v>233</v>
      </c>
      <c r="S42" t="s">
        <v>234</v>
      </c>
      <c r="T42" t="s">
        <v>224</v>
      </c>
      <c r="U42" t="s">
        <v>235</v>
      </c>
      <c r="V42" t="s">
        <v>85</v>
      </c>
      <c r="W42" t="s">
        <v>37</v>
      </c>
      <c r="Y42" s="54">
        <v>41.570224892524436</v>
      </c>
    </row>
    <row r="43" spans="1:25" x14ac:dyDescent="0.25">
      <c r="A43" t="s">
        <v>236</v>
      </c>
      <c r="B43" t="s">
        <v>46</v>
      </c>
      <c r="C43" s="50" t="s">
        <v>46</v>
      </c>
      <c r="D43" t="s">
        <v>51</v>
      </c>
      <c r="E43" s="50">
        <v>10540008</v>
      </c>
      <c r="F43" t="s">
        <v>144</v>
      </c>
      <c r="G43">
        <v>13</v>
      </c>
      <c r="H43" s="51">
        <v>21.599999999999998</v>
      </c>
      <c r="I43" s="51">
        <v>822.17248890885014</v>
      </c>
      <c r="J43" s="53">
        <v>0</v>
      </c>
      <c r="K43" s="53">
        <v>0</v>
      </c>
      <c r="L43" s="53">
        <v>150</v>
      </c>
      <c r="M43" s="51">
        <v>0</v>
      </c>
      <c r="N43" s="51">
        <v>0</v>
      </c>
      <c r="O43" s="53" t="s">
        <v>35</v>
      </c>
      <c r="P43" s="53">
        <v>672</v>
      </c>
      <c r="Q43" s="50" t="s">
        <v>34</v>
      </c>
      <c r="R43" t="s">
        <v>237</v>
      </c>
      <c r="S43" t="s">
        <v>238</v>
      </c>
      <c r="T43" t="s">
        <v>224</v>
      </c>
      <c r="U43" t="s">
        <v>162</v>
      </c>
      <c r="V43" t="s">
        <v>85</v>
      </c>
      <c r="W43" t="s">
        <v>37</v>
      </c>
      <c r="Y43" s="54">
        <v>24.741301749571882</v>
      </c>
    </row>
    <row r="44" spans="1:25" x14ac:dyDescent="0.25">
      <c r="A44" t="s">
        <v>239</v>
      </c>
      <c r="B44" t="s">
        <v>46</v>
      </c>
      <c r="C44" s="50" t="s">
        <v>46</v>
      </c>
      <c r="D44" t="s">
        <v>51</v>
      </c>
      <c r="E44" s="50">
        <v>10540008</v>
      </c>
      <c r="F44" t="s">
        <v>191</v>
      </c>
      <c r="G44">
        <v>14</v>
      </c>
      <c r="H44" s="51">
        <v>12.3</v>
      </c>
      <c r="I44" s="51">
        <v>510.42720464310003</v>
      </c>
      <c r="J44" s="53">
        <v>0</v>
      </c>
      <c r="K44" s="53">
        <v>0</v>
      </c>
      <c r="L44" s="53">
        <v>0</v>
      </c>
      <c r="M44" s="51">
        <v>0</v>
      </c>
      <c r="N44" s="51">
        <v>0</v>
      </c>
      <c r="O44" s="53" t="s">
        <v>35</v>
      </c>
      <c r="P44" s="53">
        <v>510</v>
      </c>
      <c r="Q44" s="50" t="s">
        <v>34</v>
      </c>
      <c r="R44" t="s">
        <v>240</v>
      </c>
      <c r="S44" t="s">
        <v>241</v>
      </c>
      <c r="T44" t="s">
        <v>224</v>
      </c>
      <c r="U44" t="s">
        <v>162</v>
      </c>
      <c r="V44" t="s">
        <v>85</v>
      </c>
      <c r="W44" t="s">
        <v>37</v>
      </c>
      <c r="Y44" s="54">
        <v>29.048702703265857</v>
      </c>
    </row>
    <row r="45" spans="1:25" x14ac:dyDescent="0.25">
      <c r="A45" t="s">
        <v>242</v>
      </c>
      <c r="B45" t="s">
        <v>46</v>
      </c>
      <c r="C45" s="50" t="s">
        <v>46</v>
      </c>
      <c r="D45" t="s">
        <v>51</v>
      </c>
      <c r="E45" s="50">
        <v>10540008</v>
      </c>
      <c r="F45" t="s">
        <v>243</v>
      </c>
      <c r="G45">
        <v>1</v>
      </c>
      <c r="H45" s="51">
        <v>3.05</v>
      </c>
      <c r="I45" s="51">
        <v>256.68732741399992</v>
      </c>
      <c r="J45" s="53">
        <v>0</v>
      </c>
      <c r="K45" s="53">
        <v>0</v>
      </c>
      <c r="L45" s="53">
        <v>0</v>
      </c>
      <c r="M45" s="51">
        <v>0</v>
      </c>
      <c r="N45" s="51">
        <v>0</v>
      </c>
      <c r="O45" s="53" t="s">
        <v>35</v>
      </c>
      <c r="P45" s="53">
        <v>257</v>
      </c>
      <c r="Q45" s="50" t="s">
        <v>34</v>
      </c>
      <c r="R45" t="s">
        <v>244</v>
      </c>
      <c r="S45" t="s">
        <v>245</v>
      </c>
      <c r="T45" t="s">
        <v>246</v>
      </c>
      <c r="U45" t="s">
        <v>247</v>
      </c>
      <c r="V45" t="s">
        <v>85</v>
      </c>
      <c r="W45" t="s">
        <v>37</v>
      </c>
      <c r="Y45" s="54">
        <v>4.2079889739999992</v>
      </c>
    </row>
    <row r="46" spans="1:25" x14ac:dyDescent="0.25">
      <c r="A46" t="s">
        <v>248</v>
      </c>
      <c r="B46" t="s">
        <v>46</v>
      </c>
      <c r="C46" s="50" t="s">
        <v>46</v>
      </c>
      <c r="D46" t="s">
        <v>51</v>
      </c>
      <c r="E46" s="50">
        <v>10540008</v>
      </c>
      <c r="F46" t="s">
        <v>249</v>
      </c>
      <c r="G46">
        <v>7</v>
      </c>
      <c r="H46" s="51">
        <v>11.209999999999999</v>
      </c>
      <c r="I46" s="51">
        <v>479.5242176406</v>
      </c>
      <c r="J46" s="53">
        <v>0</v>
      </c>
      <c r="K46" s="53">
        <v>0</v>
      </c>
      <c r="L46" s="53">
        <v>180</v>
      </c>
      <c r="M46" s="51">
        <v>0</v>
      </c>
      <c r="N46" s="51">
        <v>0</v>
      </c>
      <c r="O46" s="53" t="s">
        <v>35</v>
      </c>
      <c r="P46" s="53">
        <v>300</v>
      </c>
      <c r="Q46" s="50" t="s">
        <v>34</v>
      </c>
      <c r="R46" t="s">
        <v>250</v>
      </c>
      <c r="S46" t="s">
        <v>251</v>
      </c>
      <c r="T46" t="s">
        <v>209</v>
      </c>
      <c r="U46" t="s">
        <v>210</v>
      </c>
      <c r="V46" t="s">
        <v>85</v>
      </c>
      <c r="W46" t="s">
        <v>37</v>
      </c>
      <c r="Y46" s="54">
        <v>14.971764154702054</v>
      </c>
    </row>
    <row r="47" spans="1:25" x14ac:dyDescent="0.25">
      <c r="A47" t="s">
        <v>252</v>
      </c>
      <c r="B47" t="s">
        <v>46</v>
      </c>
      <c r="C47" s="50" t="s">
        <v>46</v>
      </c>
      <c r="D47" t="s">
        <v>51</v>
      </c>
      <c r="E47" s="50">
        <v>10540008</v>
      </c>
      <c r="F47" t="s">
        <v>253</v>
      </c>
      <c r="G47">
        <v>12</v>
      </c>
      <c r="H47" s="51">
        <v>19.79</v>
      </c>
      <c r="I47" s="51">
        <v>770.72406359010017</v>
      </c>
      <c r="J47" s="53">
        <v>0</v>
      </c>
      <c r="K47" s="53">
        <v>0</v>
      </c>
      <c r="L47" s="53">
        <v>150</v>
      </c>
      <c r="M47" s="51">
        <v>0</v>
      </c>
      <c r="N47" s="51">
        <v>0</v>
      </c>
      <c r="O47" s="53" t="s">
        <v>35</v>
      </c>
      <c r="P47" s="53">
        <v>621</v>
      </c>
      <c r="Q47" s="50" t="s">
        <v>34</v>
      </c>
      <c r="R47" t="s">
        <v>254</v>
      </c>
      <c r="S47" t="s">
        <v>255</v>
      </c>
      <c r="T47" t="s">
        <v>209</v>
      </c>
      <c r="U47" t="s">
        <v>256</v>
      </c>
      <c r="V47" t="s">
        <v>85</v>
      </c>
      <c r="W47" t="s">
        <v>37</v>
      </c>
      <c r="Y47" s="54">
        <v>23.367076207885813</v>
      </c>
    </row>
    <row r="48" spans="1:25" x14ac:dyDescent="0.25">
      <c r="A48" t="s">
        <v>257</v>
      </c>
      <c r="B48" t="s">
        <v>46</v>
      </c>
      <c r="C48" s="50" t="s">
        <v>46</v>
      </c>
      <c r="D48" t="s">
        <v>51</v>
      </c>
      <c r="E48" s="50">
        <v>10540008</v>
      </c>
      <c r="F48" t="s">
        <v>258</v>
      </c>
      <c r="G48">
        <v>14</v>
      </c>
      <c r="H48" s="51">
        <v>38.019999999999996</v>
      </c>
      <c r="I48" s="51">
        <v>1430.6983748890505</v>
      </c>
      <c r="J48" s="53">
        <v>0</v>
      </c>
      <c r="K48" s="53">
        <v>0</v>
      </c>
      <c r="L48" s="53">
        <v>0</v>
      </c>
      <c r="M48" s="51">
        <v>0</v>
      </c>
      <c r="N48" s="51">
        <v>0</v>
      </c>
      <c r="O48" s="53" t="s">
        <v>35</v>
      </c>
      <c r="P48" s="53">
        <v>1431</v>
      </c>
      <c r="Q48" s="50" t="s">
        <v>34</v>
      </c>
      <c r="R48" t="s">
        <v>259</v>
      </c>
      <c r="S48" t="s">
        <v>260</v>
      </c>
      <c r="T48" t="s">
        <v>151</v>
      </c>
      <c r="U48" t="s">
        <v>91</v>
      </c>
      <c r="V48" t="s">
        <v>85</v>
      </c>
      <c r="W48" t="s">
        <v>37</v>
      </c>
      <c r="Y48" s="54">
        <v>26.341106323575367</v>
      </c>
    </row>
    <row r="49" spans="1:25" x14ac:dyDescent="0.25">
      <c r="A49" t="s">
        <v>261</v>
      </c>
      <c r="B49" t="s">
        <v>46</v>
      </c>
      <c r="C49" s="50" t="s">
        <v>46</v>
      </c>
      <c r="D49" t="s">
        <v>52</v>
      </c>
      <c r="E49" s="50">
        <v>10540016</v>
      </c>
      <c r="F49" t="s">
        <v>77</v>
      </c>
      <c r="G49">
        <v>12</v>
      </c>
      <c r="H49" s="51">
        <v>1.28</v>
      </c>
      <c r="I49" s="51">
        <v>73.219003889580023</v>
      </c>
      <c r="J49" s="53">
        <v>0</v>
      </c>
      <c r="K49" s="53">
        <v>73.219003889580023</v>
      </c>
      <c r="L49" s="53">
        <v>0</v>
      </c>
      <c r="M49" s="51">
        <v>0</v>
      </c>
      <c r="N49" s="51">
        <v>0</v>
      </c>
      <c r="O49" s="53" t="s">
        <v>35</v>
      </c>
      <c r="P49" s="53">
        <v>0</v>
      </c>
      <c r="Q49" s="50" t="s">
        <v>34</v>
      </c>
      <c r="R49">
        <v>0</v>
      </c>
      <c r="S49">
        <v>0</v>
      </c>
      <c r="T49">
        <v>0</v>
      </c>
      <c r="U49">
        <v>0</v>
      </c>
      <c r="V49" t="s">
        <v>78</v>
      </c>
      <c r="W49" t="s">
        <v>37</v>
      </c>
      <c r="Y49" s="54">
        <v>0</v>
      </c>
    </row>
    <row r="50" spans="1:25" x14ac:dyDescent="0.25">
      <c r="A50" t="s">
        <v>262</v>
      </c>
      <c r="B50" t="s">
        <v>46</v>
      </c>
      <c r="C50" s="50" t="s">
        <v>46</v>
      </c>
      <c r="D50" t="s">
        <v>52</v>
      </c>
      <c r="E50" s="50">
        <v>10540016</v>
      </c>
      <c r="F50" t="s">
        <v>100</v>
      </c>
      <c r="G50">
        <v>6</v>
      </c>
      <c r="H50" s="51">
        <v>38.56</v>
      </c>
      <c r="I50" s="51">
        <v>2171.8857435788404</v>
      </c>
      <c r="J50" s="53">
        <v>0</v>
      </c>
      <c r="K50" s="53">
        <v>0</v>
      </c>
      <c r="L50" s="53">
        <v>6</v>
      </c>
      <c r="M50" s="51">
        <v>2166</v>
      </c>
      <c r="N50" s="51">
        <v>0</v>
      </c>
      <c r="O50" s="53" t="s">
        <v>35</v>
      </c>
      <c r="P50" s="53">
        <v>0</v>
      </c>
      <c r="Q50" s="50" t="s">
        <v>34</v>
      </c>
      <c r="R50" t="s">
        <v>263</v>
      </c>
      <c r="S50" t="s">
        <v>264</v>
      </c>
      <c r="T50" t="s">
        <v>265</v>
      </c>
      <c r="U50" t="s">
        <v>266</v>
      </c>
      <c r="V50" t="s">
        <v>85</v>
      </c>
      <c r="W50" t="s">
        <v>37</v>
      </c>
      <c r="Y50" s="54">
        <v>16.897451324524173</v>
      </c>
    </row>
    <row r="51" spans="1:25" x14ac:dyDescent="0.25">
      <c r="A51" t="s">
        <v>267</v>
      </c>
      <c r="B51" t="s">
        <v>46</v>
      </c>
      <c r="C51" s="50" t="s">
        <v>46</v>
      </c>
      <c r="D51" t="s">
        <v>52</v>
      </c>
      <c r="E51" s="50">
        <v>10540016</v>
      </c>
      <c r="F51" t="s">
        <v>80</v>
      </c>
      <c r="G51">
        <v>12</v>
      </c>
      <c r="H51" s="51">
        <v>50.44</v>
      </c>
      <c r="I51" s="51">
        <v>3081.86365754692</v>
      </c>
      <c r="J51" s="53">
        <v>0</v>
      </c>
      <c r="K51" s="53">
        <v>0</v>
      </c>
      <c r="L51" s="53">
        <v>0</v>
      </c>
      <c r="M51" s="51">
        <v>0</v>
      </c>
      <c r="N51" s="51">
        <v>0</v>
      </c>
      <c r="O51" s="53" t="s">
        <v>35</v>
      </c>
      <c r="P51" s="53">
        <v>3082</v>
      </c>
      <c r="Q51" s="50" t="s">
        <v>34</v>
      </c>
      <c r="R51" t="s">
        <v>268</v>
      </c>
      <c r="S51" t="s">
        <v>269</v>
      </c>
      <c r="T51" t="s">
        <v>265</v>
      </c>
      <c r="U51" t="s">
        <v>266</v>
      </c>
      <c r="V51" t="s">
        <v>85</v>
      </c>
      <c r="W51" t="s">
        <v>37</v>
      </c>
      <c r="X51" s="55"/>
      <c r="Y51" s="54">
        <v>36.659758019987159</v>
      </c>
    </row>
    <row r="52" spans="1:25" x14ac:dyDescent="0.25">
      <c r="A52" t="s">
        <v>270</v>
      </c>
      <c r="B52" t="s">
        <v>46</v>
      </c>
      <c r="C52" s="50" t="s">
        <v>46</v>
      </c>
      <c r="D52" t="s">
        <v>52</v>
      </c>
      <c r="E52" s="50">
        <v>10540016</v>
      </c>
      <c r="F52" t="s">
        <v>271</v>
      </c>
      <c r="G52">
        <v>12</v>
      </c>
      <c r="H52" s="51">
        <v>86.460000000000008</v>
      </c>
      <c r="I52" s="51">
        <v>5297.5877353310007</v>
      </c>
      <c r="J52" s="53">
        <v>0</v>
      </c>
      <c r="K52" s="53">
        <v>0</v>
      </c>
      <c r="L52" s="53">
        <v>0</v>
      </c>
      <c r="M52" s="51">
        <v>4584</v>
      </c>
      <c r="N52" s="51">
        <v>0</v>
      </c>
      <c r="O52" s="53" t="s">
        <v>35</v>
      </c>
      <c r="P52" s="53">
        <v>714</v>
      </c>
      <c r="Q52" s="50" t="s">
        <v>34</v>
      </c>
      <c r="R52" t="s">
        <v>272</v>
      </c>
      <c r="S52" t="s">
        <v>273</v>
      </c>
      <c r="T52" t="s">
        <v>265</v>
      </c>
      <c r="U52" t="s">
        <v>266</v>
      </c>
      <c r="V52" t="s">
        <v>85</v>
      </c>
      <c r="W52" t="s">
        <v>37</v>
      </c>
      <c r="Y52" s="54">
        <v>36.76327366641916</v>
      </c>
    </row>
    <row r="53" spans="1:25" x14ac:dyDescent="0.25">
      <c r="A53" t="s">
        <v>274</v>
      </c>
      <c r="B53" t="s">
        <v>46</v>
      </c>
      <c r="C53" s="50" t="s">
        <v>46</v>
      </c>
      <c r="D53" t="s">
        <v>52</v>
      </c>
      <c r="E53" s="50">
        <v>10540016</v>
      </c>
      <c r="F53" t="s">
        <v>125</v>
      </c>
      <c r="G53">
        <v>14</v>
      </c>
      <c r="H53" s="51">
        <v>84.92</v>
      </c>
      <c r="I53" s="51">
        <v>4405.2063013665875</v>
      </c>
      <c r="J53" s="53">
        <v>0</v>
      </c>
      <c r="K53" s="53">
        <v>0</v>
      </c>
      <c r="L53" s="53">
        <v>0</v>
      </c>
      <c r="M53" s="51">
        <v>0</v>
      </c>
      <c r="N53" s="51">
        <v>0</v>
      </c>
      <c r="O53" s="53" t="s">
        <v>35</v>
      </c>
      <c r="P53" s="53">
        <v>4405</v>
      </c>
      <c r="Q53" s="50" t="s">
        <v>34</v>
      </c>
      <c r="R53" t="s">
        <v>275</v>
      </c>
      <c r="S53" t="s">
        <v>276</v>
      </c>
      <c r="T53" t="s">
        <v>277</v>
      </c>
      <c r="U53" t="s">
        <v>278</v>
      </c>
      <c r="V53" t="s">
        <v>85</v>
      </c>
      <c r="W53" t="s">
        <v>37</v>
      </c>
      <c r="X53" s="55"/>
      <c r="Y53" s="54">
        <v>36.312345866187137</v>
      </c>
    </row>
    <row r="54" spans="1:25" x14ac:dyDescent="0.25">
      <c r="A54" t="s">
        <v>279</v>
      </c>
      <c r="B54" t="s">
        <v>46</v>
      </c>
      <c r="C54" s="50" t="s">
        <v>46</v>
      </c>
      <c r="D54" t="s">
        <v>52</v>
      </c>
      <c r="E54" s="50">
        <v>10540016</v>
      </c>
      <c r="F54" t="s">
        <v>129</v>
      </c>
      <c r="G54">
        <v>13</v>
      </c>
      <c r="H54" s="51">
        <v>25.720000000000006</v>
      </c>
      <c r="I54" s="51">
        <v>1024.5791606220002</v>
      </c>
      <c r="J54" s="53">
        <v>0</v>
      </c>
      <c r="K54" s="53">
        <v>0</v>
      </c>
      <c r="L54" s="53">
        <v>0</v>
      </c>
      <c r="M54" s="51">
        <v>0</v>
      </c>
      <c r="N54" s="51">
        <v>0</v>
      </c>
      <c r="O54" s="53" t="s">
        <v>35</v>
      </c>
      <c r="P54" s="53">
        <v>1025</v>
      </c>
      <c r="Q54" s="50" t="s">
        <v>34</v>
      </c>
      <c r="R54" t="s">
        <v>280</v>
      </c>
      <c r="S54" t="s">
        <v>281</v>
      </c>
      <c r="T54" t="s">
        <v>282</v>
      </c>
      <c r="U54" t="s">
        <v>84</v>
      </c>
      <c r="V54" t="s">
        <v>85</v>
      </c>
      <c r="W54" t="s">
        <v>37</v>
      </c>
      <c r="Y54" s="54">
        <v>25.893330264552876</v>
      </c>
    </row>
    <row r="55" spans="1:25" x14ac:dyDescent="0.25">
      <c r="A55" t="s">
        <v>283</v>
      </c>
      <c r="B55" t="s">
        <v>46</v>
      </c>
      <c r="C55" s="50" t="s">
        <v>46</v>
      </c>
      <c r="D55" t="s">
        <v>52</v>
      </c>
      <c r="E55" s="50">
        <v>10540016</v>
      </c>
      <c r="F55" t="s">
        <v>232</v>
      </c>
      <c r="G55">
        <v>14</v>
      </c>
      <c r="H55" s="51">
        <v>92.5</v>
      </c>
      <c r="I55" s="51">
        <v>4891.5472094708202</v>
      </c>
      <c r="J55" s="53">
        <v>0</v>
      </c>
      <c r="K55" s="53">
        <v>0</v>
      </c>
      <c r="L55" s="53">
        <v>0</v>
      </c>
      <c r="M55" s="51">
        <v>0</v>
      </c>
      <c r="N55" s="51">
        <v>0</v>
      </c>
      <c r="O55" s="53" t="s">
        <v>35</v>
      </c>
      <c r="P55" s="53">
        <v>4892</v>
      </c>
      <c r="Q55" s="50" t="s">
        <v>34</v>
      </c>
      <c r="R55" t="s">
        <v>284</v>
      </c>
      <c r="S55" t="s">
        <v>285</v>
      </c>
      <c r="T55" t="s">
        <v>209</v>
      </c>
      <c r="U55" t="s">
        <v>210</v>
      </c>
      <c r="V55" t="s">
        <v>85</v>
      </c>
      <c r="W55" t="s">
        <v>37</v>
      </c>
      <c r="Y55" s="54">
        <v>37.017114017617018</v>
      </c>
    </row>
    <row r="56" spans="1:25" x14ac:dyDescent="0.25">
      <c r="A56" t="s">
        <v>286</v>
      </c>
      <c r="B56" t="s">
        <v>46</v>
      </c>
      <c r="C56" s="50" t="s">
        <v>46</v>
      </c>
      <c r="D56" t="s">
        <v>52</v>
      </c>
      <c r="E56" s="50">
        <v>10540016</v>
      </c>
      <c r="F56" t="s">
        <v>144</v>
      </c>
      <c r="G56">
        <v>7</v>
      </c>
      <c r="H56" s="51">
        <v>9.98</v>
      </c>
      <c r="I56" s="51">
        <v>548.31581572844004</v>
      </c>
      <c r="J56" s="53">
        <v>0</v>
      </c>
      <c r="K56" s="53">
        <v>0</v>
      </c>
      <c r="L56" s="53">
        <v>0</v>
      </c>
      <c r="M56" s="51">
        <v>0</v>
      </c>
      <c r="N56" s="51">
        <v>0</v>
      </c>
      <c r="O56" s="53" t="s">
        <v>35</v>
      </c>
      <c r="P56" s="53">
        <v>548</v>
      </c>
      <c r="Q56" s="50" t="s">
        <v>34</v>
      </c>
      <c r="R56" t="s">
        <v>287</v>
      </c>
      <c r="S56" t="s">
        <v>288</v>
      </c>
      <c r="T56" t="s">
        <v>289</v>
      </c>
      <c r="U56" t="s">
        <v>91</v>
      </c>
      <c r="V56" t="s">
        <v>85</v>
      </c>
      <c r="W56" t="s">
        <v>37</v>
      </c>
      <c r="Y56" s="54">
        <v>19.229512575646694</v>
      </c>
    </row>
    <row r="57" spans="1:25" x14ac:dyDescent="0.25">
      <c r="A57" t="s">
        <v>290</v>
      </c>
      <c r="B57" t="s">
        <v>46</v>
      </c>
      <c r="C57" s="50" t="s">
        <v>46</v>
      </c>
      <c r="D57" t="s">
        <v>52</v>
      </c>
      <c r="E57" s="50">
        <v>10540016</v>
      </c>
      <c r="F57" t="s">
        <v>291</v>
      </c>
      <c r="G57">
        <v>6</v>
      </c>
      <c r="H57" s="51">
        <v>10.52</v>
      </c>
      <c r="I57" s="51">
        <v>602.68930399138003</v>
      </c>
      <c r="J57" s="53">
        <v>0</v>
      </c>
      <c r="K57" s="53">
        <v>0</v>
      </c>
      <c r="L57" s="53">
        <v>0</v>
      </c>
      <c r="M57" s="51">
        <v>0</v>
      </c>
      <c r="N57" s="51">
        <v>0</v>
      </c>
      <c r="O57" s="53" t="s">
        <v>35</v>
      </c>
      <c r="P57" s="53">
        <v>603</v>
      </c>
      <c r="Q57" s="50" t="s">
        <v>34</v>
      </c>
      <c r="R57" t="s">
        <v>292</v>
      </c>
      <c r="S57" t="s">
        <v>293</v>
      </c>
      <c r="T57" t="s">
        <v>294</v>
      </c>
      <c r="U57" t="s">
        <v>84</v>
      </c>
      <c r="V57" t="s">
        <v>85</v>
      </c>
      <c r="W57" t="s">
        <v>37</v>
      </c>
      <c r="Y57" s="54">
        <v>17.186957338157228</v>
      </c>
    </row>
    <row r="58" spans="1:25" x14ac:dyDescent="0.25">
      <c r="A58" t="s">
        <v>295</v>
      </c>
      <c r="B58" t="s">
        <v>46</v>
      </c>
      <c r="C58" s="50" t="s">
        <v>46</v>
      </c>
      <c r="D58" t="s">
        <v>53</v>
      </c>
      <c r="E58" s="50">
        <v>10540017</v>
      </c>
      <c r="F58" t="s">
        <v>100</v>
      </c>
      <c r="G58">
        <v>12</v>
      </c>
      <c r="H58" s="51">
        <v>518.22</v>
      </c>
      <c r="I58" s="51">
        <v>25792.801770067159</v>
      </c>
      <c r="J58" s="53">
        <v>0</v>
      </c>
      <c r="K58" s="53">
        <v>0</v>
      </c>
      <c r="L58" s="53">
        <v>1102</v>
      </c>
      <c r="M58" s="51">
        <v>2700</v>
      </c>
      <c r="N58" s="51">
        <v>0</v>
      </c>
      <c r="O58" s="53" t="s">
        <v>35</v>
      </c>
      <c r="P58" s="53">
        <v>21991</v>
      </c>
      <c r="Q58" s="50" t="s">
        <v>34</v>
      </c>
      <c r="R58" t="s">
        <v>296</v>
      </c>
      <c r="S58" t="s">
        <v>297</v>
      </c>
      <c r="T58" t="s">
        <v>83</v>
      </c>
      <c r="U58" t="s">
        <v>84</v>
      </c>
      <c r="V58" t="s">
        <v>85</v>
      </c>
      <c r="W58" t="s">
        <v>37</v>
      </c>
      <c r="Y58" s="54">
        <v>29.863148975416419</v>
      </c>
    </row>
    <row r="59" spans="1:25" x14ac:dyDescent="0.25">
      <c r="A59" t="s">
        <v>298</v>
      </c>
      <c r="B59" t="s">
        <v>46</v>
      </c>
      <c r="C59" s="50" t="s">
        <v>46</v>
      </c>
      <c r="D59" t="s">
        <v>53</v>
      </c>
      <c r="E59" s="50">
        <v>10540017</v>
      </c>
      <c r="F59" t="s">
        <v>271</v>
      </c>
      <c r="G59">
        <v>9</v>
      </c>
      <c r="H59" s="51">
        <v>331.65000000000003</v>
      </c>
      <c r="I59" s="51">
        <v>15916.681599592259</v>
      </c>
      <c r="J59" s="53">
        <v>0</v>
      </c>
      <c r="K59" s="53">
        <v>0</v>
      </c>
      <c r="L59" s="53">
        <v>0</v>
      </c>
      <c r="M59" s="51">
        <v>0</v>
      </c>
      <c r="N59" s="51">
        <v>0</v>
      </c>
      <c r="O59" s="53" t="s">
        <v>35</v>
      </c>
      <c r="P59" s="53">
        <v>15917</v>
      </c>
      <c r="Q59" s="50" t="s">
        <v>34</v>
      </c>
      <c r="R59" t="s">
        <v>299</v>
      </c>
      <c r="S59" t="s">
        <v>300</v>
      </c>
      <c r="T59" t="s">
        <v>224</v>
      </c>
      <c r="U59" t="s">
        <v>162</v>
      </c>
      <c r="V59" t="s">
        <v>85</v>
      </c>
      <c r="W59" t="s">
        <v>37</v>
      </c>
      <c r="Y59" s="54">
        <v>21.596582903110253</v>
      </c>
    </row>
    <row r="60" spans="1:25" ht="15.75" thickBot="1" x14ac:dyDescent="0.3">
      <c r="A60" s="56" t="s">
        <v>301</v>
      </c>
      <c r="B60" s="56" t="s">
        <v>46</v>
      </c>
      <c r="C60" s="57" t="s">
        <v>46</v>
      </c>
      <c r="D60" s="56" t="s">
        <v>54</v>
      </c>
      <c r="E60" s="57">
        <v>10540046</v>
      </c>
      <c r="F60" s="56" t="s">
        <v>100</v>
      </c>
      <c r="G60" s="56">
        <v>14</v>
      </c>
      <c r="H60" s="58">
        <v>593.13</v>
      </c>
      <c r="I60" s="58">
        <v>38394.704990999307</v>
      </c>
      <c r="J60" s="59">
        <v>0</v>
      </c>
      <c r="K60" s="59">
        <v>0</v>
      </c>
      <c r="L60" s="59">
        <v>12781</v>
      </c>
      <c r="M60" s="58">
        <v>10800</v>
      </c>
      <c r="N60" s="58">
        <v>0</v>
      </c>
      <c r="O60" s="59" t="s">
        <v>35</v>
      </c>
      <c r="P60" s="59">
        <v>14814</v>
      </c>
      <c r="Q60" s="57" t="s">
        <v>34</v>
      </c>
      <c r="R60" s="56" t="s">
        <v>302</v>
      </c>
      <c r="S60" s="56" t="s">
        <v>303</v>
      </c>
      <c r="T60" s="56" t="s">
        <v>304</v>
      </c>
      <c r="U60" s="56" t="s">
        <v>305</v>
      </c>
      <c r="V60" s="56" t="s">
        <v>85</v>
      </c>
      <c r="W60" s="56" t="s">
        <v>37</v>
      </c>
      <c r="Y60" s="54">
        <v>45.31265235900986</v>
      </c>
    </row>
    <row r="61" spans="1:25" ht="15.75" thickTop="1" x14ac:dyDescent="0.25">
      <c r="P61" s="60">
        <f>SUM(P2:P60)</f>
        <v>253368</v>
      </c>
    </row>
  </sheetData>
  <conditionalFormatting sqref="A2:A60">
    <cfRule type="duplicateValues" dxfId="4" priority="2"/>
    <cfRule type="duplicateValues" dxfId="3" priority="3"/>
  </conditionalFormatting>
  <conditionalFormatting sqref="P1:P60">
    <cfRule type="cellIs" dxfId="2" priority="4" operator="lessThan">
      <formula>0</formula>
    </cfRule>
  </conditionalFormatting>
  <conditionalFormatting sqref="P2:P60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2026-06-12T06:37:09Z</dcterms:created>
  <dcterms:modified xsi:type="dcterms:W3CDTF">2026-06-12T06:45:24Z</dcterms:modified>
</cp:coreProperties>
</file>