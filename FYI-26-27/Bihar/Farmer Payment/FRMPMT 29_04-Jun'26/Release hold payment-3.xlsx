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9_04-Jun'26\"/>
    </mc:Choice>
  </mc:AlternateContent>
  <xr:revisionPtr revIDLastSave="0" documentId="8_{2072BAD7-D6EB-410E-8227-DB402E25F603}" xr6:coauthVersionLast="47" xr6:coauthVersionMax="47" xr10:uidLastSave="{00000000-0000-0000-0000-000000000000}"/>
  <bookViews>
    <workbookView xWindow="-120" yWindow="-120" windowWidth="29040" windowHeight="15720" xr2:uid="{FEB6D283-AA5A-4B18-A3AB-E73E49B85A0D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5" i="2" l="1"/>
</calcChain>
</file>

<file path=xl/sharedStrings.xml><?xml version="1.0" encoding="utf-8"?>
<sst xmlns="http://schemas.openxmlformats.org/spreadsheetml/2006/main" count="891" uniqueCount="309">
  <si>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</si>
  <si>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</si>
  <si>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</si>
  <si>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</si>
  <si>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</si>
  <si>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</si>
  <si>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</si>
  <si>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</si>
  <si>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</si>
  <si>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</si>
  <si>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</si>
  <si>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</si>
  <si>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</si>
  <si>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</si>
  <si>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</si>
  <si>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</si>
  <si>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</si>
  <si>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</si>
  <si>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</si>
  <si>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</si>
  <si>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</si>
  <si>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</si>
  <si>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</si>
  <si>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</si>
  <si>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</si>
  <si>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</si>
  <si>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</si>
  <si>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</si>
  <si>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</si>
  <si>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</si>
  <si>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</si>
  <si>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Majhaul</t>
  </si>
  <si>
    <t>Gomukh Mohanpur</t>
  </si>
  <si>
    <t>MPG</t>
  </si>
  <si>
    <t>Direct</t>
  </si>
  <si>
    <t>Release3</t>
  </si>
  <si>
    <t>CO OS&gt;15 Day's</t>
  </si>
  <si>
    <t>10. 29-04 Jun</t>
  </si>
  <si>
    <t>Laldiyara</t>
  </si>
  <si>
    <t>CHETAN-TOLA-KHUTHA</t>
  </si>
  <si>
    <t>Asarganj</t>
  </si>
  <si>
    <t>SRIRAMPUR</t>
  </si>
  <si>
    <t>KATAHRA</t>
  </si>
  <si>
    <t>Sonvarsha</t>
  </si>
  <si>
    <t>PIPARPATI</t>
  </si>
  <si>
    <t>CO OS&gt;15 Day's / Hold by Jayant Sir</t>
  </si>
  <si>
    <t xml:space="preserve">Alauli </t>
  </si>
  <si>
    <t>GOMUKH BATHNAMA</t>
  </si>
  <si>
    <t>CO OS&gt;15 Day's / Hold by Jayant Sir / Hold by Aes</t>
  </si>
  <si>
    <t>Chautham</t>
  </si>
  <si>
    <t>Gomukh Bangalia</t>
  </si>
  <si>
    <t>Warisnagar</t>
  </si>
  <si>
    <t>Nathudawar</t>
  </si>
  <si>
    <t>Hajpurwa Pachim</t>
  </si>
  <si>
    <t>Kamopur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</si>
  <si>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</si>
  <si>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</si>
  <si>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</si>
  <si>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</si>
  <si>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</si>
  <si>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</si>
  <si>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</si>
  <si>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</si>
  <si>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</si>
  <si>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</si>
  <si>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</si>
  <si>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</si>
  <si>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</si>
  <si>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</si>
  <si>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</si>
  <si>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</si>
  <si>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</si>
  <si>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</si>
  <si>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</si>
  <si>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</si>
  <si>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100101450001</t>
  </si>
  <si>
    <t>0001</t>
  </si>
  <si>
    <t>Not Available</t>
  </si>
  <si>
    <t>100101450002</t>
  </si>
  <si>
    <t>0002</t>
  </si>
  <si>
    <t>Amit Kumar</t>
  </si>
  <si>
    <t>34241243980</t>
  </si>
  <si>
    <t>SBIN0016505</t>
  </si>
  <si>
    <t xml:space="preserve">State Bank Of India </t>
  </si>
  <si>
    <t>Available</t>
  </si>
  <si>
    <t>100101450003</t>
  </si>
  <si>
    <t>0003</t>
  </si>
  <si>
    <t>uma Singh</t>
  </si>
  <si>
    <t>38402523739</t>
  </si>
  <si>
    <t>SBI-Kiosk Banking</t>
  </si>
  <si>
    <t>100101450005</t>
  </si>
  <si>
    <t>0005</t>
  </si>
  <si>
    <t>Tajo Khatun</t>
  </si>
  <si>
    <t>14910110030462</t>
  </si>
  <si>
    <t>UCBA0001491</t>
  </si>
  <si>
    <t xml:space="preserve">Uco Bank </t>
  </si>
  <si>
    <t>100101450006</t>
  </si>
  <si>
    <t>0006</t>
  </si>
  <si>
    <t xml:space="preserve">Begam Khatun </t>
  </si>
  <si>
    <t>14910110036075</t>
  </si>
  <si>
    <t>Uco Bank</t>
  </si>
  <si>
    <t>100101450013</t>
  </si>
  <si>
    <t>0013</t>
  </si>
  <si>
    <t xml:space="preserve">Chandraveer Kumar </t>
  </si>
  <si>
    <t>2288000100079753</t>
  </si>
  <si>
    <t>PUNB0228800</t>
  </si>
  <si>
    <t>Punjab National Bank</t>
  </si>
  <si>
    <t>100101450014</t>
  </si>
  <si>
    <t>0014</t>
  </si>
  <si>
    <t xml:space="preserve">Bindu Devi </t>
  </si>
  <si>
    <t>38040700067220</t>
  </si>
  <si>
    <t>PUNB0MBGB06</t>
  </si>
  <si>
    <t>Dakshin Bihar Gramin Bank</t>
  </si>
  <si>
    <t>100101450016</t>
  </si>
  <si>
    <t>0016</t>
  </si>
  <si>
    <t>Barti devi</t>
  </si>
  <si>
    <t>38370110099040</t>
  </si>
  <si>
    <t>Bihar Gramin Bank</t>
  </si>
  <si>
    <t>100101450017</t>
  </si>
  <si>
    <t>0017</t>
  </si>
  <si>
    <t>Ram Sagar Mahto</t>
  </si>
  <si>
    <t>14910100002714</t>
  </si>
  <si>
    <t>100200690001</t>
  </si>
  <si>
    <t>100200690002</t>
  </si>
  <si>
    <t>Ramadhar Singh</t>
  </si>
  <si>
    <t>30537549763</t>
  </si>
  <si>
    <t>SBIN0002916</t>
  </si>
  <si>
    <t xml:space="preserve">State Bank of India </t>
  </si>
  <si>
    <t>100200690003</t>
  </si>
  <si>
    <t xml:space="preserve">Chandan Kumar </t>
  </si>
  <si>
    <t>31100110075697</t>
  </si>
  <si>
    <t xml:space="preserve">Dakshin Bihar Gramin Bank </t>
  </si>
  <si>
    <t>100300490003</t>
  </si>
  <si>
    <t xml:space="preserve">Santosh Kumar </t>
  </si>
  <si>
    <t>12710110051818</t>
  </si>
  <si>
    <t>UCBA0001271</t>
  </si>
  <si>
    <t>100300490005</t>
  </si>
  <si>
    <t xml:space="preserve">Bateshwar Chaudhary </t>
  </si>
  <si>
    <t>36270110017301</t>
  </si>
  <si>
    <t>100300750002</t>
  </si>
  <si>
    <t>Sanjiv Kumar</t>
  </si>
  <si>
    <t>7837000100050063</t>
  </si>
  <si>
    <t>PUNB0783700</t>
  </si>
  <si>
    <t xml:space="preserve">Punjab National Bank </t>
  </si>
  <si>
    <t>100300750003</t>
  </si>
  <si>
    <t>Kajal Kumari</t>
  </si>
  <si>
    <t>260701504483</t>
  </si>
  <si>
    <t>ICIC0002607</t>
  </si>
  <si>
    <t xml:space="preserve">ICICI Bank </t>
  </si>
  <si>
    <t>100300750004</t>
  </si>
  <si>
    <t>0004</t>
  </si>
  <si>
    <t>Anju Devi</t>
  </si>
  <si>
    <t>699702010000904</t>
  </si>
  <si>
    <t>UBIN0569976</t>
  </si>
  <si>
    <t xml:space="preserve">Union Bank of India </t>
  </si>
  <si>
    <t>100300750005</t>
  </si>
  <si>
    <t>38444603683</t>
  </si>
  <si>
    <t>SBIN0003009</t>
  </si>
  <si>
    <t>100601060001</t>
  </si>
  <si>
    <t>100601060002</t>
  </si>
  <si>
    <t>Amrendra Yadav</t>
  </si>
  <si>
    <t>1781000100025146</t>
  </si>
  <si>
    <t>PUNB0178100</t>
  </si>
  <si>
    <t>100601060003</t>
  </si>
  <si>
    <t>Krishnandan yadav</t>
  </si>
  <si>
    <t>1781000100036799</t>
  </si>
  <si>
    <t>100601060007</t>
  </si>
  <si>
    <t>0007</t>
  </si>
  <si>
    <t>Sunil Yadav</t>
  </si>
  <si>
    <t>1781001700045901</t>
  </si>
  <si>
    <t>100601060008</t>
  </si>
  <si>
    <t>0008</t>
  </si>
  <si>
    <t xml:space="preserve">Naveen Kumar </t>
  </si>
  <si>
    <t>1781000100099877</t>
  </si>
  <si>
    <t>100601060009</t>
  </si>
  <si>
    <t>0009</t>
  </si>
  <si>
    <t>Hanuman Sav</t>
  </si>
  <si>
    <t>1781001700090424</t>
  </si>
  <si>
    <t>100601060012</t>
  </si>
  <si>
    <t>0012</t>
  </si>
  <si>
    <t>Rajendra Yadav</t>
  </si>
  <si>
    <t>1781000100057747</t>
  </si>
  <si>
    <t>100601060013</t>
  </si>
  <si>
    <t xml:space="preserve">Sudha Devi </t>
  </si>
  <si>
    <t>1781001700096932</t>
  </si>
  <si>
    <t>100601060015</t>
  </si>
  <si>
    <t>0015</t>
  </si>
  <si>
    <t xml:space="preserve">Sanju Devi </t>
  </si>
  <si>
    <t>42145488885</t>
  </si>
  <si>
    <t>SBIN0012593</t>
  </si>
  <si>
    <t>State Bank Of India</t>
  </si>
  <si>
    <t>100601060016</t>
  </si>
  <si>
    <t>Hreram Yadav</t>
  </si>
  <si>
    <t>1781000100069654</t>
  </si>
  <si>
    <t>101101000002</t>
  </si>
  <si>
    <t xml:space="preserve">Raj Kumar Rajesh </t>
  </si>
  <si>
    <t>343301000001453</t>
  </si>
  <si>
    <t>IOBA0003433</t>
  </si>
  <si>
    <t xml:space="preserve">Indian Overseas Bank </t>
  </si>
  <si>
    <t>101101000004</t>
  </si>
  <si>
    <t>Gaurav Kumar</t>
  </si>
  <si>
    <t>35110700070160</t>
  </si>
  <si>
    <t>101101000005</t>
  </si>
  <si>
    <t>Dip Narayan Yadav</t>
  </si>
  <si>
    <t>582610110001222</t>
  </si>
  <si>
    <t>BKID0005826</t>
  </si>
  <si>
    <t xml:space="preserve">Bank Of India </t>
  </si>
  <si>
    <t>101101000006</t>
  </si>
  <si>
    <t xml:space="preserve">Ajeet Kumar </t>
  </si>
  <si>
    <t>20422897557</t>
  </si>
  <si>
    <t>SBIN0015727</t>
  </si>
  <si>
    <t>101101000008</t>
  </si>
  <si>
    <t>Bhagalu Yadav</t>
  </si>
  <si>
    <t>23980100011953</t>
  </si>
  <si>
    <t>BARB0AMBAIC</t>
  </si>
  <si>
    <t>Bank Of Baroda</t>
  </si>
  <si>
    <t>101101000013</t>
  </si>
  <si>
    <t xml:space="preserve">Amit Kumar </t>
  </si>
  <si>
    <t>6696884925</t>
  </si>
  <si>
    <t>IDIB000K267</t>
  </si>
  <si>
    <t xml:space="preserve">Indian Bank </t>
  </si>
  <si>
    <t>101101000015</t>
  </si>
  <si>
    <t>Rupam Kumari</t>
  </si>
  <si>
    <t>582618210000798</t>
  </si>
  <si>
    <t>101101000018</t>
  </si>
  <si>
    <t>0018</t>
  </si>
  <si>
    <t>Neha Kumari</t>
  </si>
  <si>
    <t>36206999024</t>
  </si>
  <si>
    <t>101101000020</t>
  </si>
  <si>
    <t>0020</t>
  </si>
  <si>
    <t>Vina Devi</t>
  </si>
  <si>
    <t>3291101003075</t>
  </si>
  <si>
    <t>CNRB0003291</t>
  </si>
  <si>
    <t xml:space="preserve">Canara Bank </t>
  </si>
  <si>
    <t>101101000023</t>
  </si>
  <si>
    <t>0023</t>
  </si>
  <si>
    <t>Shailendra Kumar</t>
  </si>
  <si>
    <t>35070100000093</t>
  </si>
  <si>
    <t>101101000025</t>
  </si>
  <si>
    <t>0025</t>
  </si>
  <si>
    <t>Swati Kumari</t>
  </si>
  <si>
    <t>23988100018844</t>
  </si>
  <si>
    <t>101101000029</t>
  </si>
  <si>
    <t>0029</t>
  </si>
  <si>
    <t>Sudha Devi</t>
  </si>
  <si>
    <t>23988100016521</t>
  </si>
  <si>
    <t>101101000030</t>
  </si>
  <si>
    <t>0030</t>
  </si>
  <si>
    <t>Punam Devi</t>
  </si>
  <si>
    <t>35110700079729</t>
  </si>
  <si>
    <t>101101000031</t>
  </si>
  <si>
    <t>0031</t>
  </si>
  <si>
    <t>Gadawari Devi</t>
  </si>
  <si>
    <t>007010025763</t>
  </si>
  <si>
    <t>IPOS0000001</t>
  </si>
  <si>
    <t xml:space="preserve">India Post Payment Bank </t>
  </si>
  <si>
    <t>101101000033</t>
  </si>
  <si>
    <t>0033</t>
  </si>
  <si>
    <t>Krishnadeo Yadav</t>
  </si>
  <si>
    <t>31619273863</t>
  </si>
  <si>
    <t>SBIN0006609</t>
  </si>
  <si>
    <t>101101000034</t>
  </si>
  <si>
    <t>0034</t>
  </si>
  <si>
    <t>Bramila Devi</t>
  </si>
  <si>
    <t>35110110059918</t>
  </si>
  <si>
    <t>105600360002</t>
  </si>
  <si>
    <t xml:space="preserve">Pinki Kumari </t>
  </si>
  <si>
    <t>35250700030339</t>
  </si>
  <si>
    <t>105600360005</t>
  </si>
  <si>
    <t xml:space="preserve">Rubi Devi </t>
  </si>
  <si>
    <t>35250700050151</t>
  </si>
  <si>
    <t>105700090002</t>
  </si>
  <si>
    <t>Laxmi Kumari</t>
  </si>
  <si>
    <t>40716505728</t>
  </si>
  <si>
    <t>SBIN0006388</t>
  </si>
  <si>
    <t>105700090003</t>
  </si>
  <si>
    <t>105700090004</t>
  </si>
  <si>
    <t>105700090005</t>
  </si>
  <si>
    <t>105700090006</t>
  </si>
  <si>
    <t>105700090007</t>
  </si>
  <si>
    <t>105700360002</t>
  </si>
  <si>
    <t>Kamlesh Ray</t>
  </si>
  <si>
    <t>7284068191</t>
  </si>
  <si>
    <t>IDIB000K112</t>
  </si>
  <si>
    <t>Indian Bank</t>
  </si>
  <si>
    <t>105700470003</t>
  </si>
  <si>
    <t xml:space="preserve">Ram Vinay Ray </t>
  </si>
  <si>
    <t>2385897631</t>
  </si>
  <si>
    <t>CBIN0282962</t>
  </si>
  <si>
    <t>Central Bank Of India</t>
  </si>
  <si>
    <t>105700470005</t>
  </si>
  <si>
    <t>3598886721</t>
  </si>
  <si>
    <t>105700470008</t>
  </si>
  <si>
    <t xml:space="preserve">Runa Devi </t>
  </si>
  <si>
    <t>3978257523</t>
  </si>
  <si>
    <t>105700470010</t>
  </si>
  <si>
    <t>0010</t>
  </si>
  <si>
    <t xml:space="preserve">Rajeev Kumar </t>
  </si>
  <si>
    <t>4001691510</t>
  </si>
  <si>
    <t>105700470011</t>
  </si>
  <si>
    <t>0011</t>
  </si>
  <si>
    <t>105700470012</t>
  </si>
  <si>
    <t>105700470013</t>
  </si>
  <si>
    <t>105700470014</t>
  </si>
  <si>
    <t>105700470015</t>
  </si>
  <si>
    <t>105700470016</t>
  </si>
  <si>
    <t xml:space="preserve">Ful Kumari Devi </t>
  </si>
  <si>
    <t>3363700076</t>
  </si>
  <si>
    <t>CBIN0281794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</si>
</sst>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6" fontId="0" fillId="0" borderId="0" xfId="1" applyNumberFormat="1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0" fontId="0" fillId="0" borderId="10" xfId="0" applyBorder="1"/>
    <xf numFmtId="166" fontId="0" fillId="0" borderId="10" xfId="0" applyNumberFormat="1" applyBorder="1"/>
  </cellXfs>
  <cellStyles count="6">
    <cellStyle name="Comma" xfId="1" builtinId="3"/>
    <cellStyle name="Comma 2" xfId="4" xr:uid="{17452DF4-F2D3-490D-AF82-449D496487A4}"/>
    <cellStyle name="Normal" xfId="0" builtinId="0"/>
    <cellStyle name="Normal 2" xfId="5" xr:uid="{694BFA98-FF46-450E-B0EF-004AAF65DAEE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9DF6-D4E6-4935-8622-B824EDAD9AB8}">
  <dimension ref="A1:AC12"/>
  <sheetViews>
    <sheetView tabSelected="1" zoomScale="80" workbookViewId="0">
      <selection activeCell="R33" sqref="R33"/>
    </sheetView>
  </sheetViews>
  <sheetFormatPr defaultRowHeight="15" x14ac:dyDescent="0.25"/>
  <cols>
    <col min="1" max="1" width="5.85546875" bestFit="1" customWidth="1"/>
    <col min="2" max="2" width="12.140625" bestFit="1" customWidth="1"/>
    <col min="3" max="3" width="9.85546875" bestFit="1" customWidth="1"/>
    <col min="4" max="4" width="21.7109375" bestFit="1" customWidth="1"/>
    <col min="5" max="5" width="6" bestFit="1" customWidth="1"/>
    <col min="6" max="6" width="9.140625" bestFit="1" customWidth="1"/>
    <col min="7" max="7" width="8" bestFit="1" customWidth="1"/>
    <col min="8" max="8" width="8.140625" bestFit="1" customWidth="1"/>
    <col min="9" max="9" width="11.5703125" bestFit="1" customWidth="1"/>
    <col min="10" max="10" width="14.28515625" bestFit="1" customWidth="1"/>
    <col min="11" max="11" width="11.5703125" bestFit="1" customWidth="1"/>
    <col min="12" max="12" width="10" bestFit="1" customWidth="1"/>
    <col min="13" max="13" width="44.28515625" bestFit="1" customWidth="1"/>
    <col min="14" max="14" width="12.42578125" bestFit="1" customWidth="1"/>
    <col min="17" max="17" width="8.140625" bestFit="1" customWidth="1"/>
    <col min="18" max="18" width="10.5703125" bestFit="1" customWidth="1"/>
    <col min="19" max="19" width="12.140625" bestFit="1" customWidth="1"/>
    <col min="20" max="20" width="10.5703125" bestFit="1" customWidth="1"/>
    <col min="21" max="21" width="5.85546875" bestFit="1" customWidth="1"/>
    <col min="22" max="22" width="9.42578125" bestFit="1" customWidth="1"/>
    <col min="23" max="23" width="7.7109375" bestFit="1" customWidth="1"/>
    <col min="24" max="25" width="7.8554687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29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29" x14ac:dyDescent="0.25">
      <c r="A2" s="12">
        <v>1001</v>
      </c>
      <c r="B2" s="13" t="s">
        <v>31</v>
      </c>
      <c r="C2" s="14">
        <v>10010145</v>
      </c>
      <c r="D2" s="15" t="s">
        <v>32</v>
      </c>
      <c r="E2" s="16" t="s">
        <v>33</v>
      </c>
      <c r="F2" s="16" t="s">
        <v>34</v>
      </c>
      <c r="G2" s="17">
        <v>259.3</v>
      </c>
      <c r="H2" s="17">
        <v>10110.945141739503</v>
      </c>
      <c r="I2" s="18">
        <v>9818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5.8509576539466359E-3</v>
      </c>
      <c r="Q2" s="24">
        <v>9</v>
      </c>
      <c r="R2" s="25">
        <v>27</v>
      </c>
      <c r="S2" s="25">
        <v>27</v>
      </c>
      <c r="T2" s="26">
        <v>0</v>
      </c>
      <c r="U2" s="27"/>
      <c r="V2" s="25">
        <v>0</v>
      </c>
      <c r="W2" s="25">
        <v>0</v>
      </c>
      <c r="X2" s="28">
        <v>0</v>
      </c>
      <c r="Y2" s="29">
        <v>0</v>
      </c>
      <c r="Z2" s="28">
        <v>0</v>
      </c>
      <c r="AA2" s="26">
        <v>0</v>
      </c>
      <c r="AB2" s="26">
        <v>0</v>
      </c>
      <c r="AC2" s="30">
        <v>46173</v>
      </c>
    </row>
    <row r="3" spans="1:29" x14ac:dyDescent="0.25">
      <c r="A3" s="12">
        <v>1002</v>
      </c>
      <c r="B3" s="13" t="s">
        <v>38</v>
      </c>
      <c r="C3" s="14">
        <v>10020069</v>
      </c>
      <c r="D3" s="15" t="s">
        <v>39</v>
      </c>
      <c r="E3" s="16" t="s">
        <v>33</v>
      </c>
      <c r="F3" s="16" t="s">
        <v>34</v>
      </c>
      <c r="G3" s="17">
        <v>212.90000000000003</v>
      </c>
      <c r="H3" s="17">
        <v>8383.1097018600012</v>
      </c>
      <c r="I3" s="18">
        <v>3950</v>
      </c>
      <c r="J3" s="18">
        <v>0</v>
      </c>
      <c r="K3" s="18">
        <v>0</v>
      </c>
      <c r="L3" s="19" t="s">
        <v>35</v>
      </c>
      <c r="M3" s="20" t="s">
        <v>36</v>
      </c>
      <c r="N3" s="21" t="s">
        <v>37</v>
      </c>
      <c r="O3" s="22"/>
      <c r="P3" s="23">
        <v>-0.14352896450989269</v>
      </c>
      <c r="Q3" s="24">
        <v>3</v>
      </c>
      <c r="R3" s="25">
        <v>3928</v>
      </c>
      <c r="S3" s="25">
        <v>3928</v>
      </c>
      <c r="T3" s="26">
        <v>0</v>
      </c>
      <c r="U3" s="27"/>
      <c r="V3" s="25">
        <v>500</v>
      </c>
      <c r="W3" s="25">
        <v>0</v>
      </c>
      <c r="X3" s="28">
        <v>0</v>
      </c>
      <c r="Y3" s="29">
        <v>500</v>
      </c>
      <c r="Z3" s="28">
        <v>500</v>
      </c>
      <c r="AA3" s="26">
        <v>0</v>
      </c>
      <c r="AB3" s="26">
        <v>0</v>
      </c>
      <c r="AC3" s="30">
        <v>46173</v>
      </c>
    </row>
    <row r="4" spans="1:29" x14ac:dyDescent="0.25">
      <c r="A4" s="12">
        <v>1003</v>
      </c>
      <c r="B4" s="13" t="s">
        <v>40</v>
      </c>
      <c r="C4" s="14">
        <v>10030049</v>
      </c>
      <c r="D4" s="15" t="s">
        <v>41</v>
      </c>
      <c r="E4" s="16" t="s">
        <v>33</v>
      </c>
      <c r="F4" s="16" t="s">
        <v>34</v>
      </c>
      <c r="G4" s="17">
        <v>244.64999999999998</v>
      </c>
      <c r="H4" s="17">
        <v>8134.0184973540008</v>
      </c>
      <c r="I4" s="18">
        <v>0</v>
      </c>
      <c r="J4" s="18">
        <v>0</v>
      </c>
      <c r="K4" s="18">
        <v>0</v>
      </c>
      <c r="L4" s="19" t="s">
        <v>35</v>
      </c>
      <c r="M4" s="20" t="s">
        <v>36</v>
      </c>
      <c r="N4" s="21" t="s">
        <v>37</v>
      </c>
      <c r="O4" s="22"/>
      <c r="P4" s="23">
        <v>-2.4671926275466549E-2</v>
      </c>
      <c r="Q4" s="24">
        <v>2</v>
      </c>
      <c r="R4" s="25">
        <v>14500</v>
      </c>
      <c r="S4" s="25">
        <v>8134</v>
      </c>
      <c r="T4" s="26">
        <v>6366</v>
      </c>
      <c r="U4" s="27"/>
      <c r="V4" s="25">
        <v>0</v>
      </c>
      <c r="W4" s="25">
        <v>0</v>
      </c>
      <c r="X4" s="28">
        <v>0</v>
      </c>
      <c r="Y4" s="29">
        <v>0</v>
      </c>
      <c r="Z4" s="28">
        <v>0</v>
      </c>
      <c r="AA4" s="26">
        <v>0</v>
      </c>
      <c r="AB4" s="26">
        <v>0</v>
      </c>
      <c r="AC4" s="30">
        <v>46173</v>
      </c>
    </row>
    <row r="5" spans="1:29" x14ac:dyDescent="0.25">
      <c r="A5" s="12">
        <v>1003</v>
      </c>
      <c r="B5" s="13" t="s">
        <v>40</v>
      </c>
      <c r="C5" s="14">
        <v>10030075</v>
      </c>
      <c r="D5" s="15" t="s">
        <v>42</v>
      </c>
      <c r="E5" s="16" t="s">
        <v>33</v>
      </c>
      <c r="F5" s="16" t="s">
        <v>34</v>
      </c>
      <c r="G5" s="17">
        <v>459.35000000000008</v>
      </c>
      <c r="H5" s="17">
        <v>19974.849693570002</v>
      </c>
      <c r="I5" s="18">
        <v>19975</v>
      </c>
      <c r="J5" s="18">
        <v>0</v>
      </c>
      <c r="K5" s="18">
        <v>0</v>
      </c>
      <c r="L5" s="19" t="s">
        <v>35</v>
      </c>
      <c r="M5" s="20" t="s">
        <v>36</v>
      </c>
      <c r="N5" s="21" t="s">
        <v>37</v>
      </c>
      <c r="O5" s="22"/>
      <c r="P5" s="23">
        <v>-2.9487525054738076E-2</v>
      </c>
      <c r="Q5" s="24">
        <v>4</v>
      </c>
      <c r="R5" s="25">
        <v>5800</v>
      </c>
      <c r="S5" s="25">
        <v>0</v>
      </c>
      <c r="T5" s="26">
        <v>5800</v>
      </c>
      <c r="U5" s="27"/>
      <c r="V5" s="25">
        <v>0</v>
      </c>
      <c r="W5" s="25">
        <v>0</v>
      </c>
      <c r="X5" s="28">
        <v>0</v>
      </c>
      <c r="Y5" s="29">
        <v>0</v>
      </c>
      <c r="Z5" s="28">
        <v>0</v>
      </c>
      <c r="AA5" s="26">
        <v>0</v>
      </c>
      <c r="AB5" s="26">
        <v>0</v>
      </c>
      <c r="AC5" s="30">
        <v>46173</v>
      </c>
    </row>
    <row r="6" spans="1:29" x14ac:dyDescent="0.25">
      <c r="A6" s="12">
        <v>1006</v>
      </c>
      <c r="B6" s="13" t="s">
        <v>43</v>
      </c>
      <c r="C6" s="14">
        <v>10060106</v>
      </c>
      <c r="D6" s="15" t="s">
        <v>44</v>
      </c>
      <c r="E6" s="16" t="s">
        <v>33</v>
      </c>
      <c r="F6" s="16" t="s">
        <v>34</v>
      </c>
      <c r="G6" s="17">
        <v>713.30000000000007</v>
      </c>
      <c r="H6" s="17">
        <v>34766.603765526794</v>
      </c>
      <c r="I6" s="18">
        <v>27534</v>
      </c>
      <c r="J6" s="18">
        <v>0</v>
      </c>
      <c r="K6" s="18">
        <v>0</v>
      </c>
      <c r="L6" s="19" t="s">
        <v>35</v>
      </c>
      <c r="M6" s="20" t="s">
        <v>45</v>
      </c>
      <c r="N6" s="21" t="s">
        <v>37</v>
      </c>
      <c r="O6" s="22"/>
      <c r="P6" s="23">
        <v>-0.12090557080889049</v>
      </c>
      <c r="Q6" s="24">
        <v>10</v>
      </c>
      <c r="R6" s="25">
        <v>6800</v>
      </c>
      <c r="S6" s="25">
        <v>6800</v>
      </c>
      <c r="T6" s="26">
        <v>0</v>
      </c>
      <c r="U6" s="27"/>
      <c r="V6" s="25">
        <v>0</v>
      </c>
      <c r="W6" s="25">
        <v>0</v>
      </c>
      <c r="X6" s="28">
        <v>0</v>
      </c>
      <c r="Y6" s="29">
        <v>0</v>
      </c>
      <c r="Z6" s="28">
        <v>0</v>
      </c>
      <c r="AA6" s="26">
        <v>0</v>
      </c>
      <c r="AB6" s="26">
        <v>0</v>
      </c>
      <c r="AC6" s="30">
        <v>46173</v>
      </c>
    </row>
    <row r="7" spans="1:29" x14ac:dyDescent="0.25">
      <c r="A7" s="12">
        <v>1054</v>
      </c>
      <c r="B7" s="13" t="s">
        <v>46</v>
      </c>
      <c r="C7" s="14">
        <v>10110100</v>
      </c>
      <c r="D7" s="15" t="s">
        <v>47</v>
      </c>
      <c r="E7" s="16" t="s">
        <v>33</v>
      </c>
      <c r="F7" s="16" t="s">
        <v>34</v>
      </c>
      <c r="G7" s="17">
        <v>4095</v>
      </c>
      <c r="H7" s="17">
        <v>177163.66220878353</v>
      </c>
      <c r="I7" s="18">
        <v>174464</v>
      </c>
      <c r="J7" s="18">
        <v>0</v>
      </c>
      <c r="K7" s="18">
        <v>0</v>
      </c>
      <c r="L7" s="19" t="s">
        <v>35</v>
      </c>
      <c r="M7" s="20" t="s">
        <v>48</v>
      </c>
      <c r="N7" s="21" t="s">
        <v>37</v>
      </c>
      <c r="O7" s="22"/>
      <c r="P7" s="23">
        <v>-2.1110211181783214E-2</v>
      </c>
      <c r="Q7" s="24">
        <v>16</v>
      </c>
      <c r="R7" s="25">
        <v>2700</v>
      </c>
      <c r="S7" s="25">
        <v>2700</v>
      </c>
      <c r="T7" s="26">
        <v>0</v>
      </c>
      <c r="U7" s="27"/>
      <c r="V7" s="25">
        <v>0</v>
      </c>
      <c r="W7" s="25">
        <v>0</v>
      </c>
      <c r="X7" s="28">
        <v>0</v>
      </c>
      <c r="Y7" s="29">
        <v>0</v>
      </c>
      <c r="Z7" s="28">
        <v>0</v>
      </c>
      <c r="AA7" s="26">
        <v>0</v>
      </c>
      <c r="AB7" s="26">
        <v>0</v>
      </c>
      <c r="AC7" s="30">
        <v>46173</v>
      </c>
    </row>
    <row r="8" spans="1:29" x14ac:dyDescent="0.25">
      <c r="A8" s="12">
        <v>1056</v>
      </c>
      <c r="B8" s="13" t="s">
        <v>49</v>
      </c>
      <c r="C8" s="14">
        <v>10560036</v>
      </c>
      <c r="D8" s="15" t="s">
        <v>50</v>
      </c>
      <c r="E8" s="16" t="s">
        <v>33</v>
      </c>
      <c r="F8" s="16" t="s">
        <v>34</v>
      </c>
      <c r="G8" s="17">
        <v>664.07999999999993</v>
      </c>
      <c r="H8" s="17">
        <v>32117.978582661723</v>
      </c>
      <c r="I8" s="18">
        <v>31218</v>
      </c>
      <c r="J8" s="18">
        <v>0</v>
      </c>
      <c r="K8" s="18">
        <v>0</v>
      </c>
      <c r="L8" s="19" t="s">
        <v>35</v>
      </c>
      <c r="M8" s="20" t="s">
        <v>36</v>
      </c>
      <c r="N8" s="21" t="s">
        <v>37</v>
      </c>
      <c r="O8" s="22"/>
      <c r="P8" s="23">
        <v>-0.10888734260901146</v>
      </c>
      <c r="Q8" s="24">
        <v>2</v>
      </c>
      <c r="R8" s="25">
        <v>0</v>
      </c>
      <c r="S8" s="25">
        <v>0</v>
      </c>
      <c r="T8" s="26">
        <v>0</v>
      </c>
      <c r="U8" s="27"/>
      <c r="V8" s="25">
        <v>0</v>
      </c>
      <c r="W8" s="25">
        <v>0</v>
      </c>
      <c r="X8" s="28">
        <v>0</v>
      </c>
      <c r="Y8" s="29">
        <v>0</v>
      </c>
      <c r="Z8" s="28">
        <v>0</v>
      </c>
      <c r="AA8" s="26">
        <v>0</v>
      </c>
      <c r="AB8" s="26">
        <v>0</v>
      </c>
      <c r="AC8" s="30">
        <v>46173</v>
      </c>
    </row>
    <row r="9" spans="1:29" x14ac:dyDescent="0.25">
      <c r="A9" s="12">
        <v>1057</v>
      </c>
      <c r="B9" s="13" t="s">
        <v>51</v>
      </c>
      <c r="C9" s="14">
        <v>10570009</v>
      </c>
      <c r="D9" s="15" t="s">
        <v>52</v>
      </c>
      <c r="E9" s="16" t="s">
        <v>33</v>
      </c>
      <c r="F9" s="16" t="s">
        <v>34</v>
      </c>
      <c r="G9" s="17">
        <v>1011.5999999999999</v>
      </c>
      <c r="H9" s="17">
        <v>41334.204430800004</v>
      </c>
      <c r="I9" s="18">
        <v>10862</v>
      </c>
      <c r="J9" s="18">
        <v>28934</v>
      </c>
      <c r="K9" s="18">
        <v>0</v>
      </c>
      <c r="L9" s="19" t="s">
        <v>35</v>
      </c>
      <c r="M9" s="20" t="s">
        <v>45</v>
      </c>
      <c r="N9" s="21" t="s">
        <v>37</v>
      </c>
      <c r="O9" s="22"/>
      <c r="P9" s="23">
        <v>9.1610986683901736E-4</v>
      </c>
      <c r="Q9" s="24">
        <v>6</v>
      </c>
      <c r="R9" s="25">
        <v>1500</v>
      </c>
      <c r="S9" s="25">
        <v>1500</v>
      </c>
      <c r="T9" s="26">
        <v>0</v>
      </c>
      <c r="U9" s="27"/>
      <c r="V9" s="25">
        <v>0</v>
      </c>
      <c r="W9" s="25">
        <v>0</v>
      </c>
      <c r="X9" s="28">
        <v>0</v>
      </c>
      <c r="Y9" s="29">
        <v>0</v>
      </c>
      <c r="Z9" s="28">
        <v>0</v>
      </c>
      <c r="AA9" s="26">
        <v>0</v>
      </c>
      <c r="AB9" s="26">
        <v>0</v>
      </c>
      <c r="AC9" s="30">
        <v>46173</v>
      </c>
    </row>
    <row r="10" spans="1:29" x14ac:dyDescent="0.25">
      <c r="A10" s="12">
        <v>1057</v>
      </c>
      <c r="B10" s="13" t="s">
        <v>51</v>
      </c>
      <c r="C10" s="14">
        <v>10570036</v>
      </c>
      <c r="D10" s="15" t="s">
        <v>53</v>
      </c>
      <c r="E10" s="16" t="s">
        <v>33</v>
      </c>
      <c r="F10" s="16" t="s">
        <v>34</v>
      </c>
      <c r="G10" s="17">
        <v>322.3</v>
      </c>
      <c r="H10" s="17">
        <v>13900.645963302002</v>
      </c>
      <c r="I10" s="18">
        <v>7151</v>
      </c>
      <c r="J10" s="18">
        <v>0</v>
      </c>
      <c r="K10" s="18">
        <v>0</v>
      </c>
      <c r="L10" s="19" t="s">
        <v>35</v>
      </c>
      <c r="M10" s="20" t="s">
        <v>45</v>
      </c>
      <c r="N10" s="21" t="s">
        <v>37</v>
      </c>
      <c r="O10" s="22"/>
      <c r="P10" s="23">
        <v>-3.4983663803301271E-2</v>
      </c>
      <c r="Q10" s="24">
        <v>1</v>
      </c>
      <c r="R10" s="25">
        <v>6750</v>
      </c>
      <c r="S10" s="25">
        <v>6750</v>
      </c>
      <c r="T10" s="26">
        <v>0</v>
      </c>
      <c r="U10" s="27"/>
      <c r="V10" s="25">
        <v>0</v>
      </c>
      <c r="W10" s="25">
        <v>0</v>
      </c>
      <c r="X10" s="28">
        <v>0</v>
      </c>
      <c r="Y10" s="29">
        <v>0</v>
      </c>
      <c r="Z10" s="28">
        <v>0</v>
      </c>
      <c r="AA10" s="26">
        <v>0</v>
      </c>
      <c r="AB10" s="26">
        <v>0</v>
      </c>
      <c r="AC10" s="30">
        <v>46173</v>
      </c>
    </row>
    <row r="11" spans="1:29" x14ac:dyDescent="0.25">
      <c r="A11" s="12">
        <v>1057</v>
      </c>
      <c r="B11" s="13" t="s">
        <v>51</v>
      </c>
      <c r="C11" s="14">
        <v>10570047</v>
      </c>
      <c r="D11" s="15" t="s">
        <v>54</v>
      </c>
      <c r="E11" s="16" t="s">
        <v>33</v>
      </c>
      <c r="F11" s="16" t="s">
        <v>34</v>
      </c>
      <c r="G11" s="17">
        <v>331.7</v>
      </c>
      <c r="H11" s="17">
        <v>13936.577232840002</v>
      </c>
      <c r="I11" s="18">
        <v>8781</v>
      </c>
      <c r="J11" s="18">
        <v>5082</v>
      </c>
      <c r="K11" s="18">
        <v>0</v>
      </c>
      <c r="L11" s="19" t="s">
        <v>35</v>
      </c>
      <c r="M11" s="20" t="s">
        <v>45</v>
      </c>
      <c r="N11" s="21" t="s">
        <v>37</v>
      </c>
      <c r="O11" s="22"/>
      <c r="P11" s="23">
        <v>5.3571370287441456E-3</v>
      </c>
      <c r="Q11" s="24">
        <v>10</v>
      </c>
      <c r="R11" s="25">
        <v>6750</v>
      </c>
      <c r="S11" s="25">
        <v>0</v>
      </c>
      <c r="T11" s="26">
        <v>6750</v>
      </c>
      <c r="U11" s="27"/>
      <c r="V11" s="25">
        <v>0</v>
      </c>
      <c r="W11" s="25">
        <v>0</v>
      </c>
      <c r="X11" s="28">
        <v>0</v>
      </c>
      <c r="Y11" s="29">
        <v>0</v>
      </c>
      <c r="Z11" s="28">
        <v>0</v>
      </c>
      <c r="AA11" s="26">
        <v>0</v>
      </c>
      <c r="AB11" s="26">
        <v>0</v>
      </c>
      <c r="AC11" s="30">
        <v>46173</v>
      </c>
    </row>
    <row r="12" spans="1:29" x14ac:dyDescent="0.25">
      <c r="A12" s="31"/>
      <c r="B12" s="32"/>
      <c r="C12" s="31"/>
      <c r="D12" s="31"/>
      <c r="E12" s="31" t="s">
        <v>55</v>
      </c>
      <c r="F12" s="31">
        <v>983</v>
      </c>
      <c r="G12" s="33">
        <v>8314.18</v>
      </c>
      <c r="H12" s="33">
        <v>359822.59521843755</v>
      </c>
      <c r="I12" s="34">
        <v>293753</v>
      </c>
      <c r="J12" s="34">
        <v>34016</v>
      </c>
      <c r="K12" s="34">
        <v>0</v>
      </c>
      <c r="L12" s="19">
        <v>2</v>
      </c>
      <c r="M12" s="14"/>
      <c r="N12" s="27"/>
      <c r="O12" s="6"/>
      <c r="P12" s="35"/>
      <c r="Q12" s="36">
        <v>5630</v>
      </c>
      <c r="R12" s="26">
        <v>48755</v>
      </c>
      <c r="S12" s="26">
        <v>119049</v>
      </c>
      <c r="T12" s="26">
        <v>18916</v>
      </c>
      <c r="U12" s="27"/>
      <c r="V12" s="25">
        <v>500</v>
      </c>
      <c r="W12" s="25">
        <v>0</v>
      </c>
      <c r="X12" s="37">
        <v>0</v>
      </c>
      <c r="Y12" s="25">
        <v>500</v>
      </c>
      <c r="Z12" s="25">
        <v>500</v>
      </c>
      <c r="AA12" s="25">
        <v>0</v>
      </c>
      <c r="AB12" s="25">
        <v>0</v>
      </c>
      <c r="AC12" s="27"/>
    </row>
  </sheetData>
  <conditionalFormatting sqref="C12 C1">
    <cfRule type="duplicateValues" dxfId="16" priority="12" stopIfTrue="1"/>
  </conditionalFormatting>
  <conditionalFormatting sqref="C2:C11">
    <cfRule type="duplicateValues" dxfId="15" priority="9"/>
  </conditionalFormatting>
  <conditionalFormatting sqref="C2:C11">
    <cfRule type="duplicateValues" dxfId="14" priority="10"/>
    <cfRule type="duplicateValues" dxfId="13" priority="11"/>
  </conditionalFormatting>
  <conditionalFormatting sqref="F2:F11">
    <cfRule type="containsText" dxfId="12" priority="7" operator="containsText" text="Indirect">
      <formula>NOT(ISERROR(SEARCH("Indirect",F2)))</formula>
    </cfRule>
  </conditionalFormatting>
  <conditionalFormatting sqref="I2:K11">
    <cfRule type="cellIs" dxfId="11" priority="6" operator="lessThan">
      <formula>-1</formula>
    </cfRule>
  </conditionalFormatting>
  <conditionalFormatting sqref="AA2:AB11">
    <cfRule type="cellIs" dxfId="10" priority="8" operator="lessThan">
      <formula>0</formula>
    </cfRule>
  </conditionalFormatting>
  <conditionalFormatting sqref="D12">
    <cfRule type="duplicateValues" dxfId="9" priority="5" stopIfTrue="1"/>
  </conditionalFormatting>
  <conditionalFormatting sqref="E12">
    <cfRule type="duplicateValues" dxfId="8" priority="4" stopIfTrue="1"/>
  </conditionalFormatting>
  <conditionalFormatting sqref="F12">
    <cfRule type="duplicateValues" dxfId="7" priority="3" stopIfTrue="1"/>
  </conditionalFormatting>
  <conditionalFormatting sqref="G12">
    <cfRule type="duplicateValues" dxfId="6" priority="2" stopIfTrue="1"/>
  </conditionalFormatting>
  <conditionalFormatting sqref="H12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1A96-F598-4057-AABC-B2AC961F99A4}">
  <dimension ref="A1:AC65"/>
  <sheetViews>
    <sheetView topLeftCell="A29" zoomScale="95" workbookViewId="0">
      <selection activeCell="P65" sqref="P65"/>
    </sheetView>
  </sheetViews>
  <sheetFormatPr defaultRowHeight="15" x14ac:dyDescent="0.25"/>
  <cols>
    <col min="1" max="1" width="13.85546875" bestFit="1" customWidth="1"/>
    <col min="2" max="3" width="11.28515625" bestFit="1" customWidth="1"/>
    <col min="4" max="4" width="21.42578125" bestFit="1" customWidth="1"/>
    <col min="5" max="5" width="9.42578125" bestFit="1" customWidth="1"/>
    <col min="6" max="6" width="8.28515625" bestFit="1" customWidth="1"/>
    <col min="7" max="7" width="6.28515625" bestFit="1" customWidth="1"/>
    <col min="8" max="8" width="6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8.42578125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1.140625" bestFit="1" customWidth="1"/>
    <col min="18" max="18" width="21" bestFit="1" customWidth="1"/>
    <col min="19" max="19" width="18.140625" bestFit="1" customWidth="1"/>
    <col min="20" max="20" width="14.5703125" bestFit="1" customWidth="1"/>
    <col min="21" max="21" width="26.28515625" bestFit="1" customWidth="1"/>
    <col min="22" max="22" width="12.7109375" bestFit="1" customWidth="1"/>
    <col min="23" max="23" width="12.14062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8" t="s">
        <v>56</v>
      </c>
      <c r="B1" s="38" t="s">
        <v>1</v>
      </c>
      <c r="C1" s="38" t="s">
        <v>57</v>
      </c>
      <c r="D1" s="38" t="s">
        <v>58</v>
      </c>
      <c r="E1" s="39" t="s">
        <v>59</v>
      </c>
      <c r="F1" s="40" t="s">
        <v>60</v>
      </c>
      <c r="G1" s="41" t="s">
        <v>61</v>
      </c>
      <c r="H1" s="40" t="s">
        <v>62</v>
      </c>
      <c r="I1" s="40" t="s">
        <v>63</v>
      </c>
      <c r="J1" s="42" t="s">
        <v>8</v>
      </c>
      <c r="K1" s="42" t="s">
        <v>64</v>
      </c>
      <c r="L1" s="42" t="s">
        <v>65</v>
      </c>
      <c r="M1" s="42" t="s">
        <v>9</v>
      </c>
      <c r="N1" s="42" t="s">
        <v>10</v>
      </c>
      <c r="O1" s="42" t="s">
        <v>14</v>
      </c>
      <c r="P1" s="42" t="s">
        <v>66</v>
      </c>
      <c r="Q1" s="43" t="s">
        <v>67</v>
      </c>
      <c r="R1" s="44" t="s">
        <v>68</v>
      </c>
      <c r="S1" s="44" t="s">
        <v>69</v>
      </c>
      <c r="T1" s="44" t="s">
        <v>70</v>
      </c>
      <c r="U1" s="44" t="s">
        <v>71</v>
      </c>
      <c r="V1" s="45" t="s">
        <v>72</v>
      </c>
      <c r="W1" s="46" t="s">
        <v>16</v>
      </c>
      <c r="X1" s="47"/>
      <c r="Y1" s="48" t="s">
        <v>73</v>
      </c>
      <c r="AC1" t="s">
        <v>74</v>
      </c>
    </row>
    <row r="2" spans="1:29" x14ac:dyDescent="0.25">
      <c r="A2" t="s">
        <v>75</v>
      </c>
      <c r="B2" t="s">
        <v>31</v>
      </c>
      <c r="C2" s="49" t="s">
        <v>31</v>
      </c>
      <c r="D2" t="s">
        <v>32</v>
      </c>
      <c r="E2" s="49">
        <v>10010145</v>
      </c>
      <c r="F2" t="s">
        <v>76</v>
      </c>
      <c r="G2" s="49">
        <v>12</v>
      </c>
      <c r="H2" s="50">
        <v>5.6</v>
      </c>
      <c r="I2" s="51">
        <v>206.77877088824999</v>
      </c>
      <c r="J2" s="52">
        <v>0</v>
      </c>
      <c r="K2" s="52">
        <v>206.77877088824999</v>
      </c>
      <c r="L2" s="52">
        <v>0</v>
      </c>
      <c r="M2" s="50">
        <v>0</v>
      </c>
      <c r="N2" s="50">
        <v>0</v>
      </c>
      <c r="O2" s="52" t="s">
        <v>35</v>
      </c>
      <c r="P2" s="52">
        <v>0</v>
      </c>
      <c r="Q2" s="49" t="s">
        <v>34</v>
      </c>
      <c r="R2">
        <v>0</v>
      </c>
      <c r="S2">
        <v>0</v>
      </c>
      <c r="T2">
        <v>0</v>
      </c>
      <c r="U2">
        <v>0</v>
      </c>
      <c r="V2" t="s">
        <v>77</v>
      </c>
      <c r="W2" t="s">
        <v>37</v>
      </c>
      <c r="Y2" s="53">
        <v>0</v>
      </c>
    </row>
    <row r="3" spans="1:29" x14ac:dyDescent="0.25">
      <c r="A3" t="s">
        <v>78</v>
      </c>
      <c r="B3" t="s">
        <v>31</v>
      </c>
      <c r="C3" s="49" t="s">
        <v>31</v>
      </c>
      <c r="D3" t="s">
        <v>32</v>
      </c>
      <c r="E3" s="49">
        <v>10010145</v>
      </c>
      <c r="F3" t="s">
        <v>79</v>
      </c>
      <c r="G3" s="49">
        <v>12</v>
      </c>
      <c r="H3" s="50">
        <v>76.710000000000008</v>
      </c>
      <c r="I3" s="51">
        <v>2905.3278262194003</v>
      </c>
      <c r="J3" s="52">
        <v>0</v>
      </c>
      <c r="K3" s="52">
        <v>0</v>
      </c>
      <c r="L3" s="52">
        <v>0</v>
      </c>
      <c r="M3" s="50">
        <v>27</v>
      </c>
      <c r="N3" s="50">
        <v>0</v>
      </c>
      <c r="O3" s="52" t="s">
        <v>35</v>
      </c>
      <c r="P3" s="52">
        <v>2878</v>
      </c>
      <c r="Q3" s="49" t="s">
        <v>34</v>
      </c>
      <c r="R3" t="s">
        <v>80</v>
      </c>
      <c r="S3" t="s">
        <v>81</v>
      </c>
      <c r="T3" t="s">
        <v>82</v>
      </c>
      <c r="U3" t="s">
        <v>83</v>
      </c>
      <c r="V3" t="s">
        <v>84</v>
      </c>
      <c r="W3" t="s">
        <v>37</v>
      </c>
      <c r="Y3" s="53">
        <v>22.724503920370751</v>
      </c>
    </row>
    <row r="4" spans="1:29" x14ac:dyDescent="0.25">
      <c r="A4" t="s">
        <v>85</v>
      </c>
      <c r="B4" t="s">
        <v>31</v>
      </c>
      <c r="C4" s="49" t="s">
        <v>31</v>
      </c>
      <c r="D4" t="s">
        <v>32</v>
      </c>
      <c r="E4" s="49">
        <v>10010145</v>
      </c>
      <c r="F4" t="s">
        <v>86</v>
      </c>
      <c r="G4" s="49">
        <v>14</v>
      </c>
      <c r="H4" s="50">
        <v>43.18</v>
      </c>
      <c r="I4" s="51">
        <v>1688.6838011211059</v>
      </c>
      <c r="J4" s="52">
        <v>0</v>
      </c>
      <c r="K4" s="52">
        <v>0</v>
      </c>
      <c r="L4" s="52">
        <v>0</v>
      </c>
      <c r="M4" s="50">
        <v>0</v>
      </c>
      <c r="N4" s="50">
        <v>0</v>
      </c>
      <c r="O4" s="52" t="s">
        <v>35</v>
      </c>
      <c r="P4" s="52">
        <v>1689</v>
      </c>
      <c r="Q4" s="49" t="s">
        <v>34</v>
      </c>
      <c r="R4" t="s">
        <v>87</v>
      </c>
      <c r="S4" t="s">
        <v>88</v>
      </c>
      <c r="T4" t="s">
        <v>82</v>
      </c>
      <c r="U4" t="s">
        <v>89</v>
      </c>
      <c r="V4" t="s">
        <v>84</v>
      </c>
      <c r="W4" t="s">
        <v>37</v>
      </c>
      <c r="X4" s="54"/>
      <c r="Y4" s="53">
        <v>27.375605854209688</v>
      </c>
    </row>
    <row r="5" spans="1:29" x14ac:dyDescent="0.25">
      <c r="A5" t="s">
        <v>90</v>
      </c>
      <c r="B5" t="s">
        <v>31</v>
      </c>
      <c r="C5" s="49" t="s">
        <v>31</v>
      </c>
      <c r="D5" t="s">
        <v>32</v>
      </c>
      <c r="E5" s="49">
        <v>10010145</v>
      </c>
      <c r="F5" t="s">
        <v>91</v>
      </c>
      <c r="G5" s="49">
        <v>7</v>
      </c>
      <c r="H5" s="50">
        <v>14.55</v>
      </c>
      <c r="I5" s="51">
        <v>522.2939507430001</v>
      </c>
      <c r="J5" s="52">
        <v>0</v>
      </c>
      <c r="K5" s="52">
        <v>0</v>
      </c>
      <c r="L5" s="52">
        <v>0</v>
      </c>
      <c r="M5" s="50">
        <v>0</v>
      </c>
      <c r="N5" s="50">
        <v>0</v>
      </c>
      <c r="O5" s="52" t="s">
        <v>35</v>
      </c>
      <c r="P5" s="52">
        <v>522</v>
      </c>
      <c r="Q5" s="49" t="s">
        <v>34</v>
      </c>
      <c r="R5" t="s">
        <v>92</v>
      </c>
      <c r="S5" t="s">
        <v>93</v>
      </c>
      <c r="T5" t="s">
        <v>94</v>
      </c>
      <c r="U5" t="s">
        <v>95</v>
      </c>
      <c r="V5" t="s">
        <v>84</v>
      </c>
      <c r="W5" t="s">
        <v>37</v>
      </c>
      <c r="Y5" s="53">
        <v>12.563772011000003</v>
      </c>
    </row>
    <row r="6" spans="1:29" x14ac:dyDescent="0.25">
      <c r="A6" t="s">
        <v>96</v>
      </c>
      <c r="B6" t="s">
        <v>31</v>
      </c>
      <c r="C6" s="49" t="s">
        <v>31</v>
      </c>
      <c r="D6" t="s">
        <v>32</v>
      </c>
      <c r="E6" s="49">
        <v>10010145</v>
      </c>
      <c r="F6" t="s">
        <v>97</v>
      </c>
      <c r="G6" s="49">
        <v>7</v>
      </c>
      <c r="H6" s="50">
        <v>8.32</v>
      </c>
      <c r="I6" s="51">
        <v>315.44643692520003</v>
      </c>
      <c r="J6" s="52">
        <v>0</v>
      </c>
      <c r="K6" s="52">
        <v>0</v>
      </c>
      <c r="L6" s="52">
        <v>0</v>
      </c>
      <c r="M6" s="50">
        <v>0</v>
      </c>
      <c r="N6" s="50">
        <v>0</v>
      </c>
      <c r="O6" s="52" t="s">
        <v>35</v>
      </c>
      <c r="P6" s="52">
        <v>315</v>
      </c>
      <c r="Q6" s="49" t="s">
        <v>34</v>
      </c>
      <c r="R6" t="s">
        <v>98</v>
      </c>
      <c r="S6" t="s">
        <v>99</v>
      </c>
      <c r="T6" t="s">
        <v>94</v>
      </c>
      <c r="U6" t="s">
        <v>100</v>
      </c>
      <c r="V6" t="s">
        <v>84</v>
      </c>
      <c r="W6" t="s">
        <v>37</v>
      </c>
      <c r="Y6" s="53">
        <v>13.269982322574522</v>
      </c>
    </row>
    <row r="7" spans="1:29" x14ac:dyDescent="0.25">
      <c r="A7" t="s">
        <v>101</v>
      </c>
      <c r="B7" t="s">
        <v>31</v>
      </c>
      <c r="C7" s="49" t="s">
        <v>31</v>
      </c>
      <c r="D7" t="s">
        <v>32</v>
      </c>
      <c r="E7" s="49">
        <v>10010145</v>
      </c>
      <c r="F7" t="s">
        <v>102</v>
      </c>
      <c r="G7" s="49">
        <v>13</v>
      </c>
      <c r="H7" s="50">
        <v>29.4</v>
      </c>
      <c r="I7" s="51">
        <v>1223.9184653823004</v>
      </c>
      <c r="J7" s="52">
        <v>0</v>
      </c>
      <c r="K7" s="52">
        <v>0</v>
      </c>
      <c r="L7" s="52">
        <v>0</v>
      </c>
      <c r="M7" s="50">
        <v>0</v>
      </c>
      <c r="N7" s="50">
        <v>0</v>
      </c>
      <c r="O7" s="52" t="s">
        <v>35</v>
      </c>
      <c r="P7" s="52">
        <v>1224</v>
      </c>
      <c r="Q7" s="49" t="s">
        <v>34</v>
      </c>
      <c r="R7" t="s">
        <v>103</v>
      </c>
      <c r="S7" t="s">
        <v>104</v>
      </c>
      <c r="T7" t="s">
        <v>105</v>
      </c>
      <c r="U7" t="s">
        <v>106</v>
      </c>
      <c r="V7" t="s">
        <v>84</v>
      </c>
      <c r="W7" t="s">
        <v>37</v>
      </c>
      <c r="Y7" s="53">
        <v>27.059421853690313</v>
      </c>
    </row>
    <row r="8" spans="1:29" x14ac:dyDescent="0.25">
      <c r="A8" t="s">
        <v>107</v>
      </c>
      <c r="B8" t="s">
        <v>31</v>
      </c>
      <c r="C8" s="49" t="s">
        <v>31</v>
      </c>
      <c r="D8" t="s">
        <v>32</v>
      </c>
      <c r="E8" s="49">
        <v>10010145</v>
      </c>
      <c r="F8" t="s">
        <v>108</v>
      </c>
      <c r="G8" s="49">
        <v>7</v>
      </c>
      <c r="H8" s="50">
        <v>25.02</v>
      </c>
      <c r="I8" s="51">
        <v>1086.5948126520002</v>
      </c>
      <c r="J8" s="52">
        <v>0</v>
      </c>
      <c r="K8" s="52">
        <v>0</v>
      </c>
      <c r="L8" s="52">
        <v>0</v>
      </c>
      <c r="M8" s="50">
        <v>0</v>
      </c>
      <c r="N8" s="50">
        <v>0</v>
      </c>
      <c r="O8" s="52" t="s">
        <v>35</v>
      </c>
      <c r="P8" s="52">
        <v>1087</v>
      </c>
      <c r="Q8" s="49" t="s">
        <v>34</v>
      </c>
      <c r="R8" t="s">
        <v>109</v>
      </c>
      <c r="S8" t="s">
        <v>110</v>
      </c>
      <c r="T8" t="s">
        <v>111</v>
      </c>
      <c r="U8" t="s">
        <v>112</v>
      </c>
      <c r="V8" t="s">
        <v>84</v>
      </c>
      <c r="W8" t="s">
        <v>37</v>
      </c>
      <c r="Y8" s="53">
        <v>15.200167243333338</v>
      </c>
    </row>
    <row r="9" spans="1:29" x14ac:dyDescent="0.25">
      <c r="A9" t="s">
        <v>113</v>
      </c>
      <c r="B9" t="s">
        <v>31</v>
      </c>
      <c r="C9" s="49" t="s">
        <v>31</v>
      </c>
      <c r="D9" t="s">
        <v>32</v>
      </c>
      <c r="E9" s="49">
        <v>10010145</v>
      </c>
      <c r="F9" t="s">
        <v>114</v>
      </c>
      <c r="G9" s="49">
        <v>14</v>
      </c>
      <c r="H9" s="50">
        <v>40.07</v>
      </c>
      <c r="I9" s="51">
        <v>1492.95192696195</v>
      </c>
      <c r="J9" s="52">
        <v>0</v>
      </c>
      <c r="K9" s="52">
        <v>0</v>
      </c>
      <c r="L9" s="52">
        <v>0</v>
      </c>
      <c r="M9" s="50">
        <v>0</v>
      </c>
      <c r="N9" s="50">
        <v>0</v>
      </c>
      <c r="O9" s="52" t="s">
        <v>35</v>
      </c>
      <c r="P9" s="52">
        <v>1493</v>
      </c>
      <c r="Q9" s="49" t="s">
        <v>34</v>
      </c>
      <c r="R9" t="s">
        <v>115</v>
      </c>
      <c r="S9" t="s">
        <v>116</v>
      </c>
      <c r="T9" t="s">
        <v>111</v>
      </c>
      <c r="U9" t="s">
        <v>117</v>
      </c>
      <c r="V9" t="s">
        <v>84</v>
      </c>
      <c r="W9" t="s">
        <v>37</v>
      </c>
      <c r="Y9" s="53">
        <v>26.081016942185304</v>
      </c>
    </row>
    <row r="10" spans="1:29" x14ac:dyDescent="0.25">
      <c r="A10" t="s">
        <v>118</v>
      </c>
      <c r="B10" t="s">
        <v>31</v>
      </c>
      <c r="C10" s="49" t="s">
        <v>31</v>
      </c>
      <c r="D10" t="s">
        <v>32</v>
      </c>
      <c r="E10" s="49">
        <v>10010145</v>
      </c>
      <c r="F10" t="s">
        <v>119</v>
      </c>
      <c r="G10" s="49">
        <v>8</v>
      </c>
      <c r="H10" s="50">
        <v>16.53</v>
      </c>
      <c r="I10" s="51">
        <v>609.79043898060013</v>
      </c>
      <c r="J10" s="52">
        <v>0</v>
      </c>
      <c r="K10" s="52">
        <v>0</v>
      </c>
      <c r="L10" s="52">
        <v>0</v>
      </c>
      <c r="M10" s="50">
        <v>0</v>
      </c>
      <c r="N10" s="50">
        <v>0</v>
      </c>
      <c r="O10" s="52" t="s">
        <v>35</v>
      </c>
      <c r="P10" s="52">
        <v>610</v>
      </c>
      <c r="Q10" s="49" t="s">
        <v>34</v>
      </c>
      <c r="R10" t="s">
        <v>120</v>
      </c>
      <c r="S10" t="s">
        <v>121</v>
      </c>
      <c r="T10" t="s">
        <v>94</v>
      </c>
      <c r="U10" t="s">
        <v>95</v>
      </c>
      <c r="V10" t="s">
        <v>84</v>
      </c>
      <c r="W10" t="s">
        <v>37</v>
      </c>
      <c r="Y10" s="53">
        <v>14.755969485313978</v>
      </c>
    </row>
    <row r="11" spans="1:29" x14ac:dyDescent="0.25">
      <c r="A11" t="s">
        <v>122</v>
      </c>
      <c r="B11" t="s">
        <v>38</v>
      </c>
      <c r="C11" s="49" t="s">
        <v>38</v>
      </c>
      <c r="D11" t="s">
        <v>39</v>
      </c>
      <c r="E11" s="49">
        <v>10020069</v>
      </c>
      <c r="F11" t="s">
        <v>76</v>
      </c>
      <c r="G11" s="49">
        <v>3</v>
      </c>
      <c r="H11" s="50">
        <v>0.12</v>
      </c>
      <c r="I11" s="51">
        <v>5.2932545520000005</v>
      </c>
      <c r="J11" s="52">
        <v>0</v>
      </c>
      <c r="K11" s="52">
        <v>5.2932545520000005</v>
      </c>
      <c r="L11" s="52">
        <v>0</v>
      </c>
      <c r="M11" s="50">
        <v>0</v>
      </c>
      <c r="N11" s="50">
        <v>0</v>
      </c>
      <c r="O11" s="52" t="s">
        <v>35</v>
      </c>
      <c r="P11" s="52">
        <v>0</v>
      </c>
      <c r="Q11" s="49" t="s">
        <v>34</v>
      </c>
      <c r="R11">
        <v>0</v>
      </c>
      <c r="S11">
        <v>0</v>
      </c>
      <c r="T11">
        <v>0</v>
      </c>
      <c r="U11">
        <v>0</v>
      </c>
      <c r="V11" t="s">
        <v>77</v>
      </c>
      <c r="W11" t="s">
        <v>37</v>
      </c>
      <c r="Y11" s="53">
        <v>0</v>
      </c>
    </row>
    <row r="12" spans="1:29" x14ac:dyDescent="0.25">
      <c r="A12" t="s">
        <v>123</v>
      </c>
      <c r="B12" t="s">
        <v>38</v>
      </c>
      <c r="C12" s="49" t="s">
        <v>38</v>
      </c>
      <c r="D12" t="s">
        <v>39</v>
      </c>
      <c r="E12" s="49">
        <v>10020069</v>
      </c>
      <c r="F12" t="s">
        <v>79</v>
      </c>
      <c r="G12" s="49">
        <v>13</v>
      </c>
      <c r="H12" s="50">
        <v>218.55</v>
      </c>
      <c r="I12" s="51">
        <v>8875.2534829128017</v>
      </c>
      <c r="J12" s="52">
        <v>0</v>
      </c>
      <c r="K12" s="52">
        <v>0</v>
      </c>
      <c r="L12" s="52">
        <v>1203</v>
      </c>
      <c r="M12" s="50">
        <v>3928</v>
      </c>
      <c r="N12" s="50">
        <v>500</v>
      </c>
      <c r="O12" s="52" t="s">
        <v>35</v>
      </c>
      <c r="P12" s="52">
        <v>3244</v>
      </c>
      <c r="Q12" s="49" t="s">
        <v>34</v>
      </c>
      <c r="R12" t="s">
        <v>124</v>
      </c>
      <c r="S12" t="s">
        <v>125</v>
      </c>
      <c r="T12" t="s">
        <v>126</v>
      </c>
      <c r="U12" t="s">
        <v>127</v>
      </c>
      <c r="V12" t="s">
        <v>84</v>
      </c>
      <c r="W12" t="s">
        <v>37</v>
      </c>
      <c r="Y12" s="53">
        <v>26.396315552017025</v>
      </c>
    </row>
    <row r="13" spans="1:29" x14ac:dyDescent="0.25">
      <c r="A13" t="s">
        <v>128</v>
      </c>
      <c r="B13" t="s">
        <v>38</v>
      </c>
      <c r="C13" s="49" t="s">
        <v>38</v>
      </c>
      <c r="D13" t="s">
        <v>39</v>
      </c>
      <c r="E13" s="49">
        <v>10020069</v>
      </c>
      <c r="F13" t="s">
        <v>86</v>
      </c>
      <c r="G13" s="49">
        <v>1</v>
      </c>
      <c r="H13" s="50">
        <v>15.48</v>
      </c>
      <c r="I13" s="51">
        <v>705.78201927600014</v>
      </c>
      <c r="J13" s="52">
        <v>0</v>
      </c>
      <c r="K13" s="52">
        <v>0</v>
      </c>
      <c r="L13" s="52">
        <v>0</v>
      </c>
      <c r="M13" s="50">
        <v>0</v>
      </c>
      <c r="N13" s="50">
        <v>0</v>
      </c>
      <c r="O13" s="52" t="s">
        <v>35</v>
      </c>
      <c r="P13" s="52">
        <v>706</v>
      </c>
      <c r="Q13" s="49" t="s">
        <v>34</v>
      </c>
      <c r="R13" t="s">
        <v>129</v>
      </c>
      <c r="S13" t="s">
        <v>130</v>
      </c>
      <c r="T13" t="s">
        <v>111</v>
      </c>
      <c r="U13" t="s">
        <v>131</v>
      </c>
      <c r="V13" t="s">
        <v>84</v>
      </c>
      <c r="W13" t="s">
        <v>37</v>
      </c>
      <c r="Y13" s="53">
        <v>2.2796576850000005</v>
      </c>
    </row>
    <row r="14" spans="1:29" x14ac:dyDescent="0.25">
      <c r="A14" t="s">
        <v>132</v>
      </c>
      <c r="B14" t="s">
        <v>40</v>
      </c>
      <c r="C14" s="49" t="s">
        <v>40</v>
      </c>
      <c r="D14" t="s">
        <v>41</v>
      </c>
      <c r="E14" s="49">
        <v>10030049</v>
      </c>
      <c r="F14" t="s">
        <v>86</v>
      </c>
      <c r="G14" s="49">
        <v>14</v>
      </c>
      <c r="H14" s="50">
        <v>196.79999999999998</v>
      </c>
      <c r="I14" s="51">
        <v>6484.0828664640003</v>
      </c>
      <c r="J14" s="52">
        <v>0</v>
      </c>
      <c r="K14" s="52">
        <v>0</v>
      </c>
      <c r="L14" s="52">
        <v>201</v>
      </c>
      <c r="M14" s="50">
        <v>6283</v>
      </c>
      <c r="N14" s="50">
        <v>0</v>
      </c>
      <c r="O14" s="52" t="s">
        <v>35</v>
      </c>
      <c r="P14" s="52">
        <v>0</v>
      </c>
      <c r="Q14" s="49" t="s">
        <v>34</v>
      </c>
      <c r="R14" t="s">
        <v>133</v>
      </c>
      <c r="S14" t="s">
        <v>134</v>
      </c>
      <c r="T14" t="s">
        <v>135</v>
      </c>
      <c r="U14" t="s">
        <v>100</v>
      </c>
      <c r="V14" t="s">
        <v>84</v>
      </c>
      <c r="W14" t="s">
        <v>37</v>
      </c>
      <c r="Y14" s="53">
        <v>23.063302878682933</v>
      </c>
    </row>
    <row r="15" spans="1:29" x14ac:dyDescent="0.25">
      <c r="A15" t="s">
        <v>136</v>
      </c>
      <c r="B15" t="s">
        <v>40</v>
      </c>
      <c r="C15" s="49" t="s">
        <v>40</v>
      </c>
      <c r="D15" t="s">
        <v>41</v>
      </c>
      <c r="E15" s="49">
        <v>10030049</v>
      </c>
      <c r="F15" t="s">
        <v>91</v>
      </c>
      <c r="G15" s="49">
        <v>4</v>
      </c>
      <c r="H15" s="50">
        <v>56</v>
      </c>
      <c r="I15" s="51">
        <v>1850.6175355800001</v>
      </c>
      <c r="J15" s="52">
        <v>0</v>
      </c>
      <c r="K15" s="52">
        <v>0</v>
      </c>
      <c r="L15" s="52">
        <v>0</v>
      </c>
      <c r="M15" s="50">
        <v>1851</v>
      </c>
      <c r="N15" s="50">
        <v>0</v>
      </c>
      <c r="O15" s="52" t="s">
        <v>35</v>
      </c>
      <c r="P15" s="52">
        <v>0</v>
      </c>
      <c r="Q15" s="49" t="s">
        <v>34</v>
      </c>
      <c r="R15" t="s">
        <v>137</v>
      </c>
      <c r="S15" t="s">
        <v>138</v>
      </c>
      <c r="T15" t="s">
        <v>111</v>
      </c>
      <c r="U15" t="s">
        <v>131</v>
      </c>
      <c r="V15" t="s">
        <v>84</v>
      </c>
      <c r="W15" t="s">
        <v>37</v>
      </c>
      <c r="Y15" s="53">
        <v>6.6093483413571441</v>
      </c>
    </row>
    <row r="16" spans="1:29" x14ac:dyDescent="0.25">
      <c r="A16" t="s">
        <v>139</v>
      </c>
      <c r="B16" t="s">
        <v>40</v>
      </c>
      <c r="C16" s="49" t="s">
        <v>40</v>
      </c>
      <c r="D16" t="s">
        <v>42</v>
      </c>
      <c r="E16" s="49">
        <v>10030075</v>
      </c>
      <c r="F16" t="s">
        <v>79</v>
      </c>
      <c r="G16" s="49">
        <v>14</v>
      </c>
      <c r="H16" s="50">
        <v>242.32999999999998</v>
      </c>
      <c r="I16" s="51">
        <v>11066.217336721267</v>
      </c>
      <c r="J16" s="52">
        <v>0</v>
      </c>
      <c r="K16" s="52">
        <v>0</v>
      </c>
      <c r="L16" s="52">
        <v>589</v>
      </c>
      <c r="M16" s="50">
        <v>0</v>
      </c>
      <c r="N16" s="50">
        <v>0</v>
      </c>
      <c r="O16" s="52" t="s">
        <v>35</v>
      </c>
      <c r="P16" s="52">
        <v>10477</v>
      </c>
      <c r="Q16" s="49" t="s">
        <v>34</v>
      </c>
      <c r="R16" t="s">
        <v>140</v>
      </c>
      <c r="S16" t="s">
        <v>141</v>
      </c>
      <c r="T16" t="s">
        <v>142</v>
      </c>
      <c r="U16" t="s">
        <v>143</v>
      </c>
      <c r="V16" t="s">
        <v>84</v>
      </c>
      <c r="W16" t="s">
        <v>37</v>
      </c>
      <c r="X16" s="54"/>
      <c r="Y16" s="53">
        <v>31.966129392584033</v>
      </c>
    </row>
    <row r="17" spans="1:25" x14ac:dyDescent="0.25">
      <c r="A17" t="s">
        <v>144</v>
      </c>
      <c r="B17" t="s">
        <v>40</v>
      </c>
      <c r="C17" s="49" t="s">
        <v>40</v>
      </c>
      <c r="D17" t="s">
        <v>42</v>
      </c>
      <c r="E17" s="49">
        <v>10030075</v>
      </c>
      <c r="F17" t="s">
        <v>86</v>
      </c>
      <c r="G17" s="49">
        <v>14</v>
      </c>
      <c r="H17" s="50">
        <v>88.850000000000009</v>
      </c>
      <c r="I17" s="51">
        <v>4590.5749563385752</v>
      </c>
      <c r="J17" s="52">
        <v>0</v>
      </c>
      <c r="K17" s="52">
        <v>0</v>
      </c>
      <c r="L17" s="52">
        <v>0</v>
      </c>
      <c r="M17" s="50">
        <v>0</v>
      </c>
      <c r="N17" s="50">
        <v>0</v>
      </c>
      <c r="O17" s="52" t="s">
        <v>35</v>
      </c>
      <c r="P17" s="52">
        <v>4591</v>
      </c>
      <c r="Q17" s="49" t="s">
        <v>34</v>
      </c>
      <c r="R17" t="s">
        <v>145</v>
      </c>
      <c r="S17" t="s">
        <v>146</v>
      </c>
      <c r="T17" t="s">
        <v>147</v>
      </c>
      <c r="U17" t="s">
        <v>148</v>
      </c>
      <c r="V17" t="s">
        <v>84</v>
      </c>
      <c r="W17" t="s">
        <v>37</v>
      </c>
      <c r="Y17" s="53">
        <v>36.166600668958949</v>
      </c>
    </row>
    <row r="18" spans="1:25" x14ac:dyDescent="0.25">
      <c r="A18" t="s">
        <v>149</v>
      </c>
      <c r="B18" t="s">
        <v>40</v>
      </c>
      <c r="C18" s="49" t="s">
        <v>40</v>
      </c>
      <c r="D18" t="s">
        <v>42</v>
      </c>
      <c r="E18" s="49">
        <v>10030075</v>
      </c>
      <c r="F18" t="s">
        <v>150</v>
      </c>
      <c r="G18" s="49">
        <v>14</v>
      </c>
      <c r="H18" s="50">
        <v>74.120000000000019</v>
      </c>
      <c r="I18" s="51">
        <v>2863.8529161125998</v>
      </c>
      <c r="J18" s="52">
        <v>0</v>
      </c>
      <c r="K18" s="52">
        <v>0</v>
      </c>
      <c r="L18" s="52">
        <v>0</v>
      </c>
      <c r="M18" s="50">
        <v>0</v>
      </c>
      <c r="N18" s="50">
        <v>0</v>
      </c>
      <c r="O18" s="52" t="s">
        <v>35</v>
      </c>
      <c r="P18" s="52">
        <v>2864</v>
      </c>
      <c r="Q18" s="49" t="s">
        <v>34</v>
      </c>
      <c r="R18" t="s">
        <v>151</v>
      </c>
      <c r="S18" t="s">
        <v>152</v>
      </c>
      <c r="T18" t="s">
        <v>153</v>
      </c>
      <c r="U18" t="s">
        <v>154</v>
      </c>
      <c r="V18" t="s">
        <v>84</v>
      </c>
      <c r="W18" t="s">
        <v>37</v>
      </c>
      <c r="Y18" s="53">
        <v>27.046641139757412</v>
      </c>
    </row>
    <row r="19" spans="1:25" x14ac:dyDescent="0.25">
      <c r="A19" t="s">
        <v>155</v>
      </c>
      <c r="B19" t="s">
        <v>40</v>
      </c>
      <c r="C19" s="49" t="s">
        <v>40</v>
      </c>
      <c r="D19" t="s">
        <v>42</v>
      </c>
      <c r="E19" s="49">
        <v>10030075</v>
      </c>
      <c r="F19" t="s">
        <v>91</v>
      </c>
      <c r="G19" s="49">
        <v>14</v>
      </c>
      <c r="H19" s="50">
        <v>52.199999999999996</v>
      </c>
      <c r="I19" s="51">
        <v>2043.213365201334</v>
      </c>
      <c r="J19" s="52">
        <v>0</v>
      </c>
      <c r="K19" s="52">
        <v>0</v>
      </c>
      <c r="L19" s="52">
        <v>0</v>
      </c>
      <c r="M19" s="50">
        <v>0</v>
      </c>
      <c r="N19" s="50">
        <v>0</v>
      </c>
      <c r="O19" s="52" t="s">
        <v>35</v>
      </c>
      <c r="P19" s="52">
        <v>2043</v>
      </c>
      <c r="Q19" s="49" t="s">
        <v>34</v>
      </c>
      <c r="R19" t="s">
        <v>80</v>
      </c>
      <c r="S19" t="s">
        <v>156</v>
      </c>
      <c r="T19" t="s">
        <v>157</v>
      </c>
      <c r="U19" t="s">
        <v>127</v>
      </c>
      <c r="V19" t="s">
        <v>84</v>
      </c>
      <c r="W19" t="s">
        <v>37</v>
      </c>
      <c r="Y19" s="53">
        <v>27.399412943312914</v>
      </c>
    </row>
    <row r="20" spans="1:25" x14ac:dyDescent="0.25">
      <c r="A20" t="s">
        <v>158</v>
      </c>
      <c r="B20" t="s">
        <v>43</v>
      </c>
      <c r="C20" s="49" t="s">
        <v>43</v>
      </c>
      <c r="D20" t="s">
        <v>44</v>
      </c>
      <c r="E20" s="49">
        <v>10060106</v>
      </c>
      <c r="F20" t="s">
        <v>76</v>
      </c>
      <c r="G20" s="49">
        <v>14</v>
      </c>
      <c r="H20" s="50">
        <v>9.9699999999999989</v>
      </c>
      <c r="I20" s="51">
        <v>432.83982452448004</v>
      </c>
      <c r="J20" s="52">
        <v>0</v>
      </c>
      <c r="K20" s="52">
        <v>432.83982452448004</v>
      </c>
      <c r="L20" s="52">
        <v>0</v>
      </c>
      <c r="M20" s="50">
        <v>0</v>
      </c>
      <c r="N20" s="50">
        <v>0</v>
      </c>
      <c r="O20" s="52" t="s">
        <v>35</v>
      </c>
      <c r="P20" s="52">
        <v>0</v>
      </c>
      <c r="Q20" s="49" t="s">
        <v>34</v>
      </c>
      <c r="R20">
        <v>0</v>
      </c>
      <c r="S20">
        <v>0</v>
      </c>
      <c r="T20">
        <v>0</v>
      </c>
      <c r="U20">
        <v>0</v>
      </c>
      <c r="V20" t="s">
        <v>77</v>
      </c>
      <c r="W20" t="s">
        <v>37</v>
      </c>
      <c r="Y20" s="53">
        <v>0</v>
      </c>
    </row>
    <row r="21" spans="1:25" x14ac:dyDescent="0.25">
      <c r="A21" t="s">
        <v>159</v>
      </c>
      <c r="B21" t="s">
        <v>43</v>
      </c>
      <c r="C21" s="49" t="s">
        <v>43</v>
      </c>
      <c r="D21" t="s">
        <v>44</v>
      </c>
      <c r="E21" s="49">
        <v>10060106</v>
      </c>
      <c r="F21" t="s">
        <v>79</v>
      </c>
      <c r="G21" s="49">
        <v>14</v>
      </c>
      <c r="H21" s="50">
        <v>308.71000000000004</v>
      </c>
      <c r="I21" s="51">
        <v>18065.375012809582</v>
      </c>
      <c r="J21" s="52">
        <v>0</v>
      </c>
      <c r="K21" s="52">
        <v>0</v>
      </c>
      <c r="L21" s="52">
        <v>4203</v>
      </c>
      <c r="M21" s="50">
        <v>6800</v>
      </c>
      <c r="N21" s="50">
        <v>0</v>
      </c>
      <c r="O21" s="52" t="s">
        <v>35</v>
      </c>
      <c r="P21" s="52">
        <v>7062</v>
      </c>
      <c r="Q21" s="49" t="s">
        <v>34</v>
      </c>
      <c r="R21" t="s">
        <v>160</v>
      </c>
      <c r="S21" t="s">
        <v>161</v>
      </c>
      <c r="T21" t="s">
        <v>162</v>
      </c>
      <c r="U21" t="s">
        <v>106</v>
      </c>
      <c r="V21" t="s">
        <v>84</v>
      </c>
      <c r="W21" t="s">
        <v>37</v>
      </c>
      <c r="Y21" s="53">
        <v>40.963242230464537</v>
      </c>
    </row>
    <row r="22" spans="1:25" x14ac:dyDescent="0.25">
      <c r="A22" t="s">
        <v>163</v>
      </c>
      <c r="B22" t="s">
        <v>43</v>
      </c>
      <c r="C22" s="49" t="s">
        <v>43</v>
      </c>
      <c r="D22" t="s">
        <v>44</v>
      </c>
      <c r="E22" s="49">
        <v>10060106</v>
      </c>
      <c r="F22" t="s">
        <v>86</v>
      </c>
      <c r="G22" s="49">
        <v>14</v>
      </c>
      <c r="H22" s="50">
        <v>35.76</v>
      </c>
      <c r="I22" s="51">
        <v>1428.4425589079999</v>
      </c>
      <c r="J22" s="52">
        <v>0</v>
      </c>
      <c r="K22" s="52">
        <v>0</v>
      </c>
      <c r="L22" s="52">
        <v>0</v>
      </c>
      <c r="M22" s="50">
        <v>0</v>
      </c>
      <c r="N22" s="50">
        <v>0</v>
      </c>
      <c r="O22" s="52" t="s">
        <v>35</v>
      </c>
      <c r="P22" s="52">
        <v>1428</v>
      </c>
      <c r="Q22" s="49" t="s">
        <v>34</v>
      </c>
      <c r="R22" t="s">
        <v>164</v>
      </c>
      <c r="S22" t="s">
        <v>165</v>
      </c>
      <c r="T22" t="s">
        <v>162</v>
      </c>
      <c r="U22" t="s">
        <v>106</v>
      </c>
      <c r="V22" t="s">
        <v>84</v>
      </c>
      <c r="W22" t="s">
        <v>37</v>
      </c>
      <c r="Y22" s="53">
        <v>27.961683200100673</v>
      </c>
    </row>
    <row r="23" spans="1:25" x14ac:dyDescent="0.25">
      <c r="A23" t="s">
        <v>166</v>
      </c>
      <c r="B23" t="s">
        <v>43</v>
      </c>
      <c r="C23" s="49" t="s">
        <v>43</v>
      </c>
      <c r="D23" t="s">
        <v>44</v>
      </c>
      <c r="E23" s="49">
        <v>10060106</v>
      </c>
      <c r="F23" t="s">
        <v>167</v>
      </c>
      <c r="G23" s="49">
        <v>14</v>
      </c>
      <c r="H23" s="50">
        <v>46.040000000000006</v>
      </c>
      <c r="I23" s="51">
        <v>2814.8434933252797</v>
      </c>
      <c r="J23" s="52">
        <v>0</v>
      </c>
      <c r="K23" s="52">
        <v>0</v>
      </c>
      <c r="L23" s="52">
        <v>0</v>
      </c>
      <c r="M23" s="50">
        <v>0</v>
      </c>
      <c r="N23" s="50">
        <v>0</v>
      </c>
      <c r="O23" s="52" t="s">
        <v>35</v>
      </c>
      <c r="P23" s="52">
        <v>2815</v>
      </c>
      <c r="Q23" s="49" t="s">
        <v>34</v>
      </c>
      <c r="R23" t="s">
        <v>168</v>
      </c>
      <c r="S23" t="s">
        <v>169</v>
      </c>
      <c r="T23" t="s">
        <v>162</v>
      </c>
      <c r="U23" t="s">
        <v>106</v>
      </c>
      <c r="V23" t="s">
        <v>84</v>
      </c>
      <c r="W23" t="s">
        <v>37</v>
      </c>
      <c r="Y23" s="53">
        <v>42.797359802947341</v>
      </c>
    </row>
    <row r="24" spans="1:25" x14ac:dyDescent="0.25">
      <c r="A24" t="s">
        <v>170</v>
      </c>
      <c r="B24" t="s">
        <v>43</v>
      </c>
      <c r="C24" s="49" t="s">
        <v>43</v>
      </c>
      <c r="D24" t="s">
        <v>44</v>
      </c>
      <c r="E24" s="49">
        <v>10060106</v>
      </c>
      <c r="F24" t="s">
        <v>171</v>
      </c>
      <c r="G24" s="49">
        <v>14</v>
      </c>
      <c r="H24" s="50">
        <v>84.04</v>
      </c>
      <c r="I24" s="51">
        <v>3465.6173346456003</v>
      </c>
      <c r="J24" s="52">
        <v>0</v>
      </c>
      <c r="K24" s="52">
        <v>0</v>
      </c>
      <c r="L24" s="52">
        <v>0</v>
      </c>
      <c r="M24" s="50">
        <v>0</v>
      </c>
      <c r="N24" s="50">
        <v>0</v>
      </c>
      <c r="O24" s="52" t="s">
        <v>35</v>
      </c>
      <c r="P24" s="52">
        <v>3466</v>
      </c>
      <c r="Q24" s="49" t="s">
        <v>34</v>
      </c>
      <c r="R24" t="s">
        <v>172</v>
      </c>
      <c r="S24" t="s">
        <v>173</v>
      </c>
      <c r="T24" t="s">
        <v>162</v>
      </c>
      <c r="U24" t="s">
        <v>106</v>
      </c>
      <c r="V24" t="s">
        <v>84</v>
      </c>
      <c r="W24" t="s">
        <v>37</v>
      </c>
      <c r="Y24" s="53">
        <v>28.866398551307952</v>
      </c>
    </row>
    <row r="25" spans="1:25" x14ac:dyDescent="0.25">
      <c r="A25" t="s">
        <v>174</v>
      </c>
      <c r="B25" t="s">
        <v>43</v>
      </c>
      <c r="C25" s="49" t="s">
        <v>43</v>
      </c>
      <c r="D25" t="s">
        <v>44</v>
      </c>
      <c r="E25" s="49">
        <v>10060106</v>
      </c>
      <c r="F25" t="s">
        <v>175</v>
      </c>
      <c r="G25" s="49">
        <v>14</v>
      </c>
      <c r="H25" s="50">
        <v>42.570000000000007</v>
      </c>
      <c r="I25" s="51">
        <v>1831.2000694409999</v>
      </c>
      <c r="J25" s="52">
        <v>0</v>
      </c>
      <c r="K25" s="52">
        <v>0</v>
      </c>
      <c r="L25" s="52">
        <v>0</v>
      </c>
      <c r="M25" s="50">
        <v>0</v>
      </c>
      <c r="N25" s="50">
        <v>0</v>
      </c>
      <c r="O25" s="52" t="s">
        <v>35</v>
      </c>
      <c r="P25" s="52">
        <v>1831</v>
      </c>
      <c r="Q25" s="49" t="s">
        <v>34</v>
      </c>
      <c r="R25" t="s">
        <v>176</v>
      </c>
      <c r="S25" t="s">
        <v>177</v>
      </c>
      <c r="T25" t="s">
        <v>162</v>
      </c>
      <c r="U25" t="s">
        <v>106</v>
      </c>
      <c r="V25" t="s">
        <v>84</v>
      </c>
      <c r="W25" t="s">
        <v>37</v>
      </c>
      <c r="Y25" s="53">
        <v>30.111347160176177</v>
      </c>
    </row>
    <row r="26" spans="1:25" x14ac:dyDescent="0.25">
      <c r="A26" t="s">
        <v>178</v>
      </c>
      <c r="B26" t="s">
        <v>43</v>
      </c>
      <c r="C26" s="49" t="s">
        <v>43</v>
      </c>
      <c r="D26" t="s">
        <v>44</v>
      </c>
      <c r="E26" s="49">
        <v>10060106</v>
      </c>
      <c r="F26" t="s">
        <v>179</v>
      </c>
      <c r="G26" s="49">
        <v>12</v>
      </c>
      <c r="H26" s="50">
        <v>75.650000000000006</v>
      </c>
      <c r="I26" s="51">
        <v>4931.1492806879605</v>
      </c>
      <c r="J26" s="52">
        <v>0</v>
      </c>
      <c r="K26" s="52">
        <v>0</v>
      </c>
      <c r="L26" s="52">
        <v>0</v>
      </c>
      <c r="M26" s="50">
        <v>0</v>
      </c>
      <c r="N26" s="50">
        <v>0</v>
      </c>
      <c r="O26" s="52" t="s">
        <v>35</v>
      </c>
      <c r="P26" s="52">
        <v>4931</v>
      </c>
      <c r="Q26" s="49" t="s">
        <v>34</v>
      </c>
      <c r="R26" t="s">
        <v>180</v>
      </c>
      <c r="S26" t="s">
        <v>181</v>
      </c>
      <c r="T26" t="s">
        <v>162</v>
      </c>
      <c r="U26" t="s">
        <v>106</v>
      </c>
      <c r="V26" t="s">
        <v>84</v>
      </c>
      <c r="W26" t="s">
        <v>37</v>
      </c>
      <c r="Y26" s="53">
        <v>39.110238842204581</v>
      </c>
    </row>
    <row r="27" spans="1:25" x14ac:dyDescent="0.25">
      <c r="A27" t="s">
        <v>182</v>
      </c>
      <c r="B27" t="s">
        <v>43</v>
      </c>
      <c r="C27" s="49" t="s">
        <v>43</v>
      </c>
      <c r="D27" t="s">
        <v>44</v>
      </c>
      <c r="E27" s="49">
        <v>10060106</v>
      </c>
      <c r="F27" t="s">
        <v>102</v>
      </c>
      <c r="G27" s="49">
        <v>14</v>
      </c>
      <c r="H27" s="50">
        <v>36.28</v>
      </c>
      <c r="I27" s="51">
        <v>1888.6762762213505</v>
      </c>
      <c r="J27" s="52">
        <v>0</v>
      </c>
      <c r="K27" s="52">
        <v>0</v>
      </c>
      <c r="L27" s="52">
        <v>0</v>
      </c>
      <c r="M27" s="50">
        <v>0</v>
      </c>
      <c r="N27" s="50">
        <v>0</v>
      </c>
      <c r="O27" s="52" t="s">
        <v>35</v>
      </c>
      <c r="P27" s="52">
        <v>1889</v>
      </c>
      <c r="Q27" s="49" t="s">
        <v>34</v>
      </c>
      <c r="R27" t="s">
        <v>183</v>
      </c>
      <c r="S27" t="s">
        <v>184</v>
      </c>
      <c r="T27" t="s">
        <v>162</v>
      </c>
      <c r="U27" t="s">
        <v>106</v>
      </c>
      <c r="V27" t="s">
        <v>84</v>
      </c>
      <c r="W27" t="s">
        <v>37</v>
      </c>
      <c r="Y27" s="53">
        <v>36.440832231393202</v>
      </c>
    </row>
    <row r="28" spans="1:25" x14ac:dyDescent="0.25">
      <c r="A28" t="s">
        <v>185</v>
      </c>
      <c r="B28" t="s">
        <v>43</v>
      </c>
      <c r="C28" s="49" t="s">
        <v>43</v>
      </c>
      <c r="D28" t="s">
        <v>44</v>
      </c>
      <c r="E28" s="49">
        <v>10060106</v>
      </c>
      <c r="F28" t="s">
        <v>186</v>
      </c>
      <c r="G28" s="49">
        <v>14</v>
      </c>
      <c r="H28" s="50">
        <v>52.95</v>
      </c>
      <c r="I28" s="51">
        <v>2468.7610141330802</v>
      </c>
      <c r="J28" s="52">
        <v>0</v>
      </c>
      <c r="K28" s="52">
        <v>0</v>
      </c>
      <c r="L28" s="52">
        <v>0</v>
      </c>
      <c r="M28" s="50">
        <v>0</v>
      </c>
      <c r="N28" s="50">
        <v>0</v>
      </c>
      <c r="O28" s="52" t="s">
        <v>35</v>
      </c>
      <c r="P28" s="52">
        <v>2469</v>
      </c>
      <c r="Q28" s="49" t="s">
        <v>34</v>
      </c>
      <c r="R28" t="s">
        <v>187</v>
      </c>
      <c r="S28" t="s">
        <v>188</v>
      </c>
      <c r="T28" t="s">
        <v>189</v>
      </c>
      <c r="U28" t="s">
        <v>190</v>
      </c>
      <c r="V28" t="s">
        <v>84</v>
      </c>
      <c r="W28" t="s">
        <v>37</v>
      </c>
      <c r="X28" s="54"/>
      <c r="Y28" s="53">
        <v>32.637067231221081</v>
      </c>
    </row>
    <row r="29" spans="1:25" x14ac:dyDescent="0.25">
      <c r="A29" t="s">
        <v>191</v>
      </c>
      <c r="B29" t="s">
        <v>43</v>
      </c>
      <c r="C29" s="49" t="s">
        <v>43</v>
      </c>
      <c r="D29" t="s">
        <v>44</v>
      </c>
      <c r="E29" s="49">
        <v>10060106</v>
      </c>
      <c r="F29" t="s">
        <v>114</v>
      </c>
      <c r="G29" s="49">
        <v>14</v>
      </c>
      <c r="H29" s="50">
        <v>42.309999999999988</v>
      </c>
      <c r="I29" s="51">
        <v>1643.1749741879999</v>
      </c>
      <c r="J29" s="52">
        <v>0</v>
      </c>
      <c r="K29" s="52">
        <v>0</v>
      </c>
      <c r="L29" s="52">
        <v>0</v>
      </c>
      <c r="M29" s="50">
        <v>0</v>
      </c>
      <c r="N29" s="50">
        <v>0</v>
      </c>
      <c r="O29" s="52" t="s">
        <v>35</v>
      </c>
      <c r="P29" s="52">
        <v>1643</v>
      </c>
      <c r="Q29" s="49" t="s">
        <v>34</v>
      </c>
      <c r="R29" t="s">
        <v>192</v>
      </c>
      <c r="S29" t="s">
        <v>193</v>
      </c>
      <c r="T29" t="s">
        <v>162</v>
      </c>
      <c r="U29" t="s">
        <v>106</v>
      </c>
      <c r="V29" t="s">
        <v>84</v>
      </c>
      <c r="W29" t="s">
        <v>37</v>
      </c>
      <c r="Y29" s="53">
        <v>27.185593995074459</v>
      </c>
    </row>
    <row r="30" spans="1:25" x14ac:dyDescent="0.25">
      <c r="A30" t="s">
        <v>194</v>
      </c>
      <c r="B30" t="s">
        <v>46</v>
      </c>
      <c r="C30" s="49" t="s">
        <v>46</v>
      </c>
      <c r="D30" t="s">
        <v>47</v>
      </c>
      <c r="E30" s="49">
        <v>10110100</v>
      </c>
      <c r="F30" t="s">
        <v>79</v>
      </c>
      <c r="G30">
        <v>1</v>
      </c>
      <c r="H30" s="50">
        <v>98</v>
      </c>
      <c r="I30" s="50">
        <v>3746.1657870000004</v>
      </c>
      <c r="J30" s="52">
        <v>0</v>
      </c>
      <c r="K30" s="52">
        <v>0</v>
      </c>
      <c r="L30" s="52">
        <v>3738</v>
      </c>
      <c r="M30" s="50">
        <v>0</v>
      </c>
      <c r="N30" s="50">
        <v>0</v>
      </c>
      <c r="O30" s="52" t="s">
        <v>35</v>
      </c>
      <c r="P30" s="52">
        <v>8</v>
      </c>
      <c r="Q30" s="49" t="s">
        <v>34</v>
      </c>
      <c r="R30" t="s">
        <v>195</v>
      </c>
      <c r="S30" t="s">
        <v>196</v>
      </c>
      <c r="T30" t="s">
        <v>197</v>
      </c>
      <c r="U30" t="s">
        <v>198</v>
      </c>
      <c r="V30" t="s">
        <v>84</v>
      </c>
      <c r="W30" t="s">
        <v>37</v>
      </c>
      <c r="Y30" s="53">
        <v>1.9113090750000001</v>
      </c>
    </row>
    <row r="31" spans="1:25" x14ac:dyDescent="0.25">
      <c r="A31" t="s">
        <v>199</v>
      </c>
      <c r="B31" t="s">
        <v>46</v>
      </c>
      <c r="C31" s="49" t="s">
        <v>46</v>
      </c>
      <c r="D31" t="s">
        <v>47</v>
      </c>
      <c r="E31" s="49">
        <v>10110100</v>
      </c>
      <c r="F31" t="s">
        <v>150</v>
      </c>
      <c r="G31">
        <v>7</v>
      </c>
      <c r="H31" s="50">
        <v>13.94</v>
      </c>
      <c r="I31" s="50">
        <v>1037.5000937436</v>
      </c>
      <c r="J31" s="52">
        <v>0</v>
      </c>
      <c r="K31" s="52">
        <v>0</v>
      </c>
      <c r="L31" s="52">
        <v>0</v>
      </c>
      <c r="M31" s="50">
        <v>0</v>
      </c>
      <c r="N31" s="50">
        <v>0</v>
      </c>
      <c r="O31" s="52" t="s">
        <v>35</v>
      </c>
      <c r="P31" s="52">
        <v>1038</v>
      </c>
      <c r="Q31" s="49" t="s">
        <v>34</v>
      </c>
      <c r="R31" t="s">
        <v>200</v>
      </c>
      <c r="S31" t="s">
        <v>201</v>
      </c>
      <c r="T31" t="s">
        <v>111</v>
      </c>
      <c r="U31" t="s">
        <v>131</v>
      </c>
      <c r="V31" t="s">
        <v>84</v>
      </c>
      <c r="W31" t="s">
        <v>37</v>
      </c>
      <c r="Y31" s="53">
        <v>26.049141521539458</v>
      </c>
    </row>
    <row r="32" spans="1:25" x14ac:dyDescent="0.25">
      <c r="A32" t="s">
        <v>202</v>
      </c>
      <c r="B32" t="s">
        <v>46</v>
      </c>
      <c r="C32" s="49" t="s">
        <v>46</v>
      </c>
      <c r="D32" t="s">
        <v>47</v>
      </c>
      <c r="E32" s="49">
        <v>10110100</v>
      </c>
      <c r="F32" t="s">
        <v>91</v>
      </c>
      <c r="G32">
        <v>14</v>
      </c>
      <c r="H32" s="50">
        <v>20.14</v>
      </c>
      <c r="I32" s="50">
        <v>1444.5930670338998</v>
      </c>
      <c r="J32" s="52">
        <v>0</v>
      </c>
      <c r="K32" s="52">
        <v>0</v>
      </c>
      <c r="L32" s="52">
        <v>0</v>
      </c>
      <c r="M32" s="50">
        <v>0</v>
      </c>
      <c r="N32" s="50">
        <v>0</v>
      </c>
      <c r="O32" s="52" t="s">
        <v>35</v>
      </c>
      <c r="P32" s="52">
        <v>1445</v>
      </c>
      <c r="Q32" s="49" t="s">
        <v>34</v>
      </c>
      <c r="R32" t="s">
        <v>203</v>
      </c>
      <c r="S32" t="s">
        <v>204</v>
      </c>
      <c r="T32" t="s">
        <v>205</v>
      </c>
      <c r="U32" t="s">
        <v>206</v>
      </c>
      <c r="V32" t="s">
        <v>84</v>
      </c>
      <c r="W32" t="s">
        <v>37</v>
      </c>
      <c r="Y32" s="53">
        <v>50.209292300085899</v>
      </c>
    </row>
    <row r="33" spans="1:25" x14ac:dyDescent="0.25">
      <c r="A33" t="s">
        <v>207</v>
      </c>
      <c r="B33" t="s">
        <v>46</v>
      </c>
      <c r="C33" s="49" t="s">
        <v>46</v>
      </c>
      <c r="D33" t="s">
        <v>47</v>
      </c>
      <c r="E33" s="49">
        <v>10110100</v>
      </c>
      <c r="F33" t="s">
        <v>97</v>
      </c>
      <c r="G33">
        <v>13</v>
      </c>
      <c r="H33" s="50">
        <v>1499.93</v>
      </c>
      <c r="I33" s="50">
        <v>65127.067706577</v>
      </c>
      <c r="J33" s="52">
        <v>0</v>
      </c>
      <c r="K33" s="52">
        <v>0</v>
      </c>
      <c r="L33" s="52">
        <v>0</v>
      </c>
      <c r="M33" s="50">
        <v>2700</v>
      </c>
      <c r="N33" s="50">
        <v>0</v>
      </c>
      <c r="O33" s="52" t="s">
        <v>35</v>
      </c>
      <c r="P33" s="52">
        <v>62427</v>
      </c>
      <c r="Q33" s="49" t="s">
        <v>34</v>
      </c>
      <c r="R33" t="s">
        <v>208</v>
      </c>
      <c r="S33" t="s">
        <v>209</v>
      </c>
      <c r="T33" t="s">
        <v>210</v>
      </c>
      <c r="U33" t="s">
        <v>127</v>
      </c>
      <c r="V33" t="s">
        <v>84</v>
      </c>
      <c r="W33" t="s">
        <v>37</v>
      </c>
      <c r="Y33" s="53">
        <v>28.223046415016068</v>
      </c>
    </row>
    <row r="34" spans="1:25" x14ac:dyDescent="0.25">
      <c r="A34" t="s">
        <v>211</v>
      </c>
      <c r="B34" t="s">
        <v>46</v>
      </c>
      <c r="C34" s="49" t="s">
        <v>46</v>
      </c>
      <c r="D34" t="s">
        <v>47</v>
      </c>
      <c r="E34" s="49">
        <v>10110100</v>
      </c>
      <c r="F34" t="s">
        <v>171</v>
      </c>
      <c r="G34">
        <v>7</v>
      </c>
      <c r="H34" s="50">
        <v>229.88000000000002</v>
      </c>
      <c r="I34" s="50">
        <v>8290.3059047526003</v>
      </c>
      <c r="J34" s="52">
        <v>0</v>
      </c>
      <c r="K34" s="52">
        <v>0</v>
      </c>
      <c r="L34" s="52">
        <v>0</v>
      </c>
      <c r="M34" s="50">
        <v>0</v>
      </c>
      <c r="N34" s="50">
        <v>0</v>
      </c>
      <c r="O34" s="52" t="s">
        <v>35</v>
      </c>
      <c r="P34" s="52">
        <v>8290</v>
      </c>
      <c r="Q34" s="49" t="s">
        <v>34</v>
      </c>
      <c r="R34" t="s">
        <v>212</v>
      </c>
      <c r="S34" t="s">
        <v>213</v>
      </c>
      <c r="T34" t="s">
        <v>214</v>
      </c>
      <c r="U34" t="s">
        <v>215</v>
      </c>
      <c r="V34" t="s">
        <v>84</v>
      </c>
      <c r="W34" t="s">
        <v>37</v>
      </c>
      <c r="Y34" s="53">
        <v>12.622268429891292</v>
      </c>
    </row>
    <row r="35" spans="1:25" x14ac:dyDescent="0.25">
      <c r="A35" t="s">
        <v>216</v>
      </c>
      <c r="B35" t="s">
        <v>46</v>
      </c>
      <c r="C35" s="49" t="s">
        <v>46</v>
      </c>
      <c r="D35" t="s">
        <v>47</v>
      </c>
      <c r="E35" s="49">
        <v>10110100</v>
      </c>
      <c r="F35" t="s">
        <v>102</v>
      </c>
      <c r="G35">
        <v>10</v>
      </c>
      <c r="H35" s="50">
        <v>404.32</v>
      </c>
      <c r="I35" s="50">
        <v>19647.05950358892</v>
      </c>
      <c r="J35" s="52">
        <v>0</v>
      </c>
      <c r="K35" s="52">
        <v>0</v>
      </c>
      <c r="L35" s="52">
        <v>0</v>
      </c>
      <c r="M35" s="50">
        <v>0</v>
      </c>
      <c r="N35" s="50">
        <v>0</v>
      </c>
      <c r="O35" s="52" t="s">
        <v>35</v>
      </c>
      <c r="P35" s="52">
        <v>19647</v>
      </c>
      <c r="Q35" s="49" t="s">
        <v>34</v>
      </c>
      <c r="R35" t="s">
        <v>217</v>
      </c>
      <c r="S35" t="s">
        <v>218</v>
      </c>
      <c r="T35" t="s">
        <v>219</v>
      </c>
      <c r="U35" t="s">
        <v>220</v>
      </c>
      <c r="V35" t="s">
        <v>84</v>
      </c>
      <c r="W35" t="s">
        <v>37</v>
      </c>
      <c r="Y35" s="53">
        <v>24.2964230109677</v>
      </c>
    </row>
    <row r="36" spans="1:25" x14ac:dyDescent="0.25">
      <c r="A36" t="s">
        <v>221</v>
      </c>
      <c r="B36" t="s">
        <v>46</v>
      </c>
      <c r="C36" s="49" t="s">
        <v>46</v>
      </c>
      <c r="D36" t="s">
        <v>47</v>
      </c>
      <c r="E36" s="49">
        <v>10110100</v>
      </c>
      <c r="F36" t="s">
        <v>186</v>
      </c>
      <c r="G36">
        <v>13</v>
      </c>
      <c r="H36" s="50">
        <v>20.839999999999996</v>
      </c>
      <c r="I36" s="50">
        <v>834.23588105400017</v>
      </c>
      <c r="J36" s="52">
        <v>0</v>
      </c>
      <c r="K36" s="52">
        <v>0</v>
      </c>
      <c r="L36" s="52">
        <v>0</v>
      </c>
      <c r="M36" s="50">
        <v>0</v>
      </c>
      <c r="N36" s="50">
        <v>0</v>
      </c>
      <c r="O36" s="52" t="s">
        <v>35</v>
      </c>
      <c r="P36" s="52">
        <v>834</v>
      </c>
      <c r="Q36" s="49" t="s">
        <v>34</v>
      </c>
      <c r="R36" t="s">
        <v>222</v>
      </c>
      <c r="S36" t="s">
        <v>223</v>
      </c>
      <c r="T36" t="s">
        <v>205</v>
      </c>
      <c r="U36" t="s">
        <v>206</v>
      </c>
      <c r="V36" t="s">
        <v>84</v>
      </c>
      <c r="W36" t="s">
        <v>37</v>
      </c>
      <c r="Y36" s="53">
        <v>26.019833142279282</v>
      </c>
    </row>
    <row r="37" spans="1:25" x14ac:dyDescent="0.25">
      <c r="A37" t="s">
        <v>224</v>
      </c>
      <c r="B37" t="s">
        <v>46</v>
      </c>
      <c r="C37" s="49" t="s">
        <v>46</v>
      </c>
      <c r="D37" t="s">
        <v>47</v>
      </c>
      <c r="E37" s="49">
        <v>10110100</v>
      </c>
      <c r="F37" t="s">
        <v>225</v>
      </c>
      <c r="G37">
        <v>3</v>
      </c>
      <c r="H37" s="50">
        <v>4.0199999999999996</v>
      </c>
      <c r="I37" s="50">
        <v>247.74188208343998</v>
      </c>
      <c r="J37" s="52">
        <v>0</v>
      </c>
      <c r="K37" s="52">
        <v>0</v>
      </c>
      <c r="L37" s="52">
        <v>0</v>
      </c>
      <c r="M37" s="50">
        <v>0</v>
      </c>
      <c r="N37" s="50">
        <v>0</v>
      </c>
      <c r="O37" s="52" t="s">
        <v>35</v>
      </c>
      <c r="P37" s="52">
        <v>248</v>
      </c>
      <c r="Q37" s="49" t="s">
        <v>34</v>
      </c>
      <c r="R37" t="s">
        <v>226</v>
      </c>
      <c r="S37" t="s">
        <v>227</v>
      </c>
      <c r="T37" t="s">
        <v>210</v>
      </c>
      <c r="U37" t="s">
        <v>127</v>
      </c>
      <c r="V37" t="s">
        <v>84</v>
      </c>
      <c r="W37" t="s">
        <v>37</v>
      </c>
      <c r="X37" s="54"/>
      <c r="Y37" s="53">
        <v>9.2441000777402991</v>
      </c>
    </row>
    <row r="38" spans="1:25" x14ac:dyDescent="0.25">
      <c r="A38" t="s">
        <v>228</v>
      </c>
      <c r="B38" t="s">
        <v>46</v>
      </c>
      <c r="C38" s="49" t="s">
        <v>46</v>
      </c>
      <c r="D38" t="s">
        <v>47</v>
      </c>
      <c r="E38" s="49">
        <v>10110100</v>
      </c>
      <c r="F38" t="s">
        <v>229</v>
      </c>
      <c r="G38">
        <v>13</v>
      </c>
      <c r="H38" s="50">
        <v>1791.74</v>
      </c>
      <c r="I38" s="50">
        <v>71873.161605557965</v>
      </c>
      <c r="J38" s="52">
        <v>0</v>
      </c>
      <c r="K38" s="52">
        <v>0</v>
      </c>
      <c r="L38" s="52">
        <v>0</v>
      </c>
      <c r="M38" s="50">
        <v>0</v>
      </c>
      <c r="N38" s="50">
        <v>0</v>
      </c>
      <c r="O38" s="52" t="s">
        <v>35</v>
      </c>
      <c r="P38" s="52">
        <v>71873</v>
      </c>
      <c r="Q38" s="49" t="s">
        <v>34</v>
      </c>
      <c r="R38" t="s">
        <v>230</v>
      </c>
      <c r="S38" t="s">
        <v>231</v>
      </c>
      <c r="T38" t="s">
        <v>232</v>
      </c>
      <c r="U38" t="s">
        <v>233</v>
      </c>
      <c r="V38" t="s">
        <v>84</v>
      </c>
      <c r="W38" t="s">
        <v>37</v>
      </c>
      <c r="Y38" s="53">
        <v>26.073847234315625</v>
      </c>
    </row>
    <row r="39" spans="1:25" x14ac:dyDescent="0.25">
      <c r="A39" t="s">
        <v>234</v>
      </c>
      <c r="B39" t="s">
        <v>46</v>
      </c>
      <c r="C39" s="49" t="s">
        <v>46</v>
      </c>
      <c r="D39" t="s">
        <v>47</v>
      </c>
      <c r="E39" s="49">
        <v>10110100</v>
      </c>
      <c r="F39" t="s">
        <v>235</v>
      </c>
      <c r="G39">
        <v>14</v>
      </c>
      <c r="H39" s="50">
        <v>49.300000000000004</v>
      </c>
      <c r="I39" s="50">
        <v>1822.817572554</v>
      </c>
      <c r="J39" s="52">
        <v>0</v>
      </c>
      <c r="K39" s="52">
        <v>0</v>
      </c>
      <c r="L39" s="52">
        <v>0</v>
      </c>
      <c r="M39" s="50">
        <v>0</v>
      </c>
      <c r="N39" s="50">
        <v>0</v>
      </c>
      <c r="O39" s="52" t="s">
        <v>35</v>
      </c>
      <c r="P39" s="52">
        <v>1823</v>
      </c>
      <c r="Q39" s="49" t="s">
        <v>34</v>
      </c>
      <c r="R39" t="s">
        <v>236</v>
      </c>
      <c r="S39" t="s">
        <v>237</v>
      </c>
      <c r="T39" t="s">
        <v>111</v>
      </c>
      <c r="U39" t="s">
        <v>117</v>
      </c>
      <c r="V39" t="s">
        <v>84</v>
      </c>
      <c r="W39" t="s">
        <v>37</v>
      </c>
      <c r="Y39" s="53">
        <v>25.881791091030429</v>
      </c>
    </row>
    <row r="40" spans="1:25" x14ac:dyDescent="0.25">
      <c r="A40" t="s">
        <v>238</v>
      </c>
      <c r="B40" t="s">
        <v>46</v>
      </c>
      <c r="C40" s="49" t="s">
        <v>46</v>
      </c>
      <c r="D40" t="s">
        <v>47</v>
      </c>
      <c r="E40" s="49">
        <v>10110100</v>
      </c>
      <c r="F40" t="s">
        <v>239</v>
      </c>
      <c r="G40">
        <v>13</v>
      </c>
      <c r="H40" s="50">
        <v>40.159999999999997</v>
      </c>
      <c r="I40" s="50">
        <v>1603.4180090400002</v>
      </c>
      <c r="J40" s="52">
        <v>0</v>
      </c>
      <c r="K40" s="52">
        <v>0</v>
      </c>
      <c r="L40" s="52">
        <v>0</v>
      </c>
      <c r="M40" s="50">
        <v>0</v>
      </c>
      <c r="N40" s="50">
        <v>0</v>
      </c>
      <c r="O40" s="52" t="s">
        <v>35</v>
      </c>
      <c r="P40" s="52">
        <v>1603</v>
      </c>
      <c r="Q40" s="49" t="s">
        <v>34</v>
      </c>
      <c r="R40" t="s">
        <v>240</v>
      </c>
      <c r="S40" t="s">
        <v>241</v>
      </c>
      <c r="T40" t="s">
        <v>214</v>
      </c>
      <c r="U40" t="s">
        <v>215</v>
      </c>
      <c r="V40" t="s">
        <v>84</v>
      </c>
      <c r="W40" t="s">
        <v>37</v>
      </c>
      <c r="Y40" s="53">
        <v>25.951735704083671</v>
      </c>
    </row>
    <row r="41" spans="1:25" x14ac:dyDescent="0.25">
      <c r="A41" t="s">
        <v>242</v>
      </c>
      <c r="B41" t="s">
        <v>46</v>
      </c>
      <c r="C41" s="49" t="s">
        <v>46</v>
      </c>
      <c r="D41" t="s">
        <v>47</v>
      </c>
      <c r="E41" s="49">
        <v>10110100</v>
      </c>
      <c r="F41" t="s">
        <v>243</v>
      </c>
      <c r="G41">
        <v>9</v>
      </c>
      <c r="H41" s="50">
        <v>23.040000000000003</v>
      </c>
      <c r="I41" s="50">
        <v>1455.3377891747</v>
      </c>
      <c r="J41" s="52">
        <v>0</v>
      </c>
      <c r="K41" s="52">
        <v>0</v>
      </c>
      <c r="L41" s="52">
        <v>0</v>
      </c>
      <c r="M41" s="50">
        <v>0</v>
      </c>
      <c r="N41" s="50">
        <v>0</v>
      </c>
      <c r="O41" s="52" t="s">
        <v>35</v>
      </c>
      <c r="P41" s="52">
        <v>1455</v>
      </c>
      <c r="Q41" s="49" t="s">
        <v>34</v>
      </c>
      <c r="R41" t="s">
        <v>244</v>
      </c>
      <c r="S41" t="s">
        <v>245</v>
      </c>
      <c r="T41" t="s">
        <v>214</v>
      </c>
      <c r="U41" t="s">
        <v>215</v>
      </c>
      <c r="V41" t="s">
        <v>84</v>
      </c>
      <c r="W41" t="s">
        <v>37</v>
      </c>
      <c r="Y41" s="53">
        <v>28.424566194818357</v>
      </c>
    </row>
    <row r="42" spans="1:25" x14ac:dyDescent="0.25">
      <c r="A42" t="s">
        <v>246</v>
      </c>
      <c r="B42" t="s">
        <v>46</v>
      </c>
      <c r="C42" s="49" t="s">
        <v>46</v>
      </c>
      <c r="D42" t="s">
        <v>47</v>
      </c>
      <c r="E42" s="49">
        <v>10110100</v>
      </c>
      <c r="F42" t="s">
        <v>247</v>
      </c>
      <c r="G42">
        <v>7</v>
      </c>
      <c r="H42" s="50">
        <v>24.6</v>
      </c>
      <c r="I42" s="50">
        <v>1038.116415102</v>
      </c>
      <c r="J42" s="52">
        <v>0</v>
      </c>
      <c r="K42" s="52">
        <v>0</v>
      </c>
      <c r="L42" s="52">
        <v>0</v>
      </c>
      <c r="M42" s="50">
        <v>0</v>
      </c>
      <c r="N42" s="50">
        <v>0</v>
      </c>
      <c r="O42" s="52" t="s">
        <v>35</v>
      </c>
      <c r="P42" s="52">
        <v>1038</v>
      </c>
      <c r="Q42" s="49" t="s">
        <v>34</v>
      </c>
      <c r="R42" t="s">
        <v>248</v>
      </c>
      <c r="S42" t="s">
        <v>249</v>
      </c>
      <c r="T42" t="s">
        <v>111</v>
      </c>
      <c r="U42" t="s">
        <v>131</v>
      </c>
      <c r="V42" t="s">
        <v>84</v>
      </c>
      <c r="W42" t="s">
        <v>37</v>
      </c>
      <c r="Y42" s="53">
        <v>14.76994899535366</v>
      </c>
    </row>
    <row r="43" spans="1:25" x14ac:dyDescent="0.25">
      <c r="A43" t="s">
        <v>250</v>
      </c>
      <c r="B43" t="s">
        <v>46</v>
      </c>
      <c r="C43" s="49" t="s">
        <v>46</v>
      </c>
      <c r="D43" t="s">
        <v>47</v>
      </c>
      <c r="E43" s="49">
        <v>10110100</v>
      </c>
      <c r="F43" t="s">
        <v>251</v>
      </c>
      <c r="G43">
        <v>9</v>
      </c>
      <c r="H43" s="50">
        <v>15.919999999999998</v>
      </c>
      <c r="I43" s="50">
        <v>690.28442444400002</v>
      </c>
      <c r="J43" s="52">
        <v>0</v>
      </c>
      <c r="K43" s="52">
        <v>0</v>
      </c>
      <c r="L43" s="52">
        <v>0</v>
      </c>
      <c r="M43" s="50">
        <v>0</v>
      </c>
      <c r="N43" s="50">
        <v>0</v>
      </c>
      <c r="O43" s="52" t="s">
        <v>35</v>
      </c>
      <c r="P43" s="52">
        <v>690</v>
      </c>
      <c r="Q43" s="49" t="s">
        <v>34</v>
      </c>
      <c r="R43" t="s">
        <v>252</v>
      </c>
      <c r="S43" t="s">
        <v>253</v>
      </c>
      <c r="T43" t="s">
        <v>254</v>
      </c>
      <c r="U43" t="s">
        <v>255</v>
      </c>
      <c r="V43" t="s">
        <v>84</v>
      </c>
      <c r="W43" t="s">
        <v>37</v>
      </c>
      <c r="Y43" s="53">
        <v>19.511808479886938</v>
      </c>
    </row>
    <row r="44" spans="1:25" x14ac:dyDescent="0.25">
      <c r="A44" t="s">
        <v>256</v>
      </c>
      <c r="B44" t="s">
        <v>46</v>
      </c>
      <c r="C44" s="49" t="s">
        <v>46</v>
      </c>
      <c r="D44" t="s">
        <v>47</v>
      </c>
      <c r="E44" s="49">
        <v>10110100</v>
      </c>
      <c r="F44" t="s">
        <v>257</v>
      </c>
      <c r="G44">
        <v>14</v>
      </c>
      <c r="H44" s="50">
        <v>37.08</v>
      </c>
      <c r="I44" s="50">
        <v>1397.4074198100004</v>
      </c>
      <c r="J44" s="52">
        <v>0</v>
      </c>
      <c r="K44" s="52">
        <v>0</v>
      </c>
      <c r="L44" s="52">
        <v>0</v>
      </c>
      <c r="M44" s="50">
        <v>0</v>
      </c>
      <c r="N44" s="50">
        <v>0</v>
      </c>
      <c r="O44" s="52" t="s">
        <v>35</v>
      </c>
      <c r="P44" s="52">
        <v>1397</v>
      </c>
      <c r="Q44" s="49" t="s">
        <v>34</v>
      </c>
      <c r="R44" t="s">
        <v>258</v>
      </c>
      <c r="S44" t="s">
        <v>259</v>
      </c>
      <c r="T44" t="s">
        <v>260</v>
      </c>
      <c r="U44" t="s">
        <v>190</v>
      </c>
      <c r="V44" t="s">
        <v>84</v>
      </c>
      <c r="W44" t="s">
        <v>37</v>
      </c>
      <c r="Y44" s="53">
        <v>26.380398971601952</v>
      </c>
    </row>
    <row r="45" spans="1:25" x14ac:dyDescent="0.25">
      <c r="A45" t="s">
        <v>261</v>
      </c>
      <c r="B45" t="s">
        <v>46</v>
      </c>
      <c r="C45" s="49" t="s">
        <v>46</v>
      </c>
      <c r="D45" t="s">
        <v>47</v>
      </c>
      <c r="E45" s="49">
        <v>10110100</v>
      </c>
      <c r="F45" t="s">
        <v>262</v>
      </c>
      <c r="G45">
        <v>14</v>
      </c>
      <c r="H45" s="50">
        <v>18.28</v>
      </c>
      <c r="I45" s="50">
        <v>648.41147023290011</v>
      </c>
      <c r="J45" s="52">
        <v>0</v>
      </c>
      <c r="K45" s="52">
        <v>0</v>
      </c>
      <c r="L45" s="52">
        <v>0</v>
      </c>
      <c r="M45" s="50">
        <v>0</v>
      </c>
      <c r="N45" s="50">
        <v>0</v>
      </c>
      <c r="O45" s="52" t="s">
        <v>35</v>
      </c>
      <c r="P45" s="52">
        <v>648</v>
      </c>
      <c r="Q45" s="49" t="s">
        <v>34</v>
      </c>
      <c r="R45" t="s">
        <v>263</v>
      </c>
      <c r="S45" t="s">
        <v>264</v>
      </c>
      <c r="T45" t="s">
        <v>111</v>
      </c>
      <c r="U45" t="s">
        <v>112</v>
      </c>
      <c r="V45" t="s">
        <v>84</v>
      </c>
      <c r="W45" t="s">
        <v>37</v>
      </c>
      <c r="Y45" s="53">
        <v>24.829760895132939</v>
      </c>
    </row>
    <row r="46" spans="1:25" x14ac:dyDescent="0.25">
      <c r="A46" t="s">
        <v>265</v>
      </c>
      <c r="B46" t="s">
        <v>49</v>
      </c>
      <c r="C46" s="49" t="s">
        <v>49</v>
      </c>
      <c r="D46" t="s">
        <v>50</v>
      </c>
      <c r="E46" s="49">
        <v>10560036</v>
      </c>
      <c r="F46" t="s">
        <v>79</v>
      </c>
      <c r="G46">
        <v>11</v>
      </c>
      <c r="H46" s="50">
        <v>587.15999999999985</v>
      </c>
      <c r="I46" s="50">
        <v>28102.3314425877</v>
      </c>
      <c r="J46" s="52">
        <v>900</v>
      </c>
      <c r="K46" s="52">
        <v>0</v>
      </c>
      <c r="L46" s="52">
        <v>3497</v>
      </c>
      <c r="M46" s="50">
        <v>0</v>
      </c>
      <c r="N46" s="50">
        <v>0</v>
      </c>
      <c r="O46" s="52" t="s">
        <v>35</v>
      </c>
      <c r="P46" s="52">
        <v>23705</v>
      </c>
      <c r="Q46" s="49" t="s">
        <v>34</v>
      </c>
      <c r="R46" t="s">
        <v>266</v>
      </c>
      <c r="S46" t="s">
        <v>267</v>
      </c>
      <c r="T46" t="s">
        <v>111</v>
      </c>
      <c r="U46" t="s">
        <v>112</v>
      </c>
      <c r="V46" t="s">
        <v>84</v>
      </c>
      <c r="W46" t="s">
        <v>37</v>
      </c>
      <c r="Y46" s="53">
        <v>26.323799804862798</v>
      </c>
    </row>
    <row r="47" spans="1:25" x14ac:dyDescent="0.25">
      <c r="A47" t="s">
        <v>268</v>
      </c>
      <c r="B47" t="s">
        <v>49</v>
      </c>
      <c r="C47" s="49" t="s">
        <v>49</v>
      </c>
      <c r="D47" t="s">
        <v>50</v>
      </c>
      <c r="E47" s="49">
        <v>10560036</v>
      </c>
      <c r="F47" t="s">
        <v>91</v>
      </c>
      <c r="G47">
        <v>1</v>
      </c>
      <c r="H47" s="50">
        <v>145.78</v>
      </c>
      <c r="I47" s="50">
        <v>7512.8884779131995</v>
      </c>
      <c r="J47" s="52">
        <v>0</v>
      </c>
      <c r="K47" s="52">
        <v>0</v>
      </c>
      <c r="L47" s="52">
        <v>0</v>
      </c>
      <c r="M47" s="50">
        <v>0</v>
      </c>
      <c r="N47" s="50">
        <v>0</v>
      </c>
      <c r="O47" s="52" t="s">
        <v>35</v>
      </c>
      <c r="P47" s="52">
        <v>7513</v>
      </c>
      <c r="Q47" s="49" t="s">
        <v>34</v>
      </c>
      <c r="R47" t="s">
        <v>269</v>
      </c>
      <c r="S47" t="s">
        <v>270</v>
      </c>
      <c r="T47" t="s">
        <v>111</v>
      </c>
      <c r="U47" t="s">
        <v>112</v>
      </c>
      <c r="V47" t="s">
        <v>84</v>
      </c>
      <c r="W47" t="s">
        <v>37</v>
      </c>
      <c r="Y47" s="53">
        <v>2.5767898470000001</v>
      </c>
    </row>
    <row r="48" spans="1:25" x14ac:dyDescent="0.25">
      <c r="A48" t="s">
        <v>271</v>
      </c>
      <c r="B48" t="s">
        <v>51</v>
      </c>
      <c r="C48" s="49" t="s">
        <v>51</v>
      </c>
      <c r="D48" t="s">
        <v>52</v>
      </c>
      <c r="E48" s="49">
        <v>10570009</v>
      </c>
      <c r="F48" t="s">
        <v>79</v>
      </c>
      <c r="G48">
        <v>14</v>
      </c>
      <c r="H48" s="50">
        <v>314.39999999999998</v>
      </c>
      <c r="I48" s="50">
        <v>12361.517503956</v>
      </c>
      <c r="J48" s="52">
        <v>0</v>
      </c>
      <c r="K48" s="52">
        <v>0</v>
      </c>
      <c r="L48" s="52">
        <v>0</v>
      </c>
      <c r="M48" s="50">
        <v>1500</v>
      </c>
      <c r="N48" s="50">
        <v>0</v>
      </c>
      <c r="O48" s="52" t="s">
        <v>35</v>
      </c>
      <c r="P48" s="52">
        <v>10862</v>
      </c>
      <c r="Q48" s="49" t="s">
        <v>34</v>
      </c>
      <c r="R48" t="s">
        <v>272</v>
      </c>
      <c r="S48" t="s">
        <v>273</v>
      </c>
      <c r="T48" t="s">
        <v>274</v>
      </c>
      <c r="U48" t="s">
        <v>127</v>
      </c>
      <c r="V48" t="s">
        <v>84</v>
      </c>
      <c r="W48" t="s">
        <v>37</v>
      </c>
      <c r="Y48" s="53">
        <v>27.522462636034355</v>
      </c>
    </row>
    <row r="49" spans="1:25" x14ac:dyDescent="0.25">
      <c r="A49" t="s">
        <v>275</v>
      </c>
      <c r="B49" t="s">
        <v>51</v>
      </c>
      <c r="C49" s="49" t="s">
        <v>51</v>
      </c>
      <c r="D49" t="s">
        <v>52</v>
      </c>
      <c r="E49" s="49">
        <v>10570009</v>
      </c>
      <c r="F49" t="s">
        <v>86</v>
      </c>
      <c r="G49">
        <v>11</v>
      </c>
      <c r="H49" s="50">
        <v>265.7</v>
      </c>
      <c r="I49" s="50">
        <v>11010.398098290001</v>
      </c>
      <c r="J49" s="52">
        <v>0</v>
      </c>
      <c r="K49" s="52">
        <v>0</v>
      </c>
      <c r="L49" s="52">
        <v>0</v>
      </c>
      <c r="M49" s="50">
        <v>0</v>
      </c>
      <c r="N49" s="50">
        <v>0</v>
      </c>
      <c r="O49" s="52" t="s">
        <v>35</v>
      </c>
      <c r="P49" s="52">
        <v>11010</v>
      </c>
      <c r="Q49" s="49" t="s">
        <v>34</v>
      </c>
      <c r="R49">
        <v>0</v>
      </c>
      <c r="S49">
        <v>0</v>
      </c>
      <c r="T49">
        <v>0</v>
      </c>
      <c r="U49">
        <v>0</v>
      </c>
      <c r="V49" t="s">
        <v>77</v>
      </c>
      <c r="W49" t="s">
        <v>37</v>
      </c>
      <c r="Y49" s="53">
        <v>22.791565502670309</v>
      </c>
    </row>
    <row r="50" spans="1:25" x14ac:dyDescent="0.25">
      <c r="A50" t="s">
        <v>276</v>
      </c>
      <c r="B50" t="s">
        <v>51</v>
      </c>
      <c r="C50" s="49" t="s">
        <v>51</v>
      </c>
      <c r="D50" t="s">
        <v>52</v>
      </c>
      <c r="E50" s="49">
        <v>10570009</v>
      </c>
      <c r="F50" t="s">
        <v>150</v>
      </c>
      <c r="G50">
        <v>10</v>
      </c>
      <c r="H50" s="50">
        <v>117.19999999999999</v>
      </c>
      <c r="I50" s="50">
        <v>4581.2516096130012</v>
      </c>
      <c r="J50" s="52">
        <v>0</v>
      </c>
      <c r="K50" s="52">
        <v>0</v>
      </c>
      <c r="L50" s="52">
        <v>0</v>
      </c>
      <c r="M50" s="50">
        <v>0</v>
      </c>
      <c r="N50" s="50">
        <v>0</v>
      </c>
      <c r="O50" s="52" t="s">
        <v>35</v>
      </c>
      <c r="P50" s="52">
        <v>4581</v>
      </c>
      <c r="Q50" s="49" t="s">
        <v>34</v>
      </c>
      <c r="R50">
        <v>0</v>
      </c>
      <c r="S50">
        <v>0</v>
      </c>
      <c r="T50">
        <v>0</v>
      </c>
      <c r="U50">
        <v>0</v>
      </c>
      <c r="V50" t="s">
        <v>77</v>
      </c>
      <c r="W50" t="s">
        <v>37</v>
      </c>
      <c r="X50" s="54"/>
      <c r="Y50" s="53">
        <v>19.544588778212464</v>
      </c>
    </row>
    <row r="51" spans="1:25" x14ac:dyDescent="0.25">
      <c r="A51" t="s">
        <v>277</v>
      </c>
      <c r="B51" t="s">
        <v>51</v>
      </c>
      <c r="C51" s="49" t="s">
        <v>51</v>
      </c>
      <c r="D51" t="s">
        <v>52</v>
      </c>
      <c r="E51" s="49">
        <v>10570009</v>
      </c>
      <c r="F51" t="s">
        <v>91</v>
      </c>
      <c r="G51">
        <v>10</v>
      </c>
      <c r="H51" s="50">
        <v>151</v>
      </c>
      <c r="I51" s="50">
        <v>5946.0323985000014</v>
      </c>
      <c r="J51" s="52">
        <v>0</v>
      </c>
      <c r="K51" s="52">
        <v>0</v>
      </c>
      <c r="L51" s="52">
        <v>0</v>
      </c>
      <c r="M51" s="50">
        <v>0</v>
      </c>
      <c r="N51" s="50">
        <v>0</v>
      </c>
      <c r="O51" s="52" t="s">
        <v>35</v>
      </c>
      <c r="P51" s="52">
        <v>5946</v>
      </c>
      <c r="Q51" s="49" t="s">
        <v>34</v>
      </c>
      <c r="R51">
        <v>0</v>
      </c>
      <c r="S51">
        <v>0</v>
      </c>
      <c r="T51">
        <v>0</v>
      </c>
      <c r="U51">
        <v>0</v>
      </c>
      <c r="V51" t="s">
        <v>77</v>
      </c>
      <c r="W51" t="s">
        <v>37</v>
      </c>
      <c r="Y51" s="53">
        <v>19.688849001655633</v>
      </c>
    </row>
    <row r="52" spans="1:25" x14ac:dyDescent="0.25">
      <c r="A52" t="s">
        <v>278</v>
      </c>
      <c r="B52" t="s">
        <v>51</v>
      </c>
      <c r="C52" s="49" t="s">
        <v>51</v>
      </c>
      <c r="D52" t="s">
        <v>52</v>
      </c>
      <c r="E52" s="49">
        <v>10570009</v>
      </c>
      <c r="F52" t="s">
        <v>97</v>
      </c>
      <c r="G52">
        <v>10</v>
      </c>
      <c r="H52" s="50">
        <v>112.5</v>
      </c>
      <c r="I52" s="50">
        <v>4908.6752865200015</v>
      </c>
      <c r="J52" s="52">
        <v>0</v>
      </c>
      <c r="K52" s="52">
        <v>0</v>
      </c>
      <c r="L52" s="52">
        <v>0</v>
      </c>
      <c r="M52" s="50">
        <v>0</v>
      </c>
      <c r="N52" s="50">
        <v>0</v>
      </c>
      <c r="O52" s="52" t="s">
        <v>35</v>
      </c>
      <c r="P52" s="52">
        <v>4909</v>
      </c>
      <c r="Q52" s="49" t="s">
        <v>34</v>
      </c>
      <c r="R52">
        <v>0</v>
      </c>
      <c r="S52">
        <v>0</v>
      </c>
      <c r="T52">
        <v>0</v>
      </c>
      <c r="U52">
        <v>0</v>
      </c>
      <c r="V52" t="s">
        <v>77</v>
      </c>
      <c r="W52" t="s">
        <v>37</v>
      </c>
      <c r="Y52" s="53">
        <v>21.816334606755561</v>
      </c>
    </row>
    <row r="53" spans="1:25" x14ac:dyDescent="0.25">
      <c r="A53" t="s">
        <v>279</v>
      </c>
      <c r="B53" t="s">
        <v>51</v>
      </c>
      <c r="C53" s="49" t="s">
        <v>51</v>
      </c>
      <c r="D53" t="s">
        <v>52</v>
      </c>
      <c r="E53" s="49">
        <v>10570009</v>
      </c>
      <c r="F53" t="s">
        <v>167</v>
      </c>
      <c r="G53">
        <v>6</v>
      </c>
      <c r="H53" s="50">
        <v>52.6</v>
      </c>
      <c r="I53" s="50">
        <v>2488.4628614040003</v>
      </c>
      <c r="J53" s="52">
        <v>0</v>
      </c>
      <c r="K53" s="52">
        <v>0</v>
      </c>
      <c r="L53" s="52">
        <v>0</v>
      </c>
      <c r="M53" s="50">
        <v>0</v>
      </c>
      <c r="N53" s="50">
        <v>0</v>
      </c>
      <c r="O53" s="52" t="s">
        <v>35</v>
      </c>
      <c r="P53" s="52">
        <v>2488</v>
      </c>
      <c r="Q53" s="49" t="s">
        <v>34</v>
      </c>
      <c r="R53">
        <v>0</v>
      </c>
      <c r="S53">
        <v>0</v>
      </c>
      <c r="T53">
        <v>0</v>
      </c>
      <c r="U53">
        <v>0</v>
      </c>
      <c r="V53" t="s">
        <v>77</v>
      </c>
      <c r="W53" t="s">
        <v>37</v>
      </c>
      <c r="Y53" s="53">
        <v>14.192753962380232</v>
      </c>
    </row>
    <row r="54" spans="1:25" x14ac:dyDescent="0.25">
      <c r="A54" t="s">
        <v>280</v>
      </c>
      <c r="B54" t="s">
        <v>51</v>
      </c>
      <c r="C54" s="49" t="s">
        <v>51</v>
      </c>
      <c r="D54" t="s">
        <v>53</v>
      </c>
      <c r="E54" s="49">
        <v>10570036</v>
      </c>
      <c r="F54" t="s">
        <v>79</v>
      </c>
      <c r="G54">
        <v>14</v>
      </c>
      <c r="H54" s="50">
        <v>323.40000000000003</v>
      </c>
      <c r="I54" s="50">
        <v>14386.941488330876</v>
      </c>
      <c r="J54" s="52">
        <v>0</v>
      </c>
      <c r="K54" s="52">
        <v>0</v>
      </c>
      <c r="L54" s="52">
        <v>486</v>
      </c>
      <c r="M54" s="50">
        <v>6750</v>
      </c>
      <c r="N54" s="50">
        <v>0</v>
      </c>
      <c r="O54" s="52" t="s">
        <v>35</v>
      </c>
      <c r="P54" s="52">
        <v>7151</v>
      </c>
      <c r="Q54" s="49" t="s">
        <v>34</v>
      </c>
      <c r="R54" t="s">
        <v>281</v>
      </c>
      <c r="S54" t="s">
        <v>282</v>
      </c>
      <c r="T54" t="s">
        <v>283</v>
      </c>
      <c r="U54" t="s">
        <v>284</v>
      </c>
      <c r="V54" t="s">
        <v>84</v>
      </c>
      <c r="W54" t="s">
        <v>37</v>
      </c>
      <c r="Y54" s="53">
        <v>31.140565992058175</v>
      </c>
    </row>
    <row r="55" spans="1:25" x14ac:dyDescent="0.25">
      <c r="A55" t="s">
        <v>285</v>
      </c>
      <c r="B55" t="s">
        <v>51</v>
      </c>
      <c r="C55" s="49" t="s">
        <v>51</v>
      </c>
      <c r="D55" t="s">
        <v>54</v>
      </c>
      <c r="E55" s="49">
        <v>10570047</v>
      </c>
      <c r="F55" t="s">
        <v>86</v>
      </c>
      <c r="G55">
        <v>14</v>
      </c>
      <c r="H55" s="50">
        <v>92.5</v>
      </c>
      <c r="I55" s="50">
        <v>3596.1517283408998</v>
      </c>
      <c r="J55" s="52">
        <v>0</v>
      </c>
      <c r="K55" s="52">
        <v>0</v>
      </c>
      <c r="L55" s="52">
        <v>0</v>
      </c>
      <c r="M55" s="50">
        <v>0</v>
      </c>
      <c r="N55" s="50">
        <v>0</v>
      </c>
      <c r="O55" s="52" t="s">
        <v>35</v>
      </c>
      <c r="P55" s="52">
        <v>3596</v>
      </c>
      <c r="Q55" s="49" t="s">
        <v>34</v>
      </c>
      <c r="R55" t="s">
        <v>286</v>
      </c>
      <c r="S55" t="s">
        <v>287</v>
      </c>
      <c r="T55" t="s">
        <v>288</v>
      </c>
      <c r="U55" t="s">
        <v>289</v>
      </c>
      <c r="V55" t="s">
        <v>84</v>
      </c>
      <c r="W55" t="s">
        <v>37</v>
      </c>
      <c r="Y55" s="53">
        <v>27.21412118744465</v>
      </c>
    </row>
    <row r="56" spans="1:25" x14ac:dyDescent="0.25">
      <c r="A56" t="s">
        <v>290</v>
      </c>
      <c r="B56" t="s">
        <v>51</v>
      </c>
      <c r="C56" s="49" t="s">
        <v>51</v>
      </c>
      <c r="D56" t="s">
        <v>54</v>
      </c>
      <c r="E56" s="49">
        <v>10570047</v>
      </c>
      <c r="F56" t="s">
        <v>91</v>
      </c>
      <c r="G56">
        <v>14</v>
      </c>
      <c r="H56" s="50">
        <v>97</v>
      </c>
      <c r="I56" s="50">
        <v>3370.4455821465003</v>
      </c>
      <c r="J56" s="52">
        <v>0</v>
      </c>
      <c r="K56" s="52">
        <v>0</v>
      </c>
      <c r="L56" s="52">
        <v>0</v>
      </c>
      <c r="M56" s="50">
        <v>0</v>
      </c>
      <c r="N56" s="50">
        <v>0</v>
      </c>
      <c r="O56" s="52" t="s">
        <v>35</v>
      </c>
      <c r="P56" s="52">
        <v>3370</v>
      </c>
      <c r="Q56" s="49" t="s">
        <v>34</v>
      </c>
      <c r="R56" t="s">
        <v>129</v>
      </c>
      <c r="S56" t="s">
        <v>291</v>
      </c>
      <c r="T56" t="s">
        <v>288</v>
      </c>
      <c r="U56" t="s">
        <v>289</v>
      </c>
      <c r="V56" t="s">
        <v>84</v>
      </c>
      <c r="W56" t="s">
        <v>37</v>
      </c>
      <c r="Y56" s="53">
        <v>24.322803170129383</v>
      </c>
    </row>
    <row r="57" spans="1:25" x14ac:dyDescent="0.25">
      <c r="A57" t="s">
        <v>292</v>
      </c>
      <c r="B57" t="s">
        <v>51</v>
      </c>
      <c r="C57" s="49" t="s">
        <v>51</v>
      </c>
      <c r="D57" t="s">
        <v>54</v>
      </c>
      <c r="E57" s="49">
        <v>10570047</v>
      </c>
      <c r="F57" t="s">
        <v>171</v>
      </c>
      <c r="G57">
        <v>6</v>
      </c>
      <c r="H57" s="50">
        <v>11</v>
      </c>
      <c r="I57" s="50">
        <v>341.61941123400004</v>
      </c>
      <c r="J57" s="52">
        <v>0</v>
      </c>
      <c r="K57" s="52">
        <v>0</v>
      </c>
      <c r="L57" s="52">
        <v>0</v>
      </c>
      <c r="M57" s="50">
        <v>0</v>
      </c>
      <c r="N57" s="50">
        <v>0</v>
      </c>
      <c r="O57" s="52" t="s">
        <v>35</v>
      </c>
      <c r="P57" s="52">
        <v>342</v>
      </c>
      <c r="Q57" s="49" t="s">
        <v>34</v>
      </c>
      <c r="R57" t="s">
        <v>293</v>
      </c>
      <c r="S57" t="s">
        <v>294</v>
      </c>
      <c r="T57" t="s">
        <v>288</v>
      </c>
      <c r="U57" t="s">
        <v>289</v>
      </c>
      <c r="V57" t="s">
        <v>84</v>
      </c>
      <c r="W57" t="s">
        <v>37</v>
      </c>
      <c r="Y57" s="53">
        <v>9.3168930336545479</v>
      </c>
    </row>
    <row r="58" spans="1:25" x14ac:dyDescent="0.25">
      <c r="A58" t="s">
        <v>295</v>
      </c>
      <c r="B58" t="s">
        <v>51</v>
      </c>
      <c r="C58" s="49" t="s">
        <v>51</v>
      </c>
      <c r="D58" t="s">
        <v>54</v>
      </c>
      <c r="E58" s="49">
        <v>10570047</v>
      </c>
      <c r="F58" t="s">
        <v>296</v>
      </c>
      <c r="G58">
        <v>14</v>
      </c>
      <c r="H58" s="50">
        <v>27.400000000000006</v>
      </c>
      <c r="I58" s="50">
        <v>942.2857478924999</v>
      </c>
      <c r="J58" s="52">
        <v>0</v>
      </c>
      <c r="K58" s="52">
        <v>0</v>
      </c>
      <c r="L58" s="52">
        <v>0</v>
      </c>
      <c r="M58" s="50">
        <v>0</v>
      </c>
      <c r="N58" s="50">
        <v>0</v>
      </c>
      <c r="O58" s="52" t="s">
        <v>35</v>
      </c>
      <c r="P58" s="52">
        <v>942</v>
      </c>
      <c r="Q58" s="49" t="s">
        <v>34</v>
      </c>
      <c r="R58" t="s">
        <v>297</v>
      </c>
      <c r="S58" t="s">
        <v>298</v>
      </c>
      <c r="T58" t="s">
        <v>288</v>
      </c>
      <c r="U58" t="s">
        <v>289</v>
      </c>
      <c r="V58" t="s">
        <v>84</v>
      </c>
      <c r="W58" t="s">
        <v>37</v>
      </c>
      <c r="Y58" s="53">
        <v>24.072993559297437</v>
      </c>
    </row>
    <row r="59" spans="1:25" x14ac:dyDescent="0.25">
      <c r="A59" t="s">
        <v>299</v>
      </c>
      <c r="B59" t="s">
        <v>51</v>
      </c>
      <c r="C59" s="49" t="s">
        <v>51</v>
      </c>
      <c r="D59" t="s">
        <v>54</v>
      </c>
      <c r="E59" s="49">
        <v>10570047</v>
      </c>
      <c r="F59" t="s">
        <v>300</v>
      </c>
      <c r="G59">
        <v>7</v>
      </c>
      <c r="H59" s="50">
        <v>22.1</v>
      </c>
      <c r="I59" s="50">
        <v>1461.5281086601001</v>
      </c>
      <c r="J59" s="52">
        <v>0</v>
      </c>
      <c r="K59" s="52">
        <v>0</v>
      </c>
      <c r="L59" s="52">
        <v>0</v>
      </c>
      <c r="M59" s="50">
        <v>0</v>
      </c>
      <c r="N59" s="50">
        <v>0</v>
      </c>
      <c r="O59" s="52" t="s">
        <v>35</v>
      </c>
      <c r="P59" s="52">
        <v>1462</v>
      </c>
      <c r="Q59" s="49" t="s">
        <v>34</v>
      </c>
      <c r="R59">
        <v>0</v>
      </c>
      <c r="S59">
        <v>0</v>
      </c>
      <c r="T59">
        <v>0</v>
      </c>
      <c r="U59">
        <v>0</v>
      </c>
      <c r="V59" t="s">
        <v>77</v>
      </c>
      <c r="W59" t="s">
        <v>37</v>
      </c>
      <c r="Y59" s="53">
        <v>23.146372761585297</v>
      </c>
    </row>
    <row r="60" spans="1:25" x14ac:dyDescent="0.25">
      <c r="A60" t="s">
        <v>301</v>
      </c>
      <c r="B60" t="s">
        <v>51</v>
      </c>
      <c r="C60" s="49" t="s">
        <v>51</v>
      </c>
      <c r="D60" t="s">
        <v>54</v>
      </c>
      <c r="E60" s="49">
        <v>10570047</v>
      </c>
      <c r="F60" t="s">
        <v>179</v>
      </c>
      <c r="G60">
        <v>6</v>
      </c>
      <c r="H60" s="50">
        <v>15.6</v>
      </c>
      <c r="I60" s="50">
        <v>1082.8123201210001</v>
      </c>
      <c r="J60" s="52">
        <v>0</v>
      </c>
      <c r="K60" s="52">
        <v>0</v>
      </c>
      <c r="L60" s="52">
        <v>0</v>
      </c>
      <c r="M60" s="50">
        <v>0</v>
      </c>
      <c r="N60" s="50">
        <v>0</v>
      </c>
      <c r="O60" s="52" t="s">
        <v>35</v>
      </c>
      <c r="P60" s="52">
        <v>1083</v>
      </c>
      <c r="Q60" s="49" t="s">
        <v>34</v>
      </c>
      <c r="R60">
        <v>0</v>
      </c>
      <c r="S60">
        <v>0</v>
      </c>
      <c r="T60">
        <v>0</v>
      </c>
      <c r="U60">
        <v>0</v>
      </c>
      <c r="V60" t="s">
        <v>77</v>
      </c>
      <c r="W60" t="s">
        <v>37</v>
      </c>
      <c r="Y60" s="53">
        <v>20.823313848480772</v>
      </c>
    </row>
    <row r="61" spans="1:25" x14ac:dyDescent="0.25">
      <c r="A61" t="s">
        <v>302</v>
      </c>
      <c r="B61" t="s">
        <v>51</v>
      </c>
      <c r="C61" s="49" t="s">
        <v>51</v>
      </c>
      <c r="D61" t="s">
        <v>54</v>
      </c>
      <c r="E61" s="49">
        <v>10570047</v>
      </c>
      <c r="F61" t="s">
        <v>102</v>
      </c>
      <c r="G61">
        <v>14</v>
      </c>
      <c r="H61" s="50">
        <v>32.299999999999997</v>
      </c>
      <c r="I61" s="50">
        <v>1685.5775391753002</v>
      </c>
      <c r="J61" s="52">
        <v>0</v>
      </c>
      <c r="K61" s="52">
        <v>0</v>
      </c>
      <c r="L61" s="52">
        <v>0</v>
      </c>
      <c r="M61" s="50">
        <v>0</v>
      </c>
      <c r="N61" s="50">
        <v>0</v>
      </c>
      <c r="O61" s="52" t="s">
        <v>35</v>
      </c>
      <c r="P61" s="52">
        <v>1686</v>
      </c>
      <c r="Q61" s="49" t="s">
        <v>34</v>
      </c>
      <c r="R61">
        <v>0</v>
      </c>
      <c r="S61">
        <v>0</v>
      </c>
      <c r="T61">
        <v>0</v>
      </c>
      <c r="U61">
        <v>0</v>
      </c>
      <c r="V61" t="s">
        <v>77</v>
      </c>
      <c r="W61" t="s">
        <v>37</v>
      </c>
      <c r="Y61" s="53">
        <v>36.529544192653567</v>
      </c>
    </row>
    <row r="62" spans="1:25" x14ac:dyDescent="0.25">
      <c r="A62" t="s">
        <v>303</v>
      </c>
      <c r="B62" t="s">
        <v>51</v>
      </c>
      <c r="C62" s="49" t="s">
        <v>51</v>
      </c>
      <c r="D62" t="s">
        <v>54</v>
      </c>
      <c r="E62" s="49">
        <v>10570047</v>
      </c>
      <c r="F62" t="s">
        <v>108</v>
      </c>
      <c r="G62">
        <v>7</v>
      </c>
      <c r="H62" s="50">
        <v>7</v>
      </c>
      <c r="I62" s="50">
        <v>287.10387845100001</v>
      </c>
      <c r="J62" s="52">
        <v>0</v>
      </c>
      <c r="K62" s="52">
        <v>0</v>
      </c>
      <c r="L62" s="52">
        <v>0</v>
      </c>
      <c r="M62" s="50">
        <v>0</v>
      </c>
      <c r="N62" s="50">
        <v>0</v>
      </c>
      <c r="O62" s="52" t="s">
        <v>35</v>
      </c>
      <c r="P62" s="52">
        <v>287</v>
      </c>
      <c r="Q62" s="49" t="s">
        <v>34</v>
      </c>
      <c r="R62">
        <v>0</v>
      </c>
      <c r="S62">
        <v>0</v>
      </c>
      <c r="T62">
        <v>0</v>
      </c>
      <c r="U62">
        <v>0</v>
      </c>
      <c r="V62" t="s">
        <v>77</v>
      </c>
      <c r="W62" t="s">
        <v>37</v>
      </c>
      <c r="Y62" s="53">
        <v>14.355193922550002</v>
      </c>
    </row>
    <row r="63" spans="1:25" x14ac:dyDescent="0.25">
      <c r="A63" t="s">
        <v>304</v>
      </c>
      <c r="B63" t="s">
        <v>51</v>
      </c>
      <c r="C63" s="49" t="s">
        <v>51</v>
      </c>
      <c r="D63" t="s">
        <v>54</v>
      </c>
      <c r="E63" s="49">
        <v>10570047</v>
      </c>
      <c r="F63" t="s">
        <v>186</v>
      </c>
      <c r="G63">
        <v>8</v>
      </c>
      <c r="H63" s="50">
        <v>16.400000000000002</v>
      </c>
      <c r="I63" s="50">
        <v>563.8204781175001</v>
      </c>
      <c r="J63" s="52">
        <v>0</v>
      </c>
      <c r="K63" s="52">
        <v>0</v>
      </c>
      <c r="L63" s="52">
        <v>0</v>
      </c>
      <c r="M63" s="50">
        <v>0</v>
      </c>
      <c r="N63" s="50">
        <v>0</v>
      </c>
      <c r="O63" s="52" t="s">
        <v>35</v>
      </c>
      <c r="P63" s="52">
        <v>564</v>
      </c>
      <c r="Q63" s="49" t="s">
        <v>34</v>
      </c>
      <c r="R63">
        <v>0</v>
      </c>
      <c r="S63">
        <v>0</v>
      </c>
      <c r="T63">
        <v>0</v>
      </c>
      <c r="U63">
        <v>0</v>
      </c>
      <c r="V63" t="s">
        <v>77</v>
      </c>
      <c r="W63" t="s">
        <v>37</v>
      </c>
      <c r="Y63" s="53">
        <v>13.751718978475612</v>
      </c>
    </row>
    <row r="64" spans="1:25" ht="15.75" thickBot="1" x14ac:dyDescent="0.3">
      <c r="A64" s="55" t="s">
        <v>305</v>
      </c>
      <c r="B64" s="55" t="s">
        <v>51</v>
      </c>
      <c r="C64" s="56" t="s">
        <v>51</v>
      </c>
      <c r="D64" s="55" t="s">
        <v>54</v>
      </c>
      <c r="E64" s="56">
        <v>10570047</v>
      </c>
      <c r="F64" s="55" t="s">
        <v>114</v>
      </c>
      <c r="G64" s="55">
        <v>8</v>
      </c>
      <c r="H64" s="57">
        <v>9.8999999999999986</v>
      </c>
      <c r="I64" s="57">
        <v>530.57228475320005</v>
      </c>
      <c r="J64" s="58">
        <v>0</v>
      </c>
      <c r="K64" s="58">
        <v>0</v>
      </c>
      <c r="L64" s="58">
        <v>0</v>
      </c>
      <c r="M64" s="57">
        <v>0</v>
      </c>
      <c r="N64" s="57">
        <v>0</v>
      </c>
      <c r="O64" s="58" t="s">
        <v>35</v>
      </c>
      <c r="P64" s="58">
        <v>531</v>
      </c>
      <c r="Q64" s="56" t="s">
        <v>34</v>
      </c>
      <c r="R64" s="55" t="s">
        <v>306</v>
      </c>
      <c r="S64" s="55" t="s">
        <v>307</v>
      </c>
      <c r="T64" s="55" t="s">
        <v>308</v>
      </c>
      <c r="U64" s="55" t="s">
        <v>289</v>
      </c>
      <c r="V64" s="55" t="s">
        <v>84</v>
      </c>
      <c r="W64" s="55" t="s">
        <v>37</v>
      </c>
      <c r="Y64" s="53">
        <v>21.437264030432331</v>
      </c>
    </row>
    <row r="65" spans="1:23" ht="16.5" thickTop="1" thickBot="1" x14ac:dyDescent="0.3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60">
        <f>SUM(P2:P64)</f>
        <v>327769</v>
      </c>
      <c r="Q65" s="59"/>
      <c r="R65" s="59"/>
      <c r="S65" s="59"/>
      <c r="T65" s="59"/>
      <c r="U65" s="59"/>
      <c r="V65" s="59"/>
      <c r="W65" s="59"/>
    </row>
  </sheetData>
  <conditionalFormatting sqref="P1:P64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64">
    <cfRule type="duplicateValues" dxfId="2" priority="3"/>
  </conditionalFormatting>
  <conditionalFormatting sqref="A2:A64">
    <cfRule type="duplicateValues" dxfId="1" priority="2"/>
  </conditionalFormatting>
  <conditionalFormatting sqref="P2:P64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2026-06-16T05:39:04Z</dcterms:created>
  <dcterms:modified xsi:type="dcterms:W3CDTF">2026-06-16T05:42:55Z</dcterms:modified>
</cp:coreProperties>
</file>