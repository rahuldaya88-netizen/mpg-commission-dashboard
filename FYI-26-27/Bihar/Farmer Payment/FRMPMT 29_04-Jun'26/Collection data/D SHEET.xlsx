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Collection data\"/>
    </mc:Choice>
  </mc:AlternateContent>
  <xr:revisionPtr revIDLastSave="0" documentId="13_ncr:1_{638C4370-D89A-4617-B76F-5D5159D19E07}" xr6:coauthVersionLast="47" xr6:coauthVersionMax="47" xr10:uidLastSave="{00000000-0000-0000-0000-000000000000}"/>
  <bookViews>
    <workbookView xWindow="0" yWindow="4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6" i="1"/>
  <c r="L9" i="1"/>
  <c r="G13" i="1"/>
  <c r="G14" i="1"/>
  <c r="G15" i="1"/>
  <c r="G12" i="1"/>
  <c r="G5" i="1"/>
  <c r="G6" i="1"/>
  <c r="G7" i="1"/>
  <c r="G8" i="1"/>
  <c r="G4" i="1"/>
  <c r="K16" i="1"/>
  <c r="K9" i="1"/>
</calcChain>
</file>

<file path=xl/sharedStrings.xml><?xml version="1.0" encoding="utf-8"?>
<sst xmlns="http://schemas.openxmlformats.org/spreadsheetml/2006/main" count="85" uniqueCount="35">
  <si>
    <t xml:space="preserve">DeductionCycle </t>
  </si>
  <si>
    <t>Category</t>
  </si>
  <si>
    <t xml:space="preserve">Item Name </t>
  </si>
  <si>
    <t>BMC Name</t>
  </si>
  <si>
    <t>CSP NAME</t>
  </si>
  <si>
    <t>MPG NAME</t>
  </si>
  <si>
    <t xml:space="preserve">MPG NAME </t>
  </si>
  <si>
    <t xml:space="preserve">FARMERCODE </t>
  </si>
  <si>
    <t>Amount</t>
  </si>
  <si>
    <t>Deduction</t>
  </si>
  <si>
    <t>29/5/26 to 4/6/26</t>
  </si>
  <si>
    <t>Kalyanpur</t>
  </si>
  <si>
    <t>Pravah</t>
  </si>
  <si>
    <t>Madanpur</t>
  </si>
  <si>
    <t>Biogas</t>
  </si>
  <si>
    <t xml:space="preserve">Balha </t>
  </si>
  <si>
    <t>Dighra 06</t>
  </si>
  <si>
    <t>Simri</t>
  </si>
  <si>
    <t>Sattogachhi</t>
  </si>
  <si>
    <t>Total AMOUNT</t>
  </si>
  <si>
    <t>BIOGAS Deduction</t>
  </si>
  <si>
    <t>Fodder seed</t>
  </si>
  <si>
    <t>Pipra vlc</t>
  </si>
  <si>
    <t>Bangila</t>
  </si>
  <si>
    <t>Vishanpur</t>
  </si>
  <si>
    <t>Fodder seeds</t>
  </si>
  <si>
    <t>Parbatta</t>
  </si>
  <si>
    <t>0052</t>
  </si>
  <si>
    <t>0002</t>
  </si>
  <si>
    <t>0003</t>
  </si>
  <si>
    <t>0007</t>
  </si>
  <si>
    <t>ID</t>
  </si>
  <si>
    <t>id</t>
  </si>
  <si>
    <t>0040</t>
  </si>
  <si>
    <t>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</si>
</sst>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workbookViewId="0">
      <selection activeCell="L18" sqref="L18"/>
    </sheetView>
  </sheetViews>
  <sheetFormatPr defaultRowHeight="15" x14ac:dyDescent="0.25"/>
  <cols>
    <col min="2" max="2" width="18" customWidth="1"/>
    <col min="3" max="3" width="11.140625" customWidth="1"/>
    <col min="4" max="4" width="10.7109375" bestFit="1" customWidth="1"/>
    <col min="5" max="5" width="10.42578125" bestFit="1" customWidth="1"/>
    <col min="6" max="6" width="10" bestFit="1" customWidth="1"/>
    <col min="7" max="7" width="13.140625" bestFit="1" customWidth="1"/>
    <col min="8" max="8" width="10.85546875" bestFit="1" customWidth="1"/>
    <col min="9" max="9" width="11.28515625" bestFit="1" customWidth="1"/>
    <col min="10" max="10" width="13.28515625" bestFit="1" customWidth="1"/>
    <col min="11" max="11" width="7.85546875" customWidth="1"/>
    <col min="12" max="12" width="9.7109375" bestFit="1" customWidth="1"/>
  </cols>
  <sheetData>
    <row r="2" spans="2:12" x14ac:dyDescent="0.25">
      <c r="B2" s="7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31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2:12" x14ac:dyDescent="0.25">
      <c r="B4" s="2" t="s">
        <v>10</v>
      </c>
      <c r="C4" s="2" t="s">
        <v>14</v>
      </c>
      <c r="D4" s="2" t="s">
        <v>14</v>
      </c>
      <c r="E4" s="2" t="s">
        <v>11</v>
      </c>
      <c r="F4" s="2" t="s">
        <v>12</v>
      </c>
      <c r="G4" s="2" t="str">
        <f>CONCATENATE(H4,J4)</f>
        <v>105300760002</v>
      </c>
      <c r="H4" s="2">
        <v>10530076</v>
      </c>
      <c r="I4" s="2" t="s">
        <v>13</v>
      </c>
      <c r="J4" s="3" t="s">
        <v>28</v>
      </c>
      <c r="K4" s="2">
        <v>1700</v>
      </c>
      <c r="L4" s="2">
        <v>1461</v>
      </c>
    </row>
    <row r="5" spans="2:12" x14ac:dyDescent="0.25">
      <c r="B5" s="2" t="s">
        <v>10</v>
      </c>
      <c r="C5" s="2" t="s">
        <v>14</v>
      </c>
      <c r="D5" s="2" t="s">
        <v>14</v>
      </c>
      <c r="E5" s="2" t="s">
        <v>11</v>
      </c>
      <c r="F5" s="2" t="s">
        <v>12</v>
      </c>
      <c r="G5" s="2" t="str">
        <f t="shared" ref="G5:G8" si="0">CONCATENATE(H5,J5)</f>
        <v>105300760052</v>
      </c>
      <c r="H5" s="2">
        <v>10530076</v>
      </c>
      <c r="I5" s="2" t="s">
        <v>13</v>
      </c>
      <c r="J5" s="3" t="s">
        <v>27</v>
      </c>
      <c r="K5" s="2">
        <v>1000</v>
      </c>
      <c r="L5" s="2">
        <v>1000</v>
      </c>
    </row>
    <row r="6" spans="2:12" x14ac:dyDescent="0.25">
      <c r="B6" s="2" t="s">
        <v>10</v>
      </c>
      <c r="C6" s="2" t="s">
        <v>14</v>
      </c>
      <c r="D6" s="2" t="s">
        <v>14</v>
      </c>
      <c r="E6" s="2" t="s">
        <v>11</v>
      </c>
      <c r="F6" s="2" t="s">
        <v>12</v>
      </c>
      <c r="G6" s="2" t="str">
        <f t="shared" si="0"/>
        <v>105300740002</v>
      </c>
      <c r="H6" s="2">
        <v>10530074</v>
      </c>
      <c r="I6" s="2" t="s">
        <v>15</v>
      </c>
      <c r="J6" s="3" t="s">
        <v>28</v>
      </c>
      <c r="K6" s="2">
        <v>1500</v>
      </c>
      <c r="L6" s="2">
        <v>1326</v>
      </c>
    </row>
    <row r="7" spans="2:12" x14ac:dyDescent="0.25">
      <c r="B7" s="2" t="s">
        <v>10</v>
      </c>
      <c r="C7" s="2" t="s">
        <v>14</v>
      </c>
      <c r="D7" s="2" t="s">
        <v>14</v>
      </c>
      <c r="E7" s="2" t="s">
        <v>11</v>
      </c>
      <c r="F7" s="2" t="s">
        <v>12</v>
      </c>
      <c r="G7" s="2" t="str">
        <f t="shared" si="0"/>
        <v>105300650003</v>
      </c>
      <c r="H7" s="2">
        <v>10530065</v>
      </c>
      <c r="I7" s="2" t="s">
        <v>16</v>
      </c>
      <c r="J7" s="3" t="s">
        <v>29</v>
      </c>
      <c r="K7" s="2">
        <v>1500</v>
      </c>
      <c r="L7" s="2">
        <v>1500</v>
      </c>
    </row>
    <row r="8" spans="2:12" x14ac:dyDescent="0.25">
      <c r="B8" s="2" t="s">
        <v>10</v>
      </c>
      <c r="C8" s="2" t="s">
        <v>14</v>
      </c>
      <c r="D8" s="2" t="s">
        <v>14</v>
      </c>
      <c r="E8" s="2" t="s">
        <v>17</v>
      </c>
      <c r="F8" s="2" t="s">
        <v>12</v>
      </c>
      <c r="G8" s="2" t="str">
        <f t="shared" si="0"/>
        <v>101200120007</v>
      </c>
      <c r="H8" s="2">
        <v>10120012</v>
      </c>
      <c r="I8" s="2" t="s">
        <v>18</v>
      </c>
      <c r="J8" s="3" t="s">
        <v>30</v>
      </c>
      <c r="K8" s="2">
        <v>2000</v>
      </c>
      <c r="L8" s="2">
        <v>2000</v>
      </c>
    </row>
    <row r="9" spans="2:12" x14ac:dyDescent="0.25">
      <c r="B9" s="4" t="s">
        <v>19</v>
      </c>
      <c r="C9" s="5"/>
      <c r="D9" s="5"/>
      <c r="E9" s="5"/>
      <c r="F9" s="5"/>
      <c r="G9" s="5"/>
      <c r="H9" s="5"/>
      <c r="I9" s="5"/>
      <c r="J9" s="6"/>
      <c r="K9" s="2">
        <f>SUM(K4:K8)</f>
        <v>7700</v>
      </c>
      <c r="L9" s="2">
        <f>SUM(L4:L8)</f>
        <v>7287</v>
      </c>
    </row>
    <row r="10" spans="2:12" x14ac:dyDescent="0.25">
      <c r="B10" s="5" t="s">
        <v>25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 x14ac:dyDescent="0.25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32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</row>
    <row r="12" spans="2:12" x14ac:dyDescent="0.25">
      <c r="B12" s="2" t="s">
        <v>10</v>
      </c>
      <c r="C12" s="2" t="s">
        <v>21</v>
      </c>
      <c r="D12" s="2" t="s">
        <v>21</v>
      </c>
      <c r="E12" s="2" t="s">
        <v>26</v>
      </c>
      <c r="F12" s="2"/>
      <c r="G12" s="2" t="str">
        <f t="shared" ref="G12:G15" si="1">CONCATENATE(H12,J12)</f>
        <v>100700080002</v>
      </c>
      <c r="H12" s="2">
        <v>10070008</v>
      </c>
      <c r="I12" s="2" t="s">
        <v>22</v>
      </c>
      <c r="J12" s="3" t="s">
        <v>28</v>
      </c>
      <c r="K12" s="2">
        <v>10000</v>
      </c>
      <c r="L12" s="2">
        <v>10000</v>
      </c>
    </row>
    <row r="13" spans="2:12" x14ac:dyDescent="0.25">
      <c r="B13" s="2" t="s">
        <v>10</v>
      </c>
      <c r="C13" s="2" t="s">
        <v>21</v>
      </c>
      <c r="D13" s="2" t="s">
        <v>21</v>
      </c>
      <c r="E13" s="2" t="s">
        <v>26</v>
      </c>
      <c r="F13" s="2"/>
      <c r="G13" s="2" t="str">
        <f t="shared" si="1"/>
        <v>105600360002</v>
      </c>
      <c r="H13" s="2">
        <v>10560036</v>
      </c>
      <c r="I13" s="2" t="s">
        <v>23</v>
      </c>
      <c r="J13" s="3" t="s">
        <v>28</v>
      </c>
      <c r="K13" s="2">
        <v>900</v>
      </c>
      <c r="L13" s="2">
        <v>900</v>
      </c>
    </row>
    <row r="14" spans="2:12" x14ac:dyDescent="0.25">
      <c r="B14" s="2" t="s">
        <v>10</v>
      </c>
      <c r="C14" s="2" t="s">
        <v>21</v>
      </c>
      <c r="D14" s="2" t="s">
        <v>21</v>
      </c>
      <c r="E14" s="2" t="s">
        <v>26</v>
      </c>
      <c r="F14" s="2"/>
      <c r="G14" s="2" t="str">
        <f t="shared" si="1"/>
        <v>101000010040</v>
      </c>
      <c r="H14" s="2">
        <v>10100001</v>
      </c>
      <c r="I14" s="2" t="s">
        <v>24</v>
      </c>
      <c r="J14" s="3" t="s">
        <v>33</v>
      </c>
      <c r="K14" s="2">
        <v>920</v>
      </c>
      <c r="L14" s="2">
        <v>920</v>
      </c>
    </row>
    <row r="15" spans="2:12" x14ac:dyDescent="0.25">
      <c r="B15" s="2" t="s">
        <v>10</v>
      </c>
      <c r="C15" s="2" t="s">
        <v>21</v>
      </c>
      <c r="D15" s="2" t="s">
        <v>21</v>
      </c>
      <c r="E15" s="2" t="s">
        <v>26</v>
      </c>
      <c r="F15" s="2"/>
      <c r="G15" s="2" t="str">
        <f t="shared" si="1"/>
        <v>101000010027</v>
      </c>
      <c r="H15" s="2">
        <v>10100001</v>
      </c>
      <c r="I15" s="2" t="s">
        <v>24</v>
      </c>
      <c r="J15" s="3" t="s">
        <v>34</v>
      </c>
      <c r="K15" s="2">
        <v>5980</v>
      </c>
      <c r="L15" s="2">
        <v>2823</v>
      </c>
    </row>
    <row r="16" spans="2:12" x14ac:dyDescent="0.25">
      <c r="B16" s="8" t="s">
        <v>19</v>
      </c>
      <c r="C16" s="9"/>
      <c r="D16" s="9"/>
      <c r="E16" s="9"/>
      <c r="F16" s="9"/>
      <c r="G16" s="9"/>
      <c r="H16" s="9"/>
      <c r="I16" s="9"/>
      <c r="J16" s="10"/>
      <c r="K16" s="2">
        <f>SUM(K12:K15)</f>
        <v>17800</v>
      </c>
      <c r="L16" s="2">
        <f>SUM(L12:L15)</f>
        <v>14643</v>
      </c>
    </row>
    <row r="18" spans="12:12" x14ac:dyDescent="0.25">
      <c r="L18">
        <f>L16+L9</f>
        <v>21930</v>
      </c>
    </row>
  </sheetData>
  <mergeCells count="1">
    <mergeCell ref="B16:J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2026-06-08T13:37:09Z</dcterms:created>
  <dcterms:modified xsi:type="dcterms:W3CDTF">2026-06-11T08:48:22Z</dcterms:modified>
</cp:coreProperties>
</file>